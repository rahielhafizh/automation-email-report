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L\Project\Standarized\"/>
    </mc:Choice>
  </mc:AlternateContent>
  <xr:revisionPtr revIDLastSave="0" documentId="13_ncr:1_{E78D7C89-3359-4129-BC72-43089BD9B25C}" xr6:coauthVersionLast="47" xr6:coauthVersionMax="47" xr10:uidLastSave="{00000000-0000-0000-0000-000000000000}"/>
  <bookViews>
    <workbookView xWindow="-108" yWindow="-108" windowWidth="23256" windowHeight="12456" tabRatio="883" firstSheet="3" activeTab="5" xr2:uid="{00000000-000D-0000-FFFF-FFFF00000000}"/>
  </bookViews>
  <sheets>
    <sheet name="Parameter" sheetId="15" state="hidden" r:id="rId1"/>
    <sheet name="New KC" sheetId="10" state="hidden" r:id="rId2"/>
    <sheet name="DB N-1" sheetId="23" state="hidden" r:id="rId3"/>
    <sheet name="DB" sheetId="27" r:id="rId4"/>
    <sheet name="Summary" sheetId="14" state="hidden" r:id="rId5"/>
    <sheet name="New Summary-New" sheetId="25" r:id="rId6"/>
    <sheet name="Summary-New" sheetId="22" r:id="rId7"/>
    <sheet name="Detail Cabang-New" sheetId="12" r:id="rId8"/>
    <sheet name="Detail Cabang-By Portfolio" sheetId="18" r:id="rId9"/>
    <sheet name="Detail Cabang-By Payment Type" sheetId="19" r:id="rId10"/>
    <sheet name="Detail Cab By Tgl" sheetId="24" r:id="rId11"/>
    <sheet name="Target ALDA" sheetId="26" state="hidden" r:id="rId12"/>
    <sheet name="NEw Tgt Alda" sheetId="28" state="hidden" r:id="rId13"/>
  </sheets>
  <definedNames>
    <definedName name="_xlnm._FilterDatabase" localSheetId="2" hidden="1">'DB N-1'!$A$1:$AW$100</definedName>
    <definedName name="_xlnm._FilterDatabase" localSheetId="11" hidden="1">'Target ALDA'!$B$3:$H$3</definedName>
    <definedName name="Query_from_SFI_DWH_ODBC17" localSheetId="3" hidden="1">DB!$A$1:$AN$20</definedName>
  </definedNames>
  <calcPr calcId="191029"/>
</workbook>
</file>

<file path=xl/calcChain.xml><?xml version="1.0" encoding="utf-8"?>
<calcChain xmlns="http://schemas.openxmlformats.org/spreadsheetml/2006/main">
  <c r="AO2" i="27" l="1"/>
  <c r="AO11" i="27"/>
  <c r="AO12" i="27"/>
  <c r="AO3" i="27"/>
  <c r="AO13" i="27"/>
  <c r="AO14" i="27"/>
  <c r="AO15" i="27"/>
  <c r="AO4" i="27"/>
  <c r="AO16" i="27"/>
  <c r="AO5" i="27"/>
  <c r="AO17" i="27"/>
  <c r="AO6" i="27"/>
  <c r="AO7" i="27"/>
  <c r="AO8" i="27"/>
  <c r="AO19" i="27"/>
  <c r="AO9" i="27"/>
  <c r="AO10" i="27"/>
  <c r="AO18" i="27"/>
  <c r="AO20" i="27"/>
  <c r="AP2" i="27"/>
  <c r="AP11" i="27"/>
  <c r="AP12" i="27"/>
  <c r="AP3" i="27"/>
  <c r="AP13" i="27"/>
  <c r="AP14" i="27"/>
  <c r="AP15" i="27"/>
  <c r="AP4" i="27"/>
  <c r="AP16" i="27"/>
  <c r="AP5" i="27"/>
  <c r="AP17" i="27"/>
  <c r="AP6" i="27"/>
  <c r="AP7" i="27"/>
  <c r="AP8" i="27"/>
  <c r="AP19" i="27"/>
  <c r="AP9" i="27"/>
  <c r="AP10" i="27"/>
  <c r="AP18" i="27"/>
  <c r="AP20" i="27"/>
  <c r="AQ2" i="27"/>
  <c r="AQ11" i="27"/>
  <c r="AV11" i="27" s="1"/>
  <c r="AQ12" i="27"/>
  <c r="AQ3" i="27"/>
  <c r="AQ13" i="27"/>
  <c r="AQ14" i="27"/>
  <c r="AV14" i="27" s="1"/>
  <c r="AQ15" i="27"/>
  <c r="AQ4" i="27"/>
  <c r="AQ16" i="27"/>
  <c r="AQ5" i="27"/>
  <c r="AV5" i="27" s="1"/>
  <c r="AQ17" i="27"/>
  <c r="AQ6" i="27"/>
  <c r="AQ7" i="27"/>
  <c r="AQ8" i="27"/>
  <c r="AV8" i="27" s="1"/>
  <c r="AQ19" i="27"/>
  <c r="AQ9" i="27"/>
  <c r="AQ10" i="27"/>
  <c r="AQ18" i="27"/>
  <c r="AV18" i="27" s="1"/>
  <c r="AQ20" i="27"/>
  <c r="AR2" i="27"/>
  <c r="AR11" i="27"/>
  <c r="AR12" i="27"/>
  <c r="AR3" i="27"/>
  <c r="AR13" i="27"/>
  <c r="AR14" i="27"/>
  <c r="AR15" i="27"/>
  <c r="AR4" i="27"/>
  <c r="AR16" i="27"/>
  <c r="AR5" i="27"/>
  <c r="AR17" i="27"/>
  <c r="AR6" i="27"/>
  <c r="AR7" i="27"/>
  <c r="AR8" i="27"/>
  <c r="AR19" i="27"/>
  <c r="AR9" i="27"/>
  <c r="AR10" i="27"/>
  <c r="AR18" i="27"/>
  <c r="AR20" i="27"/>
  <c r="AS2" i="27"/>
  <c r="AS11" i="27"/>
  <c r="AS12" i="27"/>
  <c r="AS3" i="27"/>
  <c r="AU3" i="27" s="1"/>
  <c r="AS13" i="27"/>
  <c r="AS14" i="27"/>
  <c r="AS15" i="27"/>
  <c r="AS4" i="27"/>
  <c r="AU4" i="27" s="1"/>
  <c r="AS16" i="27"/>
  <c r="AS5" i="27"/>
  <c r="AS17" i="27"/>
  <c r="AS6" i="27"/>
  <c r="AU6" i="27" s="1"/>
  <c r="AS7" i="27"/>
  <c r="AS8" i="27"/>
  <c r="AS19" i="27"/>
  <c r="AS9" i="27"/>
  <c r="AU9" i="27" s="1"/>
  <c r="AS10" i="27"/>
  <c r="AU10" i="27" s="1"/>
  <c r="AS18" i="27"/>
  <c r="AS20" i="27"/>
  <c r="AT2" i="27"/>
  <c r="AT13" i="27"/>
  <c r="AT14" i="27"/>
  <c r="AT11" i="27" l="1"/>
  <c r="AT16" i="27"/>
  <c r="AT5" i="27"/>
  <c r="AT7" i="27"/>
  <c r="AT8" i="27"/>
  <c r="AU2" i="27"/>
  <c r="AU11" i="27"/>
  <c r="AU13" i="27"/>
  <c r="AU14" i="27"/>
  <c r="AU16" i="27"/>
  <c r="AU5" i="27"/>
  <c r="AU7" i="27"/>
  <c r="AU8" i="27"/>
  <c r="AU18" i="27"/>
  <c r="AV2" i="27"/>
  <c r="AV12" i="27"/>
  <c r="AV3" i="27"/>
  <c r="AV13" i="27"/>
  <c r="AV15" i="27"/>
  <c r="AV4" i="27"/>
  <c r="AV16" i="27"/>
  <c r="AV17" i="27"/>
  <c r="AV6" i="27"/>
  <c r="AV7" i="27"/>
  <c r="AV19" i="27"/>
  <c r="AV9" i="27"/>
  <c r="AV10" i="27"/>
  <c r="AV20" i="27"/>
  <c r="AT10" i="27"/>
  <c r="AU20" i="27"/>
  <c r="AU19" i="27"/>
  <c r="AU17" i="27"/>
  <c r="AU15" i="27"/>
  <c r="AU12" i="27"/>
  <c r="AT18" i="27"/>
  <c r="AT9" i="27"/>
  <c r="AT6" i="27"/>
  <c r="AT4" i="27"/>
  <c r="AT3" i="27"/>
  <c r="AT20" i="27"/>
  <c r="AT19" i="27"/>
  <c r="AT17" i="27"/>
  <c r="AT15" i="27"/>
  <c r="AT12" i="27"/>
  <c r="L44" i="28"/>
  <c r="L40" i="28"/>
  <c r="L36" i="28"/>
  <c r="L32" i="28"/>
  <c r="L28" i="28"/>
  <c r="L24" i="28"/>
  <c r="L20" i="28"/>
  <c r="L16" i="28"/>
  <c r="L12" i="28"/>
  <c r="L11" i="28"/>
  <c r="L8" i="28"/>
  <c r="L7" i="28"/>
  <c r="L4" i="28"/>
  <c r="L3" i="28"/>
  <c r="L45" i="28"/>
  <c r="L43" i="28"/>
  <c r="L42" i="28"/>
  <c r="L41" i="28"/>
  <c r="L39" i="28"/>
  <c r="L38" i="28"/>
  <c r="L37" i="28"/>
  <c r="L35" i="28"/>
  <c r="L34" i="28"/>
  <c r="L33" i="28"/>
  <c r="L31" i="28"/>
  <c r="L30" i="28"/>
  <c r="L29" i="28"/>
  <c r="L27" i="28"/>
  <c r="L26" i="28"/>
  <c r="L25" i="28"/>
  <c r="L23" i="28"/>
  <c r="L22" i="28"/>
  <c r="L21" i="28"/>
  <c r="L19" i="28"/>
  <c r="L18" i="28"/>
  <c r="L17" i="28"/>
  <c r="L15" i="28"/>
  <c r="L14" i="28"/>
  <c r="L13" i="28"/>
  <c r="L10" i="28"/>
  <c r="L9" i="28"/>
  <c r="L6" i="28"/>
  <c r="L5" i="28"/>
  <c r="L2" i="28" l="1"/>
  <c r="AV101" i="23" l="1"/>
  <c r="AW101" i="23"/>
  <c r="AV102" i="23"/>
  <c r="AW102" i="23"/>
  <c r="AV103" i="23"/>
  <c r="AW103" i="23"/>
  <c r="AV104" i="23"/>
  <c r="AW104" i="23"/>
  <c r="AV105" i="23"/>
  <c r="AW105" i="23"/>
  <c r="AV106" i="23"/>
  <c r="AW106" i="23"/>
  <c r="AV107" i="23"/>
  <c r="AW107" i="23"/>
  <c r="AV108" i="23"/>
  <c r="AW108" i="23"/>
  <c r="AV109" i="23"/>
  <c r="AW109" i="23"/>
  <c r="AV110" i="23"/>
  <c r="AW110" i="23"/>
  <c r="AV111" i="23"/>
  <c r="AW111" i="23"/>
  <c r="AV112" i="23"/>
  <c r="AW112" i="23"/>
  <c r="AV113" i="23"/>
  <c r="AW113" i="23"/>
  <c r="AV114" i="23"/>
  <c r="AW114" i="23"/>
  <c r="AV115" i="23"/>
  <c r="AW115" i="23"/>
  <c r="AV116" i="23"/>
  <c r="AW116" i="23"/>
  <c r="AV117" i="23"/>
  <c r="AW117" i="23"/>
  <c r="AV118" i="23"/>
  <c r="AW118" i="23"/>
  <c r="AV119" i="23"/>
  <c r="AW119" i="23"/>
  <c r="AV120" i="23"/>
  <c r="AW120" i="23"/>
  <c r="AV121" i="23"/>
  <c r="AW121" i="23"/>
  <c r="AV122" i="23"/>
  <c r="AW122" i="23"/>
  <c r="AV123" i="23"/>
  <c r="AW123" i="23"/>
  <c r="L46" i="28" l="1"/>
  <c r="K46" i="28"/>
  <c r="J46" i="28"/>
  <c r="F48" i="12" l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C46" i="28" l="1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D3" i="28"/>
  <c r="D2" i="28"/>
  <c r="D46" i="28" l="1"/>
  <c r="L109" i="24"/>
  <c r="AG83" i="24"/>
  <c r="AB89" i="24"/>
  <c r="AG51" i="24"/>
  <c r="AG70" i="24"/>
  <c r="AH47" i="24"/>
  <c r="AH71" i="24"/>
  <c r="AI105" i="24"/>
  <c r="X115" i="24"/>
  <c r="AH117" i="24"/>
  <c r="AG116" i="24"/>
  <c r="AF115" i="24"/>
  <c r="AE114" i="24"/>
  <c r="W114" i="24"/>
  <c r="G114" i="24"/>
  <c r="AD113" i="24"/>
  <c r="V113" i="24"/>
  <c r="F113" i="24"/>
  <c r="AC112" i="24"/>
  <c r="U112" i="24"/>
  <c r="E112" i="24"/>
  <c r="AB111" i="24"/>
  <c r="T111" i="24"/>
  <c r="AI110" i="24"/>
  <c r="AA110" i="24"/>
  <c r="S110" i="24"/>
  <c r="W109" i="24"/>
  <c r="AH108" i="24"/>
  <c r="Z108" i="24"/>
  <c r="V108" i="24"/>
  <c r="R108" i="24"/>
  <c r="N108" i="24"/>
  <c r="J108" i="24"/>
  <c r="F108" i="24"/>
  <c r="AG107" i="24"/>
  <c r="AC107" i="24"/>
  <c r="Y107" i="24"/>
  <c r="U107" i="24"/>
  <c r="Q107" i="24"/>
  <c r="M107" i="24"/>
  <c r="I107" i="24"/>
  <c r="E107" i="24"/>
  <c r="AF106" i="24"/>
  <c r="AB106" i="24"/>
  <c r="X106" i="24"/>
  <c r="T106" i="24"/>
  <c r="P106" i="24"/>
  <c r="L106" i="24"/>
  <c r="H106" i="24"/>
  <c r="F106" i="24"/>
  <c r="AH104" i="24"/>
  <c r="AG104" i="24"/>
  <c r="AF104" i="24"/>
  <c r="AD104" i="24"/>
  <c r="AC104" i="24"/>
  <c r="AB104" i="24"/>
  <c r="Z104" i="24"/>
  <c r="Y104" i="24"/>
  <c r="X104" i="24"/>
  <c r="V104" i="24"/>
  <c r="U104" i="24"/>
  <c r="T104" i="24"/>
  <c r="R104" i="24"/>
  <c r="Q104" i="24"/>
  <c r="P104" i="24"/>
  <c r="N104" i="24"/>
  <c r="M104" i="24"/>
  <c r="L104" i="24"/>
  <c r="J104" i="24"/>
  <c r="I104" i="24"/>
  <c r="H104" i="24"/>
  <c r="F104" i="24"/>
  <c r="E104" i="24"/>
  <c r="AI103" i="24"/>
  <c r="AG103" i="24"/>
  <c r="AF103" i="24"/>
  <c r="AE103" i="24"/>
  <c r="AC103" i="24"/>
  <c r="AB103" i="24"/>
  <c r="AA103" i="24"/>
  <c r="Y103" i="24"/>
  <c r="X103" i="24"/>
  <c r="W103" i="24"/>
  <c r="V103" i="24"/>
  <c r="U103" i="24"/>
  <c r="T103" i="24"/>
  <c r="S103" i="24"/>
  <c r="R103" i="24"/>
  <c r="Q103" i="24"/>
  <c r="P103" i="24"/>
  <c r="O103" i="24"/>
  <c r="N103" i="24"/>
  <c r="M103" i="24"/>
  <c r="L103" i="24"/>
  <c r="K103" i="24"/>
  <c r="J103" i="24"/>
  <c r="I103" i="24"/>
  <c r="H103" i="24"/>
  <c r="G103" i="24"/>
  <c r="F103" i="24"/>
  <c r="E103" i="24"/>
  <c r="AI102" i="24"/>
  <c r="AH102" i="24"/>
  <c r="AG102" i="24"/>
  <c r="AF102" i="24"/>
  <c r="AE102" i="24"/>
  <c r="AD102" i="24"/>
  <c r="AC102" i="24"/>
  <c r="AB102" i="24"/>
  <c r="AA102" i="24"/>
  <c r="Z102" i="24"/>
  <c r="Y102" i="24"/>
  <c r="X102" i="24"/>
  <c r="W102" i="24"/>
  <c r="V102" i="24"/>
  <c r="U102" i="24"/>
  <c r="T102" i="24"/>
  <c r="S102" i="24"/>
  <c r="R102" i="24"/>
  <c r="Q102" i="24"/>
  <c r="P102" i="24"/>
  <c r="O102" i="24"/>
  <c r="N102" i="24"/>
  <c r="M102" i="24"/>
  <c r="L102" i="24"/>
  <c r="K102" i="24"/>
  <c r="J102" i="24"/>
  <c r="I102" i="24"/>
  <c r="H102" i="24"/>
  <c r="G102" i="24"/>
  <c r="F102" i="24"/>
  <c r="E102" i="24"/>
  <c r="AI101" i="24"/>
  <c r="AH101" i="24"/>
  <c r="AG101" i="24"/>
  <c r="AF101" i="24"/>
  <c r="AE101" i="24"/>
  <c r="AD101" i="24"/>
  <c r="AC101" i="24"/>
  <c r="AB101" i="24"/>
  <c r="AA101" i="24"/>
  <c r="Z101" i="24"/>
  <c r="Y101" i="24"/>
  <c r="X101" i="24"/>
  <c r="W101" i="24"/>
  <c r="V101" i="24"/>
  <c r="U101" i="24"/>
  <c r="T101" i="24"/>
  <c r="S101" i="24"/>
  <c r="R101" i="24"/>
  <c r="Q101" i="24"/>
  <c r="P101" i="24"/>
  <c r="O101" i="24"/>
  <c r="N101" i="24"/>
  <c r="M101" i="24"/>
  <c r="L101" i="24"/>
  <c r="K101" i="24"/>
  <c r="J101" i="24"/>
  <c r="I101" i="24"/>
  <c r="H101" i="24"/>
  <c r="G101" i="24"/>
  <c r="F101" i="24"/>
  <c r="E101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AI91" i="24"/>
  <c r="AH91" i="24"/>
  <c r="AG91" i="24"/>
  <c r="AF91" i="24"/>
  <c r="AE91" i="24"/>
  <c r="AD91" i="24"/>
  <c r="AC91" i="24"/>
  <c r="AB91" i="24"/>
  <c r="AA91" i="24"/>
  <c r="Z91" i="24"/>
  <c r="Y91" i="24"/>
  <c r="X91" i="24"/>
  <c r="W91" i="24"/>
  <c r="V91" i="24"/>
  <c r="U91" i="24"/>
  <c r="T91" i="24"/>
  <c r="S91" i="24"/>
  <c r="R91" i="24"/>
  <c r="Q91" i="24"/>
  <c r="P91" i="24"/>
  <c r="O91" i="24"/>
  <c r="N91" i="24"/>
  <c r="M91" i="24"/>
  <c r="L91" i="24"/>
  <c r="K91" i="24"/>
  <c r="J91" i="24"/>
  <c r="I91" i="24"/>
  <c r="H91" i="24"/>
  <c r="G91" i="24"/>
  <c r="F91" i="24"/>
  <c r="E91" i="24"/>
  <c r="AI90" i="24"/>
  <c r="AH90" i="24"/>
  <c r="AG90" i="24"/>
  <c r="AF90" i="24"/>
  <c r="AE90" i="24"/>
  <c r="AD90" i="24"/>
  <c r="AC90" i="24"/>
  <c r="AB90" i="24"/>
  <c r="AA90" i="24"/>
  <c r="Z90" i="24"/>
  <c r="Y90" i="24"/>
  <c r="X90" i="24"/>
  <c r="W90" i="24"/>
  <c r="V90" i="24"/>
  <c r="U90" i="24"/>
  <c r="T90" i="24"/>
  <c r="S90" i="24"/>
  <c r="R90" i="24"/>
  <c r="Q90" i="24"/>
  <c r="P90" i="24"/>
  <c r="O90" i="24"/>
  <c r="N90" i="24"/>
  <c r="M90" i="24"/>
  <c r="L90" i="24"/>
  <c r="K90" i="24"/>
  <c r="J90" i="24"/>
  <c r="I90" i="24"/>
  <c r="H90" i="24"/>
  <c r="G90" i="24"/>
  <c r="F90" i="24"/>
  <c r="E90" i="24"/>
  <c r="AF89" i="24"/>
  <c r="P89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AH83" i="24"/>
  <c r="AF83" i="24"/>
  <c r="AD83" i="24"/>
  <c r="AB83" i="24"/>
  <c r="Z83" i="24"/>
  <c r="X83" i="24"/>
  <c r="V83" i="24"/>
  <c r="T83" i="24"/>
  <c r="R83" i="24"/>
  <c r="P83" i="24"/>
  <c r="N83" i="24"/>
  <c r="L83" i="24"/>
  <c r="J83" i="24"/>
  <c r="H83" i="24"/>
  <c r="F83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AI81" i="24"/>
  <c r="AH81" i="24"/>
  <c r="AG81" i="24"/>
  <c r="AF81" i="24"/>
  <c r="AE81" i="24"/>
  <c r="AD81" i="24"/>
  <c r="AC81" i="24"/>
  <c r="AB81" i="24"/>
  <c r="AA81" i="24"/>
  <c r="Z81" i="24"/>
  <c r="Y81" i="24"/>
  <c r="X81" i="24"/>
  <c r="W81" i="24"/>
  <c r="V81" i="24"/>
  <c r="U81" i="24"/>
  <c r="T81" i="24"/>
  <c r="S81" i="24"/>
  <c r="R81" i="24"/>
  <c r="Q81" i="24"/>
  <c r="P81" i="24"/>
  <c r="O81" i="24"/>
  <c r="N81" i="24"/>
  <c r="M81" i="24"/>
  <c r="L81" i="24"/>
  <c r="K81" i="24"/>
  <c r="J81" i="24"/>
  <c r="I81" i="24"/>
  <c r="H81" i="24"/>
  <c r="G81" i="24"/>
  <c r="F81" i="24"/>
  <c r="E81" i="24"/>
  <c r="AI80" i="24"/>
  <c r="AH80" i="24"/>
  <c r="AG80" i="24"/>
  <c r="AF80" i="24"/>
  <c r="AE80" i="24"/>
  <c r="AD80" i="24"/>
  <c r="AC80" i="24"/>
  <c r="AB80" i="24"/>
  <c r="AA80" i="24"/>
  <c r="Z80" i="24"/>
  <c r="Y80" i="24"/>
  <c r="X80" i="24"/>
  <c r="W80" i="24"/>
  <c r="V80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AI79" i="24"/>
  <c r="AH79" i="24"/>
  <c r="AG79" i="24"/>
  <c r="AF79" i="24"/>
  <c r="AE79" i="24"/>
  <c r="AD79" i="24"/>
  <c r="AC79" i="24"/>
  <c r="AB79" i="24"/>
  <c r="AA79" i="24"/>
  <c r="Z79" i="24"/>
  <c r="Y79" i="24"/>
  <c r="X79" i="24"/>
  <c r="W79" i="24"/>
  <c r="V79" i="24"/>
  <c r="U79" i="24"/>
  <c r="T79" i="24"/>
  <c r="S79" i="24"/>
  <c r="R79" i="24"/>
  <c r="Q79" i="24"/>
  <c r="P79" i="24"/>
  <c r="O79" i="24"/>
  <c r="N79" i="24"/>
  <c r="M79" i="24"/>
  <c r="L79" i="24"/>
  <c r="K79" i="24"/>
  <c r="J79" i="24"/>
  <c r="I79" i="24"/>
  <c r="H79" i="24"/>
  <c r="G79" i="24"/>
  <c r="F79" i="24"/>
  <c r="E79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AI71" i="24"/>
  <c r="AE71" i="24"/>
  <c r="AA71" i="24"/>
  <c r="W71" i="24"/>
  <c r="S71" i="24"/>
  <c r="O71" i="24"/>
  <c r="K71" i="24"/>
  <c r="G71" i="24"/>
  <c r="AH70" i="24"/>
  <c r="AD70" i="24"/>
  <c r="Z70" i="24"/>
  <c r="V70" i="24"/>
  <c r="R70" i="24"/>
  <c r="N70" i="24"/>
  <c r="J70" i="24"/>
  <c r="F70" i="24"/>
  <c r="AI69" i="24"/>
  <c r="AH69" i="24"/>
  <c r="AG69" i="24"/>
  <c r="AF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R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AI67" i="24"/>
  <c r="AH67" i="24"/>
  <c r="AG67" i="24"/>
  <c r="AF67" i="24"/>
  <c r="AE67" i="24"/>
  <c r="AD67" i="24"/>
  <c r="AC67" i="24"/>
  <c r="AB67" i="24"/>
  <c r="AA67" i="24"/>
  <c r="Z67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AI64" i="24"/>
  <c r="AH64" i="24"/>
  <c r="AG64" i="24"/>
  <c r="AF64" i="24"/>
  <c r="AE64" i="24"/>
  <c r="AD64" i="24"/>
  <c r="AC64" i="24"/>
  <c r="AB64" i="24"/>
  <c r="AA64" i="24"/>
  <c r="Z64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AI63" i="24"/>
  <c r="AH63" i="24"/>
  <c r="AG63" i="24"/>
  <c r="AF63" i="24"/>
  <c r="AE63" i="24"/>
  <c r="AD63" i="24"/>
  <c r="AC63" i="24"/>
  <c r="AB63" i="24"/>
  <c r="AA63" i="24"/>
  <c r="Z63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AI62" i="24"/>
  <c r="AH62" i="24"/>
  <c r="AG62" i="24"/>
  <c r="AF62" i="24"/>
  <c r="AE62" i="24"/>
  <c r="AD62" i="24"/>
  <c r="AC62" i="24"/>
  <c r="AB62" i="24"/>
  <c r="AA62" i="24"/>
  <c r="Z62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AI61" i="24"/>
  <c r="AH61" i="24"/>
  <c r="AG61" i="24"/>
  <c r="AF61" i="24"/>
  <c r="AE61" i="24"/>
  <c r="AD61" i="24"/>
  <c r="AC61" i="24"/>
  <c r="AB61" i="24"/>
  <c r="AA61" i="24"/>
  <c r="Z61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AI60" i="24"/>
  <c r="AH60" i="24"/>
  <c r="AG60" i="24"/>
  <c r="AF60" i="24"/>
  <c r="AE60" i="24"/>
  <c r="AD60" i="24"/>
  <c r="AC60" i="24"/>
  <c r="AB60" i="24"/>
  <c r="AA60" i="24"/>
  <c r="Z60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AI59" i="24"/>
  <c r="AH59" i="24"/>
  <c r="AG59" i="24"/>
  <c r="AF59" i="24"/>
  <c r="AE59" i="24"/>
  <c r="AD59" i="24"/>
  <c r="AC59" i="24"/>
  <c r="AB59" i="24"/>
  <c r="AA59" i="24"/>
  <c r="Z59" i="24"/>
  <c r="Y59" i="24"/>
  <c r="X59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AI58" i="24"/>
  <c r="AH58" i="24"/>
  <c r="AG58" i="24"/>
  <c r="AF58" i="24"/>
  <c r="AE58" i="24"/>
  <c r="AD58" i="24"/>
  <c r="AC58" i="24"/>
  <c r="AB58" i="24"/>
  <c r="AA58" i="24"/>
  <c r="Z58" i="24"/>
  <c r="Y58" i="24"/>
  <c r="X58" i="24"/>
  <c r="W58" i="24"/>
  <c r="V58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AI57" i="24"/>
  <c r="AH57" i="24"/>
  <c r="AG57" i="24"/>
  <c r="AF57" i="24"/>
  <c r="AE57" i="24"/>
  <c r="AD57" i="24"/>
  <c r="AC57" i="24"/>
  <c r="AB57" i="24"/>
  <c r="AA57" i="24"/>
  <c r="Z57" i="24"/>
  <c r="Y57" i="24"/>
  <c r="X57" i="24"/>
  <c r="W57" i="24"/>
  <c r="V57" i="24"/>
  <c r="U57" i="24"/>
  <c r="T57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F57" i="24"/>
  <c r="E57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AI51" i="24"/>
  <c r="AH51" i="24"/>
  <c r="AE51" i="24"/>
  <c r="AD51" i="24"/>
  <c r="AA51" i="24"/>
  <c r="Z51" i="24"/>
  <c r="W51" i="24"/>
  <c r="V51" i="24"/>
  <c r="S51" i="24"/>
  <c r="R51" i="24"/>
  <c r="O51" i="24"/>
  <c r="N51" i="24"/>
  <c r="K51" i="24"/>
  <c r="J51" i="24"/>
  <c r="G51" i="24"/>
  <c r="F51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AI48" i="24"/>
  <c r="AH48" i="24"/>
  <c r="AG48" i="24"/>
  <c r="AF48" i="24"/>
  <c r="AE48" i="24"/>
  <c r="AD48" i="24"/>
  <c r="AC48" i="24"/>
  <c r="AB48" i="24"/>
  <c r="AA48" i="24"/>
  <c r="Z48" i="24"/>
  <c r="Y48" i="24"/>
  <c r="X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AI47" i="24"/>
  <c r="AE47" i="24"/>
  <c r="AA47" i="24"/>
  <c r="W47" i="24"/>
  <c r="S47" i="24"/>
  <c r="O47" i="24"/>
  <c r="K47" i="24"/>
  <c r="G47" i="24"/>
  <c r="AI46" i="24"/>
  <c r="AH46" i="24"/>
  <c r="AG46" i="24"/>
  <c r="AF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AI37" i="24"/>
  <c r="AH37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AI36" i="24"/>
  <c r="AH36" i="24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AI35" i="24"/>
  <c r="AH35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AB109" i="24" l="1"/>
  <c r="G109" i="24"/>
  <c r="AH109" i="24"/>
  <c r="G70" i="24"/>
  <c r="K70" i="24"/>
  <c r="O70" i="24"/>
  <c r="S70" i="24"/>
  <c r="W70" i="24"/>
  <c r="AA70" i="24"/>
  <c r="AE70" i="24"/>
  <c r="AI70" i="24"/>
  <c r="T89" i="24"/>
  <c r="H51" i="24"/>
  <c r="L51" i="24"/>
  <c r="P51" i="24"/>
  <c r="T51" i="24"/>
  <c r="X51" i="24"/>
  <c r="AB51" i="24"/>
  <c r="AF51" i="24"/>
  <c r="H70" i="24"/>
  <c r="L70" i="24"/>
  <c r="P70" i="24"/>
  <c r="T70" i="24"/>
  <c r="X70" i="24"/>
  <c r="AB70" i="24"/>
  <c r="AF70" i="24"/>
  <c r="H89" i="24"/>
  <c r="X89" i="24"/>
  <c r="AI89" i="24"/>
  <c r="E51" i="24"/>
  <c r="I51" i="24"/>
  <c r="M51" i="24"/>
  <c r="Q51" i="24"/>
  <c r="U51" i="24"/>
  <c r="Y51" i="24"/>
  <c r="AC51" i="24"/>
  <c r="E70" i="24"/>
  <c r="I70" i="24"/>
  <c r="M70" i="24"/>
  <c r="Q70" i="24"/>
  <c r="U70" i="24"/>
  <c r="Y70" i="24"/>
  <c r="AC70" i="24"/>
  <c r="L89" i="24"/>
  <c r="H47" i="24"/>
  <c r="L47" i="24"/>
  <c r="P47" i="24"/>
  <c r="T47" i="24"/>
  <c r="X47" i="24"/>
  <c r="AB47" i="24"/>
  <c r="AF47" i="24"/>
  <c r="H71" i="24"/>
  <c r="L71" i="24"/>
  <c r="P71" i="24"/>
  <c r="T71" i="24"/>
  <c r="X71" i="24"/>
  <c r="AB71" i="24"/>
  <c r="AF71" i="24"/>
  <c r="E89" i="24"/>
  <c r="I89" i="24"/>
  <c r="M89" i="24"/>
  <c r="Q89" i="24"/>
  <c r="U89" i="24"/>
  <c r="Y89" i="24"/>
  <c r="AC89" i="24"/>
  <c r="AG89" i="24"/>
  <c r="E47" i="24"/>
  <c r="I47" i="24"/>
  <c r="M47" i="24"/>
  <c r="Q47" i="24"/>
  <c r="U47" i="24"/>
  <c r="Y47" i="24"/>
  <c r="AC47" i="24"/>
  <c r="AG47" i="24"/>
  <c r="E71" i="24"/>
  <c r="I71" i="24"/>
  <c r="M71" i="24"/>
  <c r="Q71" i="24"/>
  <c r="U71" i="24"/>
  <c r="Y71" i="24"/>
  <c r="AC71" i="24"/>
  <c r="AG71" i="24"/>
  <c r="F89" i="24"/>
  <c r="J89" i="24"/>
  <c r="N89" i="24"/>
  <c r="R89" i="24"/>
  <c r="V89" i="24"/>
  <c r="Z89" i="24"/>
  <c r="AD89" i="24"/>
  <c r="AH89" i="24"/>
  <c r="F47" i="24"/>
  <c r="J47" i="24"/>
  <c r="N47" i="24"/>
  <c r="R47" i="24"/>
  <c r="V47" i="24"/>
  <c r="Z47" i="24"/>
  <c r="AD47" i="24"/>
  <c r="F71" i="24"/>
  <c r="J71" i="24"/>
  <c r="N71" i="24"/>
  <c r="R71" i="24"/>
  <c r="V71" i="24"/>
  <c r="Z71" i="24"/>
  <c r="AD71" i="24"/>
  <c r="G89" i="24"/>
  <c r="K89" i="24"/>
  <c r="O89" i="24"/>
  <c r="S89" i="24"/>
  <c r="W89" i="24"/>
  <c r="AA89" i="24"/>
  <c r="AE89" i="24"/>
  <c r="G83" i="24"/>
  <c r="K83" i="24"/>
  <c r="O83" i="24"/>
  <c r="S83" i="24"/>
  <c r="W83" i="24"/>
  <c r="AA83" i="24"/>
  <c r="AE83" i="24"/>
  <c r="AI83" i="24"/>
  <c r="E83" i="24"/>
  <c r="I83" i="24"/>
  <c r="M83" i="24"/>
  <c r="Q83" i="24"/>
  <c r="U83" i="24"/>
  <c r="Y83" i="24"/>
  <c r="AC83" i="24"/>
  <c r="J105" i="24"/>
  <c r="O105" i="24"/>
  <c r="AG105" i="24"/>
  <c r="U105" i="24"/>
  <c r="E105" i="24"/>
  <c r="AA105" i="24"/>
  <c r="F105" i="24"/>
  <c r="K105" i="24"/>
  <c r="Q105" i="24"/>
  <c r="V105" i="24"/>
  <c r="AC105" i="24"/>
  <c r="G105" i="24"/>
  <c r="M105" i="24"/>
  <c r="R105" i="24"/>
  <c r="W105" i="24"/>
  <c r="AE105" i="24"/>
  <c r="I105" i="24"/>
  <c r="N105" i="24"/>
  <c r="S105" i="24"/>
  <c r="Y105" i="24"/>
  <c r="AI65" i="24"/>
  <c r="AE65" i="24"/>
  <c r="AA65" i="24"/>
  <c r="W65" i="24"/>
  <c r="S65" i="24"/>
  <c r="O65" i="24"/>
  <c r="K65" i="24"/>
  <c r="G65" i="24"/>
  <c r="AH65" i="24"/>
  <c r="AD65" i="24"/>
  <c r="Z65" i="24"/>
  <c r="V65" i="24"/>
  <c r="R65" i="24"/>
  <c r="N65" i="24"/>
  <c r="J65" i="24"/>
  <c r="F65" i="24"/>
  <c r="AG65" i="24"/>
  <c r="AC65" i="24"/>
  <c r="Y65" i="24"/>
  <c r="U65" i="24"/>
  <c r="Q65" i="24"/>
  <c r="M65" i="24"/>
  <c r="I65" i="24"/>
  <c r="E65" i="24"/>
  <c r="AF65" i="24"/>
  <c r="AB65" i="24"/>
  <c r="X65" i="24"/>
  <c r="T65" i="24"/>
  <c r="P65" i="24"/>
  <c r="L65" i="24"/>
  <c r="H65" i="24"/>
  <c r="AD108" i="24"/>
  <c r="AI119" i="24"/>
  <c r="AE119" i="24"/>
  <c r="AA119" i="24"/>
  <c r="W119" i="24"/>
  <c r="S119" i="24"/>
  <c r="O119" i="24"/>
  <c r="K119" i="24"/>
  <c r="G119" i="24"/>
  <c r="AH118" i="24"/>
  <c r="AD118" i="24"/>
  <c r="Z118" i="24"/>
  <c r="V118" i="24"/>
  <c r="R118" i="24"/>
  <c r="N118" i="24"/>
  <c r="J118" i="24"/>
  <c r="F118" i="24"/>
  <c r="AG117" i="24"/>
  <c r="AC117" i="24"/>
  <c r="Y117" i="24"/>
  <c r="U117" i="24"/>
  <c r="Q117" i="24"/>
  <c r="M117" i="24"/>
  <c r="I117" i="24"/>
  <c r="E117" i="24"/>
  <c r="AF116" i="24"/>
  <c r="AB116" i="24"/>
  <c r="X116" i="24"/>
  <c r="T116" i="24"/>
  <c r="P116" i="24"/>
  <c r="L116" i="24"/>
  <c r="H116" i="24"/>
  <c r="AI115" i="24"/>
  <c r="AE115" i="24"/>
  <c r="AA115" i="24"/>
  <c r="W115" i="24"/>
  <c r="S115" i="24"/>
  <c r="O115" i="24"/>
  <c r="K115" i="24"/>
  <c r="G115" i="24"/>
  <c r="AH114" i="24"/>
  <c r="AD114" i="24"/>
  <c r="Z114" i="24"/>
  <c r="V114" i="24"/>
  <c r="R114" i="24"/>
  <c r="N114" i="24"/>
  <c r="J114" i="24"/>
  <c r="F114" i="24"/>
  <c r="AG113" i="24"/>
  <c r="AC113" i="24"/>
  <c r="Y113" i="24"/>
  <c r="U113" i="24"/>
  <c r="Q113" i="24"/>
  <c r="M113" i="24"/>
  <c r="I113" i="24"/>
  <c r="E113" i="24"/>
  <c r="AF112" i="24"/>
  <c r="AB112" i="24"/>
  <c r="X112" i="24"/>
  <c r="T112" i="24"/>
  <c r="P112" i="24"/>
  <c r="L112" i="24"/>
  <c r="H112" i="24"/>
  <c r="AI111" i="24"/>
  <c r="AE111" i="24"/>
  <c r="AA111" i="24"/>
  <c r="W111" i="24"/>
  <c r="S111" i="24"/>
  <c r="O111" i="24"/>
  <c r="K111" i="24"/>
  <c r="G111" i="24"/>
  <c r="AH110" i="24"/>
  <c r="AD110" i="24"/>
  <c r="Z110" i="24"/>
  <c r="V110" i="24"/>
  <c r="R110" i="24"/>
  <c r="N110" i="24"/>
  <c r="J110" i="24"/>
  <c r="F110" i="24"/>
  <c r="AG109" i="24"/>
  <c r="AC109" i="24"/>
  <c r="Y109" i="24"/>
  <c r="U109" i="24"/>
  <c r="Q109" i="24"/>
  <c r="M109" i="24"/>
  <c r="I109" i="24"/>
  <c r="AH119" i="24"/>
  <c r="AD119" i="24"/>
  <c r="Z119" i="24"/>
  <c r="V119" i="24"/>
  <c r="R119" i="24"/>
  <c r="N119" i="24"/>
  <c r="J119" i="24"/>
  <c r="F119" i="24"/>
  <c r="AG118" i="24"/>
  <c r="AC118" i="24"/>
  <c r="Y118" i="24"/>
  <c r="U118" i="24"/>
  <c r="Q118" i="24"/>
  <c r="M118" i="24"/>
  <c r="I118" i="24"/>
  <c r="E118" i="24"/>
  <c r="AF117" i="24"/>
  <c r="AB117" i="24"/>
  <c r="X117" i="24"/>
  <c r="T117" i="24"/>
  <c r="P117" i="24"/>
  <c r="L117" i="24"/>
  <c r="H117" i="24"/>
  <c r="AI116" i="24"/>
  <c r="AE116" i="24"/>
  <c r="AA116" i="24"/>
  <c r="W116" i="24"/>
  <c r="S116" i="24"/>
  <c r="O116" i="24"/>
  <c r="K116" i="24"/>
  <c r="G116" i="24"/>
  <c r="AH115" i="24"/>
  <c r="AD115" i="24"/>
  <c r="Z115" i="24"/>
  <c r="V115" i="24"/>
  <c r="R115" i="24"/>
  <c r="N115" i="24"/>
  <c r="J115" i="24"/>
  <c r="F115" i="24"/>
  <c r="AG114" i="24"/>
  <c r="AC114" i="24"/>
  <c r="Y114" i="24"/>
  <c r="U114" i="24"/>
  <c r="Q114" i="24"/>
  <c r="M114" i="24"/>
  <c r="I114" i="24"/>
  <c r="E114" i="24"/>
  <c r="AF113" i="24"/>
  <c r="AB113" i="24"/>
  <c r="X113" i="24"/>
  <c r="T113" i="24"/>
  <c r="P113" i="24"/>
  <c r="L113" i="24"/>
  <c r="H113" i="24"/>
  <c r="AI112" i="24"/>
  <c r="AE112" i="24"/>
  <c r="AA112" i="24"/>
  <c r="W112" i="24"/>
  <c r="S112" i="24"/>
  <c r="O112" i="24"/>
  <c r="K112" i="24"/>
  <c r="G112" i="24"/>
  <c r="AH111" i="24"/>
  <c r="AD111" i="24"/>
  <c r="Z111" i="24"/>
  <c r="V111" i="24"/>
  <c r="R111" i="24"/>
  <c r="N111" i="24"/>
  <c r="J111" i="24"/>
  <c r="F111" i="24"/>
  <c r="AG110" i="24"/>
  <c r="AC110" i="24"/>
  <c r="Y110" i="24"/>
  <c r="U110" i="24"/>
  <c r="Q110" i="24"/>
  <c r="M110" i="24"/>
  <c r="I110" i="24"/>
  <c r="E110" i="24"/>
  <c r="AG119" i="24"/>
  <c r="AC119" i="24"/>
  <c r="Y119" i="24"/>
  <c r="U119" i="24"/>
  <c r="Q119" i="24"/>
  <c r="M119" i="24"/>
  <c r="I119" i="24"/>
  <c r="E119" i="24"/>
  <c r="AF118" i="24"/>
  <c r="AB118" i="24"/>
  <c r="X118" i="24"/>
  <c r="T118" i="24"/>
  <c r="P118" i="24"/>
  <c r="L118" i="24"/>
  <c r="H118" i="24"/>
  <c r="AI117" i="24"/>
  <c r="AF119" i="24"/>
  <c r="P119" i="24"/>
  <c r="AE118" i="24"/>
  <c r="O118" i="24"/>
  <c r="AE117" i="24"/>
  <c r="W117" i="24"/>
  <c r="O117" i="24"/>
  <c r="G117" i="24"/>
  <c r="AD116" i="24"/>
  <c r="V116" i="24"/>
  <c r="N116" i="24"/>
  <c r="F116" i="24"/>
  <c r="AC115" i="24"/>
  <c r="U115" i="24"/>
  <c r="M115" i="24"/>
  <c r="E115" i="24"/>
  <c r="AB114" i="24"/>
  <c r="T114" i="24"/>
  <c r="L114" i="24"/>
  <c r="AI113" i="24"/>
  <c r="AA113" i="24"/>
  <c r="S113" i="24"/>
  <c r="K113" i="24"/>
  <c r="AH112" i="24"/>
  <c r="Z112" i="24"/>
  <c r="R112" i="24"/>
  <c r="J112" i="24"/>
  <c r="AG111" i="24"/>
  <c r="Y111" i="24"/>
  <c r="Q111" i="24"/>
  <c r="I111" i="24"/>
  <c r="AF110" i="24"/>
  <c r="X110" i="24"/>
  <c r="P110" i="24"/>
  <c r="H110" i="24"/>
  <c r="AF109" i="24"/>
  <c r="AA109" i="24"/>
  <c r="V109" i="24"/>
  <c r="P109" i="24"/>
  <c r="K109" i="24"/>
  <c r="F109" i="24"/>
  <c r="AG108" i="24"/>
  <c r="AC108" i="24"/>
  <c r="Y108" i="24"/>
  <c r="U108" i="24"/>
  <c r="Q108" i="24"/>
  <c r="M108" i="24"/>
  <c r="I108" i="24"/>
  <c r="E108" i="24"/>
  <c r="AF107" i="24"/>
  <c r="AB107" i="24"/>
  <c r="X107" i="24"/>
  <c r="T107" i="24"/>
  <c r="P107" i="24"/>
  <c r="L107" i="24"/>
  <c r="H107" i="24"/>
  <c r="AI106" i="24"/>
  <c r="AE106" i="24"/>
  <c r="AA106" i="24"/>
  <c r="W106" i="24"/>
  <c r="S106" i="24"/>
  <c r="O106" i="24"/>
  <c r="K106" i="24"/>
  <c r="G106" i="24"/>
  <c r="AH105" i="24"/>
  <c r="AD105" i="24"/>
  <c r="Z105" i="24"/>
  <c r="AB119" i="24"/>
  <c r="L119" i="24"/>
  <c r="AA118" i="24"/>
  <c r="K118" i="24"/>
  <c r="AD117" i="24"/>
  <c r="V117" i="24"/>
  <c r="N117" i="24"/>
  <c r="F117" i="24"/>
  <c r="AC116" i="24"/>
  <c r="U116" i="24"/>
  <c r="M116" i="24"/>
  <c r="E116" i="24"/>
  <c r="AB115" i="24"/>
  <c r="T115" i="24"/>
  <c r="L115" i="24"/>
  <c r="AI114" i="24"/>
  <c r="AA114" i="24"/>
  <c r="S114" i="24"/>
  <c r="K114" i="24"/>
  <c r="AH113" i="24"/>
  <c r="Z113" i="24"/>
  <c r="R113" i="24"/>
  <c r="J113" i="24"/>
  <c r="AG112" i="24"/>
  <c r="Y112" i="24"/>
  <c r="Q112" i="24"/>
  <c r="I112" i="24"/>
  <c r="AF111" i="24"/>
  <c r="X111" i="24"/>
  <c r="P111" i="24"/>
  <c r="H111" i="24"/>
  <c r="AE110" i="24"/>
  <c r="W110" i="24"/>
  <c r="O110" i="24"/>
  <c r="G110" i="24"/>
  <c r="AE109" i="24"/>
  <c r="Z109" i="24"/>
  <c r="T109" i="24"/>
  <c r="O109" i="24"/>
  <c r="J109" i="24"/>
  <c r="E109" i="24"/>
  <c r="AF108" i="24"/>
  <c r="AB108" i="24"/>
  <c r="X108" i="24"/>
  <c r="T108" i="24"/>
  <c r="P108" i="24"/>
  <c r="L108" i="24"/>
  <c r="H108" i="24"/>
  <c r="AI107" i="24"/>
  <c r="AE107" i="24"/>
  <c r="AA107" i="24"/>
  <c r="W107" i="24"/>
  <c r="S107" i="24"/>
  <c r="O107" i="24"/>
  <c r="K107" i="24"/>
  <c r="G107" i="24"/>
  <c r="AH106" i="24"/>
  <c r="AD106" i="24"/>
  <c r="Z106" i="24"/>
  <c r="V106" i="24"/>
  <c r="R106" i="24"/>
  <c r="N106" i="24"/>
  <c r="J106" i="24"/>
  <c r="X119" i="24"/>
  <c r="H119" i="24"/>
  <c r="W118" i="24"/>
  <c r="G118" i="24"/>
  <c r="AA117" i="24"/>
  <c r="S117" i="24"/>
  <c r="K117" i="24"/>
  <c r="AH116" i="24"/>
  <c r="Z116" i="24"/>
  <c r="R116" i="24"/>
  <c r="J116" i="24"/>
  <c r="AG115" i="24"/>
  <c r="Y115" i="24"/>
  <c r="Q115" i="24"/>
  <c r="I115" i="24"/>
  <c r="AF114" i="24"/>
  <c r="X114" i="24"/>
  <c r="P114" i="24"/>
  <c r="H114" i="24"/>
  <c r="AE113" i="24"/>
  <c r="W113" i="24"/>
  <c r="O113" i="24"/>
  <c r="G113" i="24"/>
  <c r="AD112" i="24"/>
  <c r="V112" i="24"/>
  <c r="N112" i="24"/>
  <c r="F112" i="24"/>
  <c r="AC111" i="24"/>
  <c r="U111" i="24"/>
  <c r="M111" i="24"/>
  <c r="E111" i="24"/>
  <c r="AB110" i="24"/>
  <c r="T110" i="24"/>
  <c r="L110" i="24"/>
  <c r="AI109" i="24"/>
  <c r="AD109" i="24"/>
  <c r="X109" i="24"/>
  <c r="S109" i="24"/>
  <c r="N109" i="24"/>
  <c r="H109" i="24"/>
  <c r="AI108" i="24"/>
  <c r="AE108" i="24"/>
  <c r="AA108" i="24"/>
  <c r="W108" i="24"/>
  <c r="S108" i="24"/>
  <c r="O108" i="24"/>
  <c r="K108" i="24"/>
  <c r="G108" i="24"/>
  <c r="AH107" i="24"/>
  <c r="AD107" i="24"/>
  <c r="Z107" i="24"/>
  <c r="V107" i="24"/>
  <c r="R107" i="24"/>
  <c r="N107" i="24"/>
  <c r="J107" i="24"/>
  <c r="F107" i="24"/>
  <c r="AG106" i="24"/>
  <c r="AC106" i="24"/>
  <c r="Y106" i="24"/>
  <c r="U106" i="24"/>
  <c r="Q106" i="24"/>
  <c r="M106" i="24"/>
  <c r="I106" i="24"/>
  <c r="E106" i="24"/>
  <c r="AF105" i="24"/>
  <c r="AB105" i="24"/>
  <c r="X105" i="24"/>
  <c r="T105" i="24"/>
  <c r="P105" i="24"/>
  <c r="L105" i="24"/>
  <c r="H105" i="24"/>
  <c r="AI104" i="24"/>
  <c r="AE104" i="24"/>
  <c r="AA104" i="24"/>
  <c r="W104" i="24"/>
  <c r="S104" i="24"/>
  <c r="O104" i="24"/>
  <c r="K104" i="24"/>
  <c r="G104" i="24"/>
  <c r="AH103" i="24"/>
  <c r="AD103" i="24"/>
  <c r="Z103" i="24"/>
  <c r="H115" i="24"/>
  <c r="I116" i="24"/>
  <c r="J117" i="24"/>
  <c r="S118" i="24"/>
  <c r="R109" i="24"/>
  <c r="K110" i="24"/>
  <c r="L111" i="24"/>
  <c r="M112" i="24"/>
  <c r="N113" i="24"/>
  <c r="O114" i="24"/>
  <c r="P115" i="24"/>
  <c r="Q116" i="24"/>
  <c r="R117" i="24"/>
  <c r="AI118" i="24"/>
  <c r="Y116" i="24"/>
  <c r="Z117" i="24"/>
  <c r="T119" i="24"/>
  <c r="AG32" i="24" l="1"/>
  <c r="AC32" i="24"/>
  <c r="Y32" i="24"/>
  <c r="U32" i="24"/>
  <c r="Q32" i="24"/>
  <c r="M32" i="24"/>
  <c r="I32" i="24"/>
  <c r="E32" i="24"/>
  <c r="AD32" i="24"/>
  <c r="N32" i="24"/>
  <c r="AF32" i="24"/>
  <c r="AB32" i="24"/>
  <c r="X32" i="24"/>
  <c r="T32" i="24"/>
  <c r="P32" i="24"/>
  <c r="L32" i="24"/>
  <c r="H32" i="24"/>
  <c r="AH32" i="24"/>
  <c r="V32" i="24"/>
  <c r="F32" i="24"/>
  <c r="AI32" i="24"/>
  <c r="AE32" i="24"/>
  <c r="AA32" i="24"/>
  <c r="W32" i="24"/>
  <c r="S32" i="24"/>
  <c r="O32" i="24"/>
  <c r="K32" i="24"/>
  <c r="G32" i="24"/>
  <c r="Z32" i="24"/>
  <c r="J32" i="24"/>
  <c r="R32" i="24"/>
  <c r="AF95" i="24"/>
  <c r="AB95" i="24"/>
  <c r="X95" i="24"/>
  <c r="T95" i="24"/>
  <c r="P95" i="24"/>
  <c r="L95" i="24"/>
  <c r="H95" i="24"/>
  <c r="AI95" i="24"/>
  <c r="AE95" i="24"/>
  <c r="AA95" i="24"/>
  <c r="W95" i="24"/>
  <c r="S95" i="24"/>
  <c r="O95" i="24"/>
  <c r="K95" i="24"/>
  <c r="G95" i="24"/>
  <c r="AH95" i="24"/>
  <c r="AD95" i="24"/>
  <c r="Z95" i="24"/>
  <c r="V95" i="24"/>
  <c r="R95" i="24"/>
  <c r="N95" i="24"/>
  <c r="J95" i="24"/>
  <c r="F95" i="24"/>
  <c r="AG95" i="24"/>
  <c r="AC95" i="24"/>
  <c r="Y95" i="24"/>
  <c r="U95" i="24"/>
  <c r="Q95" i="24"/>
  <c r="M95" i="24"/>
  <c r="I95" i="24"/>
  <c r="E95" i="24"/>
  <c r="AI30" i="24"/>
  <c r="AE30" i="24"/>
  <c r="AA30" i="24"/>
  <c r="W30" i="24"/>
  <c r="S30" i="24"/>
  <c r="O30" i="24"/>
  <c r="K30" i="24"/>
  <c r="G30" i="24"/>
  <c r="AD30" i="24"/>
  <c r="V30" i="24"/>
  <c r="N30" i="24"/>
  <c r="F30" i="24"/>
  <c r="AB30" i="24"/>
  <c r="L30" i="24"/>
  <c r="AH30" i="24"/>
  <c r="Z30" i="24"/>
  <c r="R30" i="24"/>
  <c r="J30" i="24"/>
  <c r="T30" i="24"/>
  <c r="AG30" i="24"/>
  <c r="AC30" i="24"/>
  <c r="Y30" i="24"/>
  <c r="U30" i="24"/>
  <c r="Q30" i="24"/>
  <c r="M30" i="24"/>
  <c r="I30" i="24"/>
  <c r="E30" i="24"/>
  <c r="X30" i="24"/>
  <c r="H30" i="24"/>
  <c r="AF30" i="24"/>
  <c r="P30" i="24"/>
  <c r="AI50" i="24"/>
  <c r="AE50" i="24"/>
  <c r="AA50" i="24"/>
  <c r="W50" i="24"/>
  <c r="S50" i="24"/>
  <c r="O50" i="24"/>
  <c r="K50" i="24"/>
  <c r="G50" i="24"/>
  <c r="AH50" i="24"/>
  <c r="AD50" i="24"/>
  <c r="Z50" i="24"/>
  <c r="V50" i="24"/>
  <c r="R50" i="24"/>
  <c r="N50" i="24"/>
  <c r="J50" i="24"/>
  <c r="F50" i="24"/>
  <c r="AG50" i="24"/>
  <c r="AC50" i="24"/>
  <c r="Y50" i="24"/>
  <c r="U50" i="24"/>
  <c r="Q50" i="24"/>
  <c r="M50" i="24"/>
  <c r="I50" i="24"/>
  <c r="E50" i="24"/>
  <c r="AF50" i="24"/>
  <c r="AB50" i="24"/>
  <c r="X50" i="24"/>
  <c r="T50" i="24"/>
  <c r="P50" i="24"/>
  <c r="L50" i="24"/>
  <c r="H50" i="24"/>
  <c r="AG100" i="24"/>
  <c r="AC100" i="24"/>
  <c r="Y100" i="24"/>
  <c r="U100" i="24"/>
  <c r="Q100" i="24"/>
  <c r="M100" i="24"/>
  <c r="I100" i="24"/>
  <c r="E100" i="24"/>
  <c r="AF100" i="24"/>
  <c r="AB100" i="24"/>
  <c r="X100" i="24"/>
  <c r="T100" i="24"/>
  <c r="P100" i="24"/>
  <c r="L100" i="24"/>
  <c r="H100" i="24"/>
  <c r="AI100" i="24"/>
  <c r="AE100" i="24"/>
  <c r="AA100" i="24"/>
  <c r="W100" i="24"/>
  <c r="S100" i="24"/>
  <c r="O100" i="24"/>
  <c r="K100" i="24"/>
  <c r="G100" i="24"/>
  <c r="AH100" i="24"/>
  <c r="AD100" i="24"/>
  <c r="Z100" i="24"/>
  <c r="V100" i="24"/>
  <c r="R100" i="24"/>
  <c r="N100" i="24"/>
  <c r="J100" i="24"/>
  <c r="F100" i="24"/>
  <c r="AG92" i="24"/>
  <c r="AC92" i="24"/>
  <c r="Y92" i="24"/>
  <c r="U92" i="24"/>
  <c r="Q92" i="24"/>
  <c r="M92" i="24"/>
  <c r="I92" i="24"/>
  <c r="E92" i="24"/>
  <c r="AF92" i="24"/>
  <c r="AB92" i="24"/>
  <c r="X92" i="24"/>
  <c r="T92" i="24"/>
  <c r="P92" i="24"/>
  <c r="L92" i="24"/>
  <c r="H92" i="24"/>
  <c r="AI92" i="24"/>
  <c r="AE92" i="24"/>
  <c r="AA92" i="24"/>
  <c r="W92" i="24"/>
  <c r="S92" i="24"/>
  <c r="O92" i="24"/>
  <c r="K92" i="24"/>
  <c r="G92" i="24"/>
  <c r="AH92" i="24"/>
  <c r="AD92" i="24"/>
  <c r="Z92" i="24"/>
  <c r="V92" i="24"/>
  <c r="R92" i="24"/>
  <c r="N92" i="24"/>
  <c r="J92" i="24"/>
  <c r="F92" i="24"/>
  <c r="AI66" i="24"/>
  <c r="AE66" i="24"/>
  <c r="AA66" i="24"/>
  <c r="W66" i="24"/>
  <c r="S66" i="24"/>
  <c r="O66" i="24"/>
  <c r="K66" i="24"/>
  <c r="G66" i="24"/>
  <c r="AH66" i="24"/>
  <c r="AD66" i="24"/>
  <c r="Z66" i="24"/>
  <c r="V66" i="24"/>
  <c r="R66" i="24"/>
  <c r="N66" i="24"/>
  <c r="J66" i="24"/>
  <c r="F66" i="24"/>
  <c r="AG66" i="24"/>
  <c r="AC66" i="24"/>
  <c r="Y66" i="24"/>
  <c r="U66" i="24"/>
  <c r="Q66" i="24"/>
  <c r="M66" i="24"/>
  <c r="I66" i="24"/>
  <c r="E66" i="24"/>
  <c r="AF66" i="24"/>
  <c r="AB66" i="24"/>
  <c r="X66" i="24"/>
  <c r="T66" i="24"/>
  <c r="P66" i="24"/>
  <c r="L66" i="24"/>
  <c r="H66" i="24"/>
  <c r="AF87" i="24"/>
  <c r="AB87" i="24"/>
  <c r="X87" i="24"/>
  <c r="T87" i="24"/>
  <c r="P87" i="24"/>
  <c r="L87" i="24"/>
  <c r="H87" i="24"/>
  <c r="AI87" i="24"/>
  <c r="AE87" i="24"/>
  <c r="AA87" i="24"/>
  <c r="W87" i="24"/>
  <c r="S87" i="24"/>
  <c r="O87" i="24"/>
  <c r="K87" i="24"/>
  <c r="G87" i="24"/>
  <c r="AH87" i="24"/>
  <c r="AD87" i="24"/>
  <c r="Z87" i="24"/>
  <c r="V87" i="24"/>
  <c r="R87" i="24"/>
  <c r="N87" i="24"/>
  <c r="J87" i="24"/>
  <c r="F87" i="24"/>
  <c r="AG87" i="24"/>
  <c r="AC87" i="24"/>
  <c r="Y87" i="24"/>
  <c r="U87" i="24"/>
  <c r="Q87" i="24"/>
  <c r="M87" i="24"/>
  <c r="I87" i="24"/>
  <c r="E87" i="24"/>
  <c r="AG68" i="24"/>
  <c r="AC68" i="24"/>
  <c r="Y68" i="24"/>
  <c r="U68" i="24"/>
  <c r="Q68" i="24"/>
  <c r="M68" i="24"/>
  <c r="I68" i="24"/>
  <c r="E68" i="24"/>
  <c r="AF68" i="24"/>
  <c r="AB68" i="24"/>
  <c r="X68" i="24"/>
  <c r="T68" i="24"/>
  <c r="P68" i="24"/>
  <c r="L68" i="24"/>
  <c r="H68" i="24"/>
  <c r="AI68" i="24"/>
  <c r="AE68" i="24"/>
  <c r="AA68" i="24"/>
  <c r="W68" i="24"/>
  <c r="S68" i="24"/>
  <c r="O68" i="24"/>
  <c r="K68" i="24"/>
  <c r="G68" i="24"/>
  <c r="AH68" i="24"/>
  <c r="AD68" i="24"/>
  <c r="Z68" i="24"/>
  <c r="V68" i="24"/>
  <c r="R68" i="24"/>
  <c r="N68" i="24"/>
  <c r="J68" i="24"/>
  <c r="F68" i="24"/>
  <c r="B2" i="25"/>
  <c r="F48" i="22" l="1"/>
  <c r="F47" i="22"/>
  <c r="F46" i="22"/>
  <c r="E13" i="25" s="1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H3" i="22"/>
  <c r="G4" i="25" s="1"/>
  <c r="C3" i="22"/>
  <c r="B3" i="22"/>
  <c r="AV100" i="23"/>
  <c r="AV99" i="23"/>
  <c r="AV98" i="23"/>
  <c r="AV97" i="23"/>
  <c r="AV96" i="23"/>
  <c r="AV95" i="23"/>
  <c r="AV94" i="23"/>
  <c r="AV93" i="23"/>
  <c r="AV92" i="23"/>
  <c r="AV91" i="23"/>
  <c r="AV90" i="23"/>
  <c r="AV89" i="23"/>
  <c r="AV88" i="23"/>
  <c r="AV87" i="23"/>
  <c r="AV86" i="23"/>
  <c r="AV85" i="23"/>
  <c r="AV84" i="23"/>
  <c r="AV83" i="23"/>
  <c r="AV82" i="23"/>
  <c r="AV81" i="23"/>
  <c r="AV80" i="23"/>
  <c r="AV79" i="23"/>
  <c r="AV78" i="23"/>
  <c r="AV77" i="23"/>
  <c r="AV76" i="23"/>
  <c r="AV75" i="23"/>
  <c r="AV74" i="23"/>
  <c r="AV73" i="23"/>
  <c r="AV72" i="23"/>
  <c r="AV71" i="23"/>
  <c r="AV70" i="23"/>
  <c r="AV69" i="23"/>
  <c r="AV68" i="23"/>
  <c r="AV67" i="23"/>
  <c r="AV66" i="23"/>
  <c r="AV65" i="23"/>
  <c r="AV64" i="23"/>
  <c r="AV63" i="23"/>
  <c r="AV62" i="23"/>
  <c r="AV61" i="23"/>
  <c r="AV60" i="23"/>
  <c r="AV59" i="23"/>
  <c r="AV58" i="23"/>
  <c r="AV57" i="23"/>
  <c r="AV56" i="23"/>
  <c r="AV55" i="23"/>
  <c r="AV54" i="23"/>
  <c r="AV53" i="23"/>
  <c r="AV52" i="23"/>
  <c r="AV51" i="23"/>
  <c r="AV50" i="23"/>
  <c r="AV49" i="23"/>
  <c r="AV48" i="23"/>
  <c r="AV47" i="23"/>
  <c r="AV46" i="23"/>
  <c r="AV45" i="23"/>
  <c r="AV44" i="23"/>
  <c r="AV43" i="23"/>
  <c r="AV42" i="23"/>
  <c r="AV41" i="23"/>
  <c r="AV40" i="23"/>
  <c r="AV39" i="23"/>
  <c r="AV38" i="23"/>
  <c r="AV37" i="23"/>
  <c r="AV36" i="23"/>
  <c r="AV35" i="23"/>
  <c r="AV34" i="23"/>
  <c r="AV33" i="23"/>
  <c r="AV32" i="23"/>
  <c r="AV31" i="23"/>
  <c r="AV30" i="23"/>
  <c r="AV29" i="23"/>
  <c r="AV28" i="23"/>
  <c r="AV27" i="23"/>
  <c r="AV26" i="23"/>
  <c r="AV25" i="23"/>
  <c r="AV24" i="23"/>
  <c r="AV23" i="23"/>
  <c r="AV22" i="23"/>
  <c r="AV21" i="23"/>
  <c r="AV20" i="23"/>
  <c r="AV19" i="23"/>
  <c r="AV18" i="23"/>
  <c r="AV17" i="23"/>
  <c r="AV16" i="23"/>
  <c r="AV15" i="23"/>
  <c r="AV14" i="23"/>
  <c r="AV13" i="23"/>
  <c r="AV12" i="23"/>
  <c r="AV11" i="23"/>
  <c r="AV10" i="23"/>
  <c r="AV9" i="23"/>
  <c r="AV8" i="23"/>
  <c r="AV7" i="23"/>
  <c r="AV6" i="23"/>
  <c r="AV5" i="23"/>
  <c r="AV4" i="23"/>
  <c r="AV3" i="23"/>
  <c r="AV2" i="23"/>
  <c r="AW3" i="23"/>
  <c r="AW4" i="23"/>
  <c r="AW5" i="23"/>
  <c r="AW6" i="23"/>
  <c r="AW7" i="23"/>
  <c r="AW8" i="23"/>
  <c r="AW9" i="23"/>
  <c r="AW10" i="23"/>
  <c r="AW11" i="23"/>
  <c r="AW12" i="23"/>
  <c r="AW13" i="23"/>
  <c r="AW14" i="23"/>
  <c r="AW15" i="23"/>
  <c r="AW16" i="23"/>
  <c r="AW17" i="23"/>
  <c r="AW18" i="23"/>
  <c r="AW19" i="23"/>
  <c r="AW20" i="23"/>
  <c r="AW21" i="23"/>
  <c r="AW22" i="23"/>
  <c r="AW23" i="23"/>
  <c r="AW24" i="23"/>
  <c r="AW25" i="23"/>
  <c r="AW26" i="23"/>
  <c r="AW27" i="23"/>
  <c r="AW28" i="23"/>
  <c r="AW29" i="23"/>
  <c r="AW30" i="23"/>
  <c r="AW31" i="23"/>
  <c r="AW32" i="23"/>
  <c r="AW33" i="23"/>
  <c r="AW34" i="23"/>
  <c r="AW35" i="23"/>
  <c r="AW36" i="23"/>
  <c r="AW37" i="23"/>
  <c r="AW38" i="23"/>
  <c r="AW39" i="23"/>
  <c r="AW40" i="23"/>
  <c r="AW41" i="23"/>
  <c r="AW42" i="23"/>
  <c r="AW43" i="23"/>
  <c r="AW44" i="23"/>
  <c r="AW45" i="23"/>
  <c r="AW46" i="23"/>
  <c r="AW47" i="23"/>
  <c r="AW48" i="23"/>
  <c r="AW49" i="23"/>
  <c r="AW50" i="23"/>
  <c r="AW51" i="23"/>
  <c r="AW52" i="23"/>
  <c r="AW53" i="23"/>
  <c r="AW54" i="23"/>
  <c r="AW55" i="23"/>
  <c r="AW56" i="23"/>
  <c r="AW57" i="23"/>
  <c r="AW58" i="23"/>
  <c r="AW59" i="23"/>
  <c r="AW60" i="23"/>
  <c r="AW61" i="23"/>
  <c r="AW62" i="23"/>
  <c r="AW63" i="23"/>
  <c r="AW64" i="23"/>
  <c r="AW65" i="23"/>
  <c r="AW66" i="23"/>
  <c r="AW67" i="23"/>
  <c r="AW68" i="23"/>
  <c r="AW69" i="23"/>
  <c r="AW70" i="23"/>
  <c r="AW71" i="23"/>
  <c r="AW72" i="23"/>
  <c r="AW73" i="23"/>
  <c r="AW74" i="23"/>
  <c r="AW75" i="23"/>
  <c r="AW76" i="23"/>
  <c r="AW77" i="23"/>
  <c r="AW78" i="23"/>
  <c r="AW79" i="23"/>
  <c r="AW80" i="23"/>
  <c r="AW81" i="23"/>
  <c r="AW82" i="23"/>
  <c r="AW83" i="23"/>
  <c r="AW84" i="23"/>
  <c r="AW85" i="23"/>
  <c r="AW86" i="23"/>
  <c r="AW87" i="23"/>
  <c r="AW88" i="23"/>
  <c r="AW89" i="23"/>
  <c r="AW90" i="23"/>
  <c r="AW91" i="23"/>
  <c r="AW92" i="23"/>
  <c r="AW93" i="23"/>
  <c r="AW94" i="23"/>
  <c r="AW95" i="23"/>
  <c r="AW96" i="23"/>
  <c r="AW97" i="23"/>
  <c r="AW98" i="23"/>
  <c r="AW99" i="23"/>
  <c r="AW100" i="23"/>
  <c r="AW2" i="23"/>
  <c r="E11" i="25" l="1"/>
  <c r="E12" i="25"/>
  <c r="E8" i="25"/>
  <c r="E9" i="25"/>
  <c r="E7" i="25"/>
  <c r="E5" i="25"/>
  <c r="E6" i="25"/>
  <c r="E10" i="25"/>
  <c r="F49" i="22"/>
  <c r="AJ116" i="24"/>
  <c r="AJ112" i="24"/>
  <c r="AJ108" i="24"/>
  <c r="AJ104" i="24"/>
  <c r="AJ100" i="24"/>
  <c r="AJ84" i="24"/>
  <c r="AJ80" i="24"/>
  <c r="B2" i="24"/>
  <c r="AJ91" i="24" l="1"/>
  <c r="AJ99" i="24"/>
  <c r="AJ107" i="24"/>
  <c r="AJ115" i="24"/>
  <c r="AJ119" i="24"/>
  <c r="AJ97" i="24"/>
  <c r="AJ105" i="24"/>
  <c r="AJ94" i="24"/>
  <c r="AJ98" i="24"/>
  <c r="AJ102" i="24"/>
  <c r="AJ110" i="24"/>
  <c r="AJ114" i="24"/>
  <c r="AJ118" i="24"/>
  <c r="AJ55" i="24"/>
  <c r="AJ63" i="24"/>
  <c r="AJ67" i="24"/>
  <c r="AJ79" i="24"/>
  <c r="AJ87" i="24"/>
  <c r="E14" i="25"/>
  <c r="AJ76" i="24"/>
  <c r="AJ69" i="24"/>
  <c r="AJ73" i="24"/>
  <c r="AJ77" i="24"/>
  <c r="AJ81" i="24"/>
  <c r="AJ85" i="24"/>
  <c r="AJ89" i="24"/>
  <c r="AJ60" i="24"/>
  <c r="AJ66" i="24"/>
  <c r="AJ70" i="24"/>
  <c r="AJ82" i="24"/>
  <c r="AJ44" i="24"/>
  <c r="AJ48" i="24"/>
  <c r="AJ43" i="24"/>
  <c r="AJ39" i="24"/>
  <c r="I7" i="24"/>
  <c r="M7" i="24"/>
  <c r="Q7" i="24"/>
  <c r="U7" i="24"/>
  <c r="Y7" i="24"/>
  <c r="AC7" i="24"/>
  <c r="AG7" i="24"/>
  <c r="G8" i="24"/>
  <c r="K8" i="24"/>
  <c r="O8" i="24"/>
  <c r="S8" i="24"/>
  <c r="W8" i="24"/>
  <c r="AA8" i="24"/>
  <c r="AE8" i="24"/>
  <c r="AI8" i="24"/>
  <c r="AF20" i="24"/>
  <c r="AB20" i="24"/>
  <c r="X20" i="24"/>
  <c r="T20" i="24"/>
  <c r="P20" i="24"/>
  <c r="L20" i="24"/>
  <c r="H20" i="24"/>
  <c r="AE20" i="24"/>
  <c r="W20" i="24"/>
  <c r="G20" i="24"/>
  <c r="V20" i="24"/>
  <c r="R20" i="24"/>
  <c r="N20" i="24"/>
  <c r="F20" i="24"/>
  <c r="AI13" i="24"/>
  <c r="W13" i="24"/>
  <c r="S13" i="24"/>
  <c r="AG18" i="24"/>
  <c r="U18" i="24"/>
  <c r="Q18" i="24"/>
  <c r="AE18" i="24"/>
  <c r="J19" i="24"/>
  <c r="AF22" i="24"/>
  <c r="AB22" i="24"/>
  <c r="T22" i="24"/>
  <c r="P22" i="24"/>
  <c r="L22" i="24"/>
  <c r="H22" i="24"/>
  <c r="AI22" i="24"/>
  <c r="AE22" i="24"/>
  <c r="AA22" i="24"/>
  <c r="W22" i="24"/>
  <c r="S22" i="24"/>
  <c r="O22" i="24"/>
  <c r="K22" i="24"/>
  <c r="AH22" i="24"/>
  <c r="AD22" i="24"/>
  <c r="Z22" i="24"/>
  <c r="V22" i="24"/>
  <c r="N22" i="24"/>
  <c r="J22" i="24"/>
  <c r="F22" i="24"/>
  <c r="AJ57" i="24"/>
  <c r="G9" i="24"/>
  <c r="S9" i="24"/>
  <c r="W9" i="24"/>
  <c r="AA9" i="24"/>
  <c r="AE9" i="24"/>
  <c r="AC10" i="24"/>
  <c r="S11" i="24"/>
  <c r="AA11" i="24"/>
  <c r="AI11" i="24"/>
  <c r="I13" i="24"/>
  <c r="M13" i="24"/>
  <c r="Q13" i="24"/>
  <c r="AG13" i="24"/>
  <c r="M20" i="24"/>
  <c r="AC20" i="24"/>
  <c r="M22" i="24"/>
  <c r="AC22" i="24"/>
  <c r="F11" i="24"/>
  <c r="N11" i="24"/>
  <c r="H13" i="24"/>
  <c r="L13" i="24"/>
  <c r="P13" i="24"/>
  <c r="AB13" i="24"/>
  <c r="AF13" i="24"/>
  <c r="F13" i="24"/>
  <c r="J13" i="24"/>
  <c r="N13" i="24"/>
  <c r="R13" i="24"/>
  <c r="X13" i="24"/>
  <c r="AC13" i="24"/>
  <c r="AH13" i="24"/>
  <c r="Q20" i="24"/>
  <c r="AG20" i="24"/>
  <c r="Q22" i="24"/>
  <c r="AG22" i="24"/>
  <c r="K9" i="24"/>
  <c r="O9" i="24"/>
  <c r="AI9" i="24"/>
  <c r="U13" i="24"/>
  <c r="K13" i="24"/>
  <c r="O13" i="24"/>
  <c r="T13" i="24"/>
  <c r="Y13" i="24"/>
  <c r="U14" i="24"/>
  <c r="U20" i="24"/>
  <c r="U22" i="24"/>
  <c r="F16" i="24"/>
  <c r="J16" i="24"/>
  <c r="N16" i="24"/>
  <c r="R16" i="24"/>
  <c r="V16" i="24"/>
  <c r="Z16" i="24"/>
  <c r="AD16" i="24"/>
  <c r="AH16" i="24"/>
  <c r="F17" i="24"/>
  <c r="J17" i="24"/>
  <c r="N17" i="24"/>
  <c r="R17" i="24"/>
  <c r="V17" i="24"/>
  <c r="Z17" i="24"/>
  <c r="AD17" i="24"/>
  <c r="AH17" i="24"/>
  <c r="I20" i="24"/>
  <c r="Y20" i="24"/>
  <c r="G22" i="24"/>
  <c r="G23" i="24"/>
  <c r="K23" i="24"/>
  <c r="O23" i="24"/>
  <c r="S23" i="24"/>
  <c r="W23" i="24"/>
  <c r="AA23" i="24"/>
  <c r="AE23" i="24"/>
  <c r="AI23" i="24"/>
  <c r="G24" i="24"/>
  <c r="K24" i="24"/>
  <c r="O24" i="24"/>
  <c r="S24" i="24"/>
  <c r="W24" i="24"/>
  <c r="AA24" i="24"/>
  <c r="AE24" i="24"/>
  <c r="AI24" i="24"/>
  <c r="G16" i="24"/>
  <c r="K16" i="24"/>
  <c r="O16" i="24"/>
  <c r="S16" i="24"/>
  <c r="W16" i="24"/>
  <c r="AA16" i="24"/>
  <c r="AE16" i="24"/>
  <c r="AI16" i="24"/>
  <c r="G17" i="24"/>
  <c r="K17" i="24"/>
  <c r="O17" i="24"/>
  <c r="S17" i="24"/>
  <c r="W17" i="24"/>
  <c r="AA17" i="24"/>
  <c r="AE17" i="24"/>
  <c r="AI17" i="24"/>
  <c r="X22" i="24"/>
  <c r="H23" i="24"/>
  <c r="L23" i="24"/>
  <c r="P23" i="24"/>
  <c r="T23" i="24"/>
  <c r="X23" i="24"/>
  <c r="AB23" i="24"/>
  <c r="AF23" i="24"/>
  <c r="H24" i="24"/>
  <c r="L24" i="24"/>
  <c r="P24" i="24"/>
  <c r="T24" i="24"/>
  <c r="X24" i="24"/>
  <c r="AB24" i="24"/>
  <c r="AF24" i="24"/>
  <c r="AA18" i="24"/>
  <c r="Z18" i="24"/>
  <c r="J18" i="24"/>
  <c r="AG11" i="24"/>
  <c r="AC11" i="24"/>
  <c r="Y11" i="24"/>
  <c r="U11" i="24"/>
  <c r="Q11" i="24"/>
  <c r="M11" i="24"/>
  <c r="I11" i="24"/>
  <c r="AF11" i="24"/>
  <c r="AB11" i="24"/>
  <c r="X11" i="24"/>
  <c r="T11" i="24"/>
  <c r="P11" i="24"/>
  <c r="L11" i="24"/>
  <c r="AG12" i="24"/>
  <c r="Y12" i="24"/>
  <c r="U12" i="24"/>
  <c r="M12" i="24"/>
  <c r="I12" i="24"/>
  <c r="AF12" i="24"/>
  <c r="AB12" i="24"/>
  <c r="X12" i="24"/>
  <c r="T12" i="24"/>
  <c r="P12" i="24"/>
  <c r="L12" i="24"/>
  <c r="H12" i="24"/>
  <c r="AF14" i="24"/>
  <c r="AB14" i="24"/>
  <c r="X14" i="24"/>
  <c r="T14" i="24"/>
  <c r="P14" i="24"/>
  <c r="L14" i="24"/>
  <c r="H14" i="24"/>
  <c r="AI14" i="24"/>
  <c r="AE14" i="24"/>
  <c r="W14" i="24"/>
  <c r="S14" i="24"/>
  <c r="O14" i="24"/>
  <c r="G14" i="24"/>
  <c r="AH14" i="24"/>
  <c r="AD14" i="24"/>
  <c r="Z14" i="24"/>
  <c r="V14" i="24"/>
  <c r="R14" i="24"/>
  <c r="N14" i="24"/>
  <c r="F14" i="24"/>
  <c r="V19" i="24"/>
  <c r="F19" i="24"/>
  <c r="AC19" i="24"/>
  <c r="M19" i="24"/>
  <c r="AF19" i="24"/>
  <c r="P19" i="24"/>
  <c r="AH10" i="24"/>
  <c r="AD10" i="24"/>
  <c r="V10" i="24"/>
  <c r="N10" i="24"/>
  <c r="J10" i="24"/>
  <c r="F10" i="24"/>
  <c r="AF21" i="24"/>
  <c r="AB21" i="24"/>
  <c r="X21" i="24"/>
  <c r="T21" i="24"/>
  <c r="P21" i="24"/>
  <c r="L21" i="24"/>
  <c r="H21" i="24"/>
  <c r="AI21" i="24"/>
  <c r="AE21" i="24"/>
  <c r="AA21" i="24"/>
  <c r="W21" i="24"/>
  <c r="S21" i="24"/>
  <c r="O21" i="24"/>
  <c r="K21" i="24"/>
  <c r="G21" i="24"/>
  <c r="AH21" i="24"/>
  <c r="AD21" i="24"/>
  <c r="Z21" i="24"/>
  <c r="V21" i="24"/>
  <c r="R21" i="24"/>
  <c r="N21" i="24"/>
  <c r="F21" i="24"/>
  <c r="AJ45" i="24"/>
  <c r="AJ61" i="24"/>
  <c r="Q12" i="24"/>
  <c r="AC12" i="24"/>
  <c r="G12" i="24"/>
  <c r="O12" i="24"/>
  <c r="W12" i="24"/>
  <c r="AE12" i="24"/>
  <c r="AC14" i="24"/>
  <c r="M21" i="24"/>
  <c r="AC21" i="24"/>
  <c r="AJ37" i="24"/>
  <c r="AJ49" i="24"/>
  <c r="AJ53" i="24"/>
  <c r="AJ42" i="24"/>
  <c r="AJ46" i="24"/>
  <c r="AJ54" i="24"/>
  <c r="AJ62" i="24"/>
  <c r="AJ78" i="24"/>
  <c r="Q14" i="24"/>
  <c r="AG14" i="24"/>
  <c r="AE19" i="24"/>
  <c r="AG21" i="24"/>
  <c r="I14" i="24"/>
  <c r="Y14" i="24"/>
  <c r="U21" i="24"/>
  <c r="I21" i="24"/>
  <c r="Y21" i="24"/>
  <c r="I22" i="24"/>
  <c r="Y22" i="24"/>
  <c r="I23" i="24"/>
  <c r="M23" i="24"/>
  <c r="Q23" i="24"/>
  <c r="U23" i="24"/>
  <c r="Y23" i="24"/>
  <c r="AC23" i="24"/>
  <c r="AG23" i="24"/>
  <c r="I24" i="24"/>
  <c r="M24" i="24"/>
  <c r="Q24" i="24"/>
  <c r="U24" i="24"/>
  <c r="Y24" i="24"/>
  <c r="AC24" i="24"/>
  <c r="AG24" i="24"/>
  <c r="P18" i="24"/>
  <c r="R22" i="24"/>
  <c r="F23" i="24"/>
  <c r="J23" i="24"/>
  <c r="N23" i="24"/>
  <c r="R23" i="24"/>
  <c r="V23" i="24"/>
  <c r="Z23" i="24"/>
  <c r="AD23" i="24"/>
  <c r="AH23" i="24"/>
  <c r="F24" i="24"/>
  <c r="J24" i="24"/>
  <c r="N24" i="24"/>
  <c r="R24" i="24"/>
  <c r="V24" i="24"/>
  <c r="Z24" i="24"/>
  <c r="AD24" i="24"/>
  <c r="AH24" i="24"/>
  <c r="AJ40" i="24"/>
  <c r="AJ33" i="24"/>
  <c r="AJ32" i="24"/>
  <c r="AJ36" i="24"/>
  <c r="F7" i="24"/>
  <c r="J7" i="24"/>
  <c r="N7" i="24"/>
  <c r="R7" i="24"/>
  <c r="V7" i="24"/>
  <c r="Z7" i="24"/>
  <c r="AD7" i="24"/>
  <c r="AH7" i="24"/>
  <c r="H8" i="24"/>
  <c r="L8" i="24"/>
  <c r="P8" i="24"/>
  <c r="T8" i="24"/>
  <c r="X8" i="24"/>
  <c r="AB8" i="24"/>
  <c r="AF8" i="24"/>
  <c r="H9" i="24"/>
  <c r="L9" i="24"/>
  <c r="P9" i="24"/>
  <c r="T9" i="24"/>
  <c r="X9" i="24"/>
  <c r="G7" i="24"/>
  <c r="K7" i="24"/>
  <c r="O7" i="24"/>
  <c r="S7" i="24"/>
  <c r="W7" i="24"/>
  <c r="AA7" i="24"/>
  <c r="AE7" i="24"/>
  <c r="AI7" i="24"/>
  <c r="I8" i="24"/>
  <c r="M8" i="24"/>
  <c r="Q8" i="24"/>
  <c r="U8" i="24"/>
  <c r="Y8" i="24"/>
  <c r="AC8" i="24"/>
  <c r="AG8" i="24"/>
  <c r="I9" i="24"/>
  <c r="M9" i="24"/>
  <c r="Q9" i="24"/>
  <c r="U9" i="24"/>
  <c r="Y9" i="24"/>
  <c r="AC9" i="24"/>
  <c r="AG9" i="24"/>
  <c r="AB9" i="24"/>
  <c r="AF9" i="24"/>
  <c r="H10" i="24"/>
  <c r="L10" i="24"/>
  <c r="P10" i="24"/>
  <c r="T10" i="24"/>
  <c r="X10" i="24"/>
  <c r="AB10" i="24"/>
  <c r="AF10" i="24"/>
  <c r="J11" i="24"/>
  <c r="R11" i="24"/>
  <c r="V11" i="24"/>
  <c r="Z11" i="24"/>
  <c r="AD11" i="24"/>
  <c r="AH11" i="24"/>
  <c r="F12" i="24"/>
  <c r="J12" i="24"/>
  <c r="N12" i="24"/>
  <c r="R12" i="24"/>
  <c r="V12" i="24"/>
  <c r="Z12" i="24"/>
  <c r="AD12" i="24"/>
  <c r="AH12" i="24"/>
  <c r="V13" i="24"/>
  <c r="Z13" i="24"/>
  <c r="AD13" i="24"/>
  <c r="J14" i="24"/>
  <c r="H16" i="24"/>
  <c r="L16" i="24"/>
  <c r="P16" i="24"/>
  <c r="T16" i="24"/>
  <c r="X16" i="24"/>
  <c r="AB16" i="24"/>
  <c r="AF16" i="24"/>
  <c r="H17" i="24"/>
  <c r="L17" i="24"/>
  <c r="P17" i="24"/>
  <c r="T17" i="24"/>
  <c r="X17" i="24"/>
  <c r="AB17" i="24"/>
  <c r="J20" i="24"/>
  <c r="Z20" i="24"/>
  <c r="AD20" i="24"/>
  <c r="AH20" i="24"/>
  <c r="I10" i="24"/>
  <c r="M10" i="24"/>
  <c r="Q10" i="24"/>
  <c r="U10" i="24"/>
  <c r="Y10" i="24"/>
  <c r="AG10" i="24"/>
  <c r="G11" i="24"/>
  <c r="K11" i="24"/>
  <c r="O11" i="24"/>
  <c r="W11" i="24"/>
  <c r="AE11" i="24"/>
  <c r="K12" i="24"/>
  <c r="S12" i="24"/>
  <c r="AA12" i="24"/>
  <c r="AI12" i="24"/>
  <c r="G13" i="24"/>
  <c r="AA13" i="24"/>
  <c r="AE13" i="24"/>
  <c r="K14" i="24"/>
  <c r="AA14" i="24"/>
  <c r="I16" i="24"/>
  <c r="M16" i="24"/>
  <c r="Q16" i="24"/>
  <c r="U16" i="24"/>
  <c r="Y16" i="24"/>
  <c r="AC16" i="24"/>
  <c r="AG16" i="24"/>
  <c r="I17" i="24"/>
  <c r="M17" i="24"/>
  <c r="Q17" i="24"/>
  <c r="U17" i="24"/>
  <c r="Y17" i="24"/>
  <c r="AC17" i="24"/>
  <c r="AG17" i="24"/>
  <c r="G19" i="24"/>
  <c r="S19" i="24"/>
  <c r="K20" i="24"/>
  <c r="O20" i="24"/>
  <c r="S20" i="24"/>
  <c r="AA20" i="24"/>
  <c r="AI20" i="24"/>
  <c r="E8" i="24"/>
  <c r="AJ41" i="24"/>
  <c r="E24" i="24"/>
  <c r="AJ117" i="24"/>
  <c r="N6" i="24"/>
  <c r="Z6" i="24"/>
  <c r="F6" i="24"/>
  <c r="R6" i="24"/>
  <c r="AH6" i="24"/>
  <c r="AJ30" i="24"/>
  <c r="E6" i="24"/>
  <c r="AJ34" i="24"/>
  <c r="E7" i="24"/>
  <c r="AJ38" i="24"/>
  <c r="E11" i="24"/>
  <c r="AJ58" i="24"/>
  <c r="AJ86" i="24"/>
  <c r="E18" i="24"/>
  <c r="G6" i="24"/>
  <c r="K6" i="24"/>
  <c r="O6" i="24"/>
  <c r="S6" i="24"/>
  <c r="W6" i="24"/>
  <c r="AA6" i="24"/>
  <c r="AE6" i="24"/>
  <c r="AI6" i="24"/>
  <c r="E22" i="24"/>
  <c r="AJ109" i="24"/>
  <c r="J6" i="24"/>
  <c r="V6" i="24"/>
  <c r="AD6" i="24"/>
  <c r="AJ31" i="24"/>
  <c r="AJ35" i="24"/>
  <c r="AJ47" i="24"/>
  <c r="E9" i="24"/>
  <c r="AJ51" i="24"/>
  <c r="E10" i="24"/>
  <c r="E16" i="24"/>
  <c r="AJ75" i="24"/>
  <c r="AJ83" i="24"/>
  <c r="E17" i="24"/>
  <c r="AJ103" i="24"/>
  <c r="E21" i="24"/>
  <c r="H6" i="24"/>
  <c r="L6" i="24"/>
  <c r="P6" i="24"/>
  <c r="T6" i="24"/>
  <c r="X6" i="24"/>
  <c r="AB6" i="24"/>
  <c r="AF6" i="24"/>
  <c r="H7" i="24"/>
  <c r="L7" i="24"/>
  <c r="P7" i="24"/>
  <c r="T7" i="24"/>
  <c r="X7" i="24"/>
  <c r="AB7" i="24"/>
  <c r="AF7" i="24"/>
  <c r="F8" i="24"/>
  <c r="J8" i="24"/>
  <c r="N8" i="24"/>
  <c r="R8" i="24"/>
  <c r="V8" i="24"/>
  <c r="Z8" i="24"/>
  <c r="AD8" i="24"/>
  <c r="AH8" i="24"/>
  <c r="F9" i="24"/>
  <c r="J9" i="24"/>
  <c r="N9" i="24"/>
  <c r="R9" i="24"/>
  <c r="V9" i="24"/>
  <c r="Z9" i="24"/>
  <c r="AD9" i="24"/>
  <c r="AH9" i="24"/>
  <c r="R10" i="24"/>
  <c r="E23" i="24"/>
  <c r="AJ113" i="24"/>
  <c r="E12" i="24"/>
  <c r="AJ64" i="24"/>
  <c r="E13" i="24"/>
  <c r="AJ68" i="24"/>
  <c r="E14" i="24"/>
  <c r="AJ72" i="24"/>
  <c r="E19" i="24"/>
  <c r="AJ92" i="24"/>
  <c r="E20" i="24"/>
  <c r="AJ96" i="24"/>
  <c r="E120" i="24"/>
  <c r="I6" i="24"/>
  <c r="M6" i="24"/>
  <c r="Q6" i="24"/>
  <c r="U6" i="24"/>
  <c r="Y6" i="24"/>
  <c r="AC6" i="24"/>
  <c r="AG6" i="24"/>
  <c r="AF17" i="24"/>
  <c r="AA19" i="24" l="1"/>
  <c r="S10" i="24"/>
  <c r="Z19" i="24"/>
  <c r="O18" i="24"/>
  <c r="AF18" i="24"/>
  <c r="AF25" i="24" s="1"/>
  <c r="K19" i="24"/>
  <c r="R18" i="24"/>
  <c r="L19" i="24"/>
  <c r="AB19" i="24"/>
  <c r="AG19" i="24"/>
  <c r="AH18" i="24"/>
  <c r="N18" i="24"/>
  <c r="W19" i="24"/>
  <c r="K18" i="24"/>
  <c r="T19" i="24"/>
  <c r="G10" i="24"/>
  <c r="G15" i="24" s="1"/>
  <c r="H19" i="24"/>
  <c r="X19" i="24"/>
  <c r="O10" i="24"/>
  <c r="O15" i="24" s="1"/>
  <c r="V18" i="24"/>
  <c r="V25" i="24" s="1"/>
  <c r="AJ50" i="24"/>
  <c r="S18" i="24"/>
  <c r="S25" i="24" s="1"/>
  <c r="AI18" i="24"/>
  <c r="AI19" i="24"/>
  <c r="AD18" i="24"/>
  <c r="O19" i="24"/>
  <c r="AC18" i="24"/>
  <c r="AC25" i="24" s="1"/>
  <c r="N19" i="24"/>
  <c r="M18" i="24"/>
  <c r="M25" i="24" s="1"/>
  <c r="Y18" i="24"/>
  <c r="K10" i="24"/>
  <c r="K15" i="24" s="1"/>
  <c r="R19" i="24"/>
  <c r="AH19" i="24"/>
  <c r="G18" i="24"/>
  <c r="G25" i="24" s="1"/>
  <c r="W18" i="24"/>
  <c r="H18" i="24"/>
  <c r="X18" i="24"/>
  <c r="AD19" i="24"/>
  <c r="Q19" i="24"/>
  <c r="F18" i="24"/>
  <c r="F25" i="24" s="1"/>
  <c r="T18" i="24"/>
  <c r="L18" i="24"/>
  <c r="AB18" i="24"/>
  <c r="V120" i="24"/>
  <c r="Z120" i="24"/>
  <c r="Z10" i="24"/>
  <c r="Z15" i="24" s="1"/>
  <c r="P120" i="24"/>
  <c r="H120" i="24"/>
  <c r="W120" i="24"/>
  <c r="AE120" i="24"/>
  <c r="G120" i="24"/>
  <c r="R120" i="24"/>
  <c r="I19" i="24"/>
  <c r="X120" i="24"/>
  <c r="AF120" i="24"/>
  <c r="L120" i="24"/>
  <c r="M120" i="24"/>
  <c r="U19" i="24"/>
  <c r="U25" i="24" s="1"/>
  <c r="J120" i="24"/>
  <c r="W10" i="24"/>
  <c r="W15" i="24" s="1"/>
  <c r="Q120" i="24"/>
  <c r="AA10" i="24"/>
  <c r="AA15" i="24" s="1"/>
  <c r="U120" i="24"/>
  <c r="AB120" i="24"/>
  <c r="J21" i="24"/>
  <c r="J25" i="24" s="1"/>
  <c r="Y19" i="24"/>
  <c r="AC120" i="24"/>
  <c r="O120" i="24"/>
  <c r="T120" i="24"/>
  <c r="F120" i="24"/>
  <c r="I120" i="24"/>
  <c r="AJ23" i="24"/>
  <c r="AH120" i="24"/>
  <c r="N120" i="24"/>
  <c r="AG120" i="24"/>
  <c r="Y120" i="24"/>
  <c r="AD120" i="24"/>
  <c r="AI120" i="24"/>
  <c r="AA120" i="24"/>
  <c r="S120" i="24"/>
  <c r="K120" i="24"/>
  <c r="AI10" i="24"/>
  <c r="AI15" i="24" s="1"/>
  <c r="AJ24" i="24"/>
  <c r="AE25" i="24"/>
  <c r="AJ59" i="24"/>
  <c r="AJ52" i="24"/>
  <c r="H11" i="24"/>
  <c r="H15" i="24" s="1"/>
  <c r="AJ22" i="24"/>
  <c r="AE10" i="24"/>
  <c r="Z25" i="24"/>
  <c r="AG15" i="24"/>
  <c r="I15" i="24"/>
  <c r="AJ88" i="24"/>
  <c r="K25" i="24"/>
  <c r="AJ106" i="24"/>
  <c r="AJ71" i="24"/>
  <c r="AJ101" i="24"/>
  <c r="AJ95" i="24"/>
  <c r="AJ93" i="24"/>
  <c r="AJ111" i="24"/>
  <c r="Y15" i="24"/>
  <c r="S15" i="24"/>
  <c r="AC15" i="24"/>
  <c r="AJ90" i="24"/>
  <c r="AJ74" i="24"/>
  <c r="AJ65" i="24"/>
  <c r="Q15" i="24"/>
  <c r="AJ56" i="24"/>
  <c r="I18" i="24"/>
  <c r="AA25" i="24"/>
  <c r="Q21" i="24"/>
  <c r="M14" i="24"/>
  <c r="M15" i="24" s="1"/>
  <c r="AJ20" i="24"/>
  <c r="AJ12" i="24"/>
  <c r="U15" i="24"/>
  <c r="AJ13" i="24"/>
  <c r="AF15" i="24"/>
  <c r="X15" i="24"/>
  <c r="P15" i="24"/>
  <c r="AH15" i="24"/>
  <c r="F15" i="24"/>
  <c r="P25" i="24"/>
  <c r="V15" i="24"/>
  <c r="R15" i="24"/>
  <c r="N15" i="24"/>
  <c r="AD15" i="24"/>
  <c r="J15" i="24"/>
  <c r="AB15" i="24"/>
  <c r="T15" i="24"/>
  <c r="L15" i="24"/>
  <c r="AJ9" i="24"/>
  <c r="E25" i="24"/>
  <c r="AJ16" i="24"/>
  <c r="AJ7" i="24"/>
  <c r="AJ17" i="24"/>
  <c r="AJ6" i="24"/>
  <c r="E15" i="24"/>
  <c r="AJ8" i="24"/>
  <c r="P3" i="22"/>
  <c r="P6" i="22" s="1"/>
  <c r="O3" i="22"/>
  <c r="O6" i="22" s="1"/>
  <c r="B2" i="14"/>
  <c r="AG25" i="24" l="1"/>
  <c r="Y25" i="24"/>
  <c r="AB25" i="24"/>
  <c r="AB26" i="24" s="1"/>
  <c r="N25" i="24"/>
  <c r="AI25" i="24"/>
  <c r="AI26" i="24" s="1"/>
  <c r="R25" i="24"/>
  <c r="R26" i="24" s="1"/>
  <c r="T25" i="24"/>
  <c r="T26" i="24" s="1"/>
  <c r="H25" i="24"/>
  <c r="H26" i="24" s="1"/>
  <c r="W25" i="24"/>
  <c r="W26" i="24" s="1"/>
  <c r="AH25" i="24"/>
  <c r="AH26" i="24" s="1"/>
  <c r="L25" i="24"/>
  <c r="L26" i="24" s="1"/>
  <c r="O25" i="24"/>
  <c r="O26" i="24" s="1"/>
  <c r="X25" i="24"/>
  <c r="X26" i="24" s="1"/>
  <c r="AD25" i="24"/>
  <c r="AD26" i="24" s="1"/>
  <c r="S26" i="24"/>
  <c r="AJ18" i="24"/>
  <c r="AJ21" i="24"/>
  <c r="Z26" i="24"/>
  <c r="AJ19" i="24"/>
  <c r="AJ120" i="24"/>
  <c r="Y26" i="24"/>
  <c r="AJ10" i="24"/>
  <c r="V26" i="24"/>
  <c r="N26" i="24"/>
  <c r="J26" i="24"/>
  <c r="AC26" i="24"/>
  <c r="AF26" i="24"/>
  <c r="AA26" i="24"/>
  <c r="AE15" i="24"/>
  <c r="AE26" i="24" s="1"/>
  <c r="AJ11" i="24"/>
  <c r="F26" i="24"/>
  <c r="G26" i="24"/>
  <c r="P26" i="24"/>
  <c r="K26" i="24"/>
  <c r="I25" i="24"/>
  <c r="I26" i="24" s="1"/>
  <c r="Q25" i="24"/>
  <c r="Q26" i="24" s="1"/>
  <c r="M26" i="24"/>
  <c r="AJ14" i="24"/>
  <c r="U26" i="24"/>
  <c r="E26" i="24"/>
  <c r="P1" i="22"/>
  <c r="O1" i="22" s="1"/>
  <c r="L3" i="22"/>
  <c r="M3" i="22"/>
  <c r="O4" i="22"/>
  <c r="O5" i="22"/>
  <c r="B1" i="22" s="1"/>
  <c r="P4" i="22"/>
  <c r="P5" i="22"/>
  <c r="C17" i="14"/>
  <c r="Q3" i="12"/>
  <c r="N3" i="12" s="1"/>
  <c r="N6" i="12" s="1"/>
  <c r="P3" i="12"/>
  <c r="Q1" i="12" s="1"/>
  <c r="R6" i="12" s="1"/>
  <c r="AG26" i="24" l="1"/>
  <c r="B1" i="24"/>
  <c r="B1" i="25"/>
  <c r="AJ15" i="24"/>
  <c r="AJ25" i="24"/>
  <c r="AJ26" i="24"/>
  <c r="Q6" i="22"/>
  <c r="Q5" i="22"/>
  <c r="Q4" i="22"/>
  <c r="M6" i="22"/>
  <c r="M5" i="22"/>
  <c r="M4" i="22"/>
  <c r="M1" i="22"/>
  <c r="L6" i="22"/>
  <c r="L5" i="22"/>
  <c r="L4" i="22"/>
  <c r="P1" i="12"/>
  <c r="R4" i="12"/>
  <c r="R5" i="12"/>
  <c r="P5" i="12"/>
  <c r="Q4" i="12"/>
  <c r="Q5" i="12"/>
  <c r="Q6" i="12"/>
  <c r="P4" i="12"/>
  <c r="P6" i="12"/>
  <c r="N4" i="12"/>
  <c r="N5" i="12"/>
  <c r="M3" i="12"/>
  <c r="F57" i="12"/>
  <c r="C13" i="14" s="1"/>
  <c r="F56" i="12"/>
  <c r="C12" i="14" s="1"/>
  <c r="F55" i="12"/>
  <c r="C11" i="14" s="1"/>
  <c r="F54" i="12"/>
  <c r="C10" i="14" s="1"/>
  <c r="F53" i="12"/>
  <c r="C9" i="14" s="1"/>
  <c r="F52" i="12"/>
  <c r="C8" i="14" s="1"/>
  <c r="F51" i="12"/>
  <c r="C7" i="14" s="1"/>
  <c r="F50" i="12"/>
  <c r="C6" i="14" s="1"/>
  <c r="F49" i="12"/>
  <c r="C5" i="14" s="1"/>
  <c r="G46" i="12" l="1"/>
  <c r="G46" i="22" s="1"/>
  <c r="G42" i="12"/>
  <c r="G42" i="22" s="1"/>
  <c r="G38" i="12"/>
  <c r="G38" i="22" s="1"/>
  <c r="G34" i="12"/>
  <c r="G34" i="22" s="1"/>
  <c r="G30" i="12"/>
  <c r="G30" i="22" s="1"/>
  <c r="G26" i="12"/>
  <c r="G26" i="22" s="1"/>
  <c r="G22" i="12"/>
  <c r="G22" i="22" s="1"/>
  <c r="G18" i="12"/>
  <c r="G18" i="22" s="1"/>
  <c r="G14" i="12"/>
  <c r="G14" i="22" s="1"/>
  <c r="G10" i="12"/>
  <c r="G10" i="22" s="1"/>
  <c r="G6" i="12"/>
  <c r="G6" i="22" s="1"/>
  <c r="G37" i="12"/>
  <c r="G37" i="22" s="1"/>
  <c r="G21" i="12"/>
  <c r="G21" i="22" s="1"/>
  <c r="G13" i="12"/>
  <c r="G13" i="22" s="1"/>
  <c r="G33" i="12"/>
  <c r="G33" i="22" s="1"/>
  <c r="G29" i="12"/>
  <c r="G29" i="22" s="1"/>
  <c r="G9" i="12"/>
  <c r="G9" i="22" s="1"/>
  <c r="G48" i="12"/>
  <c r="G48" i="22" s="1"/>
  <c r="G44" i="12"/>
  <c r="G44" i="22" s="1"/>
  <c r="G40" i="12"/>
  <c r="G40" i="22" s="1"/>
  <c r="G36" i="12"/>
  <c r="G36" i="22" s="1"/>
  <c r="G32" i="12"/>
  <c r="G32" i="22" s="1"/>
  <c r="G28" i="12"/>
  <c r="G28" i="22" s="1"/>
  <c r="G24" i="12"/>
  <c r="G24" i="22" s="1"/>
  <c r="G20" i="12"/>
  <c r="G20" i="22" s="1"/>
  <c r="G16" i="12"/>
  <c r="G16" i="22" s="1"/>
  <c r="G12" i="12"/>
  <c r="G12" i="22" s="1"/>
  <c r="G8" i="12"/>
  <c r="G8" i="22" s="1"/>
  <c r="G4" i="12"/>
  <c r="G4" i="22" s="1"/>
  <c r="G41" i="12"/>
  <c r="G41" i="22" s="1"/>
  <c r="G25" i="12"/>
  <c r="G25" i="22" s="1"/>
  <c r="G47" i="12"/>
  <c r="G47" i="22" s="1"/>
  <c r="G43" i="12"/>
  <c r="G43" i="22" s="1"/>
  <c r="G39" i="12"/>
  <c r="G39" i="22" s="1"/>
  <c r="G35" i="12"/>
  <c r="G35" i="22" s="1"/>
  <c r="G31" i="12"/>
  <c r="G31" i="22" s="1"/>
  <c r="G27" i="12"/>
  <c r="G27" i="22" s="1"/>
  <c r="G23" i="12"/>
  <c r="G23" i="22" s="1"/>
  <c r="G19" i="12"/>
  <c r="G19" i="22" s="1"/>
  <c r="G15" i="12"/>
  <c r="G15" i="22" s="1"/>
  <c r="G11" i="12"/>
  <c r="G11" i="22" s="1"/>
  <c r="G7" i="12"/>
  <c r="G7" i="22" s="1"/>
  <c r="G45" i="12"/>
  <c r="G45" i="22" s="1"/>
  <c r="G17" i="12"/>
  <c r="G17" i="22" s="1"/>
  <c r="G5" i="12"/>
  <c r="G5" i="22" s="1"/>
  <c r="I3" i="12"/>
  <c r="I3" i="22" s="1"/>
  <c r="H4" i="25" s="1"/>
  <c r="E3" i="12"/>
  <c r="E3" i="22" s="1"/>
  <c r="D4" i="25" s="1"/>
  <c r="G3" i="12"/>
  <c r="G3" i="22" s="1"/>
  <c r="F4" i="25" s="1"/>
  <c r="B1" i="12"/>
  <c r="B1" i="14" s="1"/>
  <c r="F3" i="12"/>
  <c r="F3" i="22" s="1"/>
  <c r="E4" i="25" s="1"/>
  <c r="N6" i="22"/>
  <c r="N5" i="22"/>
  <c r="N4" i="22"/>
  <c r="L1" i="18"/>
  <c r="L1" i="19"/>
  <c r="M5" i="12"/>
  <c r="M6" i="12"/>
  <c r="N1" i="12"/>
  <c r="M1" i="12" s="1"/>
  <c r="M4" i="12"/>
  <c r="F58" i="12"/>
  <c r="C14" i="14" s="1"/>
  <c r="E48" i="19" l="1"/>
  <c r="E46" i="19"/>
  <c r="E44" i="19"/>
  <c r="E42" i="19"/>
  <c r="E40" i="19"/>
  <c r="E38" i="19"/>
  <c r="E36" i="19"/>
  <c r="E34" i="19"/>
  <c r="E32" i="19"/>
  <c r="E30" i="19"/>
  <c r="E28" i="19"/>
  <c r="E26" i="19"/>
  <c r="E24" i="19"/>
  <c r="E22" i="19"/>
  <c r="E20" i="19"/>
  <c r="E18" i="19"/>
  <c r="E16" i="19"/>
  <c r="E14" i="19"/>
  <c r="E12" i="19"/>
  <c r="E10" i="19"/>
  <c r="E8" i="19"/>
  <c r="E6" i="19"/>
  <c r="D22" i="19"/>
  <c r="D12" i="19"/>
  <c r="D6" i="19"/>
  <c r="D48" i="19"/>
  <c r="D40" i="19"/>
  <c r="D36" i="19"/>
  <c r="D32" i="19"/>
  <c r="D28" i="19"/>
  <c r="D20" i="19"/>
  <c r="D18" i="19"/>
  <c r="D14" i="19"/>
  <c r="E49" i="19"/>
  <c r="E47" i="19"/>
  <c r="E45" i="19"/>
  <c r="E43" i="19"/>
  <c r="E41" i="19"/>
  <c r="E39" i="19"/>
  <c r="E37" i="19"/>
  <c r="E35" i="19"/>
  <c r="E33" i="19"/>
  <c r="E31" i="19"/>
  <c r="E29" i="19"/>
  <c r="E27" i="19"/>
  <c r="E25" i="19"/>
  <c r="E23" i="19"/>
  <c r="E21" i="19"/>
  <c r="E19" i="19"/>
  <c r="E17" i="19"/>
  <c r="E15" i="19"/>
  <c r="E13" i="19"/>
  <c r="E11" i="19"/>
  <c r="E9" i="19"/>
  <c r="E7" i="19"/>
  <c r="E5" i="19"/>
  <c r="D46" i="19"/>
  <c r="D44" i="19"/>
  <c r="D42" i="19"/>
  <c r="D38" i="19"/>
  <c r="D34" i="19"/>
  <c r="D30" i="19"/>
  <c r="D26" i="19"/>
  <c r="D16" i="19"/>
  <c r="D8" i="19"/>
  <c r="D49" i="19"/>
  <c r="D47" i="19"/>
  <c r="D45" i="19"/>
  <c r="D43" i="19"/>
  <c r="D41" i="19"/>
  <c r="D39" i="19"/>
  <c r="D37" i="19"/>
  <c r="D35" i="19"/>
  <c r="D33" i="19"/>
  <c r="D31" i="19"/>
  <c r="D29" i="19"/>
  <c r="D27" i="19"/>
  <c r="D25" i="19"/>
  <c r="D23" i="19"/>
  <c r="D21" i="19"/>
  <c r="D19" i="19"/>
  <c r="D17" i="19"/>
  <c r="D15" i="19"/>
  <c r="D13" i="19"/>
  <c r="D11" i="19"/>
  <c r="D9" i="19"/>
  <c r="D7" i="19"/>
  <c r="D5" i="19"/>
  <c r="D24" i="19"/>
  <c r="D10" i="19"/>
  <c r="E49" i="18"/>
  <c r="E47" i="18"/>
  <c r="E45" i="18"/>
  <c r="E43" i="18"/>
  <c r="E41" i="18"/>
  <c r="E39" i="18"/>
  <c r="E37" i="18"/>
  <c r="E35" i="18"/>
  <c r="E33" i="18"/>
  <c r="E31" i="18"/>
  <c r="E29" i="18"/>
  <c r="E27" i="18"/>
  <c r="E25" i="18"/>
  <c r="E23" i="18"/>
  <c r="E21" i="18"/>
  <c r="E19" i="18"/>
  <c r="E17" i="18"/>
  <c r="E15" i="18"/>
  <c r="E13" i="18"/>
  <c r="E11" i="18"/>
  <c r="E9" i="18"/>
  <c r="E7" i="18"/>
  <c r="E5" i="18"/>
  <c r="D43" i="18"/>
  <c r="F43" i="18" s="1"/>
  <c r="D35" i="18"/>
  <c r="D29" i="18"/>
  <c r="D21" i="18"/>
  <c r="D15" i="18"/>
  <c r="D7" i="18"/>
  <c r="D47" i="18"/>
  <c r="D39" i="18"/>
  <c r="D27" i="18"/>
  <c r="D19" i="18"/>
  <c r="D9" i="18"/>
  <c r="E48" i="18"/>
  <c r="E46" i="18"/>
  <c r="E44" i="18"/>
  <c r="E42" i="18"/>
  <c r="E40" i="18"/>
  <c r="E38" i="18"/>
  <c r="E36" i="18"/>
  <c r="E34" i="18"/>
  <c r="E32" i="18"/>
  <c r="E30" i="18"/>
  <c r="E28" i="18"/>
  <c r="E26" i="18"/>
  <c r="E24" i="18"/>
  <c r="E22" i="18"/>
  <c r="E20" i="18"/>
  <c r="E18" i="18"/>
  <c r="E16" i="18"/>
  <c r="E14" i="18"/>
  <c r="E12" i="18"/>
  <c r="E10" i="18"/>
  <c r="E8" i="18"/>
  <c r="E6" i="18"/>
  <c r="D45" i="18"/>
  <c r="D41" i="18"/>
  <c r="D31" i="18"/>
  <c r="D23" i="18"/>
  <c r="D11" i="18"/>
  <c r="D48" i="18"/>
  <c r="D46" i="18"/>
  <c r="D44" i="18"/>
  <c r="D42" i="18"/>
  <c r="D40" i="18"/>
  <c r="D38" i="18"/>
  <c r="D36" i="18"/>
  <c r="D34" i="18"/>
  <c r="D32" i="18"/>
  <c r="D30" i="18"/>
  <c r="D28" i="18"/>
  <c r="D26" i="18"/>
  <c r="D24" i="18"/>
  <c r="D22" i="18"/>
  <c r="D20" i="18"/>
  <c r="D18" i="18"/>
  <c r="D16" i="18"/>
  <c r="D14" i="18"/>
  <c r="D12" i="18"/>
  <c r="D10" i="18"/>
  <c r="D8" i="18"/>
  <c r="D6" i="18"/>
  <c r="D49" i="18"/>
  <c r="D37" i="18"/>
  <c r="D33" i="18"/>
  <c r="D25" i="18"/>
  <c r="D17" i="18"/>
  <c r="D13" i="18"/>
  <c r="D5" i="18"/>
  <c r="F6" i="25"/>
  <c r="G6" i="25" s="1"/>
  <c r="F13" i="25"/>
  <c r="G13" i="25" s="1"/>
  <c r="F5" i="25"/>
  <c r="F12" i="25"/>
  <c r="F7" i="25"/>
  <c r="F10" i="25"/>
  <c r="F9" i="25"/>
  <c r="F8" i="25"/>
  <c r="F11" i="25"/>
  <c r="H26" i="22"/>
  <c r="H44" i="22"/>
  <c r="H14" i="22"/>
  <c r="H16" i="22"/>
  <c r="H9" i="22"/>
  <c r="H41" i="22"/>
  <c r="H27" i="22"/>
  <c r="H22" i="22"/>
  <c r="H24" i="22"/>
  <c r="H17" i="22"/>
  <c r="H10" i="22"/>
  <c r="H42" i="22"/>
  <c r="H35" i="22"/>
  <c r="H28" i="22"/>
  <c r="H13" i="22"/>
  <c r="H45" i="22"/>
  <c r="H30" i="22"/>
  <c r="H15" i="22"/>
  <c r="H47" i="22"/>
  <c r="H32" i="22"/>
  <c r="H33" i="22"/>
  <c r="H19" i="22"/>
  <c r="H12" i="22"/>
  <c r="H29" i="22"/>
  <c r="H46" i="22"/>
  <c r="H31" i="22"/>
  <c r="H48" i="22"/>
  <c r="H34" i="22"/>
  <c r="H20" i="22"/>
  <c r="H5" i="22"/>
  <c r="H37" i="22"/>
  <c r="H7" i="22"/>
  <c r="H39" i="22"/>
  <c r="H25" i="22"/>
  <c r="H18" i="22"/>
  <c r="H11" i="22"/>
  <c r="H43" i="22"/>
  <c r="H36" i="22"/>
  <c r="H21" i="22"/>
  <c r="H6" i="22"/>
  <c r="H38" i="22"/>
  <c r="H23" i="22"/>
  <c r="H8" i="22"/>
  <c r="H40" i="22"/>
  <c r="G49" i="22"/>
  <c r="E4" i="12"/>
  <c r="E48" i="12"/>
  <c r="E44" i="12"/>
  <c r="E40" i="12"/>
  <c r="E36" i="12"/>
  <c r="E32" i="12"/>
  <c r="E28" i="12"/>
  <c r="E24" i="12"/>
  <c r="E20" i="12"/>
  <c r="E16" i="12"/>
  <c r="E12" i="12"/>
  <c r="E8" i="12"/>
  <c r="E47" i="12"/>
  <c r="E43" i="12"/>
  <c r="E39" i="12"/>
  <c r="E35" i="12"/>
  <c r="E31" i="12"/>
  <c r="E27" i="12"/>
  <c r="E23" i="12"/>
  <c r="E19" i="12"/>
  <c r="E15" i="12"/>
  <c r="E11" i="12"/>
  <c r="E7" i="12"/>
  <c r="E46" i="12"/>
  <c r="E42" i="12"/>
  <c r="E38" i="12"/>
  <c r="E34" i="12"/>
  <c r="E30" i="12"/>
  <c r="E26" i="12"/>
  <c r="E22" i="12"/>
  <c r="E18" i="12"/>
  <c r="E14" i="12"/>
  <c r="E10" i="12"/>
  <c r="E6" i="12"/>
  <c r="E45" i="12"/>
  <c r="E41" i="12"/>
  <c r="E37" i="12"/>
  <c r="E33" i="12"/>
  <c r="E29" i="12"/>
  <c r="E25" i="12"/>
  <c r="E21" i="12"/>
  <c r="E17" i="12"/>
  <c r="E13" i="12"/>
  <c r="E9" i="12"/>
  <c r="E5" i="12"/>
  <c r="D48" i="12"/>
  <c r="D48" i="22" s="1"/>
  <c r="J48" i="22" s="1"/>
  <c r="D44" i="12"/>
  <c r="D44" i="22" s="1"/>
  <c r="J44" i="22" s="1"/>
  <c r="D40" i="12"/>
  <c r="D40" i="22" s="1"/>
  <c r="J40" i="22" s="1"/>
  <c r="D36" i="12"/>
  <c r="D36" i="22" s="1"/>
  <c r="J36" i="22" s="1"/>
  <c r="D32" i="12"/>
  <c r="D32" i="22" s="1"/>
  <c r="D28" i="12"/>
  <c r="D28" i="22" s="1"/>
  <c r="J28" i="22" s="1"/>
  <c r="D24" i="12"/>
  <c r="D24" i="22" s="1"/>
  <c r="J24" i="22" s="1"/>
  <c r="D20" i="12"/>
  <c r="D20" i="22" s="1"/>
  <c r="J20" i="22" s="1"/>
  <c r="D16" i="12"/>
  <c r="D16" i="22" s="1"/>
  <c r="J16" i="22" s="1"/>
  <c r="D12" i="12"/>
  <c r="D12" i="22" s="1"/>
  <c r="D8" i="12"/>
  <c r="D8" i="22" s="1"/>
  <c r="J8" i="22" s="1"/>
  <c r="D4" i="12"/>
  <c r="D4" i="22" s="1"/>
  <c r="D17" i="12"/>
  <c r="D17" i="22" s="1"/>
  <c r="J17" i="22" s="1"/>
  <c r="D5" i="12"/>
  <c r="D5" i="22" s="1"/>
  <c r="J5" i="22" s="1"/>
  <c r="D47" i="12"/>
  <c r="D47" i="22" s="1"/>
  <c r="J47" i="22" s="1"/>
  <c r="D43" i="12"/>
  <c r="D39" i="12"/>
  <c r="D39" i="22" s="1"/>
  <c r="J39" i="22" s="1"/>
  <c r="D35" i="12"/>
  <c r="D35" i="22" s="1"/>
  <c r="J35" i="22" s="1"/>
  <c r="D31" i="12"/>
  <c r="D31" i="22" s="1"/>
  <c r="J31" i="22" s="1"/>
  <c r="D27" i="12"/>
  <c r="D27" i="22" s="1"/>
  <c r="J27" i="22" s="1"/>
  <c r="D23" i="12"/>
  <c r="D23" i="22" s="1"/>
  <c r="J23" i="22" s="1"/>
  <c r="D19" i="12"/>
  <c r="D19" i="22" s="1"/>
  <c r="J19" i="22" s="1"/>
  <c r="D15" i="12"/>
  <c r="D15" i="22" s="1"/>
  <c r="D11" i="12"/>
  <c r="D11" i="22" s="1"/>
  <c r="J11" i="22" s="1"/>
  <c r="D7" i="12"/>
  <c r="D7" i="22" s="1"/>
  <c r="J7" i="22" s="1"/>
  <c r="D41" i="12"/>
  <c r="D41" i="22" s="1"/>
  <c r="J41" i="22" s="1"/>
  <c r="D33" i="12"/>
  <c r="D33" i="22" s="1"/>
  <c r="J33" i="22" s="1"/>
  <c r="D25" i="12"/>
  <c r="D25" i="22" s="1"/>
  <c r="D13" i="12"/>
  <c r="D13" i="22" s="1"/>
  <c r="J13" i="22" s="1"/>
  <c r="D46" i="12"/>
  <c r="D46" i="22" s="1"/>
  <c r="D42" i="12"/>
  <c r="D42" i="22" s="1"/>
  <c r="D38" i="12"/>
  <c r="D34" i="12"/>
  <c r="D34" i="22" s="1"/>
  <c r="J34" i="22" s="1"/>
  <c r="D30" i="12"/>
  <c r="D30" i="22" s="1"/>
  <c r="J30" i="22" s="1"/>
  <c r="D26" i="12"/>
  <c r="D26" i="22" s="1"/>
  <c r="J26" i="22" s="1"/>
  <c r="D22" i="12"/>
  <c r="D22" i="22" s="1"/>
  <c r="J22" i="22" s="1"/>
  <c r="D18" i="12"/>
  <c r="D18" i="22" s="1"/>
  <c r="J18" i="22" s="1"/>
  <c r="D14" i="12"/>
  <c r="D14" i="22" s="1"/>
  <c r="J14" i="22" s="1"/>
  <c r="D10" i="12"/>
  <c r="D10" i="22" s="1"/>
  <c r="J10" i="22" s="1"/>
  <c r="D6" i="12"/>
  <c r="D6" i="22" s="1"/>
  <c r="J6" i="22" s="1"/>
  <c r="D45" i="12"/>
  <c r="D45" i="22" s="1"/>
  <c r="J45" i="22" s="1"/>
  <c r="D37" i="12"/>
  <c r="D37" i="22" s="1"/>
  <c r="J37" i="22" s="1"/>
  <c r="D29" i="12"/>
  <c r="D29" i="22" s="1"/>
  <c r="J29" i="22" s="1"/>
  <c r="D21" i="12"/>
  <c r="D21" i="22" s="1"/>
  <c r="D9" i="12"/>
  <c r="D9" i="22" s="1"/>
  <c r="J9" i="22" s="1"/>
  <c r="H4" i="22"/>
  <c r="H26" i="12"/>
  <c r="H29" i="12"/>
  <c r="H16" i="12"/>
  <c r="H34" i="12"/>
  <c r="H20" i="12"/>
  <c r="H37" i="12"/>
  <c r="H7" i="12"/>
  <c r="H24" i="12"/>
  <c r="H43" i="12"/>
  <c r="H17" i="12"/>
  <c r="H28" i="12"/>
  <c r="H45" i="12"/>
  <c r="H8" i="12"/>
  <c r="H11" i="12"/>
  <c r="H36" i="12"/>
  <c r="H6" i="12"/>
  <c r="H23" i="12"/>
  <c r="H40" i="12"/>
  <c r="H9" i="12"/>
  <c r="H33" i="12"/>
  <c r="H19" i="12"/>
  <c r="H44" i="12"/>
  <c r="H14" i="12"/>
  <c r="H31" i="12"/>
  <c r="H48" i="12"/>
  <c r="H18" i="12"/>
  <c r="H27" i="12"/>
  <c r="H5" i="12"/>
  <c r="H22" i="12"/>
  <c r="H39" i="12"/>
  <c r="H41" i="12"/>
  <c r="H10" i="12"/>
  <c r="H35" i="12"/>
  <c r="H13" i="12"/>
  <c r="H30" i="12"/>
  <c r="H47" i="12"/>
  <c r="H4" i="12"/>
  <c r="G52" i="12"/>
  <c r="H21" i="12"/>
  <c r="H38" i="12"/>
  <c r="G55" i="12"/>
  <c r="G50" i="12"/>
  <c r="H12" i="12"/>
  <c r="G57" i="12"/>
  <c r="H46" i="12"/>
  <c r="H42" i="12"/>
  <c r="G56" i="12"/>
  <c r="G51" i="12"/>
  <c r="H15" i="12"/>
  <c r="G54" i="12"/>
  <c r="H32" i="12"/>
  <c r="H25" i="12"/>
  <c r="G53" i="12"/>
  <c r="G49" i="12"/>
  <c r="O6" i="12"/>
  <c r="O5" i="12"/>
  <c r="O4" i="12"/>
  <c r="C10" i="25" l="1"/>
  <c r="F30" i="18"/>
  <c r="F37" i="18"/>
  <c r="F5" i="18"/>
  <c r="F29" i="18"/>
  <c r="G9" i="25"/>
  <c r="G10" i="25"/>
  <c r="J42" i="22"/>
  <c r="J15" i="22"/>
  <c r="C7" i="25"/>
  <c r="I7" i="25" s="1"/>
  <c r="G7" i="25"/>
  <c r="J32" i="22"/>
  <c r="G8" i="25"/>
  <c r="F14" i="25"/>
  <c r="G5" i="25"/>
  <c r="J21" i="22"/>
  <c r="C8" i="25"/>
  <c r="I8" i="25" s="1"/>
  <c r="J25" i="22"/>
  <c r="C9" i="25"/>
  <c r="I9" i="25" s="1"/>
  <c r="J46" i="22"/>
  <c r="C13" i="25"/>
  <c r="I13" i="25" s="1"/>
  <c r="J12" i="22"/>
  <c r="C6" i="25"/>
  <c r="I6" i="25" s="1"/>
  <c r="G11" i="25"/>
  <c r="G12" i="25"/>
  <c r="C5" i="25"/>
  <c r="H49" i="22"/>
  <c r="I9" i="12"/>
  <c r="E9" i="22"/>
  <c r="I9" i="22" s="1"/>
  <c r="I14" i="12"/>
  <c r="E14" i="22"/>
  <c r="I14" i="22" s="1"/>
  <c r="I19" i="12"/>
  <c r="E19" i="22"/>
  <c r="I19" i="22" s="1"/>
  <c r="I8" i="12"/>
  <c r="E8" i="22"/>
  <c r="I8" i="22" s="1"/>
  <c r="I13" i="12"/>
  <c r="E13" i="22"/>
  <c r="I13" i="22" s="1"/>
  <c r="I29" i="12"/>
  <c r="E29" i="22"/>
  <c r="I29" i="22" s="1"/>
  <c r="I45" i="12"/>
  <c r="E45" i="22"/>
  <c r="I45" i="22" s="1"/>
  <c r="I18" i="12"/>
  <c r="E18" i="22"/>
  <c r="I18" i="22" s="1"/>
  <c r="I34" i="12"/>
  <c r="E34" i="22"/>
  <c r="I34" i="22" s="1"/>
  <c r="I7" i="12"/>
  <c r="E7" i="22"/>
  <c r="I7" i="22" s="1"/>
  <c r="I23" i="12"/>
  <c r="E23" i="22"/>
  <c r="I23" i="22" s="1"/>
  <c r="I39" i="12"/>
  <c r="E39" i="22"/>
  <c r="I39" i="22" s="1"/>
  <c r="I12" i="12"/>
  <c r="E12" i="22"/>
  <c r="I28" i="12"/>
  <c r="E28" i="22"/>
  <c r="I28" i="22" s="1"/>
  <c r="I44" i="12"/>
  <c r="E44" i="22"/>
  <c r="I44" i="22" s="1"/>
  <c r="I41" i="12"/>
  <c r="E41" i="22"/>
  <c r="I41" i="22" s="1"/>
  <c r="I46" i="12"/>
  <c r="E46" i="22"/>
  <c r="I24" i="12"/>
  <c r="E24" i="22"/>
  <c r="I24" i="22" s="1"/>
  <c r="I17" i="12"/>
  <c r="E17" i="22"/>
  <c r="I17" i="22" s="1"/>
  <c r="I33" i="12"/>
  <c r="E33" i="22"/>
  <c r="I33" i="22" s="1"/>
  <c r="I6" i="12"/>
  <c r="E6" i="22"/>
  <c r="I6" i="22" s="1"/>
  <c r="I22" i="12"/>
  <c r="E22" i="22"/>
  <c r="I22" i="22" s="1"/>
  <c r="I38" i="12"/>
  <c r="E38" i="22"/>
  <c r="I11" i="12"/>
  <c r="E11" i="22"/>
  <c r="I11" i="22" s="1"/>
  <c r="I27" i="12"/>
  <c r="E27" i="22"/>
  <c r="I27" i="22" s="1"/>
  <c r="I43" i="12"/>
  <c r="E43" i="22"/>
  <c r="I43" i="22" s="1"/>
  <c r="I16" i="12"/>
  <c r="E16" i="22"/>
  <c r="I16" i="22" s="1"/>
  <c r="I32" i="12"/>
  <c r="E32" i="22"/>
  <c r="I48" i="12"/>
  <c r="E48" i="22"/>
  <c r="I48" i="22" s="1"/>
  <c r="I25" i="12"/>
  <c r="E25" i="22"/>
  <c r="I30" i="12"/>
  <c r="E30" i="22"/>
  <c r="I30" i="22" s="1"/>
  <c r="I35" i="12"/>
  <c r="E35" i="22"/>
  <c r="I35" i="22" s="1"/>
  <c r="I40" i="12"/>
  <c r="E40" i="22"/>
  <c r="I40" i="22" s="1"/>
  <c r="D38" i="22"/>
  <c r="D43" i="22"/>
  <c r="J43" i="22" s="1"/>
  <c r="I5" i="12"/>
  <c r="E5" i="22"/>
  <c r="I5" i="22" s="1"/>
  <c r="I21" i="12"/>
  <c r="E21" i="22"/>
  <c r="I37" i="12"/>
  <c r="E37" i="22"/>
  <c r="I37" i="22" s="1"/>
  <c r="I10" i="12"/>
  <c r="E10" i="22"/>
  <c r="I10" i="22" s="1"/>
  <c r="I26" i="12"/>
  <c r="E26" i="22"/>
  <c r="I26" i="22" s="1"/>
  <c r="I42" i="12"/>
  <c r="E42" i="22"/>
  <c r="I15" i="12"/>
  <c r="E15" i="22"/>
  <c r="I31" i="12"/>
  <c r="E31" i="22"/>
  <c r="I31" i="22" s="1"/>
  <c r="I47" i="12"/>
  <c r="E47" i="22"/>
  <c r="I47" i="22" s="1"/>
  <c r="I20" i="12"/>
  <c r="E20" i="22"/>
  <c r="I20" i="22" s="1"/>
  <c r="I36" i="12"/>
  <c r="E36" i="22"/>
  <c r="I36" i="22" s="1"/>
  <c r="I4" i="12"/>
  <c r="E4" i="22"/>
  <c r="J3" i="12"/>
  <c r="J3" i="22" s="1"/>
  <c r="I4" i="25" s="1"/>
  <c r="E53" i="12"/>
  <c r="I53" i="12" s="1"/>
  <c r="E57" i="12"/>
  <c r="I57" i="12" s="1"/>
  <c r="E50" i="12"/>
  <c r="I50" i="12" s="1"/>
  <c r="E55" i="12"/>
  <c r="I55" i="12" s="1"/>
  <c r="E54" i="12"/>
  <c r="I54" i="12" s="1"/>
  <c r="E52" i="12"/>
  <c r="I52" i="12" s="1"/>
  <c r="E56" i="12"/>
  <c r="I56" i="12" s="1"/>
  <c r="E51" i="12"/>
  <c r="I51" i="12" s="1"/>
  <c r="E49" i="12"/>
  <c r="I49" i="12" s="1"/>
  <c r="F38" i="19"/>
  <c r="F30" i="19"/>
  <c r="D3" i="12"/>
  <c r="D3" i="22" s="1"/>
  <c r="C4" i="25" s="1"/>
  <c r="J45" i="12"/>
  <c r="J23" i="12"/>
  <c r="J33" i="12"/>
  <c r="J19" i="12"/>
  <c r="J44" i="12"/>
  <c r="J14" i="12"/>
  <c r="J31" i="12"/>
  <c r="J48" i="12"/>
  <c r="J42" i="12"/>
  <c r="J36" i="12"/>
  <c r="J40" i="12"/>
  <c r="J41" i="12"/>
  <c r="J27" i="12"/>
  <c r="J5" i="12"/>
  <c r="J22" i="12"/>
  <c r="J39" i="12"/>
  <c r="J28" i="12"/>
  <c r="J6" i="12"/>
  <c r="J10" i="12"/>
  <c r="J35" i="12"/>
  <c r="J13" i="12"/>
  <c r="J30" i="12"/>
  <c r="J47" i="12"/>
  <c r="J18" i="12"/>
  <c r="J8" i="12"/>
  <c r="J32" i="12"/>
  <c r="J26" i="12"/>
  <c r="J12" i="12"/>
  <c r="J29" i="12"/>
  <c r="J46" i="12"/>
  <c r="J16" i="12"/>
  <c r="J17" i="12"/>
  <c r="J15" i="12"/>
  <c r="J11" i="12"/>
  <c r="J9" i="12"/>
  <c r="J20" i="12"/>
  <c r="J37" i="12"/>
  <c r="J7" i="12"/>
  <c r="J24" i="12"/>
  <c r="D52" i="12"/>
  <c r="J52" i="12" s="1"/>
  <c r="J4" i="12"/>
  <c r="J4" i="22"/>
  <c r="D56" i="12"/>
  <c r="J56" i="12" s="1"/>
  <c r="D57" i="12"/>
  <c r="J57" i="12" s="1"/>
  <c r="D55" i="12"/>
  <c r="J55" i="12" s="1"/>
  <c r="J43" i="12"/>
  <c r="D54" i="12"/>
  <c r="J54" i="12" s="1"/>
  <c r="J34" i="12"/>
  <c r="D53" i="12"/>
  <c r="J53" i="12" s="1"/>
  <c r="J25" i="12"/>
  <c r="J21" i="12"/>
  <c r="J38" i="12"/>
  <c r="D51" i="12"/>
  <c r="J51" i="12" s="1"/>
  <c r="F34" i="18"/>
  <c r="D56" i="18"/>
  <c r="D49" i="12"/>
  <c r="J49" i="12" s="1"/>
  <c r="F28" i="18"/>
  <c r="D50" i="12"/>
  <c r="D51" i="18"/>
  <c r="F20" i="18"/>
  <c r="F23" i="18"/>
  <c r="F44" i="18"/>
  <c r="F14" i="18"/>
  <c r="F14" i="19"/>
  <c r="F38" i="18"/>
  <c r="F35" i="18"/>
  <c r="F12" i="18"/>
  <c r="D55" i="18"/>
  <c r="F27" i="18"/>
  <c r="F25" i="18"/>
  <c r="F6" i="18"/>
  <c r="F16" i="18"/>
  <c r="F32" i="18"/>
  <c r="F39" i="18"/>
  <c r="F47" i="18"/>
  <c r="F26" i="18"/>
  <c r="F10" i="18"/>
  <c r="F41" i="18"/>
  <c r="D58" i="18"/>
  <c r="F15" i="18"/>
  <c r="E57" i="18"/>
  <c r="F9" i="18"/>
  <c r="F18" i="18"/>
  <c r="F35" i="19"/>
  <c r="F21" i="19"/>
  <c r="F44" i="19"/>
  <c r="D54" i="18"/>
  <c r="E51" i="18"/>
  <c r="F28" i="19"/>
  <c r="F15" i="19"/>
  <c r="F40" i="19"/>
  <c r="F36" i="18"/>
  <c r="F46" i="18"/>
  <c r="F12" i="19"/>
  <c r="F33" i="18"/>
  <c r="E58" i="18"/>
  <c r="F48" i="18"/>
  <c r="D57" i="18"/>
  <c r="F19" i="19"/>
  <c r="F37" i="19"/>
  <c r="F6" i="19"/>
  <c r="D53" i="18"/>
  <c r="F42" i="19"/>
  <c r="F27" i="19"/>
  <c r="F21" i="18"/>
  <c r="F8" i="19"/>
  <c r="F29" i="19"/>
  <c r="F42" i="18"/>
  <c r="D52" i="18"/>
  <c r="F7" i="18"/>
  <c r="E56" i="18"/>
  <c r="D50" i="18"/>
  <c r="F11" i="19"/>
  <c r="E50" i="18"/>
  <c r="E54" i="18"/>
  <c r="F34" i="19"/>
  <c r="E52" i="18"/>
  <c r="F24" i="18"/>
  <c r="F18" i="19"/>
  <c r="F31" i="19"/>
  <c r="F24" i="19"/>
  <c r="F46" i="19"/>
  <c r="F48" i="19"/>
  <c r="F11" i="18"/>
  <c r="F19" i="18"/>
  <c r="F31" i="18"/>
  <c r="E53" i="18"/>
  <c r="F10" i="19"/>
  <c r="F32" i="19"/>
  <c r="E55" i="18"/>
  <c r="F49" i="18"/>
  <c r="F17" i="18"/>
  <c r="F22" i="18"/>
  <c r="F40" i="18"/>
  <c r="F45" i="18"/>
  <c r="F8" i="18"/>
  <c r="F13" i="18"/>
  <c r="F23" i="19"/>
  <c r="F36" i="19"/>
  <c r="E55" i="19"/>
  <c r="E56" i="19"/>
  <c r="E54" i="19"/>
  <c r="E51" i="19"/>
  <c r="E52" i="19"/>
  <c r="E53" i="19"/>
  <c r="F20" i="19"/>
  <c r="F7" i="19"/>
  <c r="D56" i="19"/>
  <c r="F39" i="19"/>
  <c r="D54" i="19"/>
  <c r="F26" i="19"/>
  <c r="D51" i="19"/>
  <c r="F13" i="19"/>
  <c r="F45" i="19"/>
  <c r="F25" i="19"/>
  <c r="E50" i="19"/>
  <c r="E57" i="19"/>
  <c r="F47" i="19"/>
  <c r="D58" i="19"/>
  <c r="D55" i="19"/>
  <c r="F33" i="19"/>
  <c r="F16" i="19"/>
  <c r="D52" i="19"/>
  <c r="D53" i="19"/>
  <c r="F22" i="19"/>
  <c r="F9" i="19"/>
  <c r="F41" i="19"/>
  <c r="E58" i="19"/>
  <c r="F5" i="19"/>
  <c r="D50" i="19"/>
  <c r="D57" i="19"/>
  <c r="F43" i="19"/>
  <c r="F17" i="19"/>
  <c r="F49" i="19"/>
  <c r="D8" i="14"/>
  <c r="H52" i="12"/>
  <c r="E8" i="14" s="1"/>
  <c r="D6" i="14"/>
  <c r="H50" i="12"/>
  <c r="E6" i="14" s="1"/>
  <c r="D13" i="14"/>
  <c r="H57" i="12"/>
  <c r="E13" i="14" s="1"/>
  <c r="D5" i="14"/>
  <c r="G58" i="12"/>
  <c r="H49" i="12"/>
  <c r="E5" i="14" s="1"/>
  <c r="D9" i="14"/>
  <c r="H53" i="12"/>
  <c r="E9" i="14" s="1"/>
  <c r="D11" i="14"/>
  <c r="H55" i="12"/>
  <c r="E11" i="14" s="1"/>
  <c r="D10" i="14"/>
  <c r="H54" i="12"/>
  <c r="E10" i="14" s="1"/>
  <c r="D7" i="14"/>
  <c r="H51" i="12"/>
  <c r="E7" i="14" s="1"/>
  <c r="D12" i="14"/>
  <c r="H56" i="12"/>
  <c r="E12" i="14" s="1"/>
  <c r="I10" i="25" l="1"/>
  <c r="C12" i="25"/>
  <c r="I12" i="25" s="1"/>
  <c r="J38" i="22"/>
  <c r="C11" i="25"/>
  <c r="I11" i="25" s="1"/>
  <c r="I15" i="22"/>
  <c r="D7" i="25"/>
  <c r="H7" i="25" s="1"/>
  <c r="I38" i="22"/>
  <c r="D11" i="25"/>
  <c r="H11" i="25" s="1"/>
  <c r="I46" i="22"/>
  <c r="D13" i="25"/>
  <c r="H13" i="25" s="1"/>
  <c r="I12" i="22"/>
  <c r="D6" i="25"/>
  <c r="H6" i="25" s="1"/>
  <c r="G14" i="25"/>
  <c r="D5" i="25"/>
  <c r="I42" i="22"/>
  <c r="D12" i="25"/>
  <c r="H12" i="25" s="1"/>
  <c r="I21" i="22"/>
  <c r="D8" i="25"/>
  <c r="H8" i="25" s="1"/>
  <c r="I25" i="22"/>
  <c r="D9" i="25"/>
  <c r="H9" i="25" s="1"/>
  <c r="I32" i="22"/>
  <c r="D10" i="25"/>
  <c r="H10" i="25" s="1"/>
  <c r="I5" i="25"/>
  <c r="D37" i="14"/>
  <c r="D37" i="25"/>
  <c r="D40" i="14"/>
  <c r="D40" i="25"/>
  <c r="D36" i="14"/>
  <c r="D36" i="25"/>
  <c r="D39" i="14"/>
  <c r="D39" i="25"/>
  <c r="C37" i="14"/>
  <c r="C37" i="25"/>
  <c r="C36" i="14"/>
  <c r="C36" i="25"/>
  <c r="D33" i="14"/>
  <c r="D33" i="25"/>
  <c r="C34" i="14"/>
  <c r="C34" i="25"/>
  <c r="C39" i="14"/>
  <c r="C39" i="25"/>
  <c r="D35" i="14"/>
  <c r="D35" i="25"/>
  <c r="D38" i="14"/>
  <c r="D38" i="25"/>
  <c r="D41" i="14"/>
  <c r="D41" i="25"/>
  <c r="C38" i="14"/>
  <c r="C38" i="25"/>
  <c r="C40" i="14"/>
  <c r="C40" i="25"/>
  <c r="C35" i="14"/>
  <c r="C35" i="25"/>
  <c r="C41" i="14"/>
  <c r="C41" i="25"/>
  <c r="D34" i="14"/>
  <c r="D34" i="25"/>
  <c r="C33" i="14"/>
  <c r="C33" i="25"/>
  <c r="D24" i="14"/>
  <c r="D24" i="25"/>
  <c r="C22" i="14"/>
  <c r="C22" i="25"/>
  <c r="D19" i="14"/>
  <c r="D19" i="25"/>
  <c r="C26" i="14"/>
  <c r="C26" i="25"/>
  <c r="D21" i="14"/>
  <c r="D21" i="25"/>
  <c r="C21" i="14"/>
  <c r="C21" i="25"/>
  <c r="D27" i="14"/>
  <c r="D27" i="25"/>
  <c r="D20" i="14"/>
  <c r="D20" i="25"/>
  <c r="C24" i="14"/>
  <c r="C24" i="25"/>
  <c r="D26" i="14"/>
  <c r="D26" i="25"/>
  <c r="D22" i="14"/>
  <c r="D22" i="25"/>
  <c r="D23" i="14"/>
  <c r="D23" i="25"/>
  <c r="D25" i="14"/>
  <c r="D25" i="25"/>
  <c r="C23" i="14"/>
  <c r="C23" i="25"/>
  <c r="C27" i="14"/>
  <c r="C27" i="25"/>
  <c r="C20" i="14"/>
  <c r="C20" i="25"/>
  <c r="C25" i="14"/>
  <c r="C25" i="25"/>
  <c r="C19" i="14"/>
  <c r="C19" i="25"/>
  <c r="E49" i="22"/>
  <c r="I49" i="22" s="1"/>
  <c r="I4" i="22"/>
  <c r="E58" i="12"/>
  <c r="I58" i="12" s="1"/>
  <c r="D49" i="22"/>
  <c r="J49" i="22" s="1"/>
  <c r="D58" i="12"/>
  <c r="J58" i="12" s="1"/>
  <c r="J50" i="12"/>
  <c r="F55" i="18"/>
  <c r="F54" i="18"/>
  <c r="F51" i="18"/>
  <c r="F58" i="18"/>
  <c r="F57" i="18"/>
  <c r="F51" i="19"/>
  <c r="F53" i="18"/>
  <c r="D59" i="18"/>
  <c r="F56" i="18"/>
  <c r="F52" i="18"/>
  <c r="F50" i="18"/>
  <c r="F57" i="19"/>
  <c r="E59" i="18"/>
  <c r="F54" i="19"/>
  <c r="F53" i="19"/>
  <c r="F55" i="19"/>
  <c r="F56" i="19"/>
  <c r="F58" i="19"/>
  <c r="E59" i="19"/>
  <c r="D59" i="19"/>
  <c r="F50" i="19"/>
  <c r="F52" i="19"/>
  <c r="D14" i="14"/>
  <c r="H58" i="12"/>
  <c r="E14" i="14" s="1"/>
  <c r="C14" i="25" l="1"/>
  <c r="I14" i="25" s="1"/>
  <c r="D14" i="25"/>
  <c r="H14" i="25" s="1"/>
  <c r="H5" i="25"/>
  <c r="E35" i="14"/>
  <c r="E35" i="25"/>
  <c r="E39" i="14"/>
  <c r="E39" i="25"/>
  <c r="E41" i="14"/>
  <c r="E41" i="25"/>
  <c r="E33" i="14"/>
  <c r="E33" i="25"/>
  <c r="C42" i="14"/>
  <c r="C42" i="25"/>
  <c r="E38" i="14"/>
  <c r="E38" i="25"/>
  <c r="E40" i="14"/>
  <c r="E40" i="25"/>
  <c r="E37" i="14"/>
  <c r="E37" i="25"/>
  <c r="E34" i="14"/>
  <c r="E34" i="25"/>
  <c r="D42" i="14"/>
  <c r="D42" i="25"/>
  <c r="E36" i="14"/>
  <c r="E36" i="25"/>
  <c r="E21" i="14"/>
  <c r="E21" i="25"/>
  <c r="E23" i="14"/>
  <c r="E23" i="25"/>
  <c r="E25" i="14"/>
  <c r="E25" i="25"/>
  <c r="E24" i="14"/>
  <c r="E24" i="25"/>
  <c r="C28" i="14"/>
  <c r="C28" i="25"/>
  <c r="D28" i="14"/>
  <c r="D28" i="25"/>
  <c r="E26" i="14"/>
  <c r="E26" i="25"/>
  <c r="E27" i="14"/>
  <c r="E27" i="25"/>
  <c r="E19" i="14"/>
  <c r="E19" i="25"/>
  <c r="E22" i="14"/>
  <c r="E22" i="25"/>
  <c r="E20" i="14"/>
  <c r="E20" i="25"/>
  <c r="F59" i="18"/>
  <c r="F59" i="19"/>
  <c r="E42" i="14" l="1"/>
  <c r="E42" i="25"/>
  <c r="E28" i="14"/>
  <c r="E28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B ALDA" description="SQL Driver 17" type="1" refreshedVersion="5" savePassword="1" background="1" saveData="1">
    <dbPr connection="DRIVER=ODBC Driver 17 for SQL Server;SERVER=172.16.0.239;UID=usersfi;PWD=sfi.100;Trusted_Connection=No;APP=Microsoft Office 2013;WSID=HOC0LL05;DATABASE=SFI_DWH;" command="EXEC [dbo].[SP_Summary_Denda_Alda]"/>
  </connection>
</connections>
</file>

<file path=xl/sharedStrings.xml><?xml version="1.0" encoding="utf-8"?>
<sst xmlns="http://schemas.openxmlformats.org/spreadsheetml/2006/main" count="6969" uniqueCount="1607">
  <si>
    <t/>
  </si>
  <si>
    <t>CONTRACT_STAT</t>
  </si>
  <si>
    <t>MERK_KENDARAAN</t>
  </si>
  <si>
    <t>TYPE_KENDARAAN</t>
  </si>
  <si>
    <t>GO_LIVE_DATE</t>
  </si>
  <si>
    <t>2W</t>
  </si>
  <si>
    <t>ICP</t>
  </si>
  <si>
    <t>SUZUKI</t>
  </si>
  <si>
    <t>BANJARMASIN</t>
  </si>
  <si>
    <t>On Hand</t>
  </si>
  <si>
    <t>SAMPIT</t>
  </si>
  <si>
    <t>YAMAHA</t>
  </si>
  <si>
    <t>HONDA</t>
  </si>
  <si>
    <t>VIXION</t>
  </si>
  <si>
    <t>2018</t>
  </si>
  <si>
    <t>2019</t>
  </si>
  <si>
    <t>EXP</t>
  </si>
  <si>
    <t>2020</t>
  </si>
  <si>
    <t>BALIKPAPAN</t>
  </si>
  <si>
    <t>SAMARINDA</t>
  </si>
  <si>
    <t>2021</t>
  </si>
  <si>
    <t>2022</t>
  </si>
  <si>
    <t>DEPOK</t>
  </si>
  <si>
    <t>BEKASI</t>
  </si>
  <si>
    <t>KEDIRI</t>
  </si>
  <si>
    <t>KARAWANG</t>
  </si>
  <si>
    <t>BLITAR</t>
  </si>
  <si>
    <t>PURWOKERTO</t>
  </si>
  <si>
    <t>TANGERANG</t>
  </si>
  <si>
    <t>SERANG</t>
  </si>
  <si>
    <t>BANDUNG</t>
  </si>
  <si>
    <t>MALANG</t>
  </si>
  <si>
    <t>SOLO</t>
  </si>
  <si>
    <t>SEMARANG</t>
  </si>
  <si>
    <t>SURABAYA</t>
  </si>
  <si>
    <t>SIDOARJO</t>
  </si>
  <si>
    <t>GRESIK</t>
  </si>
  <si>
    <t>PALEMBANG</t>
  </si>
  <si>
    <t>KUDUS</t>
  </si>
  <si>
    <t>PEKALONGAN</t>
  </si>
  <si>
    <t>RRD</t>
  </si>
  <si>
    <t>MANADO</t>
  </si>
  <si>
    <t>PONTIANAK</t>
  </si>
  <si>
    <t>BATAM</t>
  </si>
  <si>
    <t>BANDUNG 2</t>
  </si>
  <si>
    <t>4W</t>
  </si>
  <si>
    <t>KEDOYA - MBL</t>
  </si>
  <si>
    <t>DENPASAR - MBL</t>
  </si>
  <si>
    <t>SURABAYA - MBL</t>
  </si>
  <si>
    <t>BANDUNG - MBL</t>
  </si>
  <si>
    <t>BEKASI - MBL</t>
  </si>
  <si>
    <t>TANGERANG - MBL</t>
  </si>
  <si>
    <t>KARAWANG - MBL</t>
  </si>
  <si>
    <t>SEMARANG - MBL</t>
  </si>
  <si>
    <t>MAKASSAR - MBL</t>
  </si>
  <si>
    <t>SERANG - MBL</t>
  </si>
  <si>
    <t>PEKANBARU - MBL</t>
  </si>
  <si>
    <t>BANJARMASIN - MBL</t>
  </si>
  <si>
    <t>MEDAN - MBL</t>
  </si>
  <si>
    <t>TEGAL - MBL</t>
  </si>
  <si>
    <t>PADANG - MBL</t>
  </si>
  <si>
    <t>KUPANG - MBL</t>
  </si>
  <si>
    <t>PALANGKARAYA - MBL</t>
  </si>
  <si>
    <t>PALU - MOBIL</t>
  </si>
  <si>
    <t xml:space="preserve">KENDARI - MBL </t>
  </si>
  <si>
    <t>PAREPARE - MBL</t>
  </si>
  <si>
    <t>YOGYAKARTA - MBL</t>
  </si>
  <si>
    <t>BOGOR - MBL</t>
  </si>
  <si>
    <t>RANTAU PRAPAT - MOBIL</t>
  </si>
  <si>
    <t>SAMARINDA - MBL</t>
  </si>
  <si>
    <t>DEWI SARTIKA - MBL</t>
  </si>
  <si>
    <t>CIREBON - MBL</t>
  </si>
  <si>
    <t>PONTIANAK - MBL</t>
  </si>
  <si>
    <t>BALIKPAPAN - MBL</t>
  </si>
  <si>
    <t>SOLO - MBL</t>
  </si>
  <si>
    <t>BANDAR LAMPUNG - MBL</t>
  </si>
  <si>
    <t>BANDAR JAYA - MOBIL</t>
  </si>
  <si>
    <t>PANGKALPINANG</t>
  </si>
  <si>
    <t>SAMPIT - MBL</t>
  </si>
  <si>
    <t>BATAM - MBL</t>
  </si>
  <si>
    <t>MATARAM - MBL</t>
  </si>
  <si>
    <t>ADDRESS</t>
  </si>
  <si>
    <t>GORONTALO - MBL</t>
  </si>
  <si>
    <t>JAMBI - MBL</t>
  </si>
  <si>
    <t>PALEMBANG 4 - MBL</t>
  </si>
  <si>
    <t>TERNATE - MBL</t>
  </si>
  <si>
    <t>2023</t>
  </si>
  <si>
    <t>AREA</t>
  </si>
  <si>
    <t>CABANG_MERGER</t>
  </si>
  <si>
    <t>CABANG</t>
  </si>
  <si>
    <t>BUSINESS_UNIT</t>
  </si>
  <si>
    <t>NOMOR_KONTRAK</t>
  </si>
  <si>
    <t>NAMA_DEBITUR</t>
  </si>
  <si>
    <t>TANGGAL_BAYAR_ANGS_TERAKHIR</t>
  </si>
  <si>
    <t>TAHUN_KENDARAAN</t>
  </si>
  <si>
    <t>NO_HP_1</t>
  </si>
  <si>
    <t>NO_HP_2</t>
  </si>
  <si>
    <t>OS_PRINCIPAL_AMT</t>
  </si>
  <si>
    <t>OS_LC_INST_AMT</t>
  </si>
  <si>
    <t>OS_CHARGE_RCV_AMT</t>
  </si>
  <si>
    <t>TOTAL_AMOUNT_TO_BE_PAID_1</t>
  </si>
  <si>
    <t>PREPAID</t>
  </si>
  <si>
    <t>TOTAL_KEWAJIBAN</t>
  </si>
  <si>
    <t>TOTAL_AMOUNT_TO_BE_PAID_2</t>
  </si>
  <si>
    <t>TGL_PEMBAYARAN</t>
  </si>
  <si>
    <t>AMOUNT_PEMBAYARAN_1</t>
  </si>
  <si>
    <t>AMOUNT_PEMBAYARAN</t>
  </si>
  <si>
    <t>WOP</t>
  </si>
  <si>
    <t>AMOUNT_WOP</t>
  </si>
  <si>
    <t>WAIVE_AMOUNT_1</t>
  </si>
  <si>
    <t>REVERSAL</t>
  </si>
  <si>
    <t>TGL_RRD</t>
  </si>
  <si>
    <t>STATUS_BPKB</t>
  </si>
  <si>
    <t>WAIVE_AMOUNT_2</t>
  </si>
  <si>
    <t>WAIVE_PCTG_MIN_TOTAL_AMOUNT_TO_BE_PAID</t>
  </si>
  <si>
    <t>WAIVE_PCTG_MIN_TOTAL_KEWAJIBAN</t>
  </si>
  <si>
    <t>VERIFIKASI_MIN_TOTAL_AMOUNT_TO_BE_PAID</t>
  </si>
  <si>
    <t>VERIFIKASI_MIN_TOTAL_KEWAJIBAN</t>
  </si>
  <si>
    <t>IBT</t>
  </si>
  <si>
    <t>Denpasar</t>
  </si>
  <si>
    <t>CARRY PU 1.5</t>
  </si>
  <si>
    <t>WINPAY</t>
  </si>
  <si>
    <t>Release</t>
  </si>
  <si>
    <t>BANK</t>
  </si>
  <si>
    <t>Kupang</t>
  </si>
  <si>
    <t>Mataram</t>
  </si>
  <si>
    <t>Jabar</t>
  </si>
  <si>
    <t>Bandung</t>
  </si>
  <si>
    <t>SCOOPY</t>
  </si>
  <si>
    <t>XL7</t>
  </si>
  <si>
    <t>NEX</t>
  </si>
  <si>
    <t>TASIKMALAYA - MBL</t>
  </si>
  <si>
    <t>Cirebon</t>
  </si>
  <si>
    <t>Karawang</t>
  </si>
  <si>
    <t>ERTIGA</t>
  </si>
  <si>
    <t>BCA</t>
  </si>
  <si>
    <t>PURWAKARTA</t>
  </si>
  <si>
    <t>GSX</t>
  </si>
  <si>
    <t>Jabodetabekser</t>
  </si>
  <si>
    <t>Bekasi</t>
  </si>
  <si>
    <t>IGNIS</t>
  </si>
  <si>
    <t>Bogor</t>
  </si>
  <si>
    <t>Depok</t>
  </si>
  <si>
    <t>Dewi Sartika</t>
  </si>
  <si>
    <t>Kedoya</t>
  </si>
  <si>
    <t>ALFAMRT</t>
  </si>
  <si>
    <t>Serang</t>
  </si>
  <si>
    <t>Sunter</t>
  </si>
  <si>
    <t>Tangerang</t>
  </si>
  <si>
    <t>Jateng</t>
  </si>
  <si>
    <t>Kudus</t>
  </si>
  <si>
    <t>VARIO</t>
  </si>
  <si>
    <t>BEAT</t>
  </si>
  <si>
    <t>Purwokerto</t>
  </si>
  <si>
    <t>PURWOKERTO - MBL</t>
  </si>
  <si>
    <t>Semarang</t>
  </si>
  <si>
    <t>Solo</t>
  </si>
  <si>
    <t>Tegal</t>
  </si>
  <si>
    <t>CB</t>
  </si>
  <si>
    <t>Yogyakarta</t>
  </si>
  <si>
    <t>YOGYA</t>
  </si>
  <si>
    <t>Jatim</t>
  </si>
  <si>
    <t>Gresik</t>
  </si>
  <si>
    <t>GRESIK - MBL</t>
  </si>
  <si>
    <t>Kediri</t>
  </si>
  <si>
    <t>KEDIRI - MBL</t>
  </si>
  <si>
    <t>Malang</t>
  </si>
  <si>
    <t>MALANG - MBL</t>
  </si>
  <si>
    <t>Surabaya</t>
  </si>
  <si>
    <t>Kalimantan</t>
  </si>
  <si>
    <t>Balikpapan</t>
  </si>
  <si>
    <t>Banjarmasin</t>
  </si>
  <si>
    <t>Barabai</t>
  </si>
  <si>
    <t>BARABAI</t>
  </si>
  <si>
    <t>BARABAI - MBL</t>
  </si>
  <si>
    <t>Palangkaraya</t>
  </si>
  <si>
    <t>PALANGKARAYA</t>
  </si>
  <si>
    <t>Pontianak</t>
  </si>
  <si>
    <t>Samarinda</t>
  </si>
  <si>
    <t>PICKUP</t>
  </si>
  <si>
    <t>Sampit</t>
  </si>
  <si>
    <t>Sulawesi</t>
  </si>
  <si>
    <t>Gorontalo</t>
  </si>
  <si>
    <t>Kendari</t>
  </si>
  <si>
    <t>Makassar</t>
  </si>
  <si>
    <t>MAKASAR</t>
  </si>
  <si>
    <t>INDOMRT</t>
  </si>
  <si>
    <t>Manado</t>
  </si>
  <si>
    <t>MANADO - MBL</t>
  </si>
  <si>
    <t>Palu</t>
  </si>
  <si>
    <t>Pare Pare</t>
  </si>
  <si>
    <t>PAREPARE</t>
  </si>
  <si>
    <t>Ternate</t>
  </si>
  <si>
    <t>1547200000090</t>
  </si>
  <si>
    <t>ROBERT E GARAWAI</t>
  </si>
  <si>
    <t>081223808699</t>
  </si>
  <si>
    <t>085731363100</t>
  </si>
  <si>
    <t>Sumatera</t>
  </si>
  <si>
    <t>Bandar Lampung</t>
  </si>
  <si>
    <t>BANDAR LAMPUNG</t>
  </si>
  <si>
    <t>Batam</t>
  </si>
  <si>
    <t>Jambi</t>
  </si>
  <si>
    <t>Medan</t>
  </si>
  <si>
    <t>PEMATANG SIANTAR - MOBIL</t>
  </si>
  <si>
    <t>Padang</t>
  </si>
  <si>
    <t>Palembang</t>
  </si>
  <si>
    <t>PALEMBANG 3 - MBL</t>
  </si>
  <si>
    <t>Pekan Baru</t>
  </si>
  <si>
    <t>PEKAN BARU</t>
  </si>
  <si>
    <t>Area</t>
  </si>
  <si>
    <t>Cabang</t>
  </si>
  <si>
    <t>Diff</t>
  </si>
  <si>
    <t>BranchID</t>
  </si>
  <si>
    <t>BranchName</t>
  </si>
  <si>
    <t>BranchName-</t>
  </si>
  <si>
    <t>New Area</t>
  </si>
  <si>
    <t>Code</t>
  </si>
  <si>
    <t>New Area_Old</t>
  </si>
  <si>
    <t>BranchName_Old</t>
  </si>
  <si>
    <t>New Area_New</t>
  </si>
  <si>
    <t>BranchName_New</t>
  </si>
  <si>
    <t>Status</t>
  </si>
  <si>
    <t>Unit</t>
  </si>
  <si>
    <t>00.Not Ovd</t>
  </si>
  <si>
    <t>00.Not OD</t>
  </si>
  <si>
    <t>ARO</t>
  </si>
  <si>
    <t>1001</t>
  </si>
  <si>
    <t>08. Kalselteng</t>
  </si>
  <si>
    <t>05. Kalimantan</t>
  </si>
  <si>
    <t>BRANCH</t>
  </si>
  <si>
    <t>01.1-30</t>
  </si>
  <si>
    <t>1002</t>
  </si>
  <si>
    <t>09. SulbagSel</t>
  </si>
  <si>
    <t>06. Sulawesi</t>
  </si>
  <si>
    <t>MAKASSAR</t>
  </si>
  <si>
    <t>02.31-60</t>
  </si>
  <si>
    <t>PSO</t>
  </si>
  <si>
    <t>1003</t>
  </si>
  <si>
    <t>07. KalTimBar</t>
  </si>
  <si>
    <t>03.61-90</t>
  </si>
  <si>
    <t>1004</t>
  </si>
  <si>
    <t>04.91-120</t>
  </si>
  <si>
    <t>REMOFF</t>
  </si>
  <si>
    <t>1005</t>
  </si>
  <si>
    <t>BOGOR</t>
  </si>
  <si>
    <t>02. Jabotabek</t>
  </si>
  <si>
    <t>01. Jabodetabekser</t>
  </si>
  <si>
    <t>05.121-150</t>
  </si>
  <si>
    <t>1006</t>
  </si>
  <si>
    <t>06.151-180</t>
  </si>
  <si>
    <t>1007</t>
  </si>
  <si>
    <t>05. JatimSel</t>
  </si>
  <si>
    <t>04. Jawa Timur</t>
  </si>
  <si>
    <t>07.&gt;180</t>
  </si>
  <si>
    <t>PC</t>
  </si>
  <si>
    <t>1008</t>
  </si>
  <si>
    <t>01. Jabar</t>
  </si>
  <si>
    <t>02. Jawa Barat</t>
  </si>
  <si>
    <t>1009</t>
  </si>
  <si>
    <t>MADIUN</t>
  </si>
  <si>
    <t>06. JatimUt</t>
  </si>
  <si>
    <t>DCSM MIX</t>
  </si>
  <si>
    <t>1010</t>
  </si>
  <si>
    <t>MEDAN</t>
  </si>
  <si>
    <t>13. SumbagUt</t>
  </si>
  <si>
    <t>08. Sumbaguteng</t>
  </si>
  <si>
    <t>1011</t>
  </si>
  <si>
    <t>KELAPA GADING</t>
  </si>
  <si>
    <t>KELAPA GADING / SUNTER</t>
  </si>
  <si>
    <t>SUNTER</t>
  </si>
  <si>
    <t>1012</t>
  </si>
  <si>
    <t>1013</t>
  </si>
  <si>
    <t>03. JatengSel</t>
  </si>
  <si>
    <t>03. Jawa Tengah</t>
  </si>
  <si>
    <t>YOGYAKARTA</t>
  </si>
  <si>
    <t>1014</t>
  </si>
  <si>
    <t>1015</t>
  </si>
  <si>
    <t>04. Jatengut</t>
  </si>
  <si>
    <t>1016</t>
  </si>
  <si>
    <t>1017</t>
  </si>
  <si>
    <t>1018</t>
  </si>
  <si>
    <t>1019</t>
  </si>
  <si>
    <t>1020</t>
  </si>
  <si>
    <t>KLATEN</t>
  </si>
  <si>
    <t>1021</t>
  </si>
  <si>
    <t>KARANGANYAR</t>
  </si>
  <si>
    <t>1022</t>
  </si>
  <si>
    <t>12. SumbagTeng</t>
  </si>
  <si>
    <t>PEKANBARU</t>
  </si>
  <si>
    <t>1023</t>
  </si>
  <si>
    <t>PADANG</t>
  </si>
  <si>
    <t>1024</t>
  </si>
  <si>
    <t>TASIKMALAYA</t>
  </si>
  <si>
    <t>1025</t>
  </si>
  <si>
    <t>11. SumbagSel</t>
  </si>
  <si>
    <t>07. Sumbagsel</t>
  </si>
  <si>
    <t>PALEMBANG 1-4</t>
  </si>
  <si>
    <t>1026</t>
  </si>
  <si>
    <t>1027</t>
  </si>
  <si>
    <t>KISARAN</t>
  </si>
  <si>
    <t>RANTAU PRAPAT</t>
  </si>
  <si>
    <t>1028</t>
  </si>
  <si>
    <t>TEBING TINGGI</t>
  </si>
  <si>
    <t>PEMATANG SIANTAR</t>
  </si>
  <si>
    <t>1029</t>
  </si>
  <si>
    <t>1030</t>
  </si>
  <si>
    <t>1031</t>
  </si>
  <si>
    <t>TEGAL</t>
  </si>
  <si>
    <t>1032</t>
  </si>
  <si>
    <t>CIREBON</t>
  </si>
  <si>
    <t>1033</t>
  </si>
  <si>
    <t>SUBANG</t>
  </si>
  <si>
    <t>1034</t>
  </si>
  <si>
    <t>1035</t>
  </si>
  <si>
    <t>TULUNGAGUNG</t>
  </si>
  <si>
    <t>1036</t>
  </si>
  <si>
    <t>JEMBER</t>
  </si>
  <si>
    <t>BANYUWANGI</t>
  </si>
  <si>
    <t>1037</t>
  </si>
  <si>
    <t>LAMONGAN</t>
  </si>
  <si>
    <t>1038</t>
  </si>
  <si>
    <t>1040</t>
  </si>
  <si>
    <t>10. SulbagUt</t>
  </si>
  <si>
    <t>1041</t>
  </si>
  <si>
    <t>1042</t>
  </si>
  <si>
    <t>PALOPO</t>
  </si>
  <si>
    <t>PARE PARE</t>
  </si>
  <si>
    <t>1043</t>
  </si>
  <si>
    <t>MOJOKERTO</t>
  </si>
  <si>
    <t>1044</t>
  </si>
  <si>
    <t>1045</t>
  </si>
  <si>
    <t>KEDOYA</t>
  </si>
  <si>
    <t>1046</t>
  </si>
  <si>
    <t>BANDA ACEH</t>
  </si>
  <si>
    <t>1047</t>
  </si>
  <si>
    <t>1048</t>
  </si>
  <si>
    <t>LHOKSEUMAWE</t>
  </si>
  <si>
    <t>1049</t>
  </si>
  <si>
    <t>BINJAI</t>
  </si>
  <si>
    <t>1050</t>
  </si>
  <si>
    <t>BOJONEGORO</t>
  </si>
  <si>
    <t>1051</t>
  </si>
  <si>
    <t>TUBAN</t>
  </si>
  <si>
    <t>1052</t>
  </si>
  <si>
    <t>KENDARI</t>
  </si>
  <si>
    <t>1053</t>
  </si>
  <si>
    <t>GORONTALO</t>
  </si>
  <si>
    <t>1054</t>
  </si>
  <si>
    <t>POLEWALI</t>
  </si>
  <si>
    <t>1055</t>
  </si>
  <si>
    <t>BONE</t>
  </si>
  <si>
    <t>1056</t>
  </si>
  <si>
    <t>1057</t>
  </si>
  <si>
    <t>1058</t>
  </si>
  <si>
    <t>SUKABUMI</t>
  </si>
  <si>
    <t>1059</t>
  </si>
  <si>
    <t>BANDUNG 2 (CIMAHI)</t>
  </si>
  <si>
    <t>1060</t>
  </si>
  <si>
    <t>1061</t>
  </si>
  <si>
    <t>1062</t>
  </si>
  <si>
    <t>DURI</t>
  </si>
  <si>
    <t>1063</t>
  </si>
  <si>
    <t>JAMBI</t>
  </si>
  <si>
    <t>1064</t>
  </si>
  <si>
    <t>JAKARTA 3 (FATMAWATI)</t>
  </si>
  <si>
    <t>FATMAWATI</t>
  </si>
  <si>
    <t>1065</t>
  </si>
  <si>
    <t>1066</t>
  </si>
  <si>
    <t>1067</t>
  </si>
  <si>
    <t>MAGELANG</t>
  </si>
  <si>
    <t>1068</t>
  </si>
  <si>
    <t>1069</t>
  </si>
  <si>
    <t>LUBUK PAKAM</t>
  </si>
  <si>
    <t>1070</t>
  </si>
  <si>
    <t>RENGAT</t>
  </si>
  <si>
    <t>1071</t>
  </si>
  <si>
    <t>1072</t>
  </si>
  <si>
    <t>TARAKAN</t>
  </si>
  <si>
    <t>DCS</t>
  </si>
  <si>
    <t>1073</t>
  </si>
  <si>
    <t>BANJAR BARU</t>
  </si>
  <si>
    <t>DCSM</t>
  </si>
  <si>
    <t>1074</t>
  </si>
  <si>
    <t>DENPASAR</t>
  </si>
  <si>
    <t>14. IBT</t>
  </si>
  <si>
    <t>09. IBT</t>
  </si>
  <si>
    <t>1075</t>
  </si>
  <si>
    <t>1076</t>
  </si>
  <si>
    <t>PALU</t>
  </si>
  <si>
    <t>1077</t>
  </si>
  <si>
    <t>REMBANG</t>
  </si>
  <si>
    <t>1078</t>
  </si>
  <si>
    <t>SANGGAU</t>
  </si>
  <si>
    <t>1079</t>
  </si>
  <si>
    <t>BENGKULU</t>
  </si>
  <si>
    <t>1080</t>
  </si>
  <si>
    <t>BEKASI 2</t>
  </si>
  <si>
    <t>1082</t>
  </si>
  <si>
    <t>UJUNG BATU (ROKAN HULU)</t>
  </si>
  <si>
    <t>UJUNG BATU</t>
  </si>
  <si>
    <t>1083</t>
  </si>
  <si>
    <t>LUBUK LINGGAU</t>
  </si>
  <si>
    <t>1086</t>
  </si>
  <si>
    <t>MAKASSAR 2</t>
  </si>
  <si>
    <t>1087</t>
  </si>
  <si>
    <t>1088</t>
  </si>
  <si>
    <t>BANDAR JAYA</t>
  </si>
  <si>
    <t>1089</t>
  </si>
  <si>
    <t>KUPANG</t>
  </si>
  <si>
    <t>1090</t>
  </si>
  <si>
    <t>BUKITTINGGI</t>
  </si>
  <si>
    <t>1094</t>
  </si>
  <si>
    <t>MEDAN 2</t>
  </si>
  <si>
    <t>1095</t>
  </si>
  <si>
    <t>MEDAN 3</t>
  </si>
  <si>
    <t>1301</t>
  </si>
  <si>
    <t>BANJARMASIN Syariah</t>
  </si>
  <si>
    <t>1302</t>
  </si>
  <si>
    <t>MAKASAR Syariah</t>
  </si>
  <si>
    <t>1303</t>
  </si>
  <si>
    <t>BALIKPAPAN Syariah</t>
  </si>
  <si>
    <t>1304</t>
  </si>
  <si>
    <t>SAMARINDA Syariah</t>
  </si>
  <si>
    <t>1305</t>
  </si>
  <si>
    <t>BOGOR Syariah</t>
  </si>
  <si>
    <t>1306</t>
  </si>
  <si>
    <t>BEKASI Syariah</t>
  </si>
  <si>
    <t>1307</t>
  </si>
  <si>
    <t>KEDIRI Syariah</t>
  </si>
  <si>
    <t>1308</t>
  </si>
  <si>
    <t>KARAWANG Syariah</t>
  </si>
  <si>
    <t>1310</t>
  </si>
  <si>
    <t>MEDAN Syariah</t>
  </si>
  <si>
    <t>1311</t>
  </si>
  <si>
    <t>KELAPA GADING Syariah</t>
  </si>
  <si>
    <t>1312</t>
  </si>
  <si>
    <t>BANDUNG Syariah</t>
  </si>
  <si>
    <t>1314</t>
  </si>
  <si>
    <t>SOLO Syariah</t>
  </si>
  <si>
    <t>1315</t>
  </si>
  <si>
    <t>SEMARANG Syariah</t>
  </si>
  <si>
    <t>1316</t>
  </si>
  <si>
    <t>SURABAYA Syariah</t>
  </si>
  <si>
    <t>1317</t>
  </si>
  <si>
    <t>MALANG Syariah</t>
  </si>
  <si>
    <t>1318</t>
  </si>
  <si>
    <t>SIDOARJO Syariah</t>
  </si>
  <si>
    <t>1319</t>
  </si>
  <si>
    <t>GRESIK Syariah</t>
  </si>
  <si>
    <t>1320</t>
  </si>
  <si>
    <t>KLATEN Syariah</t>
  </si>
  <si>
    <t>1322</t>
  </si>
  <si>
    <t>PEKAN BARU Syariah</t>
  </si>
  <si>
    <t>1323</t>
  </si>
  <si>
    <t>PADANG Syariah</t>
  </si>
  <si>
    <t>1324</t>
  </si>
  <si>
    <t>TASIKMALAYA Syariah</t>
  </si>
  <si>
    <t>1325</t>
  </si>
  <si>
    <t>PALEMBANG Syariah</t>
  </si>
  <si>
    <t>1326</t>
  </si>
  <si>
    <t>TANGERANG Syariah</t>
  </si>
  <si>
    <t>1329</t>
  </si>
  <si>
    <t>PEMATANG SIANTAR Syariah</t>
  </si>
  <si>
    <t>1330</t>
  </si>
  <si>
    <t>RANTAU PRAPAT Syariah</t>
  </si>
  <si>
    <t>1331</t>
  </si>
  <si>
    <t>PEKALONGAN Syariah</t>
  </si>
  <si>
    <t>1332</t>
  </si>
  <si>
    <t>CIREBON Syariah</t>
  </si>
  <si>
    <t>1333</t>
  </si>
  <si>
    <t>SUBANG Syariah</t>
  </si>
  <si>
    <t>1334</t>
  </si>
  <si>
    <t>DEPOK Syariah</t>
  </si>
  <si>
    <t>1338</t>
  </si>
  <si>
    <t>BANYUWANGI Syariah</t>
  </si>
  <si>
    <t>1340</t>
  </si>
  <si>
    <t>MANADO Syariah</t>
  </si>
  <si>
    <t>1341</t>
  </si>
  <si>
    <t>PONTIANAK Syariah</t>
  </si>
  <si>
    <t>1343</t>
  </si>
  <si>
    <t>MOJOKERTO Syariah</t>
  </si>
  <si>
    <t>1344</t>
  </si>
  <si>
    <t>KUDUS Syariah</t>
  </si>
  <si>
    <t>1345</t>
  </si>
  <si>
    <t>KEDOYA Syariah</t>
  </si>
  <si>
    <t>1347</t>
  </si>
  <si>
    <t>BATAM Syariah</t>
  </si>
  <si>
    <t>1349</t>
  </si>
  <si>
    <t>BINJAI Syariah</t>
  </si>
  <si>
    <t>1350</t>
  </si>
  <si>
    <t>BOJONEGORO Syariah</t>
  </si>
  <si>
    <t>1351</t>
  </si>
  <si>
    <t>TUBAN Syariah</t>
  </si>
  <si>
    <t>1353</t>
  </si>
  <si>
    <t>GORONTALO Syariah</t>
  </si>
  <si>
    <t>1356</t>
  </si>
  <si>
    <t>SERANG Syariah</t>
  </si>
  <si>
    <t>1357</t>
  </si>
  <si>
    <t>PALANGKARAYA Syariah</t>
  </si>
  <si>
    <t>1359</t>
  </si>
  <si>
    <t>BANDUNG 2 Syariah</t>
  </si>
  <si>
    <t>1360</t>
  </si>
  <si>
    <t>BLITAR Syariah</t>
  </si>
  <si>
    <t>1361</t>
  </si>
  <si>
    <t>BARABAI Syariah</t>
  </si>
  <si>
    <t>1362</t>
  </si>
  <si>
    <t>DURI Syariah</t>
  </si>
  <si>
    <t>1363</t>
  </si>
  <si>
    <t>JAMBI Syariah</t>
  </si>
  <si>
    <t>1364</t>
  </si>
  <si>
    <t>JAKARTA 3 (FATMAWATI) Syariah</t>
  </si>
  <si>
    <t>1365</t>
  </si>
  <si>
    <t>PURWOKERTO Syariah</t>
  </si>
  <si>
    <t>1367</t>
  </si>
  <si>
    <t>MAGELANG Syariah</t>
  </si>
  <si>
    <t>1368</t>
  </si>
  <si>
    <t>PAREPARE Syariah</t>
  </si>
  <si>
    <t>1370</t>
  </si>
  <si>
    <t>RENGAT Syariah</t>
  </si>
  <si>
    <t>1371</t>
  </si>
  <si>
    <t>PURWAKARTA Syariah</t>
  </si>
  <si>
    <t>1372</t>
  </si>
  <si>
    <t>TARAKAN Syariah</t>
  </si>
  <si>
    <t>1373</t>
  </si>
  <si>
    <t>BANJAR BARU Syariah</t>
  </si>
  <si>
    <t>1374</t>
  </si>
  <si>
    <t>DENPASAR Syariah</t>
  </si>
  <si>
    <t>1375</t>
  </si>
  <si>
    <t>BANDAR LAMPUNG Syariah</t>
  </si>
  <si>
    <t>1376</t>
  </si>
  <si>
    <t>PALU Syariah</t>
  </si>
  <si>
    <t>1377</t>
  </si>
  <si>
    <t>REMBANG Syariah</t>
  </si>
  <si>
    <t>1378</t>
  </si>
  <si>
    <t>SANGGAU Syariah</t>
  </si>
  <si>
    <t>1380</t>
  </si>
  <si>
    <t>BEKASI 2 Syariah</t>
  </si>
  <si>
    <t>1382</t>
  </si>
  <si>
    <t>UJUNG BATU (ROKAN HULU) Syariah</t>
  </si>
  <si>
    <t>1386</t>
  </si>
  <si>
    <t>MAKASSAR 2 Syariah</t>
  </si>
  <si>
    <t>1387</t>
  </si>
  <si>
    <t>SAMPIT Syariah</t>
  </si>
  <si>
    <t>1388</t>
  </si>
  <si>
    <t>BANDAR JAYA Syariah</t>
  </si>
  <si>
    <t>1389</t>
  </si>
  <si>
    <t>KUPANG Syariah</t>
  </si>
  <si>
    <t>1390</t>
  </si>
  <si>
    <t>BUKITTINGGI Syariah</t>
  </si>
  <si>
    <t>2000</t>
  </si>
  <si>
    <t>DENPASAR FLEXY</t>
  </si>
  <si>
    <t>1097</t>
  </si>
  <si>
    <t>PALEMBANG 2</t>
  </si>
  <si>
    <t>1096</t>
  </si>
  <si>
    <t>MATARAM</t>
  </si>
  <si>
    <t>1098</t>
  </si>
  <si>
    <t>PANGKALPINANG 2W</t>
  </si>
  <si>
    <t>PANGKAL PINANG</t>
  </si>
  <si>
    <t>1099</t>
  </si>
  <si>
    <t>MANADO 2</t>
  </si>
  <si>
    <t>TERNATE</t>
  </si>
  <si>
    <t>1501</t>
  </si>
  <si>
    <t>01. Jakarta 1</t>
  </si>
  <si>
    <t>1502</t>
  </si>
  <si>
    <t>KEMAYORAN - MBL</t>
  </si>
  <si>
    <t>02. Jakarta 2</t>
  </si>
  <si>
    <t>1503</t>
  </si>
  <si>
    <t>11. Bali &amp; Nusa Tenggara</t>
  </si>
  <si>
    <t>1504</t>
  </si>
  <si>
    <t>05. Jawa Timur</t>
  </si>
  <si>
    <t>1505</t>
  </si>
  <si>
    <t>03. Jawa Barat</t>
  </si>
  <si>
    <t>1506</t>
  </si>
  <si>
    <t>1507</t>
  </si>
  <si>
    <t>1508</t>
  </si>
  <si>
    <t>1509</t>
  </si>
  <si>
    <t>04. Jawa Tengah</t>
  </si>
  <si>
    <t>1510</t>
  </si>
  <si>
    <t>1511</t>
  </si>
  <si>
    <t>09. Kalimantan</t>
  </si>
  <si>
    <t>1512</t>
  </si>
  <si>
    <t>1513</t>
  </si>
  <si>
    <t>1514</t>
  </si>
  <si>
    <t>10. Sulawesi</t>
  </si>
  <si>
    <t>1515</t>
  </si>
  <si>
    <t>KUDUS - MBL</t>
  </si>
  <si>
    <t>1516</t>
  </si>
  <si>
    <t>1517</t>
  </si>
  <si>
    <t>1518</t>
  </si>
  <si>
    <t>FATMAWATI - MBL</t>
  </si>
  <si>
    <t>DEWI SARTIKA</t>
  </si>
  <si>
    <t>1519</t>
  </si>
  <si>
    <t>1520</t>
  </si>
  <si>
    <t>07. Sumatera Tengah</t>
  </si>
  <si>
    <t>1521</t>
  </si>
  <si>
    <t>1522</t>
  </si>
  <si>
    <t>08. Sumatera Utara</t>
  </si>
  <si>
    <t>1523</t>
  </si>
  <si>
    <t>1524</t>
  </si>
  <si>
    <t>1525</t>
  </si>
  <si>
    <t>1526</t>
  </si>
  <si>
    <t>1527</t>
  </si>
  <si>
    <t>1528</t>
  </si>
  <si>
    <t>1529</t>
  </si>
  <si>
    <t>1531</t>
  </si>
  <si>
    <t>1532</t>
  </si>
  <si>
    <t>06. Sumatera Selatan</t>
  </si>
  <si>
    <t>1533</t>
  </si>
  <si>
    <t>1534</t>
  </si>
  <si>
    <t>1535</t>
  </si>
  <si>
    <t>1536</t>
  </si>
  <si>
    <t>1537</t>
  </si>
  <si>
    <t>1538</t>
  </si>
  <si>
    <t>PANGKALPINANG - MBL</t>
  </si>
  <si>
    <t>1539</t>
  </si>
  <si>
    <t>1540</t>
  </si>
  <si>
    <t>1541</t>
  </si>
  <si>
    <t>1542</t>
  </si>
  <si>
    <t>1543</t>
  </si>
  <si>
    <t>BEKASI (III) - MBL</t>
  </si>
  <si>
    <t>1544</t>
  </si>
  <si>
    <t>1545</t>
  </si>
  <si>
    <t>1546</t>
  </si>
  <si>
    <t>1547</t>
  </si>
  <si>
    <t>1548</t>
  </si>
  <si>
    <t>KEDOYA 2 - MBL</t>
  </si>
  <si>
    <t>1549</t>
  </si>
  <si>
    <t>SURABAYA 3 - MBL</t>
  </si>
  <si>
    <t>1550</t>
  </si>
  <si>
    <t>1551</t>
  </si>
  <si>
    <t>1552</t>
  </si>
  <si>
    <t>1553</t>
  </si>
  <si>
    <t>1554</t>
  </si>
  <si>
    <t>1039</t>
  </si>
  <si>
    <t>BAWEN</t>
  </si>
  <si>
    <t>1801</t>
  </si>
  <si>
    <t>OBM - SFI KANTOR PUSAT</t>
  </si>
  <si>
    <t>15. OBM</t>
  </si>
  <si>
    <t>OBM</t>
  </si>
  <si>
    <t>10. OBM</t>
  </si>
  <si>
    <t>HO</t>
  </si>
  <si>
    <t>1802</t>
  </si>
  <si>
    <t>OBM - DENPASAR</t>
  </si>
  <si>
    <t>1803</t>
  </si>
  <si>
    <t>OBM - MANADO</t>
  </si>
  <si>
    <t>1000</t>
  </si>
  <si>
    <t>1804</t>
  </si>
  <si>
    <t>OBM - BALIKPAPAN</t>
  </si>
  <si>
    <t>1806</t>
  </si>
  <si>
    <t>OBM - GORONTALO</t>
  </si>
  <si>
    <t>1805</t>
  </si>
  <si>
    <t>OBM - TERNATE</t>
  </si>
  <si>
    <t>Nasional</t>
  </si>
  <si>
    <t>RESIDENCE_ADDRESS</t>
  </si>
  <si>
    <t>LEGAL_ADDRESS</t>
  </si>
  <si>
    <t>JOB_ADDRESS</t>
  </si>
  <si>
    <t>EMERGENCY_ADDRESS</t>
  </si>
  <si>
    <t>1501210000232</t>
  </si>
  <si>
    <t>SIRAT BIN AMAT</t>
  </si>
  <si>
    <t>087782266130</t>
  </si>
  <si>
    <t>KOMP DEPAG NO 21 RT 004 /RW 003, KEDAUNG KALI ANGKE, CENGKARENG, JAKARTA BARAT, 11710</t>
  </si>
  <si>
    <t>SOAMAETEK RT 001 /RW 001, SOAMAETEK, KAO BARAT, HALMAHERA UTARA, 97764</t>
  </si>
  <si>
    <t>DESA SOAMAETEK RT 001 /RW 001, SOAMAETEK, KAO BARAT, HALMAHERA UTARA, 97764</t>
  </si>
  <si>
    <t>New Cabang</t>
  </si>
  <si>
    <t>Payment Type-1</t>
  </si>
  <si>
    <t>Payment Type-2</t>
  </si>
  <si>
    <t>Payment Type-3</t>
  </si>
  <si>
    <t>Review</t>
  </si>
  <si>
    <t>Final</t>
  </si>
  <si>
    <t>Pendapatan Denda</t>
  </si>
  <si>
    <t>% Pengali</t>
  </si>
  <si>
    <t>Grup Denda</t>
  </si>
  <si>
    <t>PaymentType</t>
  </si>
  <si>
    <t>Note</t>
  </si>
  <si>
    <t>T-ATM</t>
  </si>
  <si>
    <t>Non Pick UP</t>
  </si>
  <si>
    <t>500,000 &lt;</t>
  </si>
  <si>
    <t>CASH</t>
  </si>
  <si>
    <t>T-Pick Up (ARO)</t>
  </si>
  <si>
    <t>T-PICK UP (ARO)</t>
  </si>
  <si>
    <t>Pick UP</t>
  </si>
  <si>
    <t>1,000,000 &lt;</t>
  </si>
  <si>
    <t>ARJAS</t>
  </si>
  <si>
    <t>T-Kas</t>
  </si>
  <si>
    <t>T-KAS</t>
  </si>
  <si>
    <t>Cashier</t>
  </si>
  <si>
    <t>2,000,000 &lt;</t>
  </si>
  <si>
    <t>T-Bank</t>
  </si>
  <si>
    <t>T-BANK</t>
  </si>
  <si>
    <t>2,000,000 &gt;</t>
  </si>
  <si>
    <t>BLIBLI</t>
  </si>
  <si>
    <t>T-ARTA JASA</t>
  </si>
  <si>
    <t>Online Payment</t>
  </si>
  <si>
    <t>Payment Online</t>
  </si>
  <si>
    <t>BUKALAPAK</t>
  </si>
  <si>
    <t>T-Dealer</t>
  </si>
  <si>
    <t>T-DEALER</t>
  </si>
  <si>
    <t>PIC</t>
  </si>
  <si>
    <t>Grup PIC</t>
  </si>
  <si>
    <t>T-DCS</t>
  </si>
  <si>
    <t>ARO 1</t>
  </si>
  <si>
    <t>01. STAFF</t>
  </si>
  <si>
    <t>DANA</t>
  </si>
  <si>
    <t>T-EDC</t>
  </si>
  <si>
    <t>ARO 2</t>
  </si>
  <si>
    <t>GOJEK</t>
  </si>
  <si>
    <t>T-Titipan</t>
  </si>
  <si>
    <t>T-TITIPAN</t>
  </si>
  <si>
    <t>REM OFF</t>
  </si>
  <si>
    <t>T-Kas SYB</t>
  </si>
  <si>
    <t>T-KAS SYB</t>
  </si>
  <si>
    <t>AR COORD</t>
  </si>
  <si>
    <t>02. COORD</t>
  </si>
  <si>
    <t>LINKAJA</t>
  </si>
  <si>
    <t>T-PDC</t>
  </si>
  <si>
    <t>REM COORD</t>
  </si>
  <si>
    <t>T-INDOMARET</t>
  </si>
  <si>
    <t>AR HEAD</t>
  </si>
  <si>
    <t>03. HEAD</t>
  </si>
  <si>
    <t>PMTA</t>
  </si>
  <si>
    <t>T-Alfamart</t>
  </si>
  <si>
    <t>T-ALFAMART</t>
  </si>
  <si>
    <t>PSO HEAD</t>
  </si>
  <si>
    <t>Dealer</t>
  </si>
  <si>
    <t>REM HEAD</t>
  </si>
  <si>
    <t>SHOPEE</t>
  </si>
  <si>
    <t>REC HEAD</t>
  </si>
  <si>
    <t>04. RECOVERY</t>
  </si>
  <si>
    <t>SYBMANDIRI</t>
  </si>
  <si>
    <t>Pick Up (ARO)</t>
  </si>
  <si>
    <t>REC COORD</t>
  </si>
  <si>
    <t>TOKOPEDIA</t>
  </si>
  <si>
    <t>Titipan</t>
  </si>
  <si>
    <t>ADD INS</t>
  </si>
  <si>
    <t>05. ADD INS</t>
  </si>
  <si>
    <t>Kas</t>
  </si>
  <si>
    <t>REWARD ENTRANT</t>
  </si>
  <si>
    <t>Alfamrt</t>
  </si>
  <si>
    <t>OUTSOURCE</t>
  </si>
  <si>
    <t>07. OUTSOURCE</t>
  </si>
  <si>
    <t>Artha Jasa</t>
  </si>
  <si>
    <t>Bank</t>
  </si>
  <si>
    <t>Cash</t>
  </si>
  <si>
    <t>PDC</t>
  </si>
  <si>
    <t>Permata</t>
  </si>
  <si>
    <t>Pickup</t>
  </si>
  <si>
    <t>Suspend</t>
  </si>
  <si>
    <t>ADIKP</t>
  </si>
  <si>
    <t>T-PMTA</t>
  </si>
  <si>
    <t>T-TOKOPEDIA</t>
  </si>
  <si>
    <t>T-GOJEK</t>
  </si>
  <si>
    <t>T-BUKALAPAK</t>
  </si>
  <si>
    <t>T-SHOPEE</t>
  </si>
  <si>
    <t>T-LINKAJA</t>
  </si>
  <si>
    <t>T-DANA</t>
  </si>
  <si>
    <t>T-BLIBLI</t>
  </si>
  <si>
    <t>BRILINK</t>
  </si>
  <si>
    <t>BRIMO</t>
  </si>
  <si>
    <t>OVO</t>
  </si>
  <si>
    <t>BNI</t>
  </si>
  <si>
    <t>AUTODEBETBRI2</t>
  </si>
  <si>
    <t>AUTODEBETBCA</t>
  </si>
  <si>
    <t>BRANCHID</t>
  </si>
  <si>
    <t>Periode ( TGL_PEMBAYARAN )</t>
  </si>
  <si>
    <t>Periode ( TANGGAL_BAYAR_ANGS_TERAKHIR )</t>
  </si>
  <si>
    <t>Flag Alda / Aktif</t>
  </si>
  <si>
    <t>Cek Alda / Aktif</t>
  </si>
  <si>
    <t>Tgl ( TGL_PEMBAYARAN )</t>
  </si>
  <si>
    <t>Unit Pakai</t>
  </si>
  <si>
    <t>Target Alda November 2025</t>
  </si>
  <si>
    <t>Actual Alda November 2025</t>
  </si>
  <si>
    <t>Total Penerimaan Alda</t>
  </si>
  <si>
    <t>Detail Penerimaan Denda Alda By Portfolio</t>
  </si>
  <si>
    <t>Actual Denda Alda By Portfolio</t>
  </si>
  <si>
    <t>Actual Denda Alda By Payment Type</t>
  </si>
  <si>
    <t>Detail Penerimaan Denda Alda By By Payment Type</t>
  </si>
  <si>
    <t>25-10</t>
  </si>
  <si>
    <t>25-02</t>
  </si>
  <si>
    <t>ALDA</t>
  </si>
  <si>
    <t>25-08</t>
  </si>
  <si>
    <t>24-12</t>
  </si>
  <si>
    <t>25-09</t>
  </si>
  <si>
    <t>25-05</t>
  </si>
  <si>
    <t>25-04</t>
  </si>
  <si>
    <t>24-11</t>
  </si>
  <si>
    <t>25-03</t>
  </si>
  <si>
    <t>25-07</t>
  </si>
  <si>
    <t>25-06</t>
  </si>
  <si>
    <t>24-10</t>
  </si>
  <si>
    <t>July</t>
  </si>
  <si>
    <t>25-11</t>
  </si>
  <si>
    <t>Portfolio</t>
  </si>
  <si>
    <t>DAILY DENDA AKTIF</t>
  </si>
  <si>
    <t>TOTAL DENDA AKTIF</t>
  </si>
  <si>
    <t>4W Nasional</t>
  </si>
  <si>
    <t>2W Nasional</t>
  </si>
  <si>
    <t>All Whell Nasional</t>
  </si>
  <si>
    <t>Total Denda All Whell</t>
  </si>
  <si>
    <t>Unit Pakai As of</t>
  </si>
  <si>
    <t>Diff Actual Denda Alda Vs Target Alda</t>
  </si>
  <si>
    <t>Grand Total</t>
  </si>
  <si>
    <t>TARGET Des 25</t>
  </si>
  <si>
    <t>Pangkal Pinang</t>
  </si>
  <si>
    <t>Sumatera Total</t>
  </si>
  <si>
    <t>Sulawesi Total</t>
  </si>
  <si>
    <t>Kalimantan Total</t>
  </si>
  <si>
    <t>Jatim Total</t>
  </si>
  <si>
    <t>Jateng Total</t>
  </si>
  <si>
    <t>Jabodetabekser Total</t>
  </si>
  <si>
    <t>Jabar Total</t>
  </si>
  <si>
    <t>IBT Total</t>
  </si>
  <si>
    <t>Cab Ver Collection</t>
  </si>
  <si>
    <t>25-12</t>
  </si>
  <si>
    <t>Target Alda</t>
  </si>
  <si>
    <t>BUDGET 2026</t>
  </si>
  <si>
    <t>26-01</t>
  </si>
  <si>
    <t>Target 2W</t>
  </si>
  <si>
    <t>Target 4W</t>
  </si>
  <si>
    <t>Total</t>
  </si>
  <si>
    <t>01.  Jabodetabekser</t>
  </si>
  <si>
    <t>02.  Jabar</t>
  </si>
  <si>
    <t>03.  Jateng</t>
  </si>
  <si>
    <t>04.  Jatim</t>
  </si>
  <si>
    <t>05.  Kalimantan</t>
  </si>
  <si>
    <t>06.  Sulawesi</t>
  </si>
  <si>
    <t>07.  Sumbagsel</t>
  </si>
  <si>
    <t>08.  Sumbaguteng</t>
  </si>
  <si>
    <t>TOTAL</t>
  </si>
  <si>
    <t>ara</t>
  </si>
  <si>
    <t>NMAX</t>
  </si>
  <si>
    <t>26-02</t>
  </si>
  <si>
    <t>26-03</t>
  </si>
  <si>
    <t>2016</t>
  </si>
  <si>
    <t>2015</t>
  </si>
  <si>
    <t>NEW BEAT ESP</t>
  </si>
  <si>
    <t>2013</t>
  </si>
  <si>
    <t>2017</t>
  </si>
  <si>
    <t>1520210000343</t>
  </si>
  <si>
    <t>SELAMAT</t>
  </si>
  <si>
    <t>082284901649</t>
  </si>
  <si>
    <t>B.BADAK II RT 002 /RW 005, KOTA PARET/PARIT, SIMPANG KANAN, ROKAN HILIR, 28992</t>
  </si>
  <si>
    <t>1506220000091</t>
  </si>
  <si>
    <t>MARADEN TAMBUNAN</t>
  </si>
  <si>
    <t>081280679442</t>
  </si>
  <si>
    <t>KP. RAWA KALONG RT 001 /RW 003, KARANGSATRIA, TAMBUN UTARA, BEKASI, 17510</t>
  </si>
  <si>
    <t>KP RAWA KALONG KARANGSATRIA RT 000 /RW 000, KARANGSATRIA, TAMBUN UTARA, BEKASI, 17510</t>
  </si>
  <si>
    <t>JIMNY 5 DOOR</t>
  </si>
  <si>
    <t>2014</t>
  </si>
  <si>
    <t>2024</t>
  </si>
  <si>
    <t>KAWASAKI</t>
  </si>
  <si>
    <t>1504220000083</t>
  </si>
  <si>
    <t>AMRU S SOS MSI</t>
  </si>
  <si>
    <t>082131941609</t>
  </si>
  <si>
    <t>082233104499</t>
  </si>
  <si>
    <t>GUNUNGSARI 1/37 RT 008 /RW 007, SAWUNGGALING, WONOKROMO, SURABAYA, 60242</t>
  </si>
  <si>
    <t>JL RAYA MENGANTI NO 26 RT 000 /RW 000, MENGANTI, MENGANTI, GRESIK, 61174</t>
  </si>
  <si>
    <t>Borrow</t>
  </si>
  <si>
    <t>1001240000024</t>
  </si>
  <si>
    <t>FATHULLAH</t>
  </si>
  <si>
    <t>081250850858</t>
  </si>
  <si>
    <t>JL. SASARAN RT 002 /RW 001, KERATON, MARTAPURA, BANJAR, 70611</t>
  </si>
  <si>
    <t>JL. SASARAN RT 000 /RW 000, KERATON, MARTAPURA, BANJAR, 70611</t>
  </si>
  <si>
    <t>1521200000279</t>
  </si>
  <si>
    <t>ARYA DANY</t>
  </si>
  <si>
    <t>087753626920</t>
  </si>
  <si>
    <t>081943651300</t>
  </si>
  <si>
    <t>JL. PROPINSI RT 001 /RW 002, SEI/SUNGAI CUKA, SATUI, TANAH BUMBU, 72275</t>
  </si>
  <si>
    <t>JL. PROPINSI  RT 001 /RW 002, SEI/SUNGAI CUKA, SATUI, TANAH BUMBU, 72275</t>
  </si>
  <si>
    <t>BALENO</t>
  </si>
  <si>
    <t>1533210000081</t>
  </si>
  <si>
    <t>DJELITA RAHEL LOMBOAN</t>
  </si>
  <si>
    <t>082188793907</t>
  </si>
  <si>
    <t>085240045745</t>
  </si>
  <si>
    <t>LINGK I KEL MASARANG KEC TONDANO BARAT KAB MINAHASA RT 0 /RW 0, MASARANG, TONDANO BARAT, MINAHASA, 95616</t>
  </si>
  <si>
    <t>LINGK II KEL TUMATANGTANG SATU KEC TOMOHON SELATAN KOTA TOMOHON RT 0 /RW 0, TUMATANGTANG SATU , TOMOHON SELATAN, TOMOHON, 95439</t>
  </si>
  <si>
    <t>PASAR TONDANO KEL WAWALINTOUAN KEC TONDANO BARAT KAB MINAHASA RT 000 /RW 000, WAWALINTOUAN, TONDANO BARAT, MINAHASA, 95616</t>
  </si>
  <si>
    <t>NEW R 15</t>
  </si>
  <si>
    <t>2012</t>
  </si>
  <si>
    <t>1524200000168</t>
  </si>
  <si>
    <t>TARJANI</t>
  </si>
  <si>
    <t>081902119255</t>
  </si>
  <si>
    <t>KETANGGUNGAN RT 03 /RW 05, KETANGGUNGAN, KETANGGUNGAN, BREBES, 52263</t>
  </si>
  <si>
    <t>KETANGGUNGAN RT 0 /RW 0, KETANGGUNGAN, KETANGGUNGAN, BREBES, 52263</t>
  </si>
  <si>
    <t>26-04</t>
  </si>
  <si>
    <t>24-08</t>
  </si>
  <si>
    <t>21-10</t>
  </si>
  <si>
    <t>CARRY PU 1.5 WD</t>
  </si>
  <si>
    <t>24-09</t>
  </si>
  <si>
    <t>22-11</t>
  </si>
  <si>
    <t>22-03</t>
  </si>
  <si>
    <t>24-02</t>
  </si>
  <si>
    <t>23-07</t>
  </si>
  <si>
    <t>1516220000067</t>
  </si>
  <si>
    <t>HERMAWAN</t>
  </si>
  <si>
    <t>087773688887</t>
  </si>
  <si>
    <t>KP. SAJIR RT 001 /RW 001, CIKAREO, CILELES, LEBAK, 42353</t>
  </si>
  <si>
    <t>PASAR SAJIR RT 001 /RW 001, CIKAREO, CILELES, LEBAK, 42353</t>
  </si>
  <si>
    <t>1507220000185</t>
  </si>
  <si>
    <t>TONO</t>
  </si>
  <si>
    <t>087808611662</t>
  </si>
  <si>
    <t>KP DUKU PINANG  RT 004 /RW 003, BOJONG NANGKA, KELAPA DUA, TANGERANG, 15810</t>
  </si>
  <si>
    <t>KP DUKU PINANG RT 004 /RW 003, BOJONG NANGKA, KELAPA DUA, TANGERANG, 15810</t>
  </si>
  <si>
    <t>1014220000675</t>
  </si>
  <si>
    <t>WAWAN ISNANTO</t>
  </si>
  <si>
    <t>08997899075</t>
  </si>
  <si>
    <t>SUROTELENG KULON RT 3 /RW 2, SUROTELENG, SELO, BOYOLALI, 57363</t>
  </si>
  <si>
    <t>KLEMUDAN RT 26 /RW 9, GADEN, TRUCUK, KLATEN, 57467</t>
  </si>
  <si>
    <t>GAWANAN TIMUR RT 1 /RW 6, GAWANAN, COLOMADU, KARANGANYAR, 57175</t>
  </si>
  <si>
    <t>1014230000061</t>
  </si>
  <si>
    <t>HANDOKO</t>
  </si>
  <si>
    <t>AEROX</t>
  </si>
  <si>
    <t>0895422630397</t>
  </si>
  <si>
    <t>SROYO RT 8 /RW 10, SROYO, JATEN, KARANGANYAR, 57731</t>
  </si>
  <si>
    <t>PUNGKUK RT 0 /RW 0, JETIS, JATEN, KARANGANYAR, 57731</t>
  </si>
  <si>
    <t>1533200000308</t>
  </si>
  <si>
    <t>MARSELLUS NAJOAN S PD</t>
  </si>
  <si>
    <t>085298401416</t>
  </si>
  <si>
    <t>JAGA V DESA KOKA KEC TOMBULU KAB MINAHASA RT 000 /RW 000, KOKA, TOMBULU, MINAHASA, 95661</t>
  </si>
  <si>
    <t>DESA KOKA KEC TOMBULU KAB MINAHASA RT 000 /RW 000, KOKA, TOMBULU, MINAHASA, 95661</t>
  </si>
  <si>
    <t>1535220000051</t>
  </si>
  <si>
    <t>DEBI IRAWAN SE</t>
  </si>
  <si>
    <t>082372838660</t>
  </si>
  <si>
    <t>LR SINAR BULAN  RT 011 /RW 004, SUNGSANG I, BANYUASIN II, BANYUASIN, 30771</t>
  </si>
  <si>
    <t>JL TALANG KEPUH KOMPLEK GRAND CITRA MANDIRI BLOK G7 RT 018 /RW 005, GANDUS, GANDUS, PALEMBANG, 30149</t>
  </si>
  <si>
    <t>LR SINAR  BULAN RT 011 /RW 004, SUNGSANG I, BANYUASIN II, BANYUASIN, 30771</t>
  </si>
  <si>
    <t>1501210000358</t>
  </si>
  <si>
    <t>FERI FADLI</t>
  </si>
  <si>
    <t>089662536610</t>
  </si>
  <si>
    <t>KP PERIGI KOONG RT 005 /RW 007, BEDAHAN, SAWANGAN, DEPOK, 16519</t>
  </si>
  <si>
    <t>KP PERIGI KOONG  RT 005 /RW 007, BEDAHAN, SAWANGAN, DEPOK, 16519</t>
  </si>
  <si>
    <t>1507220000119</t>
  </si>
  <si>
    <t>M SOPYAN</t>
  </si>
  <si>
    <t>085213866123</t>
  </si>
  <si>
    <t>JL. JAMBU RT 002 /RW 004, KEDAUNG, SAWANGAN, DEPOK, 16516</t>
  </si>
  <si>
    <t>JL.JAMBU  RT 002 /RW 004, KEDAUNG, SAWANGAN, DEPOK, 16516</t>
  </si>
  <si>
    <t>1507230000158</t>
  </si>
  <si>
    <t>ARDI</t>
  </si>
  <si>
    <t>081190071717</t>
  </si>
  <si>
    <t>081932111171</t>
  </si>
  <si>
    <t>KP PERUMPUNG  RT 002 /RW 003, GUNUNG SINDUR, GUNUNG SINDUR, BOGOR, 16340</t>
  </si>
  <si>
    <t>KP MUNCUL  RT 011 /RW 003, SETU, SETU, TANGERANG SELATAN, 15314</t>
  </si>
  <si>
    <t>1015230000005</t>
  </si>
  <si>
    <t>MAMIK SUSILOWATI</t>
  </si>
  <si>
    <t>081392466620</t>
  </si>
  <si>
    <t>PERUM PESONA ASRI III NO. 24 RT 02 RW 13 PEDURUNGAN TENGAH PEDURUNGAN RT 002 /RW 013, PEDURUNGAN TENGAH, PEDURUNGAN, SEMARANG, 50192</t>
  </si>
  <si>
    <t>JL PEDURUNGAN LOR RT 000 /RW 000, PEDURUNGAN TENGAH, PEDURUNGAN, SEMARANG, 50192</t>
  </si>
  <si>
    <t>1014230000076</t>
  </si>
  <si>
    <t>SUNARNO</t>
  </si>
  <si>
    <t>083834613197</t>
  </si>
  <si>
    <t>POMAH RT 3 /RW 2, POMAH, TULUNG, KLATEN, 57482</t>
  </si>
  <si>
    <t>1534220000068</t>
  </si>
  <si>
    <t>HENDRI AHMAD ALAMSYAH</t>
  </si>
  <si>
    <t>081239172796</t>
  </si>
  <si>
    <t>SEWUREJO RT 011 /RW 000, MOJOKERTO, KEDAWUNG, SRAGEN, 57292</t>
  </si>
  <si>
    <t>JL. TIMUR RAYA
 RT 000 /RW 000, BABAU, KUPANG TIMUR, KUPANG, 85362</t>
  </si>
  <si>
    <t>1524170000173</t>
  </si>
  <si>
    <t>AKHMAD YASIN</t>
  </si>
  <si>
    <t>082199712299</t>
  </si>
  <si>
    <t>085226186063</t>
  </si>
  <si>
    <t>GROBOG KULON RT 002 /RW 002, GROBOG KULON, PANGKAH, TEGAL, 52471</t>
  </si>
  <si>
    <t>1519210000290</t>
  </si>
  <si>
    <t>GITA RATNA ANUGRAINI</t>
  </si>
  <si>
    <t>085259229855</t>
  </si>
  <si>
    <t>DUSUN BARAT RT 001 /RW 002, KLOTOK, BALONG PANGGANG, GRESIK, 61173</t>
  </si>
  <si>
    <t>DSN BARAT  RT 001 /RW 002, KLOTOK, BALONG PANGGANG, GRESIK, 61173</t>
  </si>
  <si>
    <t>1016230000078</t>
  </si>
  <si>
    <t>MADIKAN</t>
  </si>
  <si>
    <t>CBR</t>
  </si>
  <si>
    <t>085731273035</t>
  </si>
  <si>
    <t>08976498107</t>
  </si>
  <si>
    <t>LUWUNG  RT 004 /RW 003, SIDOMOJO, KRIAN, SIDOARJO, 61262</t>
  </si>
  <si>
    <t>LUWUNG RT/RW 004/003 KELURAHAN SIDOMOJO KECAMATAN KRIAN SIDOARJO RT 004 /RW 003, SIDOMOJO, KRIAN, SIDOARJO, 61262</t>
  </si>
  <si>
    <t>1001220000227</t>
  </si>
  <si>
    <t>M HASBI</t>
  </si>
  <si>
    <t>083865885592</t>
  </si>
  <si>
    <t>CEMPAKA KERTAKBARU RT 022 /RW 008, CEMPAKA, CEMPAKA, BANJARBARU, 70733</t>
  </si>
  <si>
    <t>1521220000079</t>
  </si>
  <si>
    <t>AHMAD RIADI</t>
  </si>
  <si>
    <t>082251696966</t>
  </si>
  <si>
    <t>0895362530901</t>
  </si>
  <si>
    <t>JL. UNTUNG SURAPATI NO. 43 RT 018 /RW 000, SELAT HILIR, SELAT, KAPUAS, 73513</t>
  </si>
  <si>
    <t>SELAT HILIR RT 018 /RW 000, SELAT HILIR, SELAT, KAPUAS, 73513</t>
  </si>
  <si>
    <t>1537210000175</t>
  </si>
  <si>
    <t>BERLIAGO</t>
  </si>
  <si>
    <t>085388740068</t>
  </si>
  <si>
    <t>JL DAMANG EITHEL RABU RT 006 /RW 0, PUJON, KAPUAS TENGAH, KAPUAS, 73555</t>
  </si>
  <si>
    <t>JL. DAMANG EITHEL RABU RT 006 /RW 00, PUJON, KAPUAS TENGAH, KAPUAS, 73555</t>
  </si>
  <si>
    <t>1541220000044</t>
  </si>
  <si>
    <t>I WAYAN WINASTRA</t>
  </si>
  <si>
    <t>082190339857</t>
  </si>
  <si>
    <t>DUSUN III MEKAR SARI RT 002 /RW 000, PEOHO, WATUMBANGGA (WATUBANGGO), KOLAKA, 93563</t>
  </si>
  <si>
    <t>DUSUN III MEKAR JAYA RT 002 /RW 001, PEOHO, WATUMBANGGA (WATUBANGGO), KOLAKA, 93563</t>
  </si>
  <si>
    <t>1514220000066</t>
  </si>
  <si>
    <t>M ILHAM</t>
  </si>
  <si>
    <t>08114124130</t>
  </si>
  <si>
    <t>BUMI TAMALANREA PERMAI BLOK M 587 RT 005 /RW 008, TAMALANREA, TAMALANREA, MAKASSAR, 90245</t>
  </si>
  <si>
    <t>1533230000066</t>
  </si>
  <si>
    <t>RECKY STEVEN MOKALU</t>
  </si>
  <si>
    <t>08114305604</t>
  </si>
  <si>
    <t>08124446454</t>
  </si>
  <si>
    <t>PERUM GLORY LAND KEL WANGURER BARAT KEC MADIDIR KOTA BITUNG RT 000 /RW 000, WANGURER BARAT, MADIDIR (BITUNG TENGAH), BITUNG, 95541</t>
  </si>
  <si>
    <t>LINGK II KEL MADIDIR WERU KEC MADIDIR KOTA BITUNG RT 009 /RW 002, MADIDIR WERU, MADIDIR (BITUNG TENGAH), BITUNG, 95514</t>
  </si>
  <si>
    <t>JL SH SARUNDAJANG LINGK VI KEL GIRIAN ATAS KEC GIRIAN KOTA BITUNG RT 000 /RW 000, GIRIAN ATAS, GIRIAN, BITUNG, 95544</t>
  </si>
  <si>
    <t>1540200000235</t>
  </si>
  <si>
    <t>MOHAMMAD WAHYU</t>
  </si>
  <si>
    <t>085241391226</t>
  </si>
  <si>
    <t>DUSUN I KAMONJI RT 001 /RW 001, KAMONJI, BALAESANG, DONGGALA, 94355</t>
  </si>
  <si>
    <t>DESA KAMONJI RT 000 /RW 000, KAMONJI, BALAESANG, DONGGALA, 94355</t>
  </si>
  <si>
    <t>1068190000075</t>
  </si>
  <si>
    <t>NURSAMANG</t>
  </si>
  <si>
    <t>082345383317</t>
  </si>
  <si>
    <t>BTN AMPI BLOK A3 NO 14 RT 000 /RW 000, KAREMA, MAMUJU, MAMUJU, 91515</t>
  </si>
  <si>
    <t>MAMUJU RT 000 /RW 000, KAREMA, MAMUJU, MAMUJU, 91515</t>
  </si>
  <si>
    <t>1547220000071</t>
  </si>
  <si>
    <t>MARYANES JAWADOMO</t>
  </si>
  <si>
    <t>085216357270</t>
  </si>
  <si>
    <t>082187630134</t>
  </si>
  <si>
    <t>UPA RT 004 /RW 000, UPA, TOBELO TENGAH, HALMAHERA UTARA, 97762</t>
  </si>
  <si>
    <t>1523220000062</t>
  </si>
  <si>
    <t>ABDUL AZIZ TRIO SAPUTRA</t>
  </si>
  <si>
    <t>082280094895</t>
  </si>
  <si>
    <t>PERUM RICCI PIAYU BLOK J NO 2 RT 007 /RW 007, TANJUNG PIAYU, SEI/SUNGAI BEDUK, BATAM, 29437</t>
  </si>
  <si>
    <t>KAV PANCUR PELABUHAN BLOK A NO 32 RT 001 /RW 005, TANJUNG PIAYU, SEI/SUNGAI BEDUK, BATAM, 29437</t>
  </si>
  <si>
    <t>RUKO KAV SEI DAUN BLOK D NO 86A RT 000 /RW 000, TANJUNG PIAYU, SEI/SUNGAI BEDUK, BATAM, 29437</t>
  </si>
  <si>
    <t>1025220000025</t>
  </si>
  <si>
    <t>DIKI WAHYUDI</t>
  </si>
  <si>
    <t>089629072409</t>
  </si>
  <si>
    <t>JL GURU HARUN LR PERMAI 3 NO 121 RT 02 /RW 01, TANAH MAS, TALANG KELAPA, BANYUASIN, 30961</t>
  </si>
  <si>
    <t>JL GURU HARUN LR PERMAI 3 NO 121 RT 002 /RW 001, TANAH MAS, TALANG KELAPA, BANYUASIN, 30961</t>
  </si>
  <si>
    <t>JL KH AZHARI RT 045 /RW 012, KENTEN, TALANG KELAPA, BANYUASIN, 30761</t>
  </si>
  <si>
    <t>1520210000325</t>
  </si>
  <si>
    <t>EVITRI HANDAYANI</t>
  </si>
  <si>
    <t>082386034436</t>
  </si>
  <si>
    <t>JL.SUKUN RT 001 /RW 003, RANTAU BERTUAH, MINAS, SIAK, 28685</t>
  </si>
  <si>
    <t>1507210000221</t>
  </si>
  <si>
    <t>AHMAD RUDI</t>
  </si>
  <si>
    <t>089513382086</t>
  </si>
  <si>
    <t>JL.AKSES UI GG AMALIYAH RT 002 /RW 001, SRENGSENG SAWAH, JAGAKARSA, JAKARTA SELATAN, 12640</t>
  </si>
  <si>
    <t>JL PINDING RT 02 /RW 01, CIPEDAK, JAGAKARSA, JAKARTA SELATAN, 12630</t>
  </si>
  <si>
    <t>JL AKSES UI GG HJ ALI  RT 002 /RW 001, SRENGSENG SAWAH, JAGAKARSA, JAKARTA SELATAN, 12640</t>
  </si>
  <si>
    <t>1515210000133</t>
  </si>
  <si>
    <t>SUMARTONO</t>
  </si>
  <si>
    <t>085229563827</t>
  </si>
  <si>
    <t>082322929278</t>
  </si>
  <si>
    <t>DUSUN GADUNGAN  RT 010 /RW 001, SEJOMULYO, JUWANA, PATI, 59185</t>
  </si>
  <si>
    <t>DUAUN GADUNGAN RT 000 /RW 000, SEJOMULYO, JUWANA, PATI, 59185</t>
  </si>
  <si>
    <t>1014220000099</t>
  </si>
  <si>
    <t>SATIMAN</t>
  </si>
  <si>
    <t>081226093533</t>
  </si>
  <si>
    <t>DK KARANGANYAR RT 1 /RW 6, BUGEL, POLOKARTO, SUKOHARJO, 57555</t>
  </si>
  <si>
    <t>TELUKAN RT 0 /RW 0, TELUKAN, GROGOL, SUKOHARJO, 57552</t>
  </si>
  <si>
    <t>1016220000606</t>
  </si>
  <si>
    <t xml:space="preserve">AZIS SULAIMAN </t>
  </si>
  <si>
    <t>082297774215</t>
  </si>
  <si>
    <t>082331953532</t>
  </si>
  <si>
    <t>AMIR MACHMUD GG 1 NO 1 RT 008 /RW 001, GUNUNG ANYAR, GUNUNGANYAR, SURABAYA, 60294</t>
  </si>
  <si>
    <t>RUNGKUT KIDUL 3 GG KAUMAN NO 26 RT 001 /RW 003, RUNGKUT KIDUL, RUNGKUT, SURABAYA, 60293</t>
  </si>
  <si>
    <t>SARONO JIWA 1 NO 2 PRAPEN  RT 0 /RW 0, PRAPEN, TENGGILIS MEJOYO, SURABAYA, 60299</t>
  </si>
  <si>
    <t>1003220000141</t>
  </si>
  <si>
    <t>ADOLFINA RAMMA</t>
  </si>
  <si>
    <t>082250789993</t>
  </si>
  <si>
    <t>081347633800</t>
  </si>
  <si>
    <t>JL. MT. HARYONO NO. 109 RT 057 /RW 000, BATU AMPAR, BALIKPAPAN UTARA, BALIKPAPAN, 76136</t>
  </si>
  <si>
    <t>JL. MT. HARYONO NO. 109  RT 057 /RW 000, BATU AMPAR, BALIKPAPAN UTARA, BALIKPAPAN, 76136</t>
  </si>
  <si>
    <t>1041220000291</t>
  </si>
  <si>
    <t>PIJAY ANDANG MARUH</t>
  </si>
  <si>
    <t>NEW FINO</t>
  </si>
  <si>
    <t>081251425451</t>
  </si>
  <si>
    <t>DUSUN SENTIBAK RT 02 /RW 00, SETIA JAYA, TERIAK, BENGKAYANG, 79214</t>
  </si>
  <si>
    <t>SENTIBAK RT 000 /RW 00, SETIA JAYA, TERIAK, BENGKAYANG, 79282</t>
  </si>
  <si>
    <t>1514210000108</t>
  </si>
  <si>
    <t>NURUL WAHYU</t>
  </si>
  <si>
    <t>085397396778</t>
  </si>
  <si>
    <t>JL BONTO MANAI RT 001 /RW 004, BULUROKEN (BULUROKENG), BIRING KANAYA, MAKASSAR, 90243</t>
  </si>
  <si>
    <t>JL BONTO MANAI  RT 001 /RW 004, BULUROKENG, BIRINGKANAYA, MAKASSAR, 90243</t>
  </si>
  <si>
    <t>1015200000065</t>
  </si>
  <si>
    <t>AHMAD PANJI FAEZAL</t>
  </si>
  <si>
    <t>0888212943299</t>
  </si>
  <si>
    <t>082223315149</t>
  </si>
  <si>
    <t>SEROTO RT 05 /RW 02, KEBONDALEM, JAMBU, SEMARANG, 50663</t>
  </si>
  <si>
    <t>OPPO PLAZA SIMPANG LIMA RT 000 /RW 000, PEKUNDEN, SEMARANG TENGAH, SEMARANG, 50241</t>
  </si>
  <si>
    <t>1525210000072</t>
  </si>
  <si>
    <t>BETI NURCAHYANI</t>
  </si>
  <si>
    <t>085791255947</t>
  </si>
  <si>
    <t>DUSUN BANGGLE RT 001 /RW 001, POJOK, NGANTRU, TULUNGAGUNG, 66252</t>
  </si>
  <si>
    <t>1017200001244</t>
  </si>
  <si>
    <t>TOMMY WIRDIAN MAULANA ALFIRDAUS</t>
  </si>
  <si>
    <t>081239171269</t>
  </si>
  <si>
    <t>JL. RA KARTINI RT 002 /RW 004, TANGGUNG, TUREN, MALANG, 65175</t>
  </si>
  <si>
    <t>MARGOMULYO RT 00 /RW 00, KEPUTIH, SUKOLILO, SURABAYA, 60111</t>
  </si>
  <si>
    <t>1521210000210</t>
  </si>
  <si>
    <t>SALEHAH</t>
  </si>
  <si>
    <t>082151356596</t>
  </si>
  <si>
    <t>KARANG INDAH RT 001 /RW 001, KARANG INDAH, ANGSANA, TANAH BUMBU, 72275</t>
  </si>
  <si>
    <t>KARANG INDAH RT 000 /RW 000, KARANG INDAH, ANGSANA, TANAH BUMBU, 72275</t>
  </si>
  <si>
    <t>1553210000006</t>
  </si>
  <si>
    <t>MARKUS KARTONO</t>
  </si>
  <si>
    <t>081348768481</t>
  </si>
  <si>
    <t>DUSUN ENTUBAH RT 004 /RW 000, ENGKAHAN, SEKAYAM, SANGGAU, 78556</t>
  </si>
  <si>
    <t>1518190000630</t>
  </si>
  <si>
    <t>SYUHYAR EFENDI</t>
  </si>
  <si>
    <t>081384719872</t>
  </si>
  <si>
    <t>VILLA PERTIWI BLOK F-6 NO 17 RT 004 /RW 013, SUKAMAJU, CILODONG, DEPOK, 16410</t>
  </si>
  <si>
    <t>VILLA PERTIWI BLOK F-16 NO.17 RT 004 /RW 013, SUKAMAJU, CILODONG, DEPOK, 16410</t>
  </si>
  <si>
    <t>1516220000049</t>
  </si>
  <si>
    <t>WASIMAN</t>
  </si>
  <si>
    <t>085313230977</t>
  </si>
  <si>
    <t>BCP BLOK B 26 NO 12 RT 021 /RW 004, RANJENG, CIRUAS, SERANG, 42182</t>
  </si>
  <si>
    <t>1507220000426</t>
  </si>
  <si>
    <t>SOHIBI</t>
  </si>
  <si>
    <t>081991709337</t>
  </si>
  <si>
    <t>JL OSCAR 2 NO 96 RT 01 /RW 02, BAMBU APUS, PAMULANG, TANGERANG SELATAN, 15415</t>
  </si>
  <si>
    <t>CENDANA RESIDENCE BLOK E7 NO.12  RT 008 /RW 004, SERUA, CIPUTAT, TANGERANG SELATAN, 15414</t>
  </si>
  <si>
    <t>JL SUMUR WATU DESA KEBOCORAN NO 21 RT 04 /RW 01, KEDUNGGEDE, BANYUMAS, BANYUMAS, 53192</t>
  </si>
  <si>
    <t>1019220000376</t>
  </si>
  <si>
    <t>KHOLILI</t>
  </si>
  <si>
    <t>085748126937</t>
  </si>
  <si>
    <t>081394654280</t>
  </si>
  <si>
    <t>JL SUMUR GONG GG 5A RT 018 /RW 004, PEGANDEN, MANYAR, GRESIK, 61151</t>
  </si>
  <si>
    <t>JL TELAGA  RT 009 /RW 002, PEGANDEN, MANYAR, GRESIK, 61151</t>
  </si>
  <si>
    <t>SUMUR GONG 6B  RT 000 /RW 000, PEGANDEN, MANYAR, GRESIK, 61151</t>
  </si>
  <si>
    <t>1041230000026</t>
  </si>
  <si>
    <t>JAILANI</t>
  </si>
  <si>
    <t>089693761541</t>
  </si>
  <si>
    <t>JL. SEJATI  RT 008 /RW 004, KUALA SECAPAH, MEMPAWAH HILIR, PONTIANAK, 78914</t>
  </si>
  <si>
    <t>JL.SEJATI PERIKANAN NELAYAN RT 0 /RW 0, KUALA SECAPAH, MEMPAWAH HILIR, PONTIANAK, 78914</t>
  </si>
  <si>
    <t>1505210000298</t>
  </si>
  <si>
    <t>SUGENG ANDREAS</t>
  </si>
  <si>
    <t>08122393762</t>
  </si>
  <si>
    <t>JL KEADILAN II NO 37 RT 002 /RW 009, DARWATI, RANCASARI, BANDUNG, 40292</t>
  </si>
  <si>
    <t>JL RAYA DERWATI  RT 000 /RW 000, RANCASARI, PAMANUKAN, SUBANG, 41254</t>
  </si>
  <si>
    <t>1512220000115</t>
  </si>
  <si>
    <t>AMIRUDIN</t>
  </si>
  <si>
    <t>087884030408</t>
  </si>
  <si>
    <t>KP. PABUARAN RT 003 /RW 008, PABUARAN, BOJONGGEDE, BOGOR, 16921</t>
  </si>
  <si>
    <t>KP. PABUARAN RT 003 /RW 008, PABUARAN, BOJONGGEDE, DEPOK, 16920</t>
  </si>
  <si>
    <t>1501210000107</t>
  </si>
  <si>
    <t>SUTRISNO</t>
  </si>
  <si>
    <t>08129493843</t>
  </si>
  <si>
    <t>085945194884</t>
  </si>
  <si>
    <t>JL MANGGA UBI NO 137 RT 006 /RW 007, KAPUK, CENGKARENG, JAKARTA BARAT, 11720</t>
  </si>
  <si>
    <t>JL MANGGA UBI RT 006 /RW 007, KAPUK, CENGKARENG, JAKARTA BARAT, 11720</t>
  </si>
  <si>
    <t>1065230000001</t>
  </si>
  <si>
    <t>PARYO</t>
  </si>
  <si>
    <t>089515830441</t>
  </si>
  <si>
    <t>KALIORI RT 004 /RW 003, KALIORI, KALIBAGOR, BANYUMAS, 53191</t>
  </si>
  <si>
    <t>JATIBENING RT 000 /RW 000, JATIBENING, PONDOK GEDE, BEKASI, 17412</t>
  </si>
  <si>
    <t>1519220000020</t>
  </si>
  <si>
    <t xml:space="preserve">AHMAD HADI SAMPURNO </t>
  </si>
  <si>
    <t>089637718316</t>
  </si>
  <si>
    <t>JL GOTONG ROYONG RT 003 /RW 008, BABAT, BABAT, LAMONGAN, 62271</t>
  </si>
  <si>
    <t>BANYUTENGAH RT 002 /RW 001, BANYUTENGAH, PANCENG, GRESIK, 61156</t>
  </si>
  <si>
    <t>JL GOTONG ROYONG  RT 003 /RW 008, BABAT, BABAT, LAMONGAN, 62271</t>
  </si>
  <si>
    <t>1525210000055</t>
  </si>
  <si>
    <t>NANANG KOSIM</t>
  </si>
  <si>
    <t>081272992914</t>
  </si>
  <si>
    <t>DUSUN KOTES RT 003 /RW 002, KOTES, GANDUSARI, BLITAR, 66187</t>
  </si>
  <si>
    <t>DSN SUKOSEWU RT 001 /RW 007, SUKOSEWU, GANDUSARI, BLITAR, 66187</t>
  </si>
  <si>
    <t>1504210000259</t>
  </si>
  <si>
    <t>ALFEUS NEHEMIA ANANTHO</t>
  </si>
  <si>
    <t>08113459005</t>
  </si>
  <si>
    <t>03129710900</t>
  </si>
  <si>
    <t>PERUM THE TAMAN DHIKA CLUSTER ARGOPURO BLOK B7/17 RT 059 /RW 015, PAGERWOJO, BUDURAN, SIDOARJO, 61252</t>
  </si>
  <si>
    <t>NIAS 8 RT 007 /RW 004, GUBENG, GUBENG, SURABAYA, 60281</t>
  </si>
  <si>
    <t>JL. MAYJEN HR. MUHAMMAD NO.31 RT 000 /RW 000, PRADAH KALI KENDAL, DUKUH PAKIS, SURABAYA, 60226</t>
  </si>
  <si>
    <t>1521220000067</t>
  </si>
  <si>
    <t>KARSADI</t>
  </si>
  <si>
    <t>082152121645</t>
  </si>
  <si>
    <t>JL.KARANG JAWA RT 004 /RW 000, BAROKAH, SIMPANG EMPAT, TANAH BUMBU, 72211</t>
  </si>
  <si>
    <t>1538220000022</t>
  </si>
  <si>
    <t>KURNIAWAN</t>
  </si>
  <si>
    <t>082110000373</t>
  </si>
  <si>
    <t>DUSUN II RT 001 /RW 002, KACE, MENDO BARAT, BANGKA, 33173</t>
  </si>
  <si>
    <t>1520200000605</t>
  </si>
  <si>
    <t>MUSARYADI</t>
  </si>
  <si>
    <t>085272700736</t>
  </si>
  <si>
    <t>JL.DATUK ANGKASA RT 006 /RW 003, ANGKASA, BANDAR PETALANGAN, PELALAWAN, 28384</t>
  </si>
  <si>
    <t>DESA ANGKASA RT 006 /RW 003, ANGKASA, BANDAR PETALANGAN, PELALAWAN, 28384</t>
  </si>
  <si>
    <t>1056090001881</t>
  </si>
  <si>
    <t>HADIKUSUMO</t>
  </si>
  <si>
    <t>SKYWAVE</t>
  </si>
  <si>
    <t>2009</t>
  </si>
  <si>
    <t>087771174271</t>
  </si>
  <si>
    <t>JL.KRAMAT EKA I NO 09/C     RT 1 /RW 5, KRAMATWATU, KRAMATWATU, SERANG, 42161</t>
  </si>
  <si>
    <t>1533220000055</t>
  </si>
  <si>
    <t>HASPILIN HALAA</t>
  </si>
  <si>
    <t>081245121728</t>
  </si>
  <si>
    <t>081355027842</t>
  </si>
  <si>
    <t>DUSUN I DESA PINDOL KEC LOLAK KAB BOLAANG MONGONDOW  RT 000 /RW 000, PINDOL, LOLAK, BOLAANG MONGONDOW (BOLMONG), 95761</t>
  </si>
  <si>
    <t>DESA PINDOL KEC LOLAK KAB BOLAANG MONGONDOW  RT 000 /RW 000, PINDOL, LOLAK, BOLAANG MONGONDOW (BOLMONG), 95761</t>
  </si>
  <si>
    <t>1523220000035</t>
  </si>
  <si>
    <t>SALLY ANGGONO</t>
  </si>
  <si>
    <t>08117711180</t>
  </si>
  <si>
    <t>PERUM BEVERLY PARK BLOK M2 NO 10 RT 004 /RW 028, BELIAN, BATAM KOTA, BATAM, 29464</t>
  </si>
  <si>
    <t>GEDUNG BATAM POS LT 6 NO 615 RT 000 /RW 000, TELUK TERING, BATAM KOTA, BATAM, 29461</t>
  </si>
  <si>
    <t>1552210000048</t>
  </si>
  <si>
    <t>SUPIYANOOR</t>
  </si>
  <si>
    <t>085247726550</t>
  </si>
  <si>
    <t>JL. WENGGA AGUNG RAYA RT 024 /RW 002, BAAMANG BARAT , BAAMANG , KOTAWARINGIN TIMUR , 74312</t>
  </si>
  <si>
    <t>JL. CILIK RIWUT RT 000 /RW 000, BAAMANG BARAT , BAAMANG , KOTAWARINGIN TIMUR , 74312</t>
  </si>
  <si>
    <t>1507180001362</t>
  </si>
  <si>
    <t>SAPARI</t>
  </si>
  <si>
    <t>082310581011</t>
  </si>
  <si>
    <t>KP. PABUARAN RT 001 /RW 004, CIKANDE, CIKANDE, SERANG, 42186</t>
  </si>
  <si>
    <t>GRIYA ASRI CENDANA A1/07 RT 000 /RW 000, CIKANDE, CIKANDE, SERANG, 42186</t>
  </si>
  <si>
    <t>1519220000158</t>
  </si>
  <si>
    <t>HARI SUSANTO</t>
  </si>
  <si>
    <t>082143750984</t>
  </si>
  <si>
    <t>DSN LAMONGAN  RT 015 /RW 003, KALIPURO, PUNGGING, MOJOKERTO, 61384</t>
  </si>
  <si>
    <t>DSN JANTI RT 002 /RW 002, JATILANGKUNG, PUNGGING, MOJOKERTO, 61384</t>
  </si>
  <si>
    <t>JLN MOJOSARI PACET KM 4  RT 000 /RW 000, PESANGGRAHAN, KUTOREJO, MOJOKERTO, 61383</t>
  </si>
  <si>
    <t>1038200000060</t>
  </si>
  <si>
    <t>JAENUL FARID</t>
  </si>
  <si>
    <t>081245813279</t>
  </si>
  <si>
    <t>081249127410</t>
  </si>
  <si>
    <t>DUSUN GLONDONG  RT 003 /RW 003, WATUKEBO, BLIMBINGSARI, BANYUWANGI, 68453</t>
  </si>
  <si>
    <t>WIJENAN KIDUL  RT 000 /RW 000, SINGOJURUH, SINGOJURUH, BANYUWANGI, 68464</t>
  </si>
  <si>
    <t>1541190000141</t>
  </si>
  <si>
    <t>DEDDY JALAL S PD</t>
  </si>
  <si>
    <t>085130333379</t>
  </si>
  <si>
    <t>DESA LANGGEA RT 00 /RW 00, LANGGEA, RANOMEETO, KONAWE SELATAN, 93871</t>
  </si>
  <si>
    <t>SMPN 29 KONAWE SELATAN RT 00 /RW 00, LAMERURU (LAMEURU), RANOMEETO BARAT, KONAWE SELATAN, 93871</t>
  </si>
  <si>
    <t>1531210000176</t>
  </si>
  <si>
    <t>MARTEN MANTOLAS</t>
  </si>
  <si>
    <t>085216610989</t>
  </si>
  <si>
    <t>JLN PERINTIS KEMERDEKAAN RT 020 /RW 006, KAYA PUTIH, OEBOBO, KUPANG, 85111</t>
  </si>
  <si>
    <t>JL LAKBANU II RT 045 /RW 001, LILIBA, OEBOBO, KUPANG, 85111</t>
  </si>
  <si>
    <t>JLN PERINTIS KEMERDEKAAN RT 020 /RW 006, KAYU PUTIH , OEBOBO, KUPANG , 85111</t>
  </si>
  <si>
    <t>1014240000008</t>
  </si>
  <si>
    <t>SANTOSA</t>
  </si>
  <si>
    <t>081259318232</t>
  </si>
  <si>
    <t>BLUMBANG  RT 004 /RW 003, BLUMBANG, TAWANGMANGU, KARANGANYAR, 57792</t>
  </si>
  <si>
    <t>JL RAYA METASIH RT 000 /RW 000, BLUMBANG, TAWANGMANGU, KARANGANYAR, 57792</t>
  </si>
  <si>
    <t>1017220000576</t>
  </si>
  <si>
    <t>IPAH MUFIATUN</t>
  </si>
  <si>
    <t>081357872840</t>
  </si>
  <si>
    <t>DUSUN BANYUPUTIH RT 09 /RW 04, RANDUPUTIH, DRINGU, PROBOLINGGO, 67271</t>
  </si>
  <si>
    <t>JL SOEKARNO-HATTA RT 00 /RW 00, TISNONEGARAN, KANIGARAN, PROBOLINGGO, 67211</t>
  </si>
  <si>
    <t>1001220000376</t>
  </si>
  <si>
    <t>GUNAWAN</t>
  </si>
  <si>
    <t>082213511994</t>
  </si>
  <si>
    <t>JL.AMD KOMP.PERMATA REGENCY NO.329 RT 048 /RW 000, PEMURUS LUAR, BANJARMASIN TIMUR, BANJARMASIN, 70236</t>
  </si>
  <si>
    <t>JL.ANTASAN BONDAN RT 001 /RW 001, MANTUIL, BANJARMASIN SELATAN, BANJARMASIN, 70244</t>
  </si>
  <si>
    <t>JL.GATOT SUBROTO RAYA NO.112 RT 020 /RW 000, KEBUN BUNGA, BANJARMASIN TIMUR, BANJARMASIN, 70235</t>
  </si>
  <si>
    <t>1521210000106</t>
  </si>
  <si>
    <t>H KASPUL ANWAR</t>
  </si>
  <si>
    <t>082154123227</t>
  </si>
  <si>
    <t>JL.A.YANI RT 003 /RW 001, KINTAPURA, KINTAP, TANAH LAUT, 70883</t>
  </si>
  <si>
    <t>1536200000162</t>
  </si>
  <si>
    <t>ALIN SYURYANA</t>
  </si>
  <si>
    <t>082378578648</t>
  </si>
  <si>
    <t>JL. BERINGIN I BLOK.A2 NO.26 LK.III RT 000 /RW 000, BERINGIN RAYA, KEMILING, BANDAR LAMPUNG, 35158</t>
  </si>
  <si>
    <t>JL.BERINGIN 1 BLOK A2 NO.26 LK.III RT 001 /RW 000, BERINGIN RAYA, KEMILING, BANDAR LAMPUNG, 35158</t>
  </si>
  <si>
    <t>JL BERINGIN I BLOK A2 NO.26 LK.III RT 001 /RW 000, BERINGIN RAYA, KEMILING, BANDAR LAMPUNG, 35158</t>
  </si>
  <si>
    <t>1520200000475</t>
  </si>
  <si>
    <t>SANTI ANGGREINI</t>
  </si>
  <si>
    <t>081361290957</t>
  </si>
  <si>
    <t>DUSUN II SUKA MAKMUR RT 002 /RW 002, KEPAU JAYA, SIAK HULU, KAMPAR, 28452</t>
  </si>
  <si>
    <t>KEPAU JAYA RT 000 /RW 000, KEPAU JAYA, SIAK HULU, KAMPAR, 28452</t>
  </si>
  <si>
    <t>1508210000205</t>
  </si>
  <si>
    <t>NIMIN</t>
  </si>
  <si>
    <t>088214520227</t>
  </si>
  <si>
    <t>DUSUN RAWAINDAH RT 005 /RW 001, SEGARAN, BATUJAYA, KARAWANG, 41354</t>
  </si>
  <si>
    <t>1044220000103</t>
  </si>
  <si>
    <t>ESTER SARI</t>
  </si>
  <si>
    <t>085646311690</t>
  </si>
  <si>
    <t>KARANG SUBUR RT 004 /RW 005, KLALING, JEKULO, KUDUS, 59382</t>
  </si>
  <si>
    <t>TERBAN RT 000 /RW 000, TERBAN, JEKULO, KUDUS, 59382</t>
  </si>
  <si>
    <t>1014220000185</t>
  </si>
  <si>
    <t>PRIHATIN WAHYU WULANDARI</t>
  </si>
  <si>
    <t>081216670724</t>
  </si>
  <si>
    <t>SABRANG KULON RT 001 /RW 013, MATESIH, MATESIH, KARANGANYAR, 57781</t>
  </si>
  <si>
    <t>SABRANG KULON RT 0 /RW 0, MATESIH, MATESIH, KARANGANYAR, 57781</t>
  </si>
  <si>
    <t>1542220000078</t>
  </si>
  <si>
    <t>SUNDARI CAHYATI</t>
  </si>
  <si>
    <t>082183663993</t>
  </si>
  <si>
    <t>081271433080</t>
  </si>
  <si>
    <t>SENGETI RT.03 KEL.SENGETI KEC.SEKERNAN RT 03 /RW 00, SENGETI, SEKERNAN, MUARO JAMBI, 36381</t>
  </si>
  <si>
    <t>SENGETI RT.03 KEL.SENGETI KEC.SEKERNAN
 RT 00 /RW 00, SENGETI, SEKERNAN, MUARO JAMBI, 36381</t>
  </si>
  <si>
    <t>1009200000272</t>
  </si>
  <si>
    <t>RIDI</t>
  </si>
  <si>
    <t>081218554796</t>
  </si>
  <si>
    <t>KARANG ANYAR RT 003 /RW 003, REJUNO, KARANGJATI, NGAWI, 63284</t>
  </si>
  <si>
    <t>KARANG ANYAR  RT 003 /RW 003, REJUNO, KARANGJATI, NGAWI, 63284</t>
  </si>
  <si>
    <t>1533220000018</t>
  </si>
  <si>
    <t>DARWIN LATALA</t>
  </si>
  <si>
    <t>085798661669</t>
  </si>
  <si>
    <t>081355085365</t>
  </si>
  <si>
    <t>JL AT TAQWA KEL MOGOLAING KEC KOTAMOBAGU BARAT KOTA KOTAMOBAGU RT 010 /RW 002, MOGOLAING, KOTAMOBAGU BARAT, KOTAMOBAGU, 95716</t>
  </si>
  <si>
    <t>PASAR 23 MARET KEL GOGAGOMAN KEC KOTAMOBAGU BARAT KOTA KOTAMOBAGU RT 000 /RW 000, GOGAGOMAN, KOTAMOBAGU BARAT, KOTAMOBAGU, 95715</t>
  </si>
  <si>
    <t>1523230000118</t>
  </si>
  <si>
    <t>PT ASIA INTI PERKASA</t>
  </si>
  <si>
    <t>02122252585</t>
  </si>
  <si>
    <t>KAWASAN KARA INDUSTRIAL PARK BLOK A NO 4 RT 000 /RW 000, BALOI PERMAI, BATAM KOTA, BATAM, 29431</t>
  </si>
  <si>
    <t>1522210000161</t>
  </si>
  <si>
    <t>ALBOINTA PANDIA</t>
  </si>
  <si>
    <t>082177445557</t>
  </si>
  <si>
    <t>JL SIMPANG KONGSI GG SINABUNG II DUSUN III RT 00 /RW 00, BARU (DESA BARU), PANCUR BATU, DELI SERDANG, 20353</t>
  </si>
  <si>
    <t>JL JAMIN GINTING GG SWADAYA MEDAN RT 000 /RW 000, MANGGA, MEDAN TUNTUNGAN, MEDAN, 20141</t>
  </si>
  <si>
    <t>JL WILLIAM ISKANDAR PAJAK MMTC RT 000 /RW 000, TEMBUNG, MEDAN TEMBUNG, MEDAN, 20225</t>
  </si>
  <si>
    <t>1506240000202</t>
  </si>
  <si>
    <t>RIZKI AKBAR</t>
  </si>
  <si>
    <t>0817111080</t>
  </si>
  <si>
    <t>SAFIRA RESIDENCE B/25  RT 005 /RW 005, PALUMBONSARI, KARAWANG TIMUR, KARAWANG, 41314</t>
  </si>
  <si>
    <t>SAFIRA RESIDENCE B/25 RT 005 /RW 005, PALUMBONSARI, KARAWANG TIMUR, KARAWANG, 41314</t>
  </si>
  <si>
    <t>1501220000129</t>
  </si>
  <si>
    <t>RUKISIH SE</t>
  </si>
  <si>
    <t>081384420598</t>
  </si>
  <si>
    <t>GRIYA CIPEUCANG INDAH BLOK F 3/9 RT 023 /RW 010, CIPEUCANG, CILEUNGSI, BOGOR, 16820</t>
  </si>
  <si>
    <t>GRIYA CIPEUCANG INDAH BLOK F3 NO 009 RT 023 /RW 010, CIPEUCANG, CILEUNGSI, BOGOR, 16820</t>
  </si>
  <si>
    <t>1019230000097</t>
  </si>
  <si>
    <t>ALDO EKO SETIAWAN</t>
  </si>
  <si>
    <t>085852153953</t>
  </si>
  <si>
    <t>MANCAR RT 008 /RW 003, MANCAR, PETERONGAN, JOMBANG, 61481</t>
  </si>
  <si>
    <t>DSN KEDUNG BENTUL RT 004 /RW 003, KEDUNGTURI, GUDO, JOMBANG, 61463</t>
  </si>
  <si>
    <t>MANCAR RT 000 /RW 000, MANCAR, PETERONGAN, JOMBANG, 61481</t>
  </si>
  <si>
    <t>1521200000390</t>
  </si>
  <si>
    <t>SITI FATIMAH</t>
  </si>
  <si>
    <t>081349302375</t>
  </si>
  <si>
    <t>JL. SWADAYA RT 001 /RW 000, SUNGAI TABUK KERAMAT, SUNGAI TABUK, BANJAR, 70653</t>
  </si>
  <si>
    <t>1511210000203</t>
  </si>
  <si>
    <t>FITRIANSYAH</t>
  </si>
  <si>
    <t>081347900213</t>
  </si>
  <si>
    <t>JL. ERLIAN RT 001 /RW 000, SANGGULAN, SEBULU, KUTAI KARTANEGARA, 75552</t>
  </si>
  <si>
    <t>JL.ERLIAN RT 001 /RW 000, SANGGULAN, SEBULU, KUTAI KARTANEGARA, 75552</t>
  </si>
  <si>
    <t>1514210000148</t>
  </si>
  <si>
    <t>M RADIMAN</t>
  </si>
  <si>
    <t>081241325566</t>
  </si>
  <si>
    <t>085343877727</t>
  </si>
  <si>
    <t>JL KANDEA POROS KANAL MAKASSAR RT 000 /RW 000, BUNGA EJA BERU, TALLO, MAKASSAR, 90211</t>
  </si>
  <si>
    <t>JL. KUBIS NO.48 RT 001 /RW 004, WAJO BARU, BONTOALA, MAKASSAR, 90151</t>
  </si>
  <si>
    <t>JL KUBIS NO 48 RT 001 /RW 004, WAJO BARU, BONTOALA, MAKASSAR, 90151</t>
  </si>
  <si>
    <t>1535220000033</t>
  </si>
  <si>
    <t>GUNADI</t>
  </si>
  <si>
    <t>082374433436</t>
  </si>
  <si>
    <t>JLN PERINTIS NO 12 RT 038 /RW 008, SUKAMORO, TALANG KELAPA, BANYUASIN, 30961</t>
  </si>
  <si>
    <t>JL PERINTIS NO 12 RT 038 /RW 008, SUKAMORO, TALANG KELAPA, BANYUASIN, 30961</t>
  </si>
  <si>
    <t>1510210000030</t>
  </si>
  <si>
    <t>SITI AMBARWATI</t>
  </si>
  <si>
    <t>083827937390</t>
  </si>
  <si>
    <t>DSN GAYAM RT 006 /RW 002, KADIREJO, PABELAN, SEMARANG, 50771</t>
  </si>
  <si>
    <t>1007210001240</t>
  </si>
  <si>
    <t>THOHA MAHSUN</t>
  </si>
  <si>
    <t>082307116059</t>
  </si>
  <si>
    <t>DSN NGADIREJO RT 001 /RW 005, GENENGAN, DOKO, BLITAR, 66186</t>
  </si>
  <si>
    <t>DSN NGADIREJO RT 000 /RW 000, GENENGAN, DOKO, BLITAR, 66186</t>
  </si>
  <si>
    <t>1520220000105</t>
  </si>
  <si>
    <t>M RIZKI AZMI</t>
  </si>
  <si>
    <t>082288340536</t>
  </si>
  <si>
    <t>JL PERWIRA (JL.TUANKU TAMBUSAI) RT 002 /RW 000, BAGAN BESAR, BUKIT KAPUR, DUMAI, 28882</t>
  </si>
  <si>
    <t>JL.SOEKARNO HATTA  RT 002 /RW 000, BUKIT KAYU KAPUR, BUKIT KAPUR, DUMAI, 28882</t>
  </si>
  <si>
    <t>JL.PERWIRA RT 002 /RW 000, BAGAN BESAR, BUKIT KAPUR, DUMAI, 28882</t>
  </si>
  <si>
    <t>1044180000199</t>
  </si>
  <si>
    <t>SUGENG MULYADI</t>
  </si>
  <si>
    <t>MIO</t>
  </si>
  <si>
    <t>0895383063068</t>
  </si>
  <si>
    <t>085641053211</t>
  </si>
  <si>
    <t>KAUMAN    RT 4 /RW 9, JEKULO, JEKULO, KUDUS, 59382</t>
  </si>
  <si>
    <t>KAUMAN RT 4 /RW 9, JEKULO, JEKULO, KUDUS, 59382</t>
  </si>
  <si>
    <t>BARENG RT 0 /RW 0, JEKULO, JEKULO, KUDUS, 59382</t>
  </si>
  <si>
    <t>1517210000035</t>
  </si>
  <si>
    <t>SUKATMAN</t>
  </si>
  <si>
    <t>081289819094</t>
  </si>
  <si>
    <t>BEDANA RT 003 /RW 002, BEDANA, KALIBENING, BANJARNEGARA, 53458</t>
  </si>
  <si>
    <t>1015220000447</t>
  </si>
  <si>
    <t>RIZKY OKTO WICAKSONO</t>
  </si>
  <si>
    <t>0895370056545</t>
  </si>
  <si>
    <t>TEGALSARI PERBALAN  RT 002 /RW 004, WONOTINGAL, CANDISARI, SEMARANG, 50252</t>
  </si>
  <si>
    <t>JALAN DOKTOR WAHIDIN BLOK FGH NO.2 CANDISARI SEMARANG  RT 000 /RW 000, CANDI, CANDISARI, SEMARANG, 50257</t>
  </si>
  <si>
    <t>1525220000117</t>
  </si>
  <si>
    <t>ARIF NURHUDA</t>
  </si>
  <si>
    <t>085856483890</t>
  </si>
  <si>
    <t>LINGKUNGAN BENCE RT 028 /RW 005, PAKUNDEN, PESANTREN, KEDIRI, 64132</t>
  </si>
  <si>
    <t>BENCE RT 000 /RW 000, PAKUNDEN, PESANTREN, KEDIRI, 64132</t>
  </si>
  <si>
    <t>1017180001707</t>
  </si>
  <si>
    <t>TUTUN SUSANTO</t>
  </si>
  <si>
    <t>081331691492</t>
  </si>
  <si>
    <t>JL KOL SUGIONO IX
 RT 01 /RW 01, MERGOSONO, KEDUNGKANDANG, MALANG, 65134</t>
  </si>
  <si>
    <t>JL HAMID RUSDI RT 0 /RW 0, BUNULREJO, BLIMBING, MALANG, 65123</t>
  </si>
  <si>
    <t>1017210001234</t>
  </si>
  <si>
    <t>MUHAMMAD FAUZI TRIMUDITYO</t>
  </si>
  <si>
    <t>N-MAX</t>
  </si>
  <si>
    <t>0817746958</t>
  </si>
  <si>
    <t>PERUM PRATAMA BLOK C1- 06 RT 001 /RW 001, GIRIMOYO, KARANGPLOSO, MALANG, 65152</t>
  </si>
  <si>
    <t>PERUM PRATAMA BLOK C GIRIMOYO KARANGPLOSO  RT 000 /RW 000, GIRIMOYO, KARANGPLOSO, MALANG, 65152</t>
  </si>
  <si>
    <t>1541220000026</t>
  </si>
  <si>
    <t>I MADE AGUS DIRGHANTARA</t>
  </si>
  <si>
    <t>082235882181</t>
  </si>
  <si>
    <t>DUSUN II MEKAR JAYA,  RT 00 /RW 00, PUTEMATA, LADONGI, KOLAKA, 93573</t>
  </si>
  <si>
    <t>DUSUN II MEKAR JAYA RT 00 /RW 00, PUTEMATA, LADONGI, KOLAKA, 93573</t>
  </si>
  <si>
    <t>DUSUN II MEKAR JAYA RT 000 /RW 000, PUTEMATA, LADONGI, KOLAKA, 93573</t>
  </si>
  <si>
    <t>1547220000039</t>
  </si>
  <si>
    <t>ABDULLAH</t>
  </si>
  <si>
    <t>081245995035</t>
  </si>
  <si>
    <t>082188324615</t>
  </si>
  <si>
    <t>GALALA RT 001 /RW 001, GALALA, OBA UTARA, TIDORE KEPULAUAN, 97852</t>
  </si>
  <si>
    <t>1542220000068</t>
  </si>
  <si>
    <t>KHAIRIL ANAM</t>
  </si>
  <si>
    <t>082380960409</t>
  </si>
  <si>
    <t>085349417816</t>
  </si>
  <si>
    <t>DESA SOLOK RT 08 /RW 00, SOLOK, KUMPEH ULU, MUARO JAMBI, 36373</t>
  </si>
  <si>
    <t>TANJUNG JABUNG BARAT RT 00 /RW 00, SOLOK, KUMPEH ULU, MUARO JAMBI, 36373</t>
  </si>
  <si>
    <t>1503130000206</t>
  </si>
  <si>
    <t>I NYOMAN SUDI ASRINTAWA</t>
  </si>
  <si>
    <t>081338614050</t>
  </si>
  <si>
    <t>BANJAR PERANCAK RT - /RW -, PERANCAK, NEGARA, JEMBRANA, 82251</t>
  </si>
  <si>
    <t>BANJAR PERANCAK RT - /RW -, PERANCAK , JEMBRANA , JEMBRANA, 82251</t>
  </si>
  <si>
    <t>1504210000084</t>
  </si>
  <si>
    <t>JEANNY BUDIONO SE</t>
  </si>
  <si>
    <t>085784820588</t>
  </si>
  <si>
    <t>085817791827</t>
  </si>
  <si>
    <t>GRIYA KEBRAON SELATAN 8-J/13 RT 004 /RW 012, KEBRAON, KARANGPILANG, SURABAYA, 60222</t>
  </si>
  <si>
    <t>TAMAN WISATA REGENCY BLOK E-15, MOJO KOPEK RT 000 /RW 000, GADUNG, DRIYOREJO, GRESIK, 61177</t>
  </si>
  <si>
    <t>1538210000001</t>
  </si>
  <si>
    <t>ALMORIA</t>
  </si>
  <si>
    <t>087778384607</t>
  </si>
  <si>
    <t>DSN LIRING RT 13 /RW 03, RENGGIANG, SIMPANG RENGGIANG, BELITUNG TIMUR, 33562</t>
  </si>
  <si>
    <t>RENGGIANG RT 000 /RW 000, RENGGIANG, GANTUNG, BELITUNG TIMUR, 33562</t>
  </si>
  <si>
    <t>1016220000125</t>
  </si>
  <si>
    <t xml:space="preserve">MINAN MUSAIRI </t>
  </si>
  <si>
    <t>081233847075</t>
  </si>
  <si>
    <t>081249493959</t>
  </si>
  <si>
    <t>PUTAT JAYA C BARAT 7/49 RT 001 /RW 013, PUTAT JAYA, SAWAHAN, SURABAYA, 60255</t>
  </si>
  <si>
    <t>NGAGLIK NO 38 RT 0 /RW 0, KAPASARI, GENTENG, SURABAYA, 60273</t>
  </si>
  <si>
    <t>1004210000393</t>
  </si>
  <si>
    <t>JAUHAR</t>
  </si>
  <si>
    <t>081254606780</t>
  </si>
  <si>
    <t>082245327068</t>
  </si>
  <si>
    <t>JL. DWIKORA GG RCTI 2 RT 022 /RW 000, SIMPANG PASIR, PALARAN, SAMARINDA, 75243</t>
  </si>
  <si>
    <t>JL. DWIKORA RT 022 /RW 000, SIMPANG PASIR, PALARAN, SAMARINDA, 75243</t>
  </si>
  <si>
    <t>JL DAMANHURI 2 GG BHINEKA 3 NO 100 RT 000 /RW 000, MUGIREJO, SAMARINDA UTARA, SAMARINDA, 75119</t>
  </si>
  <si>
    <t>1514200000322</t>
  </si>
  <si>
    <t>ISA</t>
  </si>
  <si>
    <t>081356004813</t>
  </si>
  <si>
    <t>082395864799</t>
  </si>
  <si>
    <t>BALANG LOE RT 002 /RW 002, BALANG BERU, BINAMU, JENEPONTO, 92316</t>
  </si>
  <si>
    <t>BARANG LOE RT 000 /RW 000, BALANG BERU, BINAMU, JENEPONTO, 92316</t>
  </si>
  <si>
    <t>1535210000055</t>
  </si>
  <si>
    <t>EDI DERIYANTO</t>
  </si>
  <si>
    <t>081271469777</t>
  </si>
  <si>
    <t>JL.ANGGREK UJUNG NO 2023    RT 17 /RW 4, 5 ILIR, ILIR TIMUR II, PALEMBANG, 30115</t>
  </si>
  <si>
    <t>JL ANGGREK UJUNG NO 2023 RT 017 /RW 004, 5 ILIR, ILIR TIMUR II, PALEMBANG, 30115</t>
  </si>
  <si>
    <t>1059200000134</t>
  </si>
  <si>
    <t>SUBARNO</t>
  </si>
  <si>
    <t>081221229445</t>
  </si>
  <si>
    <t>JL PASIR LEUTIK  RT 03 /RW 04, PADASUKA, CIMEUNYAN, BANDUNG, 40191</t>
  </si>
  <si>
    <t>JL PASIR LEUTIK  RT 02 /RW 04, PADASUKA, CIMEUNYAN, BANDUNG, 40191</t>
  </si>
  <si>
    <t>JL DIPONEGORO NO 27 RT 0 /RW 0, CITARUM, BANDUNG WETAN, BANDUNG, 40115</t>
  </si>
  <si>
    <t>1508230000053</t>
  </si>
  <si>
    <t>HJ TITIN AFIAH</t>
  </si>
  <si>
    <t>081511067266</t>
  </si>
  <si>
    <t>DUSUN KARAJAN B RT 005 /RW 002, JAYAKERTA, JAYAKERTA, KARAWANG, 41352</t>
  </si>
  <si>
    <t>DUSUN KARAJAN B  RT 005 /RW 002, JAYAKERTA, JAYAKERTA, KARAWANG, 41352</t>
  </si>
  <si>
    <t>1506230000139</t>
  </si>
  <si>
    <t>HAPPY HESTY</t>
  </si>
  <si>
    <t>081290826517</t>
  </si>
  <si>
    <t>PERUMAHAN GRAND MUTIARA GADING BLOK J 14 NO. 9 RT 000 /RW 000, TELAJUNG, CIKARANG BARAT, BEKASI, 17530</t>
  </si>
  <si>
    <t>KP. LUBANG BUAYA RT 003 /RW 001, LUBANGBUAYA, SETU, BEKASI, 17320</t>
  </si>
  <si>
    <t>JL CIBUNTU GG MASJID JAMI NIRUL IMAN RT 001 /RW 011, CIBUNTU, CIBITUNG, BEKASI, 17520</t>
  </si>
  <si>
    <t>1014160003095</t>
  </si>
  <si>
    <t xml:space="preserve">SUKIRAN </t>
  </si>
  <si>
    <t>087836478428</t>
  </si>
  <si>
    <t>DUSUN WONOREJO  RT 02 /RW 010, WONOREJO, JATIYOSO, KARANGANYAR, 57785</t>
  </si>
  <si>
    <t>WONOREJO JATIYOSO KARANGANYAR  RT 0 /RW 0, WONOREJO, JATIYOSO, KARANGANYAR, 57785</t>
  </si>
  <si>
    <t>1031160000456</t>
  </si>
  <si>
    <t>FARIKHIN</t>
  </si>
  <si>
    <t>081548093143</t>
  </si>
  <si>
    <t>JL GATOT SUBROTO GG 27 NO 286     RT 2 /RW 2, DEBONG KULON, TEGAL SELATAN, TEGAL, 52133</t>
  </si>
  <si>
    <t>1007220000565</t>
  </si>
  <si>
    <t>RIYADI</t>
  </si>
  <si>
    <t>085641702759</t>
  </si>
  <si>
    <t>JL CENDANA 60 B RT 015 /RW 004, SINGONEGARAN, PESANTREN, KEDIRI, 64132</t>
  </si>
  <si>
    <t>KEDIRI RT 000 /RW 000, SINGONEGARAN, PESANTREN, KEDIRI, 64132</t>
  </si>
  <si>
    <t>1529210000150</t>
  </si>
  <si>
    <t>YULIADI KHOLID</t>
  </si>
  <si>
    <t>085390314088</t>
  </si>
  <si>
    <t>SEKUROU JAYA RT 006 /RW 000, SEKUROU JAYA, LONG IKIS, PASER, 76282</t>
  </si>
  <si>
    <t>SEKUROU JAYA RT 000 /RW 000, SEKUROU JAYA, LONG IKIS, PASER, 76282</t>
  </si>
  <si>
    <t>1520160000056</t>
  </si>
  <si>
    <t>HENDRI YANTES</t>
  </si>
  <si>
    <t>085271509719</t>
  </si>
  <si>
    <t>JL SWAKARYA NO 20 RT 001 /RW 026, TUAH KARYA, TAMPAN, PEKANBARU, 28291</t>
  </si>
  <si>
    <t>JL MELATI PERUM PONDOK MAYANG BLOK B-16 RT 003 /RW 016, SAIL, TENAYAN RAYA, PEKANBARU, 28285</t>
  </si>
  <si>
    <t>1015220000019</t>
  </si>
  <si>
    <t>SUYATMIN</t>
  </si>
  <si>
    <t>082134605859</t>
  </si>
  <si>
    <t>JL SIDOREJO RT 007 /RW 007, SAMBIREJO, GAYAMSARI, SEMARANG, 50166</t>
  </si>
  <si>
    <t>JL SIDOREJO RT 07 /RW 07, SAMBIREJO, GAYAMSARI, SEMARANG, 50166</t>
  </si>
  <si>
    <t>1016230000103</t>
  </si>
  <si>
    <t>ANWAR SANUSI</t>
  </si>
  <si>
    <t>085231857878</t>
  </si>
  <si>
    <t>085755430166</t>
  </si>
  <si>
    <t>PERUMTAS II BLOK R9 NO 14 RT 001 /RW 008, KALISAMPURNO, TANGGULANGIN, SIDOARJO, 61272</t>
  </si>
  <si>
    <t>BALONG NONGO  RT 020 /RW 005, RENOKENONGO, PORONG, SIDOARJO, 61274</t>
  </si>
  <si>
    <t>JL DUKUH KUPANG TIMUR XI NO 42 PAKIS KEC. SAWAHAN RT 0 /RW 0, PAKIS, SAWAHAN, SURABAYA, 60256</t>
  </si>
  <si>
    <t>26-05</t>
  </si>
  <si>
    <t>18-04</t>
  </si>
  <si>
    <t>20-08</t>
  </si>
  <si>
    <t>22-12</t>
  </si>
  <si>
    <t>25-01</t>
  </si>
  <si>
    <t>1525220000109</t>
  </si>
  <si>
    <t>MUJIONO</t>
  </si>
  <si>
    <t>081332231337</t>
  </si>
  <si>
    <t>DSN TUGUREJO RT 004 /RW 001, MAYANGAN, JOGOROTO, JOMBANG, 61485</t>
  </si>
  <si>
    <t>1520220000067</t>
  </si>
  <si>
    <t>SAPRIANTO</t>
  </si>
  <si>
    <t>085272409988</t>
  </si>
  <si>
    <t>JL.PENDAWA RT 001 /RW 004, BATHIN BETUAH, MANDAU, BENGKALIS, 28884</t>
  </si>
  <si>
    <t>12-07</t>
  </si>
  <si>
    <t>19-07</t>
  </si>
  <si>
    <t>22-04</t>
  </si>
  <si>
    <t>22-10</t>
  </si>
  <si>
    <t>23-04</t>
  </si>
  <si>
    <t>23-08</t>
  </si>
  <si>
    <t>23-09</t>
  </si>
  <si>
    <t>23-10</t>
  </si>
  <si>
    <t>1518220000152</t>
  </si>
  <si>
    <t>SELVIE</t>
  </si>
  <si>
    <t>081287727337</t>
  </si>
  <si>
    <t>PERUMAHAN TAMAN SURYA 2 BLOK A1 NO 28 RT 007 /RW 003, PEGADUNGAN, KALIDERES, JAKARTA BARAT, 11830</t>
  </si>
  <si>
    <t>JL KEMENANGAN VI NO 29B RT 004 /RW 003, GLODOK, TAMAN SARI, JAKARTA BARAT, 11120</t>
  </si>
  <si>
    <t>JL MENTENG RAYA NO 60 RT 00 /RW 00, KEBON SIRIH, MENTENG, JAKARTA PUSAT, 10340</t>
  </si>
  <si>
    <t>1516210000190</t>
  </si>
  <si>
    <t>HIJAJI</t>
  </si>
  <si>
    <t>087771286108</t>
  </si>
  <si>
    <t>KP. CIBEO RT 001 /RW 001, PANCALAKSANA, CURUG, SERANG, 42171</t>
  </si>
  <si>
    <t>JL RAYA KAUNG CAANG, PETIR SERANG RT 00 /RW 00, PETIR, PETIR, SERANG, 42172</t>
  </si>
  <si>
    <t>1014230000119</t>
  </si>
  <si>
    <t>JIWATI</t>
  </si>
  <si>
    <t>085786555291</t>
  </si>
  <si>
    <t>082136127944</t>
  </si>
  <si>
    <t>TEGALREJO RT 27 /RW 7, RINGIN LARIK, MUSUK, BOYOLALI, 57331</t>
  </si>
  <si>
    <t>PASAR PENGKOL RT 0 /RW 0, MUSUK, MUSUK, BOYOLALI, 57331</t>
  </si>
  <si>
    <t>1017220000760</t>
  </si>
  <si>
    <t xml:space="preserve">ZAINUL MOCHAMMAD ISLAMIYAH </t>
  </si>
  <si>
    <t>W</t>
  </si>
  <si>
    <t>08563544699</t>
  </si>
  <si>
    <t>JL. CANDI III E RT 007 /RW 003, KARANG BESUKI, SUKUN, MALANG, 65149</t>
  </si>
  <si>
    <t>JL. CANDI II E/317  RT 009 /RW 003, KARANG BESUKI, SUKUN, MALANG, 65149</t>
  </si>
  <si>
    <t>JL.SIMPANG BONDOWOSO GADINGKASRI KLOJEN MALANG  RT 00 /RW 00, GADINGKASRI, KLOJEN, MALANG, 65115</t>
  </si>
  <si>
    <t>1553210000277</t>
  </si>
  <si>
    <t>JULKIFLI</t>
  </si>
  <si>
    <t>082152269555</t>
  </si>
  <si>
    <t>DUSUN LINGKAR BANDARA RT 010 /RW 005, KENUAL, NANGA PINOH, MELAWI, 79672</t>
  </si>
  <si>
    <t>DUSUN LINGKAR BANDARA RT 000 /RW 000, KENUAL, NANGA PINOH, MELAWI, 79672</t>
  </si>
  <si>
    <t>1552220000116</t>
  </si>
  <si>
    <t>SUNI</t>
  </si>
  <si>
    <t>081253809035</t>
  </si>
  <si>
    <t>JL. KERTAPATI RT 007 /RW 002, SEMBULUH I, DANAU SEMBULUH, SERUYAN, 74261</t>
  </si>
  <si>
    <t>DESA SEMBULUH RT 000 /RW 000, SEMBULUH I, DANAU SEMBULUH, SERUYAN, 74261</t>
  </si>
  <si>
    <t>1535220000014</t>
  </si>
  <si>
    <t>IMRON</t>
  </si>
  <si>
    <t>081366886921</t>
  </si>
  <si>
    <t>TALANG JAYA LINGK 1 RT 002 /RW 001, BETUNG, BETUNG, BANYUASIN, 30958</t>
  </si>
  <si>
    <t>TALANG JAYA LINGK I RT 002 /RW 001, BETUNG, BETUNG, BANYUASIN, 30958</t>
  </si>
  <si>
    <t>1019230000188</t>
  </si>
  <si>
    <t>SUPRIADI</t>
  </si>
  <si>
    <t>081232844584</t>
  </si>
  <si>
    <t>JL PULAU WE RT 004 /RW 004, KRANGGAN , KRANGGAN , MOJOKERTO , 61321</t>
  </si>
  <si>
    <t>GG NIAS RT 003 /RW 002, NGROMBOT, PATIANROWO, NGANJUK, 64391</t>
  </si>
  <si>
    <t>1506220000166</t>
  </si>
  <si>
    <t>AGUS ERLAN HUTABARAT</t>
  </si>
  <si>
    <t>081315423489</t>
  </si>
  <si>
    <t>PERUMAHAN CITRA INDAH CLUSTER BUKIT CENDANA  RT 000 /RW 000, SUKAMAJU, JONGGOL, BOGOR, 16830</t>
  </si>
  <si>
    <t>JL MANUNGGAL II RT 012 /RW 002, PETUKANGAN SELATAN, PESANGGRAHAN, JAKARTA SELATAN, 12270</t>
  </si>
  <si>
    <t>PERUM CITRA INDAH CITY BUKIT BOUGENVILE LUAR AI 00 NO 18 RT 001 /RW 008, SINGAJAYA, JONGGOL, BOGOR, 16830</t>
  </si>
  <si>
    <t>LIV</t>
  </si>
  <si>
    <t>1510220000132</t>
  </si>
  <si>
    <t>NANDA SATRIA AGUST PANGESTU</t>
  </si>
  <si>
    <t>081904487819</t>
  </si>
  <si>
    <t>089670355537</t>
  </si>
  <si>
    <t>KALISEGORO RT 004 /RW 001, KALISEGORO, GUNUNGPATI, SEMARANG, 50229</t>
  </si>
  <si>
    <t>PASAR BANDARJO UNGARAN RT 000 /RW 000, BANDARJO, UNGARAN BARAT, SEMARANG, 50517</t>
  </si>
  <si>
    <t>1504200000317</t>
  </si>
  <si>
    <t>OCTA</t>
  </si>
  <si>
    <t>081336646857</t>
  </si>
  <si>
    <t>DUSUN KRAJAN WETAN RT 001 /RW 003, WONOSOBO, SRONO, BANYUWANGI, 68471</t>
  </si>
  <si>
    <t>1521220000128</t>
  </si>
  <si>
    <t>CV NAGRI KANAKA FIRDAUS</t>
  </si>
  <si>
    <t>PERUMAHAN LISTRIK 2  NO. 34 RT 005 /RW 004, GUNTUNG PAIKAT, BANJAR BARU SELATAN, BANJARBARU, 70713</t>
  </si>
  <si>
    <t>1004210000323</t>
  </si>
  <si>
    <t>MARISA</t>
  </si>
  <si>
    <t>082350561542</t>
  </si>
  <si>
    <t>085345767513</t>
  </si>
  <si>
    <t>JL POROS SANGATTA BONTANG KM 40 RT 000 /RW 000, TELUK SINGKAMA, SANGATTA SELATAN, KUTAI TIMUR, 75683</t>
  </si>
  <si>
    <t>DUSUN SANGKIMA RAYA RT 001 /RW 000, TELUK SINGKAMA, SANGATTA SELATAN, KUTAI TIMUR, 75683</t>
  </si>
  <si>
    <t>SANGATA RT 000 /RW 000, TELUK SINGKAMA, SANGATTA SELATAN, KUTAI TIMUR, 75683</t>
  </si>
  <si>
    <t>1552210000105</t>
  </si>
  <si>
    <t>ELIZABETH BEKTI KURNIASARI</t>
  </si>
  <si>
    <t>KARIMUN WAGON R</t>
  </si>
  <si>
    <t>082158016926</t>
  </si>
  <si>
    <t>JL. JEND. SUDIRMAN NO.6 RT 011 /RW 000, SIDOREJO, ARUT SELATAN, KOTAWARINGIN BARAT, 74111</t>
  </si>
  <si>
    <t>1552220000091</t>
  </si>
  <si>
    <t>GUSTI RAHMAT AHWAZAL MA RUF</t>
  </si>
  <si>
    <t>082252431203</t>
  </si>
  <si>
    <t>JL. BEJI RT 005 /RW 000, KOTA WARINGIN HILIR, KOTAWARINGIN LAMA, KOTAWARINGIN BARAT, 74161</t>
  </si>
  <si>
    <t>KOTAWARINGIN LAMA RT 000 /RW 000, KOTA WARINGIN HILIR, KOTAWARINGIN LAMA, KOTAWARINGIN BARAT, 74161</t>
  </si>
  <si>
    <t>1052190000460</t>
  </si>
  <si>
    <t>MUSTAKIM</t>
  </si>
  <si>
    <t>082349572815</t>
  </si>
  <si>
    <t>JL. LABUKU, KEL. ABELI, KEC. ABELI, KOTA KENDARI RT 03 /RW 02, ABELI, ABELI, KENDARI, 93234</t>
  </si>
  <si>
    <t>ANDUONOHU MANDALA WALUYA JL JEND AHA NASUTION RT 00 /RW 00, KAMBU, KAMBU, KENDARI, 93231</t>
  </si>
  <si>
    <t>1540190000258</t>
  </si>
  <si>
    <t>MAHYUDIN LANGKADJA</t>
  </si>
  <si>
    <t>082349643342</t>
  </si>
  <si>
    <t>DESA MALEI TOJO RT 002 /RW 002, MALEI TOJO, TOJO BARAT, TOJO UNA-UNA, 94681</t>
  </si>
  <si>
    <t>USAHA AYAM PETELUR RT 000 /RW 000, MALEI TOJO, TOJO BARAT, TOJO UNA-UNA, 94681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</si>
</sst>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13809]dd\ mmmm\ yyyy;@"/>
    <numFmt numFmtId="165" formatCode="[$-409]mmmm\-yy;@"/>
    <numFmt numFmtId="166" formatCode="_-* #,##0_-;\-* #,##0_-;_-* &quot;-&quot;??_-;_-@_-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b/>
      <u/>
      <sz val="15"/>
      <color theme="1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5"/>
      <name val="Inter"/>
    </font>
    <font>
      <sz val="11"/>
      <name val="Inter"/>
    </font>
    <font>
      <sz val="10"/>
      <color theme="0"/>
      <name val="Inter"/>
    </font>
    <font>
      <b/>
      <sz val="11"/>
      <color theme="0"/>
      <name val="Inter"/>
    </font>
    <font>
      <b/>
      <sz val="11"/>
      <name val="Inter"/>
    </font>
    <font>
      <sz val="10"/>
      <name val="Inter"/>
    </font>
    <font>
      <sz val="11"/>
      <color theme="0"/>
      <name val="Inte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Arial"/>
      <family val="2"/>
    </font>
    <font>
      <sz val="10"/>
      <color theme="1"/>
      <name val="Trebuchet MS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5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b/>
      <sz val="12"/>
      <name val="Arial"/>
      <family val="2"/>
    </font>
    <font>
      <sz val="15"/>
      <color theme="0"/>
      <name val="Arial"/>
      <family val="2"/>
    </font>
    <font>
      <sz val="12"/>
      <name val="Inter"/>
    </font>
    <font>
      <b/>
      <sz val="12"/>
      <name val="Inter"/>
    </font>
    <font>
      <b/>
      <sz val="30"/>
      <name val="Inter"/>
    </font>
  </fonts>
  <fills count="2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00FF00"/>
        <bgColor theme="6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5FFFF"/>
        <bgColor indexed="64"/>
      </patternFill>
    </fill>
    <fill>
      <patternFill patternType="solid">
        <fgColor rgb="FFFAF5DC"/>
        <bgColor theme="6"/>
      </patternFill>
    </fill>
    <fill>
      <patternFill patternType="solid">
        <fgColor rgb="FFB9D7F5"/>
        <bgColor indexed="64"/>
      </patternFill>
    </fill>
    <fill>
      <patternFill patternType="solid">
        <fgColor rgb="FFFAF5DC"/>
        <bgColor indexed="64"/>
      </patternFill>
    </fill>
    <fill>
      <patternFill patternType="solid">
        <fgColor rgb="FF05D7A0"/>
        <bgColor indexed="64"/>
      </patternFill>
    </fill>
    <fill>
      <patternFill patternType="solid">
        <fgColor rgb="FF051937"/>
        <bgColor indexed="64"/>
      </patternFill>
    </fill>
    <fill>
      <patternFill patternType="solid">
        <fgColor rgb="FFEBFFF5"/>
        <bgColor indexed="64"/>
      </patternFill>
    </fill>
    <fill>
      <patternFill patternType="solid">
        <fgColor rgb="FFA0FFCD"/>
        <bgColor indexed="64"/>
      </patternFill>
    </fill>
  </fills>
  <borders count="12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double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double">
        <color indexed="64"/>
      </bottom>
      <diagonal/>
    </border>
    <border>
      <left/>
      <right/>
      <top style="thick">
        <color auto="1"/>
      </top>
      <bottom style="double">
        <color indexed="64"/>
      </bottom>
      <diagonal/>
    </border>
    <border>
      <left/>
      <right style="thick">
        <color auto="1"/>
      </right>
      <top style="thick">
        <color auto="1"/>
      </top>
      <bottom style="double">
        <color indexed="64"/>
      </bottom>
      <diagonal/>
    </border>
    <border>
      <left/>
      <right style="thick">
        <color auto="1"/>
      </right>
      <top/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DashDot">
        <color auto="1"/>
      </left>
      <right style="mediumDashDot">
        <color auto="1"/>
      </right>
      <top/>
      <bottom/>
      <diagonal/>
    </border>
    <border>
      <left style="mediumDashDot">
        <color auto="1"/>
      </left>
      <right style="mediumDashDot">
        <color auto="1"/>
      </right>
      <top/>
      <bottom style="mediumDashed">
        <color auto="1"/>
      </bottom>
      <diagonal/>
    </border>
    <border>
      <left style="mediumDashDot">
        <color auto="1"/>
      </left>
      <right style="mediumDashDot">
        <color auto="1"/>
      </right>
      <top/>
      <bottom style="thick">
        <color auto="1"/>
      </bottom>
      <diagonal/>
    </border>
    <border>
      <left style="mediumDashDot">
        <color auto="1"/>
      </left>
      <right style="mediumDashDot">
        <color auto="1"/>
      </right>
      <top style="thick">
        <color auto="1"/>
      </top>
      <bottom/>
      <diagonal/>
    </border>
    <border>
      <left style="mediumDashDot">
        <color auto="1"/>
      </left>
      <right style="mediumDashDot">
        <color auto="1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indexed="64"/>
      </bottom>
      <diagonal/>
    </border>
    <border>
      <left style="mediumDashDot">
        <color auto="1"/>
      </left>
      <right/>
      <top/>
      <bottom/>
      <diagonal/>
    </border>
    <border>
      <left style="mediumDashDot">
        <color auto="1"/>
      </left>
      <right/>
      <top/>
      <bottom style="mediumDashed">
        <color auto="1"/>
      </bottom>
      <diagonal/>
    </border>
    <border>
      <left style="mediumDashDot">
        <color auto="1"/>
      </left>
      <right/>
      <top/>
      <bottom style="thick">
        <color auto="1"/>
      </bottom>
      <diagonal/>
    </border>
    <border>
      <left style="mediumDashDot">
        <color auto="1"/>
      </left>
      <right/>
      <top style="thick">
        <color auto="1"/>
      </top>
      <bottom/>
      <diagonal/>
    </border>
    <border>
      <left style="mediumDashDot">
        <color auto="1"/>
      </left>
      <right/>
      <top/>
      <bottom style="double">
        <color indexed="64"/>
      </bottom>
      <diagonal/>
    </border>
    <border>
      <left style="thick">
        <color auto="1"/>
      </left>
      <right style="thick">
        <color auto="1"/>
      </right>
      <top/>
      <bottom style="mediumDashed">
        <color auto="1"/>
      </bottom>
      <diagonal/>
    </border>
    <border>
      <left style="thick">
        <color auto="1"/>
      </left>
      <right style="mediumDashDot">
        <color auto="1"/>
      </right>
      <top style="double">
        <color indexed="64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DashDot">
        <color auto="1"/>
      </left>
      <right style="mediumDashDot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7"/>
      </bottom>
      <diagonal/>
    </border>
    <border>
      <left/>
      <right style="thin">
        <color theme="7"/>
      </right>
      <top style="medium">
        <color indexed="64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medium">
        <color indexed="64"/>
      </top>
      <bottom style="thin">
        <color theme="7"/>
      </bottom>
      <diagonal/>
    </border>
    <border>
      <left style="thin">
        <color theme="7"/>
      </left>
      <right/>
      <top style="medium">
        <color indexed="64"/>
      </top>
      <bottom style="thin">
        <color theme="7"/>
      </bottom>
      <diagonal/>
    </border>
    <border>
      <left style="medium">
        <color indexed="64"/>
      </left>
      <right style="medium">
        <color indexed="64"/>
      </right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medium">
        <color indexed="64"/>
      </left>
      <right style="medium">
        <color indexed="64"/>
      </right>
      <top style="thin">
        <color theme="7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7"/>
      </right>
      <top style="medium">
        <color indexed="64"/>
      </top>
      <bottom style="medium">
        <color indexed="64"/>
      </bottom>
      <diagonal/>
    </border>
    <border>
      <left style="thin">
        <color theme="7"/>
      </left>
      <right style="thin">
        <color theme="7"/>
      </right>
      <top style="medium">
        <color indexed="64"/>
      </top>
      <bottom style="medium">
        <color indexed="64"/>
      </bottom>
      <diagonal/>
    </border>
    <border>
      <left style="thin">
        <color theme="7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theme="7"/>
      </left>
      <right style="medium">
        <color indexed="64"/>
      </right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/>
      </left>
      <right/>
      <top/>
      <bottom style="thin">
        <color theme="7"/>
      </bottom>
      <diagonal/>
    </border>
    <border>
      <left style="medium">
        <color indexed="64"/>
      </left>
      <right style="medium">
        <color indexed="64"/>
      </right>
      <top/>
      <bottom style="thin">
        <color theme="7"/>
      </bottom>
      <diagonal/>
    </border>
    <border>
      <left style="thin">
        <color theme="7"/>
      </left>
      <right style="medium">
        <color indexed="64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medium">
        <color indexed="64"/>
      </bottom>
      <diagonal/>
    </border>
    <border>
      <left style="thin">
        <color theme="7"/>
      </left>
      <right style="medium">
        <color indexed="64"/>
      </right>
      <top style="thin">
        <color theme="7"/>
      </top>
      <bottom style="medium">
        <color indexed="64"/>
      </bottom>
      <diagonal/>
    </border>
    <border>
      <left/>
      <right style="thin">
        <color theme="7"/>
      </right>
      <top style="thin">
        <color theme="7"/>
      </top>
      <bottom style="medium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/>
      </top>
      <bottom style="medium">
        <color indexed="64"/>
      </bottom>
      <diagonal/>
    </border>
    <border>
      <left style="thin">
        <color theme="7"/>
      </left>
      <right style="medium">
        <color indexed="64"/>
      </right>
      <top style="thin">
        <color theme="7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-0.249977111117893"/>
      </top>
      <bottom style="thin">
        <color theme="5" tint="0.59999389629810485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double">
        <color theme="5" tint="-0.249977111117893"/>
      </top>
      <bottom/>
      <diagonal/>
    </border>
    <border>
      <left/>
      <right/>
      <top style="thin">
        <color theme="5" tint="-0.249977111117893"/>
      </top>
      <bottom/>
      <diagonal/>
    </border>
    <border>
      <left style="thick">
        <color auto="1"/>
      </left>
      <right style="thin">
        <color indexed="64"/>
      </right>
      <top style="thick">
        <color auto="1"/>
      </top>
      <bottom style="double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ck">
        <color auto="1"/>
      </left>
      <right style="thin">
        <color indexed="64"/>
      </right>
      <top/>
      <bottom style="mediumDashed">
        <color auto="1"/>
      </bottom>
      <diagonal/>
    </border>
    <border>
      <left style="thick">
        <color auto="1"/>
      </left>
      <right style="thin">
        <color indexed="64"/>
      </right>
      <top/>
      <bottom style="thick">
        <color auto="1"/>
      </bottom>
      <diagonal/>
    </border>
    <border>
      <left style="thick">
        <color auto="1"/>
      </left>
      <right/>
      <top style="double">
        <color indexed="64"/>
      </top>
      <bottom style="thick">
        <color auto="1"/>
      </bottom>
      <diagonal/>
    </border>
    <border>
      <left style="mediumDashDotDot">
        <color indexed="64"/>
      </left>
      <right/>
      <top style="double">
        <color indexed="64"/>
      </top>
      <bottom style="thick">
        <color auto="1"/>
      </bottom>
      <diagonal/>
    </border>
    <border>
      <left style="mediumDashDotDot">
        <color indexed="64"/>
      </left>
      <right style="thick">
        <color auto="1"/>
      </right>
      <top style="double">
        <color indexed="64"/>
      </top>
      <bottom style="thick">
        <color auto="1"/>
      </bottom>
      <diagonal/>
    </border>
    <border>
      <left/>
      <right style="mediumDashDotDot">
        <color indexed="64"/>
      </right>
      <top style="thick">
        <color auto="1"/>
      </top>
      <bottom/>
      <diagonal/>
    </border>
    <border>
      <left/>
      <right style="mediumDashDotDot">
        <color indexed="64"/>
      </right>
      <top/>
      <bottom/>
      <diagonal/>
    </border>
    <border>
      <left/>
      <right style="mediumDashDotDot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theme="7"/>
      </right>
      <top style="thin">
        <color theme="7"/>
      </top>
      <bottom style="thin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indexed="64"/>
      </bottom>
      <diagonal/>
    </border>
    <border>
      <left style="thin">
        <color theme="7"/>
      </left>
      <right/>
      <top style="thin">
        <color theme="7"/>
      </top>
      <bottom style="thin">
        <color indexed="64"/>
      </bottom>
      <diagonal/>
    </border>
    <border>
      <left/>
      <right/>
      <top style="thin">
        <color theme="7"/>
      </top>
      <bottom style="medium">
        <color indexed="64"/>
      </bottom>
      <diagonal/>
    </border>
    <border>
      <left/>
      <right/>
      <top style="thin">
        <color theme="7"/>
      </top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332">
    <xf numFmtId="0" fontId="0" fillId="0" borderId="0" xfId="0"/>
    <xf numFmtId="0" fontId="2" fillId="0" borderId="0" xfId="0" applyFont="1" applyAlignment="1">
      <alignment vertical="center"/>
    </xf>
    <xf numFmtId="49" fontId="4" fillId="2" borderId="2" xfId="0" applyNumberFormat="1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5" fillId="4" borderId="0" xfId="0" applyFont="1" applyFill="1"/>
    <xf numFmtId="0" fontId="5" fillId="0" borderId="0" xfId="0" applyFont="1"/>
    <xf numFmtId="49" fontId="5" fillId="3" borderId="2" xfId="0" applyNumberFormat="1" applyFont="1" applyFill="1" applyBorder="1"/>
    <xf numFmtId="0" fontId="5" fillId="3" borderId="3" xfId="0" applyFont="1" applyFill="1" applyBorder="1"/>
    <xf numFmtId="0" fontId="5" fillId="5" borderId="3" xfId="0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center"/>
    </xf>
    <xf numFmtId="49" fontId="5" fillId="0" borderId="2" xfId="0" applyNumberFormat="1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49" fontId="5" fillId="6" borderId="2" xfId="0" applyNumberFormat="1" applyFont="1" applyFill="1" applyBorder="1"/>
    <xf numFmtId="0" fontId="5" fillId="6" borderId="3" xfId="0" applyFont="1" applyFill="1" applyBorder="1"/>
    <xf numFmtId="0" fontId="5" fillId="6" borderId="4" xfId="0" applyFont="1" applyFill="1" applyBorder="1"/>
    <xf numFmtId="0" fontId="5" fillId="6" borderId="4" xfId="0" applyFont="1" applyFill="1" applyBorder="1" applyAlignment="1">
      <alignment horizontal="center"/>
    </xf>
    <xf numFmtId="49" fontId="5" fillId="0" borderId="0" xfId="0" applyNumberFormat="1" applyFont="1"/>
    <xf numFmtId="0" fontId="5" fillId="0" borderId="0" xfId="0" applyFont="1" applyAlignment="1">
      <alignment horizontal="center"/>
    </xf>
    <xf numFmtId="0" fontId="6" fillId="4" borderId="0" xfId="0" applyFont="1" applyFill="1"/>
    <xf numFmtId="49" fontId="5" fillId="0" borderId="0" xfId="0" quotePrefix="1" applyNumberFormat="1" applyFont="1"/>
    <xf numFmtId="0" fontId="2" fillId="0" borderId="2" xfId="0" quotePrefix="1" applyFont="1" applyBorder="1"/>
    <xf numFmtId="0" fontId="2" fillId="0" borderId="3" xfId="0" applyFont="1" applyBorder="1"/>
    <xf numFmtId="0" fontId="5" fillId="0" borderId="0" xfId="0" quotePrefix="1" applyFont="1"/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vertical="center"/>
    </xf>
    <xf numFmtId="3" fontId="2" fillId="0" borderId="10" xfId="0" applyNumberFormat="1" applyFont="1" applyBorder="1" applyAlignment="1">
      <alignment vertical="center"/>
    </xf>
    <xf numFmtId="3" fontId="2" fillId="0" borderId="11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3" fontId="2" fillId="0" borderId="13" xfId="0" applyNumberFormat="1" applyFont="1" applyBorder="1" applyAlignment="1">
      <alignment vertical="center"/>
    </xf>
    <xf numFmtId="3" fontId="8" fillId="0" borderId="9" xfId="0" applyNumberFormat="1" applyFont="1" applyBorder="1" applyAlignment="1">
      <alignment vertical="center"/>
    </xf>
    <xf numFmtId="3" fontId="2" fillId="0" borderId="18" xfId="0" applyNumberFormat="1" applyFont="1" applyBorder="1" applyAlignment="1">
      <alignment vertical="center"/>
    </xf>
    <xf numFmtId="3" fontId="2" fillId="0" borderId="14" xfId="0" applyNumberFormat="1" applyFont="1" applyBorder="1" applyAlignment="1">
      <alignment vertical="center"/>
    </xf>
    <xf numFmtId="0" fontId="1" fillId="7" borderId="19" xfId="0" applyFont="1" applyFill="1" applyBorder="1" applyAlignment="1">
      <alignment vertical="center"/>
    </xf>
    <xf numFmtId="0" fontId="1" fillId="7" borderId="20" xfId="0" applyFont="1" applyFill="1" applyBorder="1" applyAlignment="1">
      <alignment vertical="center"/>
    </xf>
    <xf numFmtId="0" fontId="1" fillId="7" borderId="21" xfId="0" applyFont="1" applyFill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3" borderId="37" xfId="0" applyFont="1" applyFill="1" applyBorder="1" applyAlignment="1">
      <alignment vertical="center"/>
    </xf>
    <xf numFmtId="3" fontId="7" fillId="9" borderId="16" xfId="0" applyNumberFormat="1" applyFont="1" applyFill="1" applyBorder="1" applyAlignment="1">
      <alignment horizontal="center" vertical="center" wrapText="1"/>
    </xf>
    <xf numFmtId="0" fontId="7" fillId="8" borderId="38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5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2" fillId="0" borderId="39" xfId="0" applyNumberFormat="1" applyFont="1" applyBorder="1" applyAlignment="1">
      <alignment vertical="center"/>
    </xf>
    <xf numFmtId="3" fontId="2" fillId="0" borderId="40" xfId="0" applyNumberFormat="1" applyFont="1" applyBorder="1" applyAlignment="1">
      <alignment vertical="center"/>
    </xf>
    <xf numFmtId="3" fontId="2" fillId="0" borderId="41" xfId="0" applyNumberFormat="1" applyFont="1" applyBorder="1" applyAlignment="1">
      <alignment vertical="center"/>
    </xf>
    <xf numFmtId="3" fontId="2" fillId="0" borderId="42" xfId="0" applyNumberFormat="1" applyFont="1" applyBorder="1" applyAlignment="1">
      <alignment vertical="center"/>
    </xf>
    <xf numFmtId="3" fontId="2" fillId="0" borderId="43" xfId="0" applyNumberFormat="1" applyFont="1" applyBorder="1" applyAlignment="1">
      <alignment vertical="center"/>
    </xf>
    <xf numFmtId="3" fontId="8" fillId="0" borderId="41" xfId="0" applyNumberFormat="1" applyFont="1" applyBorder="1" applyAlignment="1">
      <alignment vertical="center"/>
    </xf>
    <xf numFmtId="3" fontId="2" fillId="0" borderId="20" xfId="0" applyNumberFormat="1" applyFont="1" applyBorder="1" applyAlignment="1">
      <alignment vertical="center"/>
    </xf>
    <xf numFmtId="3" fontId="2" fillId="0" borderId="19" xfId="0" applyNumberFormat="1" applyFont="1" applyBorder="1" applyAlignment="1">
      <alignment vertical="center"/>
    </xf>
    <xf numFmtId="3" fontId="2" fillId="0" borderId="21" xfId="0" applyNumberFormat="1" applyFont="1" applyBorder="1" applyAlignment="1">
      <alignment vertical="center"/>
    </xf>
    <xf numFmtId="3" fontId="8" fillId="0" borderId="22" xfId="0" applyNumberFormat="1" applyFont="1" applyBorder="1" applyAlignment="1">
      <alignment vertical="center"/>
    </xf>
    <xf numFmtId="3" fontId="7" fillId="9" borderId="45" xfId="0" applyNumberFormat="1" applyFont="1" applyFill="1" applyBorder="1" applyAlignment="1">
      <alignment horizontal="center" vertical="center" wrapText="1"/>
    </xf>
    <xf numFmtId="3" fontId="7" fillId="9" borderId="46" xfId="0" applyNumberFormat="1" applyFont="1" applyFill="1" applyBorder="1" applyAlignment="1">
      <alignment horizontal="center" vertical="center" wrapText="1"/>
    </xf>
    <xf numFmtId="3" fontId="7" fillId="9" borderId="15" xfId="0" applyNumberFormat="1" applyFont="1" applyFill="1" applyBorder="1" applyAlignment="1">
      <alignment horizontal="center" vertical="center" wrapText="1"/>
    </xf>
    <xf numFmtId="3" fontId="7" fillId="9" borderId="38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15" fillId="11" borderId="50" xfId="0" applyFont="1" applyFill="1" applyBorder="1" applyAlignment="1">
      <alignment horizontal="center" vertical="center"/>
    </xf>
    <xf numFmtId="15" fontId="4" fillId="2" borderId="50" xfId="0" applyNumberFormat="1" applyFont="1" applyFill="1" applyBorder="1" applyAlignment="1">
      <alignment horizontal="center" vertical="center"/>
    </xf>
    <xf numFmtId="3" fontId="4" fillId="2" borderId="50" xfId="0" applyNumberFormat="1" applyFont="1" applyFill="1" applyBorder="1" applyAlignment="1">
      <alignment horizontal="center" vertical="center"/>
    </xf>
    <xf numFmtId="0" fontId="17" fillId="12" borderId="0" xfId="2" applyFont="1" applyFill="1" applyAlignment="1">
      <alignment vertical="center"/>
    </xf>
    <xf numFmtId="0" fontId="18" fillId="12" borderId="0" xfId="2" applyFont="1" applyFill="1" applyAlignment="1">
      <alignment vertical="center"/>
    </xf>
    <xf numFmtId="0" fontId="18" fillId="0" borderId="0" xfId="2" applyFont="1" applyAlignment="1">
      <alignment vertical="center"/>
    </xf>
    <xf numFmtId="0" fontId="19" fillId="0" borderId="0" xfId="2" applyFont="1" applyAlignment="1">
      <alignment vertical="center"/>
    </xf>
    <xf numFmtId="0" fontId="19" fillId="0" borderId="0" xfId="2" applyFont="1" applyAlignment="1">
      <alignment horizontal="left" vertical="center"/>
    </xf>
    <xf numFmtId="0" fontId="18" fillId="0" borderId="0" xfId="2" applyFont="1" applyAlignment="1">
      <alignment horizontal="center" vertical="center"/>
    </xf>
    <xf numFmtId="0" fontId="19" fillId="0" borderId="0" xfId="2" applyFont="1" applyAlignment="1">
      <alignment horizontal="right" vertical="center"/>
    </xf>
    <xf numFmtId="0" fontId="22" fillId="0" borderId="57" xfId="2" applyFont="1" applyBorder="1" applyAlignment="1">
      <alignment vertical="center"/>
    </xf>
    <xf numFmtId="3" fontId="22" fillId="0" borderId="58" xfId="3" applyNumberFormat="1" applyFont="1" applyBorder="1" applyAlignment="1">
      <alignment vertical="center"/>
    </xf>
    <xf numFmtId="3" fontId="22" fillId="0" borderId="59" xfId="3" applyNumberFormat="1" applyFont="1" applyBorder="1" applyAlignment="1">
      <alignment vertical="center"/>
    </xf>
    <xf numFmtId="3" fontId="22" fillId="0" borderId="60" xfId="3" applyNumberFormat="1" applyFont="1" applyBorder="1" applyAlignment="1">
      <alignment vertical="center"/>
    </xf>
    <xf numFmtId="0" fontId="22" fillId="0" borderId="0" xfId="2" applyFont="1" applyAlignment="1">
      <alignment vertical="center"/>
    </xf>
    <xf numFmtId="0" fontId="22" fillId="0" borderId="61" xfId="2" applyFont="1" applyBorder="1" applyAlignment="1">
      <alignment vertical="center"/>
    </xf>
    <xf numFmtId="3" fontId="22" fillId="0" borderId="62" xfId="3" applyNumberFormat="1" applyFont="1" applyBorder="1" applyAlignment="1">
      <alignment vertical="center"/>
    </xf>
    <xf numFmtId="3" fontId="22" fillId="0" borderId="63" xfId="3" applyNumberFormat="1" applyFont="1" applyBorder="1" applyAlignment="1">
      <alignment vertical="center"/>
    </xf>
    <xf numFmtId="3" fontId="22" fillId="0" borderId="64" xfId="3" applyNumberFormat="1" applyFont="1" applyBorder="1" applyAlignment="1">
      <alignment vertical="center"/>
    </xf>
    <xf numFmtId="0" fontId="22" fillId="0" borderId="65" xfId="2" applyFont="1" applyBorder="1" applyAlignment="1">
      <alignment vertical="center"/>
    </xf>
    <xf numFmtId="3" fontId="22" fillId="0" borderId="54" xfId="3" applyNumberFormat="1" applyFont="1" applyBorder="1" applyAlignment="1">
      <alignment vertical="center"/>
    </xf>
    <xf numFmtId="3" fontId="22" fillId="0" borderId="55" xfId="3" applyNumberFormat="1" applyFont="1" applyBorder="1" applyAlignment="1">
      <alignment vertical="center"/>
    </xf>
    <xf numFmtId="3" fontId="22" fillId="0" borderId="56" xfId="3" applyNumberFormat="1" applyFont="1" applyBorder="1" applyAlignment="1">
      <alignment vertical="center"/>
    </xf>
    <xf numFmtId="0" fontId="23" fillId="0" borderId="0" xfId="2" applyFont="1" applyAlignment="1">
      <alignment horizontal="right" vertical="center"/>
    </xf>
    <xf numFmtId="3" fontId="18" fillId="0" borderId="0" xfId="2" applyNumberFormat="1" applyFont="1" applyAlignment="1">
      <alignment vertical="center"/>
    </xf>
    <xf numFmtId="0" fontId="22" fillId="0" borderId="73" xfId="2" applyFont="1" applyBorder="1" applyAlignment="1">
      <alignment vertical="center"/>
    </xf>
    <xf numFmtId="3" fontId="22" fillId="0" borderId="74" xfId="3" applyNumberFormat="1" applyFont="1" applyBorder="1" applyAlignment="1">
      <alignment vertical="center"/>
    </xf>
    <xf numFmtId="3" fontId="22" fillId="0" borderId="72" xfId="3" applyNumberFormat="1" applyFont="1" applyBorder="1" applyAlignment="1">
      <alignment vertical="center"/>
    </xf>
    <xf numFmtId="3" fontId="22" fillId="0" borderId="75" xfId="3" applyNumberFormat="1" applyFont="1" applyBorder="1" applyAlignment="1">
      <alignment vertical="center"/>
    </xf>
    <xf numFmtId="0" fontId="22" fillId="0" borderId="77" xfId="2" applyFont="1" applyBorder="1" applyAlignment="1">
      <alignment vertical="center"/>
    </xf>
    <xf numFmtId="0" fontId="22" fillId="0" borderId="79" xfId="2" applyFont="1" applyBorder="1" applyAlignment="1">
      <alignment vertical="center"/>
    </xf>
    <xf numFmtId="3" fontId="22" fillId="0" borderId="80" xfId="3" applyNumberFormat="1" applyFont="1" applyBorder="1" applyAlignment="1">
      <alignment vertical="center"/>
    </xf>
    <xf numFmtId="3" fontId="22" fillId="0" borderId="81" xfId="3" applyNumberFormat="1" applyFont="1" applyBorder="1" applyAlignment="1">
      <alignment vertical="center"/>
    </xf>
    <xf numFmtId="3" fontId="22" fillId="0" borderId="78" xfId="3" applyNumberFormat="1" applyFont="1" applyBorder="1" applyAlignment="1">
      <alignment vertical="center"/>
    </xf>
    <xf numFmtId="0" fontId="22" fillId="0" borderId="83" xfId="2" applyFont="1" applyBorder="1" applyAlignment="1">
      <alignment vertical="center"/>
    </xf>
    <xf numFmtId="0" fontId="25" fillId="0" borderId="0" xfId="0" applyFont="1" applyAlignment="1">
      <alignment vertical="center"/>
    </xf>
    <xf numFmtId="0" fontId="27" fillId="0" borderId="0" xfId="0" applyFont="1"/>
    <xf numFmtId="10" fontId="26" fillId="0" borderId="0" xfId="0" applyNumberFormat="1" applyFont="1"/>
    <xf numFmtId="0" fontId="28" fillId="14" borderId="89" xfId="0" applyFont="1" applyFill="1" applyBorder="1"/>
    <xf numFmtId="166" fontId="28" fillId="14" borderId="90" xfId="0" applyNumberFormat="1" applyFont="1" applyFill="1" applyBorder="1" applyAlignment="1">
      <alignment horizontal="center"/>
    </xf>
    <xf numFmtId="166" fontId="28" fillId="14" borderId="89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29" fillId="15" borderId="91" xfId="0" applyFont="1" applyFill="1" applyBorder="1"/>
    <xf numFmtId="166" fontId="29" fillId="15" borderId="91" xfId="0" applyNumberFormat="1" applyFont="1" applyFill="1" applyBorder="1"/>
    <xf numFmtId="0" fontId="11" fillId="0" borderId="92" xfId="0" applyFont="1" applyBorder="1"/>
    <xf numFmtId="166" fontId="11" fillId="0" borderId="92" xfId="0" applyNumberFormat="1" applyFont="1" applyBorder="1"/>
    <xf numFmtId="0" fontId="28" fillId="14" borderId="93" xfId="0" applyFont="1" applyFill="1" applyBorder="1"/>
    <xf numFmtId="0" fontId="5" fillId="0" borderId="0" xfId="0" applyFont="1" applyAlignment="1">
      <alignment horizontal="left" vertical="center"/>
    </xf>
    <xf numFmtId="0" fontId="5" fillId="16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50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1" fillId="10" borderId="30" xfId="0" applyFont="1" applyFill="1" applyBorder="1" applyAlignment="1">
      <alignment horizontal="center"/>
    </xf>
    <xf numFmtId="0" fontId="32" fillId="3" borderId="5" xfId="0" applyFont="1" applyFill="1" applyBorder="1" applyAlignment="1">
      <alignment horizontal="center"/>
    </xf>
    <xf numFmtId="0" fontId="32" fillId="3" borderId="5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/>
    </xf>
    <xf numFmtId="0" fontId="34" fillId="0" borderId="31" xfId="0" applyFont="1" applyBorder="1" applyAlignment="1">
      <alignment horizontal="center"/>
    </xf>
    <xf numFmtId="3" fontId="34" fillId="0" borderId="0" xfId="0" applyNumberFormat="1" applyFont="1" applyAlignment="1">
      <alignment horizontal="center"/>
    </xf>
    <xf numFmtId="10" fontId="34" fillId="0" borderId="32" xfId="0" applyNumberFormat="1" applyFont="1" applyBorder="1" applyAlignment="1">
      <alignment horizontal="center"/>
    </xf>
    <xf numFmtId="3" fontId="34" fillId="0" borderId="33" xfId="0" applyNumberFormat="1" applyFont="1" applyBorder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 vertical="center"/>
    </xf>
    <xf numFmtId="3" fontId="34" fillId="0" borderId="31" xfId="0" applyNumberFormat="1" applyFont="1" applyBorder="1"/>
    <xf numFmtId="3" fontId="34" fillId="0" borderId="32" xfId="0" applyNumberFormat="1" applyFont="1" applyBorder="1" applyAlignment="1">
      <alignment horizontal="center"/>
    </xf>
    <xf numFmtId="3" fontId="34" fillId="0" borderId="34" xfId="0" applyNumberFormat="1" applyFont="1" applyBorder="1"/>
    <xf numFmtId="3" fontId="34" fillId="0" borderId="35" xfId="0" applyNumberFormat="1" applyFont="1" applyBorder="1" applyAlignment="1">
      <alignment horizontal="center"/>
    </xf>
    <xf numFmtId="10" fontId="34" fillId="0" borderId="36" xfId="0" applyNumberFormat="1" applyFont="1" applyBorder="1" applyAlignment="1">
      <alignment horizontal="center"/>
    </xf>
    <xf numFmtId="3" fontId="34" fillId="0" borderId="36" xfId="0" applyNumberFormat="1" applyFont="1" applyBorder="1" applyAlignment="1">
      <alignment horizontal="center"/>
    </xf>
    <xf numFmtId="0" fontId="15" fillId="13" borderId="6" xfId="0" applyFont="1" applyFill="1" applyBorder="1" applyAlignment="1">
      <alignment horizontal="center" vertical="center"/>
    </xf>
    <xf numFmtId="15" fontId="5" fillId="3" borderId="50" xfId="0" applyNumberFormat="1" applyFont="1" applyFill="1" applyBorder="1" applyAlignment="1">
      <alignment horizontal="left" vertical="center"/>
    </xf>
    <xf numFmtId="3" fontId="5" fillId="3" borderId="50" xfId="0" applyNumberFormat="1" applyFont="1" applyFill="1" applyBorder="1" applyAlignment="1">
      <alignment horizontal="left" vertical="center"/>
    </xf>
    <xf numFmtId="0" fontId="5" fillId="11" borderId="50" xfId="0" applyFont="1" applyFill="1" applyBorder="1" applyAlignment="1">
      <alignment horizontal="left" vertical="center"/>
    </xf>
    <xf numFmtId="0" fontId="5" fillId="13" borderId="6" xfId="0" applyFont="1" applyFill="1" applyBorder="1" applyAlignment="1">
      <alignment horizontal="left" vertical="center"/>
    </xf>
    <xf numFmtId="15" fontId="5" fillId="0" borderId="50" xfId="0" applyNumberFormat="1" applyFont="1" applyBorder="1" applyAlignment="1">
      <alignment horizontal="left" vertical="center"/>
    </xf>
    <xf numFmtId="3" fontId="5" fillId="0" borderId="50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30" fillId="0" borderId="0" xfId="0" applyFont="1" applyAlignment="1">
      <alignment vertical="center"/>
    </xf>
    <xf numFmtId="0" fontId="5" fillId="17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" fillId="0" borderId="19" xfId="0" applyFont="1" applyBorder="1" applyAlignment="1">
      <alignment vertical="center"/>
    </xf>
    <xf numFmtId="3" fontId="2" fillId="0" borderId="23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3" fontId="2" fillId="0" borderId="27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3" fontId="2" fillId="0" borderId="24" xfId="0" applyNumberFormat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3" fontId="2" fillId="0" borderId="25" xfId="0" applyNumberFormat="1" applyFont="1" applyBorder="1" applyAlignment="1">
      <alignment vertical="center"/>
    </xf>
    <xf numFmtId="3" fontId="2" fillId="0" borderId="26" xfId="0" applyNumberFormat="1" applyFont="1" applyBorder="1" applyAlignment="1">
      <alignment vertical="center"/>
    </xf>
    <xf numFmtId="3" fontId="22" fillId="18" borderId="76" xfId="3" applyNumberFormat="1" applyFont="1" applyFill="1" applyBorder="1" applyAlignment="1">
      <alignment vertical="center"/>
    </xf>
    <xf numFmtId="3" fontId="22" fillId="18" borderId="61" xfId="3" applyNumberFormat="1" applyFont="1" applyFill="1" applyBorder="1" applyAlignment="1">
      <alignment vertical="center"/>
    </xf>
    <xf numFmtId="3" fontId="22" fillId="18" borderId="82" xfId="3" applyNumberFormat="1" applyFont="1" applyFill="1" applyBorder="1" applyAlignment="1">
      <alignment vertical="center"/>
    </xf>
    <xf numFmtId="3" fontId="22" fillId="18" borderId="65" xfId="3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0" fontId="1" fillId="0" borderId="95" xfId="0" applyFont="1" applyBorder="1" applyAlignment="1">
      <alignment vertical="center"/>
    </xf>
    <xf numFmtId="0" fontId="1" fillId="0" borderId="96" xfId="0" applyFont="1" applyBorder="1" applyAlignment="1">
      <alignment vertical="center"/>
    </xf>
    <xf numFmtId="0" fontId="1" fillId="0" borderId="97" xfId="0" applyFont="1" applyBorder="1" applyAlignment="1">
      <alignment vertical="center"/>
    </xf>
    <xf numFmtId="3" fontId="2" fillId="0" borderId="101" xfId="0" applyNumberFormat="1" applyFont="1" applyBorder="1" applyAlignment="1">
      <alignment vertical="center"/>
    </xf>
    <xf numFmtId="3" fontId="2" fillId="0" borderId="102" xfId="0" applyNumberFormat="1" applyFont="1" applyBorder="1" applyAlignment="1">
      <alignment vertical="center"/>
    </xf>
    <xf numFmtId="3" fontId="2" fillId="0" borderId="103" xfId="0" applyNumberFormat="1" applyFont="1" applyBorder="1" applyAlignment="1">
      <alignment vertical="center"/>
    </xf>
    <xf numFmtId="3" fontId="2" fillId="19" borderId="23" xfId="0" applyNumberFormat="1" applyFont="1" applyFill="1" applyBorder="1" applyAlignment="1">
      <alignment vertical="center"/>
    </xf>
    <xf numFmtId="3" fontId="2" fillId="19" borderId="12" xfId="0" applyNumberFormat="1" applyFont="1" applyFill="1" applyBorder="1" applyAlignment="1">
      <alignment vertical="center"/>
    </xf>
    <xf numFmtId="3" fontId="2" fillId="19" borderId="27" xfId="0" applyNumberFormat="1" applyFont="1" applyFill="1" applyBorder="1" applyAlignment="1">
      <alignment vertical="center"/>
    </xf>
    <xf numFmtId="3" fontId="2" fillId="19" borderId="13" xfId="0" applyNumberFormat="1" applyFont="1" applyFill="1" applyBorder="1" applyAlignment="1">
      <alignment vertical="center"/>
    </xf>
    <xf numFmtId="3" fontId="2" fillId="19" borderId="19" xfId="0" applyNumberFormat="1" applyFont="1" applyFill="1" applyBorder="1" applyAlignment="1">
      <alignment vertical="center"/>
    </xf>
    <xf numFmtId="3" fontId="2" fillId="19" borderId="20" xfId="0" applyNumberFormat="1" applyFont="1" applyFill="1" applyBorder="1" applyAlignment="1">
      <alignment vertical="center"/>
    </xf>
    <xf numFmtId="3" fontId="2" fillId="19" borderId="21" xfId="0" applyNumberFormat="1" applyFont="1" applyFill="1" applyBorder="1" applyAlignment="1">
      <alignment vertical="center"/>
    </xf>
    <xf numFmtId="0" fontId="36" fillId="0" borderId="0" xfId="0" applyFont="1" applyAlignment="1">
      <alignment horizontal="center"/>
    </xf>
    <xf numFmtId="166" fontId="36" fillId="0" borderId="0" xfId="1" applyNumberFormat="1" applyFont="1" applyAlignment="1">
      <alignment horizontal="center"/>
    </xf>
    <xf numFmtId="166" fontId="0" fillId="0" borderId="0" xfId="1" applyNumberFormat="1" applyFont="1"/>
    <xf numFmtId="166" fontId="36" fillId="0" borderId="0" xfId="1" applyNumberFormat="1" applyFont="1"/>
    <xf numFmtId="0" fontId="37" fillId="0" borderId="104" xfId="0" applyFont="1" applyBorder="1" applyAlignment="1">
      <alignment horizontal="center" vertical="center"/>
    </xf>
    <xf numFmtId="0" fontId="37" fillId="0" borderId="87" xfId="0" applyFont="1" applyBorder="1" applyAlignment="1">
      <alignment horizontal="center" vertical="center"/>
    </xf>
    <xf numFmtId="0" fontId="37" fillId="0" borderId="105" xfId="0" applyFont="1" applyBorder="1" applyAlignment="1">
      <alignment horizontal="center" vertical="center"/>
    </xf>
    <xf numFmtId="0" fontId="0" fillId="0" borderId="106" xfId="0" applyBorder="1" applyAlignment="1">
      <alignment vertical="center"/>
    </xf>
    <xf numFmtId="0" fontId="0" fillId="0" borderId="107" xfId="0" applyBorder="1" applyAlignment="1">
      <alignment vertical="center"/>
    </xf>
    <xf numFmtId="166" fontId="0" fillId="0" borderId="107" xfId="0" applyNumberFormat="1" applyBorder="1" applyAlignment="1">
      <alignment vertical="center"/>
    </xf>
    <xf numFmtId="166" fontId="0" fillId="0" borderId="107" xfId="4" applyNumberFormat="1" applyFont="1" applyBorder="1" applyAlignment="1">
      <alignment vertical="center"/>
    </xf>
    <xf numFmtId="166" fontId="0" fillId="0" borderId="108" xfId="0" applyNumberFormat="1" applyBorder="1" applyAlignment="1">
      <alignment vertical="center"/>
    </xf>
    <xf numFmtId="0" fontId="0" fillId="0" borderId="109" xfId="0" applyBorder="1" applyAlignment="1">
      <alignment vertical="center"/>
    </xf>
    <xf numFmtId="0" fontId="0" fillId="0" borderId="110" xfId="0" applyBorder="1" applyAlignment="1">
      <alignment vertical="center"/>
    </xf>
    <xf numFmtId="166" fontId="0" fillId="0" borderId="111" xfId="0" applyNumberFormat="1" applyBorder="1" applyAlignment="1">
      <alignment vertical="center"/>
    </xf>
    <xf numFmtId="0" fontId="0" fillId="0" borderId="112" xfId="0" applyBorder="1" applyAlignment="1">
      <alignment vertical="center"/>
    </xf>
    <xf numFmtId="0" fontId="0" fillId="0" borderId="113" xfId="0" applyBorder="1" applyAlignment="1">
      <alignment vertical="center"/>
    </xf>
    <xf numFmtId="166" fontId="0" fillId="0" borderId="114" xfId="0" applyNumberFormat="1" applyBorder="1" applyAlignment="1">
      <alignment vertical="center"/>
    </xf>
    <xf numFmtId="166" fontId="37" fillId="0" borderId="87" xfId="0" applyNumberFormat="1" applyFont="1" applyBorder="1" applyAlignment="1">
      <alignment vertical="center"/>
    </xf>
    <xf numFmtId="166" fontId="37" fillId="0" borderId="105" xfId="0" applyNumberFormat="1" applyFont="1" applyBorder="1" applyAlignment="1">
      <alignment vertical="center"/>
    </xf>
    <xf numFmtId="0" fontId="37" fillId="0" borderId="86" xfId="0" applyFont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4" fontId="38" fillId="0" borderId="0" xfId="0" applyNumberFormat="1" applyFont="1" applyAlignment="1">
      <alignment horizontal="center" vertical="center"/>
    </xf>
    <xf numFmtId="0" fontId="38" fillId="17" borderId="0" xfId="0" applyFont="1" applyFill="1" applyAlignment="1">
      <alignment horizontal="left" vertical="center"/>
    </xf>
    <xf numFmtId="0" fontId="38" fillId="17" borderId="0" xfId="0" applyFont="1" applyFill="1" applyAlignment="1">
      <alignment horizontal="center" vertical="center"/>
    </xf>
    <xf numFmtId="0" fontId="31" fillId="10" borderId="28" xfId="0" applyFont="1" applyFill="1" applyBorder="1" applyAlignment="1">
      <alignment horizontal="center"/>
    </xf>
    <xf numFmtId="0" fontId="31" fillId="10" borderId="29" xfId="0" applyFont="1" applyFill="1" applyBorder="1" applyAlignment="1">
      <alignment horizontal="center"/>
    </xf>
    <xf numFmtId="164" fontId="10" fillId="0" borderId="0" xfId="0" applyNumberFormat="1" applyFont="1" applyAlignment="1">
      <alignment horizontal="left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3" fontId="7" fillId="9" borderId="15" xfId="0" applyNumberFormat="1" applyFont="1" applyFill="1" applyBorder="1" applyAlignment="1">
      <alignment horizontal="center" vertical="center" wrapText="1"/>
    </xf>
    <xf numFmtId="3" fontId="7" fillId="9" borderId="16" xfId="0" applyNumberFormat="1" applyFont="1" applyFill="1" applyBorder="1" applyAlignment="1">
      <alignment horizontal="center" vertical="center" wrapText="1"/>
    </xf>
    <xf numFmtId="3" fontId="7" fillId="9" borderId="19" xfId="0" applyNumberFormat="1" applyFont="1" applyFill="1" applyBorder="1" applyAlignment="1">
      <alignment horizontal="center" vertical="center"/>
    </xf>
    <xf numFmtId="3" fontId="7" fillId="9" borderId="22" xfId="0" applyNumberFormat="1" applyFont="1" applyFill="1" applyBorder="1" applyAlignment="1">
      <alignment horizontal="center" vertical="center"/>
    </xf>
    <xf numFmtId="165" fontId="17" fillId="12" borderId="0" xfId="2" applyNumberFormat="1" applyFont="1" applyFill="1" applyAlignment="1">
      <alignment horizontal="left" vertical="center"/>
    </xf>
    <xf numFmtId="0" fontId="37" fillId="0" borderId="71" xfId="0" applyFont="1" applyBorder="1" applyAlignment="1">
      <alignment horizontal="center" vertical="center"/>
    </xf>
    <xf numFmtId="0" fontId="37" fillId="0" borderId="86" xfId="0" applyFont="1" applyBorder="1" applyAlignment="1">
      <alignment horizontal="center" vertical="center"/>
    </xf>
    <xf numFmtId="0" fontId="39" fillId="20" borderId="115" xfId="0" applyFont="1" applyFill="1" applyBorder="1" applyAlignment="1">
      <alignment horizontal="center" vertical="center"/>
    </xf>
    <xf numFmtId="3" fontId="7" fillId="21" borderId="116" xfId="0" applyNumberFormat="1" applyFont="1" applyFill="1" applyBorder="1" applyAlignment="1">
      <alignment horizontal="center" vertical="center" wrapText="1"/>
    </xf>
    <xf numFmtId="3" fontId="39" fillId="22" borderId="84" xfId="0" applyNumberFormat="1" applyFont="1" applyFill="1" applyBorder="1" applyAlignment="1">
      <alignment horizontal="center" vertical="center" wrapText="1"/>
    </xf>
    <xf numFmtId="3" fontId="39" fillId="23" borderId="117" xfId="0" applyNumberFormat="1" applyFont="1" applyFill="1" applyBorder="1" applyAlignment="1">
      <alignment horizontal="center" vertical="center" wrapText="1"/>
    </xf>
    <xf numFmtId="3" fontId="24" fillId="24" borderId="115" xfId="0" applyNumberFormat="1" applyFont="1" applyFill="1" applyBorder="1" applyAlignment="1">
      <alignment horizontal="center" vertical="center" wrapText="1"/>
    </xf>
    <xf numFmtId="3" fontId="24" fillId="24" borderId="118" xfId="0" applyNumberFormat="1" applyFont="1" applyFill="1" applyBorder="1" applyAlignment="1">
      <alignment horizontal="center" vertical="center" wrapText="1"/>
    </xf>
    <xf numFmtId="3" fontId="24" fillId="24" borderId="85" xfId="0" applyNumberFormat="1" applyFont="1" applyFill="1" applyBorder="1" applyAlignment="1">
      <alignment horizontal="center" vertical="center" wrapText="1"/>
    </xf>
    <xf numFmtId="3" fontId="2" fillId="25" borderId="23" xfId="0" applyNumberFormat="1" applyFont="1" applyFill="1" applyBorder="1" applyAlignment="1">
      <alignment vertical="center"/>
    </xf>
    <xf numFmtId="3" fontId="2" fillId="25" borderId="27" xfId="0" applyNumberFormat="1" applyFont="1" applyFill="1" applyBorder="1" applyAlignment="1">
      <alignment vertical="center"/>
    </xf>
    <xf numFmtId="0" fontId="39" fillId="26" borderId="22" xfId="0" applyFont="1" applyFill="1" applyBorder="1" applyAlignment="1">
      <alignment vertical="center"/>
    </xf>
    <xf numFmtId="3" fontId="39" fillId="26" borderId="98" xfId="0" applyNumberFormat="1" applyFont="1" applyFill="1" applyBorder="1" applyAlignment="1">
      <alignment vertical="center"/>
    </xf>
    <xf numFmtId="3" fontId="39" fillId="26" borderId="99" xfId="0" applyNumberFormat="1" applyFont="1" applyFill="1" applyBorder="1" applyAlignment="1">
      <alignment vertical="center"/>
    </xf>
    <xf numFmtId="3" fontId="39" fillId="26" borderId="100" xfId="0" applyNumberFormat="1" applyFont="1" applyFill="1" applyBorder="1" applyAlignment="1">
      <alignment vertical="center"/>
    </xf>
    <xf numFmtId="3" fontId="39" fillId="26" borderId="22" xfId="0" applyNumberFormat="1" applyFont="1" applyFill="1" applyBorder="1" applyAlignment="1">
      <alignment vertical="center"/>
    </xf>
    <xf numFmtId="0" fontId="7" fillId="20" borderId="19" xfId="0" applyFont="1" applyFill="1" applyBorder="1" applyAlignment="1">
      <alignment horizontal="center" vertical="center"/>
    </xf>
    <xf numFmtId="3" fontId="7" fillId="21" borderId="15" xfId="0" applyNumberFormat="1" applyFont="1" applyFill="1" applyBorder="1" applyAlignment="1">
      <alignment horizontal="center" vertical="center" wrapText="1"/>
    </xf>
    <xf numFmtId="3" fontId="7" fillId="21" borderId="17" xfId="0" applyNumberFormat="1" applyFont="1" applyFill="1" applyBorder="1" applyAlignment="1">
      <alignment horizontal="center" vertical="center" wrapText="1"/>
    </xf>
    <xf numFmtId="3" fontId="39" fillId="23" borderId="19" xfId="0" applyNumberFormat="1" applyFont="1" applyFill="1" applyBorder="1" applyAlignment="1">
      <alignment horizontal="center" vertical="center" wrapText="1"/>
    </xf>
    <xf numFmtId="0" fontId="7" fillId="20" borderId="22" xfId="0" applyFont="1" applyFill="1" applyBorder="1" applyAlignment="1">
      <alignment horizontal="center" vertical="center"/>
    </xf>
    <xf numFmtId="3" fontId="7" fillId="21" borderId="45" xfId="0" applyNumberFormat="1" applyFont="1" applyFill="1" applyBorder="1" applyAlignment="1">
      <alignment horizontal="center" vertical="center" wrapText="1"/>
    </xf>
    <xf numFmtId="3" fontId="7" fillId="21" borderId="46" xfId="0" applyNumberFormat="1" applyFont="1" applyFill="1" applyBorder="1" applyAlignment="1">
      <alignment horizontal="center" vertical="center" wrapText="1"/>
    </xf>
    <xf numFmtId="3" fontId="39" fillId="23" borderId="22" xfId="0" applyNumberFormat="1" applyFont="1" applyFill="1" applyBorder="1" applyAlignment="1">
      <alignment horizontal="center" vertical="center" wrapText="1"/>
    </xf>
    <xf numFmtId="0" fontId="7" fillId="26" borderId="22" xfId="0" applyFont="1" applyFill="1" applyBorder="1" applyAlignment="1">
      <alignment vertical="center"/>
    </xf>
    <xf numFmtId="3" fontId="7" fillId="26" borderId="9" xfId="0" applyNumberFormat="1" applyFont="1" applyFill="1" applyBorder="1" applyAlignment="1">
      <alignment vertical="center"/>
    </xf>
    <xf numFmtId="3" fontId="7" fillId="26" borderId="41" xfId="0" applyNumberFormat="1" applyFont="1" applyFill="1" applyBorder="1" applyAlignment="1">
      <alignment vertical="center"/>
    </xf>
    <xf numFmtId="3" fontId="7" fillId="26" borderId="22" xfId="0" applyNumberFormat="1" applyFont="1" applyFill="1" applyBorder="1" applyAlignment="1">
      <alignment vertical="center"/>
    </xf>
    <xf numFmtId="3" fontId="7" fillId="23" borderId="19" xfId="0" applyNumberFormat="1" applyFont="1" applyFill="1" applyBorder="1" applyAlignment="1">
      <alignment horizontal="center" vertical="center" wrapText="1"/>
    </xf>
    <xf numFmtId="3" fontId="7" fillId="23" borderId="22" xfId="0" applyNumberFormat="1" applyFont="1" applyFill="1" applyBorder="1" applyAlignment="1">
      <alignment horizontal="center" vertical="center" wrapText="1"/>
    </xf>
    <xf numFmtId="0" fontId="7" fillId="20" borderId="94" xfId="0" applyFont="1" applyFill="1" applyBorder="1" applyAlignment="1">
      <alignment horizontal="center" vertical="center"/>
    </xf>
    <xf numFmtId="0" fontId="7" fillId="20" borderId="17" xfId="0" applyFont="1" applyFill="1" applyBorder="1" applyAlignment="1">
      <alignment horizontal="center" vertical="center"/>
    </xf>
    <xf numFmtId="3" fontId="7" fillId="21" borderId="38" xfId="0" applyNumberFormat="1" applyFont="1" applyFill="1" applyBorder="1" applyAlignment="1">
      <alignment horizontal="center" vertical="center" wrapText="1"/>
    </xf>
    <xf numFmtId="3" fontId="7" fillId="23" borderId="16" xfId="0" applyNumberFormat="1" applyFont="1" applyFill="1" applyBorder="1" applyAlignment="1">
      <alignment horizontal="center" vertical="center" wrapText="1"/>
    </xf>
    <xf numFmtId="3" fontId="7" fillId="23" borderId="38" xfId="0" applyNumberFormat="1" applyFont="1" applyFill="1" applyBorder="1" applyAlignment="1">
      <alignment horizontal="center" vertical="center" wrapText="1"/>
    </xf>
    <xf numFmtId="3" fontId="24" fillId="24" borderId="17" xfId="0" applyNumberFormat="1" applyFont="1" applyFill="1" applyBorder="1" applyAlignment="1">
      <alignment horizontal="center" vertical="center" wrapText="1"/>
    </xf>
    <xf numFmtId="0" fontId="8" fillId="26" borderId="49" xfId="0" applyFont="1" applyFill="1" applyBorder="1" applyAlignment="1">
      <alignment vertical="center"/>
    </xf>
    <xf numFmtId="0" fontId="14" fillId="26" borderId="48" xfId="0" applyFont="1" applyFill="1" applyBorder="1" applyAlignment="1">
      <alignment vertical="center"/>
    </xf>
    <xf numFmtId="3" fontId="8" fillId="26" borderId="47" xfId="0" applyNumberFormat="1" applyFont="1" applyFill="1" applyBorder="1" applyAlignment="1">
      <alignment vertical="center"/>
    </xf>
    <xf numFmtId="3" fontId="8" fillId="26" borderId="46" xfId="0" applyNumberFormat="1" applyFont="1" applyFill="1" applyBorder="1" applyAlignment="1">
      <alignment vertical="center"/>
    </xf>
    <xf numFmtId="3" fontId="8" fillId="26" borderId="48" xfId="0" applyNumberFormat="1" applyFont="1" applyFill="1" applyBorder="1" applyAlignment="1">
      <alignment vertical="center"/>
    </xf>
    <xf numFmtId="3" fontId="35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15" fontId="40" fillId="0" borderId="0" xfId="0" applyNumberFormat="1" applyFont="1" applyAlignment="1">
      <alignment vertical="center"/>
    </xf>
    <xf numFmtId="3" fontId="7" fillId="26" borderId="25" xfId="0" applyNumberFormat="1" applyFont="1" applyFill="1" applyBorder="1" applyAlignment="1">
      <alignment vertical="center"/>
    </xf>
    <xf numFmtId="3" fontId="7" fillId="26" borderId="14" xfId="0" applyNumberFormat="1" applyFont="1" applyFill="1" applyBorder="1" applyAlignment="1">
      <alignment vertical="center"/>
    </xf>
    <xf numFmtId="3" fontId="7" fillId="21" borderId="16" xfId="0" applyNumberFormat="1" applyFont="1" applyFill="1" applyBorder="1" applyAlignment="1">
      <alignment horizontal="center" vertical="center" wrapText="1"/>
    </xf>
    <xf numFmtId="3" fontId="2" fillId="0" borderId="44" xfId="0" applyNumberFormat="1" applyFont="1" applyBorder="1" applyAlignment="1">
      <alignment vertical="center"/>
    </xf>
    <xf numFmtId="3" fontId="2" fillId="0" borderId="22" xfId="0" applyNumberFormat="1" applyFont="1" applyBorder="1" applyAlignment="1">
      <alignment vertical="center"/>
    </xf>
    <xf numFmtId="0" fontId="1" fillId="26" borderId="22" xfId="0" applyFont="1" applyFill="1" applyBorder="1" applyAlignment="1">
      <alignment vertical="center"/>
    </xf>
    <xf numFmtId="3" fontId="1" fillId="26" borderId="9" xfId="0" applyNumberFormat="1" applyFont="1" applyFill="1" applyBorder="1" applyAlignment="1">
      <alignment vertical="center"/>
    </xf>
    <xf numFmtId="3" fontId="1" fillId="26" borderId="41" xfId="0" applyNumberFormat="1" applyFont="1" applyFill="1" applyBorder="1" applyAlignment="1">
      <alignment vertical="center"/>
    </xf>
    <xf numFmtId="3" fontId="1" fillId="26" borderId="22" xfId="0" applyNumberFormat="1" applyFont="1" applyFill="1" applyBorder="1" applyAlignment="1">
      <alignment vertical="center"/>
    </xf>
    <xf numFmtId="0" fontId="41" fillId="0" borderId="0" xfId="2" applyFont="1" applyAlignment="1">
      <alignment vertical="center"/>
    </xf>
    <xf numFmtId="0" fontId="42" fillId="22" borderId="51" xfId="2" applyFont="1" applyFill="1" applyBorder="1" applyAlignment="1">
      <alignment horizontal="center" vertical="center"/>
    </xf>
    <xf numFmtId="0" fontId="42" fillId="21" borderId="52" xfId="2" applyFont="1" applyFill="1" applyBorder="1" applyAlignment="1">
      <alignment horizontal="center" vertical="center"/>
    </xf>
    <xf numFmtId="0" fontId="20" fillId="24" borderId="51" xfId="2" applyFont="1" applyFill="1" applyBorder="1" applyAlignment="1">
      <alignment horizontal="center" vertical="center" wrapText="1"/>
    </xf>
    <xf numFmtId="0" fontId="41" fillId="0" borderId="0" xfId="2" applyFont="1" applyAlignment="1">
      <alignment horizontal="center" vertical="center"/>
    </xf>
    <xf numFmtId="0" fontId="42" fillId="22" borderId="53" xfId="2" applyFont="1" applyFill="1" applyBorder="1" applyAlignment="1">
      <alignment horizontal="center" vertical="center"/>
    </xf>
    <xf numFmtId="0" fontId="21" fillId="21" borderId="54" xfId="2" quotePrefix="1" applyFont="1" applyFill="1" applyBorder="1" applyAlignment="1">
      <alignment horizontal="center" vertical="center"/>
    </xf>
    <xf numFmtId="0" fontId="21" fillId="21" borderId="55" xfId="2" applyFont="1" applyFill="1" applyBorder="1" applyAlignment="1">
      <alignment horizontal="center" vertical="center"/>
    </xf>
    <xf numFmtId="0" fontId="21" fillId="21" borderId="56" xfId="2" applyFont="1" applyFill="1" applyBorder="1" applyAlignment="1">
      <alignment horizontal="center" vertical="center"/>
    </xf>
    <xf numFmtId="0" fontId="20" fillId="24" borderId="53" xfId="2" applyFont="1" applyFill="1" applyBorder="1" applyAlignment="1">
      <alignment horizontal="center" vertical="center" wrapText="1"/>
    </xf>
    <xf numFmtId="0" fontId="43" fillId="22" borderId="51" xfId="2" applyFont="1" applyFill="1" applyBorder="1" applyAlignment="1">
      <alignment horizontal="center" vertical="center"/>
    </xf>
    <xf numFmtId="3" fontId="22" fillId="0" borderId="57" xfId="2" applyNumberFormat="1" applyFont="1" applyBorder="1" applyAlignment="1">
      <alignment vertical="center"/>
    </xf>
    <xf numFmtId="0" fontId="43" fillId="22" borderId="53" xfId="2" applyFont="1" applyFill="1" applyBorder="1" applyAlignment="1">
      <alignment horizontal="center" vertical="center"/>
    </xf>
    <xf numFmtId="3" fontId="22" fillId="0" borderId="61" xfId="2" applyNumberFormat="1" applyFont="1" applyBorder="1" applyAlignment="1">
      <alignment vertical="center"/>
    </xf>
    <xf numFmtId="3" fontId="22" fillId="0" borderId="65" xfId="2" applyNumberFormat="1" applyFont="1" applyBorder="1" applyAlignment="1">
      <alignment vertical="center"/>
    </xf>
    <xf numFmtId="0" fontId="43" fillId="22" borderId="66" xfId="2" applyFont="1" applyFill="1" applyBorder="1" applyAlignment="1">
      <alignment horizontal="center" vertical="center"/>
    </xf>
    <xf numFmtId="0" fontId="21" fillId="26" borderId="67" xfId="2" applyFont="1" applyFill="1" applyBorder="1" applyAlignment="1">
      <alignment vertical="center"/>
    </xf>
    <xf numFmtId="3" fontId="21" fillId="26" borderId="68" xfId="3" applyNumberFormat="1" applyFont="1" applyFill="1" applyBorder="1" applyAlignment="1">
      <alignment vertical="center"/>
    </xf>
    <xf numFmtId="3" fontId="21" fillId="26" borderId="69" xfId="3" applyNumberFormat="1" applyFont="1" applyFill="1" applyBorder="1" applyAlignment="1">
      <alignment vertical="center"/>
    </xf>
    <xf numFmtId="3" fontId="21" fillId="26" borderId="70" xfId="3" applyNumberFormat="1" applyFont="1" applyFill="1" applyBorder="1" applyAlignment="1">
      <alignment vertical="center"/>
    </xf>
    <xf numFmtId="3" fontId="21" fillId="26" borderId="67" xfId="2" applyNumberFormat="1" applyFont="1" applyFill="1" applyBorder="1" applyAlignment="1">
      <alignment vertical="center"/>
    </xf>
    <xf numFmtId="0" fontId="21" fillId="23" borderId="71" xfId="2" applyFont="1" applyFill="1" applyBorder="1" applyAlignment="1">
      <alignment horizontal="left" vertical="center"/>
    </xf>
    <xf numFmtId="0" fontId="21" fillId="23" borderId="68" xfId="2" applyFont="1" applyFill="1" applyBorder="1" applyAlignment="1">
      <alignment horizontal="left" vertical="center"/>
    </xf>
    <xf numFmtId="3" fontId="21" fillId="23" borderId="69" xfId="2" quotePrefix="1" applyNumberFormat="1" applyFont="1" applyFill="1" applyBorder="1" applyAlignment="1">
      <alignment horizontal="right" vertical="center"/>
    </xf>
    <xf numFmtId="3" fontId="21" fillId="23" borderId="69" xfId="2" applyNumberFormat="1" applyFont="1" applyFill="1" applyBorder="1" applyAlignment="1">
      <alignment horizontal="right" vertical="center"/>
    </xf>
    <xf numFmtId="3" fontId="21" fillId="23" borderId="70" xfId="2" applyNumberFormat="1" applyFont="1" applyFill="1" applyBorder="1" applyAlignment="1">
      <alignment horizontal="right" vertical="center"/>
    </xf>
    <xf numFmtId="3" fontId="21" fillId="23" borderId="67" xfId="2" applyNumberFormat="1" applyFont="1" applyFill="1" applyBorder="1" applyAlignment="1">
      <alignment horizontal="right" vertical="center" wrapText="1"/>
    </xf>
    <xf numFmtId="0" fontId="42" fillId="22" borderId="51" xfId="2" applyFont="1" applyFill="1" applyBorder="1" applyAlignment="1">
      <alignment horizontal="center" vertical="center" wrapText="1"/>
    </xf>
    <xf numFmtId="0" fontId="42" fillId="22" borderId="119" xfId="2" applyFont="1" applyFill="1" applyBorder="1" applyAlignment="1">
      <alignment horizontal="center" vertical="center"/>
    </xf>
    <xf numFmtId="0" fontId="42" fillId="22" borderId="120" xfId="2" applyFont="1" applyFill="1" applyBorder="1" applyAlignment="1">
      <alignment horizontal="center" vertical="center" wrapText="1"/>
    </xf>
    <xf numFmtId="0" fontId="42" fillId="22" borderId="121" xfId="2" applyFont="1" applyFill="1" applyBorder="1" applyAlignment="1">
      <alignment horizontal="center" vertical="center"/>
    </xf>
    <xf numFmtId="0" fontId="42" fillId="22" borderId="120" xfId="2" applyFont="1" applyFill="1" applyBorder="1" applyAlignment="1">
      <alignment horizontal="center" vertical="center"/>
    </xf>
    <xf numFmtId="0" fontId="21" fillId="21" borderId="122" xfId="2" quotePrefix="1" applyFont="1" applyFill="1" applyBorder="1" applyAlignment="1">
      <alignment horizontal="center" vertical="center"/>
    </xf>
    <xf numFmtId="0" fontId="21" fillId="21" borderId="123" xfId="2" applyFont="1" applyFill="1" applyBorder="1" applyAlignment="1">
      <alignment horizontal="center" vertical="center"/>
    </xf>
    <xf numFmtId="0" fontId="21" fillId="21" borderId="124" xfId="2" applyFont="1" applyFill="1" applyBorder="1" applyAlignment="1">
      <alignment horizontal="center" vertical="center"/>
    </xf>
    <xf numFmtId="0" fontId="20" fillId="24" borderId="120" xfId="2" applyFont="1" applyFill="1" applyBorder="1" applyAlignment="1">
      <alignment horizontal="center" vertical="center" wrapText="1"/>
    </xf>
    <xf numFmtId="0" fontId="22" fillId="0" borderId="76" xfId="2" applyFont="1" applyBorder="1" applyAlignment="1">
      <alignment horizontal="center" vertical="center"/>
    </xf>
    <xf numFmtId="0" fontId="22" fillId="0" borderId="74" xfId="2" applyFont="1" applyBorder="1" applyAlignment="1">
      <alignment vertical="center"/>
    </xf>
    <xf numFmtId="0" fontId="22" fillId="0" borderId="61" xfId="2" applyFont="1" applyBorder="1" applyAlignment="1">
      <alignment horizontal="center" vertical="center"/>
    </xf>
    <xf numFmtId="0" fontId="22" fillId="0" borderId="62" xfId="2" applyFont="1" applyBorder="1" applyAlignment="1">
      <alignment vertical="center"/>
    </xf>
    <xf numFmtId="0" fontId="22" fillId="0" borderId="82" xfId="2" applyFont="1" applyBorder="1" applyAlignment="1">
      <alignment horizontal="center" vertical="center"/>
    </xf>
    <xf numFmtId="0" fontId="22" fillId="0" borderId="125" xfId="2" applyFont="1" applyBorder="1" applyAlignment="1">
      <alignment vertical="center"/>
    </xf>
    <xf numFmtId="0" fontId="22" fillId="0" borderId="126" xfId="2" applyFont="1" applyBorder="1" applyAlignment="1">
      <alignment vertical="center"/>
    </xf>
    <xf numFmtId="0" fontId="21" fillId="26" borderId="71" xfId="2" applyFont="1" applyFill="1" applyBorder="1" applyAlignment="1">
      <alignment horizontal="center" vertical="center"/>
    </xf>
    <xf numFmtId="0" fontId="21" fillId="26" borderId="84" xfId="2" applyFont="1" applyFill="1" applyBorder="1" applyAlignment="1">
      <alignment horizontal="center" vertical="center"/>
    </xf>
    <xf numFmtId="0" fontId="21" fillId="26" borderId="85" xfId="2" applyFont="1" applyFill="1" applyBorder="1" applyAlignment="1">
      <alignment horizontal="center" vertical="center"/>
    </xf>
    <xf numFmtId="3" fontId="21" fillId="26" borderId="86" xfId="2" applyNumberFormat="1" applyFont="1" applyFill="1" applyBorder="1" applyAlignment="1">
      <alignment vertical="center"/>
    </xf>
    <xf numFmtId="3" fontId="21" fillId="26" borderId="87" xfId="2" applyNumberFormat="1" applyFont="1" applyFill="1" applyBorder="1" applyAlignment="1">
      <alignment vertical="center"/>
    </xf>
    <xf numFmtId="3" fontId="21" fillId="26" borderId="88" xfId="2" applyNumberFormat="1" applyFont="1" applyFill="1" applyBorder="1" applyAlignment="1">
      <alignment vertical="center"/>
    </xf>
  </cellXfs>
  <cellStyles count="5">
    <cellStyle name="Comma" xfId="4" builtinId="3"/>
    <cellStyle name="Comma 39" xfId="3" xr:uid="{00000000-0005-0000-0000-000001000000}"/>
    <cellStyle name="Comma 43 2" xfId="1" xr:uid="{00000000-0005-0000-0000-000002000000}"/>
    <cellStyle name="Normal" xfId="0" builtinId="0"/>
    <cellStyle name="Normal 87" xfId="2" xr:uid="{00000000-0005-0000-0000-000004000000}"/>
  </cellStyles>
  <dxfs count="5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5FFFF"/>
      <color rgb="FFFAFFFF"/>
      <color rgb="FFF0FFFF"/>
      <color rgb="FF66CCFF"/>
      <color rgb="FFEBFFFF"/>
      <color rgb="FFFFFFCC"/>
      <color rgb="FF00FFFF"/>
      <color rgb="FF33CCFF"/>
      <color rgb="FFFFCC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SFI_DWH_ODBC17" connectionId="1" xr16:uid="{00000000-0016-0000-0300-000000000000}" autoFormatId="16" applyNumberFormats="0" applyBorderFormats="0" applyFontFormats="0" applyPatternFormats="0" applyAlignmentFormats="0" applyWidthHeightFormats="0">
  <queryTableRefresh nextId="49" unboundColumnsRight="8">
    <queryTableFields count="48">
      <queryTableField id="1" name="AREA" tableColumnId="1"/>
      <queryTableField id="2" name="BRANCHID" tableColumnId="2"/>
      <queryTableField id="3" name="CABANG_MERGER" tableColumnId="3"/>
      <queryTableField id="4" name="CABANG" tableColumnId="4"/>
      <queryTableField id="5" name="BUSINESS_UNIT" tableColumnId="5"/>
      <queryTableField id="6" name="NOMOR_KONTRAK" tableColumnId="6"/>
      <queryTableField id="7" name="NAMA_DEBITUR" tableColumnId="7"/>
      <queryTableField id="8" name="GO_LIVE_DATE" tableColumnId="8"/>
      <queryTableField id="9" name="TANGGAL_BAYAR_ANGS_TERAKHIR" tableColumnId="9"/>
      <queryTableField id="10" name="MERK_KENDARAAN" tableColumnId="10"/>
      <queryTableField id="11" name="TYPE_KENDARAAN" tableColumnId="11"/>
      <queryTableField id="12" name="TAHUN_KENDARAAN" tableColumnId="12"/>
      <queryTableField id="13" name="NO_HP_1" tableColumnId="13"/>
      <queryTableField id="14" name="NO_HP_2" tableColumnId="14"/>
      <queryTableField id="15" name="RESIDENCE_ADDRESS" tableColumnId="15"/>
      <queryTableField id="16" name="LEGAL_ADDRESS" tableColumnId="16"/>
      <queryTableField id="17" name="JOB_ADDRESS" tableColumnId="17"/>
      <queryTableField id="18" name="EMERGENCY_ADDRESS" tableColumnId="18"/>
      <queryTableField id="19" name="OS_PRINCIPAL_AMT" tableColumnId="19"/>
      <queryTableField id="20" name="OS_LC_INST_AMT" tableColumnId="20"/>
      <queryTableField id="21" name="OS_CHARGE_RCV_AMT" tableColumnId="21"/>
      <queryTableField id="22" name="TOTAL_AMOUNT_TO_BE_PAID_1" tableColumnId="22"/>
      <queryTableField id="23" name="PREPAID" tableColumnId="23"/>
      <queryTableField id="24" name="TOTAL_KEWAJIBAN" tableColumnId="24"/>
      <queryTableField id="25" name="CONTRACT_STAT" tableColumnId="25"/>
      <queryTableField id="26" name="TOTAL_AMOUNT_TO_BE_PAID_2" tableColumnId="26"/>
      <queryTableField id="27" name="TGL_PEMBAYARAN" tableColumnId="27"/>
      <queryTableField id="28" name="AMOUNT_PEMBAYARAN_1" tableColumnId="28"/>
      <queryTableField id="29" name="AMOUNT_PEMBAYARAN" tableColumnId="29"/>
      <queryTableField id="30" name="WOP" tableColumnId="30"/>
      <queryTableField id="31" name="AMOUNT_WOP" tableColumnId="31"/>
      <queryTableField id="32" name="WAIVE_AMOUNT_1" tableColumnId="32"/>
      <queryTableField id="33" name="REVERSAL" tableColumnId="33"/>
      <queryTableField id="34" name="TGL_RRD" tableColumnId="34"/>
      <queryTableField id="35" name="STATUS_BPKB" tableColumnId="35"/>
      <queryTableField id="36" name="WAIVE_AMOUNT_2" tableColumnId="36"/>
      <queryTableField id="37" name="WAIVE_PCTG_MIN_TOTAL_AMOUNT_TO_BE_PAID" tableColumnId="37"/>
      <queryTableField id="38" name="WAIVE_PCTG_MIN_TOTAL_KEWAJIBAN" tableColumnId="38"/>
      <queryTableField id="39" name="VERIFIKASI_MIN_TOTAL_AMOUNT_TO_BE_PAID" tableColumnId="39"/>
      <queryTableField id="40" name="VERIFIKASI_MIN_TOTAL_KEWAJIBAN" tableColumnId="40"/>
      <queryTableField id="48" dataBound="0" tableColumnId="41"/>
      <queryTableField id="47" dataBound="0" tableColumnId="42"/>
      <queryTableField id="46" dataBound="0" tableColumnId="43"/>
      <queryTableField id="45" dataBound="0" tableColumnId="44"/>
      <queryTableField id="44" dataBound="0" tableColumnId="45"/>
      <queryTableField id="43" dataBound="0" tableColumnId="46"/>
      <queryTableField id="42" dataBound="0" tableColumnId="47"/>
      <queryTableField id="41" dataBound="0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cp" displayName="hcp" ref="A1:AV20" tableType="queryTable" totalsRowShown="0" headerRowDxfId="56" dataDxfId="55">
  <autoFilter ref="A1:AV20" xr:uid="{00000000-0009-0000-0100-000001000000}"/>
  <sortState xmlns:xlrd2="http://schemas.microsoft.com/office/spreadsheetml/2017/richdata2" ref="A2:AV20">
    <sortCondition descending="1" ref="AA1:AA32"/>
  </sortState>
  <tableColumns count="48">
    <tableColumn id="1" xr3:uid="{00000000-0010-0000-0000-000001000000}" uniqueName="1" name="AREA" queryTableFieldId="1" dataDxfId="54"/>
    <tableColumn id="2" xr3:uid="{00000000-0010-0000-0000-000002000000}" uniqueName="2" name="BRANCHID" queryTableFieldId="2" dataDxfId="53"/>
    <tableColumn id="3" xr3:uid="{00000000-0010-0000-0000-000003000000}" uniqueName="3" name="CABANG_MERGER" queryTableFieldId="3" dataDxfId="52"/>
    <tableColumn id="4" xr3:uid="{00000000-0010-0000-0000-000004000000}" uniqueName="4" name="CABANG" queryTableFieldId="4" dataDxfId="51"/>
    <tableColumn id="5" xr3:uid="{00000000-0010-0000-0000-000005000000}" uniqueName="5" name="BUSINESS_UNIT" queryTableFieldId="5" dataDxfId="50"/>
    <tableColumn id="6" xr3:uid="{00000000-0010-0000-0000-000006000000}" uniqueName="6" name="NOMOR_KONTRAK" queryTableFieldId="6" dataDxfId="49"/>
    <tableColumn id="7" xr3:uid="{00000000-0010-0000-0000-000007000000}" uniqueName="7" name="NAMA_DEBITUR" queryTableFieldId="7" dataDxfId="48"/>
    <tableColumn id="8" xr3:uid="{00000000-0010-0000-0000-000008000000}" uniqueName="8" name="GO_LIVE_DATE" queryTableFieldId="8" dataDxfId="47"/>
    <tableColumn id="9" xr3:uid="{00000000-0010-0000-0000-000009000000}" uniqueName="9" name="TANGGAL_BAYAR_ANGS_TERAKHIR" queryTableFieldId="9" dataDxfId="46"/>
    <tableColumn id="10" xr3:uid="{00000000-0010-0000-0000-00000A000000}" uniqueName="10" name="MERK_KENDARAAN" queryTableFieldId="10" dataDxfId="45"/>
    <tableColumn id="11" xr3:uid="{00000000-0010-0000-0000-00000B000000}" uniqueName="11" name="TYPE_KENDARAAN" queryTableFieldId="11" dataDxfId="44"/>
    <tableColumn id="12" xr3:uid="{00000000-0010-0000-0000-00000C000000}" uniqueName="12" name="TAHUN_KENDARAAN" queryTableFieldId="12" dataDxfId="43"/>
    <tableColumn id="13" xr3:uid="{00000000-0010-0000-0000-00000D000000}" uniqueName="13" name="NO_HP_1" queryTableFieldId="13" dataDxfId="42"/>
    <tableColumn id="14" xr3:uid="{00000000-0010-0000-0000-00000E000000}" uniqueName="14" name="NO_HP_2" queryTableFieldId="14" dataDxfId="41"/>
    <tableColumn id="15" xr3:uid="{00000000-0010-0000-0000-00000F000000}" uniqueName="15" name="RESIDENCE_ADDRESS" queryTableFieldId="15" dataDxfId="40"/>
    <tableColumn id="16" xr3:uid="{00000000-0010-0000-0000-000010000000}" uniqueName="16" name="LEGAL_ADDRESS" queryTableFieldId="16" dataDxfId="39"/>
    <tableColumn id="17" xr3:uid="{00000000-0010-0000-0000-000011000000}" uniqueName="17" name="JOB_ADDRESS" queryTableFieldId="17" dataDxfId="38"/>
    <tableColumn id="18" xr3:uid="{00000000-0010-0000-0000-000012000000}" uniqueName="18" name="EMERGENCY_ADDRESS" queryTableFieldId="18" dataDxfId="37"/>
    <tableColumn id="19" xr3:uid="{00000000-0010-0000-0000-000013000000}" uniqueName="19" name="OS_PRINCIPAL_AMT" queryTableFieldId="19" dataDxfId="36"/>
    <tableColumn id="20" xr3:uid="{00000000-0010-0000-0000-000014000000}" uniqueName="20" name="OS_LC_INST_AMT" queryTableFieldId="20" dataDxfId="35"/>
    <tableColumn id="21" xr3:uid="{00000000-0010-0000-0000-000015000000}" uniqueName="21" name="OS_CHARGE_RCV_AMT" queryTableFieldId="21" dataDxfId="34"/>
    <tableColumn id="22" xr3:uid="{00000000-0010-0000-0000-000016000000}" uniqueName="22" name="TOTAL_AMOUNT_TO_BE_PAID_1" queryTableFieldId="22" dataDxfId="33"/>
    <tableColumn id="23" xr3:uid="{00000000-0010-0000-0000-000017000000}" uniqueName="23" name="PREPAID" queryTableFieldId="23" dataDxfId="32"/>
    <tableColumn id="24" xr3:uid="{00000000-0010-0000-0000-000018000000}" uniqueName="24" name="TOTAL_KEWAJIBAN" queryTableFieldId="24" dataDxfId="31"/>
    <tableColumn id="25" xr3:uid="{00000000-0010-0000-0000-000019000000}" uniqueName="25" name="CONTRACT_STAT" queryTableFieldId="25" dataDxfId="30"/>
    <tableColumn id="26" xr3:uid="{00000000-0010-0000-0000-00001A000000}" uniqueName="26" name="TOTAL_AMOUNT_TO_BE_PAID_2" queryTableFieldId="26" dataDxfId="29"/>
    <tableColumn id="27" xr3:uid="{00000000-0010-0000-0000-00001B000000}" uniqueName="27" name="TGL_PEMBAYARAN" queryTableFieldId="27" dataDxfId="28"/>
    <tableColumn id="28" xr3:uid="{00000000-0010-0000-0000-00001C000000}" uniqueName="28" name="AMOUNT_PEMBAYARAN_1" queryTableFieldId="28" dataDxfId="27"/>
    <tableColumn id="29" xr3:uid="{00000000-0010-0000-0000-00001D000000}" uniqueName="29" name="AMOUNT_PEMBAYARAN" queryTableFieldId="29" dataDxfId="26"/>
    <tableColumn id="30" xr3:uid="{00000000-0010-0000-0000-00001E000000}" uniqueName="30" name="WOP" queryTableFieldId="30" dataDxfId="25"/>
    <tableColumn id="31" xr3:uid="{00000000-0010-0000-0000-00001F000000}" uniqueName="31" name="AMOUNT_WOP" queryTableFieldId="31" dataDxfId="24"/>
    <tableColumn id="32" xr3:uid="{00000000-0010-0000-0000-000020000000}" uniqueName="32" name="WAIVE_AMOUNT_1" queryTableFieldId="32" dataDxfId="23"/>
    <tableColumn id="33" xr3:uid="{00000000-0010-0000-0000-000021000000}" uniqueName="33" name="REVERSAL" queryTableFieldId="33" dataDxfId="22"/>
    <tableColumn id="34" xr3:uid="{00000000-0010-0000-0000-000022000000}" uniqueName="34" name="TGL_RRD" queryTableFieldId="34" dataDxfId="21"/>
    <tableColumn id="35" xr3:uid="{00000000-0010-0000-0000-000023000000}" uniqueName="35" name="STATUS_BPKB" queryTableFieldId="35" dataDxfId="20"/>
    <tableColumn id="36" xr3:uid="{00000000-0010-0000-0000-000024000000}" uniqueName="36" name="WAIVE_AMOUNT_2" queryTableFieldId="36" dataDxfId="19"/>
    <tableColumn id="37" xr3:uid="{00000000-0010-0000-0000-000025000000}" uniqueName="37" name="WAIVE_PCTG_MIN_TOTAL_AMOUNT_TO_BE_PAID" queryTableFieldId="37" dataDxfId="18"/>
    <tableColumn id="38" xr3:uid="{00000000-0010-0000-0000-000026000000}" uniqueName="38" name="WAIVE_PCTG_MIN_TOTAL_KEWAJIBAN" queryTableFieldId="38" dataDxfId="17"/>
    <tableColumn id="39" xr3:uid="{00000000-0010-0000-0000-000027000000}" uniqueName="39" name="VERIFIKASI_MIN_TOTAL_AMOUNT_TO_BE_PAID" queryTableFieldId="39" dataDxfId="16"/>
    <tableColumn id="40" xr3:uid="{00000000-0010-0000-0000-000028000000}" uniqueName="40" name="VERIFIKASI_MIN_TOTAL_KEWAJIBAN" queryTableFieldId="40" dataDxfId="15"/>
    <tableColumn id="41" xr3:uid="{00000000-0010-0000-0000-000029000000}" uniqueName="41" name="New Area" queryTableFieldId="48" dataDxfId="14">
      <calculatedColumnFormula>VLOOKUP(hcp[[#This Row],[BRANCHID]],'New KC'!$A:$K,8,0)</calculatedColumnFormula>
    </tableColumn>
    <tableColumn id="42" xr3:uid="{00000000-0010-0000-0000-00002A000000}" uniqueName="42" name="New Cabang" queryTableFieldId="47" dataDxfId="13">
      <calculatedColumnFormula>VLOOKUP(hcp[[#This Row],[BRANCHID]],'New KC'!$A:$K,9,0)</calculatedColumnFormula>
    </tableColumn>
    <tableColumn id="43" xr3:uid="{00000000-0010-0000-0000-00002B000000}" uniqueName="43" name="Tgl ( TGL_PEMBAYARAN )" queryTableFieldId="46" dataDxfId="12">
      <calculatedColumnFormula>DAY(hcp[[#This Row],[TGL_PEMBAYARAN]])</calculatedColumnFormula>
    </tableColumn>
    <tableColumn id="44" xr3:uid="{00000000-0010-0000-0000-00002C000000}" uniqueName="44" name="Periode ( TGL_PEMBAYARAN )" queryTableFieldId="45" dataDxfId="11">
      <calculatedColumnFormula>TEXT(hcp[[#This Row],[TGL_PEMBAYARAN]],"YY-MM")</calculatedColumnFormula>
    </tableColumn>
    <tableColumn id="45" xr3:uid="{00000000-0010-0000-0000-00002D000000}" uniqueName="45" name="Periode ( TANGGAL_BAYAR_ANGS_TERAKHIR )" queryTableFieldId="44" dataDxfId="10">
      <calculatedColumnFormula>TEXT(hcp[[#This Row],[TANGGAL_BAYAR_ANGS_TERAKHIR]],"YY-MM")</calculatedColumnFormula>
    </tableColumn>
    <tableColumn id="46" xr3:uid="{00000000-0010-0000-0000-00002E000000}" uniqueName="46" name="Flag Alda / Aktif" queryTableFieldId="43" dataDxfId="9">
      <calculatedColumnFormula>IF(hcp[[#This Row],[Periode ( TANGGAL_BAYAR_ANGS_TERAKHIR )]]=hcp[[#This Row],[Periode ( TGL_PEMBAYARAN )]],"AKTIF","ALDA")</calculatedColumnFormula>
    </tableColumn>
    <tableColumn id="47" xr3:uid="{00000000-0010-0000-0000-00002F000000}" uniqueName="47" name="Cek Alda / Aktif" queryTableFieldId="42" dataDxfId="8">
      <calculatedColumnFormula>hcp[[#This Row],[Periode ( TANGGAL_BAYAR_ANGS_TERAKHIR )]]=hcp[[#This Row],[Periode ( TGL_PEMBAYARAN )]]</calculatedColumnFormula>
    </tableColumn>
    <tableColumn id="48" xr3:uid="{00000000-0010-0000-0000-000030000000}" uniqueName="48" name="Unit Pakai" queryTableFieldId="41" dataDxfId="7">
      <calculatedColumnFormula>IF(hcp[[#This Row],[Tgl ( TGL_PEMBAYARAN )]]=DAY(TODAY()),1,0)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showGridLines="0" workbookViewId="0"/>
  </sheetViews>
  <sheetFormatPr defaultColWidth="9.109375" defaultRowHeight="13.2" x14ac:dyDescent="0.3"/>
  <cols>
    <col min="1" max="1" width="16.33203125" style="44" bestFit="1" customWidth="1"/>
    <col min="2" max="2" width="15.88671875" style="44" bestFit="1" customWidth="1"/>
    <col min="3" max="3" width="15.6640625" style="44" bestFit="1" customWidth="1"/>
    <col min="4" max="5" width="14.44140625" style="44" bestFit="1" customWidth="1"/>
    <col min="6" max="7" width="1.6640625" style="44" customWidth="1"/>
    <col min="8" max="8" width="18.5546875" style="44" bestFit="1" customWidth="1"/>
    <col min="9" max="9" width="15.88671875" style="44" bestFit="1" customWidth="1"/>
    <col min="10" max="10" width="8.6640625" style="44" bestFit="1" customWidth="1"/>
    <col min="11" max="11" width="10.6640625" style="44" bestFit="1" customWidth="1"/>
    <col min="12" max="13" width="1.6640625" style="44" customWidth="1"/>
    <col min="14" max="14" width="11.6640625" style="44" bestFit="1" customWidth="1"/>
    <col min="15" max="15" width="5" style="50" bestFit="1" customWidth="1"/>
    <col min="16" max="16" width="1.6640625" style="44" customWidth="1"/>
    <col min="17" max="17" width="11.6640625" style="44" bestFit="1" customWidth="1"/>
    <col min="18" max="16384" width="9.109375" style="44"/>
  </cols>
  <sheetData>
    <row r="1" spans="1:17" s="50" customFormat="1" ht="14.4" x14ac:dyDescent="0.35">
      <c r="A1" s="133" t="s">
        <v>664</v>
      </c>
      <c r="B1" s="134" t="s">
        <v>665</v>
      </c>
      <c r="C1" s="134" t="s">
        <v>666</v>
      </c>
      <c r="D1" s="135" t="s">
        <v>667</v>
      </c>
      <c r="E1" s="135" t="s">
        <v>668</v>
      </c>
      <c r="H1" s="220" t="s">
        <v>669</v>
      </c>
      <c r="I1" s="221"/>
      <c r="J1" s="136" t="s">
        <v>670</v>
      </c>
      <c r="K1" s="136" t="s">
        <v>671</v>
      </c>
      <c r="N1" s="137" t="s">
        <v>672</v>
      </c>
      <c r="O1" s="138" t="s">
        <v>673</v>
      </c>
      <c r="Q1" s="139" t="s">
        <v>672</v>
      </c>
    </row>
    <row r="2" spans="1:17" ht="13.8" x14ac:dyDescent="0.3">
      <c r="A2" s="45" t="s">
        <v>674</v>
      </c>
      <c r="B2" s="46" t="s">
        <v>674</v>
      </c>
      <c r="C2" s="44" t="s">
        <v>675</v>
      </c>
      <c r="E2" s="44" t="s">
        <v>675</v>
      </c>
      <c r="H2" s="140">
        <v>0</v>
      </c>
      <c r="I2" s="141">
        <v>500000</v>
      </c>
      <c r="J2" s="142">
        <v>0.05</v>
      </c>
      <c r="K2" s="143" t="s">
        <v>676</v>
      </c>
      <c r="N2" s="144" t="s">
        <v>145</v>
      </c>
      <c r="O2" s="145">
        <v>0</v>
      </c>
      <c r="Q2" s="144" t="s">
        <v>677</v>
      </c>
    </row>
    <row r="3" spans="1:17" ht="13.8" x14ac:dyDescent="0.3">
      <c r="A3" s="47" t="s">
        <v>678</v>
      </c>
      <c r="B3" s="48" t="s">
        <v>679</v>
      </c>
      <c r="C3" s="44" t="s">
        <v>680</v>
      </c>
      <c r="E3" s="44" t="s">
        <v>680</v>
      </c>
      <c r="H3" s="146">
        <v>500000</v>
      </c>
      <c r="I3" s="141">
        <v>1000000</v>
      </c>
      <c r="J3" s="142">
        <v>7.4999999999999997E-2</v>
      </c>
      <c r="K3" s="147" t="s">
        <v>681</v>
      </c>
      <c r="N3" s="144" t="s">
        <v>682</v>
      </c>
      <c r="O3" s="145">
        <v>0</v>
      </c>
      <c r="Q3" s="144" t="s">
        <v>179</v>
      </c>
    </row>
    <row r="4" spans="1:17" ht="13.8" x14ac:dyDescent="0.3">
      <c r="A4" s="45" t="s">
        <v>683</v>
      </c>
      <c r="B4" s="46" t="s">
        <v>684</v>
      </c>
      <c r="C4" s="44" t="s">
        <v>685</v>
      </c>
      <c r="D4" s="44" t="s">
        <v>121</v>
      </c>
      <c r="E4" s="44" t="s">
        <v>121</v>
      </c>
      <c r="H4" s="146">
        <v>1000000</v>
      </c>
      <c r="I4" s="141">
        <v>2000000</v>
      </c>
      <c r="J4" s="142">
        <v>0.1</v>
      </c>
      <c r="K4" s="147" t="s">
        <v>686</v>
      </c>
      <c r="N4" s="144" t="s">
        <v>123</v>
      </c>
      <c r="O4" s="145">
        <v>0</v>
      </c>
      <c r="Q4" s="144" t="s">
        <v>101</v>
      </c>
    </row>
    <row r="5" spans="1:17" ht="13.8" x14ac:dyDescent="0.3">
      <c r="A5" s="47" t="s">
        <v>687</v>
      </c>
      <c r="B5" s="48" t="s">
        <v>688</v>
      </c>
      <c r="C5" s="44" t="s">
        <v>675</v>
      </c>
      <c r="E5" s="44" t="s">
        <v>675</v>
      </c>
      <c r="H5" s="148">
        <v>2000000</v>
      </c>
      <c r="I5" s="149">
        <v>1000000000</v>
      </c>
      <c r="J5" s="150">
        <v>0.15</v>
      </c>
      <c r="K5" s="151" t="s">
        <v>689</v>
      </c>
      <c r="N5" s="144" t="s">
        <v>690</v>
      </c>
      <c r="O5" s="145">
        <v>0</v>
      </c>
      <c r="Q5" s="144" t="s">
        <v>121</v>
      </c>
    </row>
    <row r="6" spans="1:17" ht="13.8" x14ac:dyDescent="0.3">
      <c r="A6" s="45" t="s">
        <v>691</v>
      </c>
      <c r="B6" s="46" t="s">
        <v>691</v>
      </c>
      <c r="C6" s="44" t="s">
        <v>675</v>
      </c>
      <c r="D6" s="44" t="s">
        <v>692</v>
      </c>
      <c r="E6" s="44" t="s">
        <v>693</v>
      </c>
      <c r="N6" s="144" t="s">
        <v>694</v>
      </c>
      <c r="O6" s="145">
        <v>0</v>
      </c>
    </row>
    <row r="7" spans="1:17" ht="13.8" x14ac:dyDescent="0.3">
      <c r="A7" s="47" t="s">
        <v>695</v>
      </c>
      <c r="B7" s="48" t="s">
        <v>696</v>
      </c>
      <c r="C7" s="44" t="s">
        <v>675</v>
      </c>
      <c r="E7" s="44" t="s">
        <v>675</v>
      </c>
      <c r="H7" s="49" t="s">
        <v>697</v>
      </c>
      <c r="I7" s="49" t="s">
        <v>698</v>
      </c>
      <c r="N7" s="144" t="s">
        <v>677</v>
      </c>
      <c r="O7" s="145">
        <v>1</v>
      </c>
    </row>
    <row r="8" spans="1:17" ht="13.8" x14ac:dyDescent="0.3">
      <c r="A8" s="45" t="s">
        <v>699</v>
      </c>
      <c r="B8" s="46" t="s">
        <v>699</v>
      </c>
      <c r="C8" s="44" t="s">
        <v>675</v>
      </c>
      <c r="E8" s="44" t="s">
        <v>675</v>
      </c>
      <c r="H8" s="44" t="s">
        <v>700</v>
      </c>
      <c r="I8" s="44" t="s">
        <v>701</v>
      </c>
      <c r="N8" s="144" t="s">
        <v>702</v>
      </c>
      <c r="O8" s="145">
        <v>0</v>
      </c>
    </row>
    <row r="9" spans="1:17" ht="13.8" x14ac:dyDescent="0.3">
      <c r="A9" s="47" t="s">
        <v>703</v>
      </c>
      <c r="B9" s="48" t="s">
        <v>703</v>
      </c>
      <c r="C9" s="44" t="s">
        <v>675</v>
      </c>
      <c r="E9" s="44" t="s">
        <v>675</v>
      </c>
      <c r="H9" s="44" t="s">
        <v>704</v>
      </c>
      <c r="I9" s="44" t="s">
        <v>701</v>
      </c>
      <c r="N9" s="144" t="s">
        <v>705</v>
      </c>
      <c r="O9" s="145">
        <v>0</v>
      </c>
    </row>
    <row r="10" spans="1:17" ht="13.8" x14ac:dyDescent="0.3">
      <c r="A10" s="45" t="s">
        <v>706</v>
      </c>
      <c r="B10" s="46" t="s">
        <v>707</v>
      </c>
      <c r="C10" s="44" t="s">
        <v>675</v>
      </c>
      <c r="E10" s="44" t="s">
        <v>675</v>
      </c>
      <c r="H10" s="44" t="s">
        <v>708</v>
      </c>
      <c r="I10" s="44" t="s">
        <v>701</v>
      </c>
      <c r="N10" s="144" t="s">
        <v>186</v>
      </c>
      <c r="O10" s="145">
        <v>0</v>
      </c>
    </row>
    <row r="11" spans="1:17" ht="13.8" x14ac:dyDescent="0.3">
      <c r="A11" s="47" t="s">
        <v>709</v>
      </c>
      <c r="B11" s="48" t="s">
        <v>710</v>
      </c>
      <c r="C11" s="44" t="s">
        <v>675</v>
      </c>
      <c r="E11" s="44" t="s">
        <v>675</v>
      </c>
      <c r="H11" s="44" t="s">
        <v>711</v>
      </c>
      <c r="I11" s="44" t="s">
        <v>712</v>
      </c>
      <c r="N11" s="144" t="s">
        <v>713</v>
      </c>
      <c r="O11" s="145">
        <v>0</v>
      </c>
    </row>
    <row r="12" spans="1:17" ht="13.8" x14ac:dyDescent="0.3">
      <c r="A12" s="45" t="s">
        <v>714</v>
      </c>
      <c r="B12" s="46" t="s">
        <v>714</v>
      </c>
      <c r="C12" s="44" t="s">
        <v>675</v>
      </c>
      <c r="E12" s="44" t="s">
        <v>675</v>
      </c>
      <c r="H12" s="44" t="s">
        <v>715</v>
      </c>
      <c r="I12" s="44" t="s">
        <v>712</v>
      </c>
      <c r="N12" s="144" t="s">
        <v>179</v>
      </c>
      <c r="O12" s="145">
        <v>1</v>
      </c>
    </row>
    <row r="13" spans="1:17" ht="13.8" x14ac:dyDescent="0.3">
      <c r="A13" s="47" t="s">
        <v>716</v>
      </c>
      <c r="B13" s="48" t="s">
        <v>716</v>
      </c>
      <c r="C13" s="44" t="s">
        <v>693</v>
      </c>
      <c r="D13" s="44" t="s">
        <v>692</v>
      </c>
      <c r="E13" s="44" t="s">
        <v>693</v>
      </c>
      <c r="H13" s="44" t="s">
        <v>717</v>
      </c>
      <c r="I13" s="44" t="s">
        <v>718</v>
      </c>
      <c r="N13" s="144" t="s">
        <v>719</v>
      </c>
      <c r="O13" s="145">
        <v>0</v>
      </c>
    </row>
    <row r="14" spans="1:17" ht="13.8" x14ac:dyDescent="0.3">
      <c r="A14" s="45" t="s">
        <v>720</v>
      </c>
      <c r="B14" s="46" t="s">
        <v>721</v>
      </c>
      <c r="C14" s="44" t="s">
        <v>693</v>
      </c>
      <c r="D14" s="44" t="s">
        <v>692</v>
      </c>
      <c r="E14" s="44" t="s">
        <v>693</v>
      </c>
      <c r="H14" s="44" t="s">
        <v>722</v>
      </c>
      <c r="I14" s="44" t="s">
        <v>718</v>
      </c>
      <c r="N14" s="144" t="s">
        <v>101</v>
      </c>
      <c r="O14" s="145">
        <v>1</v>
      </c>
    </row>
    <row r="15" spans="1:17" ht="13.8" x14ac:dyDescent="0.3">
      <c r="A15" s="45" t="s">
        <v>723</v>
      </c>
      <c r="B15" s="48" t="s">
        <v>696</v>
      </c>
      <c r="C15" s="44" t="s">
        <v>675</v>
      </c>
      <c r="E15" s="44" t="s">
        <v>675</v>
      </c>
      <c r="H15" s="44" t="s">
        <v>724</v>
      </c>
      <c r="I15" s="44" t="s">
        <v>718</v>
      </c>
      <c r="N15" s="144" t="s">
        <v>725</v>
      </c>
      <c r="O15" s="145">
        <v>0</v>
      </c>
    </row>
    <row r="16" spans="1:17" ht="13.8" x14ac:dyDescent="0.3">
      <c r="A16" s="45" t="s">
        <v>378</v>
      </c>
      <c r="B16" s="46" t="s">
        <v>699</v>
      </c>
      <c r="C16" s="44" t="s">
        <v>675</v>
      </c>
      <c r="E16" s="44" t="s">
        <v>675</v>
      </c>
      <c r="H16" s="44" t="s">
        <v>726</v>
      </c>
      <c r="I16" s="44" t="s">
        <v>727</v>
      </c>
      <c r="N16" s="144" t="s">
        <v>728</v>
      </c>
      <c r="O16" s="145">
        <v>0</v>
      </c>
    </row>
    <row r="17" spans="1:15" ht="13.8" x14ac:dyDescent="0.3">
      <c r="A17" s="45" t="s">
        <v>729</v>
      </c>
      <c r="B17" s="48" t="s">
        <v>679</v>
      </c>
      <c r="C17" s="44" t="s">
        <v>680</v>
      </c>
      <c r="E17" s="44" t="s">
        <v>680</v>
      </c>
      <c r="H17" s="44" t="s">
        <v>730</v>
      </c>
      <c r="I17" s="44" t="s">
        <v>727</v>
      </c>
      <c r="N17" s="144" t="s">
        <v>731</v>
      </c>
      <c r="O17" s="145">
        <v>0</v>
      </c>
    </row>
    <row r="18" spans="1:15" ht="13.8" x14ac:dyDescent="0.3">
      <c r="A18" s="45" t="s">
        <v>732</v>
      </c>
      <c r="B18" s="46" t="s">
        <v>707</v>
      </c>
      <c r="C18" s="44" t="s">
        <v>675</v>
      </c>
      <c r="E18" s="44" t="s">
        <v>675</v>
      </c>
      <c r="H18" s="44" t="s">
        <v>733</v>
      </c>
      <c r="I18" s="44" t="s">
        <v>734</v>
      </c>
      <c r="N18" s="144" t="s">
        <v>121</v>
      </c>
      <c r="O18" s="145">
        <v>1</v>
      </c>
    </row>
    <row r="19" spans="1:15" x14ac:dyDescent="0.3">
      <c r="A19" s="45" t="s">
        <v>735</v>
      </c>
      <c r="B19" s="46" t="s">
        <v>684</v>
      </c>
      <c r="C19" s="44" t="s">
        <v>685</v>
      </c>
      <c r="D19" s="44" t="s">
        <v>121</v>
      </c>
      <c r="E19" s="44" t="s">
        <v>121</v>
      </c>
      <c r="H19" s="44" t="s">
        <v>736</v>
      </c>
      <c r="I19" s="44" t="s">
        <v>734</v>
      </c>
    </row>
    <row r="20" spans="1:15" x14ac:dyDescent="0.3">
      <c r="A20" s="47" t="s">
        <v>737</v>
      </c>
      <c r="B20" s="48" t="s">
        <v>721</v>
      </c>
      <c r="C20" s="44" t="s">
        <v>693</v>
      </c>
      <c r="D20" s="44" t="s">
        <v>692</v>
      </c>
      <c r="E20" s="44" t="s">
        <v>693</v>
      </c>
      <c r="H20" s="44" t="s">
        <v>738</v>
      </c>
      <c r="I20" s="44" t="s">
        <v>739</v>
      </c>
    </row>
    <row r="21" spans="1:15" x14ac:dyDescent="0.3">
      <c r="A21" s="45" t="s">
        <v>740</v>
      </c>
      <c r="B21" s="46" t="s">
        <v>691</v>
      </c>
      <c r="C21" s="44" t="s">
        <v>675</v>
      </c>
      <c r="D21" s="44" t="s">
        <v>692</v>
      </c>
      <c r="E21" s="44" t="s">
        <v>693</v>
      </c>
    </row>
    <row r="22" spans="1:15" x14ac:dyDescent="0.3">
      <c r="A22" s="47" t="s">
        <v>741</v>
      </c>
      <c r="B22" s="48" t="s">
        <v>688</v>
      </c>
      <c r="C22" s="44" t="s">
        <v>675</v>
      </c>
      <c r="E22" s="44" t="s">
        <v>675</v>
      </c>
    </row>
    <row r="23" spans="1:15" x14ac:dyDescent="0.3">
      <c r="A23" s="45" t="s">
        <v>742</v>
      </c>
      <c r="B23" s="46" t="s">
        <v>684</v>
      </c>
      <c r="C23" s="44" t="s">
        <v>685</v>
      </c>
      <c r="D23" s="44" t="s">
        <v>121</v>
      </c>
      <c r="E23" s="44" t="s">
        <v>121</v>
      </c>
    </row>
    <row r="24" spans="1:15" x14ac:dyDescent="0.3">
      <c r="A24" s="47" t="s">
        <v>186</v>
      </c>
      <c r="B24" s="48" t="s">
        <v>716</v>
      </c>
      <c r="C24" s="44" t="s">
        <v>693</v>
      </c>
      <c r="D24" s="44" t="s">
        <v>692</v>
      </c>
      <c r="E24" s="44" t="s">
        <v>693</v>
      </c>
    </row>
    <row r="25" spans="1:15" x14ac:dyDescent="0.3">
      <c r="A25" s="45" t="s">
        <v>743</v>
      </c>
      <c r="B25" s="46" t="s">
        <v>714</v>
      </c>
      <c r="C25" s="44" t="s">
        <v>675</v>
      </c>
      <c r="E25" s="44" t="s">
        <v>675</v>
      </c>
    </row>
    <row r="26" spans="1:15" x14ac:dyDescent="0.3">
      <c r="A26" s="47" t="s">
        <v>744</v>
      </c>
      <c r="B26" s="48" t="s">
        <v>688</v>
      </c>
      <c r="C26" s="44" t="s">
        <v>675</v>
      </c>
      <c r="D26" s="44" t="s">
        <v>692</v>
      </c>
      <c r="E26" s="44" t="s">
        <v>693</v>
      </c>
    </row>
    <row r="27" spans="1:15" x14ac:dyDescent="0.3">
      <c r="A27" s="45" t="s">
        <v>745</v>
      </c>
      <c r="B27" s="46" t="s">
        <v>679</v>
      </c>
      <c r="C27" s="44" t="s">
        <v>680</v>
      </c>
      <c r="E27" s="44" t="s">
        <v>680</v>
      </c>
    </row>
    <row r="28" spans="1:15" x14ac:dyDescent="0.3">
      <c r="A28" s="51" t="s">
        <v>746</v>
      </c>
      <c r="B28" s="52" t="s">
        <v>707</v>
      </c>
      <c r="C28" s="44" t="s">
        <v>675</v>
      </c>
      <c r="E28" s="44" t="s">
        <v>675</v>
      </c>
    </row>
    <row r="29" spans="1:15" x14ac:dyDescent="0.3">
      <c r="A29" s="44" t="s">
        <v>101</v>
      </c>
      <c r="B29" s="48" t="s">
        <v>101</v>
      </c>
      <c r="C29" s="44" t="s">
        <v>121</v>
      </c>
      <c r="E29" s="44" t="s">
        <v>121</v>
      </c>
    </row>
    <row r="30" spans="1:15" x14ac:dyDescent="0.3">
      <c r="A30" s="44" t="s">
        <v>682</v>
      </c>
      <c r="B30" s="46" t="s">
        <v>691</v>
      </c>
      <c r="C30" s="44" t="s">
        <v>675</v>
      </c>
      <c r="D30" s="44" t="s">
        <v>692</v>
      </c>
      <c r="E30" s="44" t="s">
        <v>693</v>
      </c>
    </row>
    <row r="31" spans="1:15" x14ac:dyDescent="0.3">
      <c r="A31" s="44" t="s">
        <v>747</v>
      </c>
      <c r="B31" s="46" t="s">
        <v>691</v>
      </c>
      <c r="C31" s="44" t="s">
        <v>675</v>
      </c>
      <c r="E31" s="44" t="s">
        <v>675</v>
      </c>
    </row>
    <row r="32" spans="1:15" x14ac:dyDescent="0.3">
      <c r="A32" s="44" t="s">
        <v>719</v>
      </c>
      <c r="B32" s="46" t="s">
        <v>748</v>
      </c>
      <c r="C32" s="44" t="s">
        <v>675</v>
      </c>
      <c r="D32" s="44" t="s">
        <v>692</v>
      </c>
      <c r="E32" s="44" t="s">
        <v>693</v>
      </c>
    </row>
    <row r="33" spans="1:5" s="44" customFormat="1" x14ac:dyDescent="0.3">
      <c r="A33" s="44" t="s">
        <v>731</v>
      </c>
      <c r="B33" s="53" t="s">
        <v>749</v>
      </c>
      <c r="C33" s="44" t="s">
        <v>693</v>
      </c>
      <c r="D33" s="44" t="s">
        <v>692</v>
      </c>
      <c r="E33" s="44" t="s">
        <v>693</v>
      </c>
    </row>
    <row r="34" spans="1:5" s="44" customFormat="1" x14ac:dyDescent="0.3">
      <c r="A34" s="44" t="s">
        <v>705</v>
      </c>
      <c r="B34" s="53" t="s">
        <v>750</v>
      </c>
      <c r="C34" s="44" t="s">
        <v>693</v>
      </c>
      <c r="D34" s="44" t="s">
        <v>692</v>
      </c>
      <c r="E34" s="44" t="s">
        <v>693</v>
      </c>
    </row>
    <row r="35" spans="1:5" s="44" customFormat="1" x14ac:dyDescent="0.3">
      <c r="A35" s="44" t="s">
        <v>694</v>
      </c>
      <c r="B35" s="44" t="s">
        <v>751</v>
      </c>
      <c r="C35" s="44" t="s">
        <v>693</v>
      </c>
      <c r="D35" s="44" t="s">
        <v>692</v>
      </c>
      <c r="E35" s="44" t="s">
        <v>693</v>
      </c>
    </row>
    <row r="36" spans="1:5" s="44" customFormat="1" x14ac:dyDescent="0.3">
      <c r="A36" s="44" t="s">
        <v>725</v>
      </c>
      <c r="B36" s="44" t="s">
        <v>752</v>
      </c>
      <c r="C36" s="44" t="s">
        <v>693</v>
      </c>
      <c r="D36" s="44" t="s">
        <v>692</v>
      </c>
      <c r="E36" s="44" t="s">
        <v>693</v>
      </c>
    </row>
    <row r="37" spans="1:5" s="44" customFormat="1" x14ac:dyDescent="0.3">
      <c r="A37" s="44" t="s">
        <v>713</v>
      </c>
      <c r="B37" s="44" t="s">
        <v>753</v>
      </c>
      <c r="C37" s="44" t="s">
        <v>693</v>
      </c>
      <c r="D37" s="44" t="s">
        <v>692</v>
      </c>
      <c r="E37" s="44" t="s">
        <v>693</v>
      </c>
    </row>
    <row r="38" spans="1:5" s="44" customFormat="1" x14ac:dyDescent="0.3">
      <c r="A38" s="44" t="s">
        <v>702</v>
      </c>
      <c r="B38" s="44" t="s">
        <v>754</v>
      </c>
      <c r="C38" s="44" t="s">
        <v>693</v>
      </c>
      <c r="D38" s="44" t="s">
        <v>692</v>
      </c>
      <c r="E38" s="44" t="s">
        <v>693</v>
      </c>
    </row>
    <row r="39" spans="1:5" s="44" customFormat="1" x14ac:dyDescent="0.3">
      <c r="A39" s="44" t="s">
        <v>690</v>
      </c>
      <c r="B39" s="44" t="s">
        <v>755</v>
      </c>
      <c r="C39" s="44" t="s">
        <v>693</v>
      </c>
      <c r="D39" s="44" t="s">
        <v>692</v>
      </c>
      <c r="E39" s="44" t="s">
        <v>693</v>
      </c>
    </row>
    <row r="40" spans="1:5" s="44" customFormat="1" x14ac:dyDescent="0.3">
      <c r="A40" s="44" t="s">
        <v>728</v>
      </c>
      <c r="B40" s="48" t="s">
        <v>688</v>
      </c>
      <c r="C40" s="44" t="s">
        <v>675</v>
      </c>
      <c r="D40" s="44" t="s">
        <v>692</v>
      </c>
      <c r="E40" s="44" t="s">
        <v>693</v>
      </c>
    </row>
    <row r="41" spans="1:5" s="44" customFormat="1" x14ac:dyDescent="0.3">
      <c r="A41" s="44" t="s">
        <v>121</v>
      </c>
      <c r="B41" s="44" t="s">
        <v>121</v>
      </c>
      <c r="C41" s="44" t="s">
        <v>121</v>
      </c>
      <c r="E41" s="44" t="s">
        <v>121</v>
      </c>
    </row>
    <row r="42" spans="1:5" s="44" customFormat="1" x14ac:dyDescent="0.3">
      <c r="A42" s="44" t="s">
        <v>756</v>
      </c>
      <c r="B42" s="44" t="s">
        <v>756</v>
      </c>
      <c r="C42" s="44" t="s">
        <v>693</v>
      </c>
      <c r="D42" s="44" t="s">
        <v>692</v>
      </c>
      <c r="E42" s="44" t="s">
        <v>693</v>
      </c>
    </row>
    <row r="43" spans="1:5" s="44" customFormat="1" x14ac:dyDescent="0.3">
      <c r="A43" s="44" t="s">
        <v>757</v>
      </c>
      <c r="B43" s="44" t="s">
        <v>757</v>
      </c>
      <c r="C43" s="44" t="s">
        <v>693</v>
      </c>
      <c r="D43" s="44" t="s">
        <v>692</v>
      </c>
      <c r="E43" s="44" t="s">
        <v>693</v>
      </c>
    </row>
    <row r="44" spans="1:5" s="44" customFormat="1" x14ac:dyDescent="0.3">
      <c r="A44" s="44" t="s">
        <v>758</v>
      </c>
      <c r="B44" s="44" t="s">
        <v>758</v>
      </c>
      <c r="C44" s="44" t="s">
        <v>693</v>
      </c>
      <c r="D44" s="44" t="s">
        <v>692</v>
      </c>
      <c r="E44" s="44" t="s">
        <v>693</v>
      </c>
    </row>
    <row r="45" spans="1:5" s="44" customFormat="1" x14ac:dyDescent="0.3">
      <c r="A45" s="44" t="s">
        <v>759</v>
      </c>
      <c r="B45" s="44" t="s">
        <v>688</v>
      </c>
      <c r="C45" s="44" t="s">
        <v>675</v>
      </c>
      <c r="D45" s="44" t="s">
        <v>692</v>
      </c>
      <c r="E45" s="44" t="s">
        <v>693</v>
      </c>
    </row>
    <row r="46" spans="1:5" s="44" customFormat="1" x14ac:dyDescent="0.3">
      <c r="A46" s="44" t="s">
        <v>760</v>
      </c>
      <c r="B46" s="44" t="s">
        <v>688</v>
      </c>
      <c r="C46" s="44" t="s">
        <v>675</v>
      </c>
      <c r="D46" s="44" t="s">
        <v>692</v>
      </c>
      <c r="E46" s="44" t="s">
        <v>693</v>
      </c>
    </row>
    <row r="47" spans="1:5" s="44" customFormat="1" x14ac:dyDescent="0.3">
      <c r="A47" s="44" t="s">
        <v>761</v>
      </c>
      <c r="B47" s="44" t="s">
        <v>688</v>
      </c>
      <c r="C47" s="44" t="s">
        <v>675</v>
      </c>
      <c r="D47" s="44" t="s">
        <v>692</v>
      </c>
      <c r="E47" s="44" t="s">
        <v>693</v>
      </c>
    </row>
    <row r="48" spans="1:5" s="44" customFormat="1" x14ac:dyDescent="0.3">
      <c r="A48" s="44" t="s">
        <v>135</v>
      </c>
      <c r="B48" s="44" t="s">
        <v>688</v>
      </c>
      <c r="C48" s="44" t="s">
        <v>675</v>
      </c>
      <c r="D48" s="44" t="s">
        <v>692</v>
      </c>
      <c r="E48" s="44" t="s">
        <v>693</v>
      </c>
    </row>
  </sheetData>
  <mergeCells count="1"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6"/>
  <sheetViews>
    <sheetView workbookViewId="0">
      <selection sqref="A1:K226"/>
    </sheetView>
  </sheetViews>
  <sheetFormatPr defaultColWidth="9.109375" defaultRowHeight="13.2" x14ac:dyDescent="0.25"/>
  <cols>
    <col min="1" max="1" width="11.109375" style="7" bestFit="1" customWidth="1"/>
    <col min="2" max="2" width="15.109375" style="7" customWidth="1"/>
    <col min="3" max="3" width="16.6640625" style="7" customWidth="1"/>
    <col min="4" max="4" width="16" style="7" customWidth="1"/>
    <col min="5" max="5" width="7.88671875" style="7" bestFit="1" customWidth="1"/>
    <col min="6" max="6" width="18.33203125" style="7" bestFit="1" customWidth="1"/>
    <col min="7" max="7" width="14" style="7" customWidth="1"/>
    <col min="8" max="8" width="18.44140625" style="7" customWidth="1"/>
    <col min="9" max="9" width="24.33203125" style="7" customWidth="1"/>
    <col min="10" max="10" width="10" style="7" bestFit="1" customWidth="1"/>
    <col min="11" max="11" width="10" style="22" bestFit="1" customWidth="1"/>
    <col min="12" max="12" width="1.88671875" style="7" customWidth="1"/>
    <col min="13" max="13" width="7.33203125" style="7" bestFit="1" customWidth="1"/>
    <col min="14" max="14" width="9" style="7" bestFit="1" customWidth="1"/>
    <col min="15" max="16" width="10" style="7" bestFit="1" customWidth="1"/>
    <col min="17" max="16384" width="9.109375" style="7"/>
  </cols>
  <sheetData>
    <row r="1" spans="1:17" x14ac:dyDescent="0.25">
      <c r="A1" s="2" t="s">
        <v>212</v>
      </c>
      <c r="B1" s="3" t="s">
        <v>213</v>
      </c>
      <c r="C1" s="3" t="s">
        <v>214</v>
      </c>
      <c r="D1" s="3" t="s">
        <v>215</v>
      </c>
      <c r="E1" s="3" t="s">
        <v>216</v>
      </c>
      <c r="F1" s="3" t="s">
        <v>217</v>
      </c>
      <c r="G1" s="3" t="s">
        <v>218</v>
      </c>
      <c r="H1" s="3" t="s">
        <v>219</v>
      </c>
      <c r="I1" s="3" t="s">
        <v>220</v>
      </c>
      <c r="J1" s="4" t="s">
        <v>221</v>
      </c>
      <c r="K1" s="5" t="s">
        <v>222</v>
      </c>
      <c r="L1" s="6"/>
      <c r="M1" s="7">
        <v>-10000</v>
      </c>
      <c r="N1" s="7">
        <v>0</v>
      </c>
      <c r="O1" s="7" t="s">
        <v>223</v>
      </c>
      <c r="P1" s="7" t="s">
        <v>224</v>
      </c>
      <c r="Q1" s="7" t="s">
        <v>225</v>
      </c>
    </row>
    <row r="2" spans="1:17" x14ac:dyDescent="0.25">
      <c r="A2" s="8" t="s">
        <v>226</v>
      </c>
      <c r="B2" s="9" t="s">
        <v>8</v>
      </c>
      <c r="C2" s="9" t="s">
        <v>8</v>
      </c>
      <c r="D2" s="9" t="s">
        <v>227</v>
      </c>
      <c r="E2" s="10" t="s">
        <v>5</v>
      </c>
      <c r="F2" s="9" t="s">
        <v>228</v>
      </c>
      <c r="G2" s="9" t="s">
        <v>8</v>
      </c>
      <c r="H2" s="10" t="s">
        <v>228</v>
      </c>
      <c r="I2" s="10" t="s">
        <v>8</v>
      </c>
      <c r="J2" s="11" t="s">
        <v>229</v>
      </c>
      <c r="K2" s="12">
        <v>1</v>
      </c>
      <c r="L2" s="6"/>
      <c r="M2" s="7">
        <v>1</v>
      </c>
      <c r="N2" s="7">
        <v>30</v>
      </c>
      <c r="O2" s="7" t="s">
        <v>230</v>
      </c>
      <c r="P2" s="7" t="s">
        <v>230</v>
      </c>
      <c r="Q2" s="7" t="s">
        <v>225</v>
      </c>
    </row>
    <row r="3" spans="1:17" x14ac:dyDescent="0.25">
      <c r="A3" s="13" t="s">
        <v>231</v>
      </c>
      <c r="B3" s="14" t="s">
        <v>185</v>
      </c>
      <c r="C3" s="14" t="s">
        <v>185</v>
      </c>
      <c r="D3" s="14" t="s">
        <v>232</v>
      </c>
      <c r="E3" s="10" t="s">
        <v>5</v>
      </c>
      <c r="F3" s="14" t="s">
        <v>233</v>
      </c>
      <c r="G3" s="14" t="s">
        <v>234</v>
      </c>
      <c r="H3" s="10" t="s">
        <v>233</v>
      </c>
      <c r="I3" s="10" t="s">
        <v>234</v>
      </c>
      <c r="J3" s="15" t="s">
        <v>229</v>
      </c>
      <c r="K3" s="16">
        <v>1</v>
      </c>
      <c r="L3" s="6"/>
      <c r="M3" s="7">
        <v>31</v>
      </c>
      <c r="N3" s="7">
        <v>60</v>
      </c>
      <c r="O3" s="7" t="s">
        <v>235</v>
      </c>
      <c r="P3" s="7" t="s">
        <v>235</v>
      </c>
      <c r="Q3" s="7" t="s">
        <v>236</v>
      </c>
    </row>
    <row r="4" spans="1:17" x14ac:dyDescent="0.25">
      <c r="A4" s="8" t="s">
        <v>237</v>
      </c>
      <c r="B4" s="9" t="s">
        <v>18</v>
      </c>
      <c r="C4" s="9" t="s">
        <v>18</v>
      </c>
      <c r="D4" s="9" t="s">
        <v>238</v>
      </c>
      <c r="E4" s="10" t="s">
        <v>5</v>
      </c>
      <c r="F4" s="9" t="s">
        <v>228</v>
      </c>
      <c r="G4" s="9" t="s">
        <v>18</v>
      </c>
      <c r="H4" s="10" t="s">
        <v>228</v>
      </c>
      <c r="I4" s="10" t="s">
        <v>18</v>
      </c>
      <c r="J4" s="11" t="s">
        <v>229</v>
      </c>
      <c r="K4" s="12">
        <v>1</v>
      </c>
      <c r="L4" s="6"/>
      <c r="M4" s="7">
        <v>61</v>
      </c>
      <c r="N4" s="7">
        <v>90</v>
      </c>
      <c r="O4" s="7" t="s">
        <v>239</v>
      </c>
      <c r="P4" s="7" t="s">
        <v>239</v>
      </c>
      <c r="Q4" s="7" t="s">
        <v>236</v>
      </c>
    </row>
    <row r="5" spans="1:17" x14ac:dyDescent="0.25">
      <c r="A5" s="13" t="s">
        <v>240</v>
      </c>
      <c r="B5" s="14" t="s">
        <v>19</v>
      </c>
      <c r="C5" s="14" t="s">
        <v>19</v>
      </c>
      <c r="D5" s="14" t="s">
        <v>238</v>
      </c>
      <c r="E5" s="10" t="s">
        <v>5</v>
      </c>
      <c r="F5" s="14" t="s">
        <v>228</v>
      </c>
      <c r="G5" s="14" t="s">
        <v>19</v>
      </c>
      <c r="H5" s="10" t="s">
        <v>228</v>
      </c>
      <c r="I5" s="10" t="s">
        <v>19</v>
      </c>
      <c r="J5" s="15" t="s">
        <v>229</v>
      </c>
      <c r="K5" s="16">
        <v>1</v>
      </c>
      <c r="L5" s="6"/>
      <c r="M5" s="7">
        <v>91</v>
      </c>
      <c r="N5" s="7">
        <v>120</v>
      </c>
      <c r="O5" s="7" t="s">
        <v>241</v>
      </c>
      <c r="P5" s="7" t="s">
        <v>241</v>
      </c>
      <c r="Q5" s="7" t="s">
        <v>242</v>
      </c>
    </row>
    <row r="6" spans="1:17" x14ac:dyDescent="0.25">
      <c r="A6" s="8" t="s">
        <v>243</v>
      </c>
      <c r="B6" s="9" t="s">
        <v>244</v>
      </c>
      <c r="C6" s="9" t="s">
        <v>244</v>
      </c>
      <c r="D6" s="9" t="s">
        <v>245</v>
      </c>
      <c r="E6" s="10" t="s">
        <v>5</v>
      </c>
      <c r="F6" s="9" t="s">
        <v>246</v>
      </c>
      <c r="G6" s="9" t="s">
        <v>244</v>
      </c>
      <c r="H6" s="10" t="s">
        <v>246</v>
      </c>
      <c r="I6" s="10" t="s">
        <v>244</v>
      </c>
      <c r="J6" s="11" t="s">
        <v>229</v>
      </c>
      <c r="K6" s="12">
        <v>1</v>
      </c>
      <c r="L6" s="6"/>
      <c r="M6" s="7">
        <v>121</v>
      </c>
      <c r="N6" s="7">
        <v>150</v>
      </c>
      <c r="O6" s="7" t="s">
        <v>247</v>
      </c>
      <c r="P6" s="7" t="s">
        <v>247</v>
      </c>
      <c r="Q6" s="7" t="s">
        <v>242</v>
      </c>
    </row>
    <row r="7" spans="1:17" x14ac:dyDescent="0.25">
      <c r="A7" s="13" t="s">
        <v>248</v>
      </c>
      <c r="B7" s="14" t="s">
        <v>23</v>
      </c>
      <c r="C7" s="14" t="s">
        <v>23</v>
      </c>
      <c r="D7" s="14" t="s">
        <v>245</v>
      </c>
      <c r="E7" s="10" t="s">
        <v>5</v>
      </c>
      <c r="F7" s="14" t="s">
        <v>246</v>
      </c>
      <c r="G7" s="14" t="s">
        <v>23</v>
      </c>
      <c r="H7" s="10" t="s">
        <v>246</v>
      </c>
      <c r="I7" s="10" t="s">
        <v>23</v>
      </c>
      <c r="J7" s="15" t="s">
        <v>229</v>
      </c>
      <c r="K7" s="16">
        <v>1</v>
      </c>
      <c r="L7" s="6"/>
      <c r="M7" s="7">
        <v>151</v>
      </c>
      <c r="N7" s="7">
        <v>180</v>
      </c>
      <c r="O7" s="7" t="s">
        <v>249</v>
      </c>
      <c r="P7" s="7" t="s">
        <v>249</v>
      </c>
      <c r="Q7" s="7" t="s">
        <v>242</v>
      </c>
    </row>
    <row r="8" spans="1:17" x14ac:dyDescent="0.25">
      <c r="A8" s="8" t="s">
        <v>250</v>
      </c>
      <c r="B8" s="9" t="s">
        <v>24</v>
      </c>
      <c r="C8" s="9" t="s">
        <v>24</v>
      </c>
      <c r="D8" s="9" t="s">
        <v>251</v>
      </c>
      <c r="E8" s="10" t="s">
        <v>5</v>
      </c>
      <c r="F8" s="9" t="s">
        <v>252</v>
      </c>
      <c r="G8" s="9" t="s">
        <v>24</v>
      </c>
      <c r="H8" s="10" t="s">
        <v>252</v>
      </c>
      <c r="I8" s="10" t="s">
        <v>24</v>
      </c>
      <c r="J8" s="11" t="s">
        <v>229</v>
      </c>
      <c r="K8" s="12">
        <v>1</v>
      </c>
      <c r="L8" s="6"/>
      <c r="M8" s="7">
        <v>181</v>
      </c>
      <c r="N8" s="7">
        <v>10000000</v>
      </c>
      <c r="O8" s="7" t="s">
        <v>253</v>
      </c>
      <c r="P8" s="7" t="s">
        <v>253</v>
      </c>
      <c r="Q8" s="7" t="s">
        <v>254</v>
      </c>
    </row>
    <row r="9" spans="1:17" x14ac:dyDescent="0.25">
      <c r="A9" s="13" t="s">
        <v>255</v>
      </c>
      <c r="B9" s="14" t="s">
        <v>25</v>
      </c>
      <c r="C9" s="14" t="s">
        <v>25</v>
      </c>
      <c r="D9" s="14" t="s">
        <v>256</v>
      </c>
      <c r="E9" s="10" t="s">
        <v>5</v>
      </c>
      <c r="F9" s="14" t="s">
        <v>257</v>
      </c>
      <c r="G9" s="14" t="s">
        <v>25</v>
      </c>
      <c r="H9" s="10" t="s">
        <v>257</v>
      </c>
      <c r="I9" s="10" t="s">
        <v>25</v>
      </c>
      <c r="J9" s="15" t="s">
        <v>229</v>
      </c>
      <c r="K9" s="16">
        <v>1</v>
      </c>
      <c r="L9" s="6"/>
    </row>
    <row r="10" spans="1:17" x14ac:dyDescent="0.25">
      <c r="A10" s="8" t="s">
        <v>258</v>
      </c>
      <c r="B10" s="9" t="s">
        <v>259</v>
      </c>
      <c r="C10" s="9" t="s">
        <v>259</v>
      </c>
      <c r="D10" s="9" t="s">
        <v>260</v>
      </c>
      <c r="E10" s="10" t="s">
        <v>5</v>
      </c>
      <c r="F10" s="9" t="s">
        <v>252</v>
      </c>
      <c r="G10" s="9" t="s">
        <v>24</v>
      </c>
      <c r="H10" s="10" t="s">
        <v>252</v>
      </c>
      <c r="I10" s="10" t="s">
        <v>24</v>
      </c>
      <c r="J10" s="11" t="s">
        <v>261</v>
      </c>
      <c r="K10" s="12">
        <v>1</v>
      </c>
      <c r="L10" s="6"/>
    </row>
    <row r="11" spans="1:17" x14ac:dyDescent="0.25">
      <c r="A11" s="13" t="s">
        <v>262</v>
      </c>
      <c r="B11" s="14" t="s">
        <v>263</v>
      </c>
      <c r="C11" s="14" t="s">
        <v>263</v>
      </c>
      <c r="D11" s="14" t="s">
        <v>264</v>
      </c>
      <c r="E11" s="10" t="s">
        <v>5</v>
      </c>
      <c r="F11" s="14" t="s">
        <v>265</v>
      </c>
      <c r="G11" s="14" t="s">
        <v>263</v>
      </c>
      <c r="H11" s="10" t="s">
        <v>265</v>
      </c>
      <c r="I11" s="10" t="s">
        <v>263</v>
      </c>
      <c r="J11" s="15" t="s">
        <v>229</v>
      </c>
      <c r="K11" s="16">
        <v>1</v>
      </c>
      <c r="L11" s="6"/>
    </row>
    <row r="12" spans="1:17" x14ac:dyDescent="0.25">
      <c r="A12" s="8" t="s">
        <v>266</v>
      </c>
      <c r="B12" s="9" t="s">
        <v>267</v>
      </c>
      <c r="C12" s="9" t="s">
        <v>267</v>
      </c>
      <c r="D12" s="9" t="s">
        <v>245</v>
      </c>
      <c r="E12" s="10" t="s">
        <v>5</v>
      </c>
      <c r="F12" s="9" t="s">
        <v>246</v>
      </c>
      <c r="G12" s="9" t="s">
        <v>268</v>
      </c>
      <c r="H12" s="10" t="s">
        <v>246</v>
      </c>
      <c r="I12" s="10" t="s">
        <v>269</v>
      </c>
      <c r="J12" s="11" t="s">
        <v>229</v>
      </c>
      <c r="K12" s="12">
        <v>1</v>
      </c>
      <c r="L12" s="6"/>
    </row>
    <row r="13" spans="1:17" x14ac:dyDescent="0.25">
      <c r="A13" s="13" t="s">
        <v>270</v>
      </c>
      <c r="B13" s="14" t="s">
        <v>30</v>
      </c>
      <c r="C13" s="14" t="s">
        <v>30</v>
      </c>
      <c r="D13" s="14" t="s">
        <v>256</v>
      </c>
      <c r="E13" s="10" t="s">
        <v>5</v>
      </c>
      <c r="F13" s="14" t="s">
        <v>257</v>
      </c>
      <c r="G13" s="14" t="s">
        <v>30</v>
      </c>
      <c r="H13" s="10" t="s">
        <v>257</v>
      </c>
      <c r="I13" s="10" t="s">
        <v>30</v>
      </c>
      <c r="J13" s="15" t="s">
        <v>229</v>
      </c>
      <c r="K13" s="16">
        <v>1</v>
      </c>
      <c r="L13" s="6"/>
    </row>
    <row r="14" spans="1:17" x14ac:dyDescent="0.25">
      <c r="A14" s="8" t="s">
        <v>271</v>
      </c>
      <c r="B14" s="9" t="s">
        <v>160</v>
      </c>
      <c r="C14" s="9" t="s">
        <v>160</v>
      </c>
      <c r="D14" s="9" t="s">
        <v>272</v>
      </c>
      <c r="E14" s="10" t="s">
        <v>5</v>
      </c>
      <c r="F14" s="9" t="s">
        <v>273</v>
      </c>
      <c r="G14" s="9" t="s">
        <v>274</v>
      </c>
      <c r="H14" s="10" t="s">
        <v>273</v>
      </c>
      <c r="I14" s="10" t="s">
        <v>274</v>
      </c>
      <c r="J14" s="11" t="s">
        <v>229</v>
      </c>
      <c r="K14" s="12">
        <v>1</v>
      </c>
      <c r="L14" s="6"/>
    </row>
    <row r="15" spans="1:17" x14ac:dyDescent="0.25">
      <c r="A15" s="13" t="s">
        <v>275</v>
      </c>
      <c r="B15" s="14" t="s">
        <v>32</v>
      </c>
      <c r="C15" s="14" t="s">
        <v>32</v>
      </c>
      <c r="D15" s="14" t="s">
        <v>272</v>
      </c>
      <c r="E15" s="10" t="s">
        <v>5</v>
      </c>
      <c r="F15" s="14" t="s">
        <v>273</v>
      </c>
      <c r="G15" s="14" t="s">
        <v>32</v>
      </c>
      <c r="H15" s="10" t="s">
        <v>273</v>
      </c>
      <c r="I15" s="10" t="s">
        <v>32</v>
      </c>
      <c r="J15" s="15" t="s">
        <v>229</v>
      </c>
      <c r="K15" s="16">
        <v>1</v>
      </c>
      <c r="L15" s="6"/>
    </row>
    <row r="16" spans="1:17" x14ac:dyDescent="0.25">
      <c r="A16" s="8" t="s">
        <v>276</v>
      </c>
      <c r="B16" s="9" t="s">
        <v>33</v>
      </c>
      <c r="C16" s="9" t="s">
        <v>33</v>
      </c>
      <c r="D16" s="9" t="s">
        <v>277</v>
      </c>
      <c r="E16" s="10" t="s">
        <v>5</v>
      </c>
      <c r="F16" s="9" t="s">
        <v>273</v>
      </c>
      <c r="G16" s="9" t="s">
        <v>33</v>
      </c>
      <c r="H16" s="10" t="s">
        <v>273</v>
      </c>
      <c r="I16" s="10" t="s">
        <v>33</v>
      </c>
      <c r="J16" s="11" t="s">
        <v>229</v>
      </c>
      <c r="K16" s="12">
        <v>1</v>
      </c>
      <c r="L16" s="6"/>
    </row>
    <row r="17" spans="1:12" x14ac:dyDescent="0.25">
      <c r="A17" s="13" t="s">
        <v>278</v>
      </c>
      <c r="B17" s="14" t="s">
        <v>34</v>
      </c>
      <c r="C17" s="14" t="s">
        <v>34</v>
      </c>
      <c r="D17" s="14" t="s">
        <v>260</v>
      </c>
      <c r="E17" s="10" t="s">
        <v>5</v>
      </c>
      <c r="F17" s="14" t="s">
        <v>252</v>
      </c>
      <c r="G17" s="14" t="s">
        <v>34</v>
      </c>
      <c r="H17" s="10" t="s">
        <v>252</v>
      </c>
      <c r="I17" s="10" t="s">
        <v>34</v>
      </c>
      <c r="J17" s="15" t="s">
        <v>229</v>
      </c>
      <c r="K17" s="16">
        <v>1</v>
      </c>
      <c r="L17" s="6"/>
    </row>
    <row r="18" spans="1:12" x14ac:dyDescent="0.25">
      <c r="A18" s="8" t="s">
        <v>279</v>
      </c>
      <c r="B18" s="9" t="s">
        <v>31</v>
      </c>
      <c r="C18" s="9" t="s">
        <v>31</v>
      </c>
      <c r="D18" s="9" t="s">
        <v>251</v>
      </c>
      <c r="E18" s="10" t="s">
        <v>5</v>
      </c>
      <c r="F18" s="9" t="s">
        <v>252</v>
      </c>
      <c r="G18" s="9" t="s">
        <v>31</v>
      </c>
      <c r="H18" s="10" t="s">
        <v>252</v>
      </c>
      <c r="I18" s="10" t="s">
        <v>31</v>
      </c>
      <c r="J18" s="11" t="s">
        <v>229</v>
      </c>
      <c r="K18" s="12">
        <v>1</v>
      </c>
      <c r="L18" s="6"/>
    </row>
    <row r="19" spans="1:12" x14ac:dyDescent="0.25">
      <c r="A19" s="13" t="s">
        <v>280</v>
      </c>
      <c r="B19" s="14" t="s">
        <v>35</v>
      </c>
      <c r="C19" s="14" t="s">
        <v>35</v>
      </c>
      <c r="D19" s="14" t="s">
        <v>260</v>
      </c>
      <c r="E19" s="10" t="s">
        <v>5</v>
      </c>
      <c r="F19" s="14" t="s">
        <v>252</v>
      </c>
      <c r="G19" s="14" t="s">
        <v>34</v>
      </c>
      <c r="H19" s="10" t="s">
        <v>252</v>
      </c>
      <c r="I19" s="10" t="s">
        <v>34</v>
      </c>
      <c r="J19" s="15" t="s">
        <v>261</v>
      </c>
      <c r="K19" s="16">
        <v>1</v>
      </c>
      <c r="L19" s="6"/>
    </row>
    <row r="20" spans="1:12" x14ac:dyDescent="0.25">
      <c r="A20" s="8" t="s">
        <v>281</v>
      </c>
      <c r="B20" s="9" t="s">
        <v>36</v>
      </c>
      <c r="C20" s="9" t="s">
        <v>36</v>
      </c>
      <c r="D20" s="9" t="s">
        <v>260</v>
      </c>
      <c r="E20" s="10" t="s">
        <v>5</v>
      </c>
      <c r="F20" s="9" t="s">
        <v>252</v>
      </c>
      <c r="G20" s="9" t="s">
        <v>36</v>
      </c>
      <c r="H20" s="10" t="s">
        <v>252</v>
      </c>
      <c r="I20" s="10" t="s">
        <v>36</v>
      </c>
      <c r="J20" s="11" t="s">
        <v>229</v>
      </c>
      <c r="K20" s="12">
        <v>1</v>
      </c>
      <c r="L20" s="6"/>
    </row>
    <row r="21" spans="1:12" x14ac:dyDescent="0.25">
      <c r="A21" s="13" t="s">
        <v>282</v>
      </c>
      <c r="B21" s="14" t="s">
        <v>283</v>
      </c>
      <c r="C21" s="14" t="s">
        <v>283</v>
      </c>
      <c r="D21" s="14" t="s">
        <v>272</v>
      </c>
      <c r="E21" s="10" t="s">
        <v>5</v>
      </c>
      <c r="F21" s="14" t="s">
        <v>273</v>
      </c>
      <c r="G21" s="14" t="s">
        <v>32</v>
      </c>
      <c r="H21" s="10" t="s">
        <v>273</v>
      </c>
      <c r="I21" s="10" t="s">
        <v>32</v>
      </c>
      <c r="J21" s="15" t="s">
        <v>261</v>
      </c>
      <c r="K21" s="16">
        <v>1</v>
      </c>
      <c r="L21" s="6"/>
    </row>
    <row r="22" spans="1:12" x14ac:dyDescent="0.25">
      <c r="A22" s="8" t="s">
        <v>284</v>
      </c>
      <c r="B22" s="9" t="s">
        <v>285</v>
      </c>
      <c r="C22" s="9" t="s">
        <v>32</v>
      </c>
      <c r="D22" s="9" t="s">
        <v>272</v>
      </c>
      <c r="E22" s="10" t="s">
        <v>5</v>
      </c>
      <c r="F22" s="9" t="s">
        <v>273</v>
      </c>
      <c r="G22" s="9" t="s">
        <v>32</v>
      </c>
      <c r="H22" s="10" t="s">
        <v>273</v>
      </c>
      <c r="I22" s="10" t="s">
        <v>32</v>
      </c>
      <c r="J22" s="11" t="s">
        <v>229</v>
      </c>
      <c r="K22" s="12">
        <v>1</v>
      </c>
      <c r="L22" s="6"/>
    </row>
    <row r="23" spans="1:12" x14ac:dyDescent="0.25">
      <c r="A23" s="13" t="s">
        <v>286</v>
      </c>
      <c r="B23" s="14" t="s">
        <v>208</v>
      </c>
      <c r="C23" s="14" t="s">
        <v>208</v>
      </c>
      <c r="D23" s="14" t="s">
        <v>287</v>
      </c>
      <c r="E23" s="10" t="s">
        <v>5</v>
      </c>
      <c r="F23" s="14" t="s">
        <v>265</v>
      </c>
      <c r="G23" s="14" t="s">
        <v>288</v>
      </c>
      <c r="H23" s="10" t="s">
        <v>265</v>
      </c>
      <c r="I23" s="10" t="s">
        <v>288</v>
      </c>
      <c r="J23" s="15" t="s">
        <v>229</v>
      </c>
      <c r="K23" s="16">
        <v>1</v>
      </c>
      <c r="L23" s="6"/>
    </row>
    <row r="24" spans="1:12" x14ac:dyDescent="0.25">
      <c r="A24" s="8" t="s">
        <v>289</v>
      </c>
      <c r="B24" s="9" t="s">
        <v>290</v>
      </c>
      <c r="C24" s="9" t="s">
        <v>290</v>
      </c>
      <c r="D24" s="9" t="s">
        <v>287</v>
      </c>
      <c r="E24" s="10" t="s">
        <v>5</v>
      </c>
      <c r="F24" s="9" t="s">
        <v>265</v>
      </c>
      <c r="G24" s="9" t="s">
        <v>290</v>
      </c>
      <c r="H24" s="10" t="s">
        <v>265</v>
      </c>
      <c r="I24" s="10" t="s">
        <v>290</v>
      </c>
      <c r="J24" s="11" t="s">
        <v>229</v>
      </c>
      <c r="K24" s="12">
        <v>1</v>
      </c>
      <c r="L24" s="6"/>
    </row>
    <row r="25" spans="1:12" x14ac:dyDescent="0.25">
      <c r="A25" s="13" t="s">
        <v>291</v>
      </c>
      <c r="B25" s="14" t="s">
        <v>292</v>
      </c>
      <c r="C25" s="14" t="s">
        <v>292</v>
      </c>
      <c r="D25" s="14" t="s">
        <v>256</v>
      </c>
      <c r="E25" s="10" t="s">
        <v>5</v>
      </c>
      <c r="F25" s="14" t="s">
        <v>257</v>
      </c>
      <c r="G25" s="14" t="s">
        <v>292</v>
      </c>
      <c r="H25" s="10" t="s">
        <v>257</v>
      </c>
      <c r="I25" s="10" t="s">
        <v>30</v>
      </c>
      <c r="J25" s="15" t="s">
        <v>229</v>
      </c>
      <c r="K25" s="16">
        <v>1</v>
      </c>
      <c r="L25" s="6"/>
    </row>
    <row r="26" spans="1:12" x14ac:dyDescent="0.25">
      <c r="A26" s="13" t="s">
        <v>293</v>
      </c>
      <c r="B26" s="14" t="s">
        <v>37</v>
      </c>
      <c r="C26" s="14" t="s">
        <v>37</v>
      </c>
      <c r="D26" s="14" t="s">
        <v>294</v>
      </c>
      <c r="E26" s="10" t="s">
        <v>5</v>
      </c>
      <c r="F26" s="14" t="s">
        <v>295</v>
      </c>
      <c r="G26" s="14" t="s">
        <v>296</v>
      </c>
      <c r="H26" s="10" t="s">
        <v>295</v>
      </c>
      <c r="I26" s="10" t="s">
        <v>37</v>
      </c>
      <c r="J26" s="15" t="s">
        <v>229</v>
      </c>
      <c r="K26" s="16">
        <v>1</v>
      </c>
      <c r="L26" s="6"/>
    </row>
    <row r="27" spans="1:12" x14ac:dyDescent="0.25">
      <c r="A27" s="13" t="s">
        <v>297</v>
      </c>
      <c r="B27" s="14" t="s">
        <v>28</v>
      </c>
      <c r="C27" s="14" t="s">
        <v>28</v>
      </c>
      <c r="D27" s="14" t="s">
        <v>245</v>
      </c>
      <c r="E27" s="10" t="s">
        <v>5</v>
      </c>
      <c r="F27" s="14" t="s">
        <v>246</v>
      </c>
      <c r="G27" s="14" t="s">
        <v>28</v>
      </c>
      <c r="H27" s="10" t="s">
        <v>246</v>
      </c>
      <c r="I27" s="10" t="s">
        <v>28</v>
      </c>
      <c r="J27" s="15" t="s">
        <v>229</v>
      </c>
      <c r="K27" s="16">
        <v>1</v>
      </c>
      <c r="L27" s="6"/>
    </row>
    <row r="28" spans="1:12" x14ac:dyDescent="0.25">
      <c r="A28" s="8" t="s">
        <v>298</v>
      </c>
      <c r="B28" s="9" t="s">
        <v>299</v>
      </c>
      <c r="C28" s="9" t="s">
        <v>300</v>
      </c>
      <c r="D28" s="9" t="s">
        <v>264</v>
      </c>
      <c r="E28" s="10" t="s">
        <v>5</v>
      </c>
      <c r="F28" s="9" t="s">
        <v>265</v>
      </c>
      <c r="G28" s="9" t="s">
        <v>263</v>
      </c>
      <c r="H28" s="10" t="s">
        <v>265</v>
      </c>
      <c r="I28" s="10" t="s">
        <v>263</v>
      </c>
      <c r="J28" s="11" t="s">
        <v>261</v>
      </c>
      <c r="K28" s="12">
        <v>1</v>
      </c>
      <c r="L28" s="6"/>
    </row>
    <row r="29" spans="1:12" x14ac:dyDescent="0.25">
      <c r="A29" s="13" t="s">
        <v>301</v>
      </c>
      <c r="B29" s="14" t="s">
        <v>302</v>
      </c>
      <c r="C29" s="14" t="s">
        <v>303</v>
      </c>
      <c r="D29" s="14" t="s">
        <v>264</v>
      </c>
      <c r="E29" s="10" t="s">
        <v>5</v>
      </c>
      <c r="F29" s="14" t="s">
        <v>265</v>
      </c>
      <c r="G29" s="14" t="s">
        <v>263</v>
      </c>
      <c r="H29" s="10" t="s">
        <v>265</v>
      </c>
      <c r="I29" s="10" t="s">
        <v>263</v>
      </c>
      <c r="J29" s="15" t="s">
        <v>261</v>
      </c>
      <c r="K29" s="16">
        <v>1</v>
      </c>
      <c r="L29" s="6"/>
    </row>
    <row r="30" spans="1:12" x14ac:dyDescent="0.25">
      <c r="A30" s="8" t="s">
        <v>304</v>
      </c>
      <c r="B30" s="9" t="s">
        <v>303</v>
      </c>
      <c r="C30" s="9" t="s">
        <v>303</v>
      </c>
      <c r="D30" s="9" t="s">
        <v>264</v>
      </c>
      <c r="E30" s="10" t="s">
        <v>5</v>
      </c>
      <c r="F30" s="9" t="s">
        <v>265</v>
      </c>
      <c r="G30" s="9" t="s">
        <v>263</v>
      </c>
      <c r="H30" s="10" t="s">
        <v>265</v>
      </c>
      <c r="I30" s="10" t="s">
        <v>263</v>
      </c>
      <c r="J30" s="11" t="s">
        <v>261</v>
      </c>
      <c r="K30" s="12">
        <v>1</v>
      </c>
      <c r="L30" s="6"/>
    </row>
    <row r="31" spans="1:12" x14ac:dyDescent="0.25">
      <c r="A31" s="13" t="s">
        <v>305</v>
      </c>
      <c r="B31" s="14" t="s">
        <v>300</v>
      </c>
      <c r="C31" s="14" t="s">
        <v>300</v>
      </c>
      <c r="D31" s="14" t="s">
        <v>264</v>
      </c>
      <c r="E31" s="10" t="s">
        <v>5</v>
      </c>
      <c r="F31" s="14" t="s">
        <v>265</v>
      </c>
      <c r="G31" s="9" t="s">
        <v>263</v>
      </c>
      <c r="H31" s="10" t="s">
        <v>265</v>
      </c>
      <c r="I31" s="10" t="s">
        <v>263</v>
      </c>
      <c r="J31" s="11" t="s">
        <v>261</v>
      </c>
      <c r="K31" s="16">
        <v>1</v>
      </c>
      <c r="L31" s="6"/>
    </row>
    <row r="32" spans="1:12" x14ac:dyDescent="0.25">
      <c r="A32" s="8" t="s">
        <v>306</v>
      </c>
      <c r="B32" s="9" t="s">
        <v>39</v>
      </c>
      <c r="C32" s="9" t="s">
        <v>39</v>
      </c>
      <c r="D32" s="9" t="s">
        <v>277</v>
      </c>
      <c r="E32" s="10" t="s">
        <v>5</v>
      </c>
      <c r="F32" s="9" t="s">
        <v>273</v>
      </c>
      <c r="G32" s="9" t="s">
        <v>307</v>
      </c>
      <c r="H32" s="10" t="s">
        <v>273</v>
      </c>
      <c r="I32" s="10" t="s">
        <v>307</v>
      </c>
      <c r="J32" s="11" t="s">
        <v>261</v>
      </c>
      <c r="K32" s="12">
        <v>1</v>
      </c>
      <c r="L32" s="6"/>
    </row>
    <row r="33" spans="1:12" x14ac:dyDescent="0.25">
      <c r="A33" s="13" t="s">
        <v>308</v>
      </c>
      <c r="B33" s="14" t="s">
        <v>309</v>
      </c>
      <c r="C33" s="14" t="s">
        <v>309</v>
      </c>
      <c r="D33" s="14" t="s">
        <v>256</v>
      </c>
      <c r="E33" s="10" t="s">
        <v>5</v>
      </c>
      <c r="F33" s="14" t="s">
        <v>257</v>
      </c>
      <c r="G33" s="14" t="s">
        <v>309</v>
      </c>
      <c r="H33" s="10" t="s">
        <v>257</v>
      </c>
      <c r="I33" s="10" t="s">
        <v>309</v>
      </c>
      <c r="J33" s="15" t="s">
        <v>229</v>
      </c>
      <c r="K33" s="16">
        <v>1</v>
      </c>
      <c r="L33" s="6"/>
    </row>
    <row r="34" spans="1:12" x14ac:dyDescent="0.25">
      <c r="A34" s="8" t="s">
        <v>310</v>
      </c>
      <c r="B34" s="9" t="s">
        <v>311</v>
      </c>
      <c r="C34" s="9" t="s">
        <v>136</v>
      </c>
      <c r="D34" s="9" t="s">
        <v>256</v>
      </c>
      <c r="E34" s="10" t="s">
        <v>5</v>
      </c>
      <c r="F34" s="9" t="s">
        <v>257</v>
      </c>
      <c r="G34" s="9" t="s">
        <v>25</v>
      </c>
      <c r="H34" s="10" t="s">
        <v>257</v>
      </c>
      <c r="I34" s="10" t="s">
        <v>25</v>
      </c>
      <c r="J34" s="11" t="s">
        <v>261</v>
      </c>
      <c r="K34" s="12">
        <v>1</v>
      </c>
      <c r="L34" s="6"/>
    </row>
    <row r="35" spans="1:12" x14ac:dyDescent="0.25">
      <c r="A35" s="13" t="s">
        <v>312</v>
      </c>
      <c r="B35" s="14" t="s">
        <v>22</v>
      </c>
      <c r="C35" s="14" t="s">
        <v>22</v>
      </c>
      <c r="D35" s="14" t="s">
        <v>245</v>
      </c>
      <c r="E35" s="10" t="s">
        <v>5</v>
      </c>
      <c r="F35" s="14" t="s">
        <v>246</v>
      </c>
      <c r="G35" s="14" t="s">
        <v>22</v>
      </c>
      <c r="H35" s="10" t="s">
        <v>246</v>
      </c>
      <c r="I35" s="10" t="s">
        <v>22</v>
      </c>
      <c r="J35" s="15" t="s">
        <v>229</v>
      </c>
      <c r="K35" s="16">
        <v>1</v>
      </c>
      <c r="L35" s="6"/>
    </row>
    <row r="36" spans="1:12" x14ac:dyDescent="0.25">
      <c r="A36" s="8" t="s">
        <v>313</v>
      </c>
      <c r="B36" s="9" t="s">
        <v>314</v>
      </c>
      <c r="C36" s="9" t="s">
        <v>26</v>
      </c>
      <c r="D36" s="9" t="s">
        <v>251</v>
      </c>
      <c r="E36" s="10" t="s">
        <v>5</v>
      </c>
      <c r="F36" s="9" t="s">
        <v>252</v>
      </c>
      <c r="G36" s="9" t="s">
        <v>24</v>
      </c>
      <c r="H36" s="10" t="s">
        <v>252</v>
      </c>
      <c r="I36" s="10" t="s">
        <v>24</v>
      </c>
      <c r="J36" s="11" t="s">
        <v>261</v>
      </c>
      <c r="K36" s="12">
        <v>1</v>
      </c>
      <c r="L36" s="6"/>
    </row>
    <row r="37" spans="1:12" x14ac:dyDescent="0.25">
      <c r="A37" s="13" t="s">
        <v>315</v>
      </c>
      <c r="B37" s="14" t="s">
        <v>316</v>
      </c>
      <c r="C37" s="14" t="s">
        <v>317</v>
      </c>
      <c r="D37" s="14" t="s">
        <v>251</v>
      </c>
      <c r="E37" s="10" t="s">
        <v>5</v>
      </c>
      <c r="F37" s="14" t="s">
        <v>252</v>
      </c>
      <c r="G37" s="14" t="s">
        <v>34</v>
      </c>
      <c r="H37" s="10" t="s">
        <v>252</v>
      </c>
      <c r="I37" s="10" t="s">
        <v>34</v>
      </c>
      <c r="J37" s="15" t="s">
        <v>261</v>
      </c>
      <c r="K37" s="16">
        <v>1</v>
      </c>
      <c r="L37" s="6"/>
    </row>
    <row r="38" spans="1:12" x14ac:dyDescent="0.25">
      <c r="A38" s="8" t="s">
        <v>318</v>
      </c>
      <c r="B38" s="9" t="s">
        <v>319</v>
      </c>
      <c r="C38" s="9" t="s">
        <v>36</v>
      </c>
      <c r="D38" s="9" t="s">
        <v>260</v>
      </c>
      <c r="E38" s="10" t="s">
        <v>5</v>
      </c>
      <c r="F38" s="9" t="s">
        <v>252</v>
      </c>
      <c r="G38" s="9" t="s">
        <v>36</v>
      </c>
      <c r="H38" s="10" t="s">
        <v>252</v>
      </c>
      <c r="I38" s="10" t="s">
        <v>36</v>
      </c>
      <c r="J38" s="11" t="s">
        <v>229</v>
      </c>
      <c r="K38" s="12">
        <v>1</v>
      </c>
      <c r="L38" s="6"/>
    </row>
    <row r="39" spans="1:12" x14ac:dyDescent="0.25">
      <c r="A39" s="13" t="s">
        <v>320</v>
      </c>
      <c r="B39" s="14" t="s">
        <v>317</v>
      </c>
      <c r="C39" s="14" t="s">
        <v>317</v>
      </c>
      <c r="D39" s="14" t="s">
        <v>251</v>
      </c>
      <c r="E39" s="10" t="s">
        <v>5</v>
      </c>
      <c r="F39" s="14" t="s">
        <v>252</v>
      </c>
      <c r="G39" s="14" t="s">
        <v>34</v>
      </c>
      <c r="H39" s="10" t="s">
        <v>252</v>
      </c>
      <c r="I39" s="10" t="s">
        <v>34</v>
      </c>
      <c r="J39" s="15" t="s">
        <v>261</v>
      </c>
      <c r="K39" s="16">
        <v>1</v>
      </c>
      <c r="L39" s="6"/>
    </row>
    <row r="40" spans="1:12" x14ac:dyDescent="0.25">
      <c r="A40" s="8" t="s">
        <v>321</v>
      </c>
      <c r="B40" s="9" t="s">
        <v>41</v>
      </c>
      <c r="C40" s="9" t="s">
        <v>41</v>
      </c>
      <c r="D40" s="9" t="s">
        <v>322</v>
      </c>
      <c r="E40" s="10" t="s">
        <v>5</v>
      </c>
      <c r="F40" s="9" t="s">
        <v>233</v>
      </c>
      <c r="G40" s="9" t="s">
        <v>41</v>
      </c>
      <c r="H40" s="10" t="s">
        <v>233</v>
      </c>
      <c r="I40" s="10" t="s">
        <v>41</v>
      </c>
      <c r="J40" s="11" t="s">
        <v>229</v>
      </c>
      <c r="K40" s="12">
        <v>1</v>
      </c>
      <c r="L40" s="6"/>
    </row>
    <row r="41" spans="1:12" x14ac:dyDescent="0.25">
      <c r="A41" s="13" t="s">
        <v>323</v>
      </c>
      <c r="B41" s="14" t="s">
        <v>42</v>
      </c>
      <c r="C41" s="14" t="s">
        <v>42</v>
      </c>
      <c r="D41" s="14" t="s">
        <v>238</v>
      </c>
      <c r="E41" s="10" t="s">
        <v>5</v>
      </c>
      <c r="F41" s="14" t="s">
        <v>228</v>
      </c>
      <c r="G41" s="14" t="s">
        <v>42</v>
      </c>
      <c r="H41" s="10" t="s">
        <v>228</v>
      </c>
      <c r="I41" s="10" t="s">
        <v>42</v>
      </c>
      <c r="J41" s="15" t="s">
        <v>229</v>
      </c>
      <c r="K41" s="16">
        <v>1</v>
      </c>
      <c r="L41" s="6"/>
    </row>
    <row r="42" spans="1:12" x14ac:dyDescent="0.25">
      <c r="A42" s="8" t="s">
        <v>324</v>
      </c>
      <c r="B42" s="9" t="s">
        <v>325</v>
      </c>
      <c r="C42" s="9" t="s">
        <v>191</v>
      </c>
      <c r="D42" s="9" t="s">
        <v>232</v>
      </c>
      <c r="E42" s="10" t="s">
        <v>5</v>
      </c>
      <c r="F42" s="9" t="s">
        <v>233</v>
      </c>
      <c r="G42" s="9" t="s">
        <v>326</v>
      </c>
      <c r="H42" s="10" t="s">
        <v>233</v>
      </c>
      <c r="I42" s="10" t="s">
        <v>234</v>
      </c>
      <c r="J42" s="11" t="s">
        <v>229</v>
      </c>
      <c r="K42" s="12">
        <v>1</v>
      </c>
      <c r="L42" s="6"/>
    </row>
    <row r="43" spans="1:12" x14ac:dyDescent="0.25">
      <c r="A43" s="13" t="s">
        <v>327</v>
      </c>
      <c r="B43" s="14" t="s">
        <v>328</v>
      </c>
      <c r="C43" s="14" t="s">
        <v>328</v>
      </c>
      <c r="D43" s="14" t="s">
        <v>260</v>
      </c>
      <c r="E43" s="10" t="s">
        <v>5</v>
      </c>
      <c r="F43" s="14" t="s">
        <v>252</v>
      </c>
      <c r="G43" s="14" t="s">
        <v>36</v>
      </c>
      <c r="H43" s="10" t="s">
        <v>252</v>
      </c>
      <c r="I43" s="10" t="s">
        <v>36</v>
      </c>
      <c r="J43" s="15" t="s">
        <v>261</v>
      </c>
      <c r="K43" s="16">
        <v>1</v>
      </c>
      <c r="L43" s="6"/>
    </row>
    <row r="44" spans="1:12" x14ac:dyDescent="0.25">
      <c r="A44" s="8" t="s">
        <v>329</v>
      </c>
      <c r="B44" s="9" t="s">
        <v>38</v>
      </c>
      <c r="C44" s="9" t="s">
        <v>38</v>
      </c>
      <c r="D44" s="9" t="s">
        <v>277</v>
      </c>
      <c r="E44" s="10" t="s">
        <v>5</v>
      </c>
      <c r="F44" s="9" t="s">
        <v>273</v>
      </c>
      <c r="G44" s="9" t="s">
        <v>38</v>
      </c>
      <c r="H44" s="10" t="s">
        <v>273</v>
      </c>
      <c r="I44" s="10" t="s">
        <v>38</v>
      </c>
      <c r="J44" s="11" t="s">
        <v>229</v>
      </c>
      <c r="K44" s="12">
        <v>1</v>
      </c>
      <c r="L44" s="6"/>
    </row>
    <row r="45" spans="1:12" x14ac:dyDescent="0.25">
      <c r="A45" s="13" t="s">
        <v>330</v>
      </c>
      <c r="B45" s="14" t="s">
        <v>331</v>
      </c>
      <c r="C45" s="14" t="s">
        <v>331</v>
      </c>
      <c r="D45" s="14" t="s">
        <v>245</v>
      </c>
      <c r="E45" s="10" t="s">
        <v>5</v>
      </c>
      <c r="F45" s="14" t="s">
        <v>246</v>
      </c>
      <c r="G45" s="14" t="s">
        <v>331</v>
      </c>
      <c r="H45" s="10" t="s">
        <v>246</v>
      </c>
      <c r="I45" s="10" t="s">
        <v>331</v>
      </c>
      <c r="J45" s="15" t="s">
        <v>229</v>
      </c>
      <c r="K45" s="16">
        <v>1</v>
      </c>
      <c r="L45" s="6"/>
    </row>
    <row r="46" spans="1:12" x14ac:dyDescent="0.25">
      <c r="A46" s="8" t="s">
        <v>332</v>
      </c>
      <c r="B46" s="9" t="s">
        <v>333</v>
      </c>
      <c r="C46" s="9" t="s">
        <v>263</v>
      </c>
      <c r="D46" s="9" t="s">
        <v>264</v>
      </c>
      <c r="E46" s="10" t="s">
        <v>5</v>
      </c>
      <c r="F46" s="9" t="s">
        <v>265</v>
      </c>
      <c r="G46" s="9" t="s">
        <v>263</v>
      </c>
      <c r="H46" s="10" t="s">
        <v>265</v>
      </c>
      <c r="I46" s="10" t="s">
        <v>263</v>
      </c>
      <c r="J46" s="11" t="s">
        <v>229</v>
      </c>
      <c r="K46" s="12">
        <v>1</v>
      </c>
      <c r="L46" s="6"/>
    </row>
    <row r="47" spans="1:12" x14ac:dyDescent="0.25">
      <c r="A47" s="13" t="s">
        <v>334</v>
      </c>
      <c r="B47" s="14" t="s">
        <v>43</v>
      </c>
      <c r="C47" s="14" t="s">
        <v>43</v>
      </c>
      <c r="D47" s="14" t="s">
        <v>287</v>
      </c>
      <c r="E47" s="10" t="s">
        <v>5</v>
      </c>
      <c r="F47" s="14" t="s">
        <v>265</v>
      </c>
      <c r="G47" s="14" t="s">
        <v>43</v>
      </c>
      <c r="H47" s="10" t="s">
        <v>265</v>
      </c>
      <c r="I47" s="10" t="s">
        <v>43</v>
      </c>
      <c r="J47" s="15" t="s">
        <v>229</v>
      </c>
      <c r="K47" s="16">
        <v>1</v>
      </c>
      <c r="L47" s="6"/>
    </row>
    <row r="48" spans="1:12" x14ac:dyDescent="0.25">
      <c r="A48" s="8" t="s">
        <v>335</v>
      </c>
      <c r="B48" s="9" t="s">
        <v>336</v>
      </c>
      <c r="C48" s="9" t="s">
        <v>263</v>
      </c>
      <c r="D48" s="9" t="s">
        <v>264</v>
      </c>
      <c r="E48" s="10" t="s">
        <v>5</v>
      </c>
      <c r="F48" s="9" t="s">
        <v>265</v>
      </c>
      <c r="G48" s="9" t="s">
        <v>263</v>
      </c>
      <c r="H48" s="10" t="s">
        <v>265</v>
      </c>
      <c r="I48" s="10" t="s">
        <v>263</v>
      </c>
      <c r="J48" s="11" t="s">
        <v>229</v>
      </c>
      <c r="K48" s="12">
        <v>1</v>
      </c>
      <c r="L48" s="6"/>
    </row>
    <row r="49" spans="1:12" x14ac:dyDescent="0.25">
      <c r="A49" s="13" t="s">
        <v>337</v>
      </c>
      <c r="B49" s="14" t="s">
        <v>338</v>
      </c>
      <c r="C49" s="14" t="s">
        <v>263</v>
      </c>
      <c r="D49" s="14" t="s">
        <v>264</v>
      </c>
      <c r="E49" s="10" t="s">
        <v>5</v>
      </c>
      <c r="F49" s="14" t="s">
        <v>265</v>
      </c>
      <c r="G49" s="14" t="s">
        <v>263</v>
      </c>
      <c r="H49" s="10" t="s">
        <v>265</v>
      </c>
      <c r="I49" s="10" t="s">
        <v>263</v>
      </c>
      <c r="J49" s="15" t="s">
        <v>229</v>
      </c>
      <c r="K49" s="16">
        <v>1</v>
      </c>
      <c r="L49" s="6"/>
    </row>
    <row r="50" spans="1:12" x14ac:dyDescent="0.25">
      <c r="A50" s="8" t="s">
        <v>339</v>
      </c>
      <c r="B50" s="9" t="s">
        <v>340</v>
      </c>
      <c r="C50" s="9" t="s">
        <v>36</v>
      </c>
      <c r="D50" s="9" t="s">
        <v>260</v>
      </c>
      <c r="E50" s="10" t="s">
        <v>5</v>
      </c>
      <c r="F50" s="9" t="s">
        <v>252</v>
      </c>
      <c r="G50" s="9" t="s">
        <v>36</v>
      </c>
      <c r="H50" s="10" t="s">
        <v>252</v>
      </c>
      <c r="I50" s="10" t="s">
        <v>36</v>
      </c>
      <c r="J50" s="11" t="s">
        <v>229</v>
      </c>
      <c r="K50" s="12">
        <v>1</v>
      </c>
      <c r="L50" s="6"/>
    </row>
    <row r="51" spans="1:12" x14ac:dyDescent="0.25">
      <c r="A51" s="13" t="s">
        <v>341</v>
      </c>
      <c r="B51" s="14" t="s">
        <v>342</v>
      </c>
      <c r="C51" s="14" t="s">
        <v>36</v>
      </c>
      <c r="D51" s="14" t="s">
        <v>260</v>
      </c>
      <c r="E51" s="10" t="s">
        <v>5</v>
      </c>
      <c r="F51" s="14" t="s">
        <v>252</v>
      </c>
      <c r="G51" s="14" t="s">
        <v>36</v>
      </c>
      <c r="H51" s="10" t="s">
        <v>252</v>
      </c>
      <c r="I51" s="10" t="s">
        <v>36</v>
      </c>
      <c r="J51" s="15" t="s">
        <v>229</v>
      </c>
      <c r="K51" s="16">
        <v>1</v>
      </c>
      <c r="L51" s="6"/>
    </row>
    <row r="52" spans="1:12" x14ac:dyDescent="0.25">
      <c r="A52" s="8" t="s">
        <v>343</v>
      </c>
      <c r="B52" s="9" t="s">
        <v>344</v>
      </c>
      <c r="C52" s="9" t="s">
        <v>344</v>
      </c>
      <c r="D52" s="9" t="s">
        <v>232</v>
      </c>
      <c r="E52" s="10" t="s">
        <v>5</v>
      </c>
      <c r="F52" s="9" t="s">
        <v>233</v>
      </c>
      <c r="G52" s="9" t="s">
        <v>344</v>
      </c>
      <c r="H52" s="10" t="s">
        <v>233</v>
      </c>
      <c r="I52" s="10" t="s">
        <v>344</v>
      </c>
      <c r="J52" s="11" t="s">
        <v>229</v>
      </c>
      <c r="K52" s="12">
        <v>1</v>
      </c>
      <c r="L52" s="6"/>
    </row>
    <row r="53" spans="1:12" x14ac:dyDescent="0.25">
      <c r="A53" s="13" t="s">
        <v>345</v>
      </c>
      <c r="B53" s="14" t="s">
        <v>346</v>
      </c>
      <c r="C53" s="14" t="s">
        <v>346</v>
      </c>
      <c r="D53" s="14" t="s">
        <v>322</v>
      </c>
      <c r="E53" s="10" t="s">
        <v>5</v>
      </c>
      <c r="F53" s="14" t="s">
        <v>233</v>
      </c>
      <c r="G53" s="14" t="s">
        <v>346</v>
      </c>
      <c r="H53" s="10" t="s">
        <v>233</v>
      </c>
      <c r="I53" s="10" t="s">
        <v>346</v>
      </c>
      <c r="J53" s="15" t="s">
        <v>229</v>
      </c>
      <c r="K53" s="16">
        <v>1</v>
      </c>
      <c r="L53" s="6"/>
    </row>
    <row r="54" spans="1:12" x14ac:dyDescent="0.25">
      <c r="A54" s="8" t="s">
        <v>347</v>
      </c>
      <c r="B54" s="9" t="s">
        <v>348</v>
      </c>
      <c r="C54" s="9" t="s">
        <v>191</v>
      </c>
      <c r="D54" s="9" t="s">
        <v>232</v>
      </c>
      <c r="E54" s="10" t="s">
        <v>5</v>
      </c>
      <c r="F54" s="9" t="s">
        <v>233</v>
      </c>
      <c r="G54" s="9" t="s">
        <v>326</v>
      </c>
      <c r="H54" s="10" t="s">
        <v>233</v>
      </c>
      <c r="I54" s="10" t="s">
        <v>234</v>
      </c>
      <c r="J54" s="11" t="s">
        <v>229</v>
      </c>
      <c r="K54" s="12">
        <v>1</v>
      </c>
      <c r="L54" s="6"/>
    </row>
    <row r="55" spans="1:12" x14ac:dyDescent="0.25">
      <c r="A55" s="13" t="s">
        <v>349</v>
      </c>
      <c r="B55" s="14" t="s">
        <v>350</v>
      </c>
      <c r="C55" s="14" t="s">
        <v>191</v>
      </c>
      <c r="D55" s="14" t="s">
        <v>232</v>
      </c>
      <c r="E55" s="10" t="s">
        <v>5</v>
      </c>
      <c r="F55" s="14" t="s">
        <v>233</v>
      </c>
      <c r="G55" s="14" t="s">
        <v>326</v>
      </c>
      <c r="H55" s="10" t="s">
        <v>233</v>
      </c>
      <c r="I55" s="10" t="s">
        <v>234</v>
      </c>
      <c r="J55" s="15" t="s">
        <v>229</v>
      </c>
      <c r="K55" s="16">
        <v>1</v>
      </c>
      <c r="L55" s="6"/>
    </row>
    <row r="56" spans="1:12" x14ac:dyDescent="0.25">
      <c r="A56" s="8" t="s">
        <v>351</v>
      </c>
      <c r="B56" s="9" t="s">
        <v>29</v>
      </c>
      <c r="C56" s="9" t="s">
        <v>29</v>
      </c>
      <c r="D56" s="9" t="s">
        <v>245</v>
      </c>
      <c r="E56" s="10" t="s">
        <v>5</v>
      </c>
      <c r="F56" s="9" t="s">
        <v>246</v>
      </c>
      <c r="G56" s="9" t="s">
        <v>29</v>
      </c>
      <c r="H56" s="10" t="s">
        <v>246</v>
      </c>
      <c r="I56" s="10" t="s">
        <v>29</v>
      </c>
      <c r="J56" s="11" t="s">
        <v>229</v>
      </c>
      <c r="K56" s="12">
        <v>1</v>
      </c>
      <c r="L56" s="6"/>
    </row>
    <row r="57" spans="1:12" x14ac:dyDescent="0.25">
      <c r="A57" s="13" t="s">
        <v>352</v>
      </c>
      <c r="B57" s="14" t="s">
        <v>176</v>
      </c>
      <c r="C57" s="14" t="s">
        <v>176</v>
      </c>
      <c r="D57" s="14" t="s">
        <v>227</v>
      </c>
      <c r="E57" s="10" t="s">
        <v>5</v>
      </c>
      <c r="F57" s="14" t="s">
        <v>228</v>
      </c>
      <c r="G57" s="14" t="s">
        <v>176</v>
      </c>
      <c r="H57" s="10" t="s">
        <v>228</v>
      </c>
      <c r="I57" s="10" t="s">
        <v>176</v>
      </c>
      <c r="J57" s="15" t="s">
        <v>229</v>
      </c>
      <c r="K57" s="16">
        <v>1</v>
      </c>
      <c r="L57" s="6"/>
    </row>
    <row r="58" spans="1:12" x14ac:dyDescent="0.25">
      <c r="A58" s="8" t="s">
        <v>353</v>
      </c>
      <c r="B58" s="9" t="s">
        <v>354</v>
      </c>
      <c r="C58" s="9" t="s">
        <v>354</v>
      </c>
      <c r="D58" s="9" t="s">
        <v>245</v>
      </c>
      <c r="E58" s="10" t="s">
        <v>5</v>
      </c>
      <c r="F58" s="9" t="s">
        <v>246</v>
      </c>
      <c r="G58" s="9" t="s">
        <v>244</v>
      </c>
      <c r="H58" s="10" t="s">
        <v>246</v>
      </c>
      <c r="I58" s="10" t="s">
        <v>244</v>
      </c>
      <c r="J58" s="11" t="s">
        <v>261</v>
      </c>
      <c r="K58" s="12">
        <v>1</v>
      </c>
      <c r="L58" s="6"/>
    </row>
    <row r="59" spans="1:12" x14ac:dyDescent="0.25">
      <c r="A59" s="13" t="s">
        <v>355</v>
      </c>
      <c r="B59" s="14" t="s">
        <v>44</v>
      </c>
      <c r="C59" s="14" t="s">
        <v>30</v>
      </c>
      <c r="D59" s="14" t="s">
        <v>256</v>
      </c>
      <c r="E59" s="10" t="s">
        <v>5</v>
      </c>
      <c r="F59" s="14" t="s">
        <v>257</v>
      </c>
      <c r="G59" s="14" t="s">
        <v>30</v>
      </c>
      <c r="H59" s="10" t="s">
        <v>257</v>
      </c>
      <c r="I59" s="10" t="s">
        <v>30</v>
      </c>
      <c r="J59" s="15" t="s">
        <v>229</v>
      </c>
      <c r="K59" s="16">
        <v>1</v>
      </c>
      <c r="L59" s="6"/>
    </row>
    <row r="60" spans="1:12" x14ac:dyDescent="0.25">
      <c r="A60" s="8" t="s">
        <v>355</v>
      </c>
      <c r="B60" s="9" t="s">
        <v>356</v>
      </c>
      <c r="C60" s="9" t="s">
        <v>30</v>
      </c>
      <c r="D60" s="9" t="s">
        <v>256</v>
      </c>
      <c r="E60" s="10" t="s">
        <v>5</v>
      </c>
      <c r="F60" s="9" t="s">
        <v>257</v>
      </c>
      <c r="G60" s="9" t="s">
        <v>30</v>
      </c>
      <c r="H60" s="10" t="s">
        <v>257</v>
      </c>
      <c r="I60" s="10" t="s">
        <v>30</v>
      </c>
      <c r="J60" s="11" t="s">
        <v>229</v>
      </c>
      <c r="K60" s="12">
        <v>1</v>
      </c>
      <c r="L60" s="6"/>
    </row>
    <row r="61" spans="1:12" x14ac:dyDescent="0.25">
      <c r="A61" s="13" t="s">
        <v>357</v>
      </c>
      <c r="B61" s="14" t="s">
        <v>26</v>
      </c>
      <c r="C61" s="14" t="s">
        <v>26</v>
      </c>
      <c r="D61" s="14" t="s">
        <v>251</v>
      </c>
      <c r="E61" s="10" t="s">
        <v>5</v>
      </c>
      <c r="F61" s="14" t="s">
        <v>252</v>
      </c>
      <c r="G61" s="14" t="s">
        <v>24</v>
      </c>
      <c r="H61" s="10" t="s">
        <v>252</v>
      </c>
      <c r="I61" s="10" t="s">
        <v>24</v>
      </c>
      <c r="J61" s="15" t="s">
        <v>261</v>
      </c>
      <c r="K61" s="16">
        <v>1</v>
      </c>
      <c r="L61" s="6"/>
    </row>
    <row r="62" spans="1:12" x14ac:dyDescent="0.25">
      <c r="A62" s="8" t="s">
        <v>358</v>
      </c>
      <c r="B62" s="9" t="s">
        <v>173</v>
      </c>
      <c r="C62" s="9" t="s">
        <v>173</v>
      </c>
      <c r="D62" s="9" t="s">
        <v>227</v>
      </c>
      <c r="E62" s="10" t="s">
        <v>5</v>
      </c>
      <c r="F62" s="9" t="s">
        <v>228</v>
      </c>
      <c r="G62" s="9" t="s">
        <v>173</v>
      </c>
      <c r="H62" s="10" t="s">
        <v>228</v>
      </c>
      <c r="I62" s="10" t="s">
        <v>173</v>
      </c>
      <c r="J62" s="11" t="s">
        <v>229</v>
      </c>
      <c r="K62" s="12">
        <v>1</v>
      </c>
      <c r="L62" s="6"/>
    </row>
    <row r="63" spans="1:12" x14ac:dyDescent="0.25">
      <c r="A63" s="13" t="s">
        <v>359</v>
      </c>
      <c r="B63" s="14" t="s">
        <v>360</v>
      </c>
      <c r="C63" s="14" t="s">
        <v>208</v>
      </c>
      <c r="D63" s="14" t="s">
        <v>287</v>
      </c>
      <c r="E63" s="10" t="s">
        <v>5</v>
      </c>
      <c r="F63" s="14" t="s">
        <v>265</v>
      </c>
      <c r="G63" s="14" t="s">
        <v>288</v>
      </c>
      <c r="H63" s="10" t="s">
        <v>265</v>
      </c>
      <c r="I63" s="10" t="s">
        <v>288</v>
      </c>
      <c r="J63" s="15" t="s">
        <v>229</v>
      </c>
      <c r="K63" s="16">
        <v>1</v>
      </c>
      <c r="L63" s="6"/>
    </row>
    <row r="64" spans="1:12" x14ac:dyDescent="0.25">
      <c r="A64" s="8" t="s">
        <v>361</v>
      </c>
      <c r="B64" s="9" t="s">
        <v>362</v>
      </c>
      <c r="C64" s="9" t="s">
        <v>362</v>
      </c>
      <c r="D64" s="9" t="s">
        <v>294</v>
      </c>
      <c r="E64" s="10" t="s">
        <v>5</v>
      </c>
      <c r="F64" s="9" t="s">
        <v>295</v>
      </c>
      <c r="G64" s="9" t="s">
        <v>362</v>
      </c>
      <c r="H64" s="10" t="s">
        <v>295</v>
      </c>
      <c r="I64" s="10" t="s">
        <v>362</v>
      </c>
      <c r="J64" s="11" t="s">
        <v>229</v>
      </c>
      <c r="K64" s="12">
        <v>1</v>
      </c>
      <c r="L64" s="6"/>
    </row>
    <row r="65" spans="1:12" x14ac:dyDescent="0.25">
      <c r="A65" s="13" t="s">
        <v>363</v>
      </c>
      <c r="B65" s="14" t="s">
        <v>364</v>
      </c>
      <c r="C65" s="14" t="s">
        <v>22</v>
      </c>
      <c r="D65" s="14" t="s">
        <v>245</v>
      </c>
      <c r="E65" s="10" t="s">
        <v>5</v>
      </c>
      <c r="F65" s="14" t="s">
        <v>246</v>
      </c>
      <c r="G65" s="14" t="s">
        <v>22</v>
      </c>
      <c r="H65" s="10" t="s">
        <v>246</v>
      </c>
      <c r="I65" s="10" t="s">
        <v>22</v>
      </c>
      <c r="J65" s="15" t="s">
        <v>229</v>
      </c>
      <c r="K65" s="16">
        <v>1</v>
      </c>
      <c r="L65" s="6"/>
    </row>
    <row r="66" spans="1:12" x14ac:dyDescent="0.25">
      <c r="A66" s="8" t="s">
        <v>363</v>
      </c>
      <c r="B66" s="9" t="s">
        <v>365</v>
      </c>
      <c r="C66" s="9" t="s">
        <v>22</v>
      </c>
      <c r="D66" s="9" t="s">
        <v>245</v>
      </c>
      <c r="E66" s="10" t="s">
        <v>5</v>
      </c>
      <c r="F66" s="9" t="s">
        <v>246</v>
      </c>
      <c r="G66" s="9" t="s">
        <v>22</v>
      </c>
      <c r="H66" s="10" t="s">
        <v>246</v>
      </c>
      <c r="I66" s="10" t="s">
        <v>22</v>
      </c>
      <c r="J66" s="11" t="s">
        <v>229</v>
      </c>
      <c r="K66" s="12">
        <v>1</v>
      </c>
      <c r="L66" s="6"/>
    </row>
    <row r="67" spans="1:12" x14ac:dyDescent="0.25">
      <c r="A67" s="13" t="s">
        <v>366</v>
      </c>
      <c r="B67" s="14" t="s">
        <v>27</v>
      </c>
      <c r="C67" s="14" t="s">
        <v>27</v>
      </c>
      <c r="D67" s="14" t="s">
        <v>272</v>
      </c>
      <c r="E67" s="10" t="s">
        <v>5</v>
      </c>
      <c r="F67" s="14" t="s">
        <v>273</v>
      </c>
      <c r="G67" s="14" t="s">
        <v>27</v>
      </c>
      <c r="H67" s="10" t="s">
        <v>273</v>
      </c>
      <c r="I67" s="10" t="s">
        <v>27</v>
      </c>
      <c r="J67" s="15" t="s">
        <v>229</v>
      </c>
      <c r="K67" s="16">
        <v>1</v>
      </c>
      <c r="L67" s="6"/>
    </row>
    <row r="68" spans="1:12" x14ac:dyDescent="0.25">
      <c r="A68" s="8" t="s">
        <v>367</v>
      </c>
      <c r="B68" s="9" t="s">
        <v>307</v>
      </c>
      <c r="C68" s="9" t="s">
        <v>39</v>
      </c>
      <c r="D68" s="9" t="s">
        <v>277</v>
      </c>
      <c r="E68" s="10" t="s">
        <v>5</v>
      </c>
      <c r="F68" s="9" t="s">
        <v>273</v>
      </c>
      <c r="G68" s="9" t="s">
        <v>307</v>
      </c>
      <c r="H68" s="10" t="s">
        <v>273</v>
      </c>
      <c r="I68" s="10" t="s">
        <v>307</v>
      </c>
      <c r="J68" s="11" t="s">
        <v>261</v>
      </c>
      <c r="K68" s="12">
        <v>1</v>
      </c>
      <c r="L68" s="6"/>
    </row>
    <row r="69" spans="1:12" x14ac:dyDescent="0.25">
      <c r="A69" s="13" t="s">
        <v>368</v>
      </c>
      <c r="B69" s="14" t="s">
        <v>369</v>
      </c>
      <c r="C69" s="14" t="s">
        <v>160</v>
      </c>
      <c r="D69" s="14" t="s">
        <v>272</v>
      </c>
      <c r="E69" s="10" t="s">
        <v>5</v>
      </c>
      <c r="F69" s="14" t="s">
        <v>273</v>
      </c>
      <c r="G69" s="14" t="s">
        <v>274</v>
      </c>
      <c r="H69" s="10" t="s">
        <v>273</v>
      </c>
      <c r="I69" s="10" t="s">
        <v>274</v>
      </c>
      <c r="J69" s="15" t="s">
        <v>229</v>
      </c>
      <c r="K69" s="16">
        <v>1</v>
      </c>
      <c r="L69" s="6"/>
    </row>
    <row r="70" spans="1:12" x14ac:dyDescent="0.25">
      <c r="A70" s="8" t="s">
        <v>370</v>
      </c>
      <c r="B70" s="9" t="s">
        <v>191</v>
      </c>
      <c r="C70" s="9" t="s">
        <v>191</v>
      </c>
      <c r="D70" s="9" t="s">
        <v>232</v>
      </c>
      <c r="E70" s="10" t="s">
        <v>5</v>
      </c>
      <c r="F70" s="9" t="s">
        <v>233</v>
      </c>
      <c r="G70" s="9" t="s">
        <v>326</v>
      </c>
      <c r="H70" s="10" t="s">
        <v>233</v>
      </c>
      <c r="I70" s="10" t="s">
        <v>234</v>
      </c>
      <c r="J70" s="11" t="s">
        <v>229</v>
      </c>
      <c r="K70" s="12">
        <v>1</v>
      </c>
      <c r="L70" s="6"/>
    </row>
    <row r="71" spans="1:12" x14ac:dyDescent="0.25">
      <c r="A71" s="13" t="s">
        <v>371</v>
      </c>
      <c r="B71" s="14" t="s">
        <v>372</v>
      </c>
      <c r="C71" s="14" t="s">
        <v>263</v>
      </c>
      <c r="D71" s="14" t="s">
        <v>264</v>
      </c>
      <c r="E71" s="10" t="s">
        <v>5</v>
      </c>
      <c r="F71" s="14" t="s">
        <v>265</v>
      </c>
      <c r="G71" s="14" t="s">
        <v>263</v>
      </c>
      <c r="H71" s="10" t="s">
        <v>265</v>
      </c>
      <c r="I71" s="10" t="s">
        <v>263</v>
      </c>
      <c r="J71" s="15" t="s">
        <v>229</v>
      </c>
      <c r="K71" s="16">
        <v>1</v>
      </c>
      <c r="L71" s="6"/>
    </row>
    <row r="72" spans="1:12" x14ac:dyDescent="0.25">
      <c r="A72" s="8" t="s">
        <v>373</v>
      </c>
      <c r="B72" s="9" t="s">
        <v>374</v>
      </c>
      <c r="C72" s="9" t="s">
        <v>208</v>
      </c>
      <c r="D72" s="9" t="s">
        <v>287</v>
      </c>
      <c r="E72" s="10" t="s">
        <v>5</v>
      </c>
      <c r="F72" s="9" t="s">
        <v>265</v>
      </c>
      <c r="G72" s="9" t="s">
        <v>288</v>
      </c>
      <c r="H72" s="10" t="s">
        <v>265</v>
      </c>
      <c r="I72" s="10" t="s">
        <v>288</v>
      </c>
      <c r="J72" s="11" t="s">
        <v>229</v>
      </c>
      <c r="K72" s="12">
        <v>1</v>
      </c>
      <c r="L72" s="6"/>
    </row>
    <row r="73" spans="1:12" x14ac:dyDescent="0.25">
      <c r="A73" s="13" t="s">
        <v>375</v>
      </c>
      <c r="B73" s="14" t="s">
        <v>136</v>
      </c>
      <c r="C73" s="14" t="s">
        <v>136</v>
      </c>
      <c r="D73" s="14" t="s">
        <v>256</v>
      </c>
      <c r="E73" s="10" t="s">
        <v>5</v>
      </c>
      <c r="F73" s="14" t="s">
        <v>257</v>
      </c>
      <c r="G73" s="14" t="s">
        <v>25</v>
      </c>
      <c r="H73" s="10" t="s">
        <v>257</v>
      </c>
      <c r="I73" s="10" t="s">
        <v>25</v>
      </c>
      <c r="J73" s="15" t="s">
        <v>261</v>
      </c>
      <c r="K73" s="16">
        <v>1</v>
      </c>
      <c r="L73" s="6"/>
    </row>
    <row r="74" spans="1:12" x14ac:dyDescent="0.25">
      <c r="A74" s="8" t="s">
        <v>376</v>
      </c>
      <c r="B74" s="9" t="s">
        <v>377</v>
      </c>
      <c r="C74" s="9" t="s">
        <v>377</v>
      </c>
      <c r="D74" s="9" t="s">
        <v>238</v>
      </c>
      <c r="E74" s="10" t="s">
        <v>5</v>
      </c>
      <c r="F74" s="9" t="s">
        <v>228</v>
      </c>
      <c r="G74" s="9" t="s">
        <v>18</v>
      </c>
      <c r="H74" s="10" t="s">
        <v>228</v>
      </c>
      <c r="I74" s="10" t="s">
        <v>18</v>
      </c>
      <c r="J74" s="11" t="s">
        <v>378</v>
      </c>
      <c r="K74" s="12">
        <v>1</v>
      </c>
      <c r="L74" s="6"/>
    </row>
    <row r="75" spans="1:12" x14ac:dyDescent="0.25">
      <c r="A75" s="13" t="s">
        <v>379</v>
      </c>
      <c r="B75" s="14" t="s">
        <v>380</v>
      </c>
      <c r="C75" s="14" t="s">
        <v>380</v>
      </c>
      <c r="D75" s="14" t="s">
        <v>227</v>
      </c>
      <c r="E75" s="10" t="s">
        <v>5</v>
      </c>
      <c r="F75" s="14" t="s">
        <v>228</v>
      </c>
      <c r="G75" s="14" t="s">
        <v>8</v>
      </c>
      <c r="H75" s="10" t="s">
        <v>228</v>
      </c>
      <c r="I75" s="10" t="s">
        <v>8</v>
      </c>
      <c r="J75" s="15" t="s">
        <v>381</v>
      </c>
      <c r="K75" s="16">
        <v>1</v>
      </c>
      <c r="L75" s="6"/>
    </row>
    <row r="76" spans="1:12" x14ac:dyDescent="0.25">
      <c r="A76" s="8" t="s">
        <v>382</v>
      </c>
      <c r="B76" s="9" t="s">
        <v>383</v>
      </c>
      <c r="C76" s="9" t="s">
        <v>383</v>
      </c>
      <c r="D76" s="9" t="s">
        <v>384</v>
      </c>
      <c r="E76" s="10" t="s">
        <v>5</v>
      </c>
      <c r="F76" s="9" t="s">
        <v>385</v>
      </c>
      <c r="G76" s="9" t="s">
        <v>383</v>
      </c>
      <c r="H76" s="10" t="s">
        <v>385</v>
      </c>
      <c r="I76" s="10" t="s">
        <v>383</v>
      </c>
      <c r="J76" s="11" t="s">
        <v>229</v>
      </c>
      <c r="K76" s="12">
        <v>1</v>
      </c>
      <c r="L76" s="6"/>
    </row>
    <row r="77" spans="1:12" x14ac:dyDescent="0.25">
      <c r="A77" s="13" t="s">
        <v>386</v>
      </c>
      <c r="B77" s="14" t="s">
        <v>199</v>
      </c>
      <c r="C77" s="14" t="s">
        <v>199</v>
      </c>
      <c r="D77" s="14" t="s">
        <v>294</v>
      </c>
      <c r="E77" s="10" t="s">
        <v>5</v>
      </c>
      <c r="F77" s="14" t="s">
        <v>295</v>
      </c>
      <c r="G77" s="14" t="s">
        <v>199</v>
      </c>
      <c r="H77" s="10" t="s">
        <v>295</v>
      </c>
      <c r="I77" s="10" t="s">
        <v>199</v>
      </c>
      <c r="J77" s="15" t="s">
        <v>229</v>
      </c>
      <c r="K77" s="16">
        <v>1</v>
      </c>
      <c r="L77" s="6"/>
    </row>
    <row r="78" spans="1:12" x14ac:dyDescent="0.25">
      <c r="A78" s="8" t="s">
        <v>387</v>
      </c>
      <c r="B78" s="9" t="s">
        <v>388</v>
      </c>
      <c r="C78" s="9" t="s">
        <v>388</v>
      </c>
      <c r="D78" s="9" t="s">
        <v>322</v>
      </c>
      <c r="E78" s="10" t="s">
        <v>5</v>
      </c>
      <c r="F78" s="9" t="s">
        <v>233</v>
      </c>
      <c r="G78" s="9" t="s">
        <v>388</v>
      </c>
      <c r="H78" s="10" t="s">
        <v>233</v>
      </c>
      <c r="I78" s="10" t="s">
        <v>388</v>
      </c>
      <c r="J78" s="11" t="s">
        <v>229</v>
      </c>
      <c r="K78" s="12">
        <v>1</v>
      </c>
      <c r="L78" s="6"/>
    </row>
    <row r="79" spans="1:12" x14ac:dyDescent="0.25">
      <c r="A79" s="13" t="s">
        <v>389</v>
      </c>
      <c r="B79" s="14" t="s">
        <v>390</v>
      </c>
      <c r="C79" s="14" t="s">
        <v>390</v>
      </c>
      <c r="D79" s="14" t="s">
        <v>277</v>
      </c>
      <c r="E79" s="10" t="s">
        <v>5</v>
      </c>
      <c r="F79" s="14" t="s">
        <v>273</v>
      </c>
      <c r="G79" s="14" t="s">
        <v>38</v>
      </c>
      <c r="H79" s="10" t="s">
        <v>273</v>
      </c>
      <c r="I79" s="10" t="s">
        <v>38</v>
      </c>
      <c r="J79" s="15" t="s">
        <v>261</v>
      </c>
      <c r="K79" s="16">
        <v>1</v>
      </c>
      <c r="L79" s="6"/>
    </row>
    <row r="80" spans="1:12" x14ac:dyDescent="0.25">
      <c r="A80" s="8" t="s">
        <v>391</v>
      </c>
      <c r="B80" s="9" t="s">
        <v>392</v>
      </c>
      <c r="C80" s="9" t="s">
        <v>42</v>
      </c>
      <c r="D80" s="9" t="s">
        <v>238</v>
      </c>
      <c r="E80" s="10" t="s">
        <v>5</v>
      </c>
      <c r="F80" s="9" t="s">
        <v>228</v>
      </c>
      <c r="G80" s="9" t="s">
        <v>42</v>
      </c>
      <c r="H80" s="10" t="s">
        <v>228</v>
      </c>
      <c r="I80" s="10" t="s">
        <v>42</v>
      </c>
      <c r="J80" s="11" t="s">
        <v>229</v>
      </c>
      <c r="K80" s="12">
        <v>1</v>
      </c>
      <c r="L80" s="6"/>
    </row>
    <row r="81" spans="1:12" x14ac:dyDescent="0.25">
      <c r="A81" s="13" t="s">
        <v>393</v>
      </c>
      <c r="B81" s="14" t="s">
        <v>394</v>
      </c>
      <c r="C81" s="14" t="s">
        <v>37</v>
      </c>
      <c r="D81" s="14" t="s">
        <v>294</v>
      </c>
      <c r="E81" s="10" t="s">
        <v>5</v>
      </c>
      <c r="F81" s="14" t="s">
        <v>295</v>
      </c>
      <c r="G81" s="14" t="s">
        <v>296</v>
      </c>
      <c r="H81" s="10" t="s">
        <v>295</v>
      </c>
      <c r="I81" s="10" t="s">
        <v>37</v>
      </c>
      <c r="J81" s="15" t="s">
        <v>229</v>
      </c>
      <c r="K81" s="16">
        <v>1</v>
      </c>
      <c r="L81" s="6"/>
    </row>
    <row r="82" spans="1:12" x14ac:dyDescent="0.25">
      <c r="A82" s="8" t="s">
        <v>395</v>
      </c>
      <c r="B82" s="9" t="s">
        <v>396</v>
      </c>
      <c r="C82" s="9" t="s">
        <v>23</v>
      </c>
      <c r="D82" s="9" t="s">
        <v>245</v>
      </c>
      <c r="E82" s="10" t="s">
        <v>5</v>
      </c>
      <c r="F82" s="9" t="s">
        <v>246</v>
      </c>
      <c r="G82" s="9" t="s">
        <v>23</v>
      </c>
      <c r="H82" s="10" t="s">
        <v>246</v>
      </c>
      <c r="I82" s="10" t="s">
        <v>23</v>
      </c>
      <c r="J82" s="11" t="s">
        <v>229</v>
      </c>
      <c r="K82" s="12">
        <v>1</v>
      </c>
      <c r="L82" s="6"/>
    </row>
    <row r="83" spans="1:12" x14ac:dyDescent="0.25">
      <c r="A83" s="13" t="s">
        <v>397</v>
      </c>
      <c r="B83" s="14" t="s">
        <v>398</v>
      </c>
      <c r="C83" s="14" t="s">
        <v>208</v>
      </c>
      <c r="D83" s="14" t="s">
        <v>287</v>
      </c>
      <c r="E83" s="10" t="s">
        <v>5</v>
      </c>
      <c r="F83" s="14" t="s">
        <v>265</v>
      </c>
      <c r="G83" s="14" t="s">
        <v>288</v>
      </c>
      <c r="H83" s="10" t="s">
        <v>265</v>
      </c>
      <c r="I83" s="10" t="s">
        <v>288</v>
      </c>
      <c r="J83" s="15" t="s">
        <v>229</v>
      </c>
      <c r="K83" s="16">
        <v>1</v>
      </c>
      <c r="L83" s="6"/>
    </row>
    <row r="84" spans="1:12" x14ac:dyDescent="0.25">
      <c r="A84" s="8" t="s">
        <v>397</v>
      </c>
      <c r="B84" s="9" t="s">
        <v>399</v>
      </c>
      <c r="C84" s="9" t="s">
        <v>208</v>
      </c>
      <c r="D84" s="9" t="s">
        <v>287</v>
      </c>
      <c r="E84" s="10" t="s">
        <v>5</v>
      </c>
      <c r="F84" s="9" t="s">
        <v>265</v>
      </c>
      <c r="G84" s="9" t="s">
        <v>288</v>
      </c>
      <c r="H84" s="10" t="s">
        <v>265</v>
      </c>
      <c r="I84" s="10" t="s">
        <v>288</v>
      </c>
      <c r="J84" s="11" t="s">
        <v>229</v>
      </c>
      <c r="K84" s="12">
        <v>1</v>
      </c>
      <c r="L84" s="6"/>
    </row>
    <row r="85" spans="1:12" x14ac:dyDescent="0.25">
      <c r="A85" s="17" t="s">
        <v>400</v>
      </c>
      <c r="B85" s="18" t="s">
        <v>401</v>
      </c>
      <c r="C85" s="18" t="s">
        <v>37</v>
      </c>
      <c r="D85" s="18" t="s">
        <v>294</v>
      </c>
      <c r="E85" s="10" t="s">
        <v>5</v>
      </c>
      <c r="F85" s="18" t="s">
        <v>295</v>
      </c>
      <c r="G85" s="18" t="s">
        <v>394</v>
      </c>
      <c r="H85" s="10" t="s">
        <v>295</v>
      </c>
      <c r="I85" s="10" t="s">
        <v>37</v>
      </c>
      <c r="J85" s="19" t="s">
        <v>229</v>
      </c>
      <c r="K85" s="20">
        <v>1</v>
      </c>
      <c r="L85" s="6" t="s">
        <v>296</v>
      </c>
    </row>
    <row r="86" spans="1:12" x14ac:dyDescent="0.25">
      <c r="A86" s="8" t="s">
        <v>402</v>
      </c>
      <c r="B86" s="9" t="s">
        <v>403</v>
      </c>
      <c r="C86" s="9" t="s">
        <v>185</v>
      </c>
      <c r="D86" s="9" t="s">
        <v>232</v>
      </c>
      <c r="E86" s="10" t="s">
        <v>5</v>
      </c>
      <c r="F86" s="9" t="s">
        <v>233</v>
      </c>
      <c r="G86" s="9" t="s">
        <v>234</v>
      </c>
      <c r="H86" s="10" t="s">
        <v>233</v>
      </c>
      <c r="I86" s="10" t="s">
        <v>234</v>
      </c>
      <c r="J86" s="11" t="s">
        <v>229</v>
      </c>
      <c r="K86" s="12">
        <v>1</v>
      </c>
      <c r="L86" s="6"/>
    </row>
    <row r="87" spans="1:12" x14ac:dyDescent="0.25">
      <c r="A87" s="13" t="s">
        <v>404</v>
      </c>
      <c r="B87" s="14" t="s">
        <v>10</v>
      </c>
      <c r="C87" s="14" t="s">
        <v>10</v>
      </c>
      <c r="D87" s="14" t="s">
        <v>227</v>
      </c>
      <c r="E87" s="10" t="s">
        <v>5</v>
      </c>
      <c r="F87" s="14" t="s">
        <v>228</v>
      </c>
      <c r="G87" s="14" t="s">
        <v>10</v>
      </c>
      <c r="H87" s="10" t="s">
        <v>228</v>
      </c>
      <c r="I87" s="10" t="s">
        <v>10</v>
      </c>
      <c r="J87" s="15" t="s">
        <v>229</v>
      </c>
      <c r="K87" s="16">
        <v>1</v>
      </c>
      <c r="L87" s="6"/>
    </row>
    <row r="88" spans="1:12" x14ac:dyDescent="0.25">
      <c r="A88" s="8" t="s">
        <v>405</v>
      </c>
      <c r="B88" s="9" t="s">
        <v>406</v>
      </c>
      <c r="C88" s="9" t="s">
        <v>406</v>
      </c>
      <c r="D88" s="9" t="s">
        <v>294</v>
      </c>
      <c r="E88" s="10" t="s">
        <v>5</v>
      </c>
      <c r="F88" s="9" t="s">
        <v>295</v>
      </c>
      <c r="G88" s="9" t="s">
        <v>199</v>
      </c>
      <c r="H88" s="10" t="s">
        <v>295</v>
      </c>
      <c r="I88" s="10" t="s">
        <v>199</v>
      </c>
      <c r="J88" s="11" t="s">
        <v>261</v>
      </c>
      <c r="K88" s="12">
        <v>1</v>
      </c>
      <c r="L88" s="6"/>
    </row>
    <row r="89" spans="1:12" x14ac:dyDescent="0.25">
      <c r="A89" s="13" t="s">
        <v>407</v>
      </c>
      <c r="B89" s="14" t="s">
        <v>408</v>
      </c>
      <c r="C89" s="14" t="s">
        <v>408</v>
      </c>
      <c r="D89" s="14" t="s">
        <v>384</v>
      </c>
      <c r="E89" s="10" t="s">
        <v>5</v>
      </c>
      <c r="F89" s="14" t="s">
        <v>385</v>
      </c>
      <c r="G89" s="14" t="s">
        <v>408</v>
      </c>
      <c r="H89" s="10" t="s">
        <v>385</v>
      </c>
      <c r="I89" s="10" t="s">
        <v>408</v>
      </c>
      <c r="J89" s="15" t="s">
        <v>229</v>
      </c>
      <c r="K89" s="16">
        <v>1</v>
      </c>
      <c r="L89" s="6"/>
    </row>
    <row r="90" spans="1:12" x14ac:dyDescent="0.25">
      <c r="A90" s="8" t="s">
        <v>409</v>
      </c>
      <c r="B90" s="9" t="s">
        <v>410</v>
      </c>
      <c r="C90" s="9" t="s">
        <v>290</v>
      </c>
      <c r="D90" s="9" t="s">
        <v>287</v>
      </c>
      <c r="E90" s="10" t="s">
        <v>5</v>
      </c>
      <c r="F90" s="9" t="s">
        <v>265</v>
      </c>
      <c r="G90" s="9" t="s">
        <v>290</v>
      </c>
      <c r="H90" s="10" t="s">
        <v>265</v>
      </c>
      <c r="I90" s="10" t="s">
        <v>290</v>
      </c>
      <c r="J90" s="11" t="s">
        <v>229</v>
      </c>
      <c r="K90" s="12">
        <v>1</v>
      </c>
      <c r="L90" s="6"/>
    </row>
    <row r="91" spans="1:12" x14ac:dyDescent="0.25">
      <c r="A91" s="13" t="s">
        <v>411</v>
      </c>
      <c r="B91" s="14" t="s">
        <v>412</v>
      </c>
      <c r="C91" s="14" t="s">
        <v>263</v>
      </c>
      <c r="D91" s="14" t="s">
        <v>264</v>
      </c>
      <c r="E91" s="10" t="s">
        <v>5</v>
      </c>
      <c r="F91" s="14" t="s">
        <v>265</v>
      </c>
      <c r="G91" s="14" t="s">
        <v>263</v>
      </c>
      <c r="H91" s="10" t="s">
        <v>265</v>
      </c>
      <c r="I91" s="10" t="s">
        <v>263</v>
      </c>
      <c r="J91" s="15" t="s">
        <v>229</v>
      </c>
      <c r="K91" s="16">
        <v>1</v>
      </c>
      <c r="L91" s="6"/>
    </row>
    <row r="92" spans="1:12" x14ac:dyDescent="0.25">
      <c r="A92" s="8" t="s">
        <v>413</v>
      </c>
      <c r="B92" s="9" t="s">
        <v>414</v>
      </c>
      <c r="C92" s="9" t="s">
        <v>263</v>
      </c>
      <c r="D92" s="9" t="s">
        <v>264</v>
      </c>
      <c r="E92" s="10" t="s">
        <v>5</v>
      </c>
      <c r="F92" s="9" t="s">
        <v>265</v>
      </c>
      <c r="G92" s="9" t="s">
        <v>263</v>
      </c>
      <c r="H92" s="10" t="s">
        <v>265</v>
      </c>
      <c r="I92" s="10" t="s">
        <v>263</v>
      </c>
      <c r="J92" s="11" t="s">
        <v>229</v>
      </c>
      <c r="K92" s="12">
        <v>1</v>
      </c>
      <c r="L92" s="6"/>
    </row>
    <row r="93" spans="1:12" x14ac:dyDescent="0.25">
      <c r="A93" s="13" t="s">
        <v>415</v>
      </c>
      <c r="B93" s="14" t="s">
        <v>416</v>
      </c>
      <c r="C93" s="14" t="s">
        <v>8</v>
      </c>
      <c r="D93" s="14" t="s">
        <v>227</v>
      </c>
      <c r="E93" s="10" t="s">
        <v>5</v>
      </c>
      <c r="F93" s="14" t="s">
        <v>228</v>
      </c>
      <c r="G93" s="14" t="s">
        <v>8</v>
      </c>
      <c r="H93" s="10" t="s">
        <v>228</v>
      </c>
      <c r="I93" s="10" t="s">
        <v>8</v>
      </c>
      <c r="J93" s="15" t="s">
        <v>229</v>
      </c>
      <c r="K93" s="16">
        <v>1</v>
      </c>
      <c r="L93" s="6"/>
    </row>
    <row r="94" spans="1:12" x14ac:dyDescent="0.25">
      <c r="A94" s="8" t="s">
        <v>417</v>
      </c>
      <c r="B94" s="9" t="s">
        <v>418</v>
      </c>
      <c r="C94" s="9" t="s">
        <v>185</v>
      </c>
      <c r="D94" s="9" t="s">
        <v>232</v>
      </c>
      <c r="E94" s="10" t="s">
        <v>5</v>
      </c>
      <c r="F94" s="9" t="s">
        <v>233</v>
      </c>
      <c r="G94" s="9" t="s">
        <v>234</v>
      </c>
      <c r="H94" s="10" t="s">
        <v>233</v>
      </c>
      <c r="I94" s="10" t="s">
        <v>234</v>
      </c>
      <c r="J94" s="11" t="s">
        <v>229</v>
      </c>
      <c r="K94" s="12">
        <v>1</v>
      </c>
      <c r="L94" s="6"/>
    </row>
    <row r="95" spans="1:12" x14ac:dyDescent="0.25">
      <c r="A95" s="13" t="s">
        <v>419</v>
      </c>
      <c r="B95" s="14" t="s">
        <v>420</v>
      </c>
      <c r="C95" s="14" t="s">
        <v>18</v>
      </c>
      <c r="D95" s="14" t="s">
        <v>238</v>
      </c>
      <c r="E95" s="10" t="s">
        <v>5</v>
      </c>
      <c r="F95" s="14" t="s">
        <v>228</v>
      </c>
      <c r="G95" s="14" t="s">
        <v>18</v>
      </c>
      <c r="H95" s="10" t="s">
        <v>228</v>
      </c>
      <c r="I95" s="10" t="s">
        <v>18</v>
      </c>
      <c r="J95" s="15" t="s">
        <v>229</v>
      </c>
      <c r="K95" s="16">
        <v>1</v>
      </c>
      <c r="L95" s="6"/>
    </row>
    <row r="96" spans="1:12" x14ac:dyDescent="0.25">
      <c r="A96" s="8" t="s">
        <v>421</v>
      </c>
      <c r="B96" s="9" t="s">
        <v>422</v>
      </c>
      <c r="C96" s="9" t="s">
        <v>19</v>
      </c>
      <c r="D96" s="9" t="s">
        <v>238</v>
      </c>
      <c r="E96" s="10" t="s">
        <v>5</v>
      </c>
      <c r="F96" s="9" t="s">
        <v>228</v>
      </c>
      <c r="G96" s="9" t="s">
        <v>19</v>
      </c>
      <c r="H96" s="10" t="s">
        <v>228</v>
      </c>
      <c r="I96" s="10" t="s">
        <v>19</v>
      </c>
      <c r="J96" s="11" t="s">
        <v>229</v>
      </c>
      <c r="K96" s="12">
        <v>1</v>
      </c>
      <c r="L96" s="6"/>
    </row>
    <row r="97" spans="1:12" x14ac:dyDescent="0.25">
      <c r="A97" s="13" t="s">
        <v>423</v>
      </c>
      <c r="B97" s="14" t="s">
        <v>424</v>
      </c>
      <c r="C97" s="14" t="s">
        <v>244</v>
      </c>
      <c r="D97" s="14" t="s">
        <v>245</v>
      </c>
      <c r="E97" s="10" t="s">
        <v>5</v>
      </c>
      <c r="F97" s="14" t="s">
        <v>246</v>
      </c>
      <c r="G97" s="14" t="s">
        <v>244</v>
      </c>
      <c r="H97" s="10" t="s">
        <v>246</v>
      </c>
      <c r="I97" s="10" t="s">
        <v>244</v>
      </c>
      <c r="J97" s="15" t="s">
        <v>229</v>
      </c>
      <c r="K97" s="16">
        <v>1</v>
      </c>
      <c r="L97" s="6"/>
    </row>
    <row r="98" spans="1:12" x14ac:dyDescent="0.25">
      <c r="A98" s="8" t="s">
        <v>425</v>
      </c>
      <c r="B98" s="9" t="s">
        <v>426</v>
      </c>
      <c r="C98" s="9" t="s">
        <v>23</v>
      </c>
      <c r="D98" s="9" t="s">
        <v>245</v>
      </c>
      <c r="E98" s="10" t="s">
        <v>5</v>
      </c>
      <c r="F98" s="9" t="s">
        <v>246</v>
      </c>
      <c r="G98" s="9" t="s">
        <v>23</v>
      </c>
      <c r="H98" s="10" t="s">
        <v>246</v>
      </c>
      <c r="I98" s="10" t="s">
        <v>23</v>
      </c>
      <c r="J98" s="11" t="s">
        <v>229</v>
      </c>
      <c r="K98" s="12">
        <v>1</v>
      </c>
      <c r="L98" s="6"/>
    </row>
    <row r="99" spans="1:12" x14ac:dyDescent="0.25">
      <c r="A99" s="13" t="s">
        <v>427</v>
      </c>
      <c r="B99" s="14" t="s">
        <v>428</v>
      </c>
      <c r="C99" s="14" t="s">
        <v>24</v>
      </c>
      <c r="D99" s="14" t="s">
        <v>251</v>
      </c>
      <c r="E99" s="10" t="s">
        <v>5</v>
      </c>
      <c r="F99" s="14" t="s">
        <v>252</v>
      </c>
      <c r="G99" s="14" t="s">
        <v>24</v>
      </c>
      <c r="H99" s="10" t="s">
        <v>252</v>
      </c>
      <c r="I99" s="10" t="s">
        <v>24</v>
      </c>
      <c r="J99" s="15" t="s">
        <v>229</v>
      </c>
      <c r="K99" s="16">
        <v>1</v>
      </c>
      <c r="L99" s="6"/>
    </row>
    <row r="100" spans="1:12" x14ac:dyDescent="0.25">
      <c r="A100" s="8" t="s">
        <v>429</v>
      </c>
      <c r="B100" s="9" t="s">
        <v>430</v>
      </c>
      <c r="C100" s="9" t="s">
        <v>25</v>
      </c>
      <c r="D100" s="9" t="s">
        <v>256</v>
      </c>
      <c r="E100" s="10" t="s">
        <v>5</v>
      </c>
      <c r="F100" s="9" t="s">
        <v>257</v>
      </c>
      <c r="G100" s="9" t="s">
        <v>25</v>
      </c>
      <c r="H100" s="10" t="s">
        <v>257</v>
      </c>
      <c r="I100" s="10" t="s">
        <v>25</v>
      </c>
      <c r="J100" s="11" t="s">
        <v>229</v>
      </c>
      <c r="K100" s="12">
        <v>1</v>
      </c>
      <c r="L100" s="6"/>
    </row>
    <row r="101" spans="1:12" x14ac:dyDescent="0.25">
      <c r="A101" s="13" t="s">
        <v>431</v>
      </c>
      <c r="B101" s="14" t="s">
        <v>432</v>
      </c>
      <c r="C101" s="14" t="s">
        <v>263</v>
      </c>
      <c r="D101" s="14" t="s">
        <v>264</v>
      </c>
      <c r="E101" s="10" t="s">
        <v>5</v>
      </c>
      <c r="F101" s="14" t="s">
        <v>265</v>
      </c>
      <c r="G101" s="14" t="s">
        <v>263</v>
      </c>
      <c r="H101" s="10" t="s">
        <v>265</v>
      </c>
      <c r="I101" s="10" t="s">
        <v>263</v>
      </c>
      <c r="J101" s="15" t="s">
        <v>229</v>
      </c>
      <c r="K101" s="16">
        <v>1</v>
      </c>
      <c r="L101" s="6"/>
    </row>
    <row r="102" spans="1:12" x14ac:dyDescent="0.25">
      <c r="A102" s="8" t="s">
        <v>433</v>
      </c>
      <c r="B102" s="9" t="s">
        <v>434</v>
      </c>
      <c r="C102" s="9" t="s">
        <v>267</v>
      </c>
      <c r="D102" s="9" t="s">
        <v>245</v>
      </c>
      <c r="E102" s="10" t="s">
        <v>5</v>
      </c>
      <c r="F102" s="9" t="s">
        <v>246</v>
      </c>
      <c r="G102" s="9" t="s">
        <v>268</v>
      </c>
      <c r="H102" s="10" t="s">
        <v>246</v>
      </c>
      <c r="I102" s="10" t="s">
        <v>269</v>
      </c>
      <c r="J102" s="11" t="s">
        <v>229</v>
      </c>
      <c r="K102" s="12">
        <v>1</v>
      </c>
      <c r="L102" s="6"/>
    </row>
    <row r="103" spans="1:12" x14ac:dyDescent="0.25">
      <c r="A103" s="13" t="s">
        <v>435</v>
      </c>
      <c r="B103" s="14" t="s">
        <v>436</v>
      </c>
      <c r="C103" s="14" t="s">
        <v>30</v>
      </c>
      <c r="D103" s="14" t="s">
        <v>256</v>
      </c>
      <c r="E103" s="10" t="s">
        <v>5</v>
      </c>
      <c r="F103" s="14" t="s">
        <v>257</v>
      </c>
      <c r="G103" s="14" t="s">
        <v>30</v>
      </c>
      <c r="H103" s="10" t="s">
        <v>257</v>
      </c>
      <c r="I103" s="10" t="s">
        <v>30</v>
      </c>
      <c r="J103" s="15" t="s">
        <v>229</v>
      </c>
      <c r="K103" s="16">
        <v>1</v>
      </c>
      <c r="L103" s="6"/>
    </row>
    <row r="104" spans="1:12" x14ac:dyDescent="0.25">
      <c r="A104" s="8" t="s">
        <v>437</v>
      </c>
      <c r="B104" s="9" t="s">
        <v>438</v>
      </c>
      <c r="C104" s="9" t="s">
        <v>32</v>
      </c>
      <c r="D104" s="9" t="s">
        <v>272</v>
      </c>
      <c r="E104" s="10" t="s">
        <v>5</v>
      </c>
      <c r="F104" s="9" t="s">
        <v>273</v>
      </c>
      <c r="G104" s="9" t="s">
        <v>32</v>
      </c>
      <c r="H104" s="10" t="s">
        <v>273</v>
      </c>
      <c r="I104" s="10" t="s">
        <v>32</v>
      </c>
      <c r="J104" s="11" t="s">
        <v>229</v>
      </c>
      <c r="K104" s="12">
        <v>1</v>
      </c>
      <c r="L104" s="6"/>
    </row>
    <row r="105" spans="1:12" x14ac:dyDescent="0.25">
      <c r="A105" s="13" t="s">
        <v>439</v>
      </c>
      <c r="B105" s="14" t="s">
        <v>440</v>
      </c>
      <c r="C105" s="14" t="s">
        <v>33</v>
      </c>
      <c r="D105" s="14" t="s">
        <v>277</v>
      </c>
      <c r="E105" s="10" t="s">
        <v>5</v>
      </c>
      <c r="F105" s="14" t="s">
        <v>273</v>
      </c>
      <c r="G105" s="14" t="s">
        <v>33</v>
      </c>
      <c r="H105" s="10" t="s">
        <v>273</v>
      </c>
      <c r="I105" s="10" t="s">
        <v>33</v>
      </c>
      <c r="J105" s="15" t="s">
        <v>229</v>
      </c>
      <c r="K105" s="16">
        <v>1</v>
      </c>
      <c r="L105" s="6"/>
    </row>
    <row r="106" spans="1:12" x14ac:dyDescent="0.25">
      <c r="A106" s="8" t="s">
        <v>441</v>
      </c>
      <c r="B106" s="9" t="s">
        <v>442</v>
      </c>
      <c r="C106" s="9" t="s">
        <v>34</v>
      </c>
      <c r="D106" s="9" t="s">
        <v>260</v>
      </c>
      <c r="E106" s="10" t="s">
        <v>5</v>
      </c>
      <c r="F106" s="9" t="s">
        <v>252</v>
      </c>
      <c r="G106" s="9" t="s">
        <v>34</v>
      </c>
      <c r="H106" s="10" t="s">
        <v>252</v>
      </c>
      <c r="I106" s="10" t="s">
        <v>34</v>
      </c>
      <c r="J106" s="11" t="s">
        <v>229</v>
      </c>
      <c r="K106" s="12">
        <v>1</v>
      </c>
      <c r="L106" s="6"/>
    </row>
    <row r="107" spans="1:12" x14ac:dyDescent="0.25">
      <c r="A107" s="13" t="s">
        <v>443</v>
      </c>
      <c r="B107" s="14" t="s">
        <v>444</v>
      </c>
      <c r="C107" s="14" t="s">
        <v>31</v>
      </c>
      <c r="D107" s="14" t="s">
        <v>251</v>
      </c>
      <c r="E107" s="10" t="s">
        <v>5</v>
      </c>
      <c r="F107" s="14" t="s">
        <v>252</v>
      </c>
      <c r="G107" s="14" t="s">
        <v>31</v>
      </c>
      <c r="H107" s="10" t="s">
        <v>252</v>
      </c>
      <c r="I107" s="10" t="s">
        <v>31</v>
      </c>
      <c r="J107" s="15" t="s">
        <v>229</v>
      </c>
      <c r="K107" s="16">
        <v>1</v>
      </c>
      <c r="L107" s="6"/>
    </row>
    <row r="108" spans="1:12" x14ac:dyDescent="0.25">
      <c r="A108" s="8" t="s">
        <v>445</v>
      </c>
      <c r="B108" s="9" t="s">
        <v>446</v>
      </c>
      <c r="C108" s="9" t="s">
        <v>35</v>
      </c>
      <c r="D108" s="9" t="s">
        <v>260</v>
      </c>
      <c r="E108" s="10" t="s">
        <v>5</v>
      </c>
      <c r="F108" s="9" t="s">
        <v>252</v>
      </c>
      <c r="G108" s="9" t="s">
        <v>34</v>
      </c>
      <c r="H108" s="10" t="s">
        <v>252</v>
      </c>
      <c r="I108" s="10" t="s">
        <v>34</v>
      </c>
      <c r="J108" s="11" t="s">
        <v>261</v>
      </c>
      <c r="K108" s="12">
        <v>1</v>
      </c>
      <c r="L108" s="6"/>
    </row>
    <row r="109" spans="1:12" x14ac:dyDescent="0.25">
      <c r="A109" s="13" t="s">
        <v>447</v>
      </c>
      <c r="B109" s="14" t="s">
        <v>448</v>
      </c>
      <c r="C109" s="14" t="s">
        <v>36</v>
      </c>
      <c r="D109" s="14" t="s">
        <v>260</v>
      </c>
      <c r="E109" s="10" t="s">
        <v>5</v>
      </c>
      <c r="F109" s="14" t="s">
        <v>252</v>
      </c>
      <c r="G109" s="14" t="s">
        <v>36</v>
      </c>
      <c r="H109" s="10" t="s">
        <v>252</v>
      </c>
      <c r="I109" s="10" t="s">
        <v>36</v>
      </c>
      <c r="J109" s="15" t="s">
        <v>229</v>
      </c>
      <c r="K109" s="16">
        <v>1</v>
      </c>
      <c r="L109" s="6"/>
    </row>
    <row r="110" spans="1:12" x14ac:dyDescent="0.25">
      <c r="A110" s="8" t="s">
        <v>449</v>
      </c>
      <c r="B110" s="9" t="s">
        <v>450</v>
      </c>
      <c r="C110" s="9" t="s">
        <v>283</v>
      </c>
      <c r="D110" s="9" t="s">
        <v>272</v>
      </c>
      <c r="E110" s="10" t="s">
        <v>5</v>
      </c>
      <c r="F110" s="9" t="s">
        <v>273</v>
      </c>
      <c r="G110" s="9" t="s">
        <v>32</v>
      </c>
      <c r="H110" s="10" t="s">
        <v>273</v>
      </c>
      <c r="I110" s="10" t="s">
        <v>32</v>
      </c>
      <c r="J110" s="11" t="s">
        <v>261</v>
      </c>
      <c r="K110" s="12">
        <v>1</v>
      </c>
      <c r="L110" s="6"/>
    </row>
    <row r="111" spans="1:12" x14ac:dyDescent="0.25">
      <c r="A111" s="13" t="s">
        <v>451</v>
      </c>
      <c r="B111" s="14" t="s">
        <v>452</v>
      </c>
      <c r="C111" s="14" t="s">
        <v>208</v>
      </c>
      <c r="D111" s="14" t="s">
        <v>287</v>
      </c>
      <c r="E111" s="10" t="s">
        <v>5</v>
      </c>
      <c r="F111" s="14" t="s">
        <v>265</v>
      </c>
      <c r="G111" s="14" t="s">
        <v>288</v>
      </c>
      <c r="H111" s="10" t="s">
        <v>265</v>
      </c>
      <c r="I111" s="10" t="s">
        <v>288</v>
      </c>
      <c r="J111" s="15" t="s">
        <v>229</v>
      </c>
      <c r="K111" s="16">
        <v>1</v>
      </c>
      <c r="L111" s="6"/>
    </row>
    <row r="112" spans="1:12" x14ac:dyDescent="0.25">
      <c r="A112" s="8" t="s">
        <v>453</v>
      </c>
      <c r="B112" s="9" t="s">
        <v>454</v>
      </c>
      <c r="C112" s="9" t="s">
        <v>290</v>
      </c>
      <c r="D112" s="9" t="s">
        <v>287</v>
      </c>
      <c r="E112" s="10" t="s">
        <v>5</v>
      </c>
      <c r="F112" s="9" t="s">
        <v>265</v>
      </c>
      <c r="G112" s="9" t="s">
        <v>290</v>
      </c>
      <c r="H112" s="10" t="s">
        <v>265</v>
      </c>
      <c r="I112" s="10" t="s">
        <v>290</v>
      </c>
      <c r="J112" s="11" t="s">
        <v>229</v>
      </c>
      <c r="K112" s="12">
        <v>1</v>
      </c>
      <c r="L112" s="6"/>
    </row>
    <row r="113" spans="1:12" x14ac:dyDescent="0.25">
      <c r="A113" s="13" t="s">
        <v>455</v>
      </c>
      <c r="B113" s="14" t="s">
        <v>456</v>
      </c>
      <c r="C113" s="14" t="s">
        <v>292</v>
      </c>
      <c r="D113" s="14" t="s">
        <v>256</v>
      </c>
      <c r="E113" s="10" t="s">
        <v>5</v>
      </c>
      <c r="F113" s="14" t="s">
        <v>257</v>
      </c>
      <c r="G113" s="14" t="s">
        <v>292</v>
      </c>
      <c r="H113" s="10" t="s">
        <v>257</v>
      </c>
      <c r="I113" s="10" t="s">
        <v>30</v>
      </c>
      <c r="J113" s="15" t="s">
        <v>229</v>
      </c>
      <c r="K113" s="16">
        <v>1</v>
      </c>
      <c r="L113" s="6"/>
    </row>
    <row r="114" spans="1:12" x14ac:dyDescent="0.25">
      <c r="A114" s="8" t="s">
        <v>457</v>
      </c>
      <c r="B114" s="9" t="s">
        <v>458</v>
      </c>
      <c r="C114" s="9" t="s">
        <v>37</v>
      </c>
      <c r="D114" s="9" t="s">
        <v>294</v>
      </c>
      <c r="E114" s="10" t="s">
        <v>5</v>
      </c>
      <c r="F114" s="9" t="s">
        <v>295</v>
      </c>
      <c r="G114" s="9" t="s">
        <v>296</v>
      </c>
      <c r="H114" s="10" t="s">
        <v>295</v>
      </c>
      <c r="I114" s="10" t="s">
        <v>37</v>
      </c>
      <c r="J114" s="11" t="s">
        <v>229</v>
      </c>
      <c r="K114" s="12">
        <v>1</v>
      </c>
      <c r="L114" s="6"/>
    </row>
    <row r="115" spans="1:12" x14ac:dyDescent="0.25">
      <c r="A115" s="13" t="s">
        <v>459</v>
      </c>
      <c r="B115" s="14" t="s">
        <v>460</v>
      </c>
      <c r="C115" s="14" t="s">
        <v>28</v>
      </c>
      <c r="D115" s="14" t="s">
        <v>245</v>
      </c>
      <c r="E115" s="10" t="s">
        <v>5</v>
      </c>
      <c r="F115" s="14" t="s">
        <v>246</v>
      </c>
      <c r="G115" s="14" t="s">
        <v>28</v>
      </c>
      <c r="H115" s="10" t="s">
        <v>246</v>
      </c>
      <c r="I115" s="10" t="s">
        <v>28</v>
      </c>
      <c r="J115" s="15" t="s">
        <v>229</v>
      </c>
      <c r="K115" s="16">
        <v>1</v>
      </c>
      <c r="L115" s="6"/>
    </row>
    <row r="116" spans="1:12" x14ac:dyDescent="0.25">
      <c r="A116" s="8" t="s">
        <v>461</v>
      </c>
      <c r="B116" s="9" t="s">
        <v>462</v>
      </c>
      <c r="C116" s="9" t="s">
        <v>303</v>
      </c>
      <c r="D116" s="9" t="s">
        <v>264</v>
      </c>
      <c r="E116" s="10" t="s">
        <v>5</v>
      </c>
      <c r="F116" s="9" t="s">
        <v>265</v>
      </c>
      <c r="G116" s="9" t="s">
        <v>263</v>
      </c>
      <c r="H116" s="10" t="s">
        <v>265</v>
      </c>
      <c r="I116" s="10" t="s">
        <v>263</v>
      </c>
      <c r="J116" s="11" t="s">
        <v>261</v>
      </c>
      <c r="K116" s="12">
        <v>1</v>
      </c>
      <c r="L116" s="6"/>
    </row>
    <row r="117" spans="1:12" x14ac:dyDescent="0.25">
      <c r="A117" s="13" t="s">
        <v>463</v>
      </c>
      <c r="B117" s="14" t="s">
        <v>464</v>
      </c>
      <c r="C117" s="14" t="s">
        <v>300</v>
      </c>
      <c r="D117" s="14" t="s">
        <v>264</v>
      </c>
      <c r="E117" s="10" t="s">
        <v>5</v>
      </c>
      <c r="F117" s="14" t="s">
        <v>265</v>
      </c>
      <c r="G117" s="9" t="s">
        <v>263</v>
      </c>
      <c r="H117" s="10" t="s">
        <v>265</v>
      </c>
      <c r="I117" s="10" t="s">
        <v>263</v>
      </c>
      <c r="J117" s="11" t="s">
        <v>261</v>
      </c>
      <c r="K117" s="16">
        <v>1</v>
      </c>
      <c r="L117" s="6"/>
    </row>
    <row r="118" spans="1:12" x14ac:dyDescent="0.25">
      <c r="A118" s="8" t="s">
        <v>465</v>
      </c>
      <c r="B118" s="9" t="s">
        <v>466</v>
      </c>
      <c r="C118" s="9" t="s">
        <v>39</v>
      </c>
      <c r="D118" s="9" t="s">
        <v>277</v>
      </c>
      <c r="E118" s="10" t="s">
        <v>5</v>
      </c>
      <c r="F118" s="9" t="s">
        <v>273</v>
      </c>
      <c r="G118" s="9" t="s">
        <v>307</v>
      </c>
      <c r="H118" s="10" t="s">
        <v>273</v>
      </c>
      <c r="I118" s="10" t="s">
        <v>307</v>
      </c>
      <c r="J118" s="11" t="s">
        <v>261</v>
      </c>
      <c r="K118" s="12">
        <v>1</v>
      </c>
      <c r="L118" s="6"/>
    </row>
    <row r="119" spans="1:12" x14ac:dyDescent="0.25">
      <c r="A119" s="13" t="s">
        <v>467</v>
      </c>
      <c r="B119" s="14" t="s">
        <v>468</v>
      </c>
      <c r="C119" s="14" t="s">
        <v>309</v>
      </c>
      <c r="D119" s="14" t="s">
        <v>256</v>
      </c>
      <c r="E119" s="10" t="s">
        <v>5</v>
      </c>
      <c r="F119" s="14" t="s">
        <v>257</v>
      </c>
      <c r="G119" s="14" t="s">
        <v>309</v>
      </c>
      <c r="H119" s="10" t="s">
        <v>257</v>
      </c>
      <c r="I119" s="10" t="s">
        <v>309</v>
      </c>
      <c r="J119" s="15" t="s">
        <v>229</v>
      </c>
      <c r="K119" s="16">
        <v>1</v>
      </c>
      <c r="L119" s="6"/>
    </row>
    <row r="120" spans="1:12" x14ac:dyDescent="0.25">
      <c r="A120" s="8" t="s">
        <v>469</v>
      </c>
      <c r="B120" s="9" t="s">
        <v>470</v>
      </c>
      <c r="C120" s="9" t="s">
        <v>136</v>
      </c>
      <c r="D120" s="9" t="s">
        <v>256</v>
      </c>
      <c r="E120" s="10" t="s">
        <v>5</v>
      </c>
      <c r="F120" s="9" t="s">
        <v>257</v>
      </c>
      <c r="G120" s="9" t="s">
        <v>25</v>
      </c>
      <c r="H120" s="10" t="s">
        <v>257</v>
      </c>
      <c r="I120" s="10" t="s">
        <v>25</v>
      </c>
      <c r="J120" s="11" t="s">
        <v>261</v>
      </c>
      <c r="K120" s="12">
        <v>1</v>
      </c>
      <c r="L120" s="6"/>
    </row>
    <row r="121" spans="1:12" x14ac:dyDescent="0.25">
      <c r="A121" s="13" t="s">
        <v>471</v>
      </c>
      <c r="B121" s="14" t="s">
        <v>472</v>
      </c>
      <c r="C121" s="14" t="s">
        <v>22</v>
      </c>
      <c r="D121" s="14" t="s">
        <v>245</v>
      </c>
      <c r="E121" s="10" t="s">
        <v>5</v>
      </c>
      <c r="F121" s="14" t="s">
        <v>246</v>
      </c>
      <c r="G121" s="14" t="s">
        <v>22</v>
      </c>
      <c r="H121" s="10" t="s">
        <v>246</v>
      </c>
      <c r="I121" s="10" t="s">
        <v>22</v>
      </c>
      <c r="J121" s="15" t="s">
        <v>229</v>
      </c>
      <c r="K121" s="16">
        <v>1</v>
      </c>
      <c r="L121" s="6"/>
    </row>
    <row r="122" spans="1:12" x14ac:dyDescent="0.25">
      <c r="A122" s="8" t="s">
        <v>473</v>
      </c>
      <c r="B122" s="9" t="s">
        <v>474</v>
      </c>
      <c r="C122" s="9" t="s">
        <v>317</v>
      </c>
      <c r="D122" s="9" t="s">
        <v>251</v>
      </c>
      <c r="E122" s="10" t="s">
        <v>5</v>
      </c>
      <c r="F122" s="9" t="s">
        <v>252</v>
      </c>
      <c r="G122" s="9" t="s">
        <v>34</v>
      </c>
      <c r="H122" s="10" t="s">
        <v>252</v>
      </c>
      <c r="I122" s="10" t="s">
        <v>34</v>
      </c>
      <c r="J122" s="11" t="s">
        <v>261</v>
      </c>
      <c r="K122" s="12">
        <v>1</v>
      </c>
      <c r="L122" s="6"/>
    </row>
    <row r="123" spans="1:12" x14ac:dyDescent="0.25">
      <c r="A123" s="13" t="s">
        <v>475</v>
      </c>
      <c r="B123" s="14" t="s">
        <v>476</v>
      </c>
      <c r="C123" s="14" t="s">
        <v>41</v>
      </c>
      <c r="D123" s="14" t="s">
        <v>322</v>
      </c>
      <c r="E123" s="10" t="s">
        <v>5</v>
      </c>
      <c r="F123" s="14" t="s">
        <v>233</v>
      </c>
      <c r="G123" s="14" t="s">
        <v>41</v>
      </c>
      <c r="H123" s="10" t="s">
        <v>233</v>
      </c>
      <c r="I123" s="10" t="s">
        <v>41</v>
      </c>
      <c r="J123" s="15" t="s">
        <v>229</v>
      </c>
      <c r="K123" s="16">
        <v>1</v>
      </c>
      <c r="L123" s="6"/>
    </row>
    <row r="124" spans="1:12" x14ac:dyDescent="0.25">
      <c r="A124" s="8" t="s">
        <v>477</v>
      </c>
      <c r="B124" s="9" t="s">
        <v>478</v>
      </c>
      <c r="C124" s="9" t="s">
        <v>42</v>
      </c>
      <c r="D124" s="9" t="s">
        <v>238</v>
      </c>
      <c r="E124" s="10" t="s">
        <v>5</v>
      </c>
      <c r="F124" s="9" t="s">
        <v>228</v>
      </c>
      <c r="G124" s="9" t="s">
        <v>42</v>
      </c>
      <c r="H124" s="10" t="s">
        <v>228</v>
      </c>
      <c r="I124" s="10" t="s">
        <v>42</v>
      </c>
      <c r="J124" s="11" t="s">
        <v>229</v>
      </c>
      <c r="K124" s="12">
        <v>1</v>
      </c>
      <c r="L124" s="6"/>
    </row>
    <row r="125" spans="1:12" x14ac:dyDescent="0.25">
      <c r="A125" s="13" t="s">
        <v>479</v>
      </c>
      <c r="B125" s="14" t="s">
        <v>480</v>
      </c>
      <c r="C125" s="14" t="s">
        <v>328</v>
      </c>
      <c r="D125" s="14" t="s">
        <v>260</v>
      </c>
      <c r="E125" s="10" t="s">
        <v>5</v>
      </c>
      <c r="F125" s="14" t="s">
        <v>252</v>
      </c>
      <c r="G125" s="14" t="s">
        <v>36</v>
      </c>
      <c r="H125" s="10" t="s">
        <v>252</v>
      </c>
      <c r="I125" s="10" t="s">
        <v>36</v>
      </c>
      <c r="J125" s="15" t="s">
        <v>261</v>
      </c>
      <c r="K125" s="16">
        <v>1</v>
      </c>
      <c r="L125" s="6"/>
    </row>
    <row r="126" spans="1:12" x14ac:dyDescent="0.25">
      <c r="A126" s="8" t="s">
        <v>481</v>
      </c>
      <c r="B126" s="9" t="s">
        <v>482</v>
      </c>
      <c r="C126" s="9" t="s">
        <v>38</v>
      </c>
      <c r="D126" s="9" t="s">
        <v>277</v>
      </c>
      <c r="E126" s="10" t="s">
        <v>5</v>
      </c>
      <c r="F126" s="9" t="s">
        <v>273</v>
      </c>
      <c r="G126" s="9" t="s">
        <v>38</v>
      </c>
      <c r="H126" s="10" t="s">
        <v>273</v>
      </c>
      <c r="I126" s="10" t="s">
        <v>38</v>
      </c>
      <c r="J126" s="11" t="s">
        <v>229</v>
      </c>
      <c r="K126" s="12">
        <v>1</v>
      </c>
      <c r="L126" s="6"/>
    </row>
    <row r="127" spans="1:12" x14ac:dyDescent="0.25">
      <c r="A127" s="13" t="s">
        <v>483</v>
      </c>
      <c r="B127" s="14" t="s">
        <v>484</v>
      </c>
      <c r="C127" s="14" t="s">
        <v>331</v>
      </c>
      <c r="D127" s="14" t="s">
        <v>245</v>
      </c>
      <c r="E127" s="10" t="s">
        <v>5</v>
      </c>
      <c r="F127" s="14" t="s">
        <v>246</v>
      </c>
      <c r="G127" s="14" t="s">
        <v>331</v>
      </c>
      <c r="H127" s="10" t="s">
        <v>246</v>
      </c>
      <c r="I127" s="10" t="s">
        <v>331</v>
      </c>
      <c r="J127" s="15" t="s">
        <v>229</v>
      </c>
      <c r="K127" s="16">
        <v>1</v>
      </c>
      <c r="L127" s="6"/>
    </row>
    <row r="128" spans="1:12" x14ac:dyDescent="0.25">
      <c r="A128" s="8" t="s">
        <v>485</v>
      </c>
      <c r="B128" s="9" t="s">
        <v>486</v>
      </c>
      <c r="C128" s="9" t="s">
        <v>43</v>
      </c>
      <c r="D128" s="9" t="s">
        <v>287</v>
      </c>
      <c r="E128" s="10" t="s">
        <v>5</v>
      </c>
      <c r="F128" s="9" t="s">
        <v>265</v>
      </c>
      <c r="G128" s="9" t="s">
        <v>43</v>
      </c>
      <c r="H128" s="10" t="s">
        <v>265</v>
      </c>
      <c r="I128" s="10" t="s">
        <v>43</v>
      </c>
      <c r="J128" s="11" t="s">
        <v>229</v>
      </c>
      <c r="K128" s="12">
        <v>1</v>
      </c>
      <c r="L128" s="6"/>
    </row>
    <row r="129" spans="1:12" x14ac:dyDescent="0.25">
      <c r="A129" s="13" t="s">
        <v>487</v>
      </c>
      <c r="B129" s="14" t="s">
        <v>488</v>
      </c>
      <c r="C129" s="14" t="s">
        <v>263</v>
      </c>
      <c r="D129" s="14" t="s">
        <v>264</v>
      </c>
      <c r="E129" s="10" t="s">
        <v>5</v>
      </c>
      <c r="F129" s="14" t="s">
        <v>265</v>
      </c>
      <c r="G129" s="14" t="s">
        <v>263</v>
      </c>
      <c r="H129" s="10" t="s">
        <v>265</v>
      </c>
      <c r="I129" s="10" t="s">
        <v>263</v>
      </c>
      <c r="J129" s="15" t="s">
        <v>229</v>
      </c>
      <c r="K129" s="16">
        <v>1</v>
      </c>
      <c r="L129" s="6"/>
    </row>
    <row r="130" spans="1:12" x14ac:dyDescent="0.25">
      <c r="A130" s="8" t="s">
        <v>489</v>
      </c>
      <c r="B130" s="9" t="s">
        <v>490</v>
      </c>
      <c r="C130" s="9" t="s">
        <v>36</v>
      </c>
      <c r="D130" s="9" t="s">
        <v>260</v>
      </c>
      <c r="E130" s="10" t="s">
        <v>5</v>
      </c>
      <c r="F130" s="9" t="s">
        <v>252</v>
      </c>
      <c r="G130" s="9" t="s">
        <v>36</v>
      </c>
      <c r="H130" s="10" t="s">
        <v>252</v>
      </c>
      <c r="I130" s="10" t="s">
        <v>36</v>
      </c>
      <c r="J130" s="11" t="s">
        <v>229</v>
      </c>
      <c r="K130" s="12">
        <v>1</v>
      </c>
      <c r="L130" s="6"/>
    </row>
    <row r="131" spans="1:12" x14ac:dyDescent="0.25">
      <c r="A131" s="13" t="s">
        <v>491</v>
      </c>
      <c r="B131" s="14" t="s">
        <v>492</v>
      </c>
      <c r="C131" s="14" t="s">
        <v>36</v>
      </c>
      <c r="D131" s="14" t="s">
        <v>260</v>
      </c>
      <c r="E131" s="10" t="s">
        <v>5</v>
      </c>
      <c r="F131" s="14" t="s">
        <v>252</v>
      </c>
      <c r="G131" s="14" t="s">
        <v>36</v>
      </c>
      <c r="H131" s="10" t="s">
        <v>252</v>
      </c>
      <c r="I131" s="10" t="s">
        <v>36</v>
      </c>
      <c r="J131" s="15" t="s">
        <v>229</v>
      </c>
      <c r="K131" s="16">
        <v>1</v>
      </c>
      <c r="L131" s="6"/>
    </row>
    <row r="132" spans="1:12" x14ac:dyDescent="0.25">
      <c r="A132" s="8" t="s">
        <v>493</v>
      </c>
      <c r="B132" s="9" t="s">
        <v>494</v>
      </c>
      <c r="C132" s="9" t="s">
        <v>346</v>
      </c>
      <c r="D132" s="9" t="s">
        <v>322</v>
      </c>
      <c r="E132" s="10" t="s">
        <v>5</v>
      </c>
      <c r="F132" s="9" t="s">
        <v>233</v>
      </c>
      <c r="G132" s="9" t="s">
        <v>346</v>
      </c>
      <c r="H132" s="10" t="s">
        <v>233</v>
      </c>
      <c r="I132" s="10" t="s">
        <v>346</v>
      </c>
      <c r="J132" s="11" t="s">
        <v>229</v>
      </c>
      <c r="K132" s="12">
        <v>1</v>
      </c>
      <c r="L132" s="6"/>
    </row>
    <row r="133" spans="1:12" x14ac:dyDescent="0.25">
      <c r="A133" s="13" t="s">
        <v>495</v>
      </c>
      <c r="B133" s="14" t="s">
        <v>496</v>
      </c>
      <c r="C133" s="14" t="s">
        <v>29</v>
      </c>
      <c r="D133" s="14" t="s">
        <v>245</v>
      </c>
      <c r="E133" s="10" t="s">
        <v>5</v>
      </c>
      <c r="F133" s="14" t="s">
        <v>246</v>
      </c>
      <c r="G133" s="14" t="s">
        <v>29</v>
      </c>
      <c r="H133" s="10" t="s">
        <v>246</v>
      </c>
      <c r="I133" s="10" t="s">
        <v>29</v>
      </c>
      <c r="J133" s="15" t="s">
        <v>229</v>
      </c>
      <c r="K133" s="16">
        <v>1</v>
      </c>
      <c r="L133" s="6"/>
    </row>
    <row r="134" spans="1:12" x14ac:dyDescent="0.25">
      <c r="A134" s="8" t="s">
        <v>497</v>
      </c>
      <c r="B134" s="9" t="s">
        <v>498</v>
      </c>
      <c r="C134" s="9" t="s">
        <v>176</v>
      </c>
      <c r="D134" s="9" t="s">
        <v>227</v>
      </c>
      <c r="E134" s="10" t="s">
        <v>5</v>
      </c>
      <c r="F134" s="9" t="s">
        <v>228</v>
      </c>
      <c r="G134" s="9" t="s">
        <v>176</v>
      </c>
      <c r="H134" s="10" t="s">
        <v>228</v>
      </c>
      <c r="I134" s="10" t="s">
        <v>176</v>
      </c>
      <c r="J134" s="11" t="s">
        <v>229</v>
      </c>
      <c r="K134" s="12">
        <v>1</v>
      </c>
      <c r="L134" s="6"/>
    </row>
    <row r="135" spans="1:12" x14ac:dyDescent="0.25">
      <c r="A135" s="13" t="s">
        <v>499</v>
      </c>
      <c r="B135" s="14" t="s">
        <v>500</v>
      </c>
      <c r="C135" s="14" t="s">
        <v>30</v>
      </c>
      <c r="D135" s="14" t="s">
        <v>256</v>
      </c>
      <c r="E135" s="10" t="s">
        <v>5</v>
      </c>
      <c r="F135" s="14" t="s">
        <v>257</v>
      </c>
      <c r="G135" s="14" t="s">
        <v>30</v>
      </c>
      <c r="H135" s="10" t="s">
        <v>257</v>
      </c>
      <c r="I135" s="10" t="s">
        <v>30</v>
      </c>
      <c r="J135" s="15" t="s">
        <v>229</v>
      </c>
      <c r="K135" s="16">
        <v>1</v>
      </c>
      <c r="L135" s="6"/>
    </row>
    <row r="136" spans="1:12" x14ac:dyDescent="0.25">
      <c r="A136" s="8" t="s">
        <v>501</v>
      </c>
      <c r="B136" s="9" t="s">
        <v>502</v>
      </c>
      <c r="C136" s="9" t="s">
        <v>26</v>
      </c>
      <c r="D136" s="9" t="s">
        <v>251</v>
      </c>
      <c r="E136" s="10" t="s">
        <v>5</v>
      </c>
      <c r="F136" s="9" t="s">
        <v>252</v>
      </c>
      <c r="G136" s="9" t="s">
        <v>24</v>
      </c>
      <c r="H136" s="10" t="s">
        <v>252</v>
      </c>
      <c r="I136" s="10" t="s">
        <v>24</v>
      </c>
      <c r="J136" s="11" t="s">
        <v>261</v>
      </c>
      <c r="K136" s="12">
        <v>1</v>
      </c>
      <c r="L136" s="6"/>
    </row>
    <row r="137" spans="1:12" x14ac:dyDescent="0.25">
      <c r="A137" s="13" t="s">
        <v>503</v>
      </c>
      <c r="B137" s="14" t="s">
        <v>504</v>
      </c>
      <c r="C137" s="14" t="s">
        <v>173</v>
      </c>
      <c r="D137" s="14" t="s">
        <v>227</v>
      </c>
      <c r="E137" s="10" t="s">
        <v>5</v>
      </c>
      <c r="F137" s="14" t="s">
        <v>228</v>
      </c>
      <c r="G137" s="14" t="s">
        <v>173</v>
      </c>
      <c r="H137" s="10" t="s">
        <v>228</v>
      </c>
      <c r="I137" s="10" t="s">
        <v>173</v>
      </c>
      <c r="J137" s="15" t="s">
        <v>229</v>
      </c>
      <c r="K137" s="16">
        <v>1</v>
      </c>
      <c r="L137" s="6"/>
    </row>
    <row r="138" spans="1:12" x14ac:dyDescent="0.25">
      <c r="A138" s="8" t="s">
        <v>505</v>
      </c>
      <c r="B138" s="9" t="s">
        <v>506</v>
      </c>
      <c r="C138" s="9" t="s">
        <v>208</v>
      </c>
      <c r="D138" s="9" t="s">
        <v>287</v>
      </c>
      <c r="E138" s="10" t="s">
        <v>5</v>
      </c>
      <c r="F138" s="9" t="s">
        <v>265</v>
      </c>
      <c r="G138" s="9" t="s">
        <v>288</v>
      </c>
      <c r="H138" s="10" t="s">
        <v>265</v>
      </c>
      <c r="I138" s="10" t="s">
        <v>288</v>
      </c>
      <c r="J138" s="11" t="s">
        <v>229</v>
      </c>
      <c r="K138" s="12">
        <v>1</v>
      </c>
      <c r="L138" s="6"/>
    </row>
    <row r="139" spans="1:12" x14ac:dyDescent="0.25">
      <c r="A139" s="13" t="s">
        <v>507</v>
      </c>
      <c r="B139" s="14" t="s">
        <v>508</v>
      </c>
      <c r="C139" s="14" t="s">
        <v>362</v>
      </c>
      <c r="D139" s="14" t="s">
        <v>294</v>
      </c>
      <c r="E139" s="10" t="s">
        <v>5</v>
      </c>
      <c r="F139" s="14" t="s">
        <v>295</v>
      </c>
      <c r="G139" s="14" t="s">
        <v>362</v>
      </c>
      <c r="H139" s="10" t="s">
        <v>295</v>
      </c>
      <c r="I139" s="10" t="s">
        <v>362</v>
      </c>
      <c r="J139" s="15" t="s">
        <v>229</v>
      </c>
      <c r="K139" s="16">
        <v>1</v>
      </c>
      <c r="L139" s="6"/>
    </row>
    <row r="140" spans="1:12" x14ac:dyDescent="0.25">
      <c r="A140" s="8" t="s">
        <v>509</v>
      </c>
      <c r="B140" s="9" t="s">
        <v>510</v>
      </c>
      <c r="C140" s="9" t="s">
        <v>22</v>
      </c>
      <c r="D140" s="9" t="s">
        <v>245</v>
      </c>
      <c r="E140" s="10" t="s">
        <v>5</v>
      </c>
      <c r="F140" s="9" t="s">
        <v>246</v>
      </c>
      <c r="G140" s="9" t="s">
        <v>22</v>
      </c>
      <c r="H140" s="10" t="s">
        <v>246</v>
      </c>
      <c r="I140" s="10" t="s">
        <v>22</v>
      </c>
      <c r="J140" s="11" t="s">
        <v>229</v>
      </c>
      <c r="K140" s="12">
        <v>1</v>
      </c>
      <c r="L140" s="6"/>
    </row>
    <row r="141" spans="1:12" x14ac:dyDescent="0.25">
      <c r="A141" s="13" t="s">
        <v>511</v>
      </c>
      <c r="B141" s="14" t="s">
        <v>512</v>
      </c>
      <c r="C141" s="14" t="s">
        <v>27</v>
      </c>
      <c r="D141" s="14" t="s">
        <v>272</v>
      </c>
      <c r="E141" s="10" t="s">
        <v>5</v>
      </c>
      <c r="F141" s="14" t="s">
        <v>273</v>
      </c>
      <c r="G141" s="14" t="s">
        <v>27</v>
      </c>
      <c r="H141" s="10" t="s">
        <v>273</v>
      </c>
      <c r="I141" s="10" t="s">
        <v>27</v>
      </c>
      <c r="J141" s="15" t="s">
        <v>229</v>
      </c>
      <c r="K141" s="16">
        <v>1</v>
      </c>
      <c r="L141" s="6"/>
    </row>
    <row r="142" spans="1:12" x14ac:dyDescent="0.25">
      <c r="A142" s="8" t="s">
        <v>513</v>
      </c>
      <c r="B142" s="9" t="s">
        <v>514</v>
      </c>
      <c r="C142" s="9" t="s">
        <v>160</v>
      </c>
      <c r="D142" s="9" t="s">
        <v>272</v>
      </c>
      <c r="E142" s="10" t="s">
        <v>5</v>
      </c>
      <c r="F142" s="9" t="s">
        <v>273</v>
      </c>
      <c r="G142" s="9" t="s">
        <v>274</v>
      </c>
      <c r="H142" s="10" t="s">
        <v>273</v>
      </c>
      <c r="I142" s="10" t="s">
        <v>274</v>
      </c>
      <c r="J142" s="11" t="s">
        <v>229</v>
      </c>
      <c r="K142" s="12">
        <v>1</v>
      </c>
      <c r="L142" s="6"/>
    </row>
    <row r="143" spans="1:12" x14ac:dyDescent="0.25">
      <c r="A143" s="13" t="s">
        <v>515</v>
      </c>
      <c r="B143" s="14" t="s">
        <v>516</v>
      </c>
      <c r="C143" s="14" t="s">
        <v>191</v>
      </c>
      <c r="D143" s="14" t="s">
        <v>232</v>
      </c>
      <c r="E143" s="10" t="s">
        <v>5</v>
      </c>
      <c r="F143" s="14" t="s">
        <v>233</v>
      </c>
      <c r="G143" s="14" t="s">
        <v>326</v>
      </c>
      <c r="H143" s="10" t="s">
        <v>233</v>
      </c>
      <c r="I143" s="10" t="s">
        <v>234</v>
      </c>
      <c r="J143" s="15" t="s">
        <v>229</v>
      </c>
      <c r="K143" s="16">
        <v>1</v>
      </c>
      <c r="L143" s="6"/>
    </row>
    <row r="144" spans="1:12" x14ac:dyDescent="0.25">
      <c r="A144" s="8" t="s">
        <v>517</v>
      </c>
      <c r="B144" s="9" t="s">
        <v>518</v>
      </c>
      <c r="C144" s="9" t="s">
        <v>208</v>
      </c>
      <c r="D144" s="9" t="s">
        <v>287</v>
      </c>
      <c r="E144" s="10" t="s">
        <v>5</v>
      </c>
      <c r="F144" s="9" t="s">
        <v>265</v>
      </c>
      <c r="G144" s="9" t="s">
        <v>288</v>
      </c>
      <c r="H144" s="10" t="s">
        <v>265</v>
      </c>
      <c r="I144" s="10" t="s">
        <v>288</v>
      </c>
      <c r="J144" s="11" t="s">
        <v>229</v>
      </c>
      <c r="K144" s="12">
        <v>1</v>
      </c>
      <c r="L144" s="6"/>
    </row>
    <row r="145" spans="1:12" x14ac:dyDescent="0.25">
      <c r="A145" s="13" t="s">
        <v>519</v>
      </c>
      <c r="B145" s="14" t="s">
        <v>520</v>
      </c>
      <c r="C145" s="14" t="s">
        <v>136</v>
      </c>
      <c r="D145" s="14" t="s">
        <v>256</v>
      </c>
      <c r="E145" s="10" t="s">
        <v>5</v>
      </c>
      <c r="F145" s="14" t="s">
        <v>257</v>
      </c>
      <c r="G145" s="14" t="s">
        <v>25</v>
      </c>
      <c r="H145" s="10" t="s">
        <v>257</v>
      </c>
      <c r="I145" s="10" t="s">
        <v>25</v>
      </c>
      <c r="J145" s="15" t="s">
        <v>261</v>
      </c>
      <c r="K145" s="16">
        <v>1</v>
      </c>
      <c r="L145" s="6"/>
    </row>
    <row r="146" spans="1:12" x14ac:dyDescent="0.25">
      <c r="A146" s="8" t="s">
        <v>521</v>
      </c>
      <c r="B146" s="9" t="s">
        <v>522</v>
      </c>
      <c r="C146" s="9" t="s">
        <v>377</v>
      </c>
      <c r="D146" s="9" t="s">
        <v>238</v>
      </c>
      <c r="E146" s="10" t="s">
        <v>5</v>
      </c>
      <c r="F146" s="9" t="s">
        <v>228</v>
      </c>
      <c r="G146" s="9" t="s">
        <v>18</v>
      </c>
      <c r="H146" s="10" t="s">
        <v>228</v>
      </c>
      <c r="I146" s="10" t="s">
        <v>18</v>
      </c>
      <c r="J146" s="11" t="s">
        <v>378</v>
      </c>
      <c r="K146" s="12">
        <v>1</v>
      </c>
      <c r="L146" s="6"/>
    </row>
    <row r="147" spans="1:12" x14ac:dyDescent="0.25">
      <c r="A147" s="13" t="s">
        <v>523</v>
      </c>
      <c r="B147" s="14" t="s">
        <v>524</v>
      </c>
      <c r="C147" s="14" t="s">
        <v>380</v>
      </c>
      <c r="D147" s="14" t="s">
        <v>227</v>
      </c>
      <c r="E147" s="10" t="s">
        <v>5</v>
      </c>
      <c r="F147" s="14" t="s">
        <v>228</v>
      </c>
      <c r="G147" s="14" t="s">
        <v>8</v>
      </c>
      <c r="H147" s="10" t="s">
        <v>228</v>
      </c>
      <c r="I147" s="10" t="s">
        <v>8</v>
      </c>
      <c r="J147" s="15" t="s">
        <v>381</v>
      </c>
      <c r="K147" s="16">
        <v>1</v>
      </c>
      <c r="L147" s="6"/>
    </row>
    <row r="148" spans="1:12" x14ac:dyDescent="0.25">
      <c r="A148" s="8" t="s">
        <v>525</v>
      </c>
      <c r="B148" s="9" t="s">
        <v>526</v>
      </c>
      <c r="C148" s="9" t="s">
        <v>383</v>
      </c>
      <c r="D148" s="9" t="s">
        <v>384</v>
      </c>
      <c r="E148" s="10" t="s">
        <v>5</v>
      </c>
      <c r="F148" s="9" t="s">
        <v>385</v>
      </c>
      <c r="G148" s="9" t="s">
        <v>383</v>
      </c>
      <c r="H148" s="10" t="s">
        <v>385</v>
      </c>
      <c r="I148" s="10" t="s">
        <v>383</v>
      </c>
      <c r="J148" s="11" t="s">
        <v>229</v>
      </c>
      <c r="K148" s="12">
        <v>1</v>
      </c>
      <c r="L148" s="6"/>
    </row>
    <row r="149" spans="1:12" x14ac:dyDescent="0.25">
      <c r="A149" s="13" t="s">
        <v>527</v>
      </c>
      <c r="B149" s="14" t="s">
        <v>528</v>
      </c>
      <c r="C149" s="14" t="s">
        <v>199</v>
      </c>
      <c r="D149" s="14" t="s">
        <v>294</v>
      </c>
      <c r="E149" s="10" t="s">
        <v>5</v>
      </c>
      <c r="F149" s="14" t="s">
        <v>295</v>
      </c>
      <c r="G149" s="14" t="s">
        <v>199</v>
      </c>
      <c r="H149" s="10" t="s">
        <v>295</v>
      </c>
      <c r="I149" s="10" t="s">
        <v>199</v>
      </c>
      <c r="J149" s="15" t="s">
        <v>229</v>
      </c>
      <c r="K149" s="16">
        <v>1</v>
      </c>
      <c r="L149" s="6"/>
    </row>
    <row r="150" spans="1:12" x14ac:dyDescent="0.25">
      <c r="A150" s="8" t="s">
        <v>529</v>
      </c>
      <c r="B150" s="9" t="s">
        <v>530</v>
      </c>
      <c r="C150" s="9" t="s">
        <v>388</v>
      </c>
      <c r="D150" s="9" t="s">
        <v>322</v>
      </c>
      <c r="E150" s="10" t="s">
        <v>5</v>
      </c>
      <c r="F150" s="9" t="s">
        <v>233</v>
      </c>
      <c r="G150" s="9" t="s">
        <v>388</v>
      </c>
      <c r="H150" s="10" t="s">
        <v>233</v>
      </c>
      <c r="I150" s="10" t="s">
        <v>388</v>
      </c>
      <c r="J150" s="11" t="s">
        <v>229</v>
      </c>
      <c r="K150" s="12">
        <v>1</v>
      </c>
      <c r="L150" s="6"/>
    </row>
    <row r="151" spans="1:12" x14ac:dyDescent="0.25">
      <c r="A151" s="13" t="s">
        <v>531</v>
      </c>
      <c r="B151" s="14" t="s">
        <v>532</v>
      </c>
      <c r="C151" s="14" t="s">
        <v>390</v>
      </c>
      <c r="D151" s="14" t="s">
        <v>277</v>
      </c>
      <c r="E151" s="10" t="s">
        <v>5</v>
      </c>
      <c r="F151" s="14" t="s">
        <v>273</v>
      </c>
      <c r="G151" s="14" t="s">
        <v>38</v>
      </c>
      <c r="H151" s="10" t="s">
        <v>273</v>
      </c>
      <c r="I151" s="10" t="s">
        <v>38</v>
      </c>
      <c r="J151" s="15" t="s">
        <v>261</v>
      </c>
      <c r="K151" s="16">
        <v>1</v>
      </c>
      <c r="L151" s="6"/>
    </row>
    <row r="152" spans="1:12" x14ac:dyDescent="0.25">
      <c r="A152" s="8" t="s">
        <v>533</v>
      </c>
      <c r="B152" s="9" t="s">
        <v>534</v>
      </c>
      <c r="C152" s="9" t="s">
        <v>42</v>
      </c>
      <c r="D152" s="9" t="s">
        <v>238</v>
      </c>
      <c r="E152" s="10" t="s">
        <v>5</v>
      </c>
      <c r="F152" s="9" t="s">
        <v>228</v>
      </c>
      <c r="G152" s="9" t="s">
        <v>42</v>
      </c>
      <c r="H152" s="10" t="s">
        <v>228</v>
      </c>
      <c r="I152" s="10" t="s">
        <v>42</v>
      </c>
      <c r="J152" s="11" t="s">
        <v>229</v>
      </c>
      <c r="K152" s="12">
        <v>1</v>
      </c>
      <c r="L152" s="6"/>
    </row>
    <row r="153" spans="1:12" x14ac:dyDescent="0.25">
      <c r="A153" s="13" t="s">
        <v>535</v>
      </c>
      <c r="B153" s="14" t="s">
        <v>536</v>
      </c>
      <c r="C153" s="14" t="s">
        <v>23</v>
      </c>
      <c r="D153" s="14" t="s">
        <v>245</v>
      </c>
      <c r="E153" s="10" t="s">
        <v>5</v>
      </c>
      <c r="F153" s="14" t="s">
        <v>246</v>
      </c>
      <c r="G153" s="14" t="s">
        <v>23</v>
      </c>
      <c r="H153" s="10" t="s">
        <v>246</v>
      </c>
      <c r="I153" s="10" t="s">
        <v>23</v>
      </c>
      <c r="J153" s="15" t="s">
        <v>229</v>
      </c>
      <c r="K153" s="16">
        <v>1</v>
      </c>
      <c r="L153" s="6"/>
    </row>
    <row r="154" spans="1:12" x14ac:dyDescent="0.25">
      <c r="A154" s="8" t="s">
        <v>537</v>
      </c>
      <c r="B154" s="9" t="s">
        <v>538</v>
      </c>
      <c r="C154" s="9" t="s">
        <v>208</v>
      </c>
      <c r="D154" s="9" t="s">
        <v>287</v>
      </c>
      <c r="E154" s="10" t="s">
        <v>5</v>
      </c>
      <c r="F154" s="9" t="s">
        <v>265</v>
      </c>
      <c r="G154" s="9" t="s">
        <v>288</v>
      </c>
      <c r="H154" s="10" t="s">
        <v>265</v>
      </c>
      <c r="I154" s="10" t="s">
        <v>288</v>
      </c>
      <c r="J154" s="11" t="s">
        <v>229</v>
      </c>
      <c r="K154" s="12">
        <v>1</v>
      </c>
      <c r="L154" s="6"/>
    </row>
    <row r="155" spans="1:12" x14ac:dyDescent="0.25">
      <c r="A155" s="13" t="s">
        <v>539</v>
      </c>
      <c r="B155" s="14" t="s">
        <v>540</v>
      </c>
      <c r="C155" s="14" t="s">
        <v>185</v>
      </c>
      <c r="D155" s="14" t="s">
        <v>232</v>
      </c>
      <c r="E155" s="10" t="s">
        <v>5</v>
      </c>
      <c r="F155" s="14" t="s">
        <v>233</v>
      </c>
      <c r="G155" s="14" t="s">
        <v>234</v>
      </c>
      <c r="H155" s="10" t="s">
        <v>233</v>
      </c>
      <c r="I155" s="10" t="s">
        <v>234</v>
      </c>
      <c r="J155" s="15" t="s">
        <v>229</v>
      </c>
      <c r="K155" s="16">
        <v>1</v>
      </c>
      <c r="L155" s="6"/>
    </row>
    <row r="156" spans="1:12" x14ac:dyDescent="0.25">
      <c r="A156" s="8" t="s">
        <v>541</v>
      </c>
      <c r="B156" s="9" t="s">
        <v>542</v>
      </c>
      <c r="C156" s="9" t="s">
        <v>10</v>
      </c>
      <c r="D156" s="9" t="s">
        <v>227</v>
      </c>
      <c r="E156" s="10" t="s">
        <v>5</v>
      </c>
      <c r="F156" s="9" t="s">
        <v>228</v>
      </c>
      <c r="G156" s="9" t="s">
        <v>10</v>
      </c>
      <c r="H156" s="10" t="s">
        <v>228</v>
      </c>
      <c r="I156" s="10" t="s">
        <v>10</v>
      </c>
      <c r="J156" s="11" t="s">
        <v>229</v>
      </c>
      <c r="K156" s="12">
        <v>1</v>
      </c>
      <c r="L156" s="6"/>
    </row>
    <row r="157" spans="1:12" x14ac:dyDescent="0.25">
      <c r="A157" s="13" t="s">
        <v>543</v>
      </c>
      <c r="B157" s="14" t="s">
        <v>544</v>
      </c>
      <c r="C157" s="14" t="s">
        <v>406</v>
      </c>
      <c r="D157" s="14" t="s">
        <v>294</v>
      </c>
      <c r="E157" s="10" t="s">
        <v>5</v>
      </c>
      <c r="F157" s="14" t="s">
        <v>295</v>
      </c>
      <c r="G157" s="14" t="s">
        <v>199</v>
      </c>
      <c r="H157" s="10" t="s">
        <v>295</v>
      </c>
      <c r="I157" s="10" t="s">
        <v>199</v>
      </c>
      <c r="J157" s="15" t="s">
        <v>261</v>
      </c>
      <c r="K157" s="16">
        <v>1</v>
      </c>
      <c r="L157" s="6"/>
    </row>
    <row r="158" spans="1:12" x14ac:dyDescent="0.25">
      <c r="A158" s="8" t="s">
        <v>545</v>
      </c>
      <c r="B158" s="9" t="s">
        <v>546</v>
      </c>
      <c r="C158" s="9" t="s">
        <v>408</v>
      </c>
      <c r="D158" s="9" t="s">
        <v>384</v>
      </c>
      <c r="E158" s="10" t="s">
        <v>5</v>
      </c>
      <c r="F158" s="9" t="s">
        <v>385</v>
      </c>
      <c r="G158" s="9" t="s">
        <v>408</v>
      </c>
      <c r="H158" s="10" t="s">
        <v>385</v>
      </c>
      <c r="I158" s="10" t="s">
        <v>408</v>
      </c>
      <c r="J158" s="11" t="s">
        <v>229</v>
      </c>
      <c r="K158" s="12">
        <v>1</v>
      </c>
      <c r="L158" s="6"/>
    </row>
    <row r="159" spans="1:12" x14ac:dyDescent="0.25">
      <c r="A159" s="13" t="s">
        <v>547</v>
      </c>
      <c r="B159" s="14" t="s">
        <v>548</v>
      </c>
      <c r="C159" s="14" t="s">
        <v>290</v>
      </c>
      <c r="D159" s="14" t="s">
        <v>287</v>
      </c>
      <c r="E159" s="10" t="s">
        <v>5</v>
      </c>
      <c r="F159" s="14" t="s">
        <v>265</v>
      </c>
      <c r="G159" s="14" t="s">
        <v>290</v>
      </c>
      <c r="H159" s="10" t="s">
        <v>265</v>
      </c>
      <c r="I159" s="10" t="s">
        <v>290</v>
      </c>
      <c r="J159" s="15" t="s">
        <v>229</v>
      </c>
      <c r="K159" s="16">
        <v>1</v>
      </c>
      <c r="L159" s="6"/>
    </row>
    <row r="160" spans="1:12" x14ac:dyDescent="0.25">
      <c r="A160" s="8" t="s">
        <v>549</v>
      </c>
      <c r="B160" s="9" t="s">
        <v>550</v>
      </c>
      <c r="C160" s="9" t="s">
        <v>383</v>
      </c>
      <c r="D160" s="9" t="s">
        <v>384</v>
      </c>
      <c r="E160" s="10" t="s">
        <v>5</v>
      </c>
      <c r="F160" s="9" t="s">
        <v>385</v>
      </c>
      <c r="G160" s="9" t="s">
        <v>383</v>
      </c>
      <c r="H160" s="10" t="s">
        <v>385</v>
      </c>
      <c r="I160" s="10" t="s">
        <v>383</v>
      </c>
      <c r="J160" s="11" t="s">
        <v>229</v>
      </c>
      <c r="K160" s="12">
        <v>1</v>
      </c>
      <c r="L160" s="6"/>
    </row>
    <row r="161" spans="1:12" x14ac:dyDescent="0.25">
      <c r="A161" s="13" t="s">
        <v>551</v>
      </c>
      <c r="B161" s="14" t="s">
        <v>552</v>
      </c>
      <c r="C161" s="14" t="s">
        <v>552</v>
      </c>
      <c r="D161" s="14" t="s">
        <v>294</v>
      </c>
      <c r="E161" s="10" t="s">
        <v>5</v>
      </c>
      <c r="F161" s="14" t="s">
        <v>295</v>
      </c>
      <c r="G161" s="14" t="s">
        <v>394</v>
      </c>
      <c r="H161" s="10" t="s">
        <v>295</v>
      </c>
      <c r="I161" s="10" t="s">
        <v>37</v>
      </c>
      <c r="J161" s="15" t="s">
        <v>229</v>
      </c>
      <c r="K161" s="16">
        <v>1</v>
      </c>
      <c r="L161" s="6"/>
    </row>
    <row r="162" spans="1:12" x14ac:dyDescent="0.25">
      <c r="A162" s="8" t="s">
        <v>553</v>
      </c>
      <c r="B162" s="9" t="s">
        <v>554</v>
      </c>
      <c r="C162" s="9" t="s">
        <v>554</v>
      </c>
      <c r="D162" s="9" t="s">
        <v>384</v>
      </c>
      <c r="E162" s="10" t="s">
        <v>5</v>
      </c>
      <c r="F162" s="9" t="s">
        <v>385</v>
      </c>
      <c r="G162" s="9" t="s">
        <v>554</v>
      </c>
      <c r="H162" s="10" t="s">
        <v>385</v>
      </c>
      <c r="I162" s="10" t="s">
        <v>554</v>
      </c>
      <c r="J162" s="11" t="s">
        <v>229</v>
      </c>
      <c r="K162" s="12">
        <v>1</v>
      </c>
      <c r="L162" s="6"/>
    </row>
    <row r="163" spans="1:12" x14ac:dyDescent="0.25">
      <c r="A163" s="13" t="s">
        <v>555</v>
      </c>
      <c r="B163" s="14" t="s">
        <v>556</v>
      </c>
      <c r="C163" s="14" t="s">
        <v>77</v>
      </c>
      <c r="D163" s="14" t="s">
        <v>294</v>
      </c>
      <c r="E163" s="10" t="s">
        <v>5</v>
      </c>
      <c r="F163" s="14" t="s">
        <v>295</v>
      </c>
      <c r="G163" s="14" t="s">
        <v>557</v>
      </c>
      <c r="H163" s="10" t="s">
        <v>295</v>
      </c>
      <c r="I163" s="10" t="s">
        <v>557</v>
      </c>
      <c r="J163" s="15" t="s">
        <v>229</v>
      </c>
      <c r="K163" s="16">
        <v>1</v>
      </c>
      <c r="L163" s="6"/>
    </row>
    <row r="164" spans="1:12" x14ac:dyDescent="0.25">
      <c r="A164" s="8" t="s">
        <v>558</v>
      </c>
      <c r="B164" s="9" t="s">
        <v>559</v>
      </c>
      <c r="C164" s="9" t="s">
        <v>560</v>
      </c>
      <c r="D164" s="9" t="s">
        <v>384</v>
      </c>
      <c r="E164" s="10" t="s">
        <v>5</v>
      </c>
      <c r="F164" s="9" t="s">
        <v>385</v>
      </c>
      <c r="G164" s="9" t="s">
        <v>560</v>
      </c>
      <c r="H164" s="10" t="s">
        <v>233</v>
      </c>
      <c r="I164" s="10" t="s">
        <v>560</v>
      </c>
      <c r="J164" s="11" t="s">
        <v>229</v>
      </c>
      <c r="K164" s="12">
        <v>1</v>
      </c>
      <c r="L164" s="6"/>
    </row>
    <row r="165" spans="1:12" x14ac:dyDescent="0.25">
      <c r="A165" s="13" t="s">
        <v>558</v>
      </c>
      <c r="B165" s="14" t="s">
        <v>560</v>
      </c>
      <c r="C165" s="14" t="s">
        <v>560</v>
      </c>
      <c r="D165" s="14" t="s">
        <v>384</v>
      </c>
      <c r="E165" s="10" t="s">
        <v>5</v>
      </c>
      <c r="F165" s="14" t="s">
        <v>385</v>
      </c>
      <c r="G165" s="14" t="s">
        <v>560</v>
      </c>
      <c r="H165" s="10" t="s">
        <v>233</v>
      </c>
      <c r="I165" s="10" t="s">
        <v>560</v>
      </c>
      <c r="J165" s="15" t="s">
        <v>229</v>
      </c>
      <c r="K165" s="16">
        <v>1</v>
      </c>
      <c r="L165" s="6"/>
    </row>
    <row r="166" spans="1:12" x14ac:dyDescent="0.25">
      <c r="A166" s="8" t="s">
        <v>561</v>
      </c>
      <c r="B166" s="9" t="s">
        <v>46</v>
      </c>
      <c r="C166" s="9" t="s">
        <v>46</v>
      </c>
      <c r="D166" s="9" t="s">
        <v>562</v>
      </c>
      <c r="E166" s="10" t="s">
        <v>45</v>
      </c>
      <c r="F166" s="9" t="s">
        <v>246</v>
      </c>
      <c r="G166" s="9" t="s">
        <v>331</v>
      </c>
      <c r="H166" s="10" t="s">
        <v>246</v>
      </c>
      <c r="I166" s="10" t="s">
        <v>331</v>
      </c>
      <c r="J166" s="11" t="s">
        <v>229</v>
      </c>
      <c r="K166" s="12">
        <v>1</v>
      </c>
      <c r="L166" s="6"/>
    </row>
    <row r="167" spans="1:12" x14ac:dyDescent="0.25">
      <c r="A167" s="13" t="s">
        <v>563</v>
      </c>
      <c r="B167" s="14" t="s">
        <v>564</v>
      </c>
      <c r="C167" s="14" t="s">
        <v>564</v>
      </c>
      <c r="D167" s="14" t="s">
        <v>565</v>
      </c>
      <c r="E167" s="10" t="s">
        <v>45</v>
      </c>
      <c r="F167" s="14" t="s">
        <v>246</v>
      </c>
      <c r="G167" s="14" t="s">
        <v>268</v>
      </c>
      <c r="H167" s="10" t="s">
        <v>246</v>
      </c>
      <c r="I167" s="10" t="s">
        <v>269</v>
      </c>
      <c r="J167" s="15" t="s">
        <v>229</v>
      </c>
      <c r="K167" s="16">
        <v>1</v>
      </c>
      <c r="L167" s="6"/>
    </row>
    <row r="168" spans="1:12" x14ac:dyDescent="0.25">
      <c r="A168" s="8" t="s">
        <v>566</v>
      </c>
      <c r="B168" s="9" t="s">
        <v>47</v>
      </c>
      <c r="C168" s="9" t="s">
        <v>47</v>
      </c>
      <c r="D168" s="9" t="s">
        <v>567</v>
      </c>
      <c r="E168" s="10" t="s">
        <v>45</v>
      </c>
      <c r="F168" s="9" t="s">
        <v>385</v>
      </c>
      <c r="G168" s="9" t="s">
        <v>383</v>
      </c>
      <c r="H168" s="10" t="s">
        <v>385</v>
      </c>
      <c r="I168" s="10" t="s">
        <v>383</v>
      </c>
      <c r="J168" s="11" t="s">
        <v>229</v>
      </c>
      <c r="K168" s="12">
        <v>1</v>
      </c>
      <c r="L168" s="6"/>
    </row>
    <row r="169" spans="1:12" x14ac:dyDescent="0.25">
      <c r="A169" s="13" t="s">
        <v>568</v>
      </c>
      <c r="B169" s="14" t="s">
        <v>48</v>
      </c>
      <c r="C169" s="14" t="s">
        <v>48</v>
      </c>
      <c r="D169" s="14" t="s">
        <v>569</v>
      </c>
      <c r="E169" s="10" t="s">
        <v>45</v>
      </c>
      <c r="F169" s="14" t="s">
        <v>252</v>
      </c>
      <c r="G169" s="14" t="s">
        <v>34</v>
      </c>
      <c r="H169" s="10" t="s">
        <v>252</v>
      </c>
      <c r="I169" s="10" t="s">
        <v>34</v>
      </c>
      <c r="J169" s="15" t="s">
        <v>229</v>
      </c>
      <c r="K169" s="16">
        <v>1</v>
      </c>
      <c r="L169" s="6"/>
    </row>
    <row r="170" spans="1:12" x14ac:dyDescent="0.25">
      <c r="A170" s="8" t="s">
        <v>570</v>
      </c>
      <c r="B170" s="9" t="s">
        <v>49</v>
      </c>
      <c r="C170" s="9" t="s">
        <v>49</v>
      </c>
      <c r="D170" s="9" t="s">
        <v>571</v>
      </c>
      <c r="E170" s="10" t="s">
        <v>45</v>
      </c>
      <c r="F170" s="9" t="s">
        <v>257</v>
      </c>
      <c r="G170" s="9" t="s">
        <v>30</v>
      </c>
      <c r="H170" s="10" t="s">
        <v>257</v>
      </c>
      <c r="I170" s="10" t="s">
        <v>30</v>
      </c>
      <c r="J170" s="11" t="s">
        <v>229</v>
      </c>
      <c r="K170" s="12">
        <v>1</v>
      </c>
      <c r="L170" s="6"/>
    </row>
    <row r="171" spans="1:12" x14ac:dyDescent="0.25">
      <c r="A171" s="13" t="s">
        <v>572</v>
      </c>
      <c r="B171" s="14" t="s">
        <v>50</v>
      </c>
      <c r="C171" s="14" t="s">
        <v>50</v>
      </c>
      <c r="D171" s="14" t="s">
        <v>565</v>
      </c>
      <c r="E171" s="10" t="s">
        <v>45</v>
      </c>
      <c r="F171" s="14" t="s">
        <v>246</v>
      </c>
      <c r="G171" s="14" t="s">
        <v>23</v>
      </c>
      <c r="H171" s="10" t="s">
        <v>246</v>
      </c>
      <c r="I171" s="10" t="s">
        <v>23</v>
      </c>
      <c r="J171" s="15" t="s">
        <v>229</v>
      </c>
      <c r="K171" s="16">
        <v>1</v>
      </c>
      <c r="L171" s="6"/>
    </row>
    <row r="172" spans="1:12" x14ac:dyDescent="0.25">
      <c r="A172" s="8" t="s">
        <v>573</v>
      </c>
      <c r="B172" s="9" t="s">
        <v>51</v>
      </c>
      <c r="C172" s="9" t="s">
        <v>51</v>
      </c>
      <c r="D172" s="9" t="s">
        <v>562</v>
      </c>
      <c r="E172" s="10" t="s">
        <v>45</v>
      </c>
      <c r="F172" s="9" t="s">
        <v>246</v>
      </c>
      <c r="G172" s="9" t="s">
        <v>28</v>
      </c>
      <c r="H172" s="10" t="s">
        <v>246</v>
      </c>
      <c r="I172" s="10" t="s">
        <v>28</v>
      </c>
      <c r="J172" s="11" t="s">
        <v>229</v>
      </c>
      <c r="K172" s="12">
        <v>1</v>
      </c>
      <c r="L172" s="6"/>
    </row>
    <row r="173" spans="1:12" x14ac:dyDescent="0.25">
      <c r="A173" s="13" t="s">
        <v>574</v>
      </c>
      <c r="B173" s="14" t="s">
        <v>52</v>
      </c>
      <c r="C173" s="14" t="s">
        <v>52</v>
      </c>
      <c r="D173" s="14" t="s">
        <v>571</v>
      </c>
      <c r="E173" s="10" t="s">
        <v>45</v>
      </c>
      <c r="F173" s="14" t="s">
        <v>257</v>
      </c>
      <c r="G173" s="14" t="s">
        <v>25</v>
      </c>
      <c r="H173" s="10" t="s">
        <v>257</v>
      </c>
      <c r="I173" s="10" t="s">
        <v>25</v>
      </c>
      <c r="J173" s="15" t="s">
        <v>229</v>
      </c>
      <c r="K173" s="16">
        <v>1</v>
      </c>
      <c r="L173" s="6"/>
    </row>
    <row r="174" spans="1:12" x14ac:dyDescent="0.25">
      <c r="A174" s="8" t="s">
        <v>575</v>
      </c>
      <c r="B174" s="9" t="s">
        <v>66</v>
      </c>
      <c r="C174" s="9" t="s">
        <v>66</v>
      </c>
      <c r="D174" s="9" t="s">
        <v>576</v>
      </c>
      <c r="E174" s="10" t="s">
        <v>45</v>
      </c>
      <c r="F174" s="9" t="s">
        <v>273</v>
      </c>
      <c r="G174" s="9" t="s">
        <v>274</v>
      </c>
      <c r="H174" s="10" t="s">
        <v>273</v>
      </c>
      <c r="I174" s="10" t="s">
        <v>274</v>
      </c>
      <c r="J174" s="11" t="s">
        <v>229</v>
      </c>
      <c r="K174" s="12">
        <v>1</v>
      </c>
      <c r="L174" s="6"/>
    </row>
    <row r="175" spans="1:12" x14ac:dyDescent="0.25">
      <c r="A175" s="13" t="s">
        <v>577</v>
      </c>
      <c r="B175" s="14" t="s">
        <v>53</v>
      </c>
      <c r="C175" s="14" t="s">
        <v>53</v>
      </c>
      <c r="D175" s="14" t="s">
        <v>576</v>
      </c>
      <c r="E175" s="10" t="s">
        <v>45</v>
      </c>
      <c r="F175" s="14" t="s">
        <v>273</v>
      </c>
      <c r="G175" s="14" t="s">
        <v>33</v>
      </c>
      <c r="H175" s="10" t="s">
        <v>273</v>
      </c>
      <c r="I175" s="10" t="s">
        <v>33</v>
      </c>
      <c r="J175" s="15" t="s">
        <v>229</v>
      </c>
      <c r="K175" s="16">
        <v>1</v>
      </c>
      <c r="L175" s="6"/>
    </row>
    <row r="176" spans="1:12" x14ac:dyDescent="0.25">
      <c r="A176" s="8" t="s">
        <v>578</v>
      </c>
      <c r="B176" s="9" t="s">
        <v>69</v>
      </c>
      <c r="C176" s="9" t="s">
        <v>69</v>
      </c>
      <c r="D176" s="9" t="s">
        <v>579</v>
      </c>
      <c r="E176" s="10" t="s">
        <v>45</v>
      </c>
      <c r="F176" s="9" t="s">
        <v>228</v>
      </c>
      <c r="G176" s="9" t="s">
        <v>19</v>
      </c>
      <c r="H176" s="10" t="s">
        <v>228</v>
      </c>
      <c r="I176" s="10" t="s">
        <v>19</v>
      </c>
      <c r="J176" s="11" t="s">
        <v>229</v>
      </c>
      <c r="K176" s="12">
        <v>1</v>
      </c>
      <c r="L176" s="6"/>
    </row>
    <row r="177" spans="1:12" x14ac:dyDescent="0.25">
      <c r="A177" s="13" t="s">
        <v>580</v>
      </c>
      <c r="B177" s="14" t="s">
        <v>67</v>
      </c>
      <c r="C177" s="14" t="s">
        <v>67</v>
      </c>
      <c r="D177" s="14" t="s">
        <v>565</v>
      </c>
      <c r="E177" s="10" t="s">
        <v>45</v>
      </c>
      <c r="F177" s="14" t="s">
        <v>246</v>
      </c>
      <c r="G177" s="14" t="s">
        <v>244</v>
      </c>
      <c r="H177" s="10" t="s">
        <v>246</v>
      </c>
      <c r="I177" s="10" t="s">
        <v>244</v>
      </c>
      <c r="J177" s="15" t="s">
        <v>229</v>
      </c>
      <c r="K177" s="16">
        <v>1</v>
      </c>
      <c r="L177" s="6"/>
    </row>
    <row r="178" spans="1:12" x14ac:dyDescent="0.25">
      <c r="A178" s="8" t="s">
        <v>581</v>
      </c>
      <c r="B178" s="9" t="s">
        <v>167</v>
      </c>
      <c r="C178" s="9" t="s">
        <v>167</v>
      </c>
      <c r="D178" s="9" t="s">
        <v>569</v>
      </c>
      <c r="E178" s="10" t="s">
        <v>45</v>
      </c>
      <c r="F178" s="9" t="s">
        <v>252</v>
      </c>
      <c r="G178" s="9" t="s">
        <v>31</v>
      </c>
      <c r="H178" s="10" t="s">
        <v>252</v>
      </c>
      <c r="I178" s="10" t="s">
        <v>31</v>
      </c>
      <c r="J178" s="11" t="s">
        <v>229</v>
      </c>
      <c r="K178" s="12">
        <v>1</v>
      </c>
      <c r="L178" s="6"/>
    </row>
    <row r="179" spans="1:12" x14ac:dyDescent="0.25">
      <c r="A179" s="13" t="s">
        <v>582</v>
      </c>
      <c r="B179" s="14" t="s">
        <v>54</v>
      </c>
      <c r="C179" s="14" t="s">
        <v>54</v>
      </c>
      <c r="D179" s="14" t="s">
        <v>583</v>
      </c>
      <c r="E179" s="10" t="s">
        <v>45</v>
      </c>
      <c r="F179" s="14" t="s">
        <v>233</v>
      </c>
      <c r="G179" s="14" t="s">
        <v>234</v>
      </c>
      <c r="H179" s="10" t="s">
        <v>233</v>
      </c>
      <c r="I179" s="10" t="s">
        <v>234</v>
      </c>
      <c r="J179" s="15" t="s">
        <v>229</v>
      </c>
      <c r="K179" s="16">
        <v>1</v>
      </c>
      <c r="L179" s="6"/>
    </row>
    <row r="180" spans="1:12" x14ac:dyDescent="0.25">
      <c r="A180" s="8" t="s">
        <v>584</v>
      </c>
      <c r="B180" s="9" t="s">
        <v>585</v>
      </c>
      <c r="C180" s="9" t="s">
        <v>585</v>
      </c>
      <c r="D180" s="9" t="s">
        <v>576</v>
      </c>
      <c r="E180" s="10" t="s">
        <v>45</v>
      </c>
      <c r="F180" s="9" t="s">
        <v>273</v>
      </c>
      <c r="G180" s="9" t="s">
        <v>38</v>
      </c>
      <c r="H180" s="10" t="s">
        <v>273</v>
      </c>
      <c r="I180" s="10" t="s">
        <v>38</v>
      </c>
      <c r="J180" s="11" t="s">
        <v>229</v>
      </c>
      <c r="K180" s="12">
        <v>1</v>
      </c>
      <c r="L180" s="6"/>
    </row>
    <row r="181" spans="1:12" x14ac:dyDescent="0.25">
      <c r="A181" s="13" t="s">
        <v>586</v>
      </c>
      <c r="B181" s="14" t="s">
        <v>55</v>
      </c>
      <c r="C181" s="14" t="s">
        <v>55</v>
      </c>
      <c r="D181" s="14" t="s">
        <v>562</v>
      </c>
      <c r="E181" s="10" t="s">
        <v>45</v>
      </c>
      <c r="F181" s="14" t="s">
        <v>246</v>
      </c>
      <c r="G181" s="14" t="s">
        <v>29</v>
      </c>
      <c r="H181" s="10" t="s">
        <v>246</v>
      </c>
      <c r="I181" s="10" t="s">
        <v>29</v>
      </c>
      <c r="J181" s="15" t="s">
        <v>229</v>
      </c>
      <c r="K181" s="16">
        <v>1</v>
      </c>
      <c r="L181" s="6"/>
    </row>
    <row r="182" spans="1:12" x14ac:dyDescent="0.25">
      <c r="A182" s="8" t="s">
        <v>587</v>
      </c>
      <c r="B182" s="9" t="s">
        <v>154</v>
      </c>
      <c r="C182" s="9" t="s">
        <v>154</v>
      </c>
      <c r="D182" s="9" t="s">
        <v>576</v>
      </c>
      <c r="E182" s="10" t="s">
        <v>45</v>
      </c>
      <c r="F182" s="9" t="s">
        <v>273</v>
      </c>
      <c r="G182" s="9" t="s">
        <v>27</v>
      </c>
      <c r="H182" s="10" t="s">
        <v>273</v>
      </c>
      <c r="I182" s="10" t="s">
        <v>27</v>
      </c>
      <c r="J182" s="11" t="s">
        <v>229</v>
      </c>
      <c r="K182" s="12">
        <v>1</v>
      </c>
      <c r="L182" s="6"/>
    </row>
    <row r="183" spans="1:12" x14ac:dyDescent="0.25">
      <c r="A183" s="13" t="s">
        <v>588</v>
      </c>
      <c r="B183" s="14" t="s">
        <v>589</v>
      </c>
      <c r="C183" s="14" t="s">
        <v>589</v>
      </c>
      <c r="D183" s="14" t="s">
        <v>565</v>
      </c>
      <c r="E183" s="10" t="s">
        <v>45</v>
      </c>
      <c r="F183" s="14" t="s">
        <v>246</v>
      </c>
      <c r="G183" s="14" t="s">
        <v>590</v>
      </c>
      <c r="H183" s="10" t="s">
        <v>246</v>
      </c>
      <c r="I183" s="10" t="s">
        <v>590</v>
      </c>
      <c r="J183" s="15" t="s">
        <v>229</v>
      </c>
      <c r="K183" s="16">
        <v>1</v>
      </c>
      <c r="L183" s="6"/>
    </row>
    <row r="184" spans="1:12" x14ac:dyDescent="0.25">
      <c r="A184" s="8" t="s">
        <v>591</v>
      </c>
      <c r="B184" s="9" t="s">
        <v>163</v>
      </c>
      <c r="C184" s="9" t="s">
        <v>163</v>
      </c>
      <c r="D184" s="9" t="s">
        <v>569</v>
      </c>
      <c r="E184" s="10" t="s">
        <v>45</v>
      </c>
      <c r="F184" s="9" t="s">
        <v>252</v>
      </c>
      <c r="G184" s="9" t="s">
        <v>36</v>
      </c>
      <c r="H184" s="10" t="s">
        <v>252</v>
      </c>
      <c r="I184" s="10" t="s">
        <v>36</v>
      </c>
      <c r="J184" s="11" t="s">
        <v>229</v>
      </c>
      <c r="K184" s="12">
        <v>1</v>
      </c>
      <c r="L184" s="6"/>
    </row>
    <row r="185" spans="1:12" x14ac:dyDescent="0.25">
      <c r="A185" s="13" t="s">
        <v>592</v>
      </c>
      <c r="B185" s="14" t="s">
        <v>56</v>
      </c>
      <c r="C185" s="14" t="s">
        <v>56</v>
      </c>
      <c r="D185" s="14" t="s">
        <v>593</v>
      </c>
      <c r="E185" s="10" t="s">
        <v>45</v>
      </c>
      <c r="F185" s="14" t="s">
        <v>265</v>
      </c>
      <c r="G185" s="14" t="s">
        <v>288</v>
      </c>
      <c r="H185" s="10" t="s">
        <v>265</v>
      </c>
      <c r="I185" s="10" t="s">
        <v>288</v>
      </c>
      <c r="J185" s="15" t="s">
        <v>229</v>
      </c>
      <c r="K185" s="16">
        <v>1</v>
      </c>
      <c r="L185" s="6"/>
    </row>
    <row r="186" spans="1:12" x14ac:dyDescent="0.25">
      <c r="A186" s="8" t="s">
        <v>594</v>
      </c>
      <c r="B186" s="9" t="s">
        <v>57</v>
      </c>
      <c r="C186" s="9" t="s">
        <v>57</v>
      </c>
      <c r="D186" s="9" t="s">
        <v>579</v>
      </c>
      <c r="E186" s="10" t="s">
        <v>45</v>
      </c>
      <c r="F186" s="9" t="s">
        <v>228</v>
      </c>
      <c r="G186" s="9" t="s">
        <v>8</v>
      </c>
      <c r="H186" s="10" t="s">
        <v>228</v>
      </c>
      <c r="I186" s="10" t="s">
        <v>8</v>
      </c>
      <c r="J186" s="11" t="s">
        <v>229</v>
      </c>
      <c r="K186" s="12">
        <v>1</v>
      </c>
      <c r="L186" s="6"/>
    </row>
    <row r="187" spans="1:12" x14ac:dyDescent="0.25">
      <c r="A187" s="13" t="s">
        <v>595</v>
      </c>
      <c r="B187" s="14" t="s">
        <v>58</v>
      </c>
      <c r="C187" s="14" t="s">
        <v>58</v>
      </c>
      <c r="D187" s="14" t="s">
        <v>596</v>
      </c>
      <c r="E187" s="10" t="s">
        <v>45</v>
      </c>
      <c r="F187" s="14" t="s">
        <v>265</v>
      </c>
      <c r="G187" s="14" t="s">
        <v>263</v>
      </c>
      <c r="H187" s="10" t="s">
        <v>265</v>
      </c>
      <c r="I187" s="10" t="s">
        <v>263</v>
      </c>
      <c r="J187" s="15" t="s">
        <v>229</v>
      </c>
      <c r="K187" s="16">
        <v>1</v>
      </c>
      <c r="L187" s="6"/>
    </row>
    <row r="188" spans="1:12" x14ac:dyDescent="0.25">
      <c r="A188" s="8" t="s">
        <v>597</v>
      </c>
      <c r="B188" s="9" t="s">
        <v>79</v>
      </c>
      <c r="C188" s="9" t="s">
        <v>79</v>
      </c>
      <c r="D188" s="9" t="s">
        <v>593</v>
      </c>
      <c r="E188" s="10" t="s">
        <v>45</v>
      </c>
      <c r="F188" s="9" t="s">
        <v>265</v>
      </c>
      <c r="G188" s="9" t="s">
        <v>43</v>
      </c>
      <c r="H188" s="10" t="s">
        <v>265</v>
      </c>
      <c r="I188" s="10" t="s">
        <v>43</v>
      </c>
      <c r="J188" s="11" t="s">
        <v>229</v>
      </c>
      <c r="K188" s="12">
        <v>1</v>
      </c>
      <c r="L188" s="6"/>
    </row>
    <row r="189" spans="1:12" x14ac:dyDescent="0.25">
      <c r="A189" s="13" t="s">
        <v>598</v>
      </c>
      <c r="B189" s="14" t="s">
        <v>59</v>
      </c>
      <c r="C189" s="14" t="s">
        <v>59</v>
      </c>
      <c r="D189" s="14" t="s">
        <v>576</v>
      </c>
      <c r="E189" s="10" t="s">
        <v>45</v>
      </c>
      <c r="F189" s="14" t="s">
        <v>273</v>
      </c>
      <c r="G189" s="14" t="s">
        <v>307</v>
      </c>
      <c r="H189" s="10" t="s">
        <v>273</v>
      </c>
      <c r="I189" s="10" t="s">
        <v>307</v>
      </c>
      <c r="J189" s="15" t="s">
        <v>229</v>
      </c>
      <c r="K189" s="16">
        <v>1</v>
      </c>
      <c r="L189" s="6"/>
    </row>
    <row r="190" spans="1:12" x14ac:dyDescent="0.25">
      <c r="A190" s="8" t="s">
        <v>599</v>
      </c>
      <c r="B190" s="9" t="s">
        <v>165</v>
      </c>
      <c r="C190" s="9" t="s">
        <v>165</v>
      </c>
      <c r="D190" s="9" t="s">
        <v>569</v>
      </c>
      <c r="E190" s="10" t="s">
        <v>45</v>
      </c>
      <c r="F190" s="9" t="s">
        <v>252</v>
      </c>
      <c r="G190" s="9" t="s">
        <v>24</v>
      </c>
      <c r="H190" s="10" t="s">
        <v>252</v>
      </c>
      <c r="I190" s="10" t="s">
        <v>24</v>
      </c>
      <c r="J190" s="11" t="s">
        <v>229</v>
      </c>
      <c r="K190" s="12">
        <v>1</v>
      </c>
      <c r="L190" s="6"/>
    </row>
    <row r="191" spans="1:12" x14ac:dyDescent="0.25">
      <c r="A191" s="13" t="s">
        <v>600</v>
      </c>
      <c r="B191" s="14" t="s">
        <v>80</v>
      </c>
      <c r="C191" s="14" t="s">
        <v>80</v>
      </c>
      <c r="D191" s="14" t="s">
        <v>567</v>
      </c>
      <c r="E191" s="10" t="s">
        <v>45</v>
      </c>
      <c r="F191" s="14" t="s">
        <v>385</v>
      </c>
      <c r="G191" s="14" t="s">
        <v>554</v>
      </c>
      <c r="H191" s="10" t="s">
        <v>385</v>
      </c>
      <c r="I191" s="10" t="s">
        <v>554</v>
      </c>
      <c r="J191" s="15" t="s">
        <v>229</v>
      </c>
      <c r="K191" s="16">
        <v>1</v>
      </c>
      <c r="L191" s="6"/>
    </row>
    <row r="192" spans="1:12" x14ac:dyDescent="0.25">
      <c r="A192" s="8" t="s">
        <v>601</v>
      </c>
      <c r="B192" s="9" t="s">
        <v>60</v>
      </c>
      <c r="C192" s="9" t="s">
        <v>60</v>
      </c>
      <c r="D192" s="9" t="s">
        <v>593</v>
      </c>
      <c r="E192" s="10" t="s">
        <v>45</v>
      </c>
      <c r="F192" s="9" t="s">
        <v>265</v>
      </c>
      <c r="G192" s="9" t="s">
        <v>290</v>
      </c>
      <c r="H192" s="10" t="s">
        <v>265</v>
      </c>
      <c r="I192" s="10" t="s">
        <v>290</v>
      </c>
      <c r="J192" s="11" t="s">
        <v>229</v>
      </c>
      <c r="K192" s="12">
        <v>1</v>
      </c>
      <c r="L192" s="6"/>
    </row>
    <row r="193" spans="1:12" x14ac:dyDescent="0.25">
      <c r="A193" s="13" t="s">
        <v>602</v>
      </c>
      <c r="B193" s="14" t="s">
        <v>71</v>
      </c>
      <c r="C193" s="14" t="s">
        <v>71</v>
      </c>
      <c r="D193" s="14" t="s">
        <v>571</v>
      </c>
      <c r="E193" s="10" t="s">
        <v>45</v>
      </c>
      <c r="F193" s="14" t="s">
        <v>257</v>
      </c>
      <c r="G193" s="14" t="s">
        <v>309</v>
      </c>
      <c r="H193" s="10" t="s">
        <v>257</v>
      </c>
      <c r="I193" s="10" t="s">
        <v>309</v>
      </c>
      <c r="J193" s="15" t="s">
        <v>229</v>
      </c>
      <c r="K193" s="16">
        <v>1</v>
      </c>
      <c r="L193" s="6"/>
    </row>
    <row r="194" spans="1:12" x14ac:dyDescent="0.25">
      <c r="A194" s="8" t="s">
        <v>603</v>
      </c>
      <c r="B194" s="9" t="s">
        <v>73</v>
      </c>
      <c r="C194" s="9" t="s">
        <v>73</v>
      </c>
      <c r="D194" s="9" t="s">
        <v>579</v>
      </c>
      <c r="E194" s="10" t="s">
        <v>45</v>
      </c>
      <c r="F194" s="9" t="s">
        <v>228</v>
      </c>
      <c r="G194" s="9" t="s">
        <v>18</v>
      </c>
      <c r="H194" s="10" t="s">
        <v>228</v>
      </c>
      <c r="I194" s="10" t="s">
        <v>18</v>
      </c>
      <c r="J194" s="11" t="s">
        <v>229</v>
      </c>
      <c r="K194" s="12">
        <v>1</v>
      </c>
      <c r="L194" s="6"/>
    </row>
    <row r="195" spans="1:12" x14ac:dyDescent="0.25">
      <c r="A195" s="13" t="s">
        <v>604</v>
      </c>
      <c r="B195" s="14" t="s">
        <v>61</v>
      </c>
      <c r="C195" s="14" t="s">
        <v>61</v>
      </c>
      <c r="D195" s="14" t="s">
        <v>567</v>
      </c>
      <c r="E195" s="10" t="s">
        <v>45</v>
      </c>
      <c r="F195" s="14" t="s">
        <v>385</v>
      </c>
      <c r="G195" s="14" t="s">
        <v>408</v>
      </c>
      <c r="H195" s="10" t="s">
        <v>385</v>
      </c>
      <c r="I195" s="10" t="s">
        <v>408</v>
      </c>
      <c r="J195" s="15" t="s">
        <v>229</v>
      </c>
      <c r="K195" s="16">
        <v>1</v>
      </c>
      <c r="L195" s="6"/>
    </row>
    <row r="196" spans="1:12" x14ac:dyDescent="0.25">
      <c r="A196" s="8" t="s">
        <v>605</v>
      </c>
      <c r="B196" s="9" t="s">
        <v>206</v>
      </c>
      <c r="C196" s="9" t="s">
        <v>206</v>
      </c>
      <c r="D196" s="9" t="s">
        <v>606</v>
      </c>
      <c r="E196" s="10" t="s">
        <v>45</v>
      </c>
      <c r="F196" s="9" t="s">
        <v>295</v>
      </c>
      <c r="G196" s="9" t="s">
        <v>394</v>
      </c>
      <c r="H196" s="10" t="s">
        <v>295</v>
      </c>
      <c r="I196" s="10" t="s">
        <v>37</v>
      </c>
      <c r="J196" s="11" t="s">
        <v>229</v>
      </c>
      <c r="K196" s="12">
        <v>1</v>
      </c>
      <c r="L196" s="6"/>
    </row>
    <row r="197" spans="1:12" x14ac:dyDescent="0.25">
      <c r="A197" s="13" t="s">
        <v>607</v>
      </c>
      <c r="B197" s="14" t="s">
        <v>188</v>
      </c>
      <c r="C197" s="14" t="s">
        <v>188</v>
      </c>
      <c r="D197" s="14" t="s">
        <v>583</v>
      </c>
      <c r="E197" s="10" t="s">
        <v>45</v>
      </c>
      <c r="F197" s="14" t="s">
        <v>233</v>
      </c>
      <c r="G197" s="14" t="s">
        <v>41</v>
      </c>
      <c r="H197" s="10" t="s">
        <v>233</v>
      </c>
      <c r="I197" s="10" t="s">
        <v>41</v>
      </c>
      <c r="J197" s="15" t="s">
        <v>229</v>
      </c>
      <c r="K197" s="16">
        <v>1</v>
      </c>
      <c r="L197" s="6"/>
    </row>
    <row r="198" spans="1:12" x14ac:dyDescent="0.25">
      <c r="A198" s="8" t="s">
        <v>608</v>
      </c>
      <c r="B198" s="9" t="s">
        <v>74</v>
      </c>
      <c r="C198" s="9" t="s">
        <v>74</v>
      </c>
      <c r="D198" s="9" t="s">
        <v>576</v>
      </c>
      <c r="E198" s="10" t="s">
        <v>45</v>
      </c>
      <c r="F198" s="9" t="s">
        <v>273</v>
      </c>
      <c r="G198" s="9" t="s">
        <v>32</v>
      </c>
      <c r="H198" s="10" t="s">
        <v>273</v>
      </c>
      <c r="I198" s="10" t="s">
        <v>32</v>
      </c>
      <c r="J198" s="11" t="s">
        <v>229</v>
      </c>
      <c r="K198" s="12">
        <v>1</v>
      </c>
      <c r="L198" s="6"/>
    </row>
    <row r="199" spans="1:12" x14ac:dyDescent="0.25">
      <c r="A199" s="13" t="s">
        <v>609</v>
      </c>
      <c r="B199" s="14" t="s">
        <v>84</v>
      </c>
      <c r="C199" s="14" t="s">
        <v>84</v>
      </c>
      <c r="D199" s="14" t="s">
        <v>606</v>
      </c>
      <c r="E199" s="10" t="s">
        <v>45</v>
      </c>
      <c r="F199" s="14" t="s">
        <v>295</v>
      </c>
      <c r="G199" s="14" t="s">
        <v>296</v>
      </c>
      <c r="H199" s="10" t="s">
        <v>295</v>
      </c>
      <c r="I199" s="10" t="s">
        <v>37</v>
      </c>
      <c r="J199" s="15" t="s">
        <v>229</v>
      </c>
      <c r="K199" s="16">
        <v>1</v>
      </c>
      <c r="L199" s="6"/>
    </row>
    <row r="200" spans="1:12" x14ac:dyDescent="0.25">
      <c r="A200" s="8" t="s">
        <v>610</v>
      </c>
      <c r="B200" s="9" t="s">
        <v>75</v>
      </c>
      <c r="C200" s="9" t="s">
        <v>75</v>
      </c>
      <c r="D200" s="9" t="s">
        <v>606</v>
      </c>
      <c r="E200" s="10" t="s">
        <v>45</v>
      </c>
      <c r="F200" s="9" t="s">
        <v>295</v>
      </c>
      <c r="G200" s="9" t="s">
        <v>199</v>
      </c>
      <c r="H200" s="10" t="s">
        <v>295</v>
      </c>
      <c r="I200" s="10" t="s">
        <v>199</v>
      </c>
      <c r="J200" s="11" t="s">
        <v>229</v>
      </c>
      <c r="K200" s="12">
        <v>1</v>
      </c>
      <c r="L200" s="6"/>
    </row>
    <row r="201" spans="1:12" x14ac:dyDescent="0.25">
      <c r="A201" s="13" t="s">
        <v>611</v>
      </c>
      <c r="B201" s="14" t="s">
        <v>62</v>
      </c>
      <c r="C201" s="14" t="s">
        <v>62</v>
      </c>
      <c r="D201" s="14" t="s">
        <v>579</v>
      </c>
      <c r="E201" s="10" t="s">
        <v>45</v>
      </c>
      <c r="F201" s="14" t="s">
        <v>228</v>
      </c>
      <c r="G201" s="14" t="s">
        <v>176</v>
      </c>
      <c r="H201" s="10" t="s">
        <v>228</v>
      </c>
      <c r="I201" s="10" t="s">
        <v>176</v>
      </c>
      <c r="J201" s="15" t="s">
        <v>229</v>
      </c>
      <c r="K201" s="16">
        <v>1</v>
      </c>
      <c r="L201" s="6"/>
    </row>
    <row r="202" spans="1:12" x14ac:dyDescent="0.25">
      <c r="A202" s="8" t="s">
        <v>612</v>
      </c>
      <c r="B202" s="9" t="s">
        <v>77</v>
      </c>
      <c r="C202" s="9" t="s">
        <v>613</v>
      </c>
      <c r="D202" s="9" t="s">
        <v>606</v>
      </c>
      <c r="E202" s="10" t="s">
        <v>45</v>
      </c>
      <c r="F202" s="9" t="s">
        <v>295</v>
      </c>
      <c r="G202" s="9" t="s">
        <v>557</v>
      </c>
      <c r="H202" s="10" t="s">
        <v>295</v>
      </c>
      <c r="I202" s="10" t="s">
        <v>557</v>
      </c>
      <c r="J202" s="11" t="s">
        <v>229</v>
      </c>
      <c r="K202" s="12">
        <v>1</v>
      </c>
      <c r="L202" s="6"/>
    </row>
    <row r="203" spans="1:12" x14ac:dyDescent="0.25">
      <c r="A203" s="13" t="s">
        <v>614</v>
      </c>
      <c r="B203" s="14" t="s">
        <v>82</v>
      </c>
      <c r="C203" s="14" t="s">
        <v>82</v>
      </c>
      <c r="D203" s="14" t="s">
        <v>583</v>
      </c>
      <c r="E203" s="10" t="s">
        <v>45</v>
      </c>
      <c r="F203" s="14" t="s">
        <v>233</v>
      </c>
      <c r="G203" s="14" t="s">
        <v>346</v>
      </c>
      <c r="H203" s="10" t="s">
        <v>233</v>
      </c>
      <c r="I203" s="10" t="s">
        <v>346</v>
      </c>
      <c r="J203" s="15" t="s">
        <v>229</v>
      </c>
      <c r="K203" s="16">
        <v>1</v>
      </c>
      <c r="L203" s="6"/>
    </row>
    <row r="204" spans="1:12" x14ac:dyDescent="0.25">
      <c r="A204" s="8" t="s">
        <v>615</v>
      </c>
      <c r="B204" s="9" t="s">
        <v>63</v>
      </c>
      <c r="C204" s="9" t="s">
        <v>63</v>
      </c>
      <c r="D204" s="9" t="s">
        <v>583</v>
      </c>
      <c r="E204" s="10" t="s">
        <v>45</v>
      </c>
      <c r="F204" s="9" t="s">
        <v>233</v>
      </c>
      <c r="G204" s="9" t="s">
        <v>388</v>
      </c>
      <c r="H204" s="10" t="s">
        <v>233</v>
      </c>
      <c r="I204" s="10" t="s">
        <v>388</v>
      </c>
      <c r="J204" s="11" t="s">
        <v>229</v>
      </c>
      <c r="K204" s="12">
        <v>1</v>
      </c>
      <c r="L204" s="6"/>
    </row>
    <row r="205" spans="1:12" x14ac:dyDescent="0.25">
      <c r="A205" s="13" t="s">
        <v>616</v>
      </c>
      <c r="B205" s="14" t="s">
        <v>64</v>
      </c>
      <c r="C205" s="14" t="s">
        <v>64</v>
      </c>
      <c r="D205" s="14" t="s">
        <v>583</v>
      </c>
      <c r="E205" s="10" t="s">
        <v>45</v>
      </c>
      <c r="F205" s="14" t="s">
        <v>233</v>
      </c>
      <c r="G205" s="14" t="s">
        <v>344</v>
      </c>
      <c r="H205" s="10" t="s">
        <v>233</v>
      </c>
      <c r="I205" s="10" t="s">
        <v>344</v>
      </c>
      <c r="J205" s="15" t="s">
        <v>229</v>
      </c>
      <c r="K205" s="16">
        <v>1</v>
      </c>
      <c r="L205" s="6"/>
    </row>
    <row r="206" spans="1:12" x14ac:dyDescent="0.25">
      <c r="A206" s="8" t="s">
        <v>617</v>
      </c>
      <c r="B206" s="9" t="s">
        <v>83</v>
      </c>
      <c r="C206" s="9" t="s">
        <v>83</v>
      </c>
      <c r="D206" s="9" t="s">
        <v>606</v>
      </c>
      <c r="E206" s="10" t="s">
        <v>45</v>
      </c>
      <c r="F206" s="9" t="s">
        <v>295</v>
      </c>
      <c r="G206" s="9" t="s">
        <v>362</v>
      </c>
      <c r="H206" s="10" t="s">
        <v>295</v>
      </c>
      <c r="I206" s="10" t="s">
        <v>362</v>
      </c>
      <c r="J206" s="11" t="s">
        <v>229</v>
      </c>
      <c r="K206" s="12">
        <v>1</v>
      </c>
      <c r="L206" s="6"/>
    </row>
    <row r="207" spans="1:12" x14ac:dyDescent="0.25">
      <c r="A207" s="13" t="s">
        <v>618</v>
      </c>
      <c r="B207" s="14" t="s">
        <v>619</v>
      </c>
      <c r="C207" s="14" t="s">
        <v>619</v>
      </c>
      <c r="D207" s="14" t="s">
        <v>565</v>
      </c>
      <c r="E207" s="10" t="s">
        <v>45</v>
      </c>
      <c r="F207" s="14" t="s">
        <v>246</v>
      </c>
      <c r="G207" s="14" t="s">
        <v>22</v>
      </c>
      <c r="H207" s="10" t="s">
        <v>246</v>
      </c>
      <c r="I207" s="10" t="s">
        <v>22</v>
      </c>
      <c r="J207" s="15" t="s">
        <v>229</v>
      </c>
      <c r="K207" s="16">
        <v>1</v>
      </c>
      <c r="L207" s="6"/>
    </row>
    <row r="208" spans="1:12" x14ac:dyDescent="0.25">
      <c r="A208" s="8" t="s">
        <v>620</v>
      </c>
      <c r="B208" s="9" t="s">
        <v>203</v>
      </c>
      <c r="C208" s="9" t="s">
        <v>203</v>
      </c>
      <c r="D208" s="9" t="s">
        <v>596</v>
      </c>
      <c r="E208" s="10" t="s">
        <v>45</v>
      </c>
      <c r="F208" s="9" t="s">
        <v>265</v>
      </c>
      <c r="G208" s="9" t="s">
        <v>263</v>
      </c>
      <c r="H208" s="10" t="s">
        <v>265</v>
      </c>
      <c r="I208" s="10" t="s">
        <v>263</v>
      </c>
      <c r="J208" s="11" t="s">
        <v>261</v>
      </c>
      <c r="K208" s="12">
        <v>1</v>
      </c>
      <c r="L208" s="6"/>
    </row>
    <row r="209" spans="1:12" x14ac:dyDescent="0.25">
      <c r="A209" s="13" t="s">
        <v>621</v>
      </c>
      <c r="B209" s="14" t="s">
        <v>68</v>
      </c>
      <c r="C209" s="14" t="s">
        <v>68</v>
      </c>
      <c r="D209" s="14" t="s">
        <v>596</v>
      </c>
      <c r="E209" s="10" t="s">
        <v>45</v>
      </c>
      <c r="F209" s="14" t="s">
        <v>265</v>
      </c>
      <c r="G209" s="9" t="s">
        <v>263</v>
      </c>
      <c r="H209" s="10" t="s">
        <v>265</v>
      </c>
      <c r="I209" s="10" t="s">
        <v>263</v>
      </c>
      <c r="J209" s="11" t="s">
        <v>261</v>
      </c>
      <c r="K209" s="16">
        <v>1</v>
      </c>
      <c r="L209" s="6"/>
    </row>
    <row r="210" spans="1:12" x14ac:dyDescent="0.25">
      <c r="A210" s="8" t="s">
        <v>622</v>
      </c>
      <c r="B210" s="9" t="s">
        <v>76</v>
      </c>
      <c r="C210" s="9" t="s">
        <v>76</v>
      </c>
      <c r="D210" s="9" t="s">
        <v>606</v>
      </c>
      <c r="E210" s="10" t="s">
        <v>45</v>
      </c>
      <c r="F210" s="9" t="s">
        <v>295</v>
      </c>
      <c r="G210" s="9" t="s">
        <v>199</v>
      </c>
      <c r="H210" s="10" t="s">
        <v>295</v>
      </c>
      <c r="I210" s="10" t="s">
        <v>199</v>
      </c>
      <c r="J210" s="11" t="s">
        <v>261</v>
      </c>
      <c r="K210" s="12">
        <v>1</v>
      </c>
      <c r="L210" s="6"/>
    </row>
    <row r="211" spans="1:12" x14ac:dyDescent="0.25">
      <c r="A211" s="13" t="s">
        <v>623</v>
      </c>
      <c r="B211" s="14" t="s">
        <v>85</v>
      </c>
      <c r="C211" s="14" t="s">
        <v>85</v>
      </c>
      <c r="D211" s="14" t="s">
        <v>567</v>
      </c>
      <c r="E211" s="10" t="s">
        <v>45</v>
      </c>
      <c r="F211" s="14" t="s">
        <v>385</v>
      </c>
      <c r="G211" s="14" t="s">
        <v>560</v>
      </c>
      <c r="H211" s="10" t="s">
        <v>233</v>
      </c>
      <c r="I211" s="10" t="s">
        <v>560</v>
      </c>
      <c r="J211" s="15" t="s">
        <v>229</v>
      </c>
      <c r="K211" s="16">
        <v>1</v>
      </c>
      <c r="L211" s="6"/>
    </row>
    <row r="212" spans="1:12" x14ac:dyDescent="0.25">
      <c r="A212" s="8" t="s">
        <v>624</v>
      </c>
      <c r="B212" s="9" t="s">
        <v>625</v>
      </c>
      <c r="C212" s="9" t="s">
        <v>46</v>
      </c>
      <c r="D212" s="9" t="s">
        <v>562</v>
      </c>
      <c r="E212" s="10" t="s">
        <v>45</v>
      </c>
      <c r="F212" s="9" t="s">
        <v>246</v>
      </c>
      <c r="G212" s="9" t="s">
        <v>331</v>
      </c>
      <c r="H212" s="10" t="s">
        <v>246</v>
      </c>
      <c r="I212" s="10" t="s">
        <v>331</v>
      </c>
      <c r="J212" s="11" t="s">
        <v>229</v>
      </c>
      <c r="K212" s="12">
        <v>1</v>
      </c>
      <c r="L212" s="6"/>
    </row>
    <row r="213" spans="1:12" x14ac:dyDescent="0.25">
      <c r="A213" s="13" t="s">
        <v>626</v>
      </c>
      <c r="B213" s="14" t="s">
        <v>627</v>
      </c>
      <c r="C213" s="14" t="s">
        <v>627</v>
      </c>
      <c r="D213" s="14" t="s">
        <v>569</v>
      </c>
      <c r="E213" s="10" t="s">
        <v>45</v>
      </c>
      <c r="F213" s="14" t="s">
        <v>252</v>
      </c>
      <c r="G213" s="14" t="s">
        <v>34</v>
      </c>
      <c r="H213" s="10" t="s">
        <v>252</v>
      </c>
      <c r="I213" s="10" t="s">
        <v>34</v>
      </c>
      <c r="J213" s="15" t="s">
        <v>229</v>
      </c>
      <c r="K213" s="16">
        <v>1</v>
      </c>
      <c r="L213" s="6"/>
    </row>
    <row r="214" spans="1:12" x14ac:dyDescent="0.25">
      <c r="A214" s="8" t="s">
        <v>628</v>
      </c>
      <c r="B214" s="9" t="s">
        <v>174</v>
      </c>
      <c r="C214" s="9" t="s">
        <v>174</v>
      </c>
      <c r="D214" s="9" t="s">
        <v>579</v>
      </c>
      <c r="E214" s="10" t="s">
        <v>45</v>
      </c>
      <c r="F214" s="9" t="s">
        <v>228</v>
      </c>
      <c r="G214" s="9" t="s">
        <v>173</v>
      </c>
      <c r="H214" s="10" t="s">
        <v>228</v>
      </c>
      <c r="I214" s="10" t="s">
        <v>173</v>
      </c>
      <c r="J214" s="11" t="s">
        <v>229</v>
      </c>
      <c r="K214" s="12">
        <v>1</v>
      </c>
      <c r="L214" s="6"/>
    </row>
    <row r="215" spans="1:12" x14ac:dyDescent="0.25">
      <c r="A215" s="13" t="s">
        <v>629</v>
      </c>
      <c r="B215" s="14" t="s">
        <v>65</v>
      </c>
      <c r="C215" s="14" t="s">
        <v>65</v>
      </c>
      <c r="D215" s="14" t="s">
        <v>583</v>
      </c>
      <c r="E215" s="10" t="s">
        <v>45</v>
      </c>
      <c r="F215" s="14" t="s">
        <v>233</v>
      </c>
      <c r="G215" s="14" t="s">
        <v>326</v>
      </c>
      <c r="H215" s="10" t="s">
        <v>233</v>
      </c>
      <c r="I215" s="10" t="s">
        <v>234</v>
      </c>
      <c r="J215" s="15" t="s">
        <v>229</v>
      </c>
      <c r="K215" s="16">
        <v>1</v>
      </c>
      <c r="L215" s="6"/>
    </row>
    <row r="216" spans="1:12" x14ac:dyDescent="0.25">
      <c r="A216" s="8" t="s">
        <v>630</v>
      </c>
      <c r="B216" s="9" t="s">
        <v>78</v>
      </c>
      <c r="C216" s="9" t="s">
        <v>78</v>
      </c>
      <c r="D216" s="9" t="s">
        <v>579</v>
      </c>
      <c r="E216" s="10" t="s">
        <v>45</v>
      </c>
      <c r="F216" s="9" t="s">
        <v>228</v>
      </c>
      <c r="G216" s="9" t="s">
        <v>10</v>
      </c>
      <c r="H216" s="10" t="s">
        <v>228</v>
      </c>
      <c r="I216" s="10" t="s">
        <v>10</v>
      </c>
      <c r="J216" s="11" t="s">
        <v>229</v>
      </c>
      <c r="K216" s="12">
        <v>1</v>
      </c>
      <c r="L216" s="6"/>
    </row>
    <row r="217" spans="1:12" x14ac:dyDescent="0.25">
      <c r="A217" s="13" t="s">
        <v>631</v>
      </c>
      <c r="B217" s="14" t="s">
        <v>72</v>
      </c>
      <c r="C217" s="14" t="s">
        <v>72</v>
      </c>
      <c r="D217" s="14" t="s">
        <v>579</v>
      </c>
      <c r="E217" s="10" t="s">
        <v>45</v>
      </c>
      <c r="F217" s="14" t="s">
        <v>228</v>
      </c>
      <c r="G217" s="14" t="s">
        <v>42</v>
      </c>
      <c r="H217" s="10" t="s">
        <v>228</v>
      </c>
      <c r="I217" s="10" t="s">
        <v>42</v>
      </c>
      <c r="J217" s="15" t="s">
        <v>229</v>
      </c>
      <c r="K217" s="16">
        <v>1</v>
      </c>
      <c r="L217" s="6"/>
    </row>
    <row r="218" spans="1:12" x14ac:dyDescent="0.25">
      <c r="A218" s="8" t="s">
        <v>632</v>
      </c>
      <c r="B218" s="9" t="s">
        <v>131</v>
      </c>
      <c r="C218" s="9" t="s">
        <v>131</v>
      </c>
      <c r="D218" s="9" t="s">
        <v>571</v>
      </c>
      <c r="E218" s="10" t="s">
        <v>45</v>
      </c>
      <c r="F218" s="9" t="s">
        <v>257</v>
      </c>
      <c r="G218" s="9" t="s">
        <v>292</v>
      </c>
      <c r="H218" s="10" t="s">
        <v>257</v>
      </c>
      <c r="I218" s="10" t="s">
        <v>30</v>
      </c>
      <c r="J218" s="11" t="s">
        <v>229</v>
      </c>
      <c r="K218" s="12">
        <v>1</v>
      </c>
      <c r="L218" s="6"/>
    </row>
    <row r="219" spans="1:12" x14ac:dyDescent="0.25">
      <c r="A219" s="13" t="s">
        <v>633</v>
      </c>
      <c r="B219" s="14" t="s">
        <v>634</v>
      </c>
      <c r="C219" s="14" t="s">
        <v>33</v>
      </c>
      <c r="D219" s="14" t="s">
        <v>277</v>
      </c>
      <c r="E219" s="10" t="s">
        <v>5</v>
      </c>
      <c r="F219" s="14" t="s">
        <v>273</v>
      </c>
      <c r="G219" s="14" t="s">
        <v>33</v>
      </c>
      <c r="H219" s="10" t="s">
        <v>273</v>
      </c>
      <c r="I219" s="10" t="s">
        <v>33</v>
      </c>
      <c r="J219" s="15" t="s">
        <v>229</v>
      </c>
      <c r="K219" s="16">
        <v>1</v>
      </c>
      <c r="L219" s="6"/>
    </row>
    <row r="220" spans="1:12" x14ac:dyDescent="0.25">
      <c r="A220" s="21" t="s">
        <v>635</v>
      </c>
      <c r="B220" s="7" t="s">
        <v>636</v>
      </c>
      <c r="C220" s="7" t="s">
        <v>636</v>
      </c>
      <c r="D220" s="7" t="s">
        <v>637</v>
      </c>
      <c r="E220" s="10" t="s">
        <v>638</v>
      </c>
      <c r="F220" s="7" t="s">
        <v>639</v>
      </c>
      <c r="G220" s="7" t="s">
        <v>636</v>
      </c>
      <c r="H220" s="10" t="s">
        <v>246</v>
      </c>
      <c r="I220" s="10" t="s">
        <v>269</v>
      </c>
      <c r="J220" s="7" t="s">
        <v>640</v>
      </c>
      <c r="K220" s="22">
        <v>1</v>
      </c>
      <c r="L220" s="23"/>
    </row>
    <row r="221" spans="1:12" x14ac:dyDescent="0.25">
      <c r="A221" s="24" t="s">
        <v>641</v>
      </c>
      <c r="B221" s="7" t="s">
        <v>642</v>
      </c>
      <c r="C221" s="7" t="s">
        <v>642</v>
      </c>
      <c r="D221" s="7" t="s">
        <v>637</v>
      </c>
      <c r="E221" s="10" t="s">
        <v>638</v>
      </c>
      <c r="F221" s="7" t="s">
        <v>639</v>
      </c>
      <c r="G221" s="7" t="s">
        <v>642</v>
      </c>
      <c r="H221" s="10" t="s">
        <v>385</v>
      </c>
      <c r="I221" s="10" t="s">
        <v>383</v>
      </c>
      <c r="J221" s="7" t="s">
        <v>229</v>
      </c>
      <c r="K221" s="22">
        <v>1</v>
      </c>
      <c r="L221" s="23"/>
    </row>
    <row r="222" spans="1:12" x14ac:dyDescent="0.25">
      <c r="A222" s="24" t="s">
        <v>643</v>
      </c>
      <c r="B222" s="7" t="s">
        <v>644</v>
      </c>
      <c r="C222" s="7" t="s">
        <v>644</v>
      </c>
      <c r="D222" s="7" t="s">
        <v>637</v>
      </c>
      <c r="E222" s="10" t="s">
        <v>638</v>
      </c>
      <c r="F222" s="7" t="s">
        <v>639</v>
      </c>
      <c r="G222" s="7" t="s">
        <v>644</v>
      </c>
      <c r="H222" s="10" t="s">
        <v>233</v>
      </c>
      <c r="I222" s="10" t="s">
        <v>41</v>
      </c>
      <c r="J222" s="7" t="s">
        <v>229</v>
      </c>
      <c r="K222" s="22">
        <v>1</v>
      </c>
      <c r="L222" s="23"/>
    </row>
    <row r="223" spans="1:12" ht="13.8" x14ac:dyDescent="0.25">
      <c r="A223" s="25" t="s">
        <v>645</v>
      </c>
      <c r="B223" s="26" t="s">
        <v>589</v>
      </c>
      <c r="C223" s="26" t="s">
        <v>589</v>
      </c>
      <c r="D223" s="26" t="s">
        <v>565</v>
      </c>
      <c r="E223" s="10" t="s">
        <v>5</v>
      </c>
      <c r="F223" s="26" t="s">
        <v>246</v>
      </c>
      <c r="G223" s="26" t="s">
        <v>590</v>
      </c>
      <c r="H223" s="10" t="s">
        <v>246</v>
      </c>
      <c r="I223" s="10" t="s">
        <v>590</v>
      </c>
      <c r="J223" s="7" t="s">
        <v>229</v>
      </c>
      <c r="K223" s="22">
        <v>1</v>
      </c>
      <c r="L223" s="23"/>
    </row>
    <row r="224" spans="1:12" x14ac:dyDescent="0.25">
      <c r="A224" s="7" t="s">
        <v>646</v>
      </c>
      <c r="B224" s="7" t="s">
        <v>647</v>
      </c>
      <c r="C224" s="7" t="s">
        <v>647</v>
      </c>
      <c r="D224" s="7" t="s">
        <v>637</v>
      </c>
      <c r="E224" s="10" t="s">
        <v>638</v>
      </c>
      <c r="F224" s="7" t="s">
        <v>639</v>
      </c>
      <c r="G224" s="7" t="s">
        <v>647</v>
      </c>
      <c r="H224" s="10" t="s">
        <v>228</v>
      </c>
      <c r="I224" s="10" t="s">
        <v>18</v>
      </c>
      <c r="J224" s="7" t="s">
        <v>229</v>
      </c>
      <c r="K224" s="22">
        <v>1</v>
      </c>
    </row>
    <row r="225" spans="1:11" x14ac:dyDescent="0.25">
      <c r="A225" s="7" t="s">
        <v>648</v>
      </c>
      <c r="B225" s="7" t="s">
        <v>649</v>
      </c>
      <c r="C225" s="7" t="s">
        <v>649</v>
      </c>
      <c r="D225" s="7" t="s">
        <v>637</v>
      </c>
      <c r="E225" s="10" t="s">
        <v>638</v>
      </c>
      <c r="F225" s="7" t="s">
        <v>639</v>
      </c>
      <c r="G225" s="7" t="s">
        <v>649</v>
      </c>
      <c r="H225" s="10" t="s">
        <v>233</v>
      </c>
      <c r="I225" s="10" t="s">
        <v>346</v>
      </c>
      <c r="J225" s="7" t="s">
        <v>229</v>
      </c>
      <c r="K225" s="22">
        <v>1</v>
      </c>
    </row>
    <row r="226" spans="1:11" x14ac:dyDescent="0.25">
      <c r="A226" s="27" t="s">
        <v>650</v>
      </c>
      <c r="B226" s="7" t="s">
        <v>651</v>
      </c>
      <c r="C226" s="7" t="s">
        <v>651</v>
      </c>
      <c r="D226" s="7" t="s">
        <v>637</v>
      </c>
      <c r="E226" s="10" t="s">
        <v>638</v>
      </c>
      <c r="F226" s="7" t="s">
        <v>639</v>
      </c>
      <c r="G226" s="7" t="s">
        <v>651</v>
      </c>
      <c r="H226" s="10" t="s">
        <v>233</v>
      </c>
      <c r="I226" s="10" t="s">
        <v>560</v>
      </c>
      <c r="J226" s="7" t="s">
        <v>229</v>
      </c>
      <c r="K226" s="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W123"/>
  <sheetViews>
    <sheetView showGridLines="0" workbookViewId="0">
      <pane xSplit="7" ySplit="7" topLeftCell="AU102" activePane="bottomRight" state="frozen"/>
      <selection activeCell="AJ28" sqref="AJ28:AJ29"/>
      <selection pane="topRight" activeCell="AJ28" sqref="AJ28:AJ29"/>
      <selection pane="bottomLeft" activeCell="AJ28" sqref="AJ28:AJ29"/>
      <selection pane="bottomRight" activeCell="A2" sqref="A2"/>
    </sheetView>
  </sheetViews>
  <sheetFormatPr defaultColWidth="9.109375" defaultRowHeight="13.2" x14ac:dyDescent="0.25"/>
  <cols>
    <col min="1" max="1" width="14.109375" style="159" bestFit="1" customWidth="1"/>
    <col min="2" max="2" width="15.109375" style="159" bestFit="1" customWidth="1"/>
    <col min="3" max="3" width="22.5546875" style="159" bestFit="1" customWidth="1"/>
    <col min="4" max="4" width="24.44140625" style="159" bestFit="1" customWidth="1"/>
    <col min="5" max="5" width="20.44140625" style="159" bestFit="1" customWidth="1"/>
    <col min="6" max="6" width="22.88671875" style="159" bestFit="1" customWidth="1"/>
    <col min="7" max="7" width="28.5546875" style="159" customWidth="1"/>
    <col min="8" max="8" width="19.5546875" style="159" bestFit="1" customWidth="1"/>
    <col min="9" max="9" width="39.33203125" style="159" bestFit="1" customWidth="1"/>
    <col min="10" max="10" width="23.5546875" style="159" bestFit="1" customWidth="1"/>
    <col min="11" max="11" width="23" style="159" bestFit="1" customWidth="1"/>
    <col min="12" max="12" width="24.5546875" style="159" bestFit="1" customWidth="1"/>
    <col min="13" max="14" width="14.109375" style="159" bestFit="1" customWidth="1"/>
    <col min="15" max="16" width="144.88671875" style="159" bestFit="1" customWidth="1"/>
    <col min="17" max="17" width="159.88671875" style="159" bestFit="1" customWidth="1"/>
    <col min="18" max="18" width="27.33203125" style="159" bestFit="1" customWidth="1"/>
    <col min="19" max="19" width="24.5546875" style="159" bestFit="1" customWidth="1"/>
    <col min="20" max="20" width="22.33203125" style="159" bestFit="1" customWidth="1"/>
    <col min="21" max="21" width="27.33203125" style="159" bestFit="1" customWidth="1"/>
    <col min="22" max="22" width="35.88671875" style="159" bestFit="1" customWidth="1"/>
    <col min="23" max="23" width="13.6640625" style="159" bestFit="1" customWidth="1"/>
    <col min="24" max="24" width="24" style="159" bestFit="1" customWidth="1"/>
    <col min="25" max="25" width="21.88671875" style="159" bestFit="1" customWidth="1"/>
    <col min="26" max="26" width="35.88671875" style="159" bestFit="1" customWidth="1"/>
    <col min="27" max="27" width="23.44140625" style="159" bestFit="1" customWidth="1"/>
    <col min="28" max="28" width="29.88671875" style="159" bestFit="1" customWidth="1"/>
    <col min="29" max="29" width="27.88671875" style="159" bestFit="1" customWidth="1"/>
    <col min="30" max="30" width="10.109375" style="159" bestFit="1" customWidth="1"/>
    <col min="31" max="31" width="19.33203125" style="159" bestFit="1" customWidth="1"/>
    <col min="32" max="32" width="23" style="159" bestFit="1" customWidth="1"/>
    <col min="33" max="33" width="15.44140625" style="159" bestFit="1" customWidth="1"/>
    <col min="34" max="34" width="14.109375" style="159" bestFit="1" customWidth="1"/>
    <col min="35" max="35" width="19.33203125" style="159" bestFit="1" customWidth="1"/>
    <col min="36" max="36" width="23" style="159" bestFit="1" customWidth="1"/>
    <col min="37" max="37" width="52.109375" style="159" bestFit="1" customWidth="1"/>
    <col min="38" max="38" width="42.33203125" style="159" bestFit="1" customWidth="1"/>
    <col min="39" max="39" width="50.109375" style="159" bestFit="1" customWidth="1"/>
    <col min="40" max="40" width="40.44140625" style="159" bestFit="1" customWidth="1"/>
    <col min="41" max="41" width="17.44140625" style="159" bestFit="1" customWidth="1"/>
    <col min="42" max="42" width="18.6640625" style="159" bestFit="1" customWidth="1"/>
    <col min="43" max="43" width="29.33203125" style="159" bestFit="1" customWidth="1"/>
    <col min="44" max="44" width="33.6640625" style="159" bestFit="1" customWidth="1"/>
    <col min="45" max="45" width="49.5546875" style="159" bestFit="1" customWidth="1"/>
    <col min="46" max="46" width="20.109375" style="159" bestFit="1" customWidth="1"/>
    <col min="47" max="47" width="19.5546875" style="159" bestFit="1" customWidth="1"/>
    <col min="48" max="49" width="20" style="159" bestFit="1" customWidth="1"/>
    <col min="50" max="16384" width="9.109375" style="159"/>
  </cols>
  <sheetData>
    <row r="1" spans="1:49" s="22" customFormat="1" x14ac:dyDescent="0.25">
      <c r="A1" s="75" t="s">
        <v>87</v>
      </c>
      <c r="B1" s="76" t="s">
        <v>762</v>
      </c>
      <c r="C1" s="76" t="s">
        <v>88</v>
      </c>
      <c r="D1" s="76" t="s">
        <v>89</v>
      </c>
      <c r="E1" s="76" t="s">
        <v>90</v>
      </c>
      <c r="F1" s="76" t="s">
        <v>91</v>
      </c>
      <c r="G1" s="76" t="s">
        <v>92</v>
      </c>
      <c r="H1" s="78" t="s">
        <v>4</v>
      </c>
      <c r="I1" s="78" t="s">
        <v>93</v>
      </c>
      <c r="J1" s="76" t="s">
        <v>2</v>
      </c>
      <c r="K1" s="76" t="s">
        <v>3</v>
      </c>
      <c r="L1" s="76" t="s">
        <v>94</v>
      </c>
      <c r="M1" s="76" t="s">
        <v>95</v>
      </c>
      <c r="N1" s="76" t="s">
        <v>96</v>
      </c>
      <c r="O1" s="76" t="s">
        <v>653</v>
      </c>
      <c r="P1" s="76" t="s">
        <v>654</v>
      </c>
      <c r="Q1" s="76" t="s">
        <v>655</v>
      </c>
      <c r="R1" s="76" t="s">
        <v>656</v>
      </c>
      <c r="S1" s="79" t="s">
        <v>97</v>
      </c>
      <c r="T1" s="79" t="s">
        <v>98</v>
      </c>
      <c r="U1" s="79" t="s">
        <v>99</v>
      </c>
      <c r="V1" s="79" t="s">
        <v>100</v>
      </c>
      <c r="W1" s="79" t="s">
        <v>101</v>
      </c>
      <c r="X1" s="79" t="s">
        <v>102</v>
      </c>
      <c r="Y1" s="76" t="s">
        <v>1</v>
      </c>
      <c r="Z1" s="79" t="s">
        <v>103</v>
      </c>
      <c r="AA1" s="78" t="s">
        <v>104</v>
      </c>
      <c r="AB1" s="79" t="s">
        <v>105</v>
      </c>
      <c r="AC1" s="79" t="s">
        <v>106</v>
      </c>
      <c r="AD1" s="76" t="s">
        <v>107</v>
      </c>
      <c r="AE1" s="79" t="s">
        <v>108</v>
      </c>
      <c r="AF1" s="79" t="s">
        <v>109</v>
      </c>
      <c r="AG1" s="79" t="s">
        <v>110</v>
      </c>
      <c r="AH1" s="78" t="s">
        <v>111</v>
      </c>
      <c r="AI1" s="76" t="s">
        <v>112</v>
      </c>
      <c r="AJ1" s="79" t="s">
        <v>113</v>
      </c>
      <c r="AK1" s="76" t="s">
        <v>114</v>
      </c>
      <c r="AL1" s="76" t="s">
        <v>115</v>
      </c>
      <c r="AM1" s="79" t="s">
        <v>116</v>
      </c>
      <c r="AN1" s="79" t="s">
        <v>117</v>
      </c>
      <c r="AO1" s="77" t="s">
        <v>215</v>
      </c>
      <c r="AP1" s="77" t="s">
        <v>663</v>
      </c>
      <c r="AQ1" s="77" t="s">
        <v>767</v>
      </c>
      <c r="AR1" s="77" t="s">
        <v>763</v>
      </c>
      <c r="AS1" s="77" t="s">
        <v>764</v>
      </c>
      <c r="AT1" s="77" t="s">
        <v>765</v>
      </c>
      <c r="AU1" s="77" t="s">
        <v>766</v>
      </c>
      <c r="AV1" s="152" t="s">
        <v>798</v>
      </c>
      <c r="AW1" s="152" t="s">
        <v>798</v>
      </c>
    </row>
    <row r="2" spans="1:49" x14ac:dyDescent="0.25">
      <c r="A2" s="129" t="s">
        <v>118</v>
      </c>
      <c r="B2" s="130" t="s">
        <v>566</v>
      </c>
      <c r="C2" s="130" t="s">
        <v>119</v>
      </c>
      <c r="D2" s="130" t="s">
        <v>47</v>
      </c>
      <c r="E2" s="130" t="s">
        <v>45</v>
      </c>
      <c r="F2" s="130" t="s">
        <v>1402</v>
      </c>
      <c r="G2" s="130" t="s">
        <v>1403</v>
      </c>
      <c r="H2" s="153">
        <v>41354</v>
      </c>
      <c r="I2" s="153">
        <v>43220</v>
      </c>
      <c r="J2" s="130" t="s">
        <v>7</v>
      </c>
      <c r="K2" s="130" t="s">
        <v>134</v>
      </c>
      <c r="L2" s="130" t="s">
        <v>835</v>
      </c>
      <c r="M2" s="130" t="s">
        <v>1404</v>
      </c>
      <c r="N2" s="130"/>
      <c r="O2" s="130" t="s">
        <v>1405</v>
      </c>
      <c r="P2" s="130" t="s">
        <v>1406</v>
      </c>
      <c r="Q2" s="130"/>
      <c r="R2" s="130"/>
      <c r="S2" s="154">
        <v>0</v>
      </c>
      <c r="T2" s="154">
        <v>17658936.420000002</v>
      </c>
      <c r="U2" s="154">
        <v>0</v>
      </c>
      <c r="V2" s="154">
        <v>17658936.420000002</v>
      </c>
      <c r="W2" s="154">
        <v>0</v>
      </c>
      <c r="X2" s="154">
        <v>17658936.420000002</v>
      </c>
      <c r="Y2" s="130" t="s">
        <v>16</v>
      </c>
      <c r="Z2" s="154">
        <v>0</v>
      </c>
      <c r="AA2" s="153">
        <v>46167</v>
      </c>
      <c r="AB2" s="154">
        <v>13500000</v>
      </c>
      <c r="AC2" s="154">
        <v>13500000</v>
      </c>
      <c r="AD2" s="130" t="s">
        <v>121</v>
      </c>
      <c r="AE2" s="154">
        <v>0</v>
      </c>
      <c r="AF2" s="154">
        <v>4158936.42</v>
      </c>
      <c r="AG2" s="154">
        <v>0</v>
      </c>
      <c r="AH2" s="153">
        <v>46168</v>
      </c>
      <c r="AI2" s="130" t="s">
        <v>122</v>
      </c>
      <c r="AJ2" s="154">
        <v>4158936.42</v>
      </c>
      <c r="AK2" s="130">
        <v>0.24</v>
      </c>
      <c r="AL2" s="130">
        <v>0.24</v>
      </c>
      <c r="AM2" s="154">
        <v>0</v>
      </c>
      <c r="AN2" s="154">
        <v>0</v>
      </c>
      <c r="AO2" s="155" t="s">
        <v>385</v>
      </c>
      <c r="AP2" s="155" t="s">
        <v>383</v>
      </c>
      <c r="AQ2" s="155">
        <v>25</v>
      </c>
      <c r="AR2" s="155" t="s">
        <v>1495</v>
      </c>
      <c r="AS2" s="155" t="s">
        <v>1496</v>
      </c>
      <c r="AT2" s="155" t="s">
        <v>778</v>
      </c>
      <c r="AU2" s="155" t="b">
        <v>0</v>
      </c>
      <c r="AV2" s="156">
        <f ca="1">IF(AQ2&lt;=DAY(TODAY()),1,0)</f>
        <v>0</v>
      </c>
      <c r="AW2" s="156">
        <f ca="1">IF(AQ2=DAY(TODAY()),1,0)</f>
        <v>0</v>
      </c>
    </row>
    <row r="3" spans="1:49" x14ac:dyDescent="0.25">
      <c r="A3" s="131" t="s">
        <v>197</v>
      </c>
      <c r="B3" s="132" t="s">
        <v>592</v>
      </c>
      <c r="C3" s="132" t="s">
        <v>207</v>
      </c>
      <c r="D3" s="132" t="s">
        <v>56</v>
      </c>
      <c r="E3" s="132" t="s">
        <v>45</v>
      </c>
      <c r="F3" s="132" t="s">
        <v>1478</v>
      </c>
      <c r="G3" s="132" t="s">
        <v>1479</v>
      </c>
      <c r="H3" s="157">
        <v>42590</v>
      </c>
      <c r="I3" s="157">
        <v>44067</v>
      </c>
      <c r="J3" s="132" t="s">
        <v>7</v>
      </c>
      <c r="K3" s="132" t="s">
        <v>886</v>
      </c>
      <c r="L3" s="132" t="s">
        <v>832</v>
      </c>
      <c r="M3" s="132" t="s">
        <v>1480</v>
      </c>
      <c r="N3" s="132" t="s">
        <v>0</v>
      </c>
      <c r="O3" s="132" t="s">
        <v>1481</v>
      </c>
      <c r="P3" s="132" t="s">
        <v>1482</v>
      </c>
      <c r="Q3" s="132" t="s">
        <v>1481</v>
      </c>
      <c r="R3" s="132"/>
      <c r="S3" s="158">
        <v>0</v>
      </c>
      <c r="T3" s="158">
        <v>5894680</v>
      </c>
      <c r="U3" s="158">
        <v>0</v>
      </c>
      <c r="V3" s="158">
        <v>5894680</v>
      </c>
      <c r="W3" s="158">
        <v>1000</v>
      </c>
      <c r="X3" s="158">
        <v>5893680</v>
      </c>
      <c r="Y3" s="132" t="s">
        <v>40</v>
      </c>
      <c r="Z3" s="158">
        <v>0</v>
      </c>
      <c r="AA3" s="157">
        <v>46171</v>
      </c>
      <c r="AB3" s="158">
        <v>4715000</v>
      </c>
      <c r="AC3" s="158">
        <v>4715000</v>
      </c>
      <c r="AD3" s="132" t="s">
        <v>121</v>
      </c>
      <c r="AE3" s="158">
        <v>0</v>
      </c>
      <c r="AF3" s="158">
        <v>1178736</v>
      </c>
      <c r="AG3" s="158">
        <v>0</v>
      </c>
      <c r="AH3" s="157">
        <v>46171</v>
      </c>
      <c r="AI3" s="132" t="s">
        <v>9</v>
      </c>
      <c r="AJ3" s="158">
        <v>1178736</v>
      </c>
      <c r="AK3" s="132">
        <v>0.2</v>
      </c>
      <c r="AL3" s="132">
        <v>0.2</v>
      </c>
      <c r="AM3" s="158">
        <v>944</v>
      </c>
      <c r="AN3" s="158">
        <v>-56</v>
      </c>
      <c r="AO3" s="155" t="s">
        <v>265</v>
      </c>
      <c r="AP3" s="155" t="s">
        <v>288</v>
      </c>
      <c r="AQ3" s="155">
        <v>29</v>
      </c>
      <c r="AR3" s="155" t="s">
        <v>1495</v>
      </c>
      <c r="AS3" s="155" t="s">
        <v>1497</v>
      </c>
      <c r="AT3" s="155" t="s">
        <v>778</v>
      </c>
      <c r="AU3" s="155" t="b">
        <v>0</v>
      </c>
      <c r="AV3" s="156">
        <f t="shared" ref="AV3:AV66" ca="1" si="0">IF(AQ3&lt;=DAY(TODAY()),1,0)</f>
        <v>0</v>
      </c>
      <c r="AW3" s="156">
        <f t="shared" ref="AW3:AW66" ca="1" si="1">IF(AQ3=DAY(TODAY()),1,0)</f>
        <v>0</v>
      </c>
    </row>
    <row r="4" spans="1:49" x14ac:dyDescent="0.25">
      <c r="A4" s="129" t="s">
        <v>149</v>
      </c>
      <c r="B4" s="130" t="s">
        <v>598</v>
      </c>
      <c r="C4" s="130" t="s">
        <v>157</v>
      </c>
      <c r="D4" s="130" t="s">
        <v>59</v>
      </c>
      <c r="E4" s="130" t="s">
        <v>45</v>
      </c>
      <c r="F4" s="130" t="s">
        <v>955</v>
      </c>
      <c r="G4" s="130" t="s">
        <v>956</v>
      </c>
      <c r="H4" s="153">
        <v>43099</v>
      </c>
      <c r="I4" s="153">
        <v>44874</v>
      </c>
      <c r="J4" s="130" t="s">
        <v>7</v>
      </c>
      <c r="K4" s="130" t="s">
        <v>120</v>
      </c>
      <c r="L4" s="130" t="s">
        <v>836</v>
      </c>
      <c r="M4" s="130" t="s">
        <v>957</v>
      </c>
      <c r="N4" s="130" t="s">
        <v>958</v>
      </c>
      <c r="O4" s="130" t="s">
        <v>959</v>
      </c>
      <c r="P4" s="130" t="s">
        <v>959</v>
      </c>
      <c r="Q4" s="130" t="s">
        <v>959</v>
      </c>
      <c r="R4" s="130"/>
      <c r="S4" s="154">
        <v>0</v>
      </c>
      <c r="T4" s="154">
        <v>17168000</v>
      </c>
      <c r="U4" s="154">
        <v>10000</v>
      </c>
      <c r="V4" s="154">
        <v>17178000</v>
      </c>
      <c r="W4" s="154">
        <v>0</v>
      </c>
      <c r="X4" s="154">
        <v>17178000</v>
      </c>
      <c r="Y4" s="130" t="s">
        <v>16</v>
      </c>
      <c r="Z4" s="154">
        <v>0</v>
      </c>
      <c r="AA4" s="153">
        <v>46146</v>
      </c>
      <c r="AB4" s="154">
        <v>12100000</v>
      </c>
      <c r="AC4" s="154">
        <v>12100000</v>
      </c>
      <c r="AD4" s="130" t="s">
        <v>123</v>
      </c>
      <c r="AE4" s="154">
        <v>0</v>
      </c>
      <c r="AF4" s="154">
        <v>5078000</v>
      </c>
      <c r="AG4" s="154">
        <v>0</v>
      </c>
      <c r="AH4" s="153">
        <v>46146</v>
      </c>
      <c r="AI4" s="130" t="s">
        <v>122</v>
      </c>
      <c r="AJ4" s="154">
        <v>5078000</v>
      </c>
      <c r="AK4" s="130">
        <v>0.3</v>
      </c>
      <c r="AL4" s="130">
        <v>0.3</v>
      </c>
      <c r="AM4" s="154">
        <v>0</v>
      </c>
      <c r="AN4" s="154">
        <v>0</v>
      </c>
      <c r="AO4" s="155" t="s">
        <v>273</v>
      </c>
      <c r="AP4" s="155" t="s">
        <v>307</v>
      </c>
      <c r="AQ4" s="155">
        <v>4</v>
      </c>
      <c r="AR4" s="155" t="s">
        <v>1495</v>
      </c>
      <c r="AS4" s="155" t="s">
        <v>888</v>
      </c>
      <c r="AT4" s="155" t="s">
        <v>778</v>
      </c>
      <c r="AU4" s="155" t="b">
        <v>0</v>
      </c>
      <c r="AV4" s="156">
        <f t="shared" ca="1" si="0"/>
        <v>1</v>
      </c>
      <c r="AW4" s="156">
        <f t="shared" ca="1" si="1"/>
        <v>0</v>
      </c>
    </row>
    <row r="5" spans="1:49" x14ac:dyDescent="0.25">
      <c r="A5" s="131" t="s">
        <v>138</v>
      </c>
      <c r="B5" s="132" t="s">
        <v>573</v>
      </c>
      <c r="C5" s="132" t="s">
        <v>148</v>
      </c>
      <c r="D5" s="132" t="s">
        <v>51</v>
      </c>
      <c r="E5" s="132" t="s">
        <v>45</v>
      </c>
      <c r="F5" s="132" t="s">
        <v>1200</v>
      </c>
      <c r="G5" s="132" t="s">
        <v>1201</v>
      </c>
      <c r="H5" s="157">
        <v>43404</v>
      </c>
      <c r="I5" s="157">
        <v>44923</v>
      </c>
      <c r="J5" s="132" t="s">
        <v>7</v>
      </c>
      <c r="K5" s="132" t="s">
        <v>120</v>
      </c>
      <c r="L5" s="132" t="s">
        <v>14</v>
      </c>
      <c r="M5" s="132" t="s">
        <v>1202</v>
      </c>
      <c r="N5" s="132" t="s">
        <v>0</v>
      </c>
      <c r="O5" s="132" t="s">
        <v>1203</v>
      </c>
      <c r="P5" s="132" t="s">
        <v>1203</v>
      </c>
      <c r="Q5" s="132" t="s">
        <v>1204</v>
      </c>
      <c r="R5" s="132"/>
      <c r="S5" s="158">
        <v>0</v>
      </c>
      <c r="T5" s="158">
        <v>8678590</v>
      </c>
      <c r="U5" s="158">
        <v>0</v>
      </c>
      <c r="V5" s="158">
        <v>8678590</v>
      </c>
      <c r="W5" s="158">
        <v>0</v>
      </c>
      <c r="X5" s="158">
        <v>8678590</v>
      </c>
      <c r="Y5" s="132" t="s">
        <v>16</v>
      </c>
      <c r="Z5" s="158">
        <v>0</v>
      </c>
      <c r="AA5" s="157">
        <v>46157</v>
      </c>
      <c r="AB5" s="158">
        <v>6943000</v>
      </c>
      <c r="AC5" s="158">
        <v>6943000</v>
      </c>
      <c r="AD5" s="132" t="s">
        <v>121</v>
      </c>
      <c r="AE5" s="158">
        <v>0</v>
      </c>
      <c r="AF5" s="158">
        <v>1735590</v>
      </c>
      <c r="AG5" s="158">
        <v>0</v>
      </c>
      <c r="AH5" s="157">
        <v>46160</v>
      </c>
      <c r="AI5" s="132" t="s">
        <v>122</v>
      </c>
      <c r="AJ5" s="158">
        <v>1735590</v>
      </c>
      <c r="AK5" s="132">
        <v>0.2</v>
      </c>
      <c r="AL5" s="132">
        <v>0.2</v>
      </c>
      <c r="AM5" s="158">
        <v>0</v>
      </c>
      <c r="AN5" s="158">
        <v>0</v>
      </c>
      <c r="AO5" s="155" t="s">
        <v>246</v>
      </c>
      <c r="AP5" s="155" t="s">
        <v>28</v>
      </c>
      <c r="AQ5" s="155">
        <v>15</v>
      </c>
      <c r="AR5" s="155" t="s">
        <v>1495</v>
      </c>
      <c r="AS5" s="155" t="s">
        <v>1498</v>
      </c>
      <c r="AT5" s="155" t="s">
        <v>778</v>
      </c>
      <c r="AU5" s="155" t="b">
        <v>0</v>
      </c>
      <c r="AV5" s="156">
        <f t="shared" ca="1" si="0"/>
        <v>0</v>
      </c>
      <c r="AW5" s="156">
        <f t="shared" ca="1" si="1"/>
        <v>0</v>
      </c>
    </row>
    <row r="6" spans="1:49" x14ac:dyDescent="0.25">
      <c r="A6" s="129" t="s">
        <v>181</v>
      </c>
      <c r="B6" s="130" t="s">
        <v>616</v>
      </c>
      <c r="C6" s="130" t="s">
        <v>183</v>
      </c>
      <c r="D6" s="130" t="s">
        <v>64</v>
      </c>
      <c r="E6" s="130" t="s">
        <v>45</v>
      </c>
      <c r="F6" s="130" t="s">
        <v>1217</v>
      </c>
      <c r="G6" s="130" t="s">
        <v>1218</v>
      </c>
      <c r="H6" s="153">
        <v>43676</v>
      </c>
      <c r="I6" s="153">
        <v>45114</v>
      </c>
      <c r="J6" s="130" t="s">
        <v>7</v>
      </c>
      <c r="K6" s="130" t="s">
        <v>120</v>
      </c>
      <c r="L6" s="130" t="s">
        <v>15</v>
      </c>
      <c r="M6" s="130" t="s">
        <v>1219</v>
      </c>
      <c r="N6" s="130" t="s">
        <v>0</v>
      </c>
      <c r="O6" s="130" t="s">
        <v>1220</v>
      </c>
      <c r="P6" s="130" t="s">
        <v>1220</v>
      </c>
      <c r="Q6" s="130" t="s">
        <v>1221</v>
      </c>
      <c r="R6" s="130"/>
      <c r="S6" s="154">
        <v>0</v>
      </c>
      <c r="T6" s="154">
        <v>2380195</v>
      </c>
      <c r="U6" s="154">
        <v>0</v>
      </c>
      <c r="V6" s="154">
        <v>2380195</v>
      </c>
      <c r="W6" s="154">
        <v>0</v>
      </c>
      <c r="X6" s="154">
        <v>2380195</v>
      </c>
      <c r="Y6" s="130" t="s">
        <v>16</v>
      </c>
      <c r="Z6" s="154">
        <v>0</v>
      </c>
      <c r="AA6" s="153">
        <v>46158</v>
      </c>
      <c r="AB6" s="154">
        <v>2380195</v>
      </c>
      <c r="AC6" s="154">
        <v>2380195</v>
      </c>
      <c r="AD6" s="130" t="s">
        <v>121</v>
      </c>
      <c r="AE6" s="154">
        <v>0</v>
      </c>
      <c r="AF6" s="154">
        <v>0</v>
      </c>
      <c r="AG6" s="154">
        <v>0</v>
      </c>
      <c r="AH6" s="153">
        <v>46160</v>
      </c>
      <c r="AI6" s="130" t="s">
        <v>122</v>
      </c>
      <c r="AJ6" s="154"/>
      <c r="AK6" s="130">
        <v>0</v>
      </c>
      <c r="AL6" s="130">
        <v>0</v>
      </c>
      <c r="AM6" s="154">
        <v>0</v>
      </c>
      <c r="AN6" s="154">
        <v>0</v>
      </c>
      <c r="AO6" s="155" t="s">
        <v>233</v>
      </c>
      <c r="AP6" s="155" t="s">
        <v>344</v>
      </c>
      <c r="AQ6" s="155">
        <v>16</v>
      </c>
      <c r="AR6" s="155" t="s">
        <v>1495</v>
      </c>
      <c r="AS6" s="155" t="s">
        <v>891</v>
      </c>
      <c r="AT6" s="155" t="s">
        <v>778</v>
      </c>
      <c r="AU6" s="155" t="b">
        <v>0</v>
      </c>
      <c r="AV6" s="156">
        <f t="shared" ca="1" si="0"/>
        <v>0</v>
      </c>
      <c r="AW6" s="156">
        <f t="shared" ca="1" si="1"/>
        <v>0</v>
      </c>
    </row>
    <row r="7" spans="1:49" x14ac:dyDescent="0.25">
      <c r="A7" s="131" t="s">
        <v>138</v>
      </c>
      <c r="B7" s="132" t="s">
        <v>588</v>
      </c>
      <c r="C7" s="132" t="s">
        <v>143</v>
      </c>
      <c r="D7" s="132" t="s">
        <v>70</v>
      </c>
      <c r="E7" s="132" t="s">
        <v>45</v>
      </c>
      <c r="F7" s="132" t="s">
        <v>1099</v>
      </c>
      <c r="G7" s="132" t="s">
        <v>1100</v>
      </c>
      <c r="H7" s="157">
        <v>43838</v>
      </c>
      <c r="I7" s="157">
        <v>45329</v>
      </c>
      <c r="J7" s="132" t="s">
        <v>7</v>
      </c>
      <c r="K7" s="132" t="s">
        <v>120</v>
      </c>
      <c r="L7" s="132" t="s">
        <v>15</v>
      </c>
      <c r="M7" s="132" t="s">
        <v>1101</v>
      </c>
      <c r="N7" s="132" t="s">
        <v>0</v>
      </c>
      <c r="O7" s="132" t="s">
        <v>1102</v>
      </c>
      <c r="P7" s="132" t="s">
        <v>1102</v>
      </c>
      <c r="Q7" s="132" t="s">
        <v>1103</v>
      </c>
      <c r="R7" s="132"/>
      <c r="S7" s="158">
        <v>0</v>
      </c>
      <c r="T7" s="158">
        <v>4461250</v>
      </c>
      <c r="U7" s="158">
        <v>0</v>
      </c>
      <c r="V7" s="158">
        <v>4461250</v>
      </c>
      <c r="W7" s="158">
        <v>0</v>
      </c>
      <c r="X7" s="158">
        <v>4461250</v>
      </c>
      <c r="Y7" s="132" t="s">
        <v>16</v>
      </c>
      <c r="Z7" s="158">
        <v>0</v>
      </c>
      <c r="AA7" s="157">
        <v>46153</v>
      </c>
      <c r="AB7" s="158">
        <v>4462000</v>
      </c>
      <c r="AC7" s="158">
        <v>4462000</v>
      </c>
      <c r="AD7" s="132" t="s">
        <v>121</v>
      </c>
      <c r="AE7" s="158">
        <v>0</v>
      </c>
      <c r="AF7" s="158">
        <v>0</v>
      </c>
      <c r="AG7" s="158">
        <v>0</v>
      </c>
      <c r="AH7" s="157">
        <v>46153</v>
      </c>
      <c r="AI7" s="132" t="s">
        <v>122</v>
      </c>
      <c r="AJ7" s="158"/>
      <c r="AK7" s="132">
        <v>0</v>
      </c>
      <c r="AL7" s="132">
        <v>0</v>
      </c>
      <c r="AM7" s="158">
        <v>-750</v>
      </c>
      <c r="AN7" s="158">
        <v>-750</v>
      </c>
      <c r="AO7" s="155" t="s">
        <v>246</v>
      </c>
      <c r="AP7" s="155" t="s">
        <v>590</v>
      </c>
      <c r="AQ7" s="155">
        <v>11</v>
      </c>
      <c r="AR7" s="155" t="s">
        <v>1495</v>
      </c>
      <c r="AS7" s="155" t="s">
        <v>890</v>
      </c>
      <c r="AT7" s="155" t="s">
        <v>778</v>
      </c>
      <c r="AU7" s="155" t="b">
        <v>0</v>
      </c>
      <c r="AV7" s="156">
        <f t="shared" ca="1" si="0"/>
        <v>0</v>
      </c>
      <c r="AW7" s="156">
        <f t="shared" ca="1" si="1"/>
        <v>0</v>
      </c>
    </row>
    <row r="8" spans="1:49" x14ac:dyDescent="0.25">
      <c r="A8" s="129" t="s">
        <v>197</v>
      </c>
      <c r="B8" s="130" t="s">
        <v>592</v>
      </c>
      <c r="C8" s="130" t="s">
        <v>207</v>
      </c>
      <c r="D8" s="130" t="s">
        <v>56</v>
      </c>
      <c r="E8" s="130" t="s">
        <v>45</v>
      </c>
      <c r="F8" s="130" t="s">
        <v>1254</v>
      </c>
      <c r="G8" s="130" t="s">
        <v>1255</v>
      </c>
      <c r="H8" s="153">
        <v>44062</v>
      </c>
      <c r="I8" s="153">
        <v>45525</v>
      </c>
      <c r="J8" s="130" t="s">
        <v>7</v>
      </c>
      <c r="K8" s="130" t="s">
        <v>120</v>
      </c>
      <c r="L8" s="130" t="s">
        <v>17</v>
      </c>
      <c r="M8" s="130" t="s">
        <v>1256</v>
      </c>
      <c r="N8" s="130" t="s">
        <v>0</v>
      </c>
      <c r="O8" s="130" t="s">
        <v>1257</v>
      </c>
      <c r="P8" s="130" t="s">
        <v>1257</v>
      </c>
      <c r="Q8" s="130" t="s">
        <v>1258</v>
      </c>
      <c r="R8" s="130"/>
      <c r="S8" s="154">
        <v>0</v>
      </c>
      <c r="T8" s="154">
        <v>1754200</v>
      </c>
      <c r="U8" s="154">
        <v>0</v>
      </c>
      <c r="V8" s="154">
        <v>1754200</v>
      </c>
      <c r="W8" s="154">
        <v>0</v>
      </c>
      <c r="X8" s="154">
        <v>1754200</v>
      </c>
      <c r="Y8" s="130" t="s">
        <v>16</v>
      </c>
      <c r="Z8" s="154">
        <v>0</v>
      </c>
      <c r="AA8" s="153">
        <v>46160</v>
      </c>
      <c r="AB8" s="154">
        <v>1755000</v>
      </c>
      <c r="AC8" s="154">
        <v>1755000</v>
      </c>
      <c r="AD8" s="130" t="s">
        <v>121</v>
      </c>
      <c r="AE8" s="154">
        <v>0</v>
      </c>
      <c r="AF8" s="154">
        <v>0</v>
      </c>
      <c r="AG8" s="154">
        <v>0</v>
      </c>
      <c r="AH8" s="153">
        <v>46160</v>
      </c>
      <c r="AI8" s="130" t="s">
        <v>122</v>
      </c>
      <c r="AJ8" s="154"/>
      <c r="AK8" s="130">
        <v>0</v>
      </c>
      <c r="AL8" s="130">
        <v>0</v>
      </c>
      <c r="AM8" s="154">
        <v>-800</v>
      </c>
      <c r="AN8" s="154">
        <v>-800</v>
      </c>
      <c r="AO8" s="155" t="s">
        <v>265</v>
      </c>
      <c r="AP8" s="155" t="s">
        <v>288</v>
      </c>
      <c r="AQ8" s="155">
        <v>18</v>
      </c>
      <c r="AR8" s="155" t="s">
        <v>1495</v>
      </c>
      <c r="AS8" s="155" t="s">
        <v>884</v>
      </c>
      <c r="AT8" s="155" t="s">
        <v>778</v>
      </c>
      <c r="AU8" s="155" t="b">
        <v>0</v>
      </c>
      <c r="AV8" s="156">
        <f t="shared" ca="1" si="0"/>
        <v>0</v>
      </c>
      <c r="AW8" s="156">
        <f t="shared" ca="1" si="1"/>
        <v>0</v>
      </c>
    </row>
    <row r="9" spans="1:49" x14ac:dyDescent="0.25">
      <c r="A9" s="131" t="s">
        <v>181</v>
      </c>
      <c r="B9" s="132" t="s">
        <v>582</v>
      </c>
      <c r="C9" s="132" t="s">
        <v>184</v>
      </c>
      <c r="D9" s="132" t="s">
        <v>54</v>
      </c>
      <c r="E9" s="132" t="s">
        <v>45</v>
      </c>
      <c r="F9" s="132" t="s">
        <v>1325</v>
      </c>
      <c r="G9" s="132" t="s">
        <v>1326</v>
      </c>
      <c r="H9" s="157">
        <v>44358</v>
      </c>
      <c r="I9" s="157">
        <v>45548</v>
      </c>
      <c r="J9" s="132" t="s">
        <v>7</v>
      </c>
      <c r="K9" s="132" t="s">
        <v>134</v>
      </c>
      <c r="L9" s="132" t="s">
        <v>20</v>
      </c>
      <c r="M9" s="132" t="s">
        <v>1327</v>
      </c>
      <c r="N9" s="132" t="s">
        <v>1328</v>
      </c>
      <c r="O9" s="132" t="s">
        <v>1329</v>
      </c>
      <c r="P9" s="132" t="s">
        <v>1330</v>
      </c>
      <c r="Q9" s="132" t="s">
        <v>1331</v>
      </c>
      <c r="R9" s="132"/>
      <c r="S9" s="158">
        <v>0</v>
      </c>
      <c r="T9" s="158">
        <v>45297127</v>
      </c>
      <c r="U9" s="158">
        <v>0</v>
      </c>
      <c r="V9" s="158">
        <v>45297127</v>
      </c>
      <c r="W9" s="158">
        <v>0</v>
      </c>
      <c r="X9" s="158">
        <v>45297127</v>
      </c>
      <c r="Y9" s="132" t="s">
        <v>6</v>
      </c>
      <c r="Z9" s="158">
        <v>45297127</v>
      </c>
      <c r="AA9" s="157">
        <v>46163</v>
      </c>
      <c r="AB9" s="158">
        <v>0</v>
      </c>
      <c r="AC9" s="158">
        <v>0</v>
      </c>
      <c r="AD9" s="132" t="s">
        <v>121</v>
      </c>
      <c r="AE9" s="158">
        <v>0</v>
      </c>
      <c r="AF9" s="158">
        <v>0</v>
      </c>
      <c r="AG9" s="158">
        <v>0</v>
      </c>
      <c r="AH9" s="157"/>
      <c r="AI9" s="132" t="s">
        <v>9</v>
      </c>
      <c r="AJ9" s="158"/>
      <c r="AK9" s="132">
        <v>0</v>
      </c>
      <c r="AL9" s="132">
        <v>0</v>
      </c>
      <c r="AM9" s="158">
        <v>45272127</v>
      </c>
      <c r="AN9" s="158">
        <v>45272127</v>
      </c>
      <c r="AO9" s="155" t="s">
        <v>233</v>
      </c>
      <c r="AP9" s="155" t="s">
        <v>234</v>
      </c>
      <c r="AQ9" s="155">
        <v>21</v>
      </c>
      <c r="AR9" s="155" t="s">
        <v>1495</v>
      </c>
      <c r="AS9" s="155" t="s">
        <v>887</v>
      </c>
      <c r="AT9" s="155" t="s">
        <v>778</v>
      </c>
      <c r="AU9" s="155" t="b">
        <v>0</v>
      </c>
      <c r="AV9" s="156">
        <f t="shared" ca="1" si="0"/>
        <v>0</v>
      </c>
      <c r="AW9" s="156">
        <f t="shared" ca="1" si="1"/>
        <v>0</v>
      </c>
    </row>
    <row r="10" spans="1:49" x14ac:dyDescent="0.25">
      <c r="A10" s="129" t="s">
        <v>197</v>
      </c>
      <c r="B10" s="130" t="s">
        <v>592</v>
      </c>
      <c r="C10" s="130" t="s">
        <v>207</v>
      </c>
      <c r="D10" s="130" t="s">
        <v>56</v>
      </c>
      <c r="E10" s="130" t="s">
        <v>45</v>
      </c>
      <c r="F10" s="130" t="s">
        <v>1173</v>
      </c>
      <c r="G10" s="130" t="s">
        <v>1174</v>
      </c>
      <c r="H10" s="153">
        <v>44125</v>
      </c>
      <c r="I10" s="153">
        <v>45626</v>
      </c>
      <c r="J10" s="130" t="s">
        <v>7</v>
      </c>
      <c r="K10" s="130" t="s">
        <v>120</v>
      </c>
      <c r="L10" s="130" t="s">
        <v>17</v>
      </c>
      <c r="M10" s="130" t="s">
        <v>1175</v>
      </c>
      <c r="N10" s="130" t="s">
        <v>0</v>
      </c>
      <c r="O10" s="130" t="s">
        <v>1176</v>
      </c>
      <c r="P10" s="130" t="s">
        <v>1176</v>
      </c>
      <c r="Q10" s="130" t="s">
        <v>1177</v>
      </c>
      <c r="R10" s="130"/>
      <c r="S10" s="154">
        <v>0</v>
      </c>
      <c r="T10" s="154">
        <v>26264980</v>
      </c>
      <c r="U10" s="154">
        <v>0</v>
      </c>
      <c r="V10" s="154">
        <v>26264980</v>
      </c>
      <c r="W10" s="154">
        <v>0</v>
      </c>
      <c r="X10" s="154">
        <v>26264980</v>
      </c>
      <c r="Y10" s="130" t="s">
        <v>16</v>
      </c>
      <c r="Z10" s="154">
        <v>0</v>
      </c>
      <c r="AA10" s="153">
        <v>46154</v>
      </c>
      <c r="AB10" s="154">
        <v>17073000</v>
      </c>
      <c r="AC10" s="154">
        <v>17073000</v>
      </c>
      <c r="AD10" s="130" t="s">
        <v>121</v>
      </c>
      <c r="AE10" s="154">
        <v>0</v>
      </c>
      <c r="AF10" s="154">
        <v>9192743</v>
      </c>
      <c r="AG10" s="154">
        <v>0</v>
      </c>
      <c r="AH10" s="153">
        <v>46154</v>
      </c>
      <c r="AI10" s="130" t="s">
        <v>122</v>
      </c>
      <c r="AJ10" s="154">
        <v>9192743</v>
      </c>
      <c r="AK10" s="130">
        <v>0.35</v>
      </c>
      <c r="AL10" s="130">
        <v>0.35</v>
      </c>
      <c r="AM10" s="154">
        <v>-763</v>
      </c>
      <c r="AN10" s="154">
        <v>-763</v>
      </c>
      <c r="AO10" s="155" t="s">
        <v>265</v>
      </c>
      <c r="AP10" s="155" t="s">
        <v>288</v>
      </c>
      <c r="AQ10" s="155">
        <v>12</v>
      </c>
      <c r="AR10" s="155" t="s">
        <v>1495</v>
      </c>
      <c r="AS10" s="155" t="s">
        <v>784</v>
      </c>
      <c r="AT10" s="155" t="s">
        <v>778</v>
      </c>
      <c r="AU10" s="155" t="b">
        <v>0</v>
      </c>
      <c r="AV10" s="156">
        <f t="shared" ca="1" si="0"/>
        <v>0</v>
      </c>
      <c r="AW10" s="156">
        <f t="shared" ca="1" si="1"/>
        <v>0</v>
      </c>
    </row>
    <row r="11" spans="1:49" x14ac:dyDescent="0.25">
      <c r="A11" s="131" t="s">
        <v>169</v>
      </c>
      <c r="B11" s="132" t="s">
        <v>594</v>
      </c>
      <c r="C11" s="132" t="s">
        <v>171</v>
      </c>
      <c r="D11" s="132" t="s">
        <v>57</v>
      </c>
      <c r="E11" s="132" t="s">
        <v>45</v>
      </c>
      <c r="F11" s="132" t="s">
        <v>1316</v>
      </c>
      <c r="G11" s="132" t="s">
        <v>1317</v>
      </c>
      <c r="H11" s="157">
        <v>44165</v>
      </c>
      <c r="I11" s="157">
        <v>45657</v>
      </c>
      <c r="J11" s="132" t="s">
        <v>7</v>
      </c>
      <c r="K11" s="132" t="s">
        <v>120</v>
      </c>
      <c r="L11" s="132" t="s">
        <v>17</v>
      </c>
      <c r="M11" s="132" t="s">
        <v>1318</v>
      </c>
      <c r="N11" s="132" t="s">
        <v>0</v>
      </c>
      <c r="O11" s="132" t="s">
        <v>1319</v>
      </c>
      <c r="P11" s="132" t="s">
        <v>1319</v>
      </c>
      <c r="Q11" s="132" t="s">
        <v>1319</v>
      </c>
      <c r="R11" s="132"/>
      <c r="S11" s="158">
        <v>0</v>
      </c>
      <c r="T11" s="158">
        <v>24420010</v>
      </c>
      <c r="U11" s="158">
        <v>30000</v>
      </c>
      <c r="V11" s="158">
        <v>24450010</v>
      </c>
      <c r="W11" s="158">
        <v>4000</v>
      </c>
      <c r="X11" s="158">
        <v>24446010</v>
      </c>
      <c r="Y11" s="132" t="s">
        <v>6</v>
      </c>
      <c r="Z11" s="158">
        <v>20946010</v>
      </c>
      <c r="AA11" s="157">
        <v>46164</v>
      </c>
      <c r="AB11" s="158">
        <v>2975000</v>
      </c>
      <c r="AC11" s="158">
        <v>2975000</v>
      </c>
      <c r="AD11" s="132" t="s">
        <v>121</v>
      </c>
      <c r="AE11" s="158">
        <v>0</v>
      </c>
      <c r="AF11" s="158">
        <v>0</v>
      </c>
      <c r="AG11" s="158">
        <v>0</v>
      </c>
      <c r="AH11" s="157"/>
      <c r="AI11" s="132" t="s">
        <v>9</v>
      </c>
      <c r="AJ11" s="158"/>
      <c r="AK11" s="132">
        <v>0</v>
      </c>
      <c r="AL11" s="132">
        <v>0</v>
      </c>
      <c r="AM11" s="158">
        <v>20925010</v>
      </c>
      <c r="AN11" s="158">
        <v>20921010</v>
      </c>
      <c r="AO11" s="155" t="s">
        <v>228</v>
      </c>
      <c r="AP11" s="155" t="s">
        <v>8</v>
      </c>
      <c r="AQ11" s="155">
        <v>22</v>
      </c>
      <c r="AR11" s="155" t="s">
        <v>1495</v>
      </c>
      <c r="AS11" s="155" t="s">
        <v>780</v>
      </c>
      <c r="AT11" s="155" t="s">
        <v>778</v>
      </c>
      <c r="AU11" s="155" t="b">
        <v>0</v>
      </c>
      <c r="AV11" s="156">
        <f t="shared" ca="1" si="0"/>
        <v>0</v>
      </c>
      <c r="AW11" s="156">
        <f t="shared" ca="1" si="1"/>
        <v>0</v>
      </c>
    </row>
    <row r="12" spans="1:49" x14ac:dyDescent="0.25">
      <c r="A12" s="129" t="s">
        <v>149</v>
      </c>
      <c r="B12" s="130" t="s">
        <v>577</v>
      </c>
      <c r="C12" s="130" t="s">
        <v>155</v>
      </c>
      <c r="D12" s="130" t="s">
        <v>53</v>
      </c>
      <c r="E12" s="130" t="s">
        <v>45</v>
      </c>
      <c r="F12" s="130" t="s">
        <v>1337</v>
      </c>
      <c r="G12" s="130" t="s">
        <v>1338</v>
      </c>
      <c r="H12" s="153">
        <v>44218</v>
      </c>
      <c r="I12" s="153">
        <v>45678</v>
      </c>
      <c r="J12" s="130" t="s">
        <v>7</v>
      </c>
      <c r="K12" s="130" t="s">
        <v>120</v>
      </c>
      <c r="L12" s="130" t="s">
        <v>17</v>
      </c>
      <c r="M12" s="130" t="s">
        <v>1339</v>
      </c>
      <c r="N12" s="130" t="s">
        <v>0</v>
      </c>
      <c r="O12" s="130" t="s">
        <v>1340</v>
      </c>
      <c r="P12" s="130" t="s">
        <v>1340</v>
      </c>
      <c r="Q12" s="130" t="s">
        <v>1340</v>
      </c>
      <c r="R12" s="130"/>
      <c r="S12" s="154">
        <v>0</v>
      </c>
      <c r="T12" s="154">
        <v>7434000</v>
      </c>
      <c r="U12" s="154">
        <v>220000</v>
      </c>
      <c r="V12" s="154">
        <v>7654000</v>
      </c>
      <c r="W12" s="154">
        <v>0</v>
      </c>
      <c r="X12" s="154">
        <v>7654000</v>
      </c>
      <c r="Y12" s="130" t="s">
        <v>16</v>
      </c>
      <c r="Z12" s="154">
        <v>0</v>
      </c>
      <c r="AA12" s="153">
        <v>46165</v>
      </c>
      <c r="AB12" s="154">
        <v>6123200</v>
      </c>
      <c r="AC12" s="154">
        <v>6123200</v>
      </c>
      <c r="AD12" s="130" t="s">
        <v>121</v>
      </c>
      <c r="AE12" s="154">
        <v>0</v>
      </c>
      <c r="AF12" s="154">
        <v>1530800</v>
      </c>
      <c r="AG12" s="154">
        <v>0</v>
      </c>
      <c r="AH12" s="153">
        <v>46167</v>
      </c>
      <c r="AI12" s="130" t="s">
        <v>122</v>
      </c>
      <c r="AJ12" s="154">
        <v>1530800</v>
      </c>
      <c r="AK12" s="130">
        <v>0.2</v>
      </c>
      <c r="AL12" s="130">
        <v>0.2</v>
      </c>
      <c r="AM12" s="154">
        <v>0</v>
      </c>
      <c r="AN12" s="154">
        <v>0</v>
      </c>
      <c r="AO12" s="155" t="s">
        <v>273</v>
      </c>
      <c r="AP12" s="155" t="s">
        <v>33</v>
      </c>
      <c r="AQ12" s="155">
        <v>23</v>
      </c>
      <c r="AR12" s="155" t="s">
        <v>1495</v>
      </c>
      <c r="AS12" s="155" t="s">
        <v>1499</v>
      </c>
      <c r="AT12" s="155" t="s">
        <v>778</v>
      </c>
      <c r="AU12" s="155" t="b">
        <v>0</v>
      </c>
      <c r="AV12" s="156">
        <f t="shared" ca="1" si="0"/>
        <v>0</v>
      </c>
      <c r="AW12" s="156">
        <f t="shared" ca="1" si="1"/>
        <v>0</v>
      </c>
    </row>
    <row r="13" spans="1:49" x14ac:dyDescent="0.25">
      <c r="A13" s="131" t="s">
        <v>181</v>
      </c>
      <c r="B13" s="132" t="s">
        <v>623</v>
      </c>
      <c r="C13" s="132" t="s">
        <v>192</v>
      </c>
      <c r="D13" s="132" t="s">
        <v>85</v>
      </c>
      <c r="E13" s="132" t="s">
        <v>45</v>
      </c>
      <c r="F13" s="132" t="s">
        <v>193</v>
      </c>
      <c r="G13" s="132" t="s">
        <v>194</v>
      </c>
      <c r="H13" s="157">
        <v>44146</v>
      </c>
      <c r="I13" s="157">
        <v>45692</v>
      </c>
      <c r="J13" s="132" t="s">
        <v>7</v>
      </c>
      <c r="K13" s="132" t="s">
        <v>120</v>
      </c>
      <c r="L13" s="132" t="s">
        <v>17</v>
      </c>
      <c r="M13" s="132" t="s">
        <v>195</v>
      </c>
      <c r="N13" s="132" t="s">
        <v>196</v>
      </c>
      <c r="O13" s="132" t="s">
        <v>661</v>
      </c>
      <c r="P13" s="132" t="s">
        <v>661</v>
      </c>
      <c r="Q13" s="132" t="s">
        <v>662</v>
      </c>
      <c r="R13" s="132"/>
      <c r="S13" s="158">
        <v>0</v>
      </c>
      <c r="T13" s="158">
        <v>0</v>
      </c>
      <c r="U13" s="158">
        <v>17340600</v>
      </c>
      <c r="V13" s="158">
        <v>17340600</v>
      </c>
      <c r="W13" s="158">
        <v>0</v>
      </c>
      <c r="X13" s="158">
        <v>17340600</v>
      </c>
      <c r="Y13" s="132" t="s">
        <v>6</v>
      </c>
      <c r="Z13" s="158">
        <v>13340600</v>
      </c>
      <c r="AA13" s="157">
        <v>46172</v>
      </c>
      <c r="AB13" s="158">
        <v>500000</v>
      </c>
      <c r="AC13" s="158">
        <v>500000</v>
      </c>
      <c r="AD13" s="132" t="s">
        <v>121</v>
      </c>
      <c r="AE13" s="158">
        <v>0</v>
      </c>
      <c r="AF13" s="158">
        <v>0</v>
      </c>
      <c r="AG13" s="158">
        <v>0</v>
      </c>
      <c r="AH13" s="157"/>
      <c r="AI13" s="132" t="s">
        <v>9</v>
      </c>
      <c r="AJ13" s="158"/>
      <c r="AK13" s="132">
        <v>0</v>
      </c>
      <c r="AL13" s="132">
        <v>0</v>
      </c>
      <c r="AM13" s="158">
        <v>13340600</v>
      </c>
      <c r="AN13" s="158">
        <v>13340600</v>
      </c>
      <c r="AO13" s="155" t="s">
        <v>233</v>
      </c>
      <c r="AP13" s="155" t="s">
        <v>560</v>
      </c>
      <c r="AQ13" s="155">
        <v>30</v>
      </c>
      <c r="AR13" s="155" t="s">
        <v>1495</v>
      </c>
      <c r="AS13" s="155" t="s">
        <v>777</v>
      </c>
      <c r="AT13" s="155" t="s">
        <v>778</v>
      </c>
      <c r="AU13" s="155" t="b">
        <v>0</v>
      </c>
      <c r="AV13" s="156">
        <f t="shared" ca="1" si="0"/>
        <v>0</v>
      </c>
      <c r="AW13" s="156">
        <f t="shared" ca="1" si="1"/>
        <v>0</v>
      </c>
    </row>
    <row r="14" spans="1:49" x14ac:dyDescent="0.25">
      <c r="A14" s="129" t="s">
        <v>149</v>
      </c>
      <c r="B14" s="130" t="s">
        <v>587</v>
      </c>
      <c r="C14" s="130" t="s">
        <v>153</v>
      </c>
      <c r="D14" s="130" t="s">
        <v>154</v>
      </c>
      <c r="E14" s="130" t="s">
        <v>45</v>
      </c>
      <c r="F14" s="130" t="s">
        <v>1360</v>
      </c>
      <c r="G14" s="130" t="s">
        <v>1361</v>
      </c>
      <c r="H14" s="153">
        <v>44242</v>
      </c>
      <c r="I14" s="153">
        <v>45699</v>
      </c>
      <c r="J14" s="130" t="s">
        <v>7</v>
      </c>
      <c r="K14" s="130" t="s">
        <v>120</v>
      </c>
      <c r="L14" s="130" t="s">
        <v>17</v>
      </c>
      <c r="M14" s="130" t="s">
        <v>1362</v>
      </c>
      <c r="N14" s="130" t="s">
        <v>0</v>
      </c>
      <c r="O14" s="130" t="s">
        <v>1363</v>
      </c>
      <c r="P14" s="130" t="s">
        <v>1363</v>
      </c>
      <c r="Q14" s="130" t="s">
        <v>1363</v>
      </c>
      <c r="R14" s="130"/>
      <c r="S14" s="154">
        <v>0</v>
      </c>
      <c r="T14" s="154">
        <v>27933022.5</v>
      </c>
      <c r="U14" s="154">
        <v>0</v>
      </c>
      <c r="V14" s="154">
        <v>27933022.5</v>
      </c>
      <c r="W14" s="154">
        <v>0</v>
      </c>
      <c r="X14" s="154">
        <v>27933022.5</v>
      </c>
      <c r="Y14" s="130" t="s">
        <v>6</v>
      </c>
      <c r="Z14" s="154">
        <v>27633022.5</v>
      </c>
      <c r="AA14" s="153">
        <v>46167</v>
      </c>
      <c r="AB14" s="154">
        <v>300000</v>
      </c>
      <c r="AC14" s="154">
        <v>300000</v>
      </c>
      <c r="AD14" s="130" t="s">
        <v>121</v>
      </c>
      <c r="AE14" s="154">
        <v>0</v>
      </c>
      <c r="AF14" s="154">
        <v>0</v>
      </c>
      <c r="AG14" s="154">
        <v>0</v>
      </c>
      <c r="AH14" s="153"/>
      <c r="AI14" s="130" t="s">
        <v>9</v>
      </c>
      <c r="AJ14" s="154"/>
      <c r="AK14" s="130">
        <v>0</v>
      </c>
      <c r="AL14" s="130">
        <v>0</v>
      </c>
      <c r="AM14" s="154">
        <v>27608022.5</v>
      </c>
      <c r="AN14" s="154">
        <v>27608022.5</v>
      </c>
      <c r="AO14" s="155" t="s">
        <v>273</v>
      </c>
      <c r="AP14" s="155" t="s">
        <v>27</v>
      </c>
      <c r="AQ14" s="155">
        <v>25</v>
      </c>
      <c r="AR14" s="155" t="s">
        <v>1495</v>
      </c>
      <c r="AS14" s="155" t="s">
        <v>777</v>
      </c>
      <c r="AT14" s="155" t="s">
        <v>778</v>
      </c>
      <c r="AU14" s="155" t="b">
        <v>0</v>
      </c>
      <c r="AV14" s="156">
        <f t="shared" ca="1" si="0"/>
        <v>0</v>
      </c>
      <c r="AW14" s="156">
        <f t="shared" ca="1" si="1"/>
        <v>0</v>
      </c>
    </row>
    <row r="15" spans="1:49" x14ac:dyDescent="0.25">
      <c r="A15" s="131" t="s">
        <v>181</v>
      </c>
      <c r="B15" s="132" t="s">
        <v>607</v>
      </c>
      <c r="C15" s="132" t="s">
        <v>187</v>
      </c>
      <c r="D15" s="132" t="s">
        <v>188</v>
      </c>
      <c r="E15" s="132" t="s">
        <v>45</v>
      </c>
      <c r="F15" s="132" t="s">
        <v>914</v>
      </c>
      <c r="G15" s="132" t="s">
        <v>915</v>
      </c>
      <c r="H15" s="157">
        <v>44205</v>
      </c>
      <c r="I15" s="157">
        <v>45701</v>
      </c>
      <c r="J15" s="132" t="s">
        <v>7</v>
      </c>
      <c r="K15" s="132" t="s">
        <v>134</v>
      </c>
      <c r="L15" s="132" t="s">
        <v>17</v>
      </c>
      <c r="M15" s="132" t="s">
        <v>916</v>
      </c>
      <c r="N15" s="132" t="s">
        <v>0</v>
      </c>
      <c r="O15" s="132" t="s">
        <v>917</v>
      </c>
      <c r="P15" s="132" t="s">
        <v>917</v>
      </c>
      <c r="Q15" s="132" t="s">
        <v>918</v>
      </c>
      <c r="R15" s="132"/>
      <c r="S15" s="158">
        <v>0</v>
      </c>
      <c r="T15" s="158">
        <v>11864342.5</v>
      </c>
      <c r="U15" s="158">
        <v>0</v>
      </c>
      <c r="V15" s="158">
        <v>11864342.5</v>
      </c>
      <c r="W15" s="158">
        <v>0</v>
      </c>
      <c r="X15" s="158">
        <v>11864342.5</v>
      </c>
      <c r="Y15" s="132" t="s">
        <v>16</v>
      </c>
      <c r="Z15" s="158">
        <v>0</v>
      </c>
      <c r="AA15" s="157">
        <v>46144</v>
      </c>
      <c r="AB15" s="158">
        <v>8306000</v>
      </c>
      <c r="AC15" s="158">
        <v>8306000</v>
      </c>
      <c r="AD15" s="132" t="s">
        <v>121</v>
      </c>
      <c r="AE15" s="158">
        <v>0</v>
      </c>
      <c r="AF15" s="158">
        <v>3558342.5</v>
      </c>
      <c r="AG15" s="158">
        <v>0</v>
      </c>
      <c r="AH15" s="157">
        <v>46144</v>
      </c>
      <c r="AI15" s="132" t="s">
        <v>122</v>
      </c>
      <c r="AJ15" s="158">
        <v>3558342.5</v>
      </c>
      <c r="AK15" s="132">
        <v>0.3</v>
      </c>
      <c r="AL15" s="132">
        <v>0.3</v>
      </c>
      <c r="AM15" s="158">
        <v>0</v>
      </c>
      <c r="AN15" s="158">
        <v>0</v>
      </c>
      <c r="AO15" s="155" t="s">
        <v>233</v>
      </c>
      <c r="AP15" s="155" t="s">
        <v>41</v>
      </c>
      <c r="AQ15" s="155">
        <v>2</v>
      </c>
      <c r="AR15" s="155" t="s">
        <v>1495</v>
      </c>
      <c r="AS15" s="155" t="s">
        <v>777</v>
      </c>
      <c r="AT15" s="155" t="s">
        <v>778</v>
      </c>
      <c r="AU15" s="155" t="b">
        <v>0</v>
      </c>
      <c r="AV15" s="156">
        <f t="shared" ca="1" si="0"/>
        <v>1</v>
      </c>
      <c r="AW15" s="156">
        <f t="shared" ca="1" si="1"/>
        <v>0</v>
      </c>
    </row>
    <row r="16" spans="1:49" x14ac:dyDescent="0.25">
      <c r="A16" s="129" t="s">
        <v>181</v>
      </c>
      <c r="B16" s="130" t="s">
        <v>615</v>
      </c>
      <c r="C16" s="130" t="s">
        <v>189</v>
      </c>
      <c r="D16" s="130" t="s">
        <v>63</v>
      </c>
      <c r="E16" s="130" t="s">
        <v>45</v>
      </c>
      <c r="F16" s="130" t="s">
        <v>1003</v>
      </c>
      <c r="G16" s="130" t="s">
        <v>1004</v>
      </c>
      <c r="H16" s="153">
        <v>44186</v>
      </c>
      <c r="I16" s="153">
        <v>45736</v>
      </c>
      <c r="J16" s="130" t="s">
        <v>7</v>
      </c>
      <c r="K16" s="130" t="s">
        <v>120</v>
      </c>
      <c r="L16" s="130" t="s">
        <v>17</v>
      </c>
      <c r="M16" s="130" t="s">
        <v>1005</v>
      </c>
      <c r="N16" s="130" t="s">
        <v>0</v>
      </c>
      <c r="O16" s="130" t="s">
        <v>1006</v>
      </c>
      <c r="P16" s="130" t="s">
        <v>1006</v>
      </c>
      <c r="Q16" s="130" t="s">
        <v>1007</v>
      </c>
      <c r="R16" s="130"/>
      <c r="S16" s="154">
        <v>0</v>
      </c>
      <c r="T16" s="154">
        <v>25195125</v>
      </c>
      <c r="U16" s="154">
        <v>0</v>
      </c>
      <c r="V16" s="154">
        <v>25195125</v>
      </c>
      <c r="W16" s="154">
        <v>55000</v>
      </c>
      <c r="X16" s="154">
        <v>25140125</v>
      </c>
      <c r="Y16" s="130" t="s">
        <v>16</v>
      </c>
      <c r="Z16" s="154">
        <v>0</v>
      </c>
      <c r="AA16" s="153">
        <v>46147</v>
      </c>
      <c r="AB16" s="154">
        <v>17000000</v>
      </c>
      <c r="AC16" s="154">
        <v>17000000</v>
      </c>
      <c r="AD16" s="130" t="s">
        <v>121</v>
      </c>
      <c r="AE16" s="154">
        <v>0</v>
      </c>
      <c r="AF16" s="154">
        <v>8140125</v>
      </c>
      <c r="AG16" s="154">
        <v>0</v>
      </c>
      <c r="AH16" s="153">
        <v>46148</v>
      </c>
      <c r="AI16" s="130" t="s">
        <v>122</v>
      </c>
      <c r="AJ16" s="154">
        <v>8140125</v>
      </c>
      <c r="AK16" s="130">
        <v>0.32</v>
      </c>
      <c r="AL16" s="130">
        <v>0.32</v>
      </c>
      <c r="AM16" s="154">
        <v>55000</v>
      </c>
      <c r="AN16" s="154">
        <v>0</v>
      </c>
      <c r="AO16" s="155" t="s">
        <v>233</v>
      </c>
      <c r="AP16" s="155" t="s">
        <v>388</v>
      </c>
      <c r="AQ16" s="155">
        <v>5</v>
      </c>
      <c r="AR16" s="155" t="s">
        <v>1495</v>
      </c>
      <c r="AS16" s="155" t="s">
        <v>785</v>
      </c>
      <c r="AT16" s="155" t="s">
        <v>778</v>
      </c>
      <c r="AU16" s="155" t="b">
        <v>0</v>
      </c>
      <c r="AV16" s="156">
        <f t="shared" ca="1" si="0"/>
        <v>1</v>
      </c>
      <c r="AW16" s="156">
        <f t="shared" ca="1" si="1"/>
        <v>1</v>
      </c>
    </row>
    <row r="17" spans="1:49" x14ac:dyDescent="0.25">
      <c r="A17" s="131" t="s">
        <v>138</v>
      </c>
      <c r="B17" s="132" t="s">
        <v>561</v>
      </c>
      <c r="C17" s="132" t="s">
        <v>144</v>
      </c>
      <c r="D17" s="132" t="s">
        <v>46</v>
      </c>
      <c r="E17" s="132" t="s">
        <v>45</v>
      </c>
      <c r="F17" s="132" t="s">
        <v>1136</v>
      </c>
      <c r="G17" s="132" t="s">
        <v>1137</v>
      </c>
      <c r="H17" s="157">
        <v>44281</v>
      </c>
      <c r="I17" s="157">
        <v>45742</v>
      </c>
      <c r="J17" s="132" t="s">
        <v>7</v>
      </c>
      <c r="K17" s="132" t="s">
        <v>120</v>
      </c>
      <c r="L17" s="132" t="s">
        <v>20</v>
      </c>
      <c r="M17" s="132" t="s">
        <v>1138</v>
      </c>
      <c r="N17" s="132" t="s">
        <v>1139</v>
      </c>
      <c r="O17" s="132" t="s">
        <v>1140</v>
      </c>
      <c r="P17" s="132" t="s">
        <v>1141</v>
      </c>
      <c r="Q17" s="132" t="s">
        <v>1141</v>
      </c>
      <c r="R17" s="132"/>
      <c r="S17" s="158">
        <v>0</v>
      </c>
      <c r="T17" s="158">
        <v>17000</v>
      </c>
      <c r="U17" s="158">
        <v>0</v>
      </c>
      <c r="V17" s="158">
        <v>17000</v>
      </c>
      <c r="W17" s="158">
        <v>0</v>
      </c>
      <c r="X17" s="158">
        <v>17000</v>
      </c>
      <c r="Y17" s="132" t="s">
        <v>16</v>
      </c>
      <c r="Z17" s="158">
        <v>0</v>
      </c>
      <c r="AA17" s="157">
        <v>46154</v>
      </c>
      <c r="AB17" s="158">
        <v>17000</v>
      </c>
      <c r="AC17" s="158">
        <v>17000</v>
      </c>
      <c r="AD17" s="132" t="s">
        <v>121</v>
      </c>
      <c r="AE17" s="158">
        <v>0</v>
      </c>
      <c r="AF17" s="158">
        <v>0</v>
      </c>
      <c r="AG17" s="158">
        <v>0</v>
      </c>
      <c r="AH17" s="157">
        <v>46157</v>
      </c>
      <c r="AI17" s="132" t="s">
        <v>122</v>
      </c>
      <c r="AJ17" s="158"/>
      <c r="AK17" s="132">
        <v>0</v>
      </c>
      <c r="AL17" s="132">
        <v>0</v>
      </c>
      <c r="AM17" s="158">
        <v>0</v>
      </c>
      <c r="AN17" s="158">
        <v>0</v>
      </c>
      <c r="AO17" s="155" t="s">
        <v>246</v>
      </c>
      <c r="AP17" s="155" t="s">
        <v>331</v>
      </c>
      <c r="AQ17" s="155">
        <v>12</v>
      </c>
      <c r="AR17" s="155" t="s">
        <v>1495</v>
      </c>
      <c r="AS17" s="155" t="s">
        <v>785</v>
      </c>
      <c r="AT17" s="155" t="s">
        <v>778</v>
      </c>
      <c r="AU17" s="155" t="b">
        <v>0</v>
      </c>
      <c r="AV17" s="156">
        <f t="shared" ca="1" si="0"/>
        <v>0</v>
      </c>
      <c r="AW17" s="156">
        <f t="shared" ca="1" si="1"/>
        <v>0</v>
      </c>
    </row>
    <row r="18" spans="1:49" x14ac:dyDescent="0.25">
      <c r="A18" s="129" t="s">
        <v>169</v>
      </c>
      <c r="B18" s="130" t="s">
        <v>631</v>
      </c>
      <c r="C18" s="130" t="s">
        <v>177</v>
      </c>
      <c r="D18" s="130" t="s">
        <v>72</v>
      </c>
      <c r="E18" s="130" t="s">
        <v>45</v>
      </c>
      <c r="F18" s="130" t="s">
        <v>1095</v>
      </c>
      <c r="G18" s="130" t="s">
        <v>1096</v>
      </c>
      <c r="H18" s="153">
        <v>44221</v>
      </c>
      <c r="I18" s="153">
        <v>45762</v>
      </c>
      <c r="J18" s="130" t="s">
        <v>7</v>
      </c>
      <c r="K18" s="130" t="s">
        <v>120</v>
      </c>
      <c r="L18" s="130" t="s">
        <v>17</v>
      </c>
      <c r="M18" s="130" t="s">
        <v>1097</v>
      </c>
      <c r="N18" s="130" t="s">
        <v>0</v>
      </c>
      <c r="O18" s="130" t="s">
        <v>1098</v>
      </c>
      <c r="P18" s="130" t="s">
        <v>1098</v>
      </c>
      <c r="Q18" s="130" t="s">
        <v>1098</v>
      </c>
      <c r="R18" s="130"/>
      <c r="S18" s="154">
        <v>0</v>
      </c>
      <c r="T18" s="154">
        <v>1462100</v>
      </c>
      <c r="U18" s="154">
        <v>4516635</v>
      </c>
      <c r="V18" s="154">
        <v>5978735</v>
      </c>
      <c r="W18" s="154">
        <v>0</v>
      </c>
      <c r="X18" s="154">
        <v>5978735</v>
      </c>
      <c r="Y18" s="130" t="s">
        <v>16</v>
      </c>
      <c r="Z18" s="154">
        <v>0</v>
      </c>
      <c r="AA18" s="153">
        <v>46151</v>
      </c>
      <c r="AB18" s="154">
        <v>4783000</v>
      </c>
      <c r="AC18" s="154">
        <v>4783000</v>
      </c>
      <c r="AD18" s="130" t="s">
        <v>123</v>
      </c>
      <c r="AE18" s="154">
        <v>0</v>
      </c>
      <c r="AF18" s="154">
        <v>1195735</v>
      </c>
      <c r="AG18" s="154">
        <v>0</v>
      </c>
      <c r="AH18" s="153">
        <v>46151</v>
      </c>
      <c r="AI18" s="130" t="s">
        <v>122</v>
      </c>
      <c r="AJ18" s="154">
        <v>1195735</v>
      </c>
      <c r="AK18" s="130">
        <v>0.2</v>
      </c>
      <c r="AL18" s="130">
        <v>0.2</v>
      </c>
      <c r="AM18" s="154">
        <v>0</v>
      </c>
      <c r="AN18" s="154">
        <v>0</v>
      </c>
      <c r="AO18" s="155" t="s">
        <v>228</v>
      </c>
      <c r="AP18" s="155" t="s">
        <v>42</v>
      </c>
      <c r="AQ18" s="155">
        <v>9</v>
      </c>
      <c r="AR18" s="155" t="s">
        <v>1495</v>
      </c>
      <c r="AS18" s="155" t="s">
        <v>783</v>
      </c>
      <c r="AT18" s="155" t="s">
        <v>778</v>
      </c>
      <c r="AU18" s="155" t="b">
        <v>0</v>
      </c>
      <c r="AV18" s="156">
        <f t="shared" ca="1" si="0"/>
        <v>0</v>
      </c>
      <c r="AW18" s="156">
        <f t="shared" ca="1" si="1"/>
        <v>0</v>
      </c>
    </row>
    <row r="19" spans="1:49" x14ac:dyDescent="0.25">
      <c r="A19" s="131" t="s">
        <v>149</v>
      </c>
      <c r="B19" s="132" t="s">
        <v>598</v>
      </c>
      <c r="C19" s="132" t="s">
        <v>157</v>
      </c>
      <c r="D19" s="132" t="s">
        <v>59</v>
      </c>
      <c r="E19" s="132" t="s">
        <v>45</v>
      </c>
      <c r="F19" s="132" t="s">
        <v>878</v>
      </c>
      <c r="G19" s="132" t="s">
        <v>879</v>
      </c>
      <c r="H19" s="157">
        <v>44062</v>
      </c>
      <c r="I19" s="157">
        <v>45803</v>
      </c>
      <c r="J19" s="132" t="s">
        <v>7</v>
      </c>
      <c r="K19" s="132" t="s">
        <v>120</v>
      </c>
      <c r="L19" s="132" t="s">
        <v>17</v>
      </c>
      <c r="M19" s="132" t="s">
        <v>880</v>
      </c>
      <c r="N19" s="132" t="s">
        <v>0</v>
      </c>
      <c r="O19" s="132" t="s">
        <v>881</v>
      </c>
      <c r="P19" s="132" t="s">
        <v>881</v>
      </c>
      <c r="Q19" s="132" t="s">
        <v>882</v>
      </c>
      <c r="R19" s="132"/>
      <c r="S19" s="158">
        <v>0</v>
      </c>
      <c r="T19" s="158">
        <v>1026500</v>
      </c>
      <c r="U19" s="158">
        <v>20429285</v>
      </c>
      <c r="V19" s="158">
        <v>21455785</v>
      </c>
      <c r="W19" s="158">
        <v>20000</v>
      </c>
      <c r="X19" s="158">
        <v>21435785</v>
      </c>
      <c r="Y19" s="132" t="s">
        <v>6</v>
      </c>
      <c r="Z19" s="158">
        <v>21135785</v>
      </c>
      <c r="AA19" s="157">
        <v>46172</v>
      </c>
      <c r="AB19" s="158">
        <v>200000</v>
      </c>
      <c r="AC19" s="158">
        <v>200000</v>
      </c>
      <c r="AD19" s="132" t="s">
        <v>121</v>
      </c>
      <c r="AE19" s="158">
        <v>0</v>
      </c>
      <c r="AF19" s="158">
        <v>0</v>
      </c>
      <c r="AG19" s="158">
        <v>0</v>
      </c>
      <c r="AH19" s="157"/>
      <c r="AI19" s="132" t="s">
        <v>9</v>
      </c>
      <c r="AJ19" s="158"/>
      <c r="AK19" s="132">
        <v>0</v>
      </c>
      <c r="AL19" s="132">
        <v>0</v>
      </c>
      <c r="AM19" s="158">
        <v>21155785</v>
      </c>
      <c r="AN19" s="158">
        <v>21135785</v>
      </c>
      <c r="AO19" s="155" t="s">
        <v>273</v>
      </c>
      <c r="AP19" s="155" t="s">
        <v>307</v>
      </c>
      <c r="AQ19" s="155">
        <v>30</v>
      </c>
      <c r="AR19" s="155" t="s">
        <v>1495</v>
      </c>
      <c r="AS19" s="155" t="s">
        <v>782</v>
      </c>
      <c r="AT19" s="155" t="s">
        <v>778</v>
      </c>
      <c r="AU19" s="155" t="b">
        <v>0</v>
      </c>
      <c r="AV19" s="156">
        <f t="shared" ca="1" si="0"/>
        <v>0</v>
      </c>
      <c r="AW19" s="156">
        <f t="shared" ca="1" si="1"/>
        <v>0</v>
      </c>
    </row>
    <row r="20" spans="1:49" x14ac:dyDescent="0.25">
      <c r="A20" s="129" t="s">
        <v>149</v>
      </c>
      <c r="B20" s="130" t="s">
        <v>584</v>
      </c>
      <c r="C20" s="130" t="s">
        <v>150</v>
      </c>
      <c r="D20" s="130" t="s">
        <v>585</v>
      </c>
      <c r="E20" s="130" t="s">
        <v>45</v>
      </c>
      <c r="F20" s="130" t="s">
        <v>1040</v>
      </c>
      <c r="G20" s="130" t="s">
        <v>1041</v>
      </c>
      <c r="H20" s="153">
        <v>44327</v>
      </c>
      <c r="I20" s="153">
        <v>45807</v>
      </c>
      <c r="J20" s="130" t="s">
        <v>7</v>
      </c>
      <c r="K20" s="130" t="s">
        <v>120</v>
      </c>
      <c r="L20" s="130" t="s">
        <v>20</v>
      </c>
      <c r="M20" s="130" t="s">
        <v>1042</v>
      </c>
      <c r="N20" s="130" t="s">
        <v>1043</v>
      </c>
      <c r="O20" s="130" t="s">
        <v>1044</v>
      </c>
      <c r="P20" s="130" t="s">
        <v>1044</v>
      </c>
      <c r="Q20" s="130" t="s">
        <v>1045</v>
      </c>
      <c r="R20" s="130"/>
      <c r="S20" s="154">
        <v>0</v>
      </c>
      <c r="T20" s="154">
        <v>12077000</v>
      </c>
      <c r="U20" s="154">
        <v>0</v>
      </c>
      <c r="V20" s="154">
        <v>12077000</v>
      </c>
      <c r="W20" s="154">
        <v>0</v>
      </c>
      <c r="X20" s="154">
        <v>12077000</v>
      </c>
      <c r="Y20" s="130" t="s">
        <v>6</v>
      </c>
      <c r="Z20" s="154">
        <v>12077000</v>
      </c>
      <c r="AA20" s="153">
        <v>46150</v>
      </c>
      <c r="AB20" s="154">
        <v>0</v>
      </c>
      <c r="AC20" s="154">
        <v>0</v>
      </c>
      <c r="AD20" s="130" t="s">
        <v>121</v>
      </c>
      <c r="AE20" s="154">
        <v>0</v>
      </c>
      <c r="AF20" s="154">
        <v>0</v>
      </c>
      <c r="AG20" s="154">
        <v>0</v>
      </c>
      <c r="AH20" s="153"/>
      <c r="AI20" s="130" t="s">
        <v>9</v>
      </c>
      <c r="AJ20" s="154"/>
      <c r="AK20" s="130">
        <v>0</v>
      </c>
      <c r="AL20" s="130">
        <v>0</v>
      </c>
      <c r="AM20" s="154">
        <v>12052000</v>
      </c>
      <c r="AN20" s="154">
        <v>12052000</v>
      </c>
      <c r="AO20" s="155" t="s">
        <v>273</v>
      </c>
      <c r="AP20" s="155" t="s">
        <v>38</v>
      </c>
      <c r="AQ20" s="155">
        <v>8</v>
      </c>
      <c r="AR20" s="155" t="s">
        <v>1495</v>
      </c>
      <c r="AS20" s="155" t="s">
        <v>782</v>
      </c>
      <c r="AT20" s="155" t="s">
        <v>778</v>
      </c>
      <c r="AU20" s="155" t="b">
        <v>0</v>
      </c>
      <c r="AV20" s="156">
        <f t="shared" ca="1" si="0"/>
        <v>0</v>
      </c>
      <c r="AW20" s="156">
        <f t="shared" ca="1" si="1"/>
        <v>0</v>
      </c>
    </row>
    <row r="21" spans="1:49" x14ac:dyDescent="0.25">
      <c r="A21" s="131" t="s">
        <v>126</v>
      </c>
      <c r="B21" s="132" t="s">
        <v>574</v>
      </c>
      <c r="C21" s="132" t="s">
        <v>133</v>
      </c>
      <c r="D21" s="132" t="s">
        <v>52</v>
      </c>
      <c r="E21" s="132" t="s">
        <v>45</v>
      </c>
      <c r="F21" s="132" t="s">
        <v>1259</v>
      </c>
      <c r="G21" s="132" t="s">
        <v>1260</v>
      </c>
      <c r="H21" s="157">
        <v>44302</v>
      </c>
      <c r="I21" s="157">
        <v>45824</v>
      </c>
      <c r="J21" s="132" t="s">
        <v>7</v>
      </c>
      <c r="K21" s="132" t="s">
        <v>120</v>
      </c>
      <c r="L21" s="132" t="s">
        <v>20</v>
      </c>
      <c r="M21" s="132" t="s">
        <v>1261</v>
      </c>
      <c r="N21" s="132" t="s">
        <v>0</v>
      </c>
      <c r="O21" s="132" t="s">
        <v>1262</v>
      </c>
      <c r="P21" s="132" t="s">
        <v>1262</v>
      </c>
      <c r="Q21" s="132" t="s">
        <v>1262</v>
      </c>
      <c r="R21" s="132"/>
      <c r="S21" s="158">
        <v>0</v>
      </c>
      <c r="T21" s="158">
        <v>0</v>
      </c>
      <c r="U21" s="158">
        <v>15787962.5</v>
      </c>
      <c r="V21" s="158">
        <v>15787962.5</v>
      </c>
      <c r="W21" s="158">
        <v>610000</v>
      </c>
      <c r="X21" s="158">
        <v>15177962.5</v>
      </c>
      <c r="Y21" s="132" t="s">
        <v>16</v>
      </c>
      <c r="Z21" s="158">
        <v>0</v>
      </c>
      <c r="AA21" s="157">
        <v>46161</v>
      </c>
      <c r="AB21" s="158">
        <v>11500000</v>
      </c>
      <c r="AC21" s="158">
        <v>11500000</v>
      </c>
      <c r="AD21" s="132" t="s">
        <v>123</v>
      </c>
      <c r="AE21" s="158">
        <v>0</v>
      </c>
      <c r="AF21" s="158">
        <v>3677962.5</v>
      </c>
      <c r="AG21" s="158">
        <v>-11500000</v>
      </c>
      <c r="AH21" s="157">
        <v>46162</v>
      </c>
      <c r="AI21" s="132" t="s">
        <v>122</v>
      </c>
      <c r="AJ21" s="158">
        <v>3677962.5</v>
      </c>
      <c r="AK21" s="132">
        <v>0.23</v>
      </c>
      <c r="AL21" s="132">
        <v>0.24</v>
      </c>
      <c r="AM21" s="158">
        <v>610000</v>
      </c>
      <c r="AN21" s="158">
        <v>0</v>
      </c>
      <c r="AO21" s="155" t="s">
        <v>257</v>
      </c>
      <c r="AP21" s="155" t="s">
        <v>25</v>
      </c>
      <c r="AQ21" s="155">
        <v>19</v>
      </c>
      <c r="AR21" s="155" t="s">
        <v>1495</v>
      </c>
      <c r="AS21" s="155" t="s">
        <v>787</v>
      </c>
      <c r="AT21" s="155" t="s">
        <v>778</v>
      </c>
      <c r="AU21" s="155" t="b">
        <v>0</v>
      </c>
      <c r="AV21" s="156">
        <f t="shared" ca="1" si="0"/>
        <v>0</v>
      </c>
      <c r="AW21" s="156">
        <f t="shared" ca="1" si="1"/>
        <v>0</v>
      </c>
    </row>
    <row r="22" spans="1:49" x14ac:dyDescent="0.25">
      <c r="A22" s="129" t="s">
        <v>138</v>
      </c>
      <c r="B22" s="130" t="s">
        <v>573</v>
      </c>
      <c r="C22" s="130" t="s">
        <v>148</v>
      </c>
      <c r="D22" s="130" t="s">
        <v>51</v>
      </c>
      <c r="E22" s="130" t="s">
        <v>45</v>
      </c>
      <c r="F22" s="130" t="s">
        <v>1034</v>
      </c>
      <c r="G22" s="130" t="s">
        <v>1035</v>
      </c>
      <c r="H22" s="153">
        <v>44336</v>
      </c>
      <c r="I22" s="153">
        <v>45838</v>
      </c>
      <c r="J22" s="130" t="s">
        <v>7</v>
      </c>
      <c r="K22" s="130" t="s">
        <v>120</v>
      </c>
      <c r="L22" s="130" t="s">
        <v>20</v>
      </c>
      <c r="M22" s="130" t="s">
        <v>1036</v>
      </c>
      <c r="N22" s="130" t="s">
        <v>0</v>
      </c>
      <c r="O22" s="130" t="s">
        <v>1037</v>
      </c>
      <c r="P22" s="130" t="s">
        <v>1038</v>
      </c>
      <c r="Q22" s="130" t="s">
        <v>1039</v>
      </c>
      <c r="R22" s="130"/>
      <c r="S22" s="154">
        <v>0</v>
      </c>
      <c r="T22" s="154">
        <v>12483200</v>
      </c>
      <c r="U22" s="154">
        <v>0</v>
      </c>
      <c r="V22" s="154">
        <v>12483200</v>
      </c>
      <c r="W22" s="154">
        <v>0</v>
      </c>
      <c r="X22" s="154">
        <v>12483200</v>
      </c>
      <c r="Y22" s="130" t="s">
        <v>6</v>
      </c>
      <c r="Z22" s="154">
        <v>12483200</v>
      </c>
      <c r="AA22" s="153">
        <v>46149</v>
      </c>
      <c r="AB22" s="154">
        <v>0</v>
      </c>
      <c r="AC22" s="154">
        <v>0</v>
      </c>
      <c r="AD22" s="130" t="s">
        <v>121</v>
      </c>
      <c r="AE22" s="154">
        <v>0</v>
      </c>
      <c r="AF22" s="154">
        <v>0</v>
      </c>
      <c r="AG22" s="154">
        <v>0</v>
      </c>
      <c r="AH22" s="153"/>
      <c r="AI22" s="130" t="s">
        <v>9</v>
      </c>
      <c r="AJ22" s="154"/>
      <c r="AK22" s="130">
        <v>0</v>
      </c>
      <c r="AL22" s="130">
        <v>0</v>
      </c>
      <c r="AM22" s="154">
        <v>12458200</v>
      </c>
      <c r="AN22" s="154">
        <v>12458200</v>
      </c>
      <c r="AO22" s="155" t="s">
        <v>246</v>
      </c>
      <c r="AP22" s="155" t="s">
        <v>28</v>
      </c>
      <c r="AQ22" s="155">
        <v>7</v>
      </c>
      <c r="AR22" s="155" t="s">
        <v>1495</v>
      </c>
      <c r="AS22" s="155" t="s">
        <v>787</v>
      </c>
      <c r="AT22" s="155" t="s">
        <v>778</v>
      </c>
      <c r="AU22" s="155" t="b">
        <v>0</v>
      </c>
      <c r="AV22" s="156">
        <f t="shared" ca="1" si="0"/>
        <v>0</v>
      </c>
      <c r="AW22" s="156">
        <f t="shared" ca="1" si="1"/>
        <v>0</v>
      </c>
    </row>
    <row r="23" spans="1:49" x14ac:dyDescent="0.25">
      <c r="A23" s="131" t="s">
        <v>138</v>
      </c>
      <c r="B23" s="132" t="s">
        <v>561</v>
      </c>
      <c r="C23" s="132" t="s">
        <v>144</v>
      </c>
      <c r="D23" s="132" t="s">
        <v>46</v>
      </c>
      <c r="E23" s="132" t="s">
        <v>45</v>
      </c>
      <c r="F23" s="132" t="s">
        <v>657</v>
      </c>
      <c r="G23" s="132" t="s">
        <v>658</v>
      </c>
      <c r="H23" s="157">
        <v>44376</v>
      </c>
      <c r="I23" s="157">
        <v>45859</v>
      </c>
      <c r="J23" s="132" t="s">
        <v>7</v>
      </c>
      <c r="K23" s="132" t="s">
        <v>120</v>
      </c>
      <c r="L23" s="132" t="s">
        <v>20</v>
      </c>
      <c r="M23" s="132" t="s">
        <v>659</v>
      </c>
      <c r="N23" s="132" t="s">
        <v>0</v>
      </c>
      <c r="O23" s="132" t="s">
        <v>660</v>
      </c>
      <c r="P23" s="132" t="s">
        <v>660</v>
      </c>
      <c r="Q23" s="132" t="s">
        <v>660</v>
      </c>
      <c r="R23" s="132"/>
      <c r="S23" s="158">
        <v>0</v>
      </c>
      <c r="T23" s="158">
        <v>124355</v>
      </c>
      <c r="U23" s="158">
        <v>6231665.25</v>
      </c>
      <c r="V23" s="158">
        <v>6356020.25</v>
      </c>
      <c r="W23" s="158">
        <v>0</v>
      </c>
      <c r="X23" s="158">
        <v>6356020.25</v>
      </c>
      <c r="Y23" s="132" t="s">
        <v>6</v>
      </c>
      <c r="Z23" s="158">
        <v>5456020.25</v>
      </c>
      <c r="AA23" s="157">
        <v>46168</v>
      </c>
      <c r="AB23" s="158">
        <v>100000</v>
      </c>
      <c r="AC23" s="158">
        <v>100000</v>
      </c>
      <c r="AD23" s="132" t="s">
        <v>123</v>
      </c>
      <c r="AE23" s="158">
        <v>0</v>
      </c>
      <c r="AF23" s="158">
        <v>0</v>
      </c>
      <c r="AG23" s="158">
        <v>0</v>
      </c>
      <c r="AH23" s="157"/>
      <c r="AI23" s="132" t="s">
        <v>9</v>
      </c>
      <c r="AJ23" s="158"/>
      <c r="AK23" s="132">
        <v>0</v>
      </c>
      <c r="AL23" s="132">
        <v>0</v>
      </c>
      <c r="AM23" s="158">
        <v>5429020.25</v>
      </c>
      <c r="AN23" s="158">
        <v>5429020.25</v>
      </c>
      <c r="AO23" s="155" t="s">
        <v>246</v>
      </c>
      <c r="AP23" s="155" t="s">
        <v>331</v>
      </c>
      <c r="AQ23" s="155">
        <v>26</v>
      </c>
      <c r="AR23" s="155" t="s">
        <v>1495</v>
      </c>
      <c r="AS23" s="155" t="s">
        <v>786</v>
      </c>
      <c r="AT23" s="155" t="s">
        <v>778</v>
      </c>
      <c r="AU23" s="155" t="b">
        <v>0</v>
      </c>
      <c r="AV23" s="156">
        <f t="shared" ca="1" si="0"/>
        <v>0</v>
      </c>
      <c r="AW23" s="156">
        <f t="shared" ca="1" si="1"/>
        <v>0</v>
      </c>
    </row>
    <row r="24" spans="1:49" x14ac:dyDescent="0.25">
      <c r="A24" s="129" t="s">
        <v>161</v>
      </c>
      <c r="B24" s="130" t="s">
        <v>591</v>
      </c>
      <c r="C24" s="130" t="s">
        <v>162</v>
      </c>
      <c r="D24" s="130" t="s">
        <v>163</v>
      </c>
      <c r="E24" s="130" t="s">
        <v>45</v>
      </c>
      <c r="F24" s="130" t="s">
        <v>1205</v>
      </c>
      <c r="G24" s="130" t="s">
        <v>1206</v>
      </c>
      <c r="H24" s="153">
        <v>44742</v>
      </c>
      <c r="I24" s="153">
        <v>45868</v>
      </c>
      <c r="J24" s="130" t="s">
        <v>7</v>
      </c>
      <c r="K24" s="130" t="s">
        <v>120</v>
      </c>
      <c r="L24" s="130" t="s">
        <v>21</v>
      </c>
      <c r="M24" s="130" t="s">
        <v>1207</v>
      </c>
      <c r="N24" s="130" t="s">
        <v>0</v>
      </c>
      <c r="O24" s="130" t="s">
        <v>1208</v>
      </c>
      <c r="P24" s="130" t="s">
        <v>1209</v>
      </c>
      <c r="Q24" s="130" t="s">
        <v>1210</v>
      </c>
      <c r="R24" s="130"/>
      <c r="S24" s="154">
        <v>0</v>
      </c>
      <c r="T24" s="154">
        <v>31876300</v>
      </c>
      <c r="U24" s="154">
        <v>0</v>
      </c>
      <c r="V24" s="154">
        <v>31876300</v>
      </c>
      <c r="W24" s="154">
        <v>0</v>
      </c>
      <c r="X24" s="154">
        <v>31876300</v>
      </c>
      <c r="Y24" s="130" t="s">
        <v>16</v>
      </c>
      <c r="Z24" s="154">
        <v>0</v>
      </c>
      <c r="AA24" s="153">
        <v>46157</v>
      </c>
      <c r="AB24" s="154">
        <v>23908000</v>
      </c>
      <c r="AC24" s="154">
        <v>23908000</v>
      </c>
      <c r="AD24" s="130" t="s">
        <v>121</v>
      </c>
      <c r="AE24" s="154">
        <v>0</v>
      </c>
      <c r="AF24" s="154">
        <v>7969075</v>
      </c>
      <c r="AG24" s="154">
        <v>0</v>
      </c>
      <c r="AH24" s="153">
        <v>46160</v>
      </c>
      <c r="AI24" s="130" t="s">
        <v>122</v>
      </c>
      <c r="AJ24" s="154">
        <v>7969075</v>
      </c>
      <c r="AK24" s="130">
        <v>0.25</v>
      </c>
      <c r="AL24" s="130">
        <v>0.25</v>
      </c>
      <c r="AM24" s="154">
        <v>-775</v>
      </c>
      <c r="AN24" s="154">
        <v>-775</v>
      </c>
      <c r="AO24" s="155" t="s">
        <v>252</v>
      </c>
      <c r="AP24" s="155" t="s">
        <v>36</v>
      </c>
      <c r="AQ24" s="155">
        <v>15</v>
      </c>
      <c r="AR24" s="155" t="s">
        <v>1495</v>
      </c>
      <c r="AS24" s="155" t="s">
        <v>786</v>
      </c>
      <c r="AT24" s="155" t="s">
        <v>778</v>
      </c>
      <c r="AU24" s="155" t="b">
        <v>0</v>
      </c>
      <c r="AV24" s="156">
        <f t="shared" ca="1" si="0"/>
        <v>0</v>
      </c>
      <c r="AW24" s="156">
        <f t="shared" ca="1" si="1"/>
        <v>0</v>
      </c>
    </row>
    <row r="25" spans="1:49" x14ac:dyDescent="0.25">
      <c r="A25" s="131" t="s">
        <v>138</v>
      </c>
      <c r="B25" s="132" t="s">
        <v>572</v>
      </c>
      <c r="C25" s="132" t="s">
        <v>139</v>
      </c>
      <c r="D25" s="132" t="s">
        <v>50</v>
      </c>
      <c r="E25" s="132" t="s">
        <v>45</v>
      </c>
      <c r="F25" s="132" t="s">
        <v>1300</v>
      </c>
      <c r="G25" s="132" t="s">
        <v>1301</v>
      </c>
      <c r="H25" s="157">
        <v>45534</v>
      </c>
      <c r="I25" s="157">
        <v>45876</v>
      </c>
      <c r="J25" s="132" t="s">
        <v>7</v>
      </c>
      <c r="K25" s="132" t="s">
        <v>846</v>
      </c>
      <c r="L25" s="132" t="s">
        <v>848</v>
      </c>
      <c r="M25" s="132" t="s">
        <v>1302</v>
      </c>
      <c r="N25" s="132" t="s">
        <v>0</v>
      </c>
      <c r="O25" s="132" t="s">
        <v>1303</v>
      </c>
      <c r="P25" s="132" t="s">
        <v>1303</v>
      </c>
      <c r="Q25" s="132" t="s">
        <v>1304</v>
      </c>
      <c r="R25" s="132"/>
      <c r="S25" s="158">
        <v>0</v>
      </c>
      <c r="T25" s="158">
        <v>1212560</v>
      </c>
      <c r="U25" s="158">
        <v>0</v>
      </c>
      <c r="V25" s="158">
        <v>1212560</v>
      </c>
      <c r="W25" s="158">
        <v>0</v>
      </c>
      <c r="X25" s="158">
        <v>1212560</v>
      </c>
      <c r="Y25" s="132" t="s">
        <v>16</v>
      </c>
      <c r="Z25" s="158">
        <v>0</v>
      </c>
      <c r="AA25" s="157">
        <v>46163</v>
      </c>
      <c r="AB25" s="158">
        <v>1212560</v>
      </c>
      <c r="AC25" s="158">
        <v>1212560</v>
      </c>
      <c r="AD25" s="132" t="s">
        <v>121</v>
      </c>
      <c r="AE25" s="158">
        <v>0</v>
      </c>
      <c r="AF25" s="158">
        <v>0</v>
      </c>
      <c r="AG25" s="158">
        <v>0</v>
      </c>
      <c r="AH25" s="157">
        <v>46163</v>
      </c>
      <c r="AI25" s="132" t="s">
        <v>122</v>
      </c>
      <c r="AJ25" s="158"/>
      <c r="AK25" s="132">
        <v>0</v>
      </c>
      <c r="AL25" s="132">
        <v>0</v>
      </c>
      <c r="AM25" s="158">
        <v>0</v>
      </c>
      <c r="AN25" s="158">
        <v>0</v>
      </c>
      <c r="AO25" s="155" t="s">
        <v>246</v>
      </c>
      <c r="AP25" s="155" t="s">
        <v>23</v>
      </c>
      <c r="AQ25" s="155">
        <v>21</v>
      </c>
      <c r="AR25" s="155" t="s">
        <v>1495</v>
      </c>
      <c r="AS25" s="155" t="s">
        <v>779</v>
      </c>
      <c r="AT25" s="155" t="s">
        <v>778</v>
      </c>
      <c r="AU25" s="155" t="b">
        <v>0</v>
      </c>
      <c r="AV25" s="156">
        <f t="shared" ca="1" si="0"/>
        <v>0</v>
      </c>
      <c r="AW25" s="156">
        <f t="shared" ca="1" si="1"/>
        <v>0</v>
      </c>
    </row>
    <row r="26" spans="1:49" x14ac:dyDescent="0.25">
      <c r="A26" s="129" t="s">
        <v>197</v>
      </c>
      <c r="B26" s="130" t="s">
        <v>610</v>
      </c>
      <c r="C26" s="130" t="s">
        <v>198</v>
      </c>
      <c r="D26" s="130" t="s">
        <v>75</v>
      </c>
      <c r="E26" s="130" t="s">
        <v>45</v>
      </c>
      <c r="F26" s="130" t="s">
        <v>1248</v>
      </c>
      <c r="G26" s="130" t="s">
        <v>1249</v>
      </c>
      <c r="H26" s="153">
        <v>44193</v>
      </c>
      <c r="I26" s="153">
        <v>45892</v>
      </c>
      <c r="J26" s="130" t="s">
        <v>7</v>
      </c>
      <c r="K26" s="130" t="s">
        <v>120</v>
      </c>
      <c r="L26" s="130" t="s">
        <v>17</v>
      </c>
      <c r="M26" s="130" t="s">
        <v>1250</v>
      </c>
      <c r="N26" s="130" t="s">
        <v>0</v>
      </c>
      <c r="O26" s="130" t="s">
        <v>1251</v>
      </c>
      <c r="P26" s="130" t="s">
        <v>1252</v>
      </c>
      <c r="Q26" s="130" t="s">
        <v>1253</v>
      </c>
      <c r="R26" s="130"/>
      <c r="S26" s="154">
        <v>0</v>
      </c>
      <c r="T26" s="154">
        <v>6824500</v>
      </c>
      <c r="U26" s="154">
        <v>18830175</v>
      </c>
      <c r="V26" s="154">
        <v>25654675</v>
      </c>
      <c r="W26" s="154">
        <v>163000</v>
      </c>
      <c r="X26" s="154">
        <v>25491675</v>
      </c>
      <c r="Y26" s="130" t="s">
        <v>16</v>
      </c>
      <c r="Z26" s="154">
        <v>0</v>
      </c>
      <c r="AA26" s="153">
        <v>46161</v>
      </c>
      <c r="AB26" s="154">
        <v>17696402</v>
      </c>
      <c r="AC26" s="154">
        <v>17696402</v>
      </c>
      <c r="AD26" s="130" t="s">
        <v>123</v>
      </c>
      <c r="AE26" s="154">
        <v>0</v>
      </c>
      <c r="AF26" s="154">
        <v>7933273</v>
      </c>
      <c r="AG26" s="154">
        <v>-17696402</v>
      </c>
      <c r="AH26" s="153">
        <v>46162</v>
      </c>
      <c r="AI26" s="130" t="s">
        <v>122</v>
      </c>
      <c r="AJ26" s="154">
        <v>7933273</v>
      </c>
      <c r="AK26" s="130">
        <v>0.31</v>
      </c>
      <c r="AL26" s="130">
        <v>0.31</v>
      </c>
      <c r="AM26" s="154">
        <v>0</v>
      </c>
      <c r="AN26" s="154">
        <v>-163000</v>
      </c>
      <c r="AO26" s="155" t="s">
        <v>295</v>
      </c>
      <c r="AP26" s="155" t="s">
        <v>199</v>
      </c>
      <c r="AQ26" s="155">
        <v>19</v>
      </c>
      <c r="AR26" s="155" t="s">
        <v>1495</v>
      </c>
      <c r="AS26" s="155" t="s">
        <v>779</v>
      </c>
      <c r="AT26" s="155" t="s">
        <v>778</v>
      </c>
      <c r="AU26" s="155" t="b">
        <v>0</v>
      </c>
      <c r="AV26" s="156">
        <f t="shared" ca="1" si="0"/>
        <v>0</v>
      </c>
      <c r="AW26" s="156">
        <f t="shared" ca="1" si="1"/>
        <v>0</v>
      </c>
    </row>
    <row r="27" spans="1:49" x14ac:dyDescent="0.25">
      <c r="A27" s="131" t="s">
        <v>169</v>
      </c>
      <c r="B27" s="132" t="s">
        <v>594</v>
      </c>
      <c r="C27" s="132" t="s">
        <v>171</v>
      </c>
      <c r="D27" s="132" t="s">
        <v>57</v>
      </c>
      <c r="E27" s="132" t="s">
        <v>45</v>
      </c>
      <c r="F27" s="132" t="s">
        <v>1090</v>
      </c>
      <c r="G27" s="132" t="s">
        <v>1091</v>
      </c>
      <c r="H27" s="157">
        <v>44474</v>
      </c>
      <c r="I27" s="157">
        <v>45895</v>
      </c>
      <c r="J27" s="132" t="s">
        <v>7</v>
      </c>
      <c r="K27" s="132" t="s">
        <v>120</v>
      </c>
      <c r="L27" s="132" t="s">
        <v>20</v>
      </c>
      <c r="M27" s="132" t="s">
        <v>1092</v>
      </c>
      <c r="N27" s="132" t="s">
        <v>0</v>
      </c>
      <c r="O27" s="132" t="s">
        <v>1093</v>
      </c>
      <c r="P27" s="132" t="s">
        <v>1093</v>
      </c>
      <c r="Q27" s="132" t="s">
        <v>1094</v>
      </c>
      <c r="R27" s="132"/>
      <c r="S27" s="158">
        <v>0</v>
      </c>
      <c r="T27" s="158">
        <v>14427420</v>
      </c>
      <c r="U27" s="158">
        <v>0</v>
      </c>
      <c r="V27" s="158">
        <v>14427420</v>
      </c>
      <c r="W27" s="158">
        <v>0</v>
      </c>
      <c r="X27" s="158">
        <v>14427420</v>
      </c>
      <c r="Y27" s="132" t="s">
        <v>6</v>
      </c>
      <c r="Z27" s="158">
        <v>13277420</v>
      </c>
      <c r="AA27" s="157">
        <v>46170</v>
      </c>
      <c r="AB27" s="158">
        <v>600000</v>
      </c>
      <c r="AC27" s="158">
        <v>600000</v>
      </c>
      <c r="AD27" s="132" t="s">
        <v>121</v>
      </c>
      <c r="AE27" s="158">
        <v>0</v>
      </c>
      <c r="AF27" s="158">
        <v>0</v>
      </c>
      <c r="AG27" s="158">
        <v>0</v>
      </c>
      <c r="AH27" s="157"/>
      <c r="AI27" s="132" t="s">
        <v>9</v>
      </c>
      <c r="AJ27" s="158"/>
      <c r="AK27" s="132">
        <v>0</v>
      </c>
      <c r="AL27" s="132">
        <v>0</v>
      </c>
      <c r="AM27" s="158">
        <v>13277420</v>
      </c>
      <c r="AN27" s="158">
        <v>13277420</v>
      </c>
      <c r="AO27" s="155" t="s">
        <v>228</v>
      </c>
      <c r="AP27" s="155" t="s">
        <v>8</v>
      </c>
      <c r="AQ27" s="155">
        <v>28</v>
      </c>
      <c r="AR27" s="155" t="s">
        <v>1495</v>
      </c>
      <c r="AS27" s="155" t="s">
        <v>779</v>
      </c>
      <c r="AT27" s="155" t="s">
        <v>778</v>
      </c>
      <c r="AU27" s="155" t="b">
        <v>0</v>
      </c>
      <c r="AV27" s="156">
        <f t="shared" ca="1" si="0"/>
        <v>0</v>
      </c>
      <c r="AW27" s="156">
        <f t="shared" ca="1" si="1"/>
        <v>0</v>
      </c>
    </row>
    <row r="28" spans="1:49" x14ac:dyDescent="0.25">
      <c r="A28" s="129" t="s">
        <v>118</v>
      </c>
      <c r="B28" s="130" t="s">
        <v>604</v>
      </c>
      <c r="C28" s="130" t="s">
        <v>124</v>
      </c>
      <c r="D28" s="130" t="s">
        <v>61</v>
      </c>
      <c r="E28" s="130" t="s">
        <v>45</v>
      </c>
      <c r="F28" s="130" t="s">
        <v>1222</v>
      </c>
      <c r="G28" s="130" t="s">
        <v>1223</v>
      </c>
      <c r="H28" s="153">
        <v>44415</v>
      </c>
      <c r="I28" s="153">
        <v>45895</v>
      </c>
      <c r="J28" s="130" t="s">
        <v>7</v>
      </c>
      <c r="K28" s="130" t="s">
        <v>120</v>
      </c>
      <c r="L28" s="130" t="s">
        <v>20</v>
      </c>
      <c r="M28" s="130" t="s">
        <v>1224</v>
      </c>
      <c r="N28" s="130" t="s">
        <v>0</v>
      </c>
      <c r="O28" s="130" t="s">
        <v>1225</v>
      </c>
      <c r="P28" s="130" t="s">
        <v>1226</v>
      </c>
      <c r="Q28" s="130" t="s">
        <v>1227</v>
      </c>
      <c r="R28" s="130"/>
      <c r="S28" s="154">
        <v>0</v>
      </c>
      <c r="T28" s="154">
        <v>4518792</v>
      </c>
      <c r="U28" s="154">
        <v>0</v>
      </c>
      <c r="V28" s="154">
        <v>4518792</v>
      </c>
      <c r="W28" s="154">
        <v>920</v>
      </c>
      <c r="X28" s="154">
        <v>4517872</v>
      </c>
      <c r="Y28" s="130" t="s">
        <v>16</v>
      </c>
      <c r="Z28" s="154">
        <v>0</v>
      </c>
      <c r="AA28" s="153">
        <v>46160</v>
      </c>
      <c r="AB28" s="154">
        <v>3616000</v>
      </c>
      <c r="AC28" s="154">
        <v>3616000</v>
      </c>
      <c r="AD28" s="130" t="s">
        <v>121</v>
      </c>
      <c r="AE28" s="154">
        <v>0</v>
      </c>
      <c r="AF28" s="154">
        <v>902792</v>
      </c>
      <c r="AG28" s="154">
        <v>0</v>
      </c>
      <c r="AH28" s="153">
        <v>46160</v>
      </c>
      <c r="AI28" s="130" t="s">
        <v>122</v>
      </c>
      <c r="AJ28" s="154">
        <v>902792</v>
      </c>
      <c r="AK28" s="130">
        <v>0.2</v>
      </c>
      <c r="AL28" s="130">
        <v>0.2</v>
      </c>
      <c r="AM28" s="154">
        <v>0</v>
      </c>
      <c r="AN28" s="154">
        <v>-920</v>
      </c>
      <c r="AO28" s="155" t="s">
        <v>385</v>
      </c>
      <c r="AP28" s="155" t="s">
        <v>408</v>
      </c>
      <c r="AQ28" s="155">
        <v>18</v>
      </c>
      <c r="AR28" s="155" t="s">
        <v>1495</v>
      </c>
      <c r="AS28" s="155" t="s">
        <v>779</v>
      </c>
      <c r="AT28" s="155" t="s">
        <v>778</v>
      </c>
      <c r="AU28" s="155" t="b">
        <v>0</v>
      </c>
      <c r="AV28" s="156">
        <f t="shared" ca="1" si="0"/>
        <v>0</v>
      </c>
      <c r="AW28" s="156">
        <f t="shared" ca="1" si="1"/>
        <v>0</v>
      </c>
    </row>
    <row r="29" spans="1:49" x14ac:dyDescent="0.25">
      <c r="A29" s="131" t="s">
        <v>169</v>
      </c>
      <c r="B29" s="132" t="s">
        <v>594</v>
      </c>
      <c r="C29" s="132" t="s">
        <v>171</v>
      </c>
      <c r="D29" s="132" t="s">
        <v>57</v>
      </c>
      <c r="E29" s="132" t="s">
        <v>45</v>
      </c>
      <c r="F29" s="132" t="s">
        <v>1244</v>
      </c>
      <c r="G29" s="132" t="s">
        <v>1245</v>
      </c>
      <c r="H29" s="157">
        <v>44347</v>
      </c>
      <c r="I29" s="157">
        <v>45930</v>
      </c>
      <c r="J29" s="132" t="s">
        <v>7</v>
      </c>
      <c r="K29" s="132" t="s">
        <v>120</v>
      </c>
      <c r="L29" s="132" t="s">
        <v>20</v>
      </c>
      <c r="M29" s="132" t="s">
        <v>1246</v>
      </c>
      <c r="N29" s="132" t="s">
        <v>0</v>
      </c>
      <c r="O29" s="132" t="s">
        <v>1247</v>
      </c>
      <c r="P29" s="132" t="s">
        <v>1247</v>
      </c>
      <c r="Q29" s="132" t="s">
        <v>1247</v>
      </c>
      <c r="R29" s="132"/>
      <c r="S29" s="158">
        <v>0</v>
      </c>
      <c r="T29" s="158">
        <v>6824750</v>
      </c>
      <c r="U29" s="158">
        <v>11762568.75</v>
      </c>
      <c r="V29" s="158">
        <v>18587318.75</v>
      </c>
      <c r="W29" s="158">
        <v>0</v>
      </c>
      <c r="X29" s="158">
        <v>18587318.75</v>
      </c>
      <c r="Y29" s="132" t="s">
        <v>6</v>
      </c>
      <c r="Z29" s="158">
        <v>17562318.75</v>
      </c>
      <c r="AA29" s="157">
        <v>46160</v>
      </c>
      <c r="AB29" s="158">
        <v>1025000</v>
      </c>
      <c r="AC29" s="158">
        <v>1025000</v>
      </c>
      <c r="AD29" s="132" t="s">
        <v>121</v>
      </c>
      <c r="AE29" s="158">
        <v>0</v>
      </c>
      <c r="AF29" s="158">
        <v>0</v>
      </c>
      <c r="AG29" s="158">
        <v>0</v>
      </c>
      <c r="AH29" s="157"/>
      <c r="AI29" s="132" t="s">
        <v>9</v>
      </c>
      <c r="AJ29" s="158"/>
      <c r="AK29" s="132">
        <v>0</v>
      </c>
      <c r="AL29" s="132">
        <v>0</v>
      </c>
      <c r="AM29" s="158">
        <v>17562318.75</v>
      </c>
      <c r="AN29" s="158">
        <v>17562318.75</v>
      </c>
      <c r="AO29" s="155" t="s">
        <v>228</v>
      </c>
      <c r="AP29" s="155" t="s">
        <v>8</v>
      </c>
      <c r="AQ29" s="155">
        <v>18</v>
      </c>
      <c r="AR29" s="155" t="s">
        <v>1495</v>
      </c>
      <c r="AS29" s="155" t="s">
        <v>781</v>
      </c>
      <c r="AT29" s="155" t="s">
        <v>778</v>
      </c>
      <c r="AU29" s="155" t="b">
        <v>0</v>
      </c>
      <c r="AV29" s="156">
        <f t="shared" ca="1" si="0"/>
        <v>0</v>
      </c>
      <c r="AW29" s="156">
        <f t="shared" ca="1" si="1"/>
        <v>0</v>
      </c>
    </row>
    <row r="30" spans="1:49" x14ac:dyDescent="0.25">
      <c r="A30" s="129" t="s">
        <v>138</v>
      </c>
      <c r="B30" s="130" t="s">
        <v>573</v>
      </c>
      <c r="C30" s="130" t="s">
        <v>148</v>
      </c>
      <c r="D30" s="130" t="s">
        <v>51</v>
      </c>
      <c r="E30" s="130" t="s">
        <v>45</v>
      </c>
      <c r="F30" s="130" t="s">
        <v>1108</v>
      </c>
      <c r="G30" s="130" t="s">
        <v>1109</v>
      </c>
      <c r="H30" s="153">
        <v>44839</v>
      </c>
      <c r="I30" s="153">
        <v>45945</v>
      </c>
      <c r="J30" s="130" t="s">
        <v>7</v>
      </c>
      <c r="K30" s="130" t="s">
        <v>120</v>
      </c>
      <c r="L30" s="130" t="s">
        <v>21</v>
      </c>
      <c r="M30" s="130" t="s">
        <v>1110</v>
      </c>
      <c r="N30" s="130" t="s">
        <v>0</v>
      </c>
      <c r="O30" s="130" t="s">
        <v>1111</v>
      </c>
      <c r="P30" s="130" t="s">
        <v>1112</v>
      </c>
      <c r="Q30" s="130" t="s">
        <v>1113</v>
      </c>
      <c r="R30" s="130"/>
      <c r="S30" s="154">
        <v>0</v>
      </c>
      <c r="T30" s="154">
        <v>9633000</v>
      </c>
      <c r="U30" s="154">
        <v>0</v>
      </c>
      <c r="V30" s="154">
        <v>9633000</v>
      </c>
      <c r="W30" s="154">
        <v>0</v>
      </c>
      <c r="X30" s="154">
        <v>9633000</v>
      </c>
      <c r="Y30" s="130" t="s">
        <v>16</v>
      </c>
      <c r="Z30" s="154">
        <v>0</v>
      </c>
      <c r="AA30" s="153">
        <v>46153</v>
      </c>
      <c r="AB30" s="154">
        <v>7707000</v>
      </c>
      <c r="AC30" s="154">
        <v>7707000</v>
      </c>
      <c r="AD30" s="130" t="s">
        <v>121</v>
      </c>
      <c r="AE30" s="154">
        <v>0</v>
      </c>
      <c r="AF30" s="154">
        <v>1926000</v>
      </c>
      <c r="AG30" s="154">
        <v>0</v>
      </c>
      <c r="AH30" s="153">
        <v>46154</v>
      </c>
      <c r="AI30" s="130" t="s">
        <v>122</v>
      </c>
      <c r="AJ30" s="154">
        <v>1926000</v>
      </c>
      <c r="AK30" s="130">
        <v>0.2</v>
      </c>
      <c r="AL30" s="130">
        <v>0.2</v>
      </c>
      <c r="AM30" s="154">
        <v>0</v>
      </c>
      <c r="AN30" s="154">
        <v>0</v>
      </c>
      <c r="AO30" s="155" t="s">
        <v>246</v>
      </c>
      <c r="AP30" s="155" t="s">
        <v>28</v>
      </c>
      <c r="AQ30" s="155">
        <v>11</v>
      </c>
      <c r="AR30" s="155" t="s">
        <v>1495</v>
      </c>
      <c r="AS30" s="155" t="s">
        <v>776</v>
      </c>
      <c r="AT30" s="155" t="s">
        <v>778</v>
      </c>
      <c r="AU30" s="155" t="b">
        <v>0</v>
      </c>
      <c r="AV30" s="156">
        <f t="shared" ca="1" si="0"/>
        <v>0</v>
      </c>
      <c r="AW30" s="156">
        <f t="shared" ca="1" si="1"/>
        <v>0</v>
      </c>
    </row>
    <row r="31" spans="1:49" x14ac:dyDescent="0.25">
      <c r="A31" s="131" t="s">
        <v>169</v>
      </c>
      <c r="B31" s="132" t="s">
        <v>578</v>
      </c>
      <c r="C31" s="132" t="s">
        <v>178</v>
      </c>
      <c r="D31" s="132" t="s">
        <v>69</v>
      </c>
      <c r="E31" s="132" t="s">
        <v>45</v>
      </c>
      <c r="F31" s="132" t="s">
        <v>1320</v>
      </c>
      <c r="G31" s="132" t="s">
        <v>1321</v>
      </c>
      <c r="H31" s="157">
        <v>44500</v>
      </c>
      <c r="I31" s="157">
        <v>45947</v>
      </c>
      <c r="J31" s="132" t="s">
        <v>7</v>
      </c>
      <c r="K31" s="132" t="s">
        <v>120</v>
      </c>
      <c r="L31" s="132" t="s">
        <v>20</v>
      </c>
      <c r="M31" s="132" t="s">
        <v>1322</v>
      </c>
      <c r="N31" s="132" t="s">
        <v>0</v>
      </c>
      <c r="O31" s="132" t="s">
        <v>1323</v>
      </c>
      <c r="P31" s="132" t="s">
        <v>1323</v>
      </c>
      <c r="Q31" s="132" t="s">
        <v>1324</v>
      </c>
      <c r="R31" s="132"/>
      <c r="S31" s="158">
        <v>0</v>
      </c>
      <c r="T31" s="158">
        <v>11712978</v>
      </c>
      <c r="U31" s="158">
        <v>0</v>
      </c>
      <c r="V31" s="158">
        <v>11712978</v>
      </c>
      <c r="W31" s="158">
        <v>100000</v>
      </c>
      <c r="X31" s="158">
        <v>11612978</v>
      </c>
      <c r="Y31" s="132" t="s">
        <v>40</v>
      </c>
      <c r="Z31" s="158">
        <v>0</v>
      </c>
      <c r="AA31" s="157">
        <v>46167</v>
      </c>
      <c r="AB31" s="158">
        <v>10000000</v>
      </c>
      <c r="AC31" s="158">
        <v>10000000</v>
      </c>
      <c r="AD31" s="132" t="s">
        <v>121</v>
      </c>
      <c r="AE31" s="158">
        <v>0</v>
      </c>
      <c r="AF31" s="158">
        <v>1612978</v>
      </c>
      <c r="AG31" s="158">
        <v>0</v>
      </c>
      <c r="AH31" s="157">
        <v>46167</v>
      </c>
      <c r="AI31" s="132" t="s">
        <v>9</v>
      </c>
      <c r="AJ31" s="158">
        <v>1612978</v>
      </c>
      <c r="AK31" s="132">
        <v>0.14000000000000001</v>
      </c>
      <c r="AL31" s="132">
        <v>0.14000000000000001</v>
      </c>
      <c r="AM31" s="158">
        <v>100000</v>
      </c>
      <c r="AN31" s="158">
        <v>0</v>
      </c>
      <c r="AO31" s="155" t="s">
        <v>228</v>
      </c>
      <c r="AP31" s="155" t="s">
        <v>19</v>
      </c>
      <c r="AQ31" s="155">
        <v>25</v>
      </c>
      <c r="AR31" s="155" t="s">
        <v>1495</v>
      </c>
      <c r="AS31" s="155" t="s">
        <v>776</v>
      </c>
      <c r="AT31" s="155" t="s">
        <v>778</v>
      </c>
      <c r="AU31" s="155" t="b">
        <v>0</v>
      </c>
      <c r="AV31" s="156">
        <f t="shared" ca="1" si="0"/>
        <v>0</v>
      </c>
      <c r="AW31" s="156">
        <f t="shared" ca="1" si="1"/>
        <v>0</v>
      </c>
    </row>
    <row r="32" spans="1:49" x14ac:dyDescent="0.25">
      <c r="A32" s="129" t="s">
        <v>197</v>
      </c>
      <c r="B32" s="130" t="s">
        <v>592</v>
      </c>
      <c r="C32" s="130" t="s">
        <v>207</v>
      </c>
      <c r="D32" s="130" t="s">
        <v>56</v>
      </c>
      <c r="E32" s="130" t="s">
        <v>45</v>
      </c>
      <c r="F32" s="130" t="s">
        <v>1030</v>
      </c>
      <c r="G32" s="130" t="s">
        <v>1031</v>
      </c>
      <c r="H32" s="153">
        <v>44488</v>
      </c>
      <c r="I32" s="153">
        <v>45950</v>
      </c>
      <c r="J32" s="130" t="s">
        <v>7</v>
      </c>
      <c r="K32" s="130" t="s">
        <v>120</v>
      </c>
      <c r="L32" s="130" t="s">
        <v>20</v>
      </c>
      <c r="M32" s="130" t="s">
        <v>1032</v>
      </c>
      <c r="N32" s="130" t="s">
        <v>0</v>
      </c>
      <c r="O32" s="130" t="s">
        <v>1033</v>
      </c>
      <c r="P32" s="130" t="s">
        <v>1033</v>
      </c>
      <c r="Q32" s="130" t="s">
        <v>1033</v>
      </c>
      <c r="R32" s="130"/>
      <c r="S32" s="154">
        <v>0</v>
      </c>
      <c r="T32" s="154">
        <v>106640</v>
      </c>
      <c r="U32" s="154">
        <v>0</v>
      </c>
      <c r="V32" s="154">
        <v>106640</v>
      </c>
      <c r="W32" s="154">
        <v>470</v>
      </c>
      <c r="X32" s="154">
        <v>106170</v>
      </c>
      <c r="Y32" s="130" t="s">
        <v>16</v>
      </c>
      <c r="Z32" s="154">
        <v>0</v>
      </c>
      <c r="AA32" s="153">
        <v>46146</v>
      </c>
      <c r="AB32" s="154">
        <v>106640</v>
      </c>
      <c r="AC32" s="154">
        <v>106640</v>
      </c>
      <c r="AD32" s="130" t="s">
        <v>121</v>
      </c>
      <c r="AE32" s="154">
        <v>0</v>
      </c>
      <c r="AF32" s="154">
        <v>0</v>
      </c>
      <c r="AG32" s="154">
        <v>0</v>
      </c>
      <c r="AH32" s="153">
        <v>46146</v>
      </c>
      <c r="AI32" s="130" t="s">
        <v>122</v>
      </c>
      <c r="AJ32" s="154"/>
      <c r="AK32" s="130">
        <v>0</v>
      </c>
      <c r="AL32" s="130">
        <v>0</v>
      </c>
      <c r="AM32" s="154">
        <v>0</v>
      </c>
      <c r="AN32" s="154">
        <v>-470</v>
      </c>
      <c r="AO32" s="155" t="s">
        <v>265</v>
      </c>
      <c r="AP32" s="155" t="s">
        <v>288</v>
      </c>
      <c r="AQ32" s="155">
        <v>4</v>
      </c>
      <c r="AR32" s="155" t="s">
        <v>1495</v>
      </c>
      <c r="AS32" s="155" t="s">
        <v>776</v>
      </c>
      <c r="AT32" s="155" t="s">
        <v>778</v>
      </c>
      <c r="AU32" s="155" t="b">
        <v>0</v>
      </c>
      <c r="AV32" s="156">
        <f t="shared" ca="1" si="0"/>
        <v>1</v>
      </c>
      <c r="AW32" s="156">
        <f t="shared" ca="1" si="1"/>
        <v>0</v>
      </c>
    </row>
    <row r="33" spans="1:49" x14ac:dyDescent="0.25">
      <c r="A33" s="131" t="s">
        <v>138</v>
      </c>
      <c r="B33" s="132" t="s">
        <v>561</v>
      </c>
      <c r="C33" s="132" t="s">
        <v>144</v>
      </c>
      <c r="D33" s="132" t="s">
        <v>46</v>
      </c>
      <c r="E33" s="132" t="s">
        <v>45</v>
      </c>
      <c r="F33" s="132" t="s">
        <v>925</v>
      </c>
      <c r="G33" s="132" t="s">
        <v>926</v>
      </c>
      <c r="H33" s="157">
        <v>44462</v>
      </c>
      <c r="I33" s="157">
        <v>45954</v>
      </c>
      <c r="J33" s="132" t="s">
        <v>7</v>
      </c>
      <c r="K33" s="132" t="s">
        <v>120</v>
      </c>
      <c r="L33" s="132" t="s">
        <v>20</v>
      </c>
      <c r="M33" s="132" t="s">
        <v>927</v>
      </c>
      <c r="N33" s="132" t="s">
        <v>0</v>
      </c>
      <c r="O33" s="132" t="s">
        <v>928</v>
      </c>
      <c r="P33" s="132" t="s">
        <v>928</v>
      </c>
      <c r="Q33" s="132" t="s">
        <v>929</v>
      </c>
      <c r="R33" s="132"/>
      <c r="S33" s="158">
        <v>0</v>
      </c>
      <c r="T33" s="158">
        <v>2002805</v>
      </c>
      <c r="U33" s="158">
        <v>0</v>
      </c>
      <c r="V33" s="158">
        <v>2002805</v>
      </c>
      <c r="W33" s="158">
        <v>0</v>
      </c>
      <c r="X33" s="158">
        <v>2002805</v>
      </c>
      <c r="Y33" s="132" t="s">
        <v>16</v>
      </c>
      <c r="Z33" s="158">
        <v>0</v>
      </c>
      <c r="AA33" s="157">
        <v>46149</v>
      </c>
      <c r="AB33" s="158">
        <v>2002805</v>
      </c>
      <c r="AC33" s="158">
        <v>2002805</v>
      </c>
      <c r="AD33" s="132" t="s">
        <v>121</v>
      </c>
      <c r="AE33" s="158">
        <v>0</v>
      </c>
      <c r="AF33" s="158">
        <v>0</v>
      </c>
      <c r="AG33" s="158">
        <v>0</v>
      </c>
      <c r="AH33" s="157">
        <v>46150</v>
      </c>
      <c r="AI33" s="132" t="s">
        <v>122</v>
      </c>
      <c r="AJ33" s="158"/>
      <c r="AK33" s="132">
        <v>0</v>
      </c>
      <c r="AL33" s="132">
        <v>0</v>
      </c>
      <c r="AM33" s="158">
        <v>0</v>
      </c>
      <c r="AN33" s="158">
        <v>0</v>
      </c>
      <c r="AO33" s="155" t="s">
        <v>246</v>
      </c>
      <c r="AP33" s="155" t="s">
        <v>331</v>
      </c>
      <c r="AQ33" s="155">
        <v>7</v>
      </c>
      <c r="AR33" s="155" t="s">
        <v>1495</v>
      </c>
      <c r="AS33" s="155" t="s">
        <v>776</v>
      </c>
      <c r="AT33" s="155" t="s">
        <v>778</v>
      </c>
      <c r="AU33" s="155" t="b">
        <v>0</v>
      </c>
      <c r="AV33" s="156">
        <f t="shared" ca="1" si="0"/>
        <v>0</v>
      </c>
      <c r="AW33" s="156">
        <f t="shared" ca="1" si="1"/>
        <v>0</v>
      </c>
    </row>
    <row r="34" spans="1:49" x14ac:dyDescent="0.25">
      <c r="A34" s="129" t="s">
        <v>169</v>
      </c>
      <c r="B34" s="130" t="s">
        <v>611</v>
      </c>
      <c r="C34" s="130" t="s">
        <v>175</v>
      </c>
      <c r="D34" s="130" t="s">
        <v>62</v>
      </c>
      <c r="E34" s="130" t="s">
        <v>45</v>
      </c>
      <c r="F34" s="130" t="s">
        <v>982</v>
      </c>
      <c r="G34" s="130" t="s">
        <v>983</v>
      </c>
      <c r="H34" s="153">
        <v>44498</v>
      </c>
      <c r="I34" s="153">
        <v>45965</v>
      </c>
      <c r="J34" s="130" t="s">
        <v>7</v>
      </c>
      <c r="K34" s="130" t="s">
        <v>120</v>
      </c>
      <c r="L34" s="130" t="s">
        <v>20</v>
      </c>
      <c r="M34" s="130" t="s">
        <v>984</v>
      </c>
      <c r="N34" s="130" t="s">
        <v>0</v>
      </c>
      <c r="O34" s="130" t="s">
        <v>985</v>
      </c>
      <c r="P34" s="130" t="s">
        <v>985</v>
      </c>
      <c r="Q34" s="130" t="s">
        <v>986</v>
      </c>
      <c r="R34" s="130"/>
      <c r="S34" s="154">
        <v>0</v>
      </c>
      <c r="T34" s="154">
        <v>5195480</v>
      </c>
      <c r="U34" s="154">
        <v>0</v>
      </c>
      <c r="V34" s="154">
        <v>5195480</v>
      </c>
      <c r="W34" s="154">
        <v>0</v>
      </c>
      <c r="X34" s="154">
        <v>5195480</v>
      </c>
      <c r="Y34" s="130" t="s">
        <v>16</v>
      </c>
      <c r="Z34" s="154">
        <v>0</v>
      </c>
      <c r="AA34" s="153">
        <v>46147</v>
      </c>
      <c r="AB34" s="154">
        <v>5196000</v>
      </c>
      <c r="AC34" s="154">
        <v>5196000</v>
      </c>
      <c r="AD34" s="130" t="s">
        <v>121</v>
      </c>
      <c r="AE34" s="154">
        <v>0</v>
      </c>
      <c r="AF34" s="154">
        <v>0</v>
      </c>
      <c r="AG34" s="154">
        <v>0</v>
      </c>
      <c r="AH34" s="153">
        <v>46147</v>
      </c>
      <c r="AI34" s="130" t="s">
        <v>122</v>
      </c>
      <c r="AJ34" s="154"/>
      <c r="AK34" s="130">
        <v>0</v>
      </c>
      <c r="AL34" s="130">
        <v>0</v>
      </c>
      <c r="AM34" s="154">
        <v>-520</v>
      </c>
      <c r="AN34" s="154">
        <v>-520</v>
      </c>
      <c r="AO34" s="155" t="s">
        <v>228</v>
      </c>
      <c r="AP34" s="155" t="s">
        <v>176</v>
      </c>
      <c r="AQ34" s="155">
        <v>5</v>
      </c>
      <c r="AR34" s="155" t="s">
        <v>1495</v>
      </c>
      <c r="AS34" s="155" t="s">
        <v>790</v>
      </c>
      <c r="AT34" s="155" t="s">
        <v>778</v>
      </c>
      <c r="AU34" s="155" t="b">
        <v>0</v>
      </c>
      <c r="AV34" s="156">
        <f t="shared" ca="1" si="0"/>
        <v>1</v>
      </c>
      <c r="AW34" s="156">
        <f t="shared" ca="1" si="1"/>
        <v>1</v>
      </c>
    </row>
    <row r="35" spans="1:49" x14ac:dyDescent="0.25">
      <c r="A35" s="131" t="s">
        <v>169</v>
      </c>
      <c r="B35" s="132" t="s">
        <v>594</v>
      </c>
      <c r="C35" s="132" t="s">
        <v>171</v>
      </c>
      <c r="D35" s="132" t="s">
        <v>57</v>
      </c>
      <c r="E35" s="132" t="s">
        <v>45</v>
      </c>
      <c r="F35" s="132" t="s">
        <v>862</v>
      </c>
      <c r="G35" s="132" t="s">
        <v>863</v>
      </c>
      <c r="H35" s="157">
        <v>44076</v>
      </c>
      <c r="I35" s="157">
        <v>45967</v>
      </c>
      <c r="J35" s="132" t="s">
        <v>7</v>
      </c>
      <c r="K35" s="132" t="s">
        <v>134</v>
      </c>
      <c r="L35" s="132" t="s">
        <v>17</v>
      </c>
      <c r="M35" s="132" t="s">
        <v>864</v>
      </c>
      <c r="N35" s="132" t="s">
        <v>865</v>
      </c>
      <c r="O35" s="132" t="s">
        <v>866</v>
      </c>
      <c r="P35" s="132" t="s">
        <v>866</v>
      </c>
      <c r="Q35" s="132" t="s">
        <v>867</v>
      </c>
      <c r="R35" s="132"/>
      <c r="S35" s="158">
        <v>0</v>
      </c>
      <c r="T35" s="158">
        <v>0</v>
      </c>
      <c r="U35" s="158">
        <v>17774425</v>
      </c>
      <c r="V35" s="158">
        <v>17774425</v>
      </c>
      <c r="W35" s="158">
        <v>950000</v>
      </c>
      <c r="X35" s="158">
        <v>16824425</v>
      </c>
      <c r="Y35" s="132" t="s">
        <v>6</v>
      </c>
      <c r="Z35" s="158">
        <v>15849425</v>
      </c>
      <c r="AA35" s="157">
        <v>46172</v>
      </c>
      <c r="AB35" s="158">
        <v>500000</v>
      </c>
      <c r="AC35" s="158">
        <v>500000</v>
      </c>
      <c r="AD35" s="132" t="s">
        <v>121</v>
      </c>
      <c r="AE35" s="158">
        <v>0</v>
      </c>
      <c r="AF35" s="158">
        <v>0</v>
      </c>
      <c r="AG35" s="158">
        <v>0</v>
      </c>
      <c r="AH35" s="157"/>
      <c r="AI35" s="132" t="s">
        <v>9</v>
      </c>
      <c r="AJ35" s="158"/>
      <c r="AK35" s="132">
        <v>0</v>
      </c>
      <c r="AL35" s="132">
        <v>0</v>
      </c>
      <c r="AM35" s="158">
        <v>16774425</v>
      </c>
      <c r="AN35" s="158">
        <v>15824425</v>
      </c>
      <c r="AO35" s="155" t="s">
        <v>228</v>
      </c>
      <c r="AP35" s="155" t="s">
        <v>8</v>
      </c>
      <c r="AQ35" s="155">
        <v>30</v>
      </c>
      <c r="AR35" s="155" t="s">
        <v>1495</v>
      </c>
      <c r="AS35" s="155" t="s">
        <v>790</v>
      </c>
      <c r="AT35" s="155" t="s">
        <v>778</v>
      </c>
      <c r="AU35" s="155" t="b">
        <v>0</v>
      </c>
      <c r="AV35" s="156">
        <f t="shared" ca="1" si="0"/>
        <v>0</v>
      </c>
      <c r="AW35" s="156">
        <f t="shared" ca="1" si="1"/>
        <v>0</v>
      </c>
    </row>
    <row r="36" spans="1:49" x14ac:dyDescent="0.25">
      <c r="A36" s="129" t="s">
        <v>197</v>
      </c>
      <c r="B36" s="130" t="s">
        <v>609</v>
      </c>
      <c r="C36" s="130" t="s">
        <v>205</v>
      </c>
      <c r="D36" s="130" t="s">
        <v>84</v>
      </c>
      <c r="E36" s="130" t="s">
        <v>45</v>
      </c>
      <c r="F36" s="130" t="s">
        <v>1437</v>
      </c>
      <c r="G36" s="130" t="s">
        <v>1438</v>
      </c>
      <c r="H36" s="153">
        <v>44284</v>
      </c>
      <c r="I36" s="153">
        <v>45978</v>
      </c>
      <c r="J36" s="130" t="s">
        <v>7</v>
      </c>
      <c r="K36" s="130" t="s">
        <v>120</v>
      </c>
      <c r="L36" s="130" t="s">
        <v>20</v>
      </c>
      <c r="M36" s="130" t="s">
        <v>1439</v>
      </c>
      <c r="N36" s="130" t="s">
        <v>0</v>
      </c>
      <c r="O36" s="130" t="s">
        <v>1440</v>
      </c>
      <c r="P36" s="130" t="s">
        <v>1441</v>
      </c>
      <c r="Q36" s="130" t="s">
        <v>1441</v>
      </c>
      <c r="R36" s="130"/>
      <c r="S36" s="154">
        <v>0</v>
      </c>
      <c r="T36" s="154">
        <v>13480170</v>
      </c>
      <c r="U36" s="154">
        <v>4603901</v>
      </c>
      <c r="V36" s="154">
        <v>18084071</v>
      </c>
      <c r="W36" s="154">
        <v>40390</v>
      </c>
      <c r="X36" s="154">
        <v>18043681</v>
      </c>
      <c r="Y36" s="130" t="s">
        <v>6</v>
      </c>
      <c r="Z36" s="154">
        <v>17943681</v>
      </c>
      <c r="AA36" s="153">
        <v>46168</v>
      </c>
      <c r="AB36" s="154">
        <v>100000</v>
      </c>
      <c r="AC36" s="154">
        <v>100000</v>
      </c>
      <c r="AD36" s="130" t="s">
        <v>123</v>
      </c>
      <c r="AE36" s="154">
        <v>0</v>
      </c>
      <c r="AF36" s="154">
        <v>0</v>
      </c>
      <c r="AG36" s="154">
        <v>0</v>
      </c>
      <c r="AH36" s="153"/>
      <c r="AI36" s="130" t="s">
        <v>9</v>
      </c>
      <c r="AJ36" s="154"/>
      <c r="AK36" s="130">
        <v>0</v>
      </c>
      <c r="AL36" s="130">
        <v>0</v>
      </c>
      <c r="AM36" s="154">
        <v>17984071</v>
      </c>
      <c r="AN36" s="154">
        <v>17943681</v>
      </c>
      <c r="AO36" s="155" t="s">
        <v>295</v>
      </c>
      <c r="AP36" s="155" t="s">
        <v>37</v>
      </c>
      <c r="AQ36" s="155">
        <v>26</v>
      </c>
      <c r="AR36" s="155" t="s">
        <v>1495</v>
      </c>
      <c r="AS36" s="155" t="s">
        <v>790</v>
      </c>
      <c r="AT36" s="155" t="s">
        <v>778</v>
      </c>
      <c r="AU36" s="155" t="b">
        <v>0</v>
      </c>
      <c r="AV36" s="156">
        <f t="shared" ca="1" si="0"/>
        <v>0</v>
      </c>
      <c r="AW36" s="156">
        <f t="shared" ca="1" si="1"/>
        <v>0</v>
      </c>
    </row>
    <row r="37" spans="1:49" x14ac:dyDescent="0.25">
      <c r="A37" s="131" t="s">
        <v>197</v>
      </c>
      <c r="B37" s="132" t="s">
        <v>595</v>
      </c>
      <c r="C37" s="132" t="s">
        <v>202</v>
      </c>
      <c r="D37" s="132" t="s">
        <v>58</v>
      </c>
      <c r="E37" s="132" t="s">
        <v>45</v>
      </c>
      <c r="F37" s="132" t="s">
        <v>1294</v>
      </c>
      <c r="G37" s="132" t="s">
        <v>1295</v>
      </c>
      <c r="H37" s="157">
        <v>44500</v>
      </c>
      <c r="I37" s="157">
        <v>45991</v>
      </c>
      <c r="J37" s="132" t="s">
        <v>7</v>
      </c>
      <c r="K37" s="132" t="s">
        <v>120</v>
      </c>
      <c r="L37" s="132" t="s">
        <v>20</v>
      </c>
      <c r="M37" s="132" t="s">
        <v>1296</v>
      </c>
      <c r="N37" s="132" t="s">
        <v>0</v>
      </c>
      <c r="O37" s="132" t="s">
        <v>1297</v>
      </c>
      <c r="P37" s="132" t="s">
        <v>1298</v>
      </c>
      <c r="Q37" s="132" t="s">
        <v>1299</v>
      </c>
      <c r="R37" s="132"/>
      <c r="S37" s="158">
        <v>0</v>
      </c>
      <c r="T37" s="158">
        <v>7527955</v>
      </c>
      <c r="U37" s="158">
        <v>3385615</v>
      </c>
      <c r="V37" s="158">
        <v>10913570</v>
      </c>
      <c r="W37" s="158">
        <v>0</v>
      </c>
      <c r="X37" s="158">
        <v>10913570</v>
      </c>
      <c r="Y37" s="132" t="s">
        <v>16</v>
      </c>
      <c r="Z37" s="158">
        <v>0</v>
      </c>
      <c r="AA37" s="157">
        <v>46162</v>
      </c>
      <c r="AB37" s="158">
        <v>7650000</v>
      </c>
      <c r="AC37" s="158">
        <v>7650000</v>
      </c>
      <c r="AD37" s="132" t="s">
        <v>121</v>
      </c>
      <c r="AE37" s="158">
        <v>0</v>
      </c>
      <c r="AF37" s="158">
        <v>3263570</v>
      </c>
      <c r="AG37" s="158">
        <v>0</v>
      </c>
      <c r="AH37" s="157">
        <v>46163</v>
      </c>
      <c r="AI37" s="132" t="s">
        <v>122</v>
      </c>
      <c r="AJ37" s="158">
        <v>3263570</v>
      </c>
      <c r="AK37" s="132">
        <v>0.3</v>
      </c>
      <c r="AL37" s="132">
        <v>0.3</v>
      </c>
      <c r="AM37" s="158">
        <v>0</v>
      </c>
      <c r="AN37" s="158">
        <v>0</v>
      </c>
      <c r="AO37" s="155" t="s">
        <v>265</v>
      </c>
      <c r="AP37" s="155" t="s">
        <v>263</v>
      </c>
      <c r="AQ37" s="155">
        <v>20</v>
      </c>
      <c r="AR37" s="155" t="s">
        <v>1495</v>
      </c>
      <c r="AS37" s="155" t="s">
        <v>790</v>
      </c>
      <c r="AT37" s="155" t="s">
        <v>778</v>
      </c>
      <c r="AU37" s="155" t="b">
        <v>0</v>
      </c>
      <c r="AV37" s="156">
        <f t="shared" ca="1" si="0"/>
        <v>0</v>
      </c>
      <c r="AW37" s="156">
        <f t="shared" ca="1" si="1"/>
        <v>0</v>
      </c>
    </row>
    <row r="38" spans="1:49" x14ac:dyDescent="0.25">
      <c r="A38" s="129" t="s">
        <v>181</v>
      </c>
      <c r="B38" s="130" t="s">
        <v>582</v>
      </c>
      <c r="C38" s="130" t="s">
        <v>184</v>
      </c>
      <c r="D38" s="130" t="s">
        <v>54</v>
      </c>
      <c r="E38" s="130" t="s">
        <v>45</v>
      </c>
      <c r="F38" s="130" t="s">
        <v>1431</v>
      </c>
      <c r="G38" s="130" t="s">
        <v>1432</v>
      </c>
      <c r="H38" s="153">
        <v>44125</v>
      </c>
      <c r="I38" s="153">
        <v>45991</v>
      </c>
      <c r="J38" s="130" t="s">
        <v>7</v>
      </c>
      <c r="K38" s="130" t="s">
        <v>120</v>
      </c>
      <c r="L38" s="130" t="s">
        <v>17</v>
      </c>
      <c r="M38" s="130" t="s">
        <v>1433</v>
      </c>
      <c r="N38" s="130" t="s">
        <v>1434</v>
      </c>
      <c r="O38" s="130" t="s">
        <v>1435</v>
      </c>
      <c r="P38" s="130" t="s">
        <v>1435</v>
      </c>
      <c r="Q38" s="130" t="s">
        <v>1436</v>
      </c>
      <c r="R38" s="130"/>
      <c r="S38" s="154">
        <v>0</v>
      </c>
      <c r="T38" s="154">
        <v>27855125</v>
      </c>
      <c r="U38" s="154">
        <v>13635660.130000001</v>
      </c>
      <c r="V38" s="154">
        <v>41490785.130000003</v>
      </c>
      <c r="W38" s="154">
        <v>0</v>
      </c>
      <c r="X38" s="154">
        <v>41490785.130000003</v>
      </c>
      <c r="Y38" s="130" t="s">
        <v>40</v>
      </c>
      <c r="Z38" s="154">
        <v>0</v>
      </c>
      <c r="AA38" s="153">
        <v>46170</v>
      </c>
      <c r="AB38" s="154">
        <v>26971000</v>
      </c>
      <c r="AC38" s="154">
        <v>26971000</v>
      </c>
      <c r="AD38" s="130" t="s">
        <v>121</v>
      </c>
      <c r="AE38" s="154">
        <v>0</v>
      </c>
      <c r="AF38" s="154">
        <v>14519785.130000001</v>
      </c>
      <c r="AG38" s="154">
        <v>0</v>
      </c>
      <c r="AH38" s="153">
        <v>46171</v>
      </c>
      <c r="AI38" s="130" t="s">
        <v>9</v>
      </c>
      <c r="AJ38" s="154">
        <v>14519785.130000001</v>
      </c>
      <c r="AK38" s="130">
        <v>0.35</v>
      </c>
      <c r="AL38" s="130">
        <v>0.35</v>
      </c>
      <c r="AM38" s="154">
        <v>0</v>
      </c>
      <c r="AN38" s="154">
        <v>0</v>
      </c>
      <c r="AO38" s="155" t="s">
        <v>233</v>
      </c>
      <c r="AP38" s="155" t="s">
        <v>234</v>
      </c>
      <c r="AQ38" s="155">
        <v>28</v>
      </c>
      <c r="AR38" s="155" t="s">
        <v>1495</v>
      </c>
      <c r="AS38" s="155" t="s">
        <v>790</v>
      </c>
      <c r="AT38" s="155" t="s">
        <v>778</v>
      </c>
      <c r="AU38" s="155" t="b">
        <v>0</v>
      </c>
      <c r="AV38" s="156">
        <f t="shared" ca="1" si="0"/>
        <v>0</v>
      </c>
      <c r="AW38" s="156">
        <f t="shared" ca="1" si="1"/>
        <v>0</v>
      </c>
    </row>
    <row r="39" spans="1:49" x14ac:dyDescent="0.25">
      <c r="A39" s="131" t="s">
        <v>161</v>
      </c>
      <c r="B39" s="132" t="s">
        <v>591</v>
      </c>
      <c r="C39" s="132" t="s">
        <v>162</v>
      </c>
      <c r="D39" s="132" t="s">
        <v>163</v>
      </c>
      <c r="E39" s="132" t="s">
        <v>45</v>
      </c>
      <c r="F39" s="132" t="s">
        <v>960</v>
      </c>
      <c r="G39" s="132" t="s">
        <v>961</v>
      </c>
      <c r="H39" s="157">
        <v>44538</v>
      </c>
      <c r="I39" s="157">
        <v>46007</v>
      </c>
      <c r="J39" s="132" t="s">
        <v>7</v>
      </c>
      <c r="K39" s="132" t="s">
        <v>120</v>
      </c>
      <c r="L39" s="132" t="s">
        <v>20</v>
      </c>
      <c r="M39" s="132" t="s">
        <v>962</v>
      </c>
      <c r="N39" s="132" t="s">
        <v>0</v>
      </c>
      <c r="O39" s="132" t="s">
        <v>963</v>
      </c>
      <c r="P39" s="132" t="s">
        <v>963</v>
      </c>
      <c r="Q39" s="132" t="s">
        <v>964</v>
      </c>
      <c r="R39" s="132"/>
      <c r="S39" s="158">
        <v>0</v>
      </c>
      <c r="T39" s="158">
        <v>92000</v>
      </c>
      <c r="U39" s="158">
        <v>0</v>
      </c>
      <c r="V39" s="158">
        <v>92000</v>
      </c>
      <c r="W39" s="158">
        <v>0</v>
      </c>
      <c r="X39" s="158">
        <v>92000</v>
      </c>
      <c r="Y39" s="132" t="s">
        <v>16</v>
      </c>
      <c r="Z39" s="158">
        <v>0</v>
      </c>
      <c r="AA39" s="157">
        <v>46146</v>
      </c>
      <c r="AB39" s="158">
        <v>0</v>
      </c>
      <c r="AC39" s="158">
        <v>0</v>
      </c>
      <c r="AD39" s="132" t="s">
        <v>121</v>
      </c>
      <c r="AE39" s="158">
        <v>0</v>
      </c>
      <c r="AF39" s="158">
        <v>0</v>
      </c>
      <c r="AG39" s="158">
        <v>-3750000</v>
      </c>
      <c r="AH39" s="157">
        <v>46014</v>
      </c>
      <c r="AI39" s="132" t="s">
        <v>122</v>
      </c>
      <c r="AJ39" s="158"/>
      <c r="AK39" s="132">
        <v>0</v>
      </c>
      <c r="AL39" s="132">
        <v>0</v>
      </c>
      <c r="AM39" s="158">
        <v>-309500</v>
      </c>
      <c r="AN39" s="158">
        <v>-309500</v>
      </c>
      <c r="AO39" s="155" t="s">
        <v>252</v>
      </c>
      <c r="AP39" s="155" t="s">
        <v>36</v>
      </c>
      <c r="AQ39" s="155">
        <v>4</v>
      </c>
      <c r="AR39" s="155" t="s">
        <v>1495</v>
      </c>
      <c r="AS39" s="155" t="s">
        <v>812</v>
      </c>
      <c r="AT39" s="155" t="s">
        <v>778</v>
      </c>
      <c r="AU39" s="155" t="b">
        <v>0</v>
      </c>
      <c r="AV39" s="156">
        <f t="shared" ca="1" si="0"/>
        <v>1</v>
      </c>
      <c r="AW39" s="156">
        <f t="shared" ca="1" si="1"/>
        <v>0</v>
      </c>
    </row>
    <row r="40" spans="1:49" x14ac:dyDescent="0.25">
      <c r="A40" s="129" t="s">
        <v>181</v>
      </c>
      <c r="B40" s="130" t="s">
        <v>607</v>
      </c>
      <c r="C40" s="130" t="s">
        <v>187</v>
      </c>
      <c r="D40" s="130" t="s">
        <v>188</v>
      </c>
      <c r="E40" s="130" t="s">
        <v>45</v>
      </c>
      <c r="F40" s="130" t="s">
        <v>869</v>
      </c>
      <c r="G40" s="130" t="s">
        <v>870</v>
      </c>
      <c r="H40" s="153">
        <v>44310</v>
      </c>
      <c r="I40" s="153">
        <v>46022</v>
      </c>
      <c r="J40" s="130" t="s">
        <v>7</v>
      </c>
      <c r="K40" s="130" t="s">
        <v>120</v>
      </c>
      <c r="L40" s="130" t="s">
        <v>20</v>
      </c>
      <c r="M40" s="130" t="s">
        <v>871</v>
      </c>
      <c r="N40" s="130" t="s">
        <v>872</v>
      </c>
      <c r="O40" s="130" t="s">
        <v>873</v>
      </c>
      <c r="P40" s="130" t="s">
        <v>874</v>
      </c>
      <c r="Q40" s="130" t="s">
        <v>875</v>
      </c>
      <c r="R40" s="130"/>
      <c r="S40" s="154">
        <v>0</v>
      </c>
      <c r="T40" s="154">
        <v>13892650</v>
      </c>
      <c r="U40" s="154">
        <v>39246950</v>
      </c>
      <c r="V40" s="154">
        <v>53139600</v>
      </c>
      <c r="W40" s="154">
        <v>0</v>
      </c>
      <c r="X40" s="154">
        <v>53139600</v>
      </c>
      <c r="Y40" s="130" t="s">
        <v>16</v>
      </c>
      <c r="Z40" s="154">
        <v>0</v>
      </c>
      <c r="AA40" s="153">
        <v>46167</v>
      </c>
      <c r="AB40" s="154">
        <v>34541000</v>
      </c>
      <c r="AC40" s="154">
        <v>34541000</v>
      </c>
      <c r="AD40" s="130" t="s">
        <v>121</v>
      </c>
      <c r="AE40" s="154">
        <v>0</v>
      </c>
      <c r="AF40" s="154">
        <v>18598600</v>
      </c>
      <c r="AG40" s="154">
        <v>-25000</v>
      </c>
      <c r="AH40" s="153">
        <v>46167</v>
      </c>
      <c r="AI40" s="130" t="s">
        <v>122</v>
      </c>
      <c r="AJ40" s="154">
        <v>18598600</v>
      </c>
      <c r="AK40" s="130">
        <v>0.35</v>
      </c>
      <c r="AL40" s="130">
        <v>0.35</v>
      </c>
      <c r="AM40" s="154">
        <v>-25000</v>
      </c>
      <c r="AN40" s="154">
        <v>-25000</v>
      </c>
      <c r="AO40" s="155" t="s">
        <v>233</v>
      </c>
      <c r="AP40" s="155" t="s">
        <v>41</v>
      </c>
      <c r="AQ40" s="155">
        <v>25</v>
      </c>
      <c r="AR40" s="155" t="s">
        <v>1495</v>
      </c>
      <c r="AS40" s="155" t="s">
        <v>812</v>
      </c>
      <c r="AT40" s="155" t="s">
        <v>778</v>
      </c>
      <c r="AU40" s="155" t="b">
        <v>0</v>
      </c>
      <c r="AV40" s="156">
        <f t="shared" ca="1" si="0"/>
        <v>0</v>
      </c>
      <c r="AW40" s="156">
        <f t="shared" ca="1" si="1"/>
        <v>0</v>
      </c>
    </row>
    <row r="41" spans="1:49" x14ac:dyDescent="0.25">
      <c r="A41" s="131" t="s">
        <v>169</v>
      </c>
      <c r="B41" s="132" t="s">
        <v>603</v>
      </c>
      <c r="C41" s="132" t="s">
        <v>170</v>
      </c>
      <c r="D41" s="132" t="s">
        <v>73</v>
      </c>
      <c r="E41" s="132" t="s">
        <v>45</v>
      </c>
      <c r="F41" s="132" t="s">
        <v>1473</v>
      </c>
      <c r="G41" s="132" t="s">
        <v>1474</v>
      </c>
      <c r="H41" s="157">
        <v>44393</v>
      </c>
      <c r="I41" s="157">
        <v>46032</v>
      </c>
      <c r="J41" s="132" t="s">
        <v>7</v>
      </c>
      <c r="K41" s="132" t="s">
        <v>120</v>
      </c>
      <c r="L41" s="132" t="s">
        <v>20</v>
      </c>
      <c r="M41" s="132" t="s">
        <v>1475</v>
      </c>
      <c r="N41" s="132" t="s">
        <v>0</v>
      </c>
      <c r="O41" s="132" t="s">
        <v>1476</v>
      </c>
      <c r="P41" s="132" t="s">
        <v>1476</v>
      </c>
      <c r="Q41" s="132" t="s">
        <v>1477</v>
      </c>
      <c r="R41" s="132"/>
      <c r="S41" s="158">
        <v>0</v>
      </c>
      <c r="T41" s="158">
        <v>26327000</v>
      </c>
      <c r="U41" s="158">
        <v>0</v>
      </c>
      <c r="V41" s="158">
        <v>26327000</v>
      </c>
      <c r="W41" s="158">
        <v>0</v>
      </c>
      <c r="X41" s="158">
        <v>26327000</v>
      </c>
      <c r="Y41" s="132" t="s">
        <v>40</v>
      </c>
      <c r="Z41" s="158">
        <v>0</v>
      </c>
      <c r="AA41" s="157">
        <v>46170</v>
      </c>
      <c r="AB41" s="158">
        <v>18428900</v>
      </c>
      <c r="AC41" s="158">
        <v>18428900</v>
      </c>
      <c r="AD41" s="132" t="s">
        <v>121</v>
      </c>
      <c r="AE41" s="158">
        <v>0</v>
      </c>
      <c r="AF41" s="158">
        <v>7898100</v>
      </c>
      <c r="AG41" s="158">
        <v>0</v>
      </c>
      <c r="AH41" s="157">
        <v>46171</v>
      </c>
      <c r="AI41" s="132" t="s">
        <v>9</v>
      </c>
      <c r="AJ41" s="158">
        <v>7898100</v>
      </c>
      <c r="AK41" s="132">
        <v>0.3</v>
      </c>
      <c r="AL41" s="132">
        <v>0.3</v>
      </c>
      <c r="AM41" s="158">
        <v>0</v>
      </c>
      <c r="AN41" s="158">
        <v>0</v>
      </c>
      <c r="AO41" s="155" t="s">
        <v>228</v>
      </c>
      <c r="AP41" s="155" t="s">
        <v>18</v>
      </c>
      <c r="AQ41" s="155">
        <v>28</v>
      </c>
      <c r="AR41" s="155" t="s">
        <v>1495</v>
      </c>
      <c r="AS41" s="155" t="s">
        <v>815</v>
      </c>
      <c r="AT41" s="155" t="s">
        <v>778</v>
      </c>
      <c r="AU41" s="155" t="b">
        <v>0</v>
      </c>
      <c r="AV41" s="156">
        <f t="shared" ca="1" si="0"/>
        <v>0</v>
      </c>
      <c r="AW41" s="156">
        <f t="shared" ca="1" si="1"/>
        <v>0</v>
      </c>
    </row>
    <row r="42" spans="1:49" x14ac:dyDescent="0.25">
      <c r="A42" s="129" t="s">
        <v>161</v>
      </c>
      <c r="B42" s="130" t="s">
        <v>599</v>
      </c>
      <c r="C42" s="130" t="s">
        <v>164</v>
      </c>
      <c r="D42" s="130" t="s">
        <v>165</v>
      </c>
      <c r="E42" s="130" t="s">
        <v>45</v>
      </c>
      <c r="F42" s="130" t="s">
        <v>1081</v>
      </c>
      <c r="G42" s="130" t="s">
        <v>1082</v>
      </c>
      <c r="H42" s="153">
        <v>44315</v>
      </c>
      <c r="I42" s="153">
        <v>46041</v>
      </c>
      <c r="J42" s="130" t="s">
        <v>7</v>
      </c>
      <c r="K42" s="130" t="s">
        <v>129</v>
      </c>
      <c r="L42" s="130" t="s">
        <v>20</v>
      </c>
      <c r="M42" s="130" t="s">
        <v>1083</v>
      </c>
      <c r="N42" s="130" t="s">
        <v>0</v>
      </c>
      <c r="O42" s="130" t="s">
        <v>1084</v>
      </c>
      <c r="P42" s="130" t="s">
        <v>1084</v>
      </c>
      <c r="Q42" s="130" t="s">
        <v>1084</v>
      </c>
      <c r="R42" s="130"/>
      <c r="S42" s="154">
        <v>0</v>
      </c>
      <c r="T42" s="154">
        <v>4636490</v>
      </c>
      <c r="U42" s="154">
        <v>0</v>
      </c>
      <c r="V42" s="154">
        <v>4636490</v>
      </c>
      <c r="W42" s="154">
        <v>0</v>
      </c>
      <c r="X42" s="154">
        <v>4636490</v>
      </c>
      <c r="Y42" s="130" t="s">
        <v>16</v>
      </c>
      <c r="Z42" s="154">
        <v>0</v>
      </c>
      <c r="AA42" s="153">
        <v>46150</v>
      </c>
      <c r="AB42" s="154">
        <v>3800000</v>
      </c>
      <c r="AC42" s="154">
        <v>3800000</v>
      </c>
      <c r="AD42" s="130" t="s">
        <v>121</v>
      </c>
      <c r="AE42" s="154">
        <v>0</v>
      </c>
      <c r="AF42" s="154">
        <v>836490</v>
      </c>
      <c r="AG42" s="154">
        <v>0</v>
      </c>
      <c r="AH42" s="153">
        <v>46153</v>
      </c>
      <c r="AI42" s="130" t="s">
        <v>122</v>
      </c>
      <c r="AJ42" s="154">
        <v>836490</v>
      </c>
      <c r="AK42" s="130">
        <v>0.18</v>
      </c>
      <c r="AL42" s="130">
        <v>0.18</v>
      </c>
      <c r="AM42" s="154">
        <v>0</v>
      </c>
      <c r="AN42" s="154">
        <v>0</v>
      </c>
      <c r="AO42" s="155" t="s">
        <v>252</v>
      </c>
      <c r="AP42" s="155" t="s">
        <v>24</v>
      </c>
      <c r="AQ42" s="155">
        <v>8</v>
      </c>
      <c r="AR42" s="155" t="s">
        <v>1495</v>
      </c>
      <c r="AS42" s="155" t="s">
        <v>815</v>
      </c>
      <c r="AT42" s="155" t="s">
        <v>778</v>
      </c>
      <c r="AU42" s="155" t="b">
        <v>0</v>
      </c>
      <c r="AV42" s="156">
        <f t="shared" ca="1" si="0"/>
        <v>0</v>
      </c>
      <c r="AW42" s="156">
        <f t="shared" ca="1" si="1"/>
        <v>0</v>
      </c>
    </row>
    <row r="43" spans="1:49" x14ac:dyDescent="0.25">
      <c r="A43" s="131" t="s">
        <v>197</v>
      </c>
      <c r="B43" s="132" t="s">
        <v>612</v>
      </c>
      <c r="C43" s="132" t="s">
        <v>802</v>
      </c>
      <c r="D43" s="132" t="s">
        <v>77</v>
      </c>
      <c r="E43" s="132" t="s">
        <v>45</v>
      </c>
      <c r="F43" s="132" t="s">
        <v>1413</v>
      </c>
      <c r="G43" s="132" t="s">
        <v>1414</v>
      </c>
      <c r="H43" s="157">
        <v>44202</v>
      </c>
      <c r="I43" s="157">
        <v>46052</v>
      </c>
      <c r="J43" s="132" t="s">
        <v>7</v>
      </c>
      <c r="K43" s="132" t="s">
        <v>140</v>
      </c>
      <c r="L43" s="132" t="s">
        <v>17</v>
      </c>
      <c r="M43" s="132" t="s">
        <v>1415</v>
      </c>
      <c r="N43" s="132" t="s">
        <v>0</v>
      </c>
      <c r="O43" s="132" t="s">
        <v>1416</v>
      </c>
      <c r="P43" s="132" t="s">
        <v>1416</v>
      </c>
      <c r="Q43" s="132" t="s">
        <v>1417</v>
      </c>
      <c r="R43" s="132"/>
      <c r="S43" s="158">
        <v>0</v>
      </c>
      <c r="T43" s="158">
        <v>13141434.5</v>
      </c>
      <c r="U43" s="158">
        <v>0</v>
      </c>
      <c r="V43" s="158">
        <v>13141434.5</v>
      </c>
      <c r="W43" s="158">
        <v>102000</v>
      </c>
      <c r="X43" s="158">
        <v>13039434.5</v>
      </c>
      <c r="Y43" s="132" t="s">
        <v>40</v>
      </c>
      <c r="Z43" s="158">
        <v>0</v>
      </c>
      <c r="AA43" s="157">
        <v>46168</v>
      </c>
      <c r="AB43" s="158">
        <v>9200000</v>
      </c>
      <c r="AC43" s="158">
        <v>9200000</v>
      </c>
      <c r="AD43" s="132" t="s">
        <v>121</v>
      </c>
      <c r="AE43" s="158">
        <v>0</v>
      </c>
      <c r="AF43" s="158">
        <v>3839434.5</v>
      </c>
      <c r="AG43" s="158">
        <v>0</v>
      </c>
      <c r="AH43" s="157">
        <v>46170</v>
      </c>
      <c r="AI43" s="132" t="s">
        <v>856</v>
      </c>
      <c r="AJ43" s="158">
        <v>3839434.5</v>
      </c>
      <c r="AK43" s="132">
        <v>0.28999999999999998</v>
      </c>
      <c r="AL43" s="132">
        <v>0.28999999999999998</v>
      </c>
      <c r="AM43" s="158">
        <v>102000</v>
      </c>
      <c r="AN43" s="158">
        <v>0</v>
      </c>
      <c r="AO43" s="155" t="s">
        <v>295</v>
      </c>
      <c r="AP43" s="155" t="s">
        <v>557</v>
      </c>
      <c r="AQ43" s="155">
        <v>26</v>
      </c>
      <c r="AR43" s="155" t="s">
        <v>1495</v>
      </c>
      <c r="AS43" s="155" t="s">
        <v>815</v>
      </c>
      <c r="AT43" s="155" t="s">
        <v>778</v>
      </c>
      <c r="AU43" s="155" t="b">
        <v>0</v>
      </c>
      <c r="AV43" s="156">
        <f t="shared" ca="1" si="0"/>
        <v>0</v>
      </c>
      <c r="AW43" s="156">
        <f t="shared" ca="1" si="1"/>
        <v>0</v>
      </c>
    </row>
    <row r="44" spans="1:49" x14ac:dyDescent="0.25">
      <c r="A44" s="129" t="s">
        <v>126</v>
      </c>
      <c r="B44" s="130" t="s">
        <v>574</v>
      </c>
      <c r="C44" s="130" t="s">
        <v>133</v>
      </c>
      <c r="D44" s="130" t="s">
        <v>52</v>
      </c>
      <c r="E44" s="130" t="s">
        <v>45</v>
      </c>
      <c r="F44" s="130" t="s">
        <v>1448</v>
      </c>
      <c r="G44" s="130" t="s">
        <v>1449</v>
      </c>
      <c r="H44" s="153">
        <v>44966</v>
      </c>
      <c r="I44" s="153">
        <v>46058</v>
      </c>
      <c r="J44" s="130" t="s">
        <v>7</v>
      </c>
      <c r="K44" s="130" t="s">
        <v>868</v>
      </c>
      <c r="L44" s="130" t="s">
        <v>21</v>
      </c>
      <c r="M44" s="130" t="s">
        <v>1450</v>
      </c>
      <c r="N44" s="130" t="s">
        <v>0</v>
      </c>
      <c r="O44" s="130" t="s">
        <v>1451</v>
      </c>
      <c r="P44" s="130" t="s">
        <v>1451</v>
      </c>
      <c r="Q44" s="130" t="s">
        <v>1452</v>
      </c>
      <c r="R44" s="130"/>
      <c r="S44" s="154">
        <v>0</v>
      </c>
      <c r="T44" s="154">
        <v>2186750</v>
      </c>
      <c r="U44" s="154">
        <v>0</v>
      </c>
      <c r="V44" s="154">
        <v>2186750</v>
      </c>
      <c r="W44" s="154">
        <v>0</v>
      </c>
      <c r="X44" s="154">
        <v>2186750</v>
      </c>
      <c r="Y44" s="130" t="s">
        <v>16</v>
      </c>
      <c r="Z44" s="154">
        <v>0</v>
      </c>
      <c r="AA44" s="153">
        <v>46171</v>
      </c>
      <c r="AB44" s="154">
        <v>0</v>
      </c>
      <c r="AC44" s="154">
        <v>0</v>
      </c>
      <c r="AD44" s="130" t="s">
        <v>123</v>
      </c>
      <c r="AE44" s="154">
        <v>0</v>
      </c>
      <c r="AF44" s="154">
        <v>0</v>
      </c>
      <c r="AG44" s="154">
        <v>0</v>
      </c>
      <c r="AH44" s="153">
        <v>46062</v>
      </c>
      <c r="AI44" s="130" t="s">
        <v>122</v>
      </c>
      <c r="AJ44" s="154"/>
      <c r="AK44" s="130">
        <v>0</v>
      </c>
      <c r="AL44" s="130">
        <v>0</v>
      </c>
      <c r="AM44" s="154">
        <v>-150000</v>
      </c>
      <c r="AN44" s="154">
        <v>-150000</v>
      </c>
      <c r="AO44" s="155" t="s">
        <v>257</v>
      </c>
      <c r="AP44" s="155" t="s">
        <v>25</v>
      </c>
      <c r="AQ44" s="155">
        <v>29</v>
      </c>
      <c r="AR44" s="155" t="s">
        <v>1495</v>
      </c>
      <c r="AS44" s="155" t="s">
        <v>830</v>
      </c>
      <c r="AT44" s="155" t="s">
        <v>778</v>
      </c>
      <c r="AU44" s="155" t="b">
        <v>0</v>
      </c>
      <c r="AV44" s="156">
        <f t="shared" ca="1" si="0"/>
        <v>0</v>
      </c>
      <c r="AW44" s="156">
        <f t="shared" ca="1" si="1"/>
        <v>0</v>
      </c>
    </row>
    <row r="45" spans="1:49" x14ac:dyDescent="0.25">
      <c r="A45" s="131" t="s">
        <v>181</v>
      </c>
      <c r="B45" s="132" t="s">
        <v>607</v>
      </c>
      <c r="C45" s="132" t="s">
        <v>187</v>
      </c>
      <c r="D45" s="132" t="s">
        <v>188</v>
      </c>
      <c r="E45" s="132" t="s">
        <v>45</v>
      </c>
      <c r="F45" s="132" t="s">
        <v>1284</v>
      </c>
      <c r="G45" s="132" t="s">
        <v>1285</v>
      </c>
      <c r="H45" s="157">
        <v>44620</v>
      </c>
      <c r="I45" s="157">
        <v>46059</v>
      </c>
      <c r="J45" s="132" t="s">
        <v>7</v>
      </c>
      <c r="K45" s="132" t="s">
        <v>120</v>
      </c>
      <c r="L45" s="132" t="s">
        <v>21</v>
      </c>
      <c r="M45" s="132" t="s">
        <v>1286</v>
      </c>
      <c r="N45" s="132" t="s">
        <v>1287</v>
      </c>
      <c r="O45" s="132" t="s">
        <v>1288</v>
      </c>
      <c r="P45" s="132" t="s">
        <v>1288</v>
      </c>
      <c r="Q45" s="132" t="s">
        <v>1289</v>
      </c>
      <c r="R45" s="132"/>
      <c r="S45" s="158">
        <v>0</v>
      </c>
      <c r="T45" s="158">
        <v>0</v>
      </c>
      <c r="U45" s="158">
        <v>3975772.5</v>
      </c>
      <c r="V45" s="158">
        <v>3975772.5</v>
      </c>
      <c r="W45" s="158">
        <v>443775</v>
      </c>
      <c r="X45" s="158">
        <v>3531997.5</v>
      </c>
      <c r="Y45" s="132" t="s">
        <v>16</v>
      </c>
      <c r="Z45" s="158">
        <v>0</v>
      </c>
      <c r="AA45" s="157">
        <v>46162</v>
      </c>
      <c r="AB45" s="158">
        <v>2826000</v>
      </c>
      <c r="AC45" s="158">
        <v>2826000</v>
      </c>
      <c r="AD45" s="132" t="s">
        <v>121</v>
      </c>
      <c r="AE45" s="158">
        <v>0</v>
      </c>
      <c r="AF45" s="158">
        <v>705997.5</v>
      </c>
      <c r="AG45" s="158">
        <v>0</v>
      </c>
      <c r="AH45" s="157">
        <v>46162</v>
      </c>
      <c r="AI45" s="132" t="s">
        <v>122</v>
      </c>
      <c r="AJ45" s="158">
        <v>705997.5</v>
      </c>
      <c r="AK45" s="132">
        <v>0.18</v>
      </c>
      <c r="AL45" s="132">
        <v>0.2</v>
      </c>
      <c r="AM45" s="158">
        <v>443775</v>
      </c>
      <c r="AN45" s="158">
        <v>0</v>
      </c>
      <c r="AO45" s="155" t="s">
        <v>233</v>
      </c>
      <c r="AP45" s="155" t="s">
        <v>41</v>
      </c>
      <c r="AQ45" s="155">
        <v>20</v>
      </c>
      <c r="AR45" s="155" t="s">
        <v>1495</v>
      </c>
      <c r="AS45" s="155" t="s">
        <v>830</v>
      </c>
      <c r="AT45" s="155" t="s">
        <v>778</v>
      </c>
      <c r="AU45" s="155" t="b">
        <v>0</v>
      </c>
      <c r="AV45" s="156">
        <f t="shared" ca="1" si="0"/>
        <v>0</v>
      </c>
      <c r="AW45" s="156">
        <f t="shared" ca="1" si="1"/>
        <v>0</v>
      </c>
    </row>
    <row r="46" spans="1:49" x14ac:dyDescent="0.25">
      <c r="A46" s="129" t="s">
        <v>161</v>
      </c>
      <c r="B46" s="130" t="s">
        <v>568</v>
      </c>
      <c r="C46" s="130" t="s">
        <v>168</v>
      </c>
      <c r="D46" s="130" t="s">
        <v>48</v>
      </c>
      <c r="E46" s="130" t="s">
        <v>45</v>
      </c>
      <c r="F46" s="130" t="s">
        <v>1158</v>
      </c>
      <c r="G46" s="130" t="s">
        <v>1159</v>
      </c>
      <c r="H46" s="153">
        <v>44336</v>
      </c>
      <c r="I46" s="153">
        <v>46078</v>
      </c>
      <c r="J46" s="130" t="s">
        <v>7</v>
      </c>
      <c r="K46" s="130" t="s">
        <v>134</v>
      </c>
      <c r="L46" s="130" t="s">
        <v>20</v>
      </c>
      <c r="M46" s="130" t="s">
        <v>1160</v>
      </c>
      <c r="N46" s="130" t="s">
        <v>1161</v>
      </c>
      <c r="O46" s="130" t="s">
        <v>1162</v>
      </c>
      <c r="P46" s="130" t="s">
        <v>1163</v>
      </c>
      <c r="Q46" s="130" t="s">
        <v>1164</v>
      </c>
      <c r="R46" s="130"/>
      <c r="S46" s="154">
        <v>0</v>
      </c>
      <c r="T46" s="154">
        <v>3260180</v>
      </c>
      <c r="U46" s="154">
        <v>0</v>
      </c>
      <c r="V46" s="154">
        <v>3260180</v>
      </c>
      <c r="W46" s="154">
        <v>0</v>
      </c>
      <c r="X46" s="154">
        <v>3260180</v>
      </c>
      <c r="Y46" s="130" t="s">
        <v>16</v>
      </c>
      <c r="Z46" s="154">
        <v>0</v>
      </c>
      <c r="AA46" s="153">
        <v>46154</v>
      </c>
      <c r="AB46" s="154">
        <v>2609000</v>
      </c>
      <c r="AC46" s="154">
        <v>2609000</v>
      </c>
      <c r="AD46" s="130" t="s">
        <v>123</v>
      </c>
      <c r="AE46" s="154">
        <v>0</v>
      </c>
      <c r="AF46" s="154">
        <v>651180</v>
      </c>
      <c r="AG46" s="154">
        <v>0</v>
      </c>
      <c r="AH46" s="153">
        <v>46154</v>
      </c>
      <c r="AI46" s="130" t="s">
        <v>122</v>
      </c>
      <c r="AJ46" s="154">
        <v>651180</v>
      </c>
      <c r="AK46" s="130">
        <v>0.2</v>
      </c>
      <c r="AL46" s="130">
        <v>0.2</v>
      </c>
      <c r="AM46" s="154">
        <v>0</v>
      </c>
      <c r="AN46" s="154">
        <v>0</v>
      </c>
      <c r="AO46" s="155" t="s">
        <v>252</v>
      </c>
      <c r="AP46" s="155" t="s">
        <v>34</v>
      </c>
      <c r="AQ46" s="155">
        <v>12</v>
      </c>
      <c r="AR46" s="155" t="s">
        <v>1495</v>
      </c>
      <c r="AS46" s="155" t="s">
        <v>830</v>
      </c>
      <c r="AT46" s="155" t="s">
        <v>778</v>
      </c>
      <c r="AU46" s="155" t="b">
        <v>0</v>
      </c>
      <c r="AV46" s="156">
        <f t="shared" ca="1" si="0"/>
        <v>0</v>
      </c>
      <c r="AW46" s="156">
        <f t="shared" ca="1" si="1"/>
        <v>0</v>
      </c>
    </row>
    <row r="47" spans="1:49" x14ac:dyDescent="0.25">
      <c r="A47" s="131" t="s">
        <v>161</v>
      </c>
      <c r="B47" s="132" t="s">
        <v>568</v>
      </c>
      <c r="C47" s="132" t="s">
        <v>168</v>
      </c>
      <c r="D47" s="132" t="s">
        <v>48</v>
      </c>
      <c r="E47" s="132" t="s">
        <v>45</v>
      </c>
      <c r="F47" s="132" t="s">
        <v>850</v>
      </c>
      <c r="G47" s="132" t="s">
        <v>851</v>
      </c>
      <c r="H47" s="157">
        <v>44618</v>
      </c>
      <c r="I47" s="157">
        <v>46079</v>
      </c>
      <c r="J47" s="132" t="s">
        <v>7</v>
      </c>
      <c r="K47" s="132" t="s">
        <v>120</v>
      </c>
      <c r="L47" s="132" t="s">
        <v>21</v>
      </c>
      <c r="M47" s="132" t="s">
        <v>852</v>
      </c>
      <c r="N47" s="132" t="s">
        <v>853</v>
      </c>
      <c r="O47" s="132" t="s">
        <v>854</v>
      </c>
      <c r="P47" s="132" t="s">
        <v>854</v>
      </c>
      <c r="Q47" s="132" t="s">
        <v>855</v>
      </c>
      <c r="R47" s="132"/>
      <c r="S47" s="158">
        <v>0</v>
      </c>
      <c r="T47" s="158">
        <v>53618</v>
      </c>
      <c r="U47" s="158">
        <v>0</v>
      </c>
      <c r="V47" s="158">
        <v>53618</v>
      </c>
      <c r="W47" s="158">
        <v>0</v>
      </c>
      <c r="X47" s="158">
        <v>53618</v>
      </c>
      <c r="Y47" s="132" t="s">
        <v>16</v>
      </c>
      <c r="Z47" s="158">
        <v>0</v>
      </c>
      <c r="AA47" s="157">
        <v>46163</v>
      </c>
      <c r="AB47" s="158">
        <v>0</v>
      </c>
      <c r="AC47" s="158">
        <v>0</v>
      </c>
      <c r="AD47" s="132" t="s">
        <v>123</v>
      </c>
      <c r="AE47" s="158">
        <v>0</v>
      </c>
      <c r="AF47" s="158">
        <v>0</v>
      </c>
      <c r="AG47" s="158">
        <v>0</v>
      </c>
      <c r="AH47" s="157">
        <v>46122</v>
      </c>
      <c r="AI47" s="132" t="s">
        <v>122</v>
      </c>
      <c r="AJ47" s="158"/>
      <c r="AK47" s="132">
        <v>0</v>
      </c>
      <c r="AL47" s="132">
        <v>0</v>
      </c>
      <c r="AM47" s="158">
        <v>-50000</v>
      </c>
      <c r="AN47" s="158">
        <v>-50000</v>
      </c>
      <c r="AO47" s="155" t="s">
        <v>252</v>
      </c>
      <c r="AP47" s="155" t="s">
        <v>34</v>
      </c>
      <c r="AQ47" s="155">
        <v>21</v>
      </c>
      <c r="AR47" s="155" t="s">
        <v>1495</v>
      </c>
      <c r="AS47" s="155" t="s">
        <v>830</v>
      </c>
      <c r="AT47" s="155" t="s">
        <v>778</v>
      </c>
      <c r="AU47" s="155" t="b">
        <v>0</v>
      </c>
      <c r="AV47" s="156">
        <f t="shared" ca="1" si="0"/>
        <v>0</v>
      </c>
      <c r="AW47" s="156">
        <f t="shared" ca="1" si="1"/>
        <v>0</v>
      </c>
    </row>
    <row r="48" spans="1:49" x14ac:dyDescent="0.25">
      <c r="A48" s="129" t="s">
        <v>181</v>
      </c>
      <c r="B48" s="130" t="s">
        <v>623</v>
      </c>
      <c r="C48" s="130" t="s">
        <v>192</v>
      </c>
      <c r="D48" s="130" t="s">
        <v>85</v>
      </c>
      <c r="E48" s="130" t="s">
        <v>45</v>
      </c>
      <c r="F48" s="130" t="s">
        <v>1391</v>
      </c>
      <c r="G48" s="130" t="s">
        <v>1392</v>
      </c>
      <c r="H48" s="153">
        <v>44658</v>
      </c>
      <c r="I48" s="153">
        <v>46080</v>
      </c>
      <c r="J48" s="130" t="s">
        <v>7</v>
      </c>
      <c r="K48" s="130" t="s">
        <v>120</v>
      </c>
      <c r="L48" s="130" t="s">
        <v>21</v>
      </c>
      <c r="M48" s="130" t="s">
        <v>1393</v>
      </c>
      <c r="N48" s="130" t="s">
        <v>1394</v>
      </c>
      <c r="O48" s="130" t="s">
        <v>1395</v>
      </c>
      <c r="P48" s="130" t="s">
        <v>1395</v>
      </c>
      <c r="Q48" s="130" t="s">
        <v>1395</v>
      </c>
      <c r="R48" s="130"/>
      <c r="S48" s="154">
        <v>0</v>
      </c>
      <c r="T48" s="154">
        <v>2729300</v>
      </c>
      <c r="U48" s="154">
        <v>0</v>
      </c>
      <c r="V48" s="154">
        <v>2729300</v>
      </c>
      <c r="W48" s="154">
        <v>0</v>
      </c>
      <c r="X48" s="154">
        <v>2729300</v>
      </c>
      <c r="Y48" s="130" t="s">
        <v>16</v>
      </c>
      <c r="Z48" s="154">
        <v>0</v>
      </c>
      <c r="AA48" s="153">
        <v>46167</v>
      </c>
      <c r="AB48" s="154">
        <v>2730000</v>
      </c>
      <c r="AC48" s="154">
        <v>2730000</v>
      </c>
      <c r="AD48" s="130" t="s">
        <v>121</v>
      </c>
      <c r="AE48" s="154">
        <v>0</v>
      </c>
      <c r="AF48" s="154">
        <v>0</v>
      </c>
      <c r="AG48" s="154">
        <v>0</v>
      </c>
      <c r="AH48" s="153">
        <v>46167</v>
      </c>
      <c r="AI48" s="130" t="s">
        <v>122</v>
      </c>
      <c r="AJ48" s="154"/>
      <c r="AK48" s="130">
        <v>0</v>
      </c>
      <c r="AL48" s="130">
        <v>0</v>
      </c>
      <c r="AM48" s="154">
        <v>-700</v>
      </c>
      <c r="AN48" s="154">
        <v>-700</v>
      </c>
      <c r="AO48" s="155" t="s">
        <v>233</v>
      </c>
      <c r="AP48" s="155" t="s">
        <v>560</v>
      </c>
      <c r="AQ48" s="155">
        <v>25</v>
      </c>
      <c r="AR48" s="155" t="s">
        <v>1495</v>
      </c>
      <c r="AS48" s="155" t="s">
        <v>830</v>
      </c>
      <c r="AT48" s="155" t="s">
        <v>778</v>
      </c>
      <c r="AU48" s="155" t="b">
        <v>0</v>
      </c>
      <c r="AV48" s="156">
        <f t="shared" ca="1" si="0"/>
        <v>0</v>
      </c>
      <c r="AW48" s="156">
        <f t="shared" ca="1" si="1"/>
        <v>0</v>
      </c>
    </row>
    <row r="49" spans="1:49" x14ac:dyDescent="0.25">
      <c r="A49" s="131" t="s">
        <v>169</v>
      </c>
      <c r="B49" s="132" t="s">
        <v>594</v>
      </c>
      <c r="C49" s="132" t="s">
        <v>171</v>
      </c>
      <c r="D49" s="132" t="s">
        <v>57</v>
      </c>
      <c r="E49" s="132" t="s">
        <v>45</v>
      </c>
      <c r="F49" s="132" t="s">
        <v>976</v>
      </c>
      <c r="G49" s="132" t="s">
        <v>977</v>
      </c>
      <c r="H49" s="157">
        <v>44681</v>
      </c>
      <c r="I49" s="157">
        <v>46085</v>
      </c>
      <c r="J49" s="132" t="s">
        <v>7</v>
      </c>
      <c r="K49" s="132" t="s">
        <v>120</v>
      </c>
      <c r="L49" s="132" t="s">
        <v>21</v>
      </c>
      <c r="M49" s="132" t="s">
        <v>978</v>
      </c>
      <c r="N49" s="132" t="s">
        <v>979</v>
      </c>
      <c r="O49" s="132" t="s">
        <v>980</v>
      </c>
      <c r="P49" s="132" t="s">
        <v>980</v>
      </c>
      <c r="Q49" s="132" t="s">
        <v>981</v>
      </c>
      <c r="R49" s="132"/>
      <c r="S49" s="158">
        <v>0</v>
      </c>
      <c r="T49" s="158">
        <v>0</v>
      </c>
      <c r="U49" s="158">
        <v>997835</v>
      </c>
      <c r="V49" s="158">
        <v>997835</v>
      </c>
      <c r="W49" s="158">
        <v>338000</v>
      </c>
      <c r="X49" s="158">
        <v>659835</v>
      </c>
      <c r="Y49" s="132" t="s">
        <v>16</v>
      </c>
      <c r="Z49" s="158">
        <v>0</v>
      </c>
      <c r="AA49" s="157">
        <v>46146</v>
      </c>
      <c r="AB49" s="158">
        <v>659900</v>
      </c>
      <c r="AC49" s="158">
        <v>659900</v>
      </c>
      <c r="AD49" s="132" t="s">
        <v>121</v>
      </c>
      <c r="AE49" s="158">
        <v>0</v>
      </c>
      <c r="AF49" s="158">
        <v>0</v>
      </c>
      <c r="AG49" s="158">
        <v>0</v>
      </c>
      <c r="AH49" s="157">
        <v>46146</v>
      </c>
      <c r="AI49" s="132" t="s">
        <v>122</v>
      </c>
      <c r="AJ49" s="158"/>
      <c r="AK49" s="132">
        <v>0</v>
      </c>
      <c r="AL49" s="132">
        <v>0</v>
      </c>
      <c r="AM49" s="158">
        <v>337935</v>
      </c>
      <c r="AN49" s="158">
        <v>-65</v>
      </c>
      <c r="AO49" s="155" t="s">
        <v>228</v>
      </c>
      <c r="AP49" s="155" t="s">
        <v>8</v>
      </c>
      <c r="AQ49" s="155">
        <v>4</v>
      </c>
      <c r="AR49" s="155" t="s">
        <v>1495</v>
      </c>
      <c r="AS49" s="155" t="s">
        <v>831</v>
      </c>
      <c r="AT49" s="155" t="s">
        <v>778</v>
      </c>
      <c r="AU49" s="155" t="b">
        <v>0</v>
      </c>
      <c r="AV49" s="156">
        <f t="shared" ca="1" si="0"/>
        <v>1</v>
      </c>
      <c r="AW49" s="156">
        <f t="shared" ca="1" si="1"/>
        <v>0</v>
      </c>
    </row>
    <row r="50" spans="1:49" x14ac:dyDescent="0.25">
      <c r="A50" s="129" t="s">
        <v>181</v>
      </c>
      <c r="B50" s="130" t="s">
        <v>607</v>
      </c>
      <c r="C50" s="130" t="s">
        <v>187</v>
      </c>
      <c r="D50" s="130" t="s">
        <v>188</v>
      </c>
      <c r="E50" s="130" t="s">
        <v>45</v>
      </c>
      <c r="F50" s="130" t="s">
        <v>996</v>
      </c>
      <c r="G50" s="130" t="s">
        <v>997</v>
      </c>
      <c r="H50" s="153">
        <v>44985</v>
      </c>
      <c r="I50" s="153">
        <v>46086</v>
      </c>
      <c r="J50" s="130" t="s">
        <v>7</v>
      </c>
      <c r="K50" s="130" t="s">
        <v>120</v>
      </c>
      <c r="L50" s="130" t="s">
        <v>21</v>
      </c>
      <c r="M50" s="130" t="s">
        <v>998</v>
      </c>
      <c r="N50" s="130" t="s">
        <v>999</v>
      </c>
      <c r="O50" s="130" t="s">
        <v>1000</v>
      </c>
      <c r="P50" s="130" t="s">
        <v>1001</v>
      </c>
      <c r="Q50" s="130" t="s">
        <v>1002</v>
      </c>
      <c r="R50" s="130"/>
      <c r="S50" s="154">
        <v>0</v>
      </c>
      <c r="T50" s="154">
        <v>481000</v>
      </c>
      <c r="U50" s="154">
        <v>1170000</v>
      </c>
      <c r="V50" s="154">
        <v>1651000</v>
      </c>
      <c r="W50" s="154">
        <v>0</v>
      </c>
      <c r="X50" s="154">
        <v>1651000</v>
      </c>
      <c r="Y50" s="130" t="s">
        <v>16</v>
      </c>
      <c r="Z50" s="154">
        <v>0</v>
      </c>
      <c r="AA50" s="153">
        <v>46148</v>
      </c>
      <c r="AB50" s="154">
        <v>1651000</v>
      </c>
      <c r="AC50" s="154">
        <v>1651000</v>
      </c>
      <c r="AD50" s="130" t="s">
        <v>121</v>
      </c>
      <c r="AE50" s="154">
        <v>0</v>
      </c>
      <c r="AF50" s="154">
        <v>0</v>
      </c>
      <c r="AG50" s="154">
        <v>0</v>
      </c>
      <c r="AH50" s="153">
        <v>46148</v>
      </c>
      <c r="AI50" s="130" t="s">
        <v>122</v>
      </c>
      <c r="AJ50" s="154"/>
      <c r="AK50" s="130">
        <v>0</v>
      </c>
      <c r="AL50" s="130">
        <v>0</v>
      </c>
      <c r="AM50" s="154">
        <v>0</v>
      </c>
      <c r="AN50" s="154">
        <v>0</v>
      </c>
      <c r="AO50" s="155" t="s">
        <v>233</v>
      </c>
      <c r="AP50" s="155" t="s">
        <v>41</v>
      </c>
      <c r="AQ50" s="155">
        <v>6</v>
      </c>
      <c r="AR50" s="155" t="s">
        <v>1495</v>
      </c>
      <c r="AS50" s="155" t="s">
        <v>831</v>
      </c>
      <c r="AT50" s="155" t="s">
        <v>778</v>
      </c>
      <c r="AU50" s="155" t="b">
        <v>0</v>
      </c>
      <c r="AV50" s="156">
        <f t="shared" ca="1" si="0"/>
        <v>0</v>
      </c>
      <c r="AW50" s="156">
        <f t="shared" ca="1" si="1"/>
        <v>0</v>
      </c>
    </row>
    <row r="51" spans="1:49" x14ac:dyDescent="0.25">
      <c r="A51" s="131" t="s">
        <v>197</v>
      </c>
      <c r="B51" s="132" t="s">
        <v>609</v>
      </c>
      <c r="C51" s="132" t="s">
        <v>205</v>
      </c>
      <c r="D51" s="132" t="s">
        <v>84</v>
      </c>
      <c r="E51" s="132" t="s">
        <v>45</v>
      </c>
      <c r="F51" s="132" t="s">
        <v>1332</v>
      </c>
      <c r="G51" s="132" t="s">
        <v>1333</v>
      </c>
      <c r="H51" s="157">
        <v>44620</v>
      </c>
      <c r="I51" s="157">
        <v>46088</v>
      </c>
      <c r="J51" s="132" t="s">
        <v>7</v>
      </c>
      <c r="K51" s="132" t="s">
        <v>120</v>
      </c>
      <c r="L51" s="132" t="s">
        <v>21</v>
      </c>
      <c r="M51" s="132" t="s">
        <v>1334</v>
      </c>
      <c r="N51" s="132" t="s">
        <v>0</v>
      </c>
      <c r="O51" s="132" t="s">
        <v>1335</v>
      </c>
      <c r="P51" s="132" t="s">
        <v>1335</v>
      </c>
      <c r="Q51" s="132" t="s">
        <v>1336</v>
      </c>
      <c r="R51" s="132"/>
      <c r="S51" s="158">
        <v>0</v>
      </c>
      <c r="T51" s="158">
        <v>3097050</v>
      </c>
      <c r="U51" s="158">
        <v>3925300</v>
      </c>
      <c r="V51" s="158">
        <v>7022350</v>
      </c>
      <c r="W51" s="158">
        <v>0</v>
      </c>
      <c r="X51" s="158">
        <v>7022350</v>
      </c>
      <c r="Y51" s="132" t="s">
        <v>40</v>
      </c>
      <c r="Z51" s="158">
        <v>0</v>
      </c>
      <c r="AA51" s="157">
        <v>46164</v>
      </c>
      <c r="AB51" s="158">
        <v>5620000</v>
      </c>
      <c r="AC51" s="158">
        <v>5620000</v>
      </c>
      <c r="AD51" s="132" t="s">
        <v>123</v>
      </c>
      <c r="AE51" s="158">
        <v>0</v>
      </c>
      <c r="AF51" s="158">
        <v>1402350</v>
      </c>
      <c r="AG51" s="158">
        <v>0</v>
      </c>
      <c r="AH51" s="157">
        <v>46164</v>
      </c>
      <c r="AI51" s="132" t="s">
        <v>9</v>
      </c>
      <c r="AJ51" s="158">
        <v>1402350</v>
      </c>
      <c r="AK51" s="132">
        <v>0.2</v>
      </c>
      <c r="AL51" s="132">
        <v>0.2</v>
      </c>
      <c r="AM51" s="158">
        <v>0</v>
      </c>
      <c r="AN51" s="158">
        <v>0</v>
      </c>
      <c r="AO51" s="155" t="s">
        <v>295</v>
      </c>
      <c r="AP51" s="155" t="s">
        <v>37</v>
      </c>
      <c r="AQ51" s="155">
        <v>22</v>
      </c>
      <c r="AR51" s="155" t="s">
        <v>1495</v>
      </c>
      <c r="AS51" s="155" t="s">
        <v>831</v>
      </c>
      <c r="AT51" s="155" t="s">
        <v>778</v>
      </c>
      <c r="AU51" s="155" t="b">
        <v>0</v>
      </c>
      <c r="AV51" s="156">
        <f t="shared" ca="1" si="0"/>
        <v>0</v>
      </c>
      <c r="AW51" s="156">
        <f t="shared" ca="1" si="1"/>
        <v>0</v>
      </c>
    </row>
    <row r="52" spans="1:49" x14ac:dyDescent="0.25">
      <c r="A52" s="129" t="s">
        <v>138</v>
      </c>
      <c r="B52" s="130" t="s">
        <v>586</v>
      </c>
      <c r="C52" s="130" t="s">
        <v>146</v>
      </c>
      <c r="D52" s="130" t="s">
        <v>55</v>
      </c>
      <c r="E52" s="130" t="s">
        <v>45</v>
      </c>
      <c r="F52" s="130" t="s">
        <v>1104</v>
      </c>
      <c r="G52" s="130" t="s">
        <v>1105</v>
      </c>
      <c r="H52" s="153">
        <v>44602</v>
      </c>
      <c r="I52" s="153">
        <v>46095</v>
      </c>
      <c r="J52" s="130" t="s">
        <v>7</v>
      </c>
      <c r="K52" s="130" t="s">
        <v>120</v>
      </c>
      <c r="L52" s="130" t="s">
        <v>20</v>
      </c>
      <c r="M52" s="130" t="s">
        <v>1106</v>
      </c>
      <c r="N52" s="130" t="s">
        <v>0</v>
      </c>
      <c r="O52" s="130" t="s">
        <v>1107</v>
      </c>
      <c r="P52" s="130" t="s">
        <v>1107</v>
      </c>
      <c r="Q52" s="130" t="s">
        <v>1107</v>
      </c>
      <c r="R52" s="130"/>
      <c r="S52" s="154">
        <v>0</v>
      </c>
      <c r="T52" s="154">
        <v>14404675</v>
      </c>
      <c r="U52" s="154">
        <v>0</v>
      </c>
      <c r="V52" s="154">
        <v>14404675</v>
      </c>
      <c r="W52" s="154">
        <v>0</v>
      </c>
      <c r="X52" s="154">
        <v>14404675</v>
      </c>
      <c r="Y52" s="130" t="s">
        <v>6</v>
      </c>
      <c r="Z52" s="154">
        <v>9304675</v>
      </c>
      <c r="AA52" s="153">
        <v>46153</v>
      </c>
      <c r="AB52" s="154">
        <v>5100000</v>
      </c>
      <c r="AC52" s="154">
        <v>5100000</v>
      </c>
      <c r="AD52" s="130" t="s">
        <v>121</v>
      </c>
      <c r="AE52" s="154">
        <v>0</v>
      </c>
      <c r="AF52" s="154">
        <v>0</v>
      </c>
      <c r="AG52" s="154">
        <v>0</v>
      </c>
      <c r="AH52" s="153"/>
      <c r="AI52" s="130" t="s">
        <v>9</v>
      </c>
      <c r="AJ52" s="154"/>
      <c r="AK52" s="130">
        <v>0</v>
      </c>
      <c r="AL52" s="130">
        <v>0</v>
      </c>
      <c r="AM52" s="154">
        <v>9304675</v>
      </c>
      <c r="AN52" s="154">
        <v>9304675</v>
      </c>
      <c r="AO52" s="155" t="s">
        <v>246</v>
      </c>
      <c r="AP52" s="155" t="s">
        <v>29</v>
      </c>
      <c r="AQ52" s="155">
        <v>11</v>
      </c>
      <c r="AR52" s="155" t="s">
        <v>1495</v>
      </c>
      <c r="AS52" s="155" t="s">
        <v>831</v>
      </c>
      <c r="AT52" s="155" t="s">
        <v>778</v>
      </c>
      <c r="AU52" s="155" t="b">
        <v>0</v>
      </c>
      <c r="AV52" s="156">
        <f t="shared" ca="1" si="0"/>
        <v>0</v>
      </c>
      <c r="AW52" s="156">
        <f t="shared" ca="1" si="1"/>
        <v>0</v>
      </c>
    </row>
    <row r="53" spans="1:49" x14ac:dyDescent="0.25">
      <c r="A53" s="131" t="s">
        <v>181</v>
      </c>
      <c r="B53" s="132" t="s">
        <v>582</v>
      </c>
      <c r="C53" s="132" t="s">
        <v>184</v>
      </c>
      <c r="D53" s="132" t="s">
        <v>54</v>
      </c>
      <c r="E53" s="132" t="s">
        <v>45</v>
      </c>
      <c r="F53" s="132" t="s">
        <v>992</v>
      </c>
      <c r="G53" s="132" t="s">
        <v>993</v>
      </c>
      <c r="H53" s="157">
        <v>44636</v>
      </c>
      <c r="I53" s="157">
        <v>46097</v>
      </c>
      <c r="J53" s="132" t="s">
        <v>7</v>
      </c>
      <c r="K53" s="132" t="s">
        <v>120</v>
      </c>
      <c r="L53" s="132" t="s">
        <v>21</v>
      </c>
      <c r="M53" s="132" t="s">
        <v>994</v>
      </c>
      <c r="N53" s="132" t="s">
        <v>0</v>
      </c>
      <c r="O53" s="132" t="s">
        <v>995</v>
      </c>
      <c r="P53" s="132" t="s">
        <v>995</v>
      </c>
      <c r="Q53" s="132" t="s">
        <v>995</v>
      </c>
      <c r="R53" s="132"/>
      <c r="S53" s="158">
        <v>0</v>
      </c>
      <c r="T53" s="158">
        <v>30950</v>
      </c>
      <c r="U53" s="158">
        <v>0</v>
      </c>
      <c r="V53" s="158">
        <v>30950</v>
      </c>
      <c r="W53" s="158">
        <v>0</v>
      </c>
      <c r="X53" s="158">
        <v>30950</v>
      </c>
      <c r="Y53" s="132" t="s">
        <v>16</v>
      </c>
      <c r="Z53" s="158">
        <v>0</v>
      </c>
      <c r="AA53" s="157">
        <v>46148</v>
      </c>
      <c r="AB53" s="158">
        <v>31000</v>
      </c>
      <c r="AC53" s="158">
        <v>31000</v>
      </c>
      <c r="AD53" s="132" t="s">
        <v>121</v>
      </c>
      <c r="AE53" s="158">
        <v>0</v>
      </c>
      <c r="AF53" s="158">
        <v>0</v>
      </c>
      <c r="AG53" s="158">
        <v>0</v>
      </c>
      <c r="AH53" s="157">
        <v>46149</v>
      </c>
      <c r="AI53" s="132" t="s">
        <v>122</v>
      </c>
      <c r="AJ53" s="158"/>
      <c r="AK53" s="132">
        <v>0</v>
      </c>
      <c r="AL53" s="132">
        <v>0</v>
      </c>
      <c r="AM53" s="158">
        <v>-50</v>
      </c>
      <c r="AN53" s="158">
        <v>-50</v>
      </c>
      <c r="AO53" s="155" t="s">
        <v>233</v>
      </c>
      <c r="AP53" s="155" t="s">
        <v>234</v>
      </c>
      <c r="AQ53" s="155">
        <v>6</v>
      </c>
      <c r="AR53" s="155" t="s">
        <v>1495</v>
      </c>
      <c r="AS53" s="155" t="s">
        <v>831</v>
      </c>
      <c r="AT53" s="155" t="s">
        <v>778</v>
      </c>
      <c r="AU53" s="155" t="b">
        <v>0</v>
      </c>
      <c r="AV53" s="156">
        <f t="shared" ca="1" si="0"/>
        <v>0</v>
      </c>
      <c r="AW53" s="156">
        <f t="shared" ca="1" si="1"/>
        <v>0</v>
      </c>
    </row>
    <row r="54" spans="1:49" x14ac:dyDescent="0.25">
      <c r="A54" s="129" t="s">
        <v>197</v>
      </c>
      <c r="B54" s="130" t="s">
        <v>612</v>
      </c>
      <c r="C54" s="130" t="s">
        <v>802</v>
      </c>
      <c r="D54" s="130" t="s">
        <v>77</v>
      </c>
      <c r="E54" s="130" t="s">
        <v>45</v>
      </c>
      <c r="F54" s="130" t="s">
        <v>1169</v>
      </c>
      <c r="G54" s="130" t="s">
        <v>1170</v>
      </c>
      <c r="H54" s="153">
        <v>44699</v>
      </c>
      <c r="I54" s="153">
        <v>46099</v>
      </c>
      <c r="J54" s="130" t="s">
        <v>7</v>
      </c>
      <c r="K54" s="130" t="s">
        <v>120</v>
      </c>
      <c r="L54" s="130" t="s">
        <v>21</v>
      </c>
      <c r="M54" s="130" t="s">
        <v>1171</v>
      </c>
      <c r="N54" s="130" t="s">
        <v>0</v>
      </c>
      <c r="O54" s="130" t="s">
        <v>1172</v>
      </c>
      <c r="P54" s="130" t="s">
        <v>1172</v>
      </c>
      <c r="Q54" s="130" t="s">
        <v>1172</v>
      </c>
      <c r="R54" s="130"/>
      <c r="S54" s="154">
        <v>0</v>
      </c>
      <c r="T54" s="154">
        <v>2838747</v>
      </c>
      <c r="U54" s="154">
        <v>0</v>
      </c>
      <c r="V54" s="154">
        <v>2838747</v>
      </c>
      <c r="W54" s="154">
        <v>0</v>
      </c>
      <c r="X54" s="154">
        <v>2838747</v>
      </c>
      <c r="Y54" s="130" t="s">
        <v>16</v>
      </c>
      <c r="Z54" s="154">
        <v>0</v>
      </c>
      <c r="AA54" s="153">
        <v>46154</v>
      </c>
      <c r="AB54" s="154">
        <v>2839000</v>
      </c>
      <c r="AC54" s="154">
        <v>2839000</v>
      </c>
      <c r="AD54" s="130" t="s">
        <v>121</v>
      </c>
      <c r="AE54" s="154">
        <v>0</v>
      </c>
      <c r="AF54" s="154">
        <v>0</v>
      </c>
      <c r="AG54" s="154">
        <v>0</v>
      </c>
      <c r="AH54" s="153">
        <v>46155</v>
      </c>
      <c r="AI54" s="130" t="s">
        <v>122</v>
      </c>
      <c r="AJ54" s="154"/>
      <c r="AK54" s="130">
        <v>0</v>
      </c>
      <c r="AL54" s="130">
        <v>0</v>
      </c>
      <c r="AM54" s="154">
        <v>-253</v>
      </c>
      <c r="AN54" s="154">
        <v>-253</v>
      </c>
      <c r="AO54" s="155" t="s">
        <v>295</v>
      </c>
      <c r="AP54" s="155" t="s">
        <v>557</v>
      </c>
      <c r="AQ54" s="155">
        <v>12</v>
      </c>
      <c r="AR54" s="155" t="s">
        <v>1495</v>
      </c>
      <c r="AS54" s="155" t="s">
        <v>831</v>
      </c>
      <c r="AT54" s="155" t="s">
        <v>778</v>
      </c>
      <c r="AU54" s="155" t="b">
        <v>0</v>
      </c>
      <c r="AV54" s="156">
        <f t="shared" ca="1" si="0"/>
        <v>0</v>
      </c>
      <c r="AW54" s="156">
        <f t="shared" ca="1" si="1"/>
        <v>0</v>
      </c>
    </row>
    <row r="55" spans="1:49" x14ac:dyDescent="0.25">
      <c r="A55" s="131" t="s">
        <v>169</v>
      </c>
      <c r="B55" s="132" t="s">
        <v>630</v>
      </c>
      <c r="C55" s="132" t="s">
        <v>180</v>
      </c>
      <c r="D55" s="132" t="s">
        <v>78</v>
      </c>
      <c r="E55" s="132" t="s">
        <v>45</v>
      </c>
      <c r="F55" s="132" t="s">
        <v>1195</v>
      </c>
      <c r="G55" s="132" t="s">
        <v>1196</v>
      </c>
      <c r="H55" s="157">
        <v>44275</v>
      </c>
      <c r="I55" s="157">
        <v>46099</v>
      </c>
      <c r="J55" s="132" t="s">
        <v>7</v>
      </c>
      <c r="K55" s="132" t="s">
        <v>129</v>
      </c>
      <c r="L55" s="132" t="s">
        <v>17</v>
      </c>
      <c r="M55" s="132" t="s">
        <v>1197</v>
      </c>
      <c r="N55" s="132" t="s">
        <v>0</v>
      </c>
      <c r="O55" s="132" t="s">
        <v>1198</v>
      </c>
      <c r="P55" s="132" t="s">
        <v>1198</v>
      </c>
      <c r="Q55" s="132" t="s">
        <v>1199</v>
      </c>
      <c r="R55" s="132"/>
      <c r="S55" s="158">
        <v>0</v>
      </c>
      <c r="T55" s="158">
        <v>6100000</v>
      </c>
      <c r="U55" s="158">
        <v>0</v>
      </c>
      <c r="V55" s="158">
        <v>6100000</v>
      </c>
      <c r="W55" s="158">
        <v>50500</v>
      </c>
      <c r="X55" s="158">
        <v>6049500</v>
      </c>
      <c r="Y55" s="132" t="s">
        <v>16</v>
      </c>
      <c r="Z55" s="158">
        <v>0</v>
      </c>
      <c r="AA55" s="157">
        <v>46156</v>
      </c>
      <c r="AB55" s="158">
        <v>4900000</v>
      </c>
      <c r="AC55" s="158">
        <v>4900000</v>
      </c>
      <c r="AD55" s="132" t="s">
        <v>121</v>
      </c>
      <c r="AE55" s="158">
        <v>0</v>
      </c>
      <c r="AF55" s="158">
        <v>1200000</v>
      </c>
      <c r="AG55" s="158">
        <v>0</v>
      </c>
      <c r="AH55" s="157">
        <v>46157</v>
      </c>
      <c r="AI55" s="132" t="s">
        <v>122</v>
      </c>
      <c r="AJ55" s="158">
        <v>1200000</v>
      </c>
      <c r="AK55" s="132">
        <v>0.2</v>
      </c>
      <c r="AL55" s="132">
        <v>0.2</v>
      </c>
      <c r="AM55" s="158">
        <v>0</v>
      </c>
      <c r="AN55" s="158">
        <v>-50500</v>
      </c>
      <c r="AO55" s="155" t="s">
        <v>228</v>
      </c>
      <c r="AP55" s="155" t="s">
        <v>10</v>
      </c>
      <c r="AQ55" s="155">
        <v>14</v>
      </c>
      <c r="AR55" s="155" t="s">
        <v>1495</v>
      </c>
      <c r="AS55" s="155" t="s">
        <v>831</v>
      </c>
      <c r="AT55" s="155" t="s">
        <v>778</v>
      </c>
      <c r="AU55" s="155" t="b">
        <v>0</v>
      </c>
      <c r="AV55" s="156">
        <f t="shared" ca="1" si="0"/>
        <v>0</v>
      </c>
      <c r="AW55" s="156">
        <f t="shared" ca="1" si="1"/>
        <v>0</v>
      </c>
    </row>
    <row r="56" spans="1:49" x14ac:dyDescent="0.25">
      <c r="A56" s="129" t="s">
        <v>181</v>
      </c>
      <c r="B56" s="130" t="s">
        <v>623</v>
      </c>
      <c r="C56" s="130" t="s">
        <v>192</v>
      </c>
      <c r="D56" s="130" t="s">
        <v>85</v>
      </c>
      <c r="E56" s="130" t="s">
        <v>45</v>
      </c>
      <c r="F56" s="130" t="s">
        <v>1013</v>
      </c>
      <c r="G56" s="130" t="s">
        <v>1014</v>
      </c>
      <c r="H56" s="153">
        <v>44701</v>
      </c>
      <c r="I56" s="153">
        <v>46101</v>
      </c>
      <c r="J56" s="130" t="s">
        <v>7</v>
      </c>
      <c r="K56" s="130" t="s">
        <v>120</v>
      </c>
      <c r="L56" s="130" t="s">
        <v>21</v>
      </c>
      <c r="M56" s="130" t="s">
        <v>1015</v>
      </c>
      <c r="N56" s="130" t="s">
        <v>1016</v>
      </c>
      <c r="O56" s="130" t="s">
        <v>1017</v>
      </c>
      <c r="P56" s="130" t="s">
        <v>1017</v>
      </c>
      <c r="Q56" s="130" t="s">
        <v>1017</v>
      </c>
      <c r="R56" s="130"/>
      <c r="S56" s="154">
        <v>0</v>
      </c>
      <c r="T56" s="154">
        <v>24800</v>
      </c>
      <c r="U56" s="154">
        <v>0</v>
      </c>
      <c r="V56" s="154">
        <v>24800</v>
      </c>
      <c r="W56" s="154">
        <v>49600</v>
      </c>
      <c r="X56" s="154">
        <v>-24800</v>
      </c>
      <c r="Y56" s="130" t="s">
        <v>16</v>
      </c>
      <c r="Z56" s="154">
        <v>0</v>
      </c>
      <c r="AA56" s="153">
        <v>46146</v>
      </c>
      <c r="AB56" s="154">
        <v>0</v>
      </c>
      <c r="AC56" s="154">
        <v>0</v>
      </c>
      <c r="AD56" s="130" t="s">
        <v>121</v>
      </c>
      <c r="AE56" s="154">
        <v>0</v>
      </c>
      <c r="AF56" s="154">
        <v>0</v>
      </c>
      <c r="AG56" s="154">
        <v>0</v>
      </c>
      <c r="AH56" s="153">
        <v>46101</v>
      </c>
      <c r="AI56" s="130" t="s">
        <v>122</v>
      </c>
      <c r="AJ56" s="154"/>
      <c r="AK56" s="130">
        <v>0</v>
      </c>
      <c r="AL56" s="130">
        <v>0</v>
      </c>
      <c r="AM56" s="154">
        <v>-25200</v>
      </c>
      <c r="AN56" s="154">
        <v>-74800</v>
      </c>
      <c r="AO56" s="155" t="s">
        <v>233</v>
      </c>
      <c r="AP56" s="155" t="s">
        <v>560</v>
      </c>
      <c r="AQ56" s="155">
        <v>4</v>
      </c>
      <c r="AR56" s="155" t="s">
        <v>1495</v>
      </c>
      <c r="AS56" s="155" t="s">
        <v>831</v>
      </c>
      <c r="AT56" s="155" t="s">
        <v>778</v>
      </c>
      <c r="AU56" s="155" t="b">
        <v>0</v>
      </c>
      <c r="AV56" s="156">
        <f t="shared" ca="1" si="0"/>
        <v>1</v>
      </c>
      <c r="AW56" s="156">
        <f t="shared" ca="1" si="1"/>
        <v>0</v>
      </c>
    </row>
    <row r="57" spans="1:49" x14ac:dyDescent="0.25">
      <c r="A57" s="131" t="s">
        <v>197</v>
      </c>
      <c r="B57" s="132" t="s">
        <v>609</v>
      </c>
      <c r="C57" s="132" t="s">
        <v>205</v>
      </c>
      <c r="D57" s="132" t="s">
        <v>84</v>
      </c>
      <c r="E57" s="132" t="s">
        <v>45</v>
      </c>
      <c r="F57" s="132" t="s">
        <v>919</v>
      </c>
      <c r="G57" s="132" t="s">
        <v>920</v>
      </c>
      <c r="H57" s="157">
        <v>44646</v>
      </c>
      <c r="I57" s="157">
        <v>46105</v>
      </c>
      <c r="J57" s="132" t="s">
        <v>7</v>
      </c>
      <c r="K57" s="132" t="s">
        <v>120</v>
      </c>
      <c r="L57" s="132" t="s">
        <v>21</v>
      </c>
      <c r="M57" s="132" t="s">
        <v>921</v>
      </c>
      <c r="N57" s="132" t="s">
        <v>0</v>
      </c>
      <c r="O57" s="132" t="s">
        <v>922</v>
      </c>
      <c r="P57" s="132" t="s">
        <v>923</v>
      </c>
      <c r="Q57" s="132" t="s">
        <v>924</v>
      </c>
      <c r="R57" s="132"/>
      <c r="S57" s="158">
        <v>0</v>
      </c>
      <c r="T57" s="158">
        <v>16350</v>
      </c>
      <c r="U57" s="158">
        <v>0</v>
      </c>
      <c r="V57" s="158">
        <v>16350</v>
      </c>
      <c r="W57" s="158">
        <v>0</v>
      </c>
      <c r="X57" s="158">
        <v>16350</v>
      </c>
      <c r="Y57" s="132" t="s">
        <v>40</v>
      </c>
      <c r="Z57" s="158">
        <v>0</v>
      </c>
      <c r="AA57" s="157">
        <v>46144</v>
      </c>
      <c r="AB57" s="158">
        <v>16350</v>
      </c>
      <c r="AC57" s="158">
        <v>16350</v>
      </c>
      <c r="AD57" s="132" t="s">
        <v>121</v>
      </c>
      <c r="AE57" s="158">
        <v>0</v>
      </c>
      <c r="AF57" s="158">
        <v>0</v>
      </c>
      <c r="AG57" s="158">
        <v>0</v>
      </c>
      <c r="AH57" s="157">
        <v>46146</v>
      </c>
      <c r="AI57" s="132" t="s">
        <v>9</v>
      </c>
      <c r="AJ57" s="158"/>
      <c r="AK57" s="132">
        <v>0</v>
      </c>
      <c r="AL57" s="132">
        <v>0</v>
      </c>
      <c r="AM57" s="158">
        <v>0</v>
      </c>
      <c r="AN57" s="158">
        <v>0</v>
      </c>
      <c r="AO57" s="155" t="s">
        <v>295</v>
      </c>
      <c r="AP57" s="155" t="s">
        <v>37</v>
      </c>
      <c r="AQ57" s="155">
        <v>2</v>
      </c>
      <c r="AR57" s="155" t="s">
        <v>1495</v>
      </c>
      <c r="AS57" s="155" t="s">
        <v>831</v>
      </c>
      <c r="AT57" s="155" t="s">
        <v>778</v>
      </c>
      <c r="AU57" s="155" t="b">
        <v>0</v>
      </c>
      <c r="AV57" s="156">
        <f t="shared" ca="1" si="0"/>
        <v>1</v>
      </c>
      <c r="AW57" s="156">
        <f t="shared" ca="1" si="1"/>
        <v>0</v>
      </c>
    </row>
    <row r="58" spans="1:49" x14ac:dyDescent="0.25">
      <c r="A58" s="129" t="s">
        <v>197</v>
      </c>
      <c r="B58" s="130" t="s">
        <v>617</v>
      </c>
      <c r="C58" s="130" t="s">
        <v>201</v>
      </c>
      <c r="D58" s="130" t="s">
        <v>83</v>
      </c>
      <c r="E58" s="130" t="s">
        <v>45</v>
      </c>
      <c r="F58" s="130" t="s">
        <v>1396</v>
      </c>
      <c r="G58" s="130" t="s">
        <v>1397</v>
      </c>
      <c r="H58" s="153">
        <v>44648</v>
      </c>
      <c r="I58" s="153">
        <v>46105</v>
      </c>
      <c r="J58" s="130" t="s">
        <v>7</v>
      </c>
      <c r="K58" s="130" t="s">
        <v>120</v>
      </c>
      <c r="L58" s="130" t="s">
        <v>21</v>
      </c>
      <c r="M58" s="130" t="s">
        <v>1398</v>
      </c>
      <c r="N58" s="130" t="s">
        <v>1399</v>
      </c>
      <c r="O58" s="130" t="s">
        <v>1400</v>
      </c>
      <c r="P58" s="130" t="s">
        <v>1400</v>
      </c>
      <c r="Q58" s="130" t="s">
        <v>1401</v>
      </c>
      <c r="R58" s="130"/>
      <c r="S58" s="154">
        <v>0</v>
      </c>
      <c r="T58" s="154">
        <v>776150</v>
      </c>
      <c r="U58" s="154">
        <v>0</v>
      </c>
      <c r="V58" s="154">
        <v>776150</v>
      </c>
      <c r="W58" s="154">
        <v>0</v>
      </c>
      <c r="X58" s="154">
        <v>776150</v>
      </c>
      <c r="Y58" s="130" t="s">
        <v>16</v>
      </c>
      <c r="Z58" s="154">
        <v>0</v>
      </c>
      <c r="AA58" s="153">
        <v>46167</v>
      </c>
      <c r="AB58" s="154">
        <v>776150</v>
      </c>
      <c r="AC58" s="154">
        <v>776150</v>
      </c>
      <c r="AD58" s="130" t="s">
        <v>123</v>
      </c>
      <c r="AE58" s="154">
        <v>0</v>
      </c>
      <c r="AF58" s="154">
        <v>0</v>
      </c>
      <c r="AG58" s="154">
        <v>0</v>
      </c>
      <c r="AH58" s="153">
        <v>46167</v>
      </c>
      <c r="AI58" s="130" t="s">
        <v>122</v>
      </c>
      <c r="AJ58" s="154"/>
      <c r="AK58" s="130">
        <v>0</v>
      </c>
      <c r="AL58" s="130">
        <v>0</v>
      </c>
      <c r="AM58" s="154">
        <v>0</v>
      </c>
      <c r="AN58" s="154">
        <v>0</v>
      </c>
      <c r="AO58" s="155" t="s">
        <v>295</v>
      </c>
      <c r="AP58" s="155" t="s">
        <v>362</v>
      </c>
      <c r="AQ58" s="155">
        <v>25</v>
      </c>
      <c r="AR58" s="155" t="s">
        <v>1495</v>
      </c>
      <c r="AS58" s="155" t="s">
        <v>831</v>
      </c>
      <c r="AT58" s="155" t="s">
        <v>778</v>
      </c>
      <c r="AU58" s="155" t="b">
        <v>0</v>
      </c>
      <c r="AV58" s="156">
        <f t="shared" ca="1" si="0"/>
        <v>0</v>
      </c>
      <c r="AW58" s="156">
        <f t="shared" ca="1" si="1"/>
        <v>0</v>
      </c>
    </row>
    <row r="59" spans="1:49" x14ac:dyDescent="0.25">
      <c r="A59" s="131" t="s">
        <v>181</v>
      </c>
      <c r="B59" s="132" t="s">
        <v>616</v>
      </c>
      <c r="C59" s="132" t="s">
        <v>183</v>
      </c>
      <c r="D59" s="132" t="s">
        <v>64</v>
      </c>
      <c r="E59" s="132" t="s">
        <v>45</v>
      </c>
      <c r="F59" s="132" t="s">
        <v>1385</v>
      </c>
      <c r="G59" s="132" t="s">
        <v>1386</v>
      </c>
      <c r="H59" s="157">
        <v>44651</v>
      </c>
      <c r="I59" s="157">
        <v>46105</v>
      </c>
      <c r="J59" s="132" t="s">
        <v>7</v>
      </c>
      <c r="K59" s="132" t="s">
        <v>120</v>
      </c>
      <c r="L59" s="132" t="s">
        <v>21</v>
      </c>
      <c r="M59" s="132" t="s">
        <v>1387</v>
      </c>
      <c r="N59" s="132" t="s">
        <v>0</v>
      </c>
      <c r="O59" s="132" t="s">
        <v>1388</v>
      </c>
      <c r="P59" s="132" t="s">
        <v>1389</v>
      </c>
      <c r="Q59" s="132" t="s">
        <v>1390</v>
      </c>
      <c r="R59" s="132"/>
      <c r="S59" s="158">
        <v>0</v>
      </c>
      <c r="T59" s="158">
        <v>0</v>
      </c>
      <c r="U59" s="158">
        <v>1776775</v>
      </c>
      <c r="V59" s="158">
        <v>1776775</v>
      </c>
      <c r="W59" s="158">
        <v>100000</v>
      </c>
      <c r="X59" s="158">
        <v>1676775</v>
      </c>
      <c r="Y59" s="132" t="s">
        <v>40</v>
      </c>
      <c r="Z59" s="158">
        <v>0</v>
      </c>
      <c r="AA59" s="157">
        <v>46167</v>
      </c>
      <c r="AB59" s="158">
        <v>1777000</v>
      </c>
      <c r="AC59" s="158">
        <v>1777000</v>
      </c>
      <c r="AD59" s="132" t="s">
        <v>121</v>
      </c>
      <c r="AE59" s="158">
        <v>0</v>
      </c>
      <c r="AF59" s="158">
        <v>0</v>
      </c>
      <c r="AG59" s="158">
        <v>0</v>
      </c>
      <c r="AH59" s="157">
        <v>46167</v>
      </c>
      <c r="AI59" s="132" t="s">
        <v>9</v>
      </c>
      <c r="AJ59" s="158"/>
      <c r="AK59" s="132">
        <v>0</v>
      </c>
      <c r="AL59" s="132">
        <v>0</v>
      </c>
      <c r="AM59" s="158">
        <v>-225</v>
      </c>
      <c r="AN59" s="158">
        <v>-100225</v>
      </c>
      <c r="AO59" s="155" t="s">
        <v>233</v>
      </c>
      <c r="AP59" s="155" t="s">
        <v>344</v>
      </c>
      <c r="AQ59" s="155">
        <v>25</v>
      </c>
      <c r="AR59" s="155" t="s">
        <v>1495</v>
      </c>
      <c r="AS59" s="155" t="s">
        <v>831</v>
      </c>
      <c r="AT59" s="155" t="s">
        <v>778</v>
      </c>
      <c r="AU59" s="155" t="b">
        <v>0</v>
      </c>
      <c r="AV59" s="156">
        <f t="shared" ca="1" si="0"/>
        <v>0</v>
      </c>
      <c r="AW59" s="156">
        <f t="shared" ca="1" si="1"/>
        <v>0</v>
      </c>
    </row>
    <row r="60" spans="1:49" x14ac:dyDescent="0.25">
      <c r="A60" s="129" t="s">
        <v>161</v>
      </c>
      <c r="B60" s="130" t="s">
        <v>568</v>
      </c>
      <c r="C60" s="130" t="s">
        <v>168</v>
      </c>
      <c r="D60" s="130" t="s">
        <v>48</v>
      </c>
      <c r="E60" s="130" t="s">
        <v>45</v>
      </c>
      <c r="F60" s="130" t="s">
        <v>1407</v>
      </c>
      <c r="G60" s="130" t="s">
        <v>1408</v>
      </c>
      <c r="H60" s="153">
        <v>44255</v>
      </c>
      <c r="I60" s="153">
        <v>46109</v>
      </c>
      <c r="J60" s="130" t="s">
        <v>7</v>
      </c>
      <c r="K60" s="130" t="s">
        <v>129</v>
      </c>
      <c r="L60" s="130" t="s">
        <v>17</v>
      </c>
      <c r="M60" s="130" t="s">
        <v>1409</v>
      </c>
      <c r="N60" s="130" t="s">
        <v>1410</v>
      </c>
      <c r="O60" s="130" t="s">
        <v>1411</v>
      </c>
      <c r="P60" s="130" t="s">
        <v>1411</v>
      </c>
      <c r="Q60" s="130" t="s">
        <v>1412</v>
      </c>
      <c r="R60" s="130"/>
      <c r="S60" s="154">
        <v>0</v>
      </c>
      <c r="T60" s="154">
        <v>24207270</v>
      </c>
      <c r="U60" s="154">
        <v>0</v>
      </c>
      <c r="V60" s="154">
        <v>24207270</v>
      </c>
      <c r="W60" s="154">
        <v>6105</v>
      </c>
      <c r="X60" s="154">
        <v>24201165</v>
      </c>
      <c r="Y60" s="130" t="s">
        <v>16</v>
      </c>
      <c r="Z60" s="154">
        <v>0</v>
      </c>
      <c r="AA60" s="153">
        <v>46168</v>
      </c>
      <c r="AB60" s="154">
        <v>15735000</v>
      </c>
      <c r="AC60" s="154">
        <v>15735000</v>
      </c>
      <c r="AD60" s="130" t="s">
        <v>123</v>
      </c>
      <c r="AE60" s="154">
        <v>0</v>
      </c>
      <c r="AF60" s="154">
        <v>8472270</v>
      </c>
      <c r="AG60" s="154">
        <v>0</v>
      </c>
      <c r="AH60" s="153">
        <v>46168</v>
      </c>
      <c r="AI60" s="130" t="s">
        <v>122</v>
      </c>
      <c r="AJ60" s="154">
        <v>8472270</v>
      </c>
      <c r="AK60" s="130">
        <v>0.35</v>
      </c>
      <c r="AL60" s="130">
        <v>0.35</v>
      </c>
      <c r="AM60" s="154">
        <v>0</v>
      </c>
      <c r="AN60" s="154">
        <v>-6105</v>
      </c>
      <c r="AO60" s="155" t="s">
        <v>252</v>
      </c>
      <c r="AP60" s="155" t="s">
        <v>34</v>
      </c>
      <c r="AQ60" s="155">
        <v>26</v>
      </c>
      <c r="AR60" s="155" t="s">
        <v>1495</v>
      </c>
      <c r="AS60" s="155" t="s">
        <v>831</v>
      </c>
      <c r="AT60" s="155" t="s">
        <v>778</v>
      </c>
      <c r="AU60" s="155" t="b">
        <v>0</v>
      </c>
      <c r="AV60" s="156">
        <f t="shared" ca="1" si="0"/>
        <v>0</v>
      </c>
      <c r="AW60" s="156">
        <f t="shared" ca="1" si="1"/>
        <v>0</v>
      </c>
    </row>
    <row r="61" spans="1:49" x14ac:dyDescent="0.25">
      <c r="A61" s="131" t="s">
        <v>138</v>
      </c>
      <c r="B61" s="132" t="s">
        <v>572</v>
      </c>
      <c r="C61" s="132" t="s">
        <v>139</v>
      </c>
      <c r="D61" s="132" t="s">
        <v>50</v>
      </c>
      <c r="E61" s="132" t="s">
        <v>45</v>
      </c>
      <c r="F61" s="132" t="s">
        <v>841</v>
      </c>
      <c r="G61" s="132" t="s">
        <v>842</v>
      </c>
      <c r="H61" s="157">
        <v>44638</v>
      </c>
      <c r="I61" s="157">
        <v>46111</v>
      </c>
      <c r="J61" s="132" t="s">
        <v>7</v>
      </c>
      <c r="K61" s="132" t="s">
        <v>120</v>
      </c>
      <c r="L61" s="132" t="s">
        <v>21</v>
      </c>
      <c r="M61" s="132" t="s">
        <v>843</v>
      </c>
      <c r="N61" s="132" t="s">
        <v>0</v>
      </c>
      <c r="O61" s="132" t="s">
        <v>844</v>
      </c>
      <c r="P61" s="132" t="s">
        <v>844</v>
      </c>
      <c r="Q61" s="132" t="s">
        <v>845</v>
      </c>
      <c r="R61" s="132"/>
      <c r="S61" s="158">
        <v>0</v>
      </c>
      <c r="T61" s="158">
        <v>160845</v>
      </c>
      <c r="U61" s="158">
        <v>0</v>
      </c>
      <c r="V61" s="158">
        <v>160845</v>
      </c>
      <c r="W61" s="158">
        <v>0</v>
      </c>
      <c r="X61" s="158">
        <v>160845</v>
      </c>
      <c r="Y61" s="132" t="s">
        <v>16</v>
      </c>
      <c r="Z61" s="158">
        <v>0</v>
      </c>
      <c r="AA61" s="157">
        <v>46151</v>
      </c>
      <c r="AB61" s="158">
        <v>0</v>
      </c>
      <c r="AC61" s="158">
        <v>0</v>
      </c>
      <c r="AD61" s="132" t="s">
        <v>121</v>
      </c>
      <c r="AE61" s="158">
        <v>0</v>
      </c>
      <c r="AF61" s="158">
        <v>0</v>
      </c>
      <c r="AG61" s="158">
        <v>0</v>
      </c>
      <c r="AH61" s="157">
        <v>46120</v>
      </c>
      <c r="AI61" s="132" t="s">
        <v>122</v>
      </c>
      <c r="AJ61" s="158"/>
      <c r="AK61" s="132">
        <v>0</v>
      </c>
      <c r="AL61" s="132">
        <v>0</v>
      </c>
      <c r="AM61" s="158">
        <v>-50000</v>
      </c>
      <c r="AN61" s="158">
        <v>-50000</v>
      </c>
      <c r="AO61" s="155" t="s">
        <v>246</v>
      </c>
      <c r="AP61" s="155" t="s">
        <v>23</v>
      </c>
      <c r="AQ61" s="155">
        <v>9</v>
      </c>
      <c r="AR61" s="155" t="s">
        <v>1495</v>
      </c>
      <c r="AS61" s="155" t="s">
        <v>831</v>
      </c>
      <c r="AT61" s="155" t="s">
        <v>778</v>
      </c>
      <c r="AU61" s="155" t="b">
        <v>0</v>
      </c>
      <c r="AV61" s="156">
        <f t="shared" ca="1" si="0"/>
        <v>0</v>
      </c>
      <c r="AW61" s="156">
        <f t="shared" ca="1" si="1"/>
        <v>0</v>
      </c>
    </row>
    <row r="62" spans="1:49" x14ac:dyDescent="0.25">
      <c r="A62" s="129" t="s">
        <v>138</v>
      </c>
      <c r="B62" s="130" t="s">
        <v>586</v>
      </c>
      <c r="C62" s="130" t="s">
        <v>146</v>
      </c>
      <c r="D62" s="130" t="s">
        <v>55</v>
      </c>
      <c r="E62" s="130" t="s">
        <v>45</v>
      </c>
      <c r="F62" s="130" t="s">
        <v>892</v>
      </c>
      <c r="G62" s="130" t="s">
        <v>893</v>
      </c>
      <c r="H62" s="153">
        <v>44624</v>
      </c>
      <c r="I62" s="153">
        <v>46112</v>
      </c>
      <c r="J62" s="130" t="s">
        <v>7</v>
      </c>
      <c r="K62" s="130" t="s">
        <v>120</v>
      </c>
      <c r="L62" s="130" t="s">
        <v>21</v>
      </c>
      <c r="M62" s="130" t="s">
        <v>894</v>
      </c>
      <c r="N62" s="130" t="s">
        <v>0</v>
      </c>
      <c r="O62" s="130" t="s">
        <v>895</v>
      </c>
      <c r="P62" s="130" t="s">
        <v>895</v>
      </c>
      <c r="Q62" s="130" t="s">
        <v>896</v>
      </c>
      <c r="R62" s="130"/>
      <c r="S62" s="154">
        <v>0</v>
      </c>
      <c r="T62" s="154">
        <v>16838575.5</v>
      </c>
      <c r="U62" s="154">
        <v>0</v>
      </c>
      <c r="V62" s="154">
        <v>16838575.5</v>
      </c>
      <c r="W62" s="154">
        <v>0</v>
      </c>
      <c r="X62" s="154">
        <v>16838575.5</v>
      </c>
      <c r="Y62" s="130" t="s">
        <v>16</v>
      </c>
      <c r="Z62" s="154">
        <v>0</v>
      </c>
      <c r="AA62" s="153">
        <v>46144</v>
      </c>
      <c r="AB62" s="154">
        <v>11788000</v>
      </c>
      <c r="AC62" s="154">
        <v>11788000</v>
      </c>
      <c r="AD62" s="130" t="s">
        <v>121</v>
      </c>
      <c r="AE62" s="154">
        <v>0</v>
      </c>
      <c r="AF62" s="154">
        <v>5050575.5</v>
      </c>
      <c r="AG62" s="154">
        <v>0</v>
      </c>
      <c r="AH62" s="153">
        <v>46147</v>
      </c>
      <c r="AI62" s="130" t="s">
        <v>122</v>
      </c>
      <c r="AJ62" s="154">
        <v>5050575.5</v>
      </c>
      <c r="AK62" s="130">
        <v>0.3</v>
      </c>
      <c r="AL62" s="130">
        <v>0.3</v>
      </c>
      <c r="AM62" s="154">
        <v>0</v>
      </c>
      <c r="AN62" s="154">
        <v>0</v>
      </c>
      <c r="AO62" s="155" t="s">
        <v>246</v>
      </c>
      <c r="AP62" s="155" t="s">
        <v>29</v>
      </c>
      <c r="AQ62" s="155">
        <v>2</v>
      </c>
      <c r="AR62" s="155" t="s">
        <v>1495</v>
      </c>
      <c r="AS62" s="155" t="s">
        <v>831</v>
      </c>
      <c r="AT62" s="155" t="s">
        <v>778</v>
      </c>
      <c r="AU62" s="155" t="b">
        <v>0</v>
      </c>
      <c r="AV62" s="156">
        <f t="shared" ca="1" si="0"/>
        <v>1</v>
      </c>
      <c r="AW62" s="156">
        <f t="shared" ca="1" si="1"/>
        <v>0</v>
      </c>
    </row>
    <row r="63" spans="1:49" x14ac:dyDescent="0.25">
      <c r="A63" s="131" t="s">
        <v>197</v>
      </c>
      <c r="B63" s="132" t="s">
        <v>597</v>
      </c>
      <c r="C63" s="132" t="s">
        <v>200</v>
      </c>
      <c r="D63" s="132" t="s">
        <v>79</v>
      </c>
      <c r="E63" s="132" t="s">
        <v>45</v>
      </c>
      <c r="F63" s="132" t="s">
        <v>1190</v>
      </c>
      <c r="G63" s="132" t="s">
        <v>1191</v>
      </c>
      <c r="H63" s="157">
        <v>44662</v>
      </c>
      <c r="I63" s="157">
        <v>46116</v>
      </c>
      <c r="J63" s="132" t="s">
        <v>7</v>
      </c>
      <c r="K63" s="132" t="s">
        <v>129</v>
      </c>
      <c r="L63" s="132" t="s">
        <v>21</v>
      </c>
      <c r="M63" s="132" t="s">
        <v>1192</v>
      </c>
      <c r="N63" s="132" t="s">
        <v>0</v>
      </c>
      <c r="O63" s="132" t="s">
        <v>1193</v>
      </c>
      <c r="P63" s="132" t="s">
        <v>1193</v>
      </c>
      <c r="Q63" s="132" t="s">
        <v>1194</v>
      </c>
      <c r="R63" s="132"/>
      <c r="S63" s="158">
        <v>0</v>
      </c>
      <c r="T63" s="158">
        <v>271925</v>
      </c>
      <c r="U63" s="158">
        <v>0</v>
      </c>
      <c r="V63" s="158">
        <v>271925</v>
      </c>
      <c r="W63" s="158">
        <v>0</v>
      </c>
      <c r="X63" s="158">
        <v>271925</v>
      </c>
      <c r="Y63" s="132" t="s">
        <v>16</v>
      </c>
      <c r="Z63" s="158">
        <v>0</v>
      </c>
      <c r="AA63" s="157">
        <v>46155</v>
      </c>
      <c r="AB63" s="158">
        <v>271925</v>
      </c>
      <c r="AC63" s="158">
        <v>271925</v>
      </c>
      <c r="AD63" s="132" t="s">
        <v>121</v>
      </c>
      <c r="AE63" s="158">
        <v>0</v>
      </c>
      <c r="AF63" s="158">
        <v>0</v>
      </c>
      <c r="AG63" s="158">
        <v>0</v>
      </c>
      <c r="AH63" s="157">
        <v>46155</v>
      </c>
      <c r="AI63" s="132" t="s">
        <v>122</v>
      </c>
      <c r="AJ63" s="158"/>
      <c r="AK63" s="132">
        <v>0</v>
      </c>
      <c r="AL63" s="132">
        <v>0</v>
      </c>
      <c r="AM63" s="158">
        <v>0</v>
      </c>
      <c r="AN63" s="158">
        <v>0</v>
      </c>
      <c r="AO63" s="155" t="s">
        <v>265</v>
      </c>
      <c r="AP63" s="155" t="s">
        <v>43</v>
      </c>
      <c r="AQ63" s="155">
        <v>13</v>
      </c>
      <c r="AR63" s="155" t="s">
        <v>1495</v>
      </c>
      <c r="AS63" s="155" t="s">
        <v>883</v>
      </c>
      <c r="AT63" s="155" t="s">
        <v>778</v>
      </c>
      <c r="AU63" s="155" t="b">
        <v>0</v>
      </c>
      <c r="AV63" s="156">
        <f t="shared" ca="1" si="0"/>
        <v>0</v>
      </c>
      <c r="AW63" s="156">
        <f t="shared" ca="1" si="1"/>
        <v>0</v>
      </c>
    </row>
    <row r="64" spans="1:49" x14ac:dyDescent="0.25">
      <c r="A64" s="129" t="s">
        <v>138</v>
      </c>
      <c r="B64" s="130" t="s">
        <v>580</v>
      </c>
      <c r="C64" s="130" t="s">
        <v>141</v>
      </c>
      <c r="D64" s="130" t="s">
        <v>67</v>
      </c>
      <c r="E64" s="130" t="s">
        <v>45</v>
      </c>
      <c r="F64" s="130" t="s">
        <v>1131</v>
      </c>
      <c r="G64" s="130" t="s">
        <v>1132</v>
      </c>
      <c r="H64" s="153">
        <v>44732</v>
      </c>
      <c r="I64" s="153">
        <v>46117</v>
      </c>
      <c r="J64" s="130" t="s">
        <v>7</v>
      </c>
      <c r="K64" s="130" t="s">
        <v>120</v>
      </c>
      <c r="L64" s="130" t="s">
        <v>21</v>
      </c>
      <c r="M64" s="130" t="s">
        <v>1133</v>
      </c>
      <c r="N64" s="130" t="s">
        <v>0</v>
      </c>
      <c r="O64" s="130" t="s">
        <v>1134</v>
      </c>
      <c r="P64" s="130" t="s">
        <v>1134</v>
      </c>
      <c r="Q64" s="130" t="s">
        <v>1135</v>
      </c>
      <c r="R64" s="130"/>
      <c r="S64" s="154">
        <v>0</v>
      </c>
      <c r="T64" s="154">
        <v>53470</v>
      </c>
      <c r="U64" s="154">
        <v>0</v>
      </c>
      <c r="V64" s="154">
        <v>53470</v>
      </c>
      <c r="W64" s="154">
        <v>0</v>
      </c>
      <c r="X64" s="154">
        <v>53470</v>
      </c>
      <c r="Y64" s="130" t="s">
        <v>16</v>
      </c>
      <c r="Z64" s="154">
        <v>0</v>
      </c>
      <c r="AA64" s="153">
        <v>46154</v>
      </c>
      <c r="AB64" s="154">
        <v>0</v>
      </c>
      <c r="AC64" s="154">
        <v>0</v>
      </c>
      <c r="AD64" s="130" t="s">
        <v>123</v>
      </c>
      <c r="AE64" s="154">
        <v>0</v>
      </c>
      <c r="AF64" s="154">
        <v>0</v>
      </c>
      <c r="AG64" s="154">
        <v>0</v>
      </c>
      <c r="AH64" s="153">
        <v>46120</v>
      </c>
      <c r="AI64" s="130" t="s">
        <v>122</v>
      </c>
      <c r="AJ64" s="154"/>
      <c r="AK64" s="130">
        <v>0</v>
      </c>
      <c r="AL64" s="130">
        <v>0</v>
      </c>
      <c r="AM64" s="154">
        <v>-50000</v>
      </c>
      <c r="AN64" s="154">
        <v>-50000</v>
      </c>
      <c r="AO64" s="155" t="s">
        <v>246</v>
      </c>
      <c r="AP64" s="155" t="s">
        <v>244</v>
      </c>
      <c r="AQ64" s="155">
        <v>12</v>
      </c>
      <c r="AR64" s="155" t="s">
        <v>1495</v>
      </c>
      <c r="AS64" s="155" t="s">
        <v>883</v>
      </c>
      <c r="AT64" s="155" t="s">
        <v>778</v>
      </c>
      <c r="AU64" s="155" t="b">
        <v>0</v>
      </c>
      <c r="AV64" s="156">
        <f t="shared" ca="1" si="0"/>
        <v>0</v>
      </c>
      <c r="AW64" s="156">
        <f t="shared" ca="1" si="1"/>
        <v>0</v>
      </c>
    </row>
    <row r="65" spans="1:49" x14ac:dyDescent="0.25">
      <c r="A65" s="131" t="s">
        <v>161</v>
      </c>
      <c r="B65" s="132" t="s">
        <v>599</v>
      </c>
      <c r="C65" s="132" t="s">
        <v>164</v>
      </c>
      <c r="D65" s="132" t="s">
        <v>165</v>
      </c>
      <c r="E65" s="132" t="s">
        <v>45</v>
      </c>
      <c r="F65" s="132" t="s">
        <v>1500</v>
      </c>
      <c r="G65" s="132" t="s">
        <v>1501</v>
      </c>
      <c r="H65" s="157">
        <v>44712</v>
      </c>
      <c r="I65" s="157">
        <v>46118</v>
      </c>
      <c r="J65" s="132" t="s">
        <v>7</v>
      </c>
      <c r="K65" s="132" t="s">
        <v>120</v>
      </c>
      <c r="L65" s="132" t="s">
        <v>21</v>
      </c>
      <c r="M65" s="132" t="s">
        <v>1502</v>
      </c>
      <c r="N65" s="132" t="s">
        <v>0</v>
      </c>
      <c r="O65" s="132" t="s">
        <v>1503</v>
      </c>
      <c r="P65" s="132" t="s">
        <v>1503</v>
      </c>
      <c r="Q65" s="132" t="s">
        <v>1503</v>
      </c>
      <c r="R65" s="132"/>
      <c r="S65" s="158">
        <v>0</v>
      </c>
      <c r="T65" s="158">
        <v>14680000</v>
      </c>
      <c r="U65" s="158">
        <v>0</v>
      </c>
      <c r="V65" s="158">
        <v>14680000</v>
      </c>
      <c r="W65" s="158">
        <v>0</v>
      </c>
      <c r="X65" s="158">
        <v>14680000</v>
      </c>
      <c r="Y65" s="132" t="s">
        <v>40</v>
      </c>
      <c r="Z65" s="158">
        <v>0</v>
      </c>
      <c r="AA65" s="157">
        <v>46173</v>
      </c>
      <c r="AB65" s="158">
        <v>12000000</v>
      </c>
      <c r="AC65" s="158">
        <v>12000000</v>
      </c>
      <c r="AD65" s="132" t="s">
        <v>121</v>
      </c>
      <c r="AE65" s="158">
        <v>0</v>
      </c>
      <c r="AF65" s="158">
        <v>2680000</v>
      </c>
      <c r="AG65" s="158">
        <v>0</v>
      </c>
      <c r="AH65" s="157">
        <v>46173</v>
      </c>
      <c r="AI65" s="132" t="s">
        <v>9</v>
      </c>
      <c r="AJ65" s="158">
        <v>2680000</v>
      </c>
      <c r="AK65" s="132">
        <v>0.18</v>
      </c>
      <c r="AL65" s="132">
        <v>0.18</v>
      </c>
      <c r="AM65" s="158">
        <v>0</v>
      </c>
      <c r="AN65" s="158">
        <v>0</v>
      </c>
      <c r="AO65" s="155" t="s">
        <v>252</v>
      </c>
      <c r="AP65" s="155" t="s">
        <v>24</v>
      </c>
      <c r="AQ65" s="155">
        <v>31</v>
      </c>
      <c r="AR65" s="155" t="s">
        <v>1495</v>
      </c>
      <c r="AS65" s="155" t="s">
        <v>883</v>
      </c>
      <c r="AT65" s="155" t="s">
        <v>778</v>
      </c>
      <c r="AU65" s="155" t="b">
        <v>0</v>
      </c>
      <c r="AV65" s="156">
        <f t="shared" ca="1" si="0"/>
        <v>0</v>
      </c>
      <c r="AW65" s="156">
        <f t="shared" ca="1" si="1"/>
        <v>0</v>
      </c>
    </row>
    <row r="66" spans="1:49" x14ac:dyDescent="0.25">
      <c r="A66" s="129" t="s">
        <v>197</v>
      </c>
      <c r="B66" s="130" t="s">
        <v>597</v>
      </c>
      <c r="C66" s="130" t="s">
        <v>200</v>
      </c>
      <c r="D66" s="130" t="s">
        <v>79</v>
      </c>
      <c r="E66" s="130" t="s">
        <v>45</v>
      </c>
      <c r="F66" s="130" t="s">
        <v>1290</v>
      </c>
      <c r="G66" s="130" t="s">
        <v>1291</v>
      </c>
      <c r="H66" s="153">
        <v>45076</v>
      </c>
      <c r="I66" s="153">
        <v>46119</v>
      </c>
      <c r="J66" s="130" t="s">
        <v>7</v>
      </c>
      <c r="K66" s="130" t="s">
        <v>120</v>
      </c>
      <c r="L66" s="130" t="s">
        <v>86</v>
      </c>
      <c r="M66" s="130" t="s">
        <v>1292</v>
      </c>
      <c r="N66" s="130" t="s">
        <v>0</v>
      </c>
      <c r="O66" s="130" t="s">
        <v>1293</v>
      </c>
      <c r="P66" s="130" t="s">
        <v>1293</v>
      </c>
      <c r="Q66" s="130"/>
      <c r="R66" s="130"/>
      <c r="S66" s="154">
        <v>0</v>
      </c>
      <c r="T66" s="154">
        <v>29600</v>
      </c>
      <c r="U66" s="154">
        <v>129895</v>
      </c>
      <c r="V66" s="154">
        <v>159495</v>
      </c>
      <c r="W66" s="154">
        <v>292600</v>
      </c>
      <c r="X66" s="154">
        <v>-133105</v>
      </c>
      <c r="Y66" s="130" t="s">
        <v>16</v>
      </c>
      <c r="Z66" s="154">
        <v>0</v>
      </c>
      <c r="AA66" s="153">
        <v>46162</v>
      </c>
      <c r="AB66" s="154">
        <v>0</v>
      </c>
      <c r="AC66" s="154">
        <v>0</v>
      </c>
      <c r="AD66" s="130" t="s">
        <v>121</v>
      </c>
      <c r="AE66" s="154">
        <v>0</v>
      </c>
      <c r="AF66" s="154">
        <v>0</v>
      </c>
      <c r="AG66" s="154">
        <v>0</v>
      </c>
      <c r="AH66" s="153">
        <v>46125</v>
      </c>
      <c r="AI66" s="130" t="s">
        <v>122</v>
      </c>
      <c r="AJ66" s="154"/>
      <c r="AK66" s="130">
        <v>0</v>
      </c>
      <c r="AL66" s="130">
        <v>0</v>
      </c>
      <c r="AM66" s="154">
        <v>109495</v>
      </c>
      <c r="AN66" s="154">
        <v>-183105</v>
      </c>
      <c r="AO66" s="155" t="s">
        <v>265</v>
      </c>
      <c r="AP66" s="155" t="s">
        <v>43</v>
      </c>
      <c r="AQ66" s="155">
        <v>20</v>
      </c>
      <c r="AR66" s="155" t="s">
        <v>1495</v>
      </c>
      <c r="AS66" s="155" t="s">
        <v>883</v>
      </c>
      <c r="AT66" s="155" t="s">
        <v>778</v>
      </c>
      <c r="AU66" s="155" t="b">
        <v>0</v>
      </c>
      <c r="AV66" s="156">
        <f t="shared" ca="1" si="0"/>
        <v>0</v>
      </c>
      <c r="AW66" s="156">
        <f t="shared" ca="1" si="1"/>
        <v>0</v>
      </c>
    </row>
    <row r="67" spans="1:49" x14ac:dyDescent="0.25">
      <c r="A67" s="131" t="s">
        <v>181</v>
      </c>
      <c r="B67" s="132" t="s">
        <v>616</v>
      </c>
      <c r="C67" s="132" t="s">
        <v>183</v>
      </c>
      <c r="D67" s="132" t="s">
        <v>64</v>
      </c>
      <c r="E67" s="132" t="s">
        <v>45</v>
      </c>
      <c r="F67" s="132" t="s">
        <v>987</v>
      </c>
      <c r="G67" s="132" t="s">
        <v>988</v>
      </c>
      <c r="H67" s="157">
        <v>44670</v>
      </c>
      <c r="I67" s="157">
        <v>46119</v>
      </c>
      <c r="J67" s="132" t="s">
        <v>7</v>
      </c>
      <c r="K67" s="132" t="s">
        <v>120</v>
      </c>
      <c r="L67" s="132" t="s">
        <v>21</v>
      </c>
      <c r="M67" s="132" t="s">
        <v>989</v>
      </c>
      <c r="N67" s="132" t="s">
        <v>0</v>
      </c>
      <c r="O67" s="132" t="s">
        <v>990</v>
      </c>
      <c r="P67" s="132" t="s">
        <v>990</v>
      </c>
      <c r="Q67" s="132" t="s">
        <v>991</v>
      </c>
      <c r="R67" s="132"/>
      <c r="S67" s="158">
        <v>0</v>
      </c>
      <c r="T67" s="158">
        <v>216360</v>
      </c>
      <c r="U67" s="158">
        <v>0</v>
      </c>
      <c r="V67" s="158">
        <v>216360</v>
      </c>
      <c r="W67" s="158">
        <v>10700</v>
      </c>
      <c r="X67" s="158">
        <v>205660</v>
      </c>
      <c r="Y67" s="132" t="s">
        <v>16</v>
      </c>
      <c r="Z67" s="158">
        <v>0</v>
      </c>
      <c r="AA67" s="157">
        <v>46147</v>
      </c>
      <c r="AB67" s="158">
        <v>217000</v>
      </c>
      <c r="AC67" s="158">
        <v>217000</v>
      </c>
      <c r="AD67" s="132" t="s">
        <v>121</v>
      </c>
      <c r="AE67" s="158">
        <v>0</v>
      </c>
      <c r="AF67" s="158">
        <v>0</v>
      </c>
      <c r="AG67" s="158">
        <v>0</v>
      </c>
      <c r="AH67" s="157">
        <v>46148</v>
      </c>
      <c r="AI67" s="132" t="s">
        <v>122</v>
      </c>
      <c r="AJ67" s="158"/>
      <c r="AK67" s="132">
        <v>0</v>
      </c>
      <c r="AL67" s="132">
        <v>0</v>
      </c>
      <c r="AM67" s="158">
        <v>-640</v>
      </c>
      <c r="AN67" s="158">
        <v>-11340</v>
      </c>
      <c r="AO67" s="155" t="s">
        <v>233</v>
      </c>
      <c r="AP67" s="155" t="s">
        <v>344</v>
      </c>
      <c r="AQ67" s="155">
        <v>5</v>
      </c>
      <c r="AR67" s="155" t="s">
        <v>1495</v>
      </c>
      <c r="AS67" s="155" t="s">
        <v>883</v>
      </c>
      <c r="AT67" s="155" t="s">
        <v>778</v>
      </c>
      <c r="AU67" s="155" t="b">
        <v>0</v>
      </c>
      <c r="AV67" s="156">
        <f t="shared" ref="AV67:AV100" ca="1" si="2">IF(AQ67&lt;=DAY(TODAY()),1,0)</f>
        <v>1</v>
      </c>
      <c r="AW67" s="156">
        <f t="shared" ref="AW67:AW100" ca="1" si="3">IF(AQ67=DAY(TODAY()),1,0)</f>
        <v>1</v>
      </c>
    </row>
    <row r="68" spans="1:49" x14ac:dyDescent="0.25">
      <c r="A68" s="129" t="s">
        <v>161</v>
      </c>
      <c r="B68" s="130" t="s">
        <v>599</v>
      </c>
      <c r="C68" s="130" t="s">
        <v>164</v>
      </c>
      <c r="D68" s="130" t="s">
        <v>165</v>
      </c>
      <c r="E68" s="130" t="s">
        <v>45</v>
      </c>
      <c r="F68" s="130" t="s">
        <v>1153</v>
      </c>
      <c r="G68" s="130" t="s">
        <v>1154</v>
      </c>
      <c r="H68" s="153">
        <v>44301</v>
      </c>
      <c r="I68" s="153">
        <v>46119</v>
      </c>
      <c r="J68" s="130" t="s">
        <v>7</v>
      </c>
      <c r="K68" s="130" t="s">
        <v>134</v>
      </c>
      <c r="L68" s="130" t="s">
        <v>20</v>
      </c>
      <c r="M68" s="130" t="s">
        <v>1155</v>
      </c>
      <c r="N68" s="130" t="s">
        <v>0</v>
      </c>
      <c r="O68" s="130" t="s">
        <v>1156</v>
      </c>
      <c r="P68" s="130" t="s">
        <v>1157</v>
      </c>
      <c r="Q68" s="130" t="s">
        <v>1156</v>
      </c>
      <c r="R68" s="130"/>
      <c r="S68" s="154">
        <v>0</v>
      </c>
      <c r="T68" s="154">
        <v>13946310</v>
      </c>
      <c r="U68" s="154">
        <v>20000</v>
      </c>
      <c r="V68" s="154">
        <v>13966310</v>
      </c>
      <c r="W68" s="154">
        <v>0</v>
      </c>
      <c r="X68" s="154">
        <v>13966310</v>
      </c>
      <c r="Y68" s="130" t="s">
        <v>40</v>
      </c>
      <c r="Z68" s="154">
        <v>0</v>
      </c>
      <c r="AA68" s="153">
        <v>46173</v>
      </c>
      <c r="AB68" s="154">
        <v>9993000</v>
      </c>
      <c r="AC68" s="154">
        <v>9993000</v>
      </c>
      <c r="AD68" s="130" t="s">
        <v>121</v>
      </c>
      <c r="AE68" s="154">
        <v>0</v>
      </c>
      <c r="AF68" s="154">
        <v>3973310</v>
      </c>
      <c r="AG68" s="154">
        <v>0</v>
      </c>
      <c r="AH68" s="153">
        <v>46173</v>
      </c>
      <c r="AI68" s="130" t="s">
        <v>9</v>
      </c>
      <c r="AJ68" s="154">
        <v>3973310</v>
      </c>
      <c r="AK68" s="130">
        <v>0.28000000000000003</v>
      </c>
      <c r="AL68" s="130">
        <v>0.28000000000000003</v>
      </c>
      <c r="AM68" s="154">
        <v>0</v>
      </c>
      <c r="AN68" s="154">
        <v>0</v>
      </c>
      <c r="AO68" s="155" t="s">
        <v>252</v>
      </c>
      <c r="AP68" s="155" t="s">
        <v>24</v>
      </c>
      <c r="AQ68" s="155">
        <v>31</v>
      </c>
      <c r="AR68" s="155" t="s">
        <v>1495</v>
      </c>
      <c r="AS68" s="155" t="s">
        <v>883</v>
      </c>
      <c r="AT68" s="155" t="s">
        <v>778</v>
      </c>
      <c r="AU68" s="155" t="b">
        <v>0</v>
      </c>
      <c r="AV68" s="156">
        <f t="shared" ca="1" si="2"/>
        <v>0</v>
      </c>
      <c r="AW68" s="156">
        <f t="shared" ca="1" si="3"/>
        <v>0</v>
      </c>
    </row>
    <row r="69" spans="1:49" x14ac:dyDescent="0.25">
      <c r="A69" s="131" t="s">
        <v>138</v>
      </c>
      <c r="B69" s="132" t="s">
        <v>572</v>
      </c>
      <c r="C69" s="132" t="s">
        <v>139</v>
      </c>
      <c r="D69" s="132" t="s">
        <v>50</v>
      </c>
      <c r="E69" s="132" t="s">
        <v>45</v>
      </c>
      <c r="F69" s="132" t="s">
        <v>1453</v>
      </c>
      <c r="G69" s="132" t="s">
        <v>1454</v>
      </c>
      <c r="H69" s="157">
        <v>45026</v>
      </c>
      <c r="I69" s="157">
        <v>46123</v>
      </c>
      <c r="J69" s="132" t="s">
        <v>7</v>
      </c>
      <c r="K69" s="132" t="s">
        <v>120</v>
      </c>
      <c r="L69" s="132" t="s">
        <v>86</v>
      </c>
      <c r="M69" s="132" t="s">
        <v>1455</v>
      </c>
      <c r="N69" s="132" t="s">
        <v>0</v>
      </c>
      <c r="O69" s="132" t="s">
        <v>1456</v>
      </c>
      <c r="P69" s="132" t="s">
        <v>1457</v>
      </c>
      <c r="Q69" s="132" t="s">
        <v>1458</v>
      </c>
      <c r="R69" s="132"/>
      <c r="S69" s="158">
        <v>0</v>
      </c>
      <c r="T69" s="158">
        <v>26230</v>
      </c>
      <c r="U69" s="158">
        <v>0</v>
      </c>
      <c r="V69" s="158">
        <v>26230</v>
      </c>
      <c r="W69" s="158">
        <v>0</v>
      </c>
      <c r="X69" s="158">
        <v>26230</v>
      </c>
      <c r="Y69" s="132" t="s">
        <v>16</v>
      </c>
      <c r="Z69" s="158">
        <v>0</v>
      </c>
      <c r="AA69" s="157">
        <v>46171</v>
      </c>
      <c r="AB69" s="158">
        <v>27000</v>
      </c>
      <c r="AC69" s="158">
        <v>27000</v>
      </c>
      <c r="AD69" s="132" t="s">
        <v>123</v>
      </c>
      <c r="AE69" s="158">
        <v>0</v>
      </c>
      <c r="AF69" s="158">
        <v>0</v>
      </c>
      <c r="AG69" s="158">
        <v>0</v>
      </c>
      <c r="AH69" s="157">
        <v>46171</v>
      </c>
      <c r="AI69" s="132" t="s">
        <v>122</v>
      </c>
      <c r="AJ69" s="158"/>
      <c r="AK69" s="132">
        <v>0</v>
      </c>
      <c r="AL69" s="132">
        <v>0</v>
      </c>
      <c r="AM69" s="158">
        <v>-770</v>
      </c>
      <c r="AN69" s="158">
        <v>-770</v>
      </c>
      <c r="AO69" s="155" t="s">
        <v>246</v>
      </c>
      <c r="AP69" s="155" t="s">
        <v>23</v>
      </c>
      <c r="AQ69" s="155">
        <v>29</v>
      </c>
      <c r="AR69" s="155" t="s">
        <v>1495</v>
      </c>
      <c r="AS69" s="155" t="s">
        <v>883</v>
      </c>
      <c r="AT69" s="155" t="s">
        <v>778</v>
      </c>
      <c r="AU69" s="155" t="b">
        <v>0</v>
      </c>
      <c r="AV69" s="156">
        <f t="shared" ca="1" si="2"/>
        <v>0</v>
      </c>
      <c r="AW69" s="156">
        <f t="shared" ca="1" si="3"/>
        <v>0</v>
      </c>
    </row>
    <row r="70" spans="1:49" x14ac:dyDescent="0.25">
      <c r="A70" s="129" t="s">
        <v>138</v>
      </c>
      <c r="B70" s="130" t="s">
        <v>573</v>
      </c>
      <c r="C70" s="130" t="s">
        <v>148</v>
      </c>
      <c r="D70" s="130" t="s">
        <v>51</v>
      </c>
      <c r="E70" s="130" t="s">
        <v>45</v>
      </c>
      <c r="F70" s="130" t="s">
        <v>935</v>
      </c>
      <c r="G70" s="130" t="s">
        <v>936</v>
      </c>
      <c r="H70" s="153">
        <v>45027</v>
      </c>
      <c r="I70" s="153">
        <v>46124</v>
      </c>
      <c r="J70" s="130" t="s">
        <v>7</v>
      </c>
      <c r="K70" s="130" t="s">
        <v>120</v>
      </c>
      <c r="L70" s="130" t="s">
        <v>86</v>
      </c>
      <c r="M70" s="130" t="s">
        <v>937</v>
      </c>
      <c r="N70" s="130" t="s">
        <v>938</v>
      </c>
      <c r="O70" s="130" t="s">
        <v>939</v>
      </c>
      <c r="P70" s="130" t="s">
        <v>940</v>
      </c>
      <c r="Q70" s="130" t="s">
        <v>939</v>
      </c>
      <c r="R70" s="130"/>
      <c r="S70" s="154">
        <v>0</v>
      </c>
      <c r="T70" s="154">
        <v>8175580</v>
      </c>
      <c r="U70" s="154">
        <v>0</v>
      </c>
      <c r="V70" s="154">
        <v>8175580</v>
      </c>
      <c r="W70" s="154">
        <v>0</v>
      </c>
      <c r="X70" s="154">
        <v>8175580</v>
      </c>
      <c r="Y70" s="130" t="s">
        <v>16</v>
      </c>
      <c r="Z70" s="154">
        <v>0</v>
      </c>
      <c r="AA70" s="153">
        <v>46149</v>
      </c>
      <c r="AB70" s="154">
        <v>6541000</v>
      </c>
      <c r="AC70" s="154">
        <v>6541000</v>
      </c>
      <c r="AD70" s="130" t="s">
        <v>121</v>
      </c>
      <c r="AE70" s="154">
        <v>0</v>
      </c>
      <c r="AF70" s="154">
        <v>1634580</v>
      </c>
      <c r="AG70" s="154">
        <v>0</v>
      </c>
      <c r="AH70" s="153">
        <v>46150</v>
      </c>
      <c r="AI70" s="130" t="s">
        <v>122</v>
      </c>
      <c r="AJ70" s="154">
        <v>1634580</v>
      </c>
      <c r="AK70" s="130">
        <v>0.2</v>
      </c>
      <c r="AL70" s="130">
        <v>0.2</v>
      </c>
      <c r="AM70" s="154">
        <v>0</v>
      </c>
      <c r="AN70" s="154">
        <v>0</v>
      </c>
      <c r="AO70" s="155" t="s">
        <v>246</v>
      </c>
      <c r="AP70" s="155" t="s">
        <v>28</v>
      </c>
      <c r="AQ70" s="155">
        <v>7</v>
      </c>
      <c r="AR70" s="155" t="s">
        <v>1495</v>
      </c>
      <c r="AS70" s="155" t="s">
        <v>883</v>
      </c>
      <c r="AT70" s="155" t="s">
        <v>778</v>
      </c>
      <c r="AU70" s="155" t="b">
        <v>0</v>
      </c>
      <c r="AV70" s="156">
        <f t="shared" ca="1" si="2"/>
        <v>0</v>
      </c>
      <c r="AW70" s="156">
        <f t="shared" ca="1" si="3"/>
        <v>0</v>
      </c>
    </row>
    <row r="71" spans="1:49" x14ac:dyDescent="0.25">
      <c r="A71" s="131" t="s">
        <v>181</v>
      </c>
      <c r="B71" s="132" t="s">
        <v>607</v>
      </c>
      <c r="C71" s="132" t="s">
        <v>187</v>
      </c>
      <c r="D71" s="132" t="s">
        <v>188</v>
      </c>
      <c r="E71" s="132" t="s">
        <v>45</v>
      </c>
      <c r="F71" s="132" t="s">
        <v>1184</v>
      </c>
      <c r="G71" s="132" t="s">
        <v>1185</v>
      </c>
      <c r="H71" s="157">
        <v>44671</v>
      </c>
      <c r="I71" s="157">
        <v>46127</v>
      </c>
      <c r="J71" s="132" t="s">
        <v>7</v>
      </c>
      <c r="K71" s="132" t="s">
        <v>120</v>
      </c>
      <c r="L71" s="132" t="s">
        <v>21</v>
      </c>
      <c r="M71" s="132" t="s">
        <v>1186</v>
      </c>
      <c r="N71" s="132" t="s">
        <v>1187</v>
      </c>
      <c r="O71" s="132" t="s">
        <v>1188</v>
      </c>
      <c r="P71" s="132" t="s">
        <v>1188</v>
      </c>
      <c r="Q71" s="132" t="s">
        <v>1189</v>
      </c>
      <c r="R71" s="132"/>
      <c r="S71" s="158">
        <v>0</v>
      </c>
      <c r="T71" s="158">
        <v>5528570</v>
      </c>
      <c r="U71" s="158">
        <v>0</v>
      </c>
      <c r="V71" s="158">
        <v>5528570</v>
      </c>
      <c r="W71" s="158">
        <v>0</v>
      </c>
      <c r="X71" s="158">
        <v>5528570</v>
      </c>
      <c r="Y71" s="132" t="s">
        <v>16</v>
      </c>
      <c r="Z71" s="158">
        <v>0</v>
      </c>
      <c r="AA71" s="157">
        <v>46155</v>
      </c>
      <c r="AB71" s="158">
        <v>4423000</v>
      </c>
      <c r="AC71" s="158">
        <v>4423000</v>
      </c>
      <c r="AD71" s="132" t="s">
        <v>121</v>
      </c>
      <c r="AE71" s="158">
        <v>0</v>
      </c>
      <c r="AF71" s="158">
        <v>1105570</v>
      </c>
      <c r="AG71" s="158">
        <v>0</v>
      </c>
      <c r="AH71" s="157">
        <v>46155</v>
      </c>
      <c r="AI71" s="132" t="s">
        <v>122</v>
      </c>
      <c r="AJ71" s="158">
        <v>1105570</v>
      </c>
      <c r="AK71" s="132">
        <v>0.2</v>
      </c>
      <c r="AL71" s="132">
        <v>0.2</v>
      </c>
      <c r="AM71" s="158">
        <v>0</v>
      </c>
      <c r="AN71" s="158">
        <v>0</v>
      </c>
      <c r="AO71" s="155" t="s">
        <v>233</v>
      </c>
      <c r="AP71" s="155" t="s">
        <v>41</v>
      </c>
      <c r="AQ71" s="155">
        <v>13</v>
      </c>
      <c r="AR71" s="155" t="s">
        <v>1495</v>
      </c>
      <c r="AS71" s="155" t="s">
        <v>883</v>
      </c>
      <c r="AT71" s="155" t="s">
        <v>778</v>
      </c>
      <c r="AU71" s="155" t="b">
        <v>0</v>
      </c>
      <c r="AV71" s="156">
        <f t="shared" ca="1" si="2"/>
        <v>0</v>
      </c>
      <c r="AW71" s="156">
        <f t="shared" ca="1" si="3"/>
        <v>0</v>
      </c>
    </row>
    <row r="72" spans="1:49" x14ac:dyDescent="0.25">
      <c r="A72" s="129" t="s">
        <v>149</v>
      </c>
      <c r="B72" s="130" t="s">
        <v>608</v>
      </c>
      <c r="C72" s="130" t="s">
        <v>156</v>
      </c>
      <c r="D72" s="130" t="s">
        <v>74</v>
      </c>
      <c r="E72" s="130" t="s">
        <v>45</v>
      </c>
      <c r="F72" s="130" t="s">
        <v>950</v>
      </c>
      <c r="G72" s="130" t="s">
        <v>951</v>
      </c>
      <c r="H72" s="153">
        <v>44714</v>
      </c>
      <c r="I72" s="153">
        <v>46127</v>
      </c>
      <c r="J72" s="130" t="s">
        <v>7</v>
      </c>
      <c r="K72" s="130" t="s">
        <v>120</v>
      </c>
      <c r="L72" s="130" t="s">
        <v>21</v>
      </c>
      <c r="M72" s="130" t="s">
        <v>952</v>
      </c>
      <c r="N72" s="130" t="s">
        <v>0</v>
      </c>
      <c r="O72" s="130" t="s">
        <v>953</v>
      </c>
      <c r="P72" s="130" t="s">
        <v>953</v>
      </c>
      <c r="Q72" s="130" t="s">
        <v>954</v>
      </c>
      <c r="R72" s="130"/>
      <c r="S72" s="154">
        <v>0</v>
      </c>
      <c r="T72" s="154">
        <v>1382100</v>
      </c>
      <c r="U72" s="154">
        <v>5782450</v>
      </c>
      <c r="V72" s="154">
        <v>7164550</v>
      </c>
      <c r="W72" s="154">
        <v>309250</v>
      </c>
      <c r="X72" s="154">
        <v>6855300</v>
      </c>
      <c r="Y72" s="130" t="s">
        <v>16</v>
      </c>
      <c r="Z72" s="154">
        <v>0</v>
      </c>
      <c r="AA72" s="153">
        <v>46149</v>
      </c>
      <c r="AB72" s="154">
        <v>5500000</v>
      </c>
      <c r="AC72" s="154">
        <v>5500000</v>
      </c>
      <c r="AD72" s="130" t="s">
        <v>121</v>
      </c>
      <c r="AE72" s="154">
        <v>0</v>
      </c>
      <c r="AF72" s="154">
        <v>1355300</v>
      </c>
      <c r="AG72" s="154">
        <v>0</v>
      </c>
      <c r="AH72" s="153">
        <v>46149</v>
      </c>
      <c r="AI72" s="130" t="s">
        <v>122</v>
      </c>
      <c r="AJ72" s="154">
        <v>1355300</v>
      </c>
      <c r="AK72" s="130">
        <v>0.19</v>
      </c>
      <c r="AL72" s="130">
        <v>0.2</v>
      </c>
      <c r="AM72" s="154">
        <v>309250</v>
      </c>
      <c r="AN72" s="154">
        <v>0</v>
      </c>
      <c r="AO72" s="155" t="s">
        <v>273</v>
      </c>
      <c r="AP72" s="155" t="s">
        <v>32</v>
      </c>
      <c r="AQ72" s="155">
        <v>7</v>
      </c>
      <c r="AR72" s="155" t="s">
        <v>1495</v>
      </c>
      <c r="AS72" s="155" t="s">
        <v>883</v>
      </c>
      <c r="AT72" s="155" t="s">
        <v>778</v>
      </c>
      <c r="AU72" s="155" t="b">
        <v>0</v>
      </c>
      <c r="AV72" s="156">
        <f t="shared" ca="1" si="2"/>
        <v>0</v>
      </c>
      <c r="AW72" s="156">
        <f t="shared" ca="1" si="3"/>
        <v>0</v>
      </c>
    </row>
    <row r="73" spans="1:49" x14ac:dyDescent="0.25">
      <c r="A73" s="131" t="s">
        <v>197</v>
      </c>
      <c r="B73" s="132" t="s">
        <v>592</v>
      </c>
      <c r="C73" s="132" t="s">
        <v>207</v>
      </c>
      <c r="D73" s="132" t="s">
        <v>56</v>
      </c>
      <c r="E73" s="132" t="s">
        <v>45</v>
      </c>
      <c r="F73" s="132" t="s">
        <v>1504</v>
      </c>
      <c r="G73" s="132" t="s">
        <v>1505</v>
      </c>
      <c r="H73" s="157">
        <v>44637</v>
      </c>
      <c r="I73" s="157">
        <v>46128</v>
      </c>
      <c r="J73" s="132" t="s">
        <v>7</v>
      </c>
      <c r="K73" s="132" t="s">
        <v>120</v>
      </c>
      <c r="L73" s="132" t="s">
        <v>21</v>
      </c>
      <c r="M73" s="132" t="s">
        <v>1506</v>
      </c>
      <c r="N73" s="132" t="s">
        <v>0</v>
      </c>
      <c r="O73" s="132" t="s">
        <v>1507</v>
      </c>
      <c r="P73" s="132" t="s">
        <v>1507</v>
      </c>
      <c r="Q73" s="132" t="s">
        <v>1507</v>
      </c>
      <c r="R73" s="132"/>
      <c r="S73" s="158">
        <v>0</v>
      </c>
      <c r="T73" s="158">
        <v>1943935</v>
      </c>
      <c r="U73" s="158">
        <v>0</v>
      </c>
      <c r="V73" s="158">
        <v>1943935</v>
      </c>
      <c r="W73" s="158">
        <v>0</v>
      </c>
      <c r="X73" s="158">
        <v>1943935</v>
      </c>
      <c r="Y73" s="132" t="s">
        <v>40</v>
      </c>
      <c r="Z73" s="158">
        <v>0</v>
      </c>
      <c r="AA73" s="157">
        <v>46173</v>
      </c>
      <c r="AB73" s="158">
        <v>1943935</v>
      </c>
      <c r="AC73" s="158">
        <v>1943935</v>
      </c>
      <c r="AD73" s="132" t="s">
        <v>121</v>
      </c>
      <c r="AE73" s="158">
        <v>0</v>
      </c>
      <c r="AF73" s="158">
        <v>0</v>
      </c>
      <c r="AG73" s="158">
        <v>0</v>
      </c>
      <c r="AH73" s="157">
        <v>46173</v>
      </c>
      <c r="AI73" s="132" t="s">
        <v>9</v>
      </c>
      <c r="AJ73" s="158"/>
      <c r="AK73" s="132">
        <v>0</v>
      </c>
      <c r="AL73" s="132">
        <v>0</v>
      </c>
      <c r="AM73" s="158">
        <v>0</v>
      </c>
      <c r="AN73" s="158">
        <v>0</v>
      </c>
      <c r="AO73" s="155" t="s">
        <v>265</v>
      </c>
      <c r="AP73" s="155" t="s">
        <v>288</v>
      </c>
      <c r="AQ73" s="155">
        <v>31</v>
      </c>
      <c r="AR73" s="155" t="s">
        <v>1495</v>
      </c>
      <c r="AS73" s="155" t="s">
        <v>883</v>
      </c>
      <c r="AT73" s="155" t="s">
        <v>778</v>
      </c>
      <c r="AU73" s="155" t="b">
        <v>0</v>
      </c>
      <c r="AV73" s="156">
        <f t="shared" ca="1" si="2"/>
        <v>0</v>
      </c>
      <c r="AW73" s="156">
        <f t="shared" ca="1" si="3"/>
        <v>0</v>
      </c>
    </row>
    <row r="74" spans="1:49" x14ac:dyDescent="0.25">
      <c r="A74" s="129" t="s">
        <v>169</v>
      </c>
      <c r="B74" s="130" t="s">
        <v>594</v>
      </c>
      <c r="C74" s="130" t="s">
        <v>171</v>
      </c>
      <c r="D74" s="130" t="s">
        <v>57</v>
      </c>
      <c r="E74" s="130" t="s">
        <v>45</v>
      </c>
      <c r="F74" s="130" t="s">
        <v>1165</v>
      </c>
      <c r="G74" s="130" t="s">
        <v>1166</v>
      </c>
      <c r="H74" s="153">
        <v>44670</v>
      </c>
      <c r="I74" s="153">
        <v>46129</v>
      </c>
      <c r="J74" s="130" t="s">
        <v>7</v>
      </c>
      <c r="K74" s="130" t="s">
        <v>120</v>
      </c>
      <c r="L74" s="130" t="s">
        <v>21</v>
      </c>
      <c r="M74" s="130" t="s">
        <v>1167</v>
      </c>
      <c r="N74" s="130" t="s">
        <v>0</v>
      </c>
      <c r="O74" s="130" t="s">
        <v>1168</v>
      </c>
      <c r="P74" s="130" t="s">
        <v>1168</v>
      </c>
      <c r="Q74" s="130" t="s">
        <v>1168</v>
      </c>
      <c r="R74" s="130"/>
      <c r="S74" s="154">
        <v>0</v>
      </c>
      <c r="T74" s="154">
        <v>1022083</v>
      </c>
      <c r="U74" s="154">
        <v>0</v>
      </c>
      <c r="V74" s="154">
        <v>1022083</v>
      </c>
      <c r="W74" s="154">
        <v>100000</v>
      </c>
      <c r="X74" s="154">
        <v>922083</v>
      </c>
      <c r="Y74" s="130" t="s">
        <v>16</v>
      </c>
      <c r="Z74" s="154">
        <v>0</v>
      </c>
      <c r="AA74" s="153">
        <v>46154</v>
      </c>
      <c r="AB74" s="154">
        <v>923000</v>
      </c>
      <c r="AC74" s="154">
        <v>923000</v>
      </c>
      <c r="AD74" s="130" t="s">
        <v>121</v>
      </c>
      <c r="AE74" s="154">
        <v>0</v>
      </c>
      <c r="AF74" s="154">
        <v>0</v>
      </c>
      <c r="AG74" s="154">
        <v>0</v>
      </c>
      <c r="AH74" s="153">
        <v>46154</v>
      </c>
      <c r="AI74" s="130" t="s">
        <v>122</v>
      </c>
      <c r="AJ74" s="154"/>
      <c r="AK74" s="130">
        <v>0</v>
      </c>
      <c r="AL74" s="130">
        <v>0</v>
      </c>
      <c r="AM74" s="154">
        <v>99083</v>
      </c>
      <c r="AN74" s="154">
        <v>-917</v>
      </c>
      <c r="AO74" s="155" t="s">
        <v>228</v>
      </c>
      <c r="AP74" s="155" t="s">
        <v>8</v>
      </c>
      <c r="AQ74" s="155">
        <v>12</v>
      </c>
      <c r="AR74" s="155" t="s">
        <v>1495</v>
      </c>
      <c r="AS74" s="155" t="s">
        <v>883</v>
      </c>
      <c r="AT74" s="155" t="s">
        <v>778</v>
      </c>
      <c r="AU74" s="155" t="b">
        <v>0</v>
      </c>
      <c r="AV74" s="156">
        <f t="shared" ca="1" si="2"/>
        <v>0</v>
      </c>
      <c r="AW74" s="156">
        <f t="shared" ca="1" si="3"/>
        <v>0</v>
      </c>
    </row>
    <row r="75" spans="1:49" x14ac:dyDescent="0.25">
      <c r="A75" s="131" t="s">
        <v>138</v>
      </c>
      <c r="B75" s="132" t="s">
        <v>561</v>
      </c>
      <c r="C75" s="132" t="s">
        <v>144</v>
      </c>
      <c r="D75" s="132" t="s">
        <v>46</v>
      </c>
      <c r="E75" s="132" t="s">
        <v>45</v>
      </c>
      <c r="F75" s="132" t="s">
        <v>1305</v>
      </c>
      <c r="G75" s="132" t="s">
        <v>1306</v>
      </c>
      <c r="H75" s="157">
        <v>44672</v>
      </c>
      <c r="I75" s="157">
        <v>46132</v>
      </c>
      <c r="J75" s="132" t="s">
        <v>7</v>
      </c>
      <c r="K75" s="132" t="s">
        <v>120</v>
      </c>
      <c r="L75" s="132" t="s">
        <v>21</v>
      </c>
      <c r="M75" s="132" t="s">
        <v>1307</v>
      </c>
      <c r="N75" s="132" t="s">
        <v>0</v>
      </c>
      <c r="O75" s="132" t="s">
        <v>1308</v>
      </c>
      <c r="P75" s="132" t="s">
        <v>1308</v>
      </c>
      <c r="Q75" s="132" t="s">
        <v>1309</v>
      </c>
      <c r="R75" s="132"/>
      <c r="S75" s="158">
        <v>0</v>
      </c>
      <c r="T75" s="158">
        <v>199531.25</v>
      </c>
      <c r="U75" s="158">
        <v>0</v>
      </c>
      <c r="V75" s="158">
        <v>199531.25</v>
      </c>
      <c r="W75" s="158">
        <v>0</v>
      </c>
      <c r="X75" s="158">
        <v>199531.25</v>
      </c>
      <c r="Y75" s="132" t="s">
        <v>16</v>
      </c>
      <c r="Z75" s="158">
        <v>0</v>
      </c>
      <c r="AA75" s="157">
        <v>46163</v>
      </c>
      <c r="AB75" s="158">
        <v>200000</v>
      </c>
      <c r="AC75" s="158">
        <v>200000</v>
      </c>
      <c r="AD75" s="132" t="s">
        <v>123</v>
      </c>
      <c r="AE75" s="158">
        <v>0</v>
      </c>
      <c r="AF75" s="158">
        <v>0</v>
      </c>
      <c r="AG75" s="158">
        <v>0</v>
      </c>
      <c r="AH75" s="157">
        <v>46163</v>
      </c>
      <c r="AI75" s="132" t="s">
        <v>122</v>
      </c>
      <c r="AJ75" s="158"/>
      <c r="AK75" s="132">
        <v>0</v>
      </c>
      <c r="AL75" s="132">
        <v>0</v>
      </c>
      <c r="AM75" s="158">
        <v>-468.75</v>
      </c>
      <c r="AN75" s="158">
        <v>-468.75</v>
      </c>
      <c r="AO75" s="155" t="s">
        <v>246</v>
      </c>
      <c r="AP75" s="155" t="s">
        <v>331</v>
      </c>
      <c r="AQ75" s="155">
        <v>21</v>
      </c>
      <c r="AR75" s="155" t="s">
        <v>1495</v>
      </c>
      <c r="AS75" s="155" t="s">
        <v>883</v>
      </c>
      <c r="AT75" s="155" t="s">
        <v>778</v>
      </c>
      <c r="AU75" s="155" t="b">
        <v>0</v>
      </c>
      <c r="AV75" s="156">
        <f t="shared" ca="1" si="2"/>
        <v>0</v>
      </c>
      <c r="AW75" s="156">
        <f t="shared" ca="1" si="3"/>
        <v>0</v>
      </c>
    </row>
    <row r="76" spans="1:49" x14ac:dyDescent="0.25">
      <c r="A76" s="129" t="s">
        <v>161</v>
      </c>
      <c r="B76" s="130" t="s">
        <v>599</v>
      </c>
      <c r="C76" s="130" t="s">
        <v>164</v>
      </c>
      <c r="D76" s="130" t="s">
        <v>165</v>
      </c>
      <c r="E76" s="130" t="s">
        <v>45</v>
      </c>
      <c r="F76" s="130" t="s">
        <v>1369</v>
      </c>
      <c r="G76" s="130" t="s">
        <v>1370</v>
      </c>
      <c r="H76" s="153">
        <v>44732</v>
      </c>
      <c r="I76" s="153">
        <v>46133</v>
      </c>
      <c r="J76" s="130" t="s">
        <v>7</v>
      </c>
      <c r="K76" s="130" t="s">
        <v>120</v>
      </c>
      <c r="L76" s="130" t="s">
        <v>21</v>
      </c>
      <c r="M76" s="130" t="s">
        <v>1371</v>
      </c>
      <c r="N76" s="130" t="s">
        <v>0</v>
      </c>
      <c r="O76" s="130" t="s">
        <v>1372</v>
      </c>
      <c r="P76" s="130" t="s">
        <v>1372</v>
      </c>
      <c r="Q76" s="130" t="s">
        <v>1373</v>
      </c>
      <c r="R76" s="130"/>
      <c r="S76" s="154">
        <v>0</v>
      </c>
      <c r="T76" s="154">
        <v>22060</v>
      </c>
      <c r="U76" s="154">
        <v>0</v>
      </c>
      <c r="V76" s="154">
        <v>22060</v>
      </c>
      <c r="W76" s="154">
        <v>0</v>
      </c>
      <c r="X76" s="154">
        <v>22060</v>
      </c>
      <c r="Y76" s="130" t="s">
        <v>16</v>
      </c>
      <c r="Z76" s="154">
        <v>0</v>
      </c>
      <c r="AA76" s="153">
        <v>46167</v>
      </c>
      <c r="AB76" s="154">
        <v>22060</v>
      </c>
      <c r="AC76" s="154">
        <v>22060</v>
      </c>
      <c r="AD76" s="130" t="s">
        <v>121</v>
      </c>
      <c r="AE76" s="154">
        <v>0</v>
      </c>
      <c r="AF76" s="154">
        <v>0</v>
      </c>
      <c r="AG76" s="154">
        <v>0</v>
      </c>
      <c r="AH76" s="153">
        <v>46168</v>
      </c>
      <c r="AI76" s="130" t="s">
        <v>122</v>
      </c>
      <c r="AJ76" s="154"/>
      <c r="AK76" s="130">
        <v>0</v>
      </c>
      <c r="AL76" s="130">
        <v>0</v>
      </c>
      <c r="AM76" s="154">
        <v>0</v>
      </c>
      <c r="AN76" s="154">
        <v>0</v>
      </c>
      <c r="AO76" s="155" t="s">
        <v>252</v>
      </c>
      <c r="AP76" s="155" t="s">
        <v>24</v>
      </c>
      <c r="AQ76" s="155">
        <v>25</v>
      </c>
      <c r="AR76" s="155" t="s">
        <v>1495</v>
      </c>
      <c r="AS76" s="155" t="s">
        <v>883</v>
      </c>
      <c r="AT76" s="155" t="s">
        <v>778</v>
      </c>
      <c r="AU76" s="155" t="b">
        <v>0</v>
      </c>
      <c r="AV76" s="156">
        <f t="shared" ca="1" si="2"/>
        <v>0</v>
      </c>
      <c r="AW76" s="156">
        <f t="shared" ca="1" si="3"/>
        <v>0</v>
      </c>
    </row>
    <row r="77" spans="1:49" x14ac:dyDescent="0.25">
      <c r="A77" s="131" t="s">
        <v>197</v>
      </c>
      <c r="B77" s="132" t="s">
        <v>592</v>
      </c>
      <c r="C77" s="132" t="s">
        <v>207</v>
      </c>
      <c r="D77" s="132" t="s">
        <v>56</v>
      </c>
      <c r="E77" s="132" t="s">
        <v>45</v>
      </c>
      <c r="F77" s="132" t="s">
        <v>1346</v>
      </c>
      <c r="G77" s="132" t="s">
        <v>1347</v>
      </c>
      <c r="H77" s="157">
        <v>44673</v>
      </c>
      <c r="I77" s="157">
        <v>46135</v>
      </c>
      <c r="J77" s="132" t="s">
        <v>7</v>
      </c>
      <c r="K77" s="132" t="s">
        <v>120</v>
      </c>
      <c r="L77" s="132" t="s">
        <v>21</v>
      </c>
      <c r="M77" s="132" t="s">
        <v>1348</v>
      </c>
      <c r="N77" s="132" t="s">
        <v>0</v>
      </c>
      <c r="O77" s="132" t="s">
        <v>1349</v>
      </c>
      <c r="P77" s="132" t="s">
        <v>1350</v>
      </c>
      <c r="Q77" s="132" t="s">
        <v>1351</v>
      </c>
      <c r="R77" s="132"/>
      <c r="S77" s="158">
        <v>0</v>
      </c>
      <c r="T77" s="158">
        <v>39790</v>
      </c>
      <c r="U77" s="158">
        <v>0</v>
      </c>
      <c r="V77" s="158">
        <v>39790</v>
      </c>
      <c r="W77" s="158">
        <v>40000</v>
      </c>
      <c r="X77" s="158">
        <v>-210</v>
      </c>
      <c r="Y77" s="132" t="s">
        <v>40</v>
      </c>
      <c r="Z77" s="158">
        <v>0</v>
      </c>
      <c r="AA77" s="157">
        <v>46166</v>
      </c>
      <c r="AB77" s="158">
        <v>50000</v>
      </c>
      <c r="AC77" s="158">
        <v>50000</v>
      </c>
      <c r="AD77" s="132" t="s">
        <v>121</v>
      </c>
      <c r="AE77" s="158">
        <v>0</v>
      </c>
      <c r="AF77" s="158">
        <v>0</v>
      </c>
      <c r="AG77" s="158">
        <v>0</v>
      </c>
      <c r="AH77" s="157">
        <v>46135</v>
      </c>
      <c r="AI77" s="132" t="s">
        <v>9</v>
      </c>
      <c r="AJ77" s="158"/>
      <c r="AK77" s="132">
        <v>0</v>
      </c>
      <c r="AL77" s="132">
        <v>0</v>
      </c>
      <c r="AM77" s="158">
        <v>-10210</v>
      </c>
      <c r="AN77" s="158">
        <v>-50210</v>
      </c>
      <c r="AO77" s="155" t="s">
        <v>265</v>
      </c>
      <c r="AP77" s="155" t="s">
        <v>288</v>
      </c>
      <c r="AQ77" s="155">
        <v>24</v>
      </c>
      <c r="AR77" s="155" t="s">
        <v>1495</v>
      </c>
      <c r="AS77" s="155" t="s">
        <v>883</v>
      </c>
      <c r="AT77" s="155" t="s">
        <v>778</v>
      </c>
      <c r="AU77" s="155" t="b">
        <v>0</v>
      </c>
      <c r="AV77" s="156">
        <f t="shared" ca="1" si="2"/>
        <v>0</v>
      </c>
      <c r="AW77" s="156">
        <f t="shared" ca="1" si="3"/>
        <v>0</v>
      </c>
    </row>
    <row r="78" spans="1:49" x14ac:dyDescent="0.25">
      <c r="A78" s="129" t="s">
        <v>138</v>
      </c>
      <c r="B78" s="130" t="s">
        <v>573</v>
      </c>
      <c r="C78" s="130" t="s">
        <v>148</v>
      </c>
      <c r="D78" s="130" t="s">
        <v>51</v>
      </c>
      <c r="E78" s="130" t="s">
        <v>45</v>
      </c>
      <c r="F78" s="130" t="s">
        <v>930</v>
      </c>
      <c r="G78" s="130" t="s">
        <v>931</v>
      </c>
      <c r="H78" s="153">
        <v>44651</v>
      </c>
      <c r="I78" s="153">
        <v>46139</v>
      </c>
      <c r="J78" s="130" t="s">
        <v>7</v>
      </c>
      <c r="K78" s="130" t="s">
        <v>129</v>
      </c>
      <c r="L78" s="130" t="s">
        <v>21</v>
      </c>
      <c r="M78" s="130" t="s">
        <v>932</v>
      </c>
      <c r="N78" s="130" t="s">
        <v>0</v>
      </c>
      <c r="O78" s="130" t="s">
        <v>933</v>
      </c>
      <c r="P78" s="130" t="s">
        <v>933</v>
      </c>
      <c r="Q78" s="130" t="s">
        <v>934</v>
      </c>
      <c r="R78" s="130"/>
      <c r="S78" s="154">
        <v>0</v>
      </c>
      <c r="T78" s="154">
        <v>1015900</v>
      </c>
      <c r="U78" s="154">
        <v>2012815</v>
      </c>
      <c r="V78" s="154">
        <v>3028715</v>
      </c>
      <c r="W78" s="154">
        <v>468940</v>
      </c>
      <c r="X78" s="154">
        <v>2559775</v>
      </c>
      <c r="Y78" s="130" t="s">
        <v>16</v>
      </c>
      <c r="Z78" s="154">
        <v>0</v>
      </c>
      <c r="AA78" s="153">
        <v>46146</v>
      </c>
      <c r="AB78" s="154">
        <v>2560000</v>
      </c>
      <c r="AC78" s="154">
        <v>2560000</v>
      </c>
      <c r="AD78" s="130" t="s">
        <v>121</v>
      </c>
      <c r="AE78" s="154">
        <v>0</v>
      </c>
      <c r="AF78" s="154">
        <v>0</v>
      </c>
      <c r="AG78" s="154">
        <v>0</v>
      </c>
      <c r="AH78" s="153">
        <v>46146</v>
      </c>
      <c r="AI78" s="130" t="s">
        <v>122</v>
      </c>
      <c r="AJ78" s="154"/>
      <c r="AK78" s="130">
        <v>0</v>
      </c>
      <c r="AL78" s="130">
        <v>0</v>
      </c>
      <c r="AM78" s="154">
        <v>468715</v>
      </c>
      <c r="AN78" s="154">
        <v>-225</v>
      </c>
      <c r="AO78" s="155" t="s">
        <v>246</v>
      </c>
      <c r="AP78" s="155" t="s">
        <v>28</v>
      </c>
      <c r="AQ78" s="155">
        <v>4</v>
      </c>
      <c r="AR78" s="155" t="s">
        <v>1495</v>
      </c>
      <c r="AS78" s="155" t="s">
        <v>883</v>
      </c>
      <c r="AT78" s="155" t="s">
        <v>778</v>
      </c>
      <c r="AU78" s="155" t="b">
        <v>0</v>
      </c>
      <c r="AV78" s="156">
        <f t="shared" ca="1" si="2"/>
        <v>1</v>
      </c>
      <c r="AW78" s="156">
        <f t="shared" ca="1" si="3"/>
        <v>0</v>
      </c>
    </row>
    <row r="79" spans="1:49" x14ac:dyDescent="0.25">
      <c r="A79" s="131" t="s">
        <v>197</v>
      </c>
      <c r="B79" s="132" t="s">
        <v>597</v>
      </c>
      <c r="C79" s="132" t="s">
        <v>200</v>
      </c>
      <c r="D79" s="132" t="s">
        <v>79</v>
      </c>
      <c r="E79" s="132" t="s">
        <v>45</v>
      </c>
      <c r="F79" s="132" t="s">
        <v>1018</v>
      </c>
      <c r="G79" s="132" t="s">
        <v>1019</v>
      </c>
      <c r="H79" s="157">
        <v>44734</v>
      </c>
      <c r="I79" s="157">
        <v>46140</v>
      </c>
      <c r="J79" s="132" t="s">
        <v>7</v>
      </c>
      <c r="K79" s="132" t="s">
        <v>120</v>
      </c>
      <c r="L79" s="132" t="s">
        <v>21</v>
      </c>
      <c r="M79" s="132" t="s">
        <v>1020</v>
      </c>
      <c r="N79" s="132" t="s">
        <v>0</v>
      </c>
      <c r="O79" s="132" t="s">
        <v>1021</v>
      </c>
      <c r="P79" s="132" t="s">
        <v>1022</v>
      </c>
      <c r="Q79" s="132" t="s">
        <v>1023</v>
      </c>
      <c r="R79" s="132"/>
      <c r="S79" s="158">
        <v>0</v>
      </c>
      <c r="T79" s="158">
        <v>897000</v>
      </c>
      <c r="U79" s="158">
        <v>0</v>
      </c>
      <c r="V79" s="158">
        <v>897000</v>
      </c>
      <c r="W79" s="158">
        <v>0</v>
      </c>
      <c r="X79" s="158">
        <v>897000</v>
      </c>
      <c r="Y79" s="132" t="s">
        <v>16</v>
      </c>
      <c r="Z79" s="158">
        <v>0</v>
      </c>
      <c r="AA79" s="157">
        <v>46146</v>
      </c>
      <c r="AB79" s="158">
        <v>897000</v>
      </c>
      <c r="AC79" s="158">
        <v>897000</v>
      </c>
      <c r="AD79" s="132" t="s">
        <v>121</v>
      </c>
      <c r="AE79" s="158">
        <v>0</v>
      </c>
      <c r="AF79" s="158">
        <v>0</v>
      </c>
      <c r="AG79" s="158">
        <v>0</v>
      </c>
      <c r="AH79" s="157">
        <v>46146</v>
      </c>
      <c r="AI79" s="132" t="s">
        <v>122</v>
      </c>
      <c r="AJ79" s="158"/>
      <c r="AK79" s="132">
        <v>0</v>
      </c>
      <c r="AL79" s="132">
        <v>0</v>
      </c>
      <c r="AM79" s="158">
        <v>0</v>
      </c>
      <c r="AN79" s="158">
        <v>0</v>
      </c>
      <c r="AO79" s="155" t="s">
        <v>265</v>
      </c>
      <c r="AP79" s="155" t="s">
        <v>43</v>
      </c>
      <c r="AQ79" s="155">
        <v>4</v>
      </c>
      <c r="AR79" s="155" t="s">
        <v>1495</v>
      </c>
      <c r="AS79" s="155" t="s">
        <v>883</v>
      </c>
      <c r="AT79" s="155" t="s">
        <v>778</v>
      </c>
      <c r="AU79" s="155" t="b">
        <v>0</v>
      </c>
      <c r="AV79" s="156">
        <f t="shared" ca="1" si="2"/>
        <v>1</v>
      </c>
      <c r="AW79" s="156">
        <f t="shared" ca="1" si="3"/>
        <v>0</v>
      </c>
    </row>
    <row r="80" spans="1:49" x14ac:dyDescent="0.25">
      <c r="A80" s="129" t="s">
        <v>181</v>
      </c>
      <c r="B80" s="130" t="s">
        <v>582</v>
      </c>
      <c r="C80" s="130" t="s">
        <v>184</v>
      </c>
      <c r="D80" s="130" t="s">
        <v>54</v>
      </c>
      <c r="E80" s="130" t="s">
        <v>45</v>
      </c>
      <c r="F80" s="130" t="s">
        <v>1070</v>
      </c>
      <c r="G80" s="130" t="s">
        <v>1071</v>
      </c>
      <c r="H80" s="153">
        <v>44314</v>
      </c>
      <c r="I80" s="153">
        <v>46141</v>
      </c>
      <c r="J80" s="130" t="s">
        <v>7</v>
      </c>
      <c r="K80" s="130" t="s">
        <v>120</v>
      </c>
      <c r="L80" s="130" t="s">
        <v>20</v>
      </c>
      <c r="M80" s="130" t="s">
        <v>1072</v>
      </c>
      <c r="N80" s="130" t="s">
        <v>0</v>
      </c>
      <c r="O80" s="130" t="s">
        <v>1073</v>
      </c>
      <c r="P80" s="130" t="s">
        <v>1073</v>
      </c>
      <c r="Q80" s="130" t="s">
        <v>1074</v>
      </c>
      <c r="R80" s="130"/>
      <c r="S80" s="154">
        <v>0</v>
      </c>
      <c r="T80" s="154">
        <v>5529700</v>
      </c>
      <c r="U80" s="154">
        <v>0</v>
      </c>
      <c r="V80" s="154">
        <v>5529700</v>
      </c>
      <c r="W80" s="154">
        <v>0</v>
      </c>
      <c r="X80" s="154">
        <v>5529700</v>
      </c>
      <c r="Y80" s="130" t="s">
        <v>16</v>
      </c>
      <c r="Z80" s="154">
        <v>0</v>
      </c>
      <c r="AA80" s="153">
        <v>46164</v>
      </c>
      <c r="AB80" s="154">
        <v>4423800</v>
      </c>
      <c r="AC80" s="154">
        <v>4423800</v>
      </c>
      <c r="AD80" s="130" t="s">
        <v>121</v>
      </c>
      <c r="AE80" s="154">
        <v>0</v>
      </c>
      <c r="AF80" s="154">
        <v>1105940</v>
      </c>
      <c r="AG80" s="154">
        <v>0</v>
      </c>
      <c r="AH80" s="153">
        <v>46167</v>
      </c>
      <c r="AI80" s="130" t="s">
        <v>122</v>
      </c>
      <c r="AJ80" s="154">
        <v>1105940</v>
      </c>
      <c r="AK80" s="130">
        <v>0.2</v>
      </c>
      <c r="AL80" s="130">
        <v>0.2</v>
      </c>
      <c r="AM80" s="154">
        <v>-25040</v>
      </c>
      <c r="AN80" s="154">
        <v>-25040</v>
      </c>
      <c r="AO80" s="155" t="s">
        <v>233</v>
      </c>
      <c r="AP80" s="155" t="s">
        <v>234</v>
      </c>
      <c r="AQ80" s="155">
        <v>22</v>
      </c>
      <c r="AR80" s="155" t="s">
        <v>1495</v>
      </c>
      <c r="AS80" s="155" t="s">
        <v>883</v>
      </c>
      <c r="AT80" s="155" t="s">
        <v>778</v>
      </c>
      <c r="AU80" s="155" t="b">
        <v>0</v>
      </c>
      <c r="AV80" s="156">
        <f t="shared" ca="1" si="2"/>
        <v>0</v>
      </c>
      <c r="AW80" s="156">
        <f t="shared" ca="1" si="3"/>
        <v>0</v>
      </c>
    </row>
    <row r="81" spans="1:49" x14ac:dyDescent="0.25">
      <c r="A81" s="131" t="s">
        <v>138</v>
      </c>
      <c r="B81" s="132" t="s">
        <v>573</v>
      </c>
      <c r="C81" s="132" t="s">
        <v>148</v>
      </c>
      <c r="D81" s="132" t="s">
        <v>51</v>
      </c>
      <c r="E81" s="132" t="s">
        <v>45</v>
      </c>
      <c r="F81" s="132" t="s">
        <v>897</v>
      </c>
      <c r="G81" s="132" t="s">
        <v>898</v>
      </c>
      <c r="H81" s="157">
        <v>44701</v>
      </c>
      <c r="I81" s="157">
        <v>46141</v>
      </c>
      <c r="J81" s="132" t="s">
        <v>7</v>
      </c>
      <c r="K81" s="132" t="s">
        <v>120</v>
      </c>
      <c r="L81" s="132" t="s">
        <v>21</v>
      </c>
      <c r="M81" s="132" t="s">
        <v>899</v>
      </c>
      <c r="N81" s="132" t="s">
        <v>0</v>
      </c>
      <c r="O81" s="132" t="s">
        <v>900</v>
      </c>
      <c r="P81" s="132" t="s">
        <v>900</v>
      </c>
      <c r="Q81" s="132" t="s">
        <v>901</v>
      </c>
      <c r="R81" s="132"/>
      <c r="S81" s="158">
        <v>0</v>
      </c>
      <c r="T81" s="158">
        <v>29280</v>
      </c>
      <c r="U81" s="158">
        <v>0</v>
      </c>
      <c r="V81" s="158">
        <v>29280</v>
      </c>
      <c r="W81" s="158">
        <v>20580</v>
      </c>
      <c r="X81" s="158">
        <v>8700</v>
      </c>
      <c r="Y81" s="132" t="s">
        <v>16</v>
      </c>
      <c r="Z81" s="158">
        <v>0</v>
      </c>
      <c r="AA81" s="157">
        <v>46146</v>
      </c>
      <c r="AB81" s="158">
        <v>11000</v>
      </c>
      <c r="AC81" s="158">
        <v>11000</v>
      </c>
      <c r="AD81" s="132" t="s">
        <v>121</v>
      </c>
      <c r="AE81" s="158">
        <v>0</v>
      </c>
      <c r="AF81" s="158">
        <v>0</v>
      </c>
      <c r="AG81" s="158">
        <v>0</v>
      </c>
      <c r="AH81" s="157">
        <v>46146</v>
      </c>
      <c r="AI81" s="132" t="s">
        <v>122</v>
      </c>
      <c r="AJ81" s="158"/>
      <c r="AK81" s="132">
        <v>0</v>
      </c>
      <c r="AL81" s="132">
        <v>0</v>
      </c>
      <c r="AM81" s="158">
        <v>18280</v>
      </c>
      <c r="AN81" s="158">
        <v>-2300</v>
      </c>
      <c r="AO81" s="155" t="s">
        <v>246</v>
      </c>
      <c r="AP81" s="155" t="s">
        <v>28</v>
      </c>
      <c r="AQ81" s="155">
        <v>4</v>
      </c>
      <c r="AR81" s="155" t="s">
        <v>1495</v>
      </c>
      <c r="AS81" s="155" t="s">
        <v>883</v>
      </c>
      <c r="AT81" s="155" t="s">
        <v>778</v>
      </c>
      <c r="AU81" s="155" t="b">
        <v>0</v>
      </c>
      <c r="AV81" s="156">
        <f t="shared" ca="1" si="2"/>
        <v>1</v>
      </c>
      <c r="AW81" s="156">
        <f t="shared" ca="1" si="3"/>
        <v>0</v>
      </c>
    </row>
    <row r="82" spans="1:49" x14ac:dyDescent="0.25">
      <c r="A82" s="129" t="s">
        <v>126</v>
      </c>
      <c r="B82" s="130" t="s">
        <v>570</v>
      </c>
      <c r="C82" s="130" t="s">
        <v>127</v>
      </c>
      <c r="D82" s="130" t="s">
        <v>49</v>
      </c>
      <c r="E82" s="130" t="s">
        <v>45</v>
      </c>
      <c r="F82" s="130" t="s">
        <v>1126</v>
      </c>
      <c r="G82" s="130" t="s">
        <v>1127</v>
      </c>
      <c r="H82" s="153">
        <v>44551</v>
      </c>
      <c r="I82" s="153">
        <v>46141</v>
      </c>
      <c r="J82" s="130" t="s">
        <v>7</v>
      </c>
      <c r="K82" s="130" t="s">
        <v>120</v>
      </c>
      <c r="L82" s="130" t="s">
        <v>20</v>
      </c>
      <c r="M82" s="130" t="s">
        <v>1128</v>
      </c>
      <c r="N82" s="130" t="s">
        <v>0</v>
      </c>
      <c r="O82" s="130" t="s">
        <v>1129</v>
      </c>
      <c r="P82" s="130" t="s">
        <v>1129</v>
      </c>
      <c r="Q82" s="130" t="s">
        <v>1130</v>
      </c>
      <c r="R82" s="130"/>
      <c r="S82" s="154">
        <v>0</v>
      </c>
      <c r="T82" s="154">
        <v>7473750</v>
      </c>
      <c r="U82" s="154">
        <v>13636187.5</v>
      </c>
      <c r="V82" s="154">
        <v>21109937.5</v>
      </c>
      <c r="W82" s="154">
        <v>30000</v>
      </c>
      <c r="X82" s="154">
        <v>21079937.5</v>
      </c>
      <c r="Y82" s="130" t="s">
        <v>16</v>
      </c>
      <c r="Z82" s="154">
        <v>0</v>
      </c>
      <c r="AA82" s="153">
        <v>46153</v>
      </c>
      <c r="AB82" s="154">
        <v>13722000</v>
      </c>
      <c r="AC82" s="154">
        <v>13722000</v>
      </c>
      <c r="AD82" s="130" t="s">
        <v>123</v>
      </c>
      <c r="AE82" s="154">
        <v>0</v>
      </c>
      <c r="AF82" s="154">
        <v>14775875</v>
      </c>
      <c r="AG82" s="154">
        <v>-21109937.5</v>
      </c>
      <c r="AH82" s="153">
        <v>46154</v>
      </c>
      <c r="AI82" s="130" t="s">
        <v>122</v>
      </c>
      <c r="AJ82" s="154">
        <v>7387937.5</v>
      </c>
      <c r="AK82" s="130">
        <v>0.35</v>
      </c>
      <c r="AL82" s="130">
        <v>0.35</v>
      </c>
      <c r="AM82" s="154">
        <v>0</v>
      </c>
      <c r="AN82" s="154">
        <v>-30000</v>
      </c>
      <c r="AO82" s="155" t="s">
        <v>257</v>
      </c>
      <c r="AP82" s="155" t="s">
        <v>30</v>
      </c>
      <c r="AQ82" s="155">
        <v>11</v>
      </c>
      <c r="AR82" s="155" t="s">
        <v>1495</v>
      </c>
      <c r="AS82" s="155" t="s">
        <v>883</v>
      </c>
      <c r="AT82" s="155" t="s">
        <v>778</v>
      </c>
      <c r="AU82" s="155" t="b">
        <v>0</v>
      </c>
      <c r="AV82" s="156">
        <f t="shared" ca="1" si="2"/>
        <v>0</v>
      </c>
      <c r="AW82" s="156">
        <f t="shared" ca="1" si="3"/>
        <v>0</v>
      </c>
    </row>
    <row r="83" spans="1:49" x14ac:dyDescent="0.25">
      <c r="A83" s="131" t="s">
        <v>197</v>
      </c>
      <c r="B83" s="132" t="s">
        <v>617</v>
      </c>
      <c r="C83" s="132" t="s">
        <v>201</v>
      </c>
      <c r="D83" s="132" t="s">
        <v>83</v>
      </c>
      <c r="E83" s="132" t="s">
        <v>45</v>
      </c>
      <c r="F83" s="132" t="s">
        <v>1273</v>
      </c>
      <c r="G83" s="132" t="s">
        <v>1274</v>
      </c>
      <c r="H83" s="157">
        <v>44651</v>
      </c>
      <c r="I83" s="157">
        <v>46142</v>
      </c>
      <c r="J83" s="132" t="s">
        <v>7</v>
      </c>
      <c r="K83" s="132" t="s">
        <v>120</v>
      </c>
      <c r="L83" s="132" t="s">
        <v>21</v>
      </c>
      <c r="M83" s="132" t="s">
        <v>1275</v>
      </c>
      <c r="N83" s="132" t="s">
        <v>1276</v>
      </c>
      <c r="O83" s="132" t="s">
        <v>1277</v>
      </c>
      <c r="P83" s="132" t="s">
        <v>1277</v>
      </c>
      <c r="Q83" s="132" t="s">
        <v>1278</v>
      </c>
      <c r="R83" s="132"/>
      <c r="S83" s="158">
        <v>0</v>
      </c>
      <c r="T83" s="158">
        <v>2105000</v>
      </c>
      <c r="U83" s="158">
        <v>0</v>
      </c>
      <c r="V83" s="158">
        <v>2105000</v>
      </c>
      <c r="W83" s="158">
        <v>0</v>
      </c>
      <c r="X83" s="158">
        <v>2105000</v>
      </c>
      <c r="Y83" s="132" t="s">
        <v>16</v>
      </c>
      <c r="Z83" s="158">
        <v>0</v>
      </c>
      <c r="AA83" s="157">
        <v>46161</v>
      </c>
      <c r="AB83" s="158">
        <v>2105000</v>
      </c>
      <c r="AC83" s="158">
        <v>2105000</v>
      </c>
      <c r="AD83" s="132" t="s">
        <v>123</v>
      </c>
      <c r="AE83" s="158">
        <v>0</v>
      </c>
      <c r="AF83" s="158">
        <v>0</v>
      </c>
      <c r="AG83" s="158">
        <v>0</v>
      </c>
      <c r="AH83" s="157">
        <v>46161</v>
      </c>
      <c r="AI83" s="132" t="s">
        <v>122</v>
      </c>
      <c r="AJ83" s="158"/>
      <c r="AK83" s="132">
        <v>0</v>
      </c>
      <c r="AL83" s="132">
        <v>0</v>
      </c>
      <c r="AM83" s="158">
        <v>0</v>
      </c>
      <c r="AN83" s="158">
        <v>0</v>
      </c>
      <c r="AO83" s="155" t="s">
        <v>295</v>
      </c>
      <c r="AP83" s="155" t="s">
        <v>362</v>
      </c>
      <c r="AQ83" s="155">
        <v>19</v>
      </c>
      <c r="AR83" s="155" t="s">
        <v>1495</v>
      </c>
      <c r="AS83" s="155" t="s">
        <v>883</v>
      </c>
      <c r="AT83" s="155" t="s">
        <v>778</v>
      </c>
      <c r="AU83" s="155" t="b">
        <v>0</v>
      </c>
      <c r="AV83" s="156">
        <f t="shared" ca="1" si="2"/>
        <v>0</v>
      </c>
      <c r="AW83" s="156">
        <f t="shared" ca="1" si="3"/>
        <v>0</v>
      </c>
    </row>
    <row r="84" spans="1:49" x14ac:dyDescent="0.25">
      <c r="A84" s="129" t="s">
        <v>161</v>
      </c>
      <c r="B84" s="130" t="s">
        <v>591</v>
      </c>
      <c r="C84" s="130" t="s">
        <v>162</v>
      </c>
      <c r="D84" s="130" t="s">
        <v>163</v>
      </c>
      <c r="E84" s="130" t="s">
        <v>45</v>
      </c>
      <c r="F84" s="130" t="s">
        <v>1147</v>
      </c>
      <c r="G84" s="130" t="s">
        <v>1148</v>
      </c>
      <c r="H84" s="153">
        <v>44607</v>
      </c>
      <c r="I84" s="153">
        <v>46142</v>
      </c>
      <c r="J84" s="130" t="s">
        <v>7</v>
      </c>
      <c r="K84" s="130" t="s">
        <v>120</v>
      </c>
      <c r="L84" s="130" t="s">
        <v>21</v>
      </c>
      <c r="M84" s="130" t="s">
        <v>1149</v>
      </c>
      <c r="N84" s="130" t="s">
        <v>0</v>
      </c>
      <c r="O84" s="130" t="s">
        <v>1150</v>
      </c>
      <c r="P84" s="130" t="s">
        <v>1151</v>
      </c>
      <c r="Q84" s="130" t="s">
        <v>1152</v>
      </c>
      <c r="R84" s="130"/>
      <c r="S84" s="154">
        <v>0</v>
      </c>
      <c r="T84" s="154">
        <v>1584250</v>
      </c>
      <c r="U84" s="154">
        <v>7186865</v>
      </c>
      <c r="V84" s="154">
        <v>8771115</v>
      </c>
      <c r="W84" s="154">
        <v>310300</v>
      </c>
      <c r="X84" s="154">
        <v>8460815</v>
      </c>
      <c r="Y84" s="130" t="s">
        <v>16</v>
      </c>
      <c r="Z84" s="154">
        <v>0</v>
      </c>
      <c r="AA84" s="153">
        <v>46154</v>
      </c>
      <c r="AB84" s="154">
        <v>7018000</v>
      </c>
      <c r="AC84" s="154">
        <v>7018000</v>
      </c>
      <c r="AD84" s="130" t="s">
        <v>121</v>
      </c>
      <c r="AE84" s="154">
        <v>0</v>
      </c>
      <c r="AF84" s="154">
        <v>1442815</v>
      </c>
      <c r="AG84" s="154">
        <v>0</v>
      </c>
      <c r="AH84" s="153">
        <v>46155</v>
      </c>
      <c r="AI84" s="130" t="s">
        <v>122</v>
      </c>
      <c r="AJ84" s="154">
        <v>1442815</v>
      </c>
      <c r="AK84" s="130">
        <v>0.16</v>
      </c>
      <c r="AL84" s="130">
        <v>0.17</v>
      </c>
      <c r="AM84" s="154">
        <v>310300</v>
      </c>
      <c r="AN84" s="154">
        <v>0</v>
      </c>
      <c r="AO84" s="155" t="s">
        <v>252</v>
      </c>
      <c r="AP84" s="155" t="s">
        <v>36</v>
      </c>
      <c r="AQ84" s="155">
        <v>12</v>
      </c>
      <c r="AR84" s="155" t="s">
        <v>1495</v>
      </c>
      <c r="AS84" s="155" t="s">
        <v>883</v>
      </c>
      <c r="AT84" s="155" t="s">
        <v>778</v>
      </c>
      <c r="AU84" s="155" t="b">
        <v>0</v>
      </c>
      <c r="AV84" s="156">
        <f t="shared" ca="1" si="2"/>
        <v>0</v>
      </c>
      <c r="AW84" s="156">
        <f t="shared" ca="1" si="3"/>
        <v>0</v>
      </c>
    </row>
    <row r="85" spans="1:49" x14ac:dyDescent="0.25">
      <c r="A85" s="131" t="s">
        <v>138</v>
      </c>
      <c r="B85" s="132" t="s">
        <v>351</v>
      </c>
      <c r="C85" s="132" t="s">
        <v>146</v>
      </c>
      <c r="D85" s="132" t="s">
        <v>29</v>
      </c>
      <c r="E85" s="132" t="s">
        <v>5</v>
      </c>
      <c r="F85" s="132" t="s">
        <v>1178</v>
      </c>
      <c r="G85" s="132" t="s">
        <v>1179</v>
      </c>
      <c r="H85" s="157">
        <v>40169</v>
      </c>
      <c r="I85" s="157">
        <v>41106</v>
      </c>
      <c r="J85" s="132" t="s">
        <v>7</v>
      </c>
      <c r="K85" s="132" t="s">
        <v>1180</v>
      </c>
      <c r="L85" s="132" t="s">
        <v>1181</v>
      </c>
      <c r="M85" s="132" t="s">
        <v>1182</v>
      </c>
      <c r="N85" s="132"/>
      <c r="O85" s="132" t="s">
        <v>1183</v>
      </c>
      <c r="P85" s="132" t="s">
        <v>1183</v>
      </c>
      <c r="Q85" s="132"/>
      <c r="R85" s="132"/>
      <c r="S85" s="158">
        <v>0</v>
      </c>
      <c r="T85" s="158">
        <v>4266600</v>
      </c>
      <c r="U85" s="158">
        <v>0</v>
      </c>
      <c r="V85" s="158">
        <v>4266600</v>
      </c>
      <c r="W85" s="158">
        <v>6007</v>
      </c>
      <c r="X85" s="158">
        <v>4260593</v>
      </c>
      <c r="Y85" s="132" t="s">
        <v>16</v>
      </c>
      <c r="Z85" s="158">
        <v>0</v>
      </c>
      <c r="AA85" s="157">
        <v>46155</v>
      </c>
      <c r="AB85" s="158">
        <v>1000000</v>
      </c>
      <c r="AC85" s="158">
        <v>1000000</v>
      </c>
      <c r="AD85" s="132" t="s">
        <v>121</v>
      </c>
      <c r="AE85" s="158">
        <v>0</v>
      </c>
      <c r="AF85" s="158">
        <v>3260793</v>
      </c>
      <c r="AG85" s="158">
        <v>0</v>
      </c>
      <c r="AH85" s="157">
        <v>46157</v>
      </c>
      <c r="AI85" s="132" t="s">
        <v>122</v>
      </c>
      <c r="AJ85" s="158">
        <v>3260793</v>
      </c>
      <c r="AK85" s="132">
        <v>0.76</v>
      </c>
      <c r="AL85" s="132">
        <v>0.77</v>
      </c>
      <c r="AM85" s="158">
        <v>5807</v>
      </c>
      <c r="AN85" s="158">
        <v>-200</v>
      </c>
      <c r="AO85" s="155" t="s">
        <v>246</v>
      </c>
      <c r="AP85" s="155" t="s">
        <v>29</v>
      </c>
      <c r="AQ85" s="155">
        <v>13</v>
      </c>
      <c r="AR85" s="155" t="s">
        <v>1495</v>
      </c>
      <c r="AS85" s="155" t="s">
        <v>1508</v>
      </c>
      <c r="AT85" s="155" t="s">
        <v>778</v>
      </c>
      <c r="AU85" s="155" t="b">
        <v>0</v>
      </c>
      <c r="AV85" s="156">
        <f t="shared" ca="1" si="2"/>
        <v>0</v>
      </c>
      <c r="AW85" s="156">
        <f t="shared" ca="1" si="3"/>
        <v>0</v>
      </c>
    </row>
    <row r="86" spans="1:49" x14ac:dyDescent="0.25">
      <c r="A86" s="129" t="s">
        <v>149</v>
      </c>
      <c r="B86" s="130" t="s">
        <v>275</v>
      </c>
      <c r="C86" s="130" t="s">
        <v>156</v>
      </c>
      <c r="D86" s="130" t="s">
        <v>32</v>
      </c>
      <c r="E86" s="130" t="s">
        <v>5</v>
      </c>
      <c r="F86" s="130" t="s">
        <v>1459</v>
      </c>
      <c r="G86" s="130" t="s">
        <v>1460</v>
      </c>
      <c r="H86" s="153">
        <v>42671</v>
      </c>
      <c r="I86" s="153">
        <v>43217</v>
      </c>
      <c r="J86" s="130" t="s">
        <v>12</v>
      </c>
      <c r="K86" s="130" t="s">
        <v>151</v>
      </c>
      <c r="L86" s="130" t="s">
        <v>877</v>
      </c>
      <c r="M86" s="130" t="s">
        <v>1461</v>
      </c>
      <c r="N86" s="130" t="s">
        <v>0</v>
      </c>
      <c r="O86" s="130" t="s">
        <v>1462</v>
      </c>
      <c r="P86" s="130" t="s">
        <v>1462</v>
      </c>
      <c r="Q86" s="130" t="s">
        <v>1463</v>
      </c>
      <c r="R86" s="130"/>
      <c r="S86" s="154">
        <v>0</v>
      </c>
      <c r="T86" s="154">
        <v>57600</v>
      </c>
      <c r="U86" s="154">
        <v>0</v>
      </c>
      <c r="V86" s="154">
        <v>57600</v>
      </c>
      <c r="W86" s="154">
        <v>0</v>
      </c>
      <c r="X86" s="154">
        <v>57600</v>
      </c>
      <c r="Y86" s="130" t="s">
        <v>40</v>
      </c>
      <c r="Z86" s="154">
        <v>0</v>
      </c>
      <c r="AA86" s="153">
        <v>46171</v>
      </c>
      <c r="AB86" s="154">
        <v>57600</v>
      </c>
      <c r="AC86" s="154">
        <v>57600</v>
      </c>
      <c r="AD86" s="130" t="s">
        <v>121</v>
      </c>
      <c r="AE86" s="154">
        <v>0</v>
      </c>
      <c r="AF86" s="154">
        <v>0</v>
      </c>
      <c r="AG86" s="154">
        <v>0</v>
      </c>
      <c r="AH86" s="153">
        <v>46171</v>
      </c>
      <c r="AI86" s="130" t="s">
        <v>9</v>
      </c>
      <c r="AJ86" s="154"/>
      <c r="AK86" s="130">
        <v>0</v>
      </c>
      <c r="AL86" s="130">
        <v>0</v>
      </c>
      <c r="AM86" s="154">
        <v>0</v>
      </c>
      <c r="AN86" s="154">
        <v>0</v>
      </c>
      <c r="AO86" s="155" t="s">
        <v>273</v>
      </c>
      <c r="AP86" s="155" t="s">
        <v>32</v>
      </c>
      <c r="AQ86" s="155">
        <v>29</v>
      </c>
      <c r="AR86" s="155" t="s">
        <v>1495</v>
      </c>
      <c r="AS86" s="155" t="s">
        <v>1496</v>
      </c>
      <c r="AT86" s="155" t="s">
        <v>778</v>
      </c>
      <c r="AU86" s="155" t="b">
        <v>0</v>
      </c>
      <c r="AV86" s="156">
        <f t="shared" ca="1" si="2"/>
        <v>0</v>
      </c>
      <c r="AW86" s="156">
        <f t="shared" ca="1" si="3"/>
        <v>0</v>
      </c>
    </row>
    <row r="87" spans="1:49" x14ac:dyDescent="0.25">
      <c r="A87" s="131" t="s">
        <v>149</v>
      </c>
      <c r="B87" s="132" t="s">
        <v>306</v>
      </c>
      <c r="C87" s="132" t="s">
        <v>157</v>
      </c>
      <c r="D87" s="132" t="s">
        <v>39</v>
      </c>
      <c r="E87" s="132" t="s">
        <v>5</v>
      </c>
      <c r="F87" s="132" t="s">
        <v>1464</v>
      </c>
      <c r="G87" s="132" t="s">
        <v>1465</v>
      </c>
      <c r="H87" s="157">
        <v>42504</v>
      </c>
      <c r="I87" s="157">
        <v>43669</v>
      </c>
      <c r="J87" s="132" t="s">
        <v>7</v>
      </c>
      <c r="K87" s="132" t="s">
        <v>81</v>
      </c>
      <c r="L87" s="132" t="s">
        <v>832</v>
      </c>
      <c r="M87" s="132" t="s">
        <v>1466</v>
      </c>
      <c r="N87" s="132"/>
      <c r="O87" s="132" t="s">
        <v>1467</v>
      </c>
      <c r="P87" s="132" t="s">
        <v>1467</v>
      </c>
      <c r="Q87" s="132"/>
      <c r="R87" s="132"/>
      <c r="S87" s="158">
        <v>0</v>
      </c>
      <c r="T87" s="158">
        <v>3466551.4</v>
      </c>
      <c r="U87" s="158">
        <v>0</v>
      </c>
      <c r="V87" s="158">
        <v>3466551.4</v>
      </c>
      <c r="W87" s="158">
        <v>0</v>
      </c>
      <c r="X87" s="158">
        <v>3466551.4</v>
      </c>
      <c r="Y87" s="132" t="s">
        <v>6</v>
      </c>
      <c r="Z87" s="158">
        <v>2966551.4</v>
      </c>
      <c r="AA87" s="157">
        <v>46171</v>
      </c>
      <c r="AB87" s="158">
        <v>100000</v>
      </c>
      <c r="AC87" s="158">
        <v>100000</v>
      </c>
      <c r="AD87" s="132" t="s">
        <v>121</v>
      </c>
      <c r="AE87" s="158">
        <v>0</v>
      </c>
      <c r="AF87" s="158">
        <v>0</v>
      </c>
      <c r="AG87" s="158">
        <v>-200000</v>
      </c>
      <c r="AH87" s="157"/>
      <c r="AI87" s="132" t="s">
        <v>9</v>
      </c>
      <c r="AJ87" s="158"/>
      <c r="AK87" s="132">
        <v>0</v>
      </c>
      <c r="AL87" s="132">
        <v>0</v>
      </c>
      <c r="AM87" s="158">
        <v>2956551.4</v>
      </c>
      <c r="AN87" s="158">
        <v>2956551.4</v>
      </c>
      <c r="AO87" s="155" t="s">
        <v>273</v>
      </c>
      <c r="AP87" s="155" t="s">
        <v>307</v>
      </c>
      <c r="AQ87" s="155">
        <v>29</v>
      </c>
      <c r="AR87" s="155" t="s">
        <v>1495</v>
      </c>
      <c r="AS87" s="155" t="s">
        <v>1509</v>
      </c>
      <c r="AT87" s="155" t="s">
        <v>778</v>
      </c>
      <c r="AU87" s="155" t="b">
        <v>0</v>
      </c>
      <c r="AV87" s="156">
        <f t="shared" ca="1" si="2"/>
        <v>0</v>
      </c>
      <c r="AW87" s="156">
        <f t="shared" ca="1" si="3"/>
        <v>0</v>
      </c>
    </row>
    <row r="88" spans="1:49" x14ac:dyDescent="0.25">
      <c r="A88" s="129" t="s">
        <v>149</v>
      </c>
      <c r="B88" s="130" t="s">
        <v>329</v>
      </c>
      <c r="C88" s="130" t="s">
        <v>150</v>
      </c>
      <c r="D88" s="130" t="s">
        <v>38</v>
      </c>
      <c r="E88" s="130" t="s">
        <v>5</v>
      </c>
      <c r="F88" s="130" t="s">
        <v>1352</v>
      </c>
      <c r="G88" s="130" t="s">
        <v>1353</v>
      </c>
      <c r="H88" s="153">
        <v>43182</v>
      </c>
      <c r="I88" s="153">
        <v>44493</v>
      </c>
      <c r="J88" s="130" t="s">
        <v>11</v>
      </c>
      <c r="K88" s="130" t="s">
        <v>1354</v>
      </c>
      <c r="L88" s="130" t="s">
        <v>847</v>
      </c>
      <c r="M88" s="130" t="s">
        <v>1355</v>
      </c>
      <c r="N88" s="130" t="s">
        <v>1356</v>
      </c>
      <c r="O88" s="130" t="s">
        <v>1357</v>
      </c>
      <c r="P88" s="130" t="s">
        <v>1358</v>
      </c>
      <c r="Q88" s="130" t="s">
        <v>1359</v>
      </c>
      <c r="R88" s="130"/>
      <c r="S88" s="154">
        <v>0</v>
      </c>
      <c r="T88" s="154">
        <v>123035</v>
      </c>
      <c r="U88" s="154">
        <v>160000</v>
      </c>
      <c r="V88" s="154">
        <v>283035</v>
      </c>
      <c r="W88" s="154">
        <v>250</v>
      </c>
      <c r="X88" s="154">
        <v>282785</v>
      </c>
      <c r="Y88" s="130" t="s">
        <v>16</v>
      </c>
      <c r="Z88" s="154">
        <v>0</v>
      </c>
      <c r="AA88" s="153">
        <v>46167</v>
      </c>
      <c r="AB88" s="154">
        <v>283000</v>
      </c>
      <c r="AC88" s="154">
        <v>283000</v>
      </c>
      <c r="AD88" s="130" t="s">
        <v>121</v>
      </c>
      <c r="AE88" s="154">
        <v>0</v>
      </c>
      <c r="AF88" s="154">
        <v>0</v>
      </c>
      <c r="AG88" s="154">
        <v>0</v>
      </c>
      <c r="AH88" s="153">
        <v>46168</v>
      </c>
      <c r="AI88" s="130" t="s">
        <v>122</v>
      </c>
      <c r="AJ88" s="154"/>
      <c r="AK88" s="130">
        <v>0</v>
      </c>
      <c r="AL88" s="130">
        <v>0</v>
      </c>
      <c r="AM88" s="154">
        <v>35</v>
      </c>
      <c r="AN88" s="154">
        <v>-215</v>
      </c>
      <c r="AO88" s="155" t="s">
        <v>273</v>
      </c>
      <c r="AP88" s="155" t="s">
        <v>38</v>
      </c>
      <c r="AQ88" s="155">
        <v>25</v>
      </c>
      <c r="AR88" s="155" t="s">
        <v>1495</v>
      </c>
      <c r="AS88" s="155" t="s">
        <v>885</v>
      </c>
      <c r="AT88" s="155" t="s">
        <v>778</v>
      </c>
      <c r="AU88" s="155" t="b">
        <v>0</v>
      </c>
      <c r="AV88" s="156">
        <f t="shared" ca="1" si="2"/>
        <v>0</v>
      </c>
      <c r="AW88" s="156">
        <f t="shared" ca="1" si="3"/>
        <v>0</v>
      </c>
    </row>
    <row r="89" spans="1:49" x14ac:dyDescent="0.25">
      <c r="A89" s="131" t="s">
        <v>181</v>
      </c>
      <c r="B89" s="132" t="s">
        <v>370</v>
      </c>
      <c r="C89" s="132" t="s">
        <v>190</v>
      </c>
      <c r="D89" s="132" t="s">
        <v>191</v>
      </c>
      <c r="E89" s="132" t="s">
        <v>5</v>
      </c>
      <c r="F89" s="132" t="s">
        <v>1008</v>
      </c>
      <c r="G89" s="132" t="s">
        <v>1009</v>
      </c>
      <c r="H89" s="157">
        <v>43571</v>
      </c>
      <c r="I89" s="157">
        <v>44643</v>
      </c>
      <c r="J89" s="132" t="s">
        <v>7</v>
      </c>
      <c r="K89" s="132" t="s">
        <v>130</v>
      </c>
      <c r="L89" s="132" t="s">
        <v>15</v>
      </c>
      <c r="M89" s="132" t="s">
        <v>1010</v>
      </c>
      <c r="N89" s="132" t="s">
        <v>0</v>
      </c>
      <c r="O89" s="132" t="s">
        <v>1011</v>
      </c>
      <c r="P89" s="132" t="s">
        <v>1011</v>
      </c>
      <c r="Q89" s="132" t="s">
        <v>1012</v>
      </c>
      <c r="R89" s="132"/>
      <c r="S89" s="158">
        <v>0</v>
      </c>
      <c r="T89" s="158">
        <v>53070</v>
      </c>
      <c r="U89" s="158">
        <v>0</v>
      </c>
      <c r="V89" s="158">
        <v>53070</v>
      </c>
      <c r="W89" s="158">
        <v>0</v>
      </c>
      <c r="X89" s="158">
        <v>53070</v>
      </c>
      <c r="Y89" s="132" t="s">
        <v>16</v>
      </c>
      <c r="Z89" s="158">
        <v>0</v>
      </c>
      <c r="AA89" s="157">
        <v>46147</v>
      </c>
      <c r="AB89" s="158">
        <v>53070</v>
      </c>
      <c r="AC89" s="158">
        <v>53070</v>
      </c>
      <c r="AD89" s="132" t="s">
        <v>121</v>
      </c>
      <c r="AE89" s="158">
        <v>0</v>
      </c>
      <c r="AF89" s="158">
        <v>0</v>
      </c>
      <c r="AG89" s="158">
        <v>0</v>
      </c>
      <c r="AH89" s="157">
        <v>46147</v>
      </c>
      <c r="AI89" s="132" t="s">
        <v>122</v>
      </c>
      <c r="AJ89" s="158"/>
      <c r="AK89" s="132">
        <v>0</v>
      </c>
      <c r="AL89" s="132">
        <v>0</v>
      </c>
      <c r="AM89" s="158">
        <v>0</v>
      </c>
      <c r="AN89" s="158">
        <v>0</v>
      </c>
      <c r="AO89" s="155" t="s">
        <v>233</v>
      </c>
      <c r="AP89" s="155" t="s">
        <v>234</v>
      </c>
      <c r="AQ89" s="155">
        <v>5</v>
      </c>
      <c r="AR89" s="155" t="s">
        <v>1495</v>
      </c>
      <c r="AS89" s="155" t="s">
        <v>889</v>
      </c>
      <c r="AT89" s="155" t="s">
        <v>778</v>
      </c>
      <c r="AU89" s="155" t="b">
        <v>0</v>
      </c>
      <c r="AV89" s="156">
        <f t="shared" ca="1" si="2"/>
        <v>1</v>
      </c>
      <c r="AW89" s="156">
        <f t="shared" ca="1" si="3"/>
        <v>1</v>
      </c>
    </row>
    <row r="90" spans="1:49" x14ac:dyDescent="0.25">
      <c r="A90" s="129" t="s">
        <v>161</v>
      </c>
      <c r="B90" s="130" t="s">
        <v>258</v>
      </c>
      <c r="C90" s="130" t="s">
        <v>164</v>
      </c>
      <c r="D90" s="130" t="s">
        <v>259</v>
      </c>
      <c r="E90" s="130" t="s">
        <v>5</v>
      </c>
      <c r="F90" s="130" t="s">
        <v>1279</v>
      </c>
      <c r="G90" s="130" t="s">
        <v>1280</v>
      </c>
      <c r="H90" s="153">
        <v>43944</v>
      </c>
      <c r="I90" s="153">
        <v>44673</v>
      </c>
      <c r="J90" s="130" t="s">
        <v>12</v>
      </c>
      <c r="K90" s="130" t="s">
        <v>158</v>
      </c>
      <c r="L90" s="130" t="s">
        <v>833</v>
      </c>
      <c r="M90" s="130" t="s">
        <v>1281</v>
      </c>
      <c r="N90" s="130" t="s">
        <v>0</v>
      </c>
      <c r="O90" s="130" t="s">
        <v>1282</v>
      </c>
      <c r="P90" s="130" t="s">
        <v>1282</v>
      </c>
      <c r="Q90" s="130" t="s">
        <v>1283</v>
      </c>
      <c r="R90" s="130"/>
      <c r="S90" s="154">
        <v>0</v>
      </c>
      <c r="T90" s="154">
        <v>0</v>
      </c>
      <c r="U90" s="154">
        <v>10000</v>
      </c>
      <c r="V90" s="154">
        <v>10000</v>
      </c>
      <c r="W90" s="154">
        <v>0</v>
      </c>
      <c r="X90" s="154">
        <v>10000</v>
      </c>
      <c r="Y90" s="130" t="s">
        <v>16</v>
      </c>
      <c r="Z90" s="154">
        <v>0</v>
      </c>
      <c r="AA90" s="153">
        <v>46162</v>
      </c>
      <c r="AB90" s="154">
        <v>10000</v>
      </c>
      <c r="AC90" s="154">
        <v>10000</v>
      </c>
      <c r="AD90" s="130" t="s">
        <v>121</v>
      </c>
      <c r="AE90" s="154">
        <v>0</v>
      </c>
      <c r="AF90" s="154">
        <v>0</v>
      </c>
      <c r="AG90" s="154">
        <v>0</v>
      </c>
      <c r="AH90" s="153">
        <v>46162</v>
      </c>
      <c r="AI90" s="130" t="s">
        <v>122</v>
      </c>
      <c r="AJ90" s="154"/>
      <c r="AK90" s="130">
        <v>0</v>
      </c>
      <c r="AL90" s="130">
        <v>0</v>
      </c>
      <c r="AM90" s="154">
        <v>0</v>
      </c>
      <c r="AN90" s="154">
        <v>0</v>
      </c>
      <c r="AO90" s="155" t="s">
        <v>252</v>
      </c>
      <c r="AP90" s="155" t="s">
        <v>24</v>
      </c>
      <c r="AQ90" s="155">
        <v>20</v>
      </c>
      <c r="AR90" s="155" t="s">
        <v>1495</v>
      </c>
      <c r="AS90" s="155" t="s">
        <v>1510</v>
      </c>
      <c r="AT90" s="155" t="s">
        <v>778</v>
      </c>
      <c r="AU90" s="155" t="b">
        <v>0</v>
      </c>
      <c r="AV90" s="156">
        <f t="shared" ca="1" si="2"/>
        <v>0</v>
      </c>
      <c r="AW90" s="156">
        <f t="shared" ca="1" si="3"/>
        <v>0</v>
      </c>
    </row>
    <row r="91" spans="1:49" x14ac:dyDescent="0.25">
      <c r="A91" s="131" t="s">
        <v>161</v>
      </c>
      <c r="B91" s="132" t="s">
        <v>279</v>
      </c>
      <c r="C91" s="132" t="s">
        <v>166</v>
      </c>
      <c r="D91" s="132" t="s">
        <v>31</v>
      </c>
      <c r="E91" s="132" t="s">
        <v>5</v>
      </c>
      <c r="F91" s="132" t="s">
        <v>1374</v>
      </c>
      <c r="G91" s="132" t="s">
        <v>1375</v>
      </c>
      <c r="H91" s="157">
        <v>43423</v>
      </c>
      <c r="I91" s="157">
        <v>44839</v>
      </c>
      <c r="J91" s="132" t="s">
        <v>12</v>
      </c>
      <c r="K91" s="132" t="s">
        <v>151</v>
      </c>
      <c r="L91" s="132" t="s">
        <v>833</v>
      </c>
      <c r="M91" s="132" t="s">
        <v>1376</v>
      </c>
      <c r="N91" s="132" t="s">
        <v>0</v>
      </c>
      <c r="O91" s="132" t="s">
        <v>1377</v>
      </c>
      <c r="P91" s="132" t="s">
        <v>1377</v>
      </c>
      <c r="Q91" s="132" t="s">
        <v>1378</v>
      </c>
      <c r="R91" s="132"/>
      <c r="S91" s="158">
        <v>0</v>
      </c>
      <c r="T91" s="158">
        <v>1694160</v>
      </c>
      <c r="U91" s="158">
        <v>0</v>
      </c>
      <c r="V91" s="158">
        <v>1694160</v>
      </c>
      <c r="W91" s="158">
        <v>1681.92</v>
      </c>
      <c r="X91" s="158">
        <v>1692478.08</v>
      </c>
      <c r="Y91" s="132" t="s">
        <v>16</v>
      </c>
      <c r="Z91" s="158">
        <v>0</v>
      </c>
      <c r="AA91" s="157">
        <v>46167</v>
      </c>
      <c r="AB91" s="158">
        <v>1692500</v>
      </c>
      <c r="AC91" s="158">
        <v>1692500</v>
      </c>
      <c r="AD91" s="132" t="s">
        <v>123</v>
      </c>
      <c r="AE91" s="158">
        <v>0</v>
      </c>
      <c r="AF91" s="158">
        <v>0</v>
      </c>
      <c r="AG91" s="158">
        <v>0</v>
      </c>
      <c r="AH91" s="157">
        <v>46167</v>
      </c>
      <c r="AI91" s="132" t="s">
        <v>122</v>
      </c>
      <c r="AJ91" s="158"/>
      <c r="AK91" s="132">
        <v>0</v>
      </c>
      <c r="AL91" s="132">
        <v>0</v>
      </c>
      <c r="AM91" s="158">
        <v>1660</v>
      </c>
      <c r="AN91" s="158">
        <v>-21.92</v>
      </c>
      <c r="AO91" s="155" t="s">
        <v>252</v>
      </c>
      <c r="AP91" s="155" t="s">
        <v>31</v>
      </c>
      <c r="AQ91" s="155">
        <v>25</v>
      </c>
      <c r="AR91" s="155" t="s">
        <v>1495</v>
      </c>
      <c r="AS91" s="155" t="s">
        <v>1511</v>
      </c>
      <c r="AT91" s="155" t="s">
        <v>778</v>
      </c>
      <c r="AU91" s="155" t="b">
        <v>0</v>
      </c>
      <c r="AV91" s="156">
        <f t="shared" ca="1" si="2"/>
        <v>0</v>
      </c>
      <c r="AW91" s="156">
        <f t="shared" ca="1" si="3"/>
        <v>0</v>
      </c>
    </row>
    <row r="92" spans="1:49" x14ac:dyDescent="0.25">
      <c r="A92" s="129" t="s">
        <v>126</v>
      </c>
      <c r="B92" s="130" t="s">
        <v>355</v>
      </c>
      <c r="C92" s="130" t="s">
        <v>127</v>
      </c>
      <c r="D92" s="130" t="s">
        <v>44</v>
      </c>
      <c r="E92" s="130" t="s">
        <v>5</v>
      </c>
      <c r="F92" s="130" t="s">
        <v>1442</v>
      </c>
      <c r="G92" s="130" t="s">
        <v>1443</v>
      </c>
      <c r="H92" s="153">
        <v>43964</v>
      </c>
      <c r="I92" s="153">
        <v>45043</v>
      </c>
      <c r="J92" s="130" t="s">
        <v>7</v>
      </c>
      <c r="K92" s="130" t="s">
        <v>137</v>
      </c>
      <c r="L92" s="130" t="s">
        <v>14</v>
      </c>
      <c r="M92" s="130" t="s">
        <v>1444</v>
      </c>
      <c r="N92" s="130" t="s">
        <v>0</v>
      </c>
      <c r="O92" s="130" t="s">
        <v>1445</v>
      </c>
      <c r="P92" s="130" t="s">
        <v>1446</v>
      </c>
      <c r="Q92" s="130" t="s">
        <v>1447</v>
      </c>
      <c r="R92" s="130"/>
      <c r="S92" s="154">
        <v>0</v>
      </c>
      <c r="T92" s="154">
        <v>1693895</v>
      </c>
      <c r="U92" s="154">
        <v>0</v>
      </c>
      <c r="V92" s="154">
        <v>1693895</v>
      </c>
      <c r="W92" s="154">
        <v>0</v>
      </c>
      <c r="X92" s="154">
        <v>1693895</v>
      </c>
      <c r="Y92" s="130" t="s">
        <v>40</v>
      </c>
      <c r="Z92" s="154">
        <v>0</v>
      </c>
      <c r="AA92" s="153">
        <v>46171</v>
      </c>
      <c r="AB92" s="154">
        <v>1355116</v>
      </c>
      <c r="AC92" s="154">
        <v>1355116</v>
      </c>
      <c r="AD92" s="130" t="s">
        <v>121</v>
      </c>
      <c r="AE92" s="154">
        <v>0</v>
      </c>
      <c r="AF92" s="154">
        <v>338779</v>
      </c>
      <c r="AG92" s="154">
        <v>0</v>
      </c>
      <c r="AH92" s="153">
        <v>46171</v>
      </c>
      <c r="AI92" s="130" t="s">
        <v>9</v>
      </c>
      <c r="AJ92" s="154">
        <v>338779</v>
      </c>
      <c r="AK92" s="130">
        <v>0.2</v>
      </c>
      <c r="AL92" s="130">
        <v>0.2</v>
      </c>
      <c r="AM92" s="154">
        <v>0</v>
      </c>
      <c r="AN92" s="154">
        <v>0</v>
      </c>
      <c r="AO92" s="155" t="s">
        <v>257</v>
      </c>
      <c r="AP92" s="155" t="s">
        <v>30</v>
      </c>
      <c r="AQ92" s="155">
        <v>29</v>
      </c>
      <c r="AR92" s="155" t="s">
        <v>1495</v>
      </c>
      <c r="AS92" s="155" t="s">
        <v>1512</v>
      </c>
      <c r="AT92" s="155" t="s">
        <v>778</v>
      </c>
      <c r="AU92" s="155" t="b">
        <v>0</v>
      </c>
      <c r="AV92" s="156">
        <f t="shared" ca="1" si="2"/>
        <v>0</v>
      </c>
      <c r="AW92" s="156">
        <f t="shared" ca="1" si="3"/>
        <v>0</v>
      </c>
    </row>
    <row r="93" spans="1:49" x14ac:dyDescent="0.25">
      <c r="A93" s="131" t="s">
        <v>169</v>
      </c>
      <c r="B93" s="132" t="s">
        <v>240</v>
      </c>
      <c r="C93" s="132" t="s">
        <v>178</v>
      </c>
      <c r="D93" s="132" t="s">
        <v>19</v>
      </c>
      <c r="E93" s="132" t="s">
        <v>5</v>
      </c>
      <c r="F93" s="132" t="s">
        <v>1424</v>
      </c>
      <c r="G93" s="132" t="s">
        <v>1425</v>
      </c>
      <c r="H93" s="157">
        <v>44385</v>
      </c>
      <c r="I93" s="157">
        <v>45138</v>
      </c>
      <c r="J93" s="132" t="s">
        <v>11</v>
      </c>
      <c r="K93" s="132" t="s">
        <v>829</v>
      </c>
      <c r="L93" s="132" t="s">
        <v>15</v>
      </c>
      <c r="M93" s="132" t="s">
        <v>1426</v>
      </c>
      <c r="N93" s="132" t="s">
        <v>1427</v>
      </c>
      <c r="O93" s="132" t="s">
        <v>1428</v>
      </c>
      <c r="P93" s="132" t="s">
        <v>1429</v>
      </c>
      <c r="Q93" s="132" t="s">
        <v>1430</v>
      </c>
      <c r="R93" s="132"/>
      <c r="S93" s="158">
        <v>0</v>
      </c>
      <c r="T93" s="158">
        <v>3988320</v>
      </c>
      <c r="U93" s="158">
        <v>0</v>
      </c>
      <c r="V93" s="158">
        <v>3988320</v>
      </c>
      <c r="W93" s="158">
        <v>0</v>
      </c>
      <c r="X93" s="158">
        <v>3988320</v>
      </c>
      <c r="Y93" s="132" t="s">
        <v>16</v>
      </c>
      <c r="Z93" s="158">
        <v>0</v>
      </c>
      <c r="AA93" s="157">
        <v>46170</v>
      </c>
      <c r="AB93" s="158">
        <v>3200000</v>
      </c>
      <c r="AC93" s="158">
        <v>3200000</v>
      </c>
      <c r="AD93" s="132" t="s">
        <v>121</v>
      </c>
      <c r="AE93" s="158">
        <v>0</v>
      </c>
      <c r="AF93" s="158">
        <v>788320</v>
      </c>
      <c r="AG93" s="158">
        <v>0</v>
      </c>
      <c r="AH93" s="157">
        <v>46170</v>
      </c>
      <c r="AI93" s="132" t="s">
        <v>122</v>
      </c>
      <c r="AJ93" s="158">
        <v>788320</v>
      </c>
      <c r="AK93" s="132">
        <v>0.2</v>
      </c>
      <c r="AL93" s="132">
        <v>0.2</v>
      </c>
      <c r="AM93" s="158">
        <v>0</v>
      </c>
      <c r="AN93" s="158">
        <v>0</v>
      </c>
      <c r="AO93" s="155" t="s">
        <v>228</v>
      </c>
      <c r="AP93" s="155" t="s">
        <v>19</v>
      </c>
      <c r="AQ93" s="155">
        <v>28</v>
      </c>
      <c r="AR93" s="155" t="s">
        <v>1495</v>
      </c>
      <c r="AS93" s="155" t="s">
        <v>891</v>
      </c>
      <c r="AT93" s="155" t="s">
        <v>778</v>
      </c>
      <c r="AU93" s="155" t="b">
        <v>0</v>
      </c>
      <c r="AV93" s="156">
        <f t="shared" ca="1" si="2"/>
        <v>0</v>
      </c>
      <c r="AW93" s="156">
        <f t="shared" ca="1" si="3"/>
        <v>0</v>
      </c>
    </row>
    <row r="94" spans="1:49" x14ac:dyDescent="0.25">
      <c r="A94" s="129" t="s">
        <v>161</v>
      </c>
      <c r="B94" s="130" t="s">
        <v>279</v>
      </c>
      <c r="C94" s="130" t="s">
        <v>166</v>
      </c>
      <c r="D94" s="130" t="s">
        <v>31</v>
      </c>
      <c r="E94" s="130" t="s">
        <v>5</v>
      </c>
      <c r="F94" s="130" t="s">
        <v>1085</v>
      </c>
      <c r="G94" s="130" t="s">
        <v>1086</v>
      </c>
      <c r="H94" s="153">
        <v>44061</v>
      </c>
      <c r="I94" s="153">
        <v>45167</v>
      </c>
      <c r="J94" s="130" t="s">
        <v>12</v>
      </c>
      <c r="K94" s="130" t="s">
        <v>151</v>
      </c>
      <c r="L94" s="130" t="s">
        <v>836</v>
      </c>
      <c r="M94" s="130" t="s">
        <v>1087</v>
      </c>
      <c r="N94" s="130" t="s">
        <v>0</v>
      </c>
      <c r="O94" s="130" t="s">
        <v>1088</v>
      </c>
      <c r="P94" s="130" t="s">
        <v>1088</v>
      </c>
      <c r="Q94" s="130" t="s">
        <v>1089</v>
      </c>
      <c r="R94" s="130"/>
      <c r="S94" s="154">
        <v>0</v>
      </c>
      <c r="T94" s="154">
        <v>721000</v>
      </c>
      <c r="U94" s="154">
        <v>0</v>
      </c>
      <c r="V94" s="154">
        <v>721000</v>
      </c>
      <c r="W94" s="154">
        <v>0</v>
      </c>
      <c r="X94" s="154">
        <v>721000</v>
      </c>
      <c r="Y94" s="130" t="s">
        <v>16</v>
      </c>
      <c r="Z94" s="154">
        <v>0</v>
      </c>
      <c r="AA94" s="153">
        <v>46150</v>
      </c>
      <c r="AB94" s="154">
        <v>577000</v>
      </c>
      <c r="AC94" s="154">
        <v>577000</v>
      </c>
      <c r="AD94" s="130" t="s">
        <v>123</v>
      </c>
      <c r="AE94" s="154">
        <v>0</v>
      </c>
      <c r="AF94" s="154">
        <v>144000</v>
      </c>
      <c r="AG94" s="154">
        <v>0</v>
      </c>
      <c r="AH94" s="153">
        <v>46150</v>
      </c>
      <c r="AI94" s="130" t="s">
        <v>122</v>
      </c>
      <c r="AJ94" s="154">
        <v>144000</v>
      </c>
      <c r="AK94" s="130">
        <v>0.2</v>
      </c>
      <c r="AL94" s="130">
        <v>0.2</v>
      </c>
      <c r="AM94" s="154">
        <v>0</v>
      </c>
      <c r="AN94" s="154">
        <v>0</v>
      </c>
      <c r="AO94" s="155" t="s">
        <v>252</v>
      </c>
      <c r="AP94" s="155" t="s">
        <v>31</v>
      </c>
      <c r="AQ94" s="155">
        <v>8</v>
      </c>
      <c r="AR94" s="155" t="s">
        <v>1495</v>
      </c>
      <c r="AS94" s="155" t="s">
        <v>1513</v>
      </c>
      <c r="AT94" s="155" t="s">
        <v>778</v>
      </c>
      <c r="AU94" s="155" t="b">
        <v>0</v>
      </c>
      <c r="AV94" s="156">
        <f t="shared" ca="1" si="2"/>
        <v>0</v>
      </c>
      <c r="AW94" s="156">
        <f t="shared" ca="1" si="3"/>
        <v>0</v>
      </c>
    </row>
    <row r="95" spans="1:49" x14ac:dyDescent="0.25">
      <c r="A95" s="131" t="s">
        <v>149</v>
      </c>
      <c r="B95" s="132" t="s">
        <v>276</v>
      </c>
      <c r="C95" s="132" t="s">
        <v>155</v>
      </c>
      <c r="D95" s="132" t="s">
        <v>33</v>
      </c>
      <c r="E95" s="132" t="s">
        <v>5</v>
      </c>
      <c r="F95" s="132" t="s">
        <v>1075</v>
      </c>
      <c r="G95" s="132" t="s">
        <v>1076</v>
      </c>
      <c r="H95" s="157">
        <v>43846</v>
      </c>
      <c r="I95" s="157">
        <v>45167</v>
      </c>
      <c r="J95" s="132" t="s">
        <v>7</v>
      </c>
      <c r="K95" s="132" t="s">
        <v>137</v>
      </c>
      <c r="L95" s="132" t="s">
        <v>14</v>
      </c>
      <c r="M95" s="132" t="s">
        <v>1077</v>
      </c>
      <c r="N95" s="132" t="s">
        <v>1078</v>
      </c>
      <c r="O95" s="132" t="s">
        <v>1079</v>
      </c>
      <c r="P95" s="132" t="s">
        <v>1079</v>
      </c>
      <c r="Q95" s="132" t="s">
        <v>1080</v>
      </c>
      <c r="R95" s="132"/>
      <c r="S95" s="158">
        <v>0</v>
      </c>
      <c r="T95" s="158">
        <v>8371460</v>
      </c>
      <c r="U95" s="158">
        <v>270000</v>
      </c>
      <c r="V95" s="158">
        <v>8641460</v>
      </c>
      <c r="W95" s="158">
        <v>8917.5</v>
      </c>
      <c r="X95" s="158">
        <v>8632542.5</v>
      </c>
      <c r="Y95" s="132" t="s">
        <v>16</v>
      </c>
      <c r="Z95" s="158">
        <v>0</v>
      </c>
      <c r="AA95" s="157">
        <v>46149</v>
      </c>
      <c r="AB95" s="158">
        <v>6131000</v>
      </c>
      <c r="AC95" s="158">
        <v>6131000</v>
      </c>
      <c r="AD95" s="132" t="s">
        <v>123</v>
      </c>
      <c r="AE95" s="158">
        <v>0</v>
      </c>
      <c r="AF95" s="158">
        <v>2510460</v>
      </c>
      <c r="AG95" s="158">
        <v>-6131000</v>
      </c>
      <c r="AH95" s="157">
        <v>46150</v>
      </c>
      <c r="AI95" s="132" t="s">
        <v>122</v>
      </c>
      <c r="AJ95" s="158">
        <v>2510460</v>
      </c>
      <c r="AK95" s="132">
        <v>0.28999999999999998</v>
      </c>
      <c r="AL95" s="132">
        <v>0.28999999999999998</v>
      </c>
      <c r="AM95" s="158">
        <v>0</v>
      </c>
      <c r="AN95" s="158">
        <v>-8917.5</v>
      </c>
      <c r="AO95" s="155" t="s">
        <v>273</v>
      </c>
      <c r="AP95" s="155" t="s">
        <v>33</v>
      </c>
      <c r="AQ95" s="155">
        <v>7</v>
      </c>
      <c r="AR95" s="155" t="s">
        <v>1495</v>
      </c>
      <c r="AS95" s="155" t="s">
        <v>1513</v>
      </c>
      <c r="AT95" s="155" t="s">
        <v>778</v>
      </c>
      <c r="AU95" s="155" t="b">
        <v>0</v>
      </c>
      <c r="AV95" s="156">
        <f t="shared" ca="1" si="2"/>
        <v>0</v>
      </c>
      <c r="AW95" s="156">
        <f t="shared" ca="1" si="3"/>
        <v>0</v>
      </c>
    </row>
    <row r="96" spans="1:49" x14ac:dyDescent="0.25">
      <c r="A96" s="129" t="s">
        <v>197</v>
      </c>
      <c r="B96" s="130" t="s">
        <v>293</v>
      </c>
      <c r="C96" s="130" t="s">
        <v>205</v>
      </c>
      <c r="D96" s="130" t="s">
        <v>37</v>
      </c>
      <c r="E96" s="130" t="s">
        <v>5</v>
      </c>
      <c r="F96" s="130" t="s">
        <v>1024</v>
      </c>
      <c r="G96" s="130" t="s">
        <v>1025</v>
      </c>
      <c r="H96" s="153">
        <v>44607</v>
      </c>
      <c r="I96" s="153">
        <v>45174</v>
      </c>
      <c r="J96" s="130" t="s">
        <v>12</v>
      </c>
      <c r="K96" s="130" t="s">
        <v>152</v>
      </c>
      <c r="L96" s="130" t="s">
        <v>15</v>
      </c>
      <c r="M96" s="130" t="s">
        <v>1026</v>
      </c>
      <c r="N96" s="130" t="s">
        <v>0</v>
      </c>
      <c r="O96" s="130" t="s">
        <v>1027</v>
      </c>
      <c r="P96" s="130" t="s">
        <v>1028</v>
      </c>
      <c r="Q96" s="130" t="s">
        <v>1029</v>
      </c>
      <c r="R96" s="130"/>
      <c r="S96" s="154">
        <v>0</v>
      </c>
      <c r="T96" s="154">
        <v>2651400</v>
      </c>
      <c r="U96" s="154">
        <v>0</v>
      </c>
      <c r="V96" s="154">
        <v>2651400</v>
      </c>
      <c r="W96" s="154">
        <v>0</v>
      </c>
      <c r="X96" s="154">
        <v>2651400</v>
      </c>
      <c r="Y96" s="130" t="s">
        <v>16</v>
      </c>
      <c r="Z96" s="154">
        <v>0</v>
      </c>
      <c r="AA96" s="153">
        <v>46146</v>
      </c>
      <c r="AB96" s="154">
        <v>2122000</v>
      </c>
      <c r="AC96" s="154">
        <v>2122000</v>
      </c>
      <c r="AD96" s="130" t="s">
        <v>123</v>
      </c>
      <c r="AE96" s="154">
        <v>0</v>
      </c>
      <c r="AF96" s="154">
        <v>529400</v>
      </c>
      <c r="AG96" s="154">
        <v>0</v>
      </c>
      <c r="AH96" s="153">
        <v>46146</v>
      </c>
      <c r="AI96" s="130" t="s">
        <v>122</v>
      </c>
      <c r="AJ96" s="154">
        <v>529400</v>
      </c>
      <c r="AK96" s="130">
        <v>0.2</v>
      </c>
      <c r="AL96" s="130">
        <v>0.2</v>
      </c>
      <c r="AM96" s="154">
        <v>0</v>
      </c>
      <c r="AN96" s="154">
        <v>0</v>
      </c>
      <c r="AO96" s="155" t="s">
        <v>295</v>
      </c>
      <c r="AP96" s="155" t="s">
        <v>37</v>
      </c>
      <c r="AQ96" s="155">
        <v>4</v>
      </c>
      <c r="AR96" s="155" t="s">
        <v>1495</v>
      </c>
      <c r="AS96" s="155" t="s">
        <v>1514</v>
      </c>
      <c r="AT96" s="155" t="s">
        <v>778</v>
      </c>
      <c r="AU96" s="155" t="b">
        <v>0</v>
      </c>
      <c r="AV96" s="156">
        <f t="shared" ca="1" si="2"/>
        <v>1</v>
      </c>
      <c r="AW96" s="156">
        <f t="shared" ca="1" si="3"/>
        <v>0</v>
      </c>
    </row>
    <row r="97" spans="1:49" x14ac:dyDescent="0.25">
      <c r="A97" s="131" t="s">
        <v>161</v>
      </c>
      <c r="B97" s="132" t="s">
        <v>320</v>
      </c>
      <c r="C97" s="132" t="s">
        <v>168</v>
      </c>
      <c r="D97" s="132" t="s">
        <v>317</v>
      </c>
      <c r="E97" s="132" t="s">
        <v>5</v>
      </c>
      <c r="F97" s="132" t="s">
        <v>1211</v>
      </c>
      <c r="G97" s="132" t="s">
        <v>1212</v>
      </c>
      <c r="H97" s="157">
        <v>43851</v>
      </c>
      <c r="I97" s="157">
        <v>45218</v>
      </c>
      <c r="J97" s="132" t="s">
        <v>12</v>
      </c>
      <c r="K97" s="132" t="s">
        <v>151</v>
      </c>
      <c r="L97" s="132" t="s">
        <v>833</v>
      </c>
      <c r="M97" s="132" t="s">
        <v>1213</v>
      </c>
      <c r="N97" s="132" t="s">
        <v>1214</v>
      </c>
      <c r="O97" s="132" t="s">
        <v>1215</v>
      </c>
      <c r="P97" s="132" t="s">
        <v>1215</v>
      </c>
      <c r="Q97" s="132" t="s">
        <v>1216</v>
      </c>
      <c r="R97" s="132"/>
      <c r="S97" s="158">
        <v>0</v>
      </c>
      <c r="T97" s="158">
        <v>4915845</v>
      </c>
      <c r="U97" s="158">
        <v>0</v>
      </c>
      <c r="V97" s="158">
        <v>4915845</v>
      </c>
      <c r="W97" s="158">
        <v>0</v>
      </c>
      <c r="X97" s="158">
        <v>4915845</v>
      </c>
      <c r="Y97" s="132" t="s">
        <v>16</v>
      </c>
      <c r="Z97" s="158">
        <v>0</v>
      </c>
      <c r="AA97" s="157">
        <v>46157</v>
      </c>
      <c r="AB97" s="158">
        <v>1500000</v>
      </c>
      <c r="AC97" s="158">
        <v>1500000</v>
      </c>
      <c r="AD97" s="132" t="s">
        <v>123</v>
      </c>
      <c r="AE97" s="158">
        <v>0</v>
      </c>
      <c r="AF97" s="158">
        <v>3415845</v>
      </c>
      <c r="AG97" s="158">
        <v>0</v>
      </c>
      <c r="AH97" s="157">
        <v>46157</v>
      </c>
      <c r="AI97" s="132" t="s">
        <v>122</v>
      </c>
      <c r="AJ97" s="158">
        <v>3415845</v>
      </c>
      <c r="AK97" s="132">
        <v>0.69</v>
      </c>
      <c r="AL97" s="132">
        <v>0.69</v>
      </c>
      <c r="AM97" s="158">
        <v>0</v>
      </c>
      <c r="AN97" s="158">
        <v>0</v>
      </c>
      <c r="AO97" s="155" t="s">
        <v>252</v>
      </c>
      <c r="AP97" s="155" t="s">
        <v>34</v>
      </c>
      <c r="AQ97" s="155">
        <v>15</v>
      </c>
      <c r="AR97" s="155" t="s">
        <v>1495</v>
      </c>
      <c r="AS97" s="155" t="s">
        <v>1515</v>
      </c>
      <c r="AT97" s="155" t="s">
        <v>778</v>
      </c>
      <c r="AU97" s="155" t="b">
        <v>0</v>
      </c>
      <c r="AV97" s="156">
        <f t="shared" ca="1" si="2"/>
        <v>0</v>
      </c>
      <c r="AW97" s="156">
        <f t="shared" ca="1" si="3"/>
        <v>0</v>
      </c>
    </row>
    <row r="98" spans="1:49" x14ac:dyDescent="0.25">
      <c r="A98" s="129" t="s">
        <v>161</v>
      </c>
      <c r="B98" s="130" t="s">
        <v>278</v>
      </c>
      <c r="C98" s="130" t="s">
        <v>168</v>
      </c>
      <c r="D98" s="130" t="s">
        <v>34</v>
      </c>
      <c r="E98" s="130" t="s">
        <v>5</v>
      </c>
      <c r="F98" s="130" t="s">
        <v>1051</v>
      </c>
      <c r="G98" s="130" t="s">
        <v>1052</v>
      </c>
      <c r="H98" s="153">
        <v>44798</v>
      </c>
      <c r="I98" s="153">
        <v>45534</v>
      </c>
      <c r="J98" s="130" t="s">
        <v>7</v>
      </c>
      <c r="K98" s="130" t="s">
        <v>137</v>
      </c>
      <c r="L98" s="130" t="s">
        <v>836</v>
      </c>
      <c r="M98" s="130" t="s">
        <v>1053</v>
      </c>
      <c r="N98" s="130" t="s">
        <v>1054</v>
      </c>
      <c r="O98" s="130" t="s">
        <v>1055</v>
      </c>
      <c r="P98" s="130" t="s">
        <v>1056</v>
      </c>
      <c r="Q98" s="130" t="s">
        <v>1057</v>
      </c>
      <c r="R98" s="130"/>
      <c r="S98" s="154">
        <v>0</v>
      </c>
      <c r="T98" s="154">
        <v>47450</v>
      </c>
      <c r="U98" s="154">
        <v>0</v>
      </c>
      <c r="V98" s="154">
        <v>47450</v>
      </c>
      <c r="W98" s="154">
        <v>0</v>
      </c>
      <c r="X98" s="154">
        <v>47450</v>
      </c>
      <c r="Y98" s="130" t="s">
        <v>16</v>
      </c>
      <c r="Z98" s="154">
        <v>0</v>
      </c>
      <c r="AA98" s="153">
        <v>46150</v>
      </c>
      <c r="AB98" s="154">
        <v>47500</v>
      </c>
      <c r="AC98" s="154">
        <v>47500</v>
      </c>
      <c r="AD98" s="130" t="s">
        <v>121</v>
      </c>
      <c r="AE98" s="154">
        <v>0</v>
      </c>
      <c r="AF98" s="154">
        <v>0</v>
      </c>
      <c r="AG98" s="154">
        <v>0</v>
      </c>
      <c r="AH98" s="153">
        <v>46153</v>
      </c>
      <c r="AI98" s="130" t="s">
        <v>122</v>
      </c>
      <c r="AJ98" s="154"/>
      <c r="AK98" s="130">
        <v>0</v>
      </c>
      <c r="AL98" s="130">
        <v>0</v>
      </c>
      <c r="AM98" s="154">
        <v>-50</v>
      </c>
      <c r="AN98" s="154">
        <v>-50</v>
      </c>
      <c r="AO98" s="155" t="s">
        <v>252</v>
      </c>
      <c r="AP98" s="155" t="s">
        <v>34</v>
      </c>
      <c r="AQ98" s="155">
        <v>8</v>
      </c>
      <c r="AR98" s="155" t="s">
        <v>1495</v>
      </c>
      <c r="AS98" s="155" t="s">
        <v>884</v>
      </c>
      <c r="AT98" s="155" t="s">
        <v>778</v>
      </c>
      <c r="AU98" s="155" t="b">
        <v>0</v>
      </c>
      <c r="AV98" s="156">
        <f t="shared" ca="1" si="2"/>
        <v>0</v>
      </c>
      <c r="AW98" s="156">
        <f t="shared" ca="1" si="3"/>
        <v>0</v>
      </c>
    </row>
    <row r="99" spans="1:49" x14ac:dyDescent="0.25">
      <c r="A99" s="131" t="s">
        <v>161</v>
      </c>
      <c r="B99" s="132" t="s">
        <v>250</v>
      </c>
      <c r="C99" s="132" t="s">
        <v>164</v>
      </c>
      <c r="D99" s="132" t="s">
        <v>24</v>
      </c>
      <c r="E99" s="132" t="s">
        <v>5</v>
      </c>
      <c r="F99" s="132" t="s">
        <v>1341</v>
      </c>
      <c r="G99" s="132" t="s">
        <v>1342</v>
      </c>
      <c r="H99" s="157">
        <v>44490</v>
      </c>
      <c r="I99" s="157">
        <v>45570</v>
      </c>
      <c r="J99" s="132" t="s">
        <v>12</v>
      </c>
      <c r="K99" s="132" t="s">
        <v>152</v>
      </c>
      <c r="L99" s="132" t="s">
        <v>832</v>
      </c>
      <c r="M99" s="132" t="s">
        <v>1343</v>
      </c>
      <c r="N99" s="132" t="s">
        <v>0</v>
      </c>
      <c r="O99" s="132" t="s">
        <v>1344</v>
      </c>
      <c r="P99" s="132" t="s">
        <v>1344</v>
      </c>
      <c r="Q99" s="132" t="s">
        <v>1345</v>
      </c>
      <c r="R99" s="132"/>
      <c r="S99" s="158">
        <v>0</v>
      </c>
      <c r="T99" s="158">
        <v>36200</v>
      </c>
      <c r="U99" s="158">
        <v>100000</v>
      </c>
      <c r="V99" s="158">
        <v>136200</v>
      </c>
      <c r="W99" s="158">
        <v>0</v>
      </c>
      <c r="X99" s="158">
        <v>136200</v>
      </c>
      <c r="Y99" s="132" t="s">
        <v>6</v>
      </c>
      <c r="Z99" s="158">
        <v>100000</v>
      </c>
      <c r="AA99" s="157">
        <v>46165</v>
      </c>
      <c r="AB99" s="158">
        <v>36200</v>
      </c>
      <c r="AC99" s="158">
        <v>36200</v>
      </c>
      <c r="AD99" s="132" t="s">
        <v>121</v>
      </c>
      <c r="AE99" s="158">
        <v>0</v>
      </c>
      <c r="AF99" s="158">
        <v>0</v>
      </c>
      <c r="AG99" s="158">
        <v>0</v>
      </c>
      <c r="AH99" s="157"/>
      <c r="AI99" s="132" t="s">
        <v>9</v>
      </c>
      <c r="AJ99" s="158"/>
      <c r="AK99" s="132">
        <v>0</v>
      </c>
      <c r="AL99" s="132">
        <v>0</v>
      </c>
      <c r="AM99" s="158">
        <v>100000</v>
      </c>
      <c r="AN99" s="158">
        <v>100000</v>
      </c>
      <c r="AO99" s="155" t="s">
        <v>252</v>
      </c>
      <c r="AP99" s="155" t="s">
        <v>24</v>
      </c>
      <c r="AQ99" s="155">
        <v>23</v>
      </c>
      <c r="AR99" s="155" t="s">
        <v>1495</v>
      </c>
      <c r="AS99" s="155" t="s">
        <v>788</v>
      </c>
      <c r="AT99" s="155" t="s">
        <v>778</v>
      </c>
      <c r="AU99" s="155" t="b">
        <v>0</v>
      </c>
      <c r="AV99" s="156">
        <f t="shared" ca="1" si="2"/>
        <v>0</v>
      </c>
      <c r="AW99" s="156">
        <f t="shared" ca="1" si="3"/>
        <v>0</v>
      </c>
    </row>
    <row r="100" spans="1:49" x14ac:dyDescent="0.25">
      <c r="A100" s="129" t="s">
        <v>161</v>
      </c>
      <c r="B100" s="130" t="s">
        <v>279</v>
      </c>
      <c r="C100" s="130" t="s">
        <v>166</v>
      </c>
      <c r="D100" s="130" t="s">
        <v>31</v>
      </c>
      <c r="E100" s="130" t="s">
        <v>5</v>
      </c>
      <c r="F100" s="130" t="s">
        <v>1379</v>
      </c>
      <c r="G100" s="130" t="s">
        <v>1380</v>
      </c>
      <c r="H100" s="153">
        <v>44520</v>
      </c>
      <c r="I100" s="153">
        <v>45637</v>
      </c>
      <c r="J100" s="130" t="s">
        <v>11</v>
      </c>
      <c r="K100" s="130" t="s">
        <v>1381</v>
      </c>
      <c r="L100" s="130" t="s">
        <v>14</v>
      </c>
      <c r="M100" s="130" t="s">
        <v>1382</v>
      </c>
      <c r="N100" s="130" t="s">
        <v>0</v>
      </c>
      <c r="O100" s="130" t="s">
        <v>1383</v>
      </c>
      <c r="P100" s="130" t="s">
        <v>1383</v>
      </c>
      <c r="Q100" s="130" t="s">
        <v>1384</v>
      </c>
      <c r="R100" s="130"/>
      <c r="S100" s="154">
        <v>0</v>
      </c>
      <c r="T100" s="154">
        <v>1153400</v>
      </c>
      <c r="U100" s="154">
        <v>0</v>
      </c>
      <c r="V100" s="154">
        <v>1153400</v>
      </c>
      <c r="W100" s="154">
        <v>0</v>
      </c>
      <c r="X100" s="154">
        <v>1153400</v>
      </c>
      <c r="Y100" s="130" t="s">
        <v>16</v>
      </c>
      <c r="Z100" s="154">
        <v>0</v>
      </c>
      <c r="AA100" s="153">
        <v>46167</v>
      </c>
      <c r="AB100" s="154">
        <v>1154000</v>
      </c>
      <c r="AC100" s="154">
        <v>1154000</v>
      </c>
      <c r="AD100" s="130" t="s">
        <v>123</v>
      </c>
      <c r="AE100" s="154">
        <v>0</v>
      </c>
      <c r="AF100" s="154">
        <v>0</v>
      </c>
      <c r="AG100" s="154">
        <v>0</v>
      </c>
      <c r="AH100" s="153">
        <v>46167</v>
      </c>
      <c r="AI100" s="130" t="s">
        <v>122</v>
      </c>
      <c r="AJ100" s="154"/>
      <c r="AK100" s="130">
        <v>0</v>
      </c>
      <c r="AL100" s="130">
        <v>0</v>
      </c>
      <c r="AM100" s="154">
        <v>-600</v>
      </c>
      <c r="AN100" s="154">
        <v>-600</v>
      </c>
      <c r="AO100" s="155" t="s">
        <v>252</v>
      </c>
      <c r="AP100" s="155" t="s">
        <v>31</v>
      </c>
      <c r="AQ100" s="155">
        <v>25</v>
      </c>
      <c r="AR100" s="155" t="s">
        <v>1495</v>
      </c>
      <c r="AS100" s="155" t="s">
        <v>780</v>
      </c>
      <c r="AT100" s="155" t="s">
        <v>778</v>
      </c>
      <c r="AU100" s="155" t="b">
        <v>0</v>
      </c>
      <c r="AV100" s="156">
        <f t="shared" ca="1" si="2"/>
        <v>0</v>
      </c>
      <c r="AW100" s="156">
        <f t="shared" ca="1" si="3"/>
        <v>0</v>
      </c>
    </row>
    <row r="101" spans="1:49" x14ac:dyDescent="0.25">
      <c r="A101" s="131" t="s">
        <v>169</v>
      </c>
      <c r="B101" s="132" t="s">
        <v>323</v>
      </c>
      <c r="C101" s="132" t="s">
        <v>177</v>
      </c>
      <c r="D101" s="132" t="s">
        <v>42</v>
      </c>
      <c r="E101" s="132" t="s">
        <v>5</v>
      </c>
      <c r="F101" s="132" t="s">
        <v>1121</v>
      </c>
      <c r="G101" s="132" t="s">
        <v>1122</v>
      </c>
      <c r="H101" s="157">
        <v>44946</v>
      </c>
      <c r="I101" s="157">
        <v>45654</v>
      </c>
      <c r="J101" s="132" t="s">
        <v>12</v>
      </c>
      <c r="K101" s="132" t="s">
        <v>128</v>
      </c>
      <c r="L101" s="132" t="s">
        <v>836</v>
      </c>
      <c r="M101" s="132" t="s">
        <v>1123</v>
      </c>
      <c r="N101" s="132" t="s">
        <v>0</v>
      </c>
      <c r="O101" s="132" t="s">
        <v>1124</v>
      </c>
      <c r="P101" s="132" t="s">
        <v>1124</v>
      </c>
      <c r="Q101" s="132" t="s">
        <v>1125</v>
      </c>
      <c r="R101" s="132"/>
      <c r="S101" s="158">
        <v>0</v>
      </c>
      <c r="T101" s="158">
        <v>21280</v>
      </c>
      <c r="U101" s="158">
        <v>0</v>
      </c>
      <c r="V101" s="158">
        <v>21280</v>
      </c>
      <c r="W101" s="158">
        <v>0</v>
      </c>
      <c r="X101" s="158">
        <v>21280</v>
      </c>
      <c r="Y101" s="132" t="s">
        <v>16</v>
      </c>
      <c r="Z101" s="158">
        <v>0</v>
      </c>
      <c r="AA101" s="157">
        <v>46153</v>
      </c>
      <c r="AB101" s="158">
        <v>21280</v>
      </c>
      <c r="AC101" s="158">
        <v>21280</v>
      </c>
      <c r="AD101" s="132" t="s">
        <v>121</v>
      </c>
      <c r="AE101" s="158">
        <v>0</v>
      </c>
      <c r="AF101" s="158">
        <v>0</v>
      </c>
      <c r="AG101" s="158">
        <v>0</v>
      </c>
      <c r="AH101" s="157">
        <v>46154</v>
      </c>
      <c r="AI101" s="132" t="s">
        <v>122</v>
      </c>
      <c r="AJ101" s="158"/>
      <c r="AK101" s="132">
        <v>0</v>
      </c>
      <c r="AL101" s="132">
        <v>0</v>
      </c>
      <c r="AM101" s="158">
        <v>0</v>
      </c>
      <c r="AN101" s="158">
        <v>0</v>
      </c>
      <c r="AO101" s="155" t="s">
        <v>228</v>
      </c>
      <c r="AP101" s="155" t="s">
        <v>42</v>
      </c>
      <c r="AQ101" s="155">
        <v>11</v>
      </c>
      <c r="AR101" s="155" t="s">
        <v>1495</v>
      </c>
      <c r="AS101" s="155" t="s">
        <v>780</v>
      </c>
      <c r="AT101" s="155" t="s">
        <v>778</v>
      </c>
      <c r="AU101" s="155" t="b">
        <v>0</v>
      </c>
      <c r="AV101" s="156">
        <f t="shared" ref="AV101:AV123" ca="1" si="4">IF(AQ101&lt;=DAY(TODAY()),1,0)</f>
        <v>0</v>
      </c>
      <c r="AW101" s="156">
        <f t="shared" ref="AW101:AW123" ca="1" si="5">IF(AQ101=DAY(TODAY()),1,0)</f>
        <v>0</v>
      </c>
    </row>
    <row r="102" spans="1:49" x14ac:dyDescent="0.25">
      <c r="A102" s="129" t="s">
        <v>149</v>
      </c>
      <c r="B102" s="130" t="s">
        <v>276</v>
      </c>
      <c r="C102" s="130" t="s">
        <v>155</v>
      </c>
      <c r="D102" s="130" t="s">
        <v>33</v>
      </c>
      <c r="E102" s="130" t="s">
        <v>5</v>
      </c>
      <c r="F102" s="130" t="s">
        <v>1483</v>
      </c>
      <c r="G102" s="130" t="s">
        <v>1484</v>
      </c>
      <c r="H102" s="153">
        <v>44589</v>
      </c>
      <c r="I102" s="153">
        <v>45677</v>
      </c>
      <c r="J102" s="130" t="s">
        <v>7</v>
      </c>
      <c r="K102" s="130" t="s">
        <v>137</v>
      </c>
      <c r="L102" s="130" t="s">
        <v>836</v>
      </c>
      <c r="M102" s="130" t="s">
        <v>1485</v>
      </c>
      <c r="N102" s="130" t="s">
        <v>0</v>
      </c>
      <c r="O102" s="130" t="s">
        <v>1486</v>
      </c>
      <c r="P102" s="130" t="s">
        <v>1486</v>
      </c>
      <c r="Q102" s="130" t="s">
        <v>1487</v>
      </c>
      <c r="R102" s="130"/>
      <c r="S102" s="154">
        <v>0</v>
      </c>
      <c r="T102" s="154">
        <v>135675</v>
      </c>
      <c r="U102" s="154">
        <v>0</v>
      </c>
      <c r="V102" s="154">
        <v>135675</v>
      </c>
      <c r="W102" s="154">
        <v>0</v>
      </c>
      <c r="X102" s="154">
        <v>135675</v>
      </c>
      <c r="Y102" s="130" t="s">
        <v>40</v>
      </c>
      <c r="Z102" s="154">
        <v>0</v>
      </c>
      <c r="AA102" s="153">
        <v>46172</v>
      </c>
      <c r="AB102" s="154">
        <v>135675</v>
      </c>
      <c r="AC102" s="154">
        <v>135675</v>
      </c>
      <c r="AD102" s="130" t="s">
        <v>121</v>
      </c>
      <c r="AE102" s="154">
        <v>0</v>
      </c>
      <c r="AF102" s="154">
        <v>0</v>
      </c>
      <c r="AG102" s="154">
        <v>0</v>
      </c>
      <c r="AH102" s="153">
        <v>46173</v>
      </c>
      <c r="AI102" s="130" t="s">
        <v>9</v>
      </c>
      <c r="AJ102" s="154"/>
      <c r="AK102" s="130">
        <v>0</v>
      </c>
      <c r="AL102" s="130">
        <v>0</v>
      </c>
      <c r="AM102" s="154">
        <v>0</v>
      </c>
      <c r="AN102" s="154">
        <v>0</v>
      </c>
      <c r="AO102" s="155" t="s">
        <v>273</v>
      </c>
      <c r="AP102" s="155" t="s">
        <v>33</v>
      </c>
      <c r="AQ102" s="155">
        <v>30</v>
      </c>
      <c r="AR102" s="155" t="s">
        <v>1495</v>
      </c>
      <c r="AS102" s="155" t="s">
        <v>1499</v>
      </c>
      <c r="AT102" s="155" t="s">
        <v>778</v>
      </c>
      <c r="AU102" s="155" t="b">
        <v>0</v>
      </c>
      <c r="AV102" s="156">
        <f t="shared" ca="1" si="4"/>
        <v>0</v>
      </c>
      <c r="AW102" s="156">
        <f t="shared" ca="1" si="5"/>
        <v>0</v>
      </c>
    </row>
    <row r="103" spans="1:49" x14ac:dyDescent="0.25">
      <c r="A103" s="131" t="s">
        <v>161</v>
      </c>
      <c r="B103" s="132" t="s">
        <v>278</v>
      </c>
      <c r="C103" s="132" t="s">
        <v>168</v>
      </c>
      <c r="D103" s="132" t="s">
        <v>34</v>
      </c>
      <c r="E103" s="132" t="s">
        <v>5</v>
      </c>
      <c r="F103" s="132" t="s">
        <v>1418</v>
      </c>
      <c r="G103" s="132" t="s">
        <v>1419</v>
      </c>
      <c r="H103" s="157">
        <v>44620</v>
      </c>
      <c r="I103" s="157">
        <v>45697</v>
      </c>
      <c r="J103" s="132" t="s">
        <v>12</v>
      </c>
      <c r="K103" s="132" t="s">
        <v>151</v>
      </c>
      <c r="L103" s="132" t="s">
        <v>836</v>
      </c>
      <c r="M103" s="132" t="s">
        <v>1420</v>
      </c>
      <c r="N103" s="132" t="s">
        <v>1421</v>
      </c>
      <c r="O103" s="132" t="s">
        <v>1422</v>
      </c>
      <c r="P103" s="132" t="s">
        <v>1422</v>
      </c>
      <c r="Q103" s="132" t="s">
        <v>1423</v>
      </c>
      <c r="R103" s="132"/>
      <c r="S103" s="158">
        <v>0</v>
      </c>
      <c r="T103" s="158">
        <v>2482000</v>
      </c>
      <c r="U103" s="158">
        <v>0</v>
      </c>
      <c r="V103" s="158">
        <v>2482000</v>
      </c>
      <c r="W103" s="158">
        <v>0</v>
      </c>
      <c r="X103" s="158">
        <v>2482000</v>
      </c>
      <c r="Y103" s="132" t="s">
        <v>6</v>
      </c>
      <c r="Z103" s="158">
        <v>1482000</v>
      </c>
      <c r="AA103" s="157">
        <v>46170</v>
      </c>
      <c r="AB103" s="158">
        <v>1000000</v>
      </c>
      <c r="AC103" s="158">
        <v>1000000</v>
      </c>
      <c r="AD103" s="132" t="s">
        <v>121</v>
      </c>
      <c r="AE103" s="158">
        <v>0</v>
      </c>
      <c r="AF103" s="158">
        <v>0</v>
      </c>
      <c r="AG103" s="158">
        <v>0</v>
      </c>
      <c r="AH103" s="157"/>
      <c r="AI103" s="132" t="s">
        <v>9</v>
      </c>
      <c r="AJ103" s="158"/>
      <c r="AK103" s="132">
        <v>0</v>
      </c>
      <c r="AL103" s="132">
        <v>0</v>
      </c>
      <c r="AM103" s="158">
        <v>1472000</v>
      </c>
      <c r="AN103" s="158">
        <v>1472000</v>
      </c>
      <c r="AO103" s="155" t="s">
        <v>252</v>
      </c>
      <c r="AP103" s="155" t="s">
        <v>34</v>
      </c>
      <c r="AQ103" s="155">
        <v>28</v>
      </c>
      <c r="AR103" s="155" t="s">
        <v>1495</v>
      </c>
      <c r="AS103" s="155" t="s">
        <v>777</v>
      </c>
      <c r="AT103" s="155" t="s">
        <v>778</v>
      </c>
      <c r="AU103" s="155" t="b">
        <v>0</v>
      </c>
      <c r="AV103" s="156">
        <f t="shared" ca="1" si="4"/>
        <v>0</v>
      </c>
      <c r="AW103" s="156">
        <f t="shared" ca="1" si="5"/>
        <v>0</v>
      </c>
    </row>
    <row r="104" spans="1:49" x14ac:dyDescent="0.25">
      <c r="A104" s="129" t="s">
        <v>149</v>
      </c>
      <c r="B104" s="130" t="s">
        <v>275</v>
      </c>
      <c r="C104" s="130" t="s">
        <v>156</v>
      </c>
      <c r="D104" s="130" t="s">
        <v>32</v>
      </c>
      <c r="E104" s="130" t="s">
        <v>5</v>
      </c>
      <c r="F104" s="130" t="s">
        <v>1046</v>
      </c>
      <c r="G104" s="130" t="s">
        <v>1047</v>
      </c>
      <c r="H104" s="153">
        <v>44611</v>
      </c>
      <c r="I104" s="153">
        <v>45715</v>
      </c>
      <c r="J104" s="130" t="s">
        <v>12</v>
      </c>
      <c r="K104" s="130" t="s">
        <v>128</v>
      </c>
      <c r="L104" s="130" t="s">
        <v>836</v>
      </c>
      <c r="M104" s="130" t="s">
        <v>1048</v>
      </c>
      <c r="N104" s="130" t="s">
        <v>0</v>
      </c>
      <c r="O104" s="130" t="s">
        <v>1049</v>
      </c>
      <c r="P104" s="130" t="s">
        <v>1049</v>
      </c>
      <c r="Q104" s="130" t="s">
        <v>1050</v>
      </c>
      <c r="R104" s="130"/>
      <c r="S104" s="154">
        <v>0</v>
      </c>
      <c r="T104" s="154">
        <v>627200</v>
      </c>
      <c r="U104" s="154">
        <v>0</v>
      </c>
      <c r="V104" s="154">
        <v>627200</v>
      </c>
      <c r="W104" s="154">
        <v>0</v>
      </c>
      <c r="X104" s="154">
        <v>627200</v>
      </c>
      <c r="Y104" s="130" t="s">
        <v>16</v>
      </c>
      <c r="Z104" s="154">
        <v>0</v>
      </c>
      <c r="AA104" s="153">
        <v>46149</v>
      </c>
      <c r="AB104" s="154">
        <v>627200</v>
      </c>
      <c r="AC104" s="154">
        <v>627200</v>
      </c>
      <c r="AD104" s="130" t="s">
        <v>121</v>
      </c>
      <c r="AE104" s="154">
        <v>0</v>
      </c>
      <c r="AF104" s="154">
        <v>0</v>
      </c>
      <c r="AG104" s="154">
        <v>0</v>
      </c>
      <c r="AH104" s="153">
        <v>46149</v>
      </c>
      <c r="AI104" s="130" t="s">
        <v>122</v>
      </c>
      <c r="AJ104" s="154"/>
      <c r="AK104" s="130">
        <v>0</v>
      </c>
      <c r="AL104" s="130">
        <v>0</v>
      </c>
      <c r="AM104" s="154">
        <v>0</v>
      </c>
      <c r="AN104" s="154">
        <v>0</v>
      </c>
      <c r="AO104" s="155" t="s">
        <v>273</v>
      </c>
      <c r="AP104" s="155" t="s">
        <v>32</v>
      </c>
      <c r="AQ104" s="155">
        <v>7</v>
      </c>
      <c r="AR104" s="155" t="s">
        <v>1495</v>
      </c>
      <c r="AS104" s="155" t="s">
        <v>777</v>
      </c>
      <c r="AT104" s="155" t="s">
        <v>778</v>
      </c>
      <c r="AU104" s="155" t="b">
        <v>0</v>
      </c>
      <c r="AV104" s="156">
        <f t="shared" ca="1" si="4"/>
        <v>0</v>
      </c>
      <c r="AW104" s="156">
        <f t="shared" ca="1" si="5"/>
        <v>0</v>
      </c>
    </row>
    <row r="105" spans="1:49" x14ac:dyDescent="0.25">
      <c r="A105" s="131" t="s">
        <v>169</v>
      </c>
      <c r="B105" s="132" t="s">
        <v>226</v>
      </c>
      <c r="C105" s="132" t="s">
        <v>171</v>
      </c>
      <c r="D105" s="132" t="s">
        <v>8</v>
      </c>
      <c r="E105" s="132" t="s">
        <v>5</v>
      </c>
      <c r="F105" s="132" t="s">
        <v>972</v>
      </c>
      <c r="G105" s="132" t="s">
        <v>973</v>
      </c>
      <c r="H105" s="157">
        <v>44733</v>
      </c>
      <c r="I105" s="157">
        <v>45758</v>
      </c>
      <c r="J105" s="132" t="s">
        <v>11</v>
      </c>
      <c r="K105" s="132" t="s">
        <v>910</v>
      </c>
      <c r="L105" s="132" t="s">
        <v>14</v>
      </c>
      <c r="M105" s="132" t="s">
        <v>974</v>
      </c>
      <c r="N105" s="132" t="s">
        <v>0</v>
      </c>
      <c r="O105" s="132" t="s">
        <v>975</v>
      </c>
      <c r="P105" s="132" t="s">
        <v>975</v>
      </c>
      <c r="Q105" s="132" t="s">
        <v>975</v>
      </c>
      <c r="R105" s="132"/>
      <c r="S105" s="158">
        <v>0</v>
      </c>
      <c r="T105" s="158">
        <v>0</v>
      </c>
      <c r="U105" s="158">
        <v>794800</v>
      </c>
      <c r="V105" s="158">
        <v>794800</v>
      </c>
      <c r="W105" s="158">
        <v>0</v>
      </c>
      <c r="X105" s="158">
        <v>794800</v>
      </c>
      <c r="Y105" s="132" t="s">
        <v>16</v>
      </c>
      <c r="Z105" s="158">
        <v>0</v>
      </c>
      <c r="AA105" s="157">
        <v>46148</v>
      </c>
      <c r="AB105" s="158">
        <v>794800</v>
      </c>
      <c r="AC105" s="158">
        <v>794800</v>
      </c>
      <c r="AD105" s="132" t="s">
        <v>121</v>
      </c>
      <c r="AE105" s="158">
        <v>0</v>
      </c>
      <c r="AF105" s="158">
        <v>0</v>
      </c>
      <c r="AG105" s="158">
        <v>0</v>
      </c>
      <c r="AH105" s="157">
        <v>46148</v>
      </c>
      <c r="AI105" s="132" t="s">
        <v>122</v>
      </c>
      <c r="AJ105" s="158"/>
      <c r="AK105" s="132">
        <v>0</v>
      </c>
      <c r="AL105" s="132">
        <v>0</v>
      </c>
      <c r="AM105" s="158">
        <v>0</v>
      </c>
      <c r="AN105" s="158">
        <v>0</v>
      </c>
      <c r="AO105" s="155" t="s">
        <v>228</v>
      </c>
      <c r="AP105" s="155" t="s">
        <v>8</v>
      </c>
      <c r="AQ105" s="155">
        <v>6</v>
      </c>
      <c r="AR105" s="155" t="s">
        <v>1495</v>
      </c>
      <c r="AS105" s="155" t="s">
        <v>783</v>
      </c>
      <c r="AT105" s="155" t="s">
        <v>778</v>
      </c>
      <c r="AU105" s="155" t="b">
        <v>0</v>
      </c>
      <c r="AV105" s="156">
        <f t="shared" ca="1" si="4"/>
        <v>0</v>
      </c>
      <c r="AW105" s="156">
        <f t="shared" ca="1" si="5"/>
        <v>0</v>
      </c>
    </row>
    <row r="106" spans="1:49" x14ac:dyDescent="0.25">
      <c r="A106" s="129" t="s">
        <v>149</v>
      </c>
      <c r="B106" s="130" t="s">
        <v>275</v>
      </c>
      <c r="C106" s="130" t="s">
        <v>156</v>
      </c>
      <c r="D106" s="130" t="s">
        <v>32</v>
      </c>
      <c r="E106" s="130" t="s">
        <v>5</v>
      </c>
      <c r="F106" s="130" t="s">
        <v>1268</v>
      </c>
      <c r="G106" s="130" t="s">
        <v>1269</v>
      </c>
      <c r="H106" s="153">
        <v>44651</v>
      </c>
      <c r="I106" s="153">
        <v>45761</v>
      </c>
      <c r="J106" s="130" t="s">
        <v>12</v>
      </c>
      <c r="K106" s="130" t="s">
        <v>128</v>
      </c>
      <c r="L106" s="130" t="s">
        <v>17</v>
      </c>
      <c r="M106" s="130" t="s">
        <v>1270</v>
      </c>
      <c r="N106" s="130" t="s">
        <v>0</v>
      </c>
      <c r="O106" s="130" t="s">
        <v>1271</v>
      </c>
      <c r="P106" s="130" t="s">
        <v>1271</v>
      </c>
      <c r="Q106" s="130" t="s">
        <v>1272</v>
      </c>
      <c r="R106" s="130"/>
      <c r="S106" s="154">
        <v>0</v>
      </c>
      <c r="T106" s="154">
        <v>612875</v>
      </c>
      <c r="U106" s="154">
        <v>1019150</v>
      </c>
      <c r="V106" s="154">
        <v>1632025</v>
      </c>
      <c r="W106" s="154">
        <v>30000</v>
      </c>
      <c r="X106" s="154">
        <v>1602025</v>
      </c>
      <c r="Y106" s="130" t="s">
        <v>40</v>
      </c>
      <c r="Z106" s="154">
        <v>0</v>
      </c>
      <c r="AA106" s="153">
        <v>46161</v>
      </c>
      <c r="AB106" s="154">
        <v>1350000</v>
      </c>
      <c r="AC106" s="154">
        <v>1350000</v>
      </c>
      <c r="AD106" s="130" t="s">
        <v>121</v>
      </c>
      <c r="AE106" s="154">
        <v>0</v>
      </c>
      <c r="AF106" s="154">
        <v>282025</v>
      </c>
      <c r="AG106" s="154">
        <v>0</v>
      </c>
      <c r="AH106" s="153">
        <v>46161</v>
      </c>
      <c r="AI106" s="130" t="s">
        <v>9</v>
      </c>
      <c r="AJ106" s="154">
        <v>282025</v>
      </c>
      <c r="AK106" s="130">
        <v>0.17</v>
      </c>
      <c r="AL106" s="130">
        <v>0.18</v>
      </c>
      <c r="AM106" s="154">
        <v>0</v>
      </c>
      <c r="AN106" s="154">
        <v>-30000</v>
      </c>
      <c r="AO106" s="155" t="s">
        <v>273</v>
      </c>
      <c r="AP106" s="155" t="s">
        <v>32</v>
      </c>
      <c r="AQ106" s="155">
        <v>19</v>
      </c>
      <c r="AR106" s="155" t="s">
        <v>1495</v>
      </c>
      <c r="AS106" s="155" t="s">
        <v>783</v>
      </c>
      <c r="AT106" s="155" t="s">
        <v>778</v>
      </c>
      <c r="AU106" s="155" t="b">
        <v>0</v>
      </c>
      <c r="AV106" s="156">
        <f t="shared" ca="1" si="4"/>
        <v>0</v>
      </c>
      <c r="AW106" s="156">
        <f t="shared" ca="1" si="5"/>
        <v>0</v>
      </c>
    </row>
    <row r="107" spans="1:49" x14ac:dyDescent="0.25">
      <c r="A107" s="131" t="s">
        <v>149</v>
      </c>
      <c r="B107" s="132" t="s">
        <v>329</v>
      </c>
      <c r="C107" s="132" t="s">
        <v>150</v>
      </c>
      <c r="D107" s="132" t="s">
        <v>38</v>
      </c>
      <c r="E107" s="132" t="s">
        <v>5</v>
      </c>
      <c r="F107" s="132" t="s">
        <v>1263</v>
      </c>
      <c r="G107" s="132" t="s">
        <v>1264</v>
      </c>
      <c r="H107" s="157">
        <v>44669</v>
      </c>
      <c r="I107" s="157">
        <v>45770</v>
      </c>
      <c r="J107" s="132" t="s">
        <v>12</v>
      </c>
      <c r="K107" s="132" t="s">
        <v>128</v>
      </c>
      <c r="L107" s="132" t="s">
        <v>836</v>
      </c>
      <c r="M107" s="132" t="s">
        <v>1265</v>
      </c>
      <c r="N107" s="132" t="s">
        <v>0</v>
      </c>
      <c r="O107" s="132" t="s">
        <v>1266</v>
      </c>
      <c r="P107" s="132" t="s">
        <v>1266</v>
      </c>
      <c r="Q107" s="132" t="s">
        <v>1267</v>
      </c>
      <c r="R107" s="132"/>
      <c r="S107" s="158">
        <v>0</v>
      </c>
      <c r="T107" s="158">
        <v>354800</v>
      </c>
      <c r="U107" s="158">
        <v>0</v>
      </c>
      <c r="V107" s="158">
        <v>354800</v>
      </c>
      <c r="W107" s="158">
        <v>0</v>
      </c>
      <c r="X107" s="158">
        <v>354800</v>
      </c>
      <c r="Y107" s="132" t="s">
        <v>16</v>
      </c>
      <c r="Z107" s="158">
        <v>0</v>
      </c>
      <c r="AA107" s="157">
        <v>46161</v>
      </c>
      <c r="AB107" s="158">
        <v>355000</v>
      </c>
      <c r="AC107" s="158">
        <v>355000</v>
      </c>
      <c r="AD107" s="132" t="s">
        <v>121</v>
      </c>
      <c r="AE107" s="158">
        <v>0</v>
      </c>
      <c r="AF107" s="158">
        <v>0</v>
      </c>
      <c r="AG107" s="158">
        <v>0</v>
      </c>
      <c r="AH107" s="157">
        <v>46162</v>
      </c>
      <c r="AI107" s="132" t="s">
        <v>122</v>
      </c>
      <c r="AJ107" s="158"/>
      <c r="AK107" s="132">
        <v>0</v>
      </c>
      <c r="AL107" s="132">
        <v>0</v>
      </c>
      <c r="AM107" s="158">
        <v>-200</v>
      </c>
      <c r="AN107" s="158">
        <v>-200</v>
      </c>
      <c r="AO107" s="155" t="s">
        <v>273</v>
      </c>
      <c r="AP107" s="155" t="s">
        <v>38</v>
      </c>
      <c r="AQ107" s="155">
        <v>19</v>
      </c>
      <c r="AR107" s="155" t="s">
        <v>1495</v>
      </c>
      <c r="AS107" s="155" t="s">
        <v>783</v>
      </c>
      <c r="AT107" s="155" t="s">
        <v>778</v>
      </c>
      <c r="AU107" s="155" t="b">
        <v>0</v>
      </c>
      <c r="AV107" s="156">
        <f t="shared" ca="1" si="4"/>
        <v>0</v>
      </c>
      <c r="AW107" s="156">
        <f t="shared" ca="1" si="5"/>
        <v>0</v>
      </c>
    </row>
    <row r="108" spans="1:49" x14ac:dyDescent="0.25">
      <c r="A108" s="129" t="s">
        <v>169</v>
      </c>
      <c r="B108" s="130" t="s">
        <v>323</v>
      </c>
      <c r="C108" s="130" t="s">
        <v>177</v>
      </c>
      <c r="D108" s="130" t="s">
        <v>42</v>
      </c>
      <c r="E108" s="130" t="s">
        <v>5</v>
      </c>
      <c r="F108" s="130" t="s">
        <v>1064</v>
      </c>
      <c r="G108" s="130" t="s">
        <v>1065</v>
      </c>
      <c r="H108" s="153">
        <v>44651</v>
      </c>
      <c r="I108" s="153">
        <v>45824</v>
      </c>
      <c r="J108" s="130" t="s">
        <v>11</v>
      </c>
      <c r="K108" s="130" t="s">
        <v>1066</v>
      </c>
      <c r="L108" s="130" t="s">
        <v>15</v>
      </c>
      <c r="M108" s="130" t="s">
        <v>1067</v>
      </c>
      <c r="N108" s="130" t="s">
        <v>0</v>
      </c>
      <c r="O108" s="130" t="s">
        <v>1068</v>
      </c>
      <c r="P108" s="130" t="s">
        <v>1068</v>
      </c>
      <c r="Q108" s="130" t="s">
        <v>1069</v>
      </c>
      <c r="R108" s="130"/>
      <c r="S108" s="154">
        <v>0</v>
      </c>
      <c r="T108" s="154">
        <v>2789280</v>
      </c>
      <c r="U108" s="154">
        <v>0</v>
      </c>
      <c r="V108" s="154">
        <v>2789280</v>
      </c>
      <c r="W108" s="154">
        <v>21000</v>
      </c>
      <c r="X108" s="154">
        <v>2768280</v>
      </c>
      <c r="Y108" s="130" t="s">
        <v>40</v>
      </c>
      <c r="Z108" s="154">
        <v>0</v>
      </c>
      <c r="AA108" s="153">
        <v>46150</v>
      </c>
      <c r="AB108" s="154">
        <v>2215000</v>
      </c>
      <c r="AC108" s="154">
        <v>2215000</v>
      </c>
      <c r="AD108" s="130" t="s">
        <v>121</v>
      </c>
      <c r="AE108" s="154">
        <v>0</v>
      </c>
      <c r="AF108" s="154">
        <v>553280</v>
      </c>
      <c r="AG108" s="154">
        <v>0</v>
      </c>
      <c r="AH108" s="153">
        <v>46151</v>
      </c>
      <c r="AI108" s="130" t="s">
        <v>856</v>
      </c>
      <c r="AJ108" s="154">
        <v>553280</v>
      </c>
      <c r="AK108" s="130">
        <v>0.2</v>
      </c>
      <c r="AL108" s="130">
        <v>0.2</v>
      </c>
      <c r="AM108" s="154">
        <v>21000</v>
      </c>
      <c r="AN108" s="154">
        <v>0</v>
      </c>
      <c r="AO108" s="155" t="s">
        <v>228</v>
      </c>
      <c r="AP108" s="155" t="s">
        <v>42</v>
      </c>
      <c r="AQ108" s="155">
        <v>8</v>
      </c>
      <c r="AR108" s="155" t="s">
        <v>1495</v>
      </c>
      <c r="AS108" s="155" t="s">
        <v>787</v>
      </c>
      <c r="AT108" s="155" t="s">
        <v>778</v>
      </c>
      <c r="AU108" s="155" t="b">
        <v>0</v>
      </c>
      <c r="AV108" s="156">
        <f t="shared" ca="1" si="4"/>
        <v>0</v>
      </c>
      <c r="AW108" s="156">
        <f t="shared" ca="1" si="5"/>
        <v>0</v>
      </c>
    </row>
    <row r="109" spans="1:49" x14ac:dyDescent="0.25">
      <c r="A109" s="131" t="s">
        <v>161</v>
      </c>
      <c r="B109" s="132" t="s">
        <v>250</v>
      </c>
      <c r="C109" s="132" t="s">
        <v>164</v>
      </c>
      <c r="D109" s="132" t="s">
        <v>24</v>
      </c>
      <c r="E109" s="132" t="s">
        <v>5</v>
      </c>
      <c r="F109" s="132" t="s">
        <v>1468</v>
      </c>
      <c r="G109" s="132" t="s">
        <v>1469</v>
      </c>
      <c r="H109" s="157">
        <v>44739</v>
      </c>
      <c r="I109" s="157">
        <v>45868</v>
      </c>
      <c r="J109" s="132" t="s">
        <v>11</v>
      </c>
      <c r="K109" s="132" t="s">
        <v>876</v>
      </c>
      <c r="L109" s="132" t="s">
        <v>14</v>
      </c>
      <c r="M109" s="132" t="s">
        <v>1470</v>
      </c>
      <c r="N109" s="132" t="s">
        <v>0</v>
      </c>
      <c r="O109" s="132" t="s">
        <v>1471</v>
      </c>
      <c r="P109" s="132" t="s">
        <v>1471</v>
      </c>
      <c r="Q109" s="132" t="s">
        <v>1472</v>
      </c>
      <c r="R109" s="132"/>
      <c r="S109" s="158">
        <v>0</v>
      </c>
      <c r="T109" s="158">
        <v>1548000</v>
      </c>
      <c r="U109" s="158">
        <v>0</v>
      </c>
      <c r="V109" s="158">
        <v>1548000</v>
      </c>
      <c r="W109" s="158">
        <v>15000</v>
      </c>
      <c r="X109" s="158">
        <v>1533000</v>
      </c>
      <c r="Y109" s="132" t="s">
        <v>40</v>
      </c>
      <c r="Z109" s="158">
        <v>0</v>
      </c>
      <c r="AA109" s="157">
        <v>46171</v>
      </c>
      <c r="AB109" s="158">
        <v>1533000</v>
      </c>
      <c r="AC109" s="158">
        <v>1533000</v>
      </c>
      <c r="AD109" s="132" t="s">
        <v>121</v>
      </c>
      <c r="AE109" s="158">
        <v>0</v>
      </c>
      <c r="AF109" s="158">
        <v>0</v>
      </c>
      <c r="AG109" s="158">
        <v>0</v>
      </c>
      <c r="AH109" s="157">
        <v>46172</v>
      </c>
      <c r="AI109" s="132" t="s">
        <v>9</v>
      </c>
      <c r="AJ109" s="158"/>
      <c r="AK109" s="132">
        <v>0</v>
      </c>
      <c r="AL109" s="132">
        <v>0</v>
      </c>
      <c r="AM109" s="158">
        <v>15000</v>
      </c>
      <c r="AN109" s="158">
        <v>0</v>
      </c>
      <c r="AO109" s="155" t="s">
        <v>252</v>
      </c>
      <c r="AP109" s="155" t="s">
        <v>24</v>
      </c>
      <c r="AQ109" s="155">
        <v>29</v>
      </c>
      <c r="AR109" s="155" t="s">
        <v>1495</v>
      </c>
      <c r="AS109" s="155" t="s">
        <v>786</v>
      </c>
      <c r="AT109" s="155" t="s">
        <v>778</v>
      </c>
      <c r="AU109" s="155" t="b">
        <v>0</v>
      </c>
      <c r="AV109" s="156">
        <f t="shared" ca="1" si="4"/>
        <v>0</v>
      </c>
      <c r="AW109" s="156">
        <f t="shared" ca="1" si="5"/>
        <v>0</v>
      </c>
    </row>
    <row r="110" spans="1:49" x14ac:dyDescent="0.25">
      <c r="A110" s="129" t="s">
        <v>169</v>
      </c>
      <c r="B110" s="130" t="s">
        <v>237</v>
      </c>
      <c r="C110" s="130" t="s">
        <v>170</v>
      </c>
      <c r="D110" s="130" t="s">
        <v>18</v>
      </c>
      <c r="E110" s="130" t="s">
        <v>5</v>
      </c>
      <c r="F110" s="130" t="s">
        <v>1058</v>
      </c>
      <c r="G110" s="130" t="s">
        <v>1059</v>
      </c>
      <c r="H110" s="153">
        <v>44804</v>
      </c>
      <c r="I110" s="153">
        <v>45874</v>
      </c>
      <c r="J110" s="130" t="s">
        <v>7</v>
      </c>
      <c r="K110" s="130" t="s">
        <v>130</v>
      </c>
      <c r="L110" s="130" t="s">
        <v>21</v>
      </c>
      <c r="M110" s="130" t="s">
        <v>1060</v>
      </c>
      <c r="N110" s="130" t="s">
        <v>1061</v>
      </c>
      <c r="O110" s="130" t="s">
        <v>1062</v>
      </c>
      <c r="P110" s="130" t="s">
        <v>1062</v>
      </c>
      <c r="Q110" s="130" t="s">
        <v>1063</v>
      </c>
      <c r="R110" s="130"/>
      <c r="S110" s="154">
        <v>0</v>
      </c>
      <c r="T110" s="154">
        <v>32500</v>
      </c>
      <c r="U110" s="154">
        <v>0</v>
      </c>
      <c r="V110" s="154">
        <v>32500</v>
      </c>
      <c r="W110" s="154">
        <v>0</v>
      </c>
      <c r="X110" s="154">
        <v>32500</v>
      </c>
      <c r="Y110" s="130" t="s">
        <v>16</v>
      </c>
      <c r="Z110" s="154">
        <v>0</v>
      </c>
      <c r="AA110" s="153">
        <v>46150</v>
      </c>
      <c r="AB110" s="154">
        <v>32500</v>
      </c>
      <c r="AC110" s="154">
        <v>32500</v>
      </c>
      <c r="AD110" s="130" t="s">
        <v>121</v>
      </c>
      <c r="AE110" s="154">
        <v>0</v>
      </c>
      <c r="AF110" s="154">
        <v>0</v>
      </c>
      <c r="AG110" s="154">
        <v>0</v>
      </c>
      <c r="AH110" s="153">
        <v>46155</v>
      </c>
      <c r="AI110" s="130" t="s">
        <v>122</v>
      </c>
      <c r="AJ110" s="154"/>
      <c r="AK110" s="130">
        <v>0</v>
      </c>
      <c r="AL110" s="130">
        <v>0</v>
      </c>
      <c r="AM110" s="154">
        <v>0</v>
      </c>
      <c r="AN110" s="154">
        <v>0</v>
      </c>
      <c r="AO110" s="155" t="s">
        <v>228</v>
      </c>
      <c r="AP110" s="155" t="s">
        <v>18</v>
      </c>
      <c r="AQ110" s="155">
        <v>8</v>
      </c>
      <c r="AR110" s="155" t="s">
        <v>1495</v>
      </c>
      <c r="AS110" s="155" t="s">
        <v>779</v>
      </c>
      <c r="AT110" s="155" t="s">
        <v>778</v>
      </c>
      <c r="AU110" s="155" t="b">
        <v>0</v>
      </c>
      <c r="AV110" s="156">
        <f t="shared" ca="1" si="4"/>
        <v>0</v>
      </c>
      <c r="AW110" s="156">
        <f t="shared" ca="1" si="5"/>
        <v>0</v>
      </c>
    </row>
    <row r="111" spans="1:49" x14ac:dyDescent="0.25">
      <c r="A111" s="131" t="s">
        <v>161</v>
      </c>
      <c r="B111" s="132" t="s">
        <v>281</v>
      </c>
      <c r="C111" s="132" t="s">
        <v>162</v>
      </c>
      <c r="D111" s="132" t="s">
        <v>36</v>
      </c>
      <c r="E111" s="132" t="s">
        <v>5</v>
      </c>
      <c r="F111" s="132" t="s">
        <v>1114</v>
      </c>
      <c r="G111" s="132" t="s">
        <v>1115</v>
      </c>
      <c r="H111" s="157">
        <v>44729</v>
      </c>
      <c r="I111" s="157">
        <v>45894</v>
      </c>
      <c r="J111" s="132" t="s">
        <v>12</v>
      </c>
      <c r="K111" s="132" t="s">
        <v>151</v>
      </c>
      <c r="L111" s="132" t="s">
        <v>14</v>
      </c>
      <c r="M111" s="132" t="s">
        <v>1116</v>
      </c>
      <c r="N111" s="132" t="s">
        <v>1117</v>
      </c>
      <c r="O111" s="132" t="s">
        <v>1118</v>
      </c>
      <c r="P111" s="132" t="s">
        <v>1119</v>
      </c>
      <c r="Q111" s="132" t="s">
        <v>1120</v>
      </c>
      <c r="R111" s="132"/>
      <c r="S111" s="158">
        <v>0</v>
      </c>
      <c r="T111" s="158">
        <v>3785350</v>
      </c>
      <c r="U111" s="158">
        <v>0</v>
      </c>
      <c r="V111" s="158">
        <v>3785350</v>
      </c>
      <c r="W111" s="158">
        <v>55100</v>
      </c>
      <c r="X111" s="158">
        <v>3730250</v>
      </c>
      <c r="Y111" s="132" t="s">
        <v>16</v>
      </c>
      <c r="Z111" s="158">
        <v>0</v>
      </c>
      <c r="AA111" s="157">
        <v>46153</v>
      </c>
      <c r="AB111" s="158">
        <v>3036000</v>
      </c>
      <c r="AC111" s="158">
        <v>3036000</v>
      </c>
      <c r="AD111" s="132" t="s">
        <v>121</v>
      </c>
      <c r="AE111" s="158">
        <v>0</v>
      </c>
      <c r="AF111" s="158">
        <v>750000</v>
      </c>
      <c r="AG111" s="158">
        <v>0</v>
      </c>
      <c r="AH111" s="157">
        <v>46154</v>
      </c>
      <c r="AI111" s="132" t="s">
        <v>122</v>
      </c>
      <c r="AJ111" s="158">
        <v>750000</v>
      </c>
      <c r="AK111" s="132">
        <v>0.2</v>
      </c>
      <c r="AL111" s="132">
        <v>0.2</v>
      </c>
      <c r="AM111" s="158">
        <v>-650</v>
      </c>
      <c r="AN111" s="158">
        <v>-55750</v>
      </c>
      <c r="AO111" s="155" t="s">
        <v>252</v>
      </c>
      <c r="AP111" s="155" t="s">
        <v>36</v>
      </c>
      <c r="AQ111" s="155">
        <v>11</v>
      </c>
      <c r="AR111" s="155" t="s">
        <v>1495</v>
      </c>
      <c r="AS111" s="155" t="s">
        <v>779</v>
      </c>
      <c r="AT111" s="155" t="s">
        <v>778</v>
      </c>
      <c r="AU111" s="155" t="b">
        <v>0</v>
      </c>
      <c r="AV111" s="156">
        <f t="shared" ca="1" si="4"/>
        <v>0</v>
      </c>
      <c r="AW111" s="156">
        <f t="shared" ca="1" si="5"/>
        <v>0</v>
      </c>
    </row>
    <row r="112" spans="1:49" x14ac:dyDescent="0.25">
      <c r="A112" s="129" t="s">
        <v>161</v>
      </c>
      <c r="B112" s="130" t="s">
        <v>279</v>
      </c>
      <c r="C112" s="130" t="s">
        <v>166</v>
      </c>
      <c r="D112" s="130" t="s">
        <v>31</v>
      </c>
      <c r="E112" s="130" t="s">
        <v>5</v>
      </c>
      <c r="F112" s="130" t="s">
        <v>1233</v>
      </c>
      <c r="G112" s="130" t="s">
        <v>1234</v>
      </c>
      <c r="H112" s="153">
        <v>44802</v>
      </c>
      <c r="I112" s="153">
        <v>45930</v>
      </c>
      <c r="J112" s="130" t="s">
        <v>12</v>
      </c>
      <c r="K112" s="130" t="s">
        <v>158</v>
      </c>
      <c r="L112" s="130" t="s">
        <v>832</v>
      </c>
      <c r="M112" s="130" t="s">
        <v>1235</v>
      </c>
      <c r="N112" s="130" t="s">
        <v>0</v>
      </c>
      <c r="O112" s="130" t="s">
        <v>1236</v>
      </c>
      <c r="P112" s="130" t="s">
        <v>1236</v>
      </c>
      <c r="Q112" s="130" t="s">
        <v>1237</v>
      </c>
      <c r="R112" s="130"/>
      <c r="S112" s="154">
        <v>0</v>
      </c>
      <c r="T112" s="154">
        <v>735875</v>
      </c>
      <c r="U112" s="154">
        <v>51125</v>
      </c>
      <c r="V112" s="154">
        <v>787000</v>
      </c>
      <c r="W112" s="154">
        <v>45000</v>
      </c>
      <c r="X112" s="154">
        <v>742000</v>
      </c>
      <c r="Y112" s="130" t="s">
        <v>16</v>
      </c>
      <c r="Z112" s="154">
        <v>0</v>
      </c>
      <c r="AA112" s="153">
        <v>46160</v>
      </c>
      <c r="AB112" s="154">
        <v>742000</v>
      </c>
      <c r="AC112" s="154">
        <v>742000</v>
      </c>
      <c r="AD112" s="130" t="s">
        <v>121</v>
      </c>
      <c r="AE112" s="154">
        <v>0</v>
      </c>
      <c r="AF112" s="154">
        <v>0</v>
      </c>
      <c r="AG112" s="154">
        <v>0</v>
      </c>
      <c r="AH112" s="153">
        <v>46160</v>
      </c>
      <c r="AI112" s="130" t="s">
        <v>122</v>
      </c>
      <c r="AJ112" s="154"/>
      <c r="AK112" s="130">
        <v>0</v>
      </c>
      <c r="AL112" s="130">
        <v>0</v>
      </c>
      <c r="AM112" s="154">
        <v>45000</v>
      </c>
      <c r="AN112" s="154">
        <v>0</v>
      </c>
      <c r="AO112" s="155" t="s">
        <v>252</v>
      </c>
      <c r="AP112" s="155" t="s">
        <v>31</v>
      </c>
      <c r="AQ112" s="155">
        <v>18</v>
      </c>
      <c r="AR112" s="155" t="s">
        <v>1495</v>
      </c>
      <c r="AS112" s="155" t="s">
        <v>781</v>
      </c>
      <c r="AT112" s="155" t="s">
        <v>778</v>
      </c>
      <c r="AU112" s="155" t="b">
        <v>0</v>
      </c>
      <c r="AV112" s="156">
        <f t="shared" ca="1" si="4"/>
        <v>0</v>
      </c>
      <c r="AW112" s="156">
        <f t="shared" ca="1" si="5"/>
        <v>0</v>
      </c>
    </row>
    <row r="113" spans="1:49" x14ac:dyDescent="0.25">
      <c r="A113" s="131" t="s">
        <v>169</v>
      </c>
      <c r="B113" s="132" t="s">
        <v>226</v>
      </c>
      <c r="C113" s="132" t="s">
        <v>171</v>
      </c>
      <c r="D113" s="132" t="s">
        <v>8</v>
      </c>
      <c r="E113" s="132" t="s">
        <v>5</v>
      </c>
      <c r="F113" s="132" t="s">
        <v>1238</v>
      </c>
      <c r="G113" s="132" t="s">
        <v>1239</v>
      </c>
      <c r="H113" s="157">
        <v>44865</v>
      </c>
      <c r="I113" s="157">
        <v>45987</v>
      </c>
      <c r="J113" s="132" t="s">
        <v>11</v>
      </c>
      <c r="K113" s="132" t="s">
        <v>910</v>
      </c>
      <c r="L113" s="132" t="s">
        <v>14</v>
      </c>
      <c r="M113" s="132" t="s">
        <v>1240</v>
      </c>
      <c r="N113" s="132" t="s">
        <v>0</v>
      </c>
      <c r="O113" s="132" t="s">
        <v>1241</v>
      </c>
      <c r="P113" s="132" t="s">
        <v>1242</v>
      </c>
      <c r="Q113" s="132" t="s">
        <v>1243</v>
      </c>
      <c r="R113" s="132"/>
      <c r="S113" s="158">
        <v>0</v>
      </c>
      <c r="T113" s="158">
        <v>1840975</v>
      </c>
      <c r="U113" s="158">
        <v>1379950</v>
      </c>
      <c r="V113" s="158">
        <v>3220925</v>
      </c>
      <c r="W113" s="158">
        <v>88973</v>
      </c>
      <c r="X113" s="158">
        <v>3131952</v>
      </c>
      <c r="Y113" s="132" t="s">
        <v>16</v>
      </c>
      <c r="Z113" s="158">
        <v>0</v>
      </c>
      <c r="AA113" s="157">
        <v>46157</v>
      </c>
      <c r="AB113" s="158">
        <v>2550000</v>
      </c>
      <c r="AC113" s="158">
        <v>2550000</v>
      </c>
      <c r="AD113" s="132" t="s">
        <v>121</v>
      </c>
      <c r="AE113" s="158">
        <v>0</v>
      </c>
      <c r="AF113" s="158">
        <v>581952</v>
      </c>
      <c r="AG113" s="158">
        <v>0</v>
      </c>
      <c r="AH113" s="157">
        <v>46157</v>
      </c>
      <c r="AI113" s="132" t="s">
        <v>122</v>
      </c>
      <c r="AJ113" s="158">
        <v>581952</v>
      </c>
      <c r="AK113" s="132">
        <v>0.18</v>
      </c>
      <c r="AL113" s="132">
        <v>0.19</v>
      </c>
      <c r="AM113" s="158">
        <v>88973</v>
      </c>
      <c r="AN113" s="158">
        <v>0</v>
      </c>
      <c r="AO113" s="155" t="s">
        <v>228</v>
      </c>
      <c r="AP113" s="155" t="s">
        <v>8</v>
      </c>
      <c r="AQ113" s="155">
        <v>15</v>
      </c>
      <c r="AR113" s="155" t="s">
        <v>1495</v>
      </c>
      <c r="AS113" s="155" t="s">
        <v>790</v>
      </c>
      <c r="AT113" s="155" t="s">
        <v>778</v>
      </c>
      <c r="AU113" s="155" t="b">
        <v>0</v>
      </c>
      <c r="AV113" s="156">
        <f t="shared" ca="1" si="4"/>
        <v>0</v>
      </c>
      <c r="AW113" s="156">
        <f t="shared" ca="1" si="5"/>
        <v>0</v>
      </c>
    </row>
    <row r="114" spans="1:49" x14ac:dyDescent="0.25">
      <c r="A114" s="129" t="s">
        <v>149</v>
      </c>
      <c r="B114" s="130" t="s">
        <v>276</v>
      </c>
      <c r="C114" s="130" t="s">
        <v>155</v>
      </c>
      <c r="D114" s="130" t="s">
        <v>33</v>
      </c>
      <c r="E114" s="130" t="s">
        <v>5</v>
      </c>
      <c r="F114" s="130" t="s">
        <v>1364</v>
      </c>
      <c r="G114" s="130" t="s">
        <v>1365</v>
      </c>
      <c r="H114" s="153">
        <v>44903</v>
      </c>
      <c r="I114" s="153">
        <v>46000</v>
      </c>
      <c r="J114" s="130" t="s">
        <v>7</v>
      </c>
      <c r="K114" s="130" t="s">
        <v>137</v>
      </c>
      <c r="L114" s="130" t="s">
        <v>15</v>
      </c>
      <c r="M114" s="130" t="s">
        <v>1366</v>
      </c>
      <c r="N114" s="130" t="s">
        <v>0</v>
      </c>
      <c r="O114" s="130" t="s">
        <v>1367</v>
      </c>
      <c r="P114" s="130" t="s">
        <v>1367</v>
      </c>
      <c r="Q114" s="130" t="s">
        <v>1368</v>
      </c>
      <c r="R114" s="130"/>
      <c r="S114" s="154">
        <v>0</v>
      </c>
      <c r="T114" s="154">
        <v>4300</v>
      </c>
      <c r="U114" s="154">
        <v>0</v>
      </c>
      <c r="V114" s="154">
        <v>4300</v>
      </c>
      <c r="W114" s="154">
        <v>0</v>
      </c>
      <c r="X114" s="154">
        <v>4300</v>
      </c>
      <c r="Y114" s="130" t="s">
        <v>16</v>
      </c>
      <c r="Z114" s="154">
        <v>0</v>
      </c>
      <c r="AA114" s="153">
        <v>46167</v>
      </c>
      <c r="AB114" s="154">
        <v>4300</v>
      </c>
      <c r="AC114" s="154">
        <v>4300</v>
      </c>
      <c r="AD114" s="130" t="s">
        <v>121</v>
      </c>
      <c r="AE114" s="154">
        <v>0</v>
      </c>
      <c r="AF114" s="154">
        <v>0</v>
      </c>
      <c r="AG114" s="154">
        <v>0</v>
      </c>
      <c r="AH114" s="153">
        <v>46170</v>
      </c>
      <c r="AI114" s="130" t="s">
        <v>122</v>
      </c>
      <c r="AJ114" s="154"/>
      <c r="AK114" s="130">
        <v>0</v>
      </c>
      <c r="AL114" s="130">
        <v>0</v>
      </c>
      <c r="AM114" s="154">
        <v>0</v>
      </c>
      <c r="AN114" s="154">
        <v>0</v>
      </c>
      <c r="AO114" s="155" t="s">
        <v>273</v>
      </c>
      <c r="AP114" s="155" t="s">
        <v>33</v>
      </c>
      <c r="AQ114" s="155">
        <v>25</v>
      </c>
      <c r="AR114" s="155" t="s">
        <v>1495</v>
      </c>
      <c r="AS114" s="155" t="s">
        <v>812</v>
      </c>
      <c r="AT114" s="155" t="s">
        <v>778</v>
      </c>
      <c r="AU114" s="155" t="b">
        <v>0</v>
      </c>
      <c r="AV114" s="156">
        <f t="shared" ca="1" si="4"/>
        <v>0</v>
      </c>
      <c r="AW114" s="156">
        <f t="shared" ca="1" si="5"/>
        <v>0</v>
      </c>
    </row>
    <row r="115" spans="1:49" x14ac:dyDescent="0.25">
      <c r="A115" s="131" t="s">
        <v>149</v>
      </c>
      <c r="B115" s="132" t="s">
        <v>275</v>
      </c>
      <c r="C115" s="132" t="s">
        <v>156</v>
      </c>
      <c r="D115" s="132" t="s">
        <v>32</v>
      </c>
      <c r="E115" s="132" t="s">
        <v>5</v>
      </c>
      <c r="F115" s="132" t="s">
        <v>902</v>
      </c>
      <c r="G115" s="132" t="s">
        <v>903</v>
      </c>
      <c r="H115" s="157">
        <v>44894</v>
      </c>
      <c r="I115" s="157">
        <v>46012</v>
      </c>
      <c r="J115" s="132" t="s">
        <v>12</v>
      </c>
      <c r="K115" s="132" t="s">
        <v>152</v>
      </c>
      <c r="L115" s="132" t="s">
        <v>15</v>
      </c>
      <c r="M115" s="132" t="s">
        <v>904</v>
      </c>
      <c r="N115" s="132" t="s">
        <v>0</v>
      </c>
      <c r="O115" s="132" t="s">
        <v>905</v>
      </c>
      <c r="P115" s="132" t="s">
        <v>906</v>
      </c>
      <c r="Q115" s="132" t="s">
        <v>907</v>
      </c>
      <c r="R115" s="132"/>
      <c r="S115" s="158">
        <v>0</v>
      </c>
      <c r="T115" s="158">
        <v>977000</v>
      </c>
      <c r="U115" s="158">
        <v>203800</v>
      </c>
      <c r="V115" s="158">
        <v>1180800</v>
      </c>
      <c r="W115" s="158">
        <v>30000</v>
      </c>
      <c r="X115" s="158">
        <v>1150800</v>
      </c>
      <c r="Y115" s="132" t="s">
        <v>6</v>
      </c>
      <c r="Z115" s="158">
        <v>1050800</v>
      </c>
      <c r="AA115" s="157">
        <v>46146</v>
      </c>
      <c r="AB115" s="158">
        <v>100000</v>
      </c>
      <c r="AC115" s="158">
        <v>100000</v>
      </c>
      <c r="AD115" s="132" t="s">
        <v>123</v>
      </c>
      <c r="AE115" s="158">
        <v>0</v>
      </c>
      <c r="AF115" s="158">
        <v>0</v>
      </c>
      <c r="AG115" s="158">
        <v>-110000</v>
      </c>
      <c r="AH115" s="157"/>
      <c r="AI115" s="132" t="s">
        <v>9</v>
      </c>
      <c r="AJ115" s="158"/>
      <c r="AK115" s="132">
        <v>0</v>
      </c>
      <c r="AL115" s="132">
        <v>0</v>
      </c>
      <c r="AM115" s="158">
        <v>1070800</v>
      </c>
      <c r="AN115" s="158">
        <v>1040800</v>
      </c>
      <c r="AO115" s="155" t="s">
        <v>273</v>
      </c>
      <c r="AP115" s="155" t="s">
        <v>32</v>
      </c>
      <c r="AQ115" s="155">
        <v>4</v>
      </c>
      <c r="AR115" s="155" t="s">
        <v>1495</v>
      </c>
      <c r="AS115" s="155" t="s">
        <v>812</v>
      </c>
      <c r="AT115" s="155" t="s">
        <v>778</v>
      </c>
      <c r="AU115" s="155" t="b">
        <v>0</v>
      </c>
      <c r="AV115" s="156">
        <f t="shared" ca="1" si="4"/>
        <v>1</v>
      </c>
      <c r="AW115" s="156">
        <f t="shared" ca="1" si="5"/>
        <v>0</v>
      </c>
    </row>
    <row r="116" spans="1:49" x14ac:dyDescent="0.25">
      <c r="A116" s="129" t="s">
        <v>149</v>
      </c>
      <c r="B116" s="130" t="s">
        <v>275</v>
      </c>
      <c r="C116" s="130" t="s">
        <v>156</v>
      </c>
      <c r="D116" s="130" t="s">
        <v>32</v>
      </c>
      <c r="E116" s="130" t="s">
        <v>5</v>
      </c>
      <c r="F116" s="130" t="s">
        <v>1228</v>
      </c>
      <c r="G116" s="130" t="s">
        <v>1229</v>
      </c>
      <c r="H116" s="153">
        <v>45315</v>
      </c>
      <c r="I116" s="153">
        <v>46047</v>
      </c>
      <c r="J116" s="130" t="s">
        <v>11</v>
      </c>
      <c r="K116" s="130" t="s">
        <v>829</v>
      </c>
      <c r="L116" s="130" t="s">
        <v>836</v>
      </c>
      <c r="M116" s="130" t="s">
        <v>1230</v>
      </c>
      <c r="N116" s="130" t="s">
        <v>0</v>
      </c>
      <c r="O116" s="130" t="s">
        <v>1231</v>
      </c>
      <c r="P116" s="130" t="s">
        <v>1231</v>
      </c>
      <c r="Q116" s="130" t="s">
        <v>1232</v>
      </c>
      <c r="R116" s="130"/>
      <c r="S116" s="154">
        <v>0</v>
      </c>
      <c r="T116" s="154">
        <v>5660</v>
      </c>
      <c r="U116" s="154">
        <v>0</v>
      </c>
      <c r="V116" s="154">
        <v>5660</v>
      </c>
      <c r="W116" s="154">
        <v>0</v>
      </c>
      <c r="X116" s="154">
        <v>5660</v>
      </c>
      <c r="Y116" s="130" t="s">
        <v>40</v>
      </c>
      <c r="Z116" s="154">
        <v>0</v>
      </c>
      <c r="AA116" s="153">
        <v>46160</v>
      </c>
      <c r="AB116" s="154">
        <v>5660</v>
      </c>
      <c r="AC116" s="154">
        <v>5660</v>
      </c>
      <c r="AD116" s="130" t="s">
        <v>121</v>
      </c>
      <c r="AE116" s="154">
        <v>0</v>
      </c>
      <c r="AF116" s="154">
        <v>0</v>
      </c>
      <c r="AG116" s="154">
        <v>0</v>
      </c>
      <c r="AH116" s="153">
        <v>46160</v>
      </c>
      <c r="AI116" s="130" t="s">
        <v>9</v>
      </c>
      <c r="AJ116" s="154"/>
      <c r="AK116" s="130">
        <v>0</v>
      </c>
      <c r="AL116" s="130">
        <v>0</v>
      </c>
      <c r="AM116" s="154">
        <v>0</v>
      </c>
      <c r="AN116" s="154">
        <v>0</v>
      </c>
      <c r="AO116" s="155" t="s">
        <v>273</v>
      </c>
      <c r="AP116" s="155" t="s">
        <v>32</v>
      </c>
      <c r="AQ116" s="155">
        <v>18</v>
      </c>
      <c r="AR116" s="155" t="s">
        <v>1495</v>
      </c>
      <c r="AS116" s="155" t="s">
        <v>815</v>
      </c>
      <c r="AT116" s="155" t="s">
        <v>778</v>
      </c>
      <c r="AU116" s="155" t="b">
        <v>0</v>
      </c>
      <c r="AV116" s="156">
        <f t="shared" ca="1" si="4"/>
        <v>0</v>
      </c>
      <c r="AW116" s="156">
        <f t="shared" ca="1" si="5"/>
        <v>0</v>
      </c>
    </row>
    <row r="117" spans="1:49" x14ac:dyDescent="0.25">
      <c r="A117" s="131" t="s">
        <v>161</v>
      </c>
      <c r="B117" s="132" t="s">
        <v>281</v>
      </c>
      <c r="C117" s="132" t="s">
        <v>162</v>
      </c>
      <c r="D117" s="132" t="s">
        <v>36</v>
      </c>
      <c r="E117" s="132" t="s">
        <v>5</v>
      </c>
      <c r="F117" s="132" t="s">
        <v>1310</v>
      </c>
      <c r="G117" s="132" t="s">
        <v>1311</v>
      </c>
      <c r="H117" s="157">
        <v>44985</v>
      </c>
      <c r="I117" s="157">
        <v>46104</v>
      </c>
      <c r="J117" s="132" t="s">
        <v>11</v>
      </c>
      <c r="K117" s="132" t="s">
        <v>13</v>
      </c>
      <c r="L117" s="132" t="s">
        <v>832</v>
      </c>
      <c r="M117" s="132" t="s">
        <v>1312</v>
      </c>
      <c r="N117" s="132" t="s">
        <v>0</v>
      </c>
      <c r="O117" s="132" t="s">
        <v>1313</v>
      </c>
      <c r="P117" s="132" t="s">
        <v>1314</v>
      </c>
      <c r="Q117" s="132" t="s">
        <v>1315</v>
      </c>
      <c r="R117" s="132" t="s">
        <v>1315</v>
      </c>
      <c r="S117" s="158">
        <v>0</v>
      </c>
      <c r="T117" s="158">
        <v>434750</v>
      </c>
      <c r="U117" s="158">
        <v>109875</v>
      </c>
      <c r="V117" s="158">
        <v>544625</v>
      </c>
      <c r="W117" s="158">
        <v>45000</v>
      </c>
      <c r="X117" s="158">
        <v>499625</v>
      </c>
      <c r="Y117" s="132" t="s">
        <v>16</v>
      </c>
      <c r="Z117" s="158">
        <v>0</v>
      </c>
      <c r="AA117" s="157">
        <v>46164</v>
      </c>
      <c r="AB117" s="158">
        <v>545000</v>
      </c>
      <c r="AC117" s="158">
        <v>545000</v>
      </c>
      <c r="AD117" s="132" t="s">
        <v>121</v>
      </c>
      <c r="AE117" s="158">
        <v>0</v>
      </c>
      <c r="AF117" s="158">
        <v>0</v>
      </c>
      <c r="AG117" s="158">
        <v>0</v>
      </c>
      <c r="AH117" s="157">
        <v>46167</v>
      </c>
      <c r="AI117" s="132" t="s">
        <v>122</v>
      </c>
      <c r="AJ117" s="158"/>
      <c r="AK117" s="132">
        <v>0</v>
      </c>
      <c r="AL117" s="132">
        <v>0</v>
      </c>
      <c r="AM117" s="158">
        <v>-375</v>
      </c>
      <c r="AN117" s="158">
        <v>-45375</v>
      </c>
      <c r="AO117" s="155" t="s">
        <v>252</v>
      </c>
      <c r="AP117" s="155" t="s">
        <v>36</v>
      </c>
      <c r="AQ117" s="155">
        <v>22</v>
      </c>
      <c r="AR117" s="155" t="s">
        <v>1495</v>
      </c>
      <c r="AS117" s="155" t="s">
        <v>831</v>
      </c>
      <c r="AT117" s="155" t="s">
        <v>778</v>
      </c>
      <c r="AU117" s="155" t="b">
        <v>0</v>
      </c>
      <c r="AV117" s="156">
        <f t="shared" ca="1" si="4"/>
        <v>0</v>
      </c>
      <c r="AW117" s="156">
        <f t="shared" ca="1" si="5"/>
        <v>0</v>
      </c>
    </row>
    <row r="118" spans="1:49" x14ac:dyDescent="0.25">
      <c r="A118" s="129" t="s">
        <v>161</v>
      </c>
      <c r="B118" s="130" t="s">
        <v>278</v>
      </c>
      <c r="C118" s="130" t="s">
        <v>168</v>
      </c>
      <c r="D118" s="130" t="s">
        <v>34</v>
      </c>
      <c r="E118" s="130" t="s">
        <v>5</v>
      </c>
      <c r="F118" s="130" t="s">
        <v>965</v>
      </c>
      <c r="G118" s="130" t="s">
        <v>966</v>
      </c>
      <c r="H118" s="153">
        <v>44989</v>
      </c>
      <c r="I118" s="153">
        <v>46106</v>
      </c>
      <c r="J118" s="130" t="s">
        <v>12</v>
      </c>
      <c r="K118" s="130" t="s">
        <v>967</v>
      </c>
      <c r="L118" s="130" t="s">
        <v>14</v>
      </c>
      <c r="M118" s="130" t="s">
        <v>968</v>
      </c>
      <c r="N118" s="130" t="s">
        <v>969</v>
      </c>
      <c r="O118" s="130" t="s">
        <v>970</v>
      </c>
      <c r="P118" s="130" t="s">
        <v>971</v>
      </c>
      <c r="Q118" s="130" t="s">
        <v>970</v>
      </c>
      <c r="R118" s="130"/>
      <c r="S118" s="154">
        <v>0</v>
      </c>
      <c r="T118" s="154">
        <v>178800</v>
      </c>
      <c r="U118" s="154">
        <v>0</v>
      </c>
      <c r="V118" s="154">
        <v>178800</v>
      </c>
      <c r="W118" s="154">
        <v>30000</v>
      </c>
      <c r="X118" s="154">
        <v>148800</v>
      </c>
      <c r="Y118" s="130" t="s">
        <v>16</v>
      </c>
      <c r="Z118" s="154">
        <v>0</v>
      </c>
      <c r="AA118" s="153">
        <v>46146</v>
      </c>
      <c r="AB118" s="154">
        <v>178800</v>
      </c>
      <c r="AC118" s="154">
        <v>178800</v>
      </c>
      <c r="AD118" s="130" t="s">
        <v>121</v>
      </c>
      <c r="AE118" s="154">
        <v>0</v>
      </c>
      <c r="AF118" s="154">
        <v>0</v>
      </c>
      <c r="AG118" s="154">
        <v>0</v>
      </c>
      <c r="AH118" s="153">
        <v>46146</v>
      </c>
      <c r="AI118" s="130" t="s">
        <v>122</v>
      </c>
      <c r="AJ118" s="154"/>
      <c r="AK118" s="130">
        <v>0</v>
      </c>
      <c r="AL118" s="130">
        <v>0</v>
      </c>
      <c r="AM118" s="154">
        <v>0</v>
      </c>
      <c r="AN118" s="154">
        <v>-30000</v>
      </c>
      <c r="AO118" s="155" t="s">
        <v>252</v>
      </c>
      <c r="AP118" s="155" t="s">
        <v>34</v>
      </c>
      <c r="AQ118" s="155">
        <v>4</v>
      </c>
      <c r="AR118" s="155" t="s">
        <v>1495</v>
      </c>
      <c r="AS118" s="155" t="s">
        <v>831</v>
      </c>
      <c r="AT118" s="155" t="s">
        <v>778</v>
      </c>
      <c r="AU118" s="155" t="b">
        <v>0</v>
      </c>
      <c r="AV118" s="156">
        <f t="shared" ca="1" si="4"/>
        <v>1</v>
      </c>
      <c r="AW118" s="156">
        <f t="shared" ca="1" si="5"/>
        <v>0</v>
      </c>
    </row>
    <row r="119" spans="1:49" x14ac:dyDescent="0.25">
      <c r="A119" s="131" t="s">
        <v>149</v>
      </c>
      <c r="B119" s="132" t="s">
        <v>276</v>
      </c>
      <c r="C119" s="132" t="s">
        <v>155</v>
      </c>
      <c r="D119" s="132" t="s">
        <v>33</v>
      </c>
      <c r="E119" s="132" t="s">
        <v>5</v>
      </c>
      <c r="F119" s="132" t="s">
        <v>941</v>
      </c>
      <c r="G119" s="132" t="s">
        <v>942</v>
      </c>
      <c r="H119" s="157">
        <v>44985</v>
      </c>
      <c r="I119" s="157">
        <v>46106</v>
      </c>
      <c r="J119" s="132" t="s">
        <v>12</v>
      </c>
      <c r="K119" s="132" t="s">
        <v>834</v>
      </c>
      <c r="L119" s="132" t="s">
        <v>17</v>
      </c>
      <c r="M119" s="132" t="s">
        <v>943</v>
      </c>
      <c r="N119" s="132" t="s">
        <v>0</v>
      </c>
      <c r="O119" s="132" t="s">
        <v>944</v>
      </c>
      <c r="P119" s="132" t="s">
        <v>944</v>
      </c>
      <c r="Q119" s="132" t="s">
        <v>945</v>
      </c>
      <c r="R119" s="132"/>
      <c r="S119" s="158">
        <v>0</v>
      </c>
      <c r="T119" s="158">
        <v>815800</v>
      </c>
      <c r="U119" s="158">
        <v>197400</v>
      </c>
      <c r="V119" s="158">
        <v>1013200</v>
      </c>
      <c r="W119" s="158">
        <v>15000</v>
      </c>
      <c r="X119" s="158">
        <v>998200</v>
      </c>
      <c r="Y119" s="132" t="s">
        <v>16</v>
      </c>
      <c r="Z119" s="158">
        <v>0</v>
      </c>
      <c r="AA119" s="157">
        <v>46148</v>
      </c>
      <c r="AB119" s="158">
        <v>998200</v>
      </c>
      <c r="AC119" s="158">
        <v>998200</v>
      </c>
      <c r="AD119" s="132" t="s">
        <v>121</v>
      </c>
      <c r="AE119" s="158">
        <v>0</v>
      </c>
      <c r="AF119" s="158">
        <v>0</v>
      </c>
      <c r="AG119" s="158">
        <v>0</v>
      </c>
      <c r="AH119" s="157">
        <v>46149</v>
      </c>
      <c r="AI119" s="132" t="s">
        <v>122</v>
      </c>
      <c r="AJ119" s="158"/>
      <c r="AK119" s="132">
        <v>0</v>
      </c>
      <c r="AL119" s="132">
        <v>0</v>
      </c>
      <c r="AM119" s="158">
        <v>15000</v>
      </c>
      <c r="AN119" s="158">
        <v>0</v>
      </c>
      <c r="AO119" s="155" t="s">
        <v>273</v>
      </c>
      <c r="AP119" s="155" t="s">
        <v>33</v>
      </c>
      <c r="AQ119" s="155">
        <v>6</v>
      </c>
      <c r="AR119" s="155" t="s">
        <v>1495</v>
      </c>
      <c r="AS119" s="155" t="s">
        <v>831</v>
      </c>
      <c r="AT119" s="155" t="s">
        <v>778</v>
      </c>
      <c r="AU119" s="155" t="b">
        <v>0</v>
      </c>
      <c r="AV119" s="156">
        <f t="shared" ca="1" si="4"/>
        <v>0</v>
      </c>
      <c r="AW119" s="156">
        <f t="shared" ca="1" si="5"/>
        <v>0</v>
      </c>
    </row>
    <row r="120" spans="1:49" x14ac:dyDescent="0.25">
      <c r="A120" s="129" t="s">
        <v>149</v>
      </c>
      <c r="B120" s="130" t="s">
        <v>366</v>
      </c>
      <c r="C120" s="130" t="s">
        <v>153</v>
      </c>
      <c r="D120" s="130" t="s">
        <v>27</v>
      </c>
      <c r="E120" s="130" t="s">
        <v>5</v>
      </c>
      <c r="F120" s="130" t="s">
        <v>1142</v>
      </c>
      <c r="G120" s="130" t="s">
        <v>1143</v>
      </c>
      <c r="H120" s="153">
        <v>44946</v>
      </c>
      <c r="I120" s="153">
        <v>46106</v>
      </c>
      <c r="J120" s="130" t="s">
        <v>12</v>
      </c>
      <c r="K120" s="130" t="s">
        <v>967</v>
      </c>
      <c r="L120" s="130" t="s">
        <v>832</v>
      </c>
      <c r="M120" s="130" t="s">
        <v>1144</v>
      </c>
      <c r="N120" s="130" t="s">
        <v>0</v>
      </c>
      <c r="O120" s="130" t="s">
        <v>1145</v>
      </c>
      <c r="P120" s="130" t="s">
        <v>1145</v>
      </c>
      <c r="Q120" s="130" t="s">
        <v>1146</v>
      </c>
      <c r="R120" s="130"/>
      <c r="S120" s="154">
        <v>0</v>
      </c>
      <c r="T120" s="154">
        <v>2721700</v>
      </c>
      <c r="U120" s="154">
        <v>0</v>
      </c>
      <c r="V120" s="154">
        <v>2721700</v>
      </c>
      <c r="W120" s="154">
        <v>0</v>
      </c>
      <c r="X120" s="154">
        <v>2721700</v>
      </c>
      <c r="Y120" s="130" t="s">
        <v>16</v>
      </c>
      <c r="Z120" s="154">
        <v>0</v>
      </c>
      <c r="AA120" s="153">
        <v>46154</v>
      </c>
      <c r="AB120" s="154">
        <v>1400000</v>
      </c>
      <c r="AC120" s="154">
        <v>1400000</v>
      </c>
      <c r="AD120" s="130" t="s">
        <v>121</v>
      </c>
      <c r="AE120" s="154">
        <v>0</v>
      </c>
      <c r="AF120" s="154">
        <v>1321700</v>
      </c>
      <c r="AG120" s="154">
        <v>0</v>
      </c>
      <c r="AH120" s="153">
        <v>46154</v>
      </c>
      <c r="AI120" s="130" t="s">
        <v>122</v>
      </c>
      <c r="AJ120" s="154">
        <v>1321700</v>
      </c>
      <c r="AK120" s="130">
        <v>0.49</v>
      </c>
      <c r="AL120" s="130">
        <v>0.49</v>
      </c>
      <c r="AM120" s="154">
        <v>0</v>
      </c>
      <c r="AN120" s="154">
        <v>0</v>
      </c>
      <c r="AO120" s="155" t="s">
        <v>273</v>
      </c>
      <c r="AP120" s="155" t="s">
        <v>27</v>
      </c>
      <c r="AQ120" s="155">
        <v>12</v>
      </c>
      <c r="AR120" s="155" t="s">
        <v>1495</v>
      </c>
      <c r="AS120" s="155" t="s">
        <v>831</v>
      </c>
      <c r="AT120" s="155" t="s">
        <v>778</v>
      </c>
      <c r="AU120" s="155" t="b">
        <v>0</v>
      </c>
      <c r="AV120" s="156">
        <f t="shared" ca="1" si="4"/>
        <v>0</v>
      </c>
      <c r="AW120" s="156">
        <f t="shared" ca="1" si="5"/>
        <v>0</v>
      </c>
    </row>
    <row r="121" spans="1:49" x14ac:dyDescent="0.25">
      <c r="A121" s="131" t="s">
        <v>149</v>
      </c>
      <c r="B121" s="132" t="s">
        <v>275</v>
      </c>
      <c r="C121" s="132" t="s">
        <v>156</v>
      </c>
      <c r="D121" s="132" t="s">
        <v>32</v>
      </c>
      <c r="E121" s="132" t="s">
        <v>5</v>
      </c>
      <c r="F121" s="132" t="s">
        <v>908</v>
      </c>
      <c r="G121" s="132" t="s">
        <v>909</v>
      </c>
      <c r="H121" s="157">
        <v>45029</v>
      </c>
      <c r="I121" s="157">
        <v>46129</v>
      </c>
      <c r="J121" s="132" t="s">
        <v>11</v>
      </c>
      <c r="K121" s="132" t="s">
        <v>910</v>
      </c>
      <c r="L121" s="132" t="s">
        <v>836</v>
      </c>
      <c r="M121" s="132" t="s">
        <v>911</v>
      </c>
      <c r="N121" s="132" t="s">
        <v>0</v>
      </c>
      <c r="O121" s="132" t="s">
        <v>912</v>
      </c>
      <c r="P121" s="132" t="s">
        <v>912</v>
      </c>
      <c r="Q121" s="132" t="s">
        <v>913</v>
      </c>
      <c r="R121" s="132"/>
      <c r="S121" s="158">
        <v>0</v>
      </c>
      <c r="T121" s="158">
        <v>51000</v>
      </c>
      <c r="U121" s="158">
        <v>0</v>
      </c>
      <c r="V121" s="158">
        <v>51000</v>
      </c>
      <c r="W121" s="158">
        <v>30000</v>
      </c>
      <c r="X121" s="158">
        <v>21000</v>
      </c>
      <c r="Y121" s="132" t="s">
        <v>16</v>
      </c>
      <c r="Z121" s="158">
        <v>0</v>
      </c>
      <c r="AA121" s="157">
        <v>46144</v>
      </c>
      <c r="AB121" s="158">
        <v>21000</v>
      </c>
      <c r="AC121" s="158">
        <v>21000</v>
      </c>
      <c r="AD121" s="132" t="s">
        <v>121</v>
      </c>
      <c r="AE121" s="158">
        <v>0</v>
      </c>
      <c r="AF121" s="158">
        <v>0</v>
      </c>
      <c r="AG121" s="158">
        <v>0</v>
      </c>
      <c r="AH121" s="157">
        <v>46144</v>
      </c>
      <c r="AI121" s="132" t="s">
        <v>122</v>
      </c>
      <c r="AJ121" s="158"/>
      <c r="AK121" s="132">
        <v>0</v>
      </c>
      <c r="AL121" s="132">
        <v>0</v>
      </c>
      <c r="AM121" s="158">
        <v>30000</v>
      </c>
      <c r="AN121" s="158">
        <v>0</v>
      </c>
      <c r="AO121" s="155" t="s">
        <v>273</v>
      </c>
      <c r="AP121" s="155" t="s">
        <v>32</v>
      </c>
      <c r="AQ121" s="155">
        <v>2</v>
      </c>
      <c r="AR121" s="155" t="s">
        <v>1495</v>
      </c>
      <c r="AS121" s="155" t="s">
        <v>883</v>
      </c>
      <c r="AT121" s="155" t="s">
        <v>778</v>
      </c>
      <c r="AU121" s="155" t="b">
        <v>0</v>
      </c>
      <c r="AV121" s="156">
        <f t="shared" ca="1" si="4"/>
        <v>1</v>
      </c>
      <c r="AW121" s="156">
        <f t="shared" ca="1" si="5"/>
        <v>0</v>
      </c>
    </row>
    <row r="122" spans="1:49" x14ac:dyDescent="0.25">
      <c r="A122" s="129" t="s">
        <v>161</v>
      </c>
      <c r="B122" s="130" t="s">
        <v>278</v>
      </c>
      <c r="C122" s="130" t="s">
        <v>168</v>
      </c>
      <c r="D122" s="130" t="s">
        <v>34</v>
      </c>
      <c r="E122" s="130" t="s">
        <v>5</v>
      </c>
      <c r="F122" s="130" t="s">
        <v>1488</v>
      </c>
      <c r="G122" s="130" t="s">
        <v>1489</v>
      </c>
      <c r="H122" s="153">
        <v>45013</v>
      </c>
      <c r="I122" s="153">
        <v>46137</v>
      </c>
      <c r="J122" s="130" t="s">
        <v>12</v>
      </c>
      <c r="K122" s="130" t="s">
        <v>967</v>
      </c>
      <c r="L122" s="130" t="s">
        <v>15</v>
      </c>
      <c r="M122" s="130" t="s">
        <v>1490</v>
      </c>
      <c r="N122" s="130" t="s">
        <v>1491</v>
      </c>
      <c r="O122" s="130" t="s">
        <v>1492</v>
      </c>
      <c r="P122" s="130" t="s">
        <v>1493</v>
      </c>
      <c r="Q122" s="130" t="s">
        <v>1494</v>
      </c>
      <c r="R122" s="130"/>
      <c r="S122" s="154">
        <v>0</v>
      </c>
      <c r="T122" s="154">
        <v>3393600</v>
      </c>
      <c r="U122" s="154">
        <v>0</v>
      </c>
      <c r="V122" s="154">
        <v>3393600</v>
      </c>
      <c r="W122" s="154">
        <v>0</v>
      </c>
      <c r="X122" s="154">
        <v>3393600</v>
      </c>
      <c r="Y122" s="130" t="s">
        <v>16</v>
      </c>
      <c r="Z122" s="154">
        <v>0</v>
      </c>
      <c r="AA122" s="153">
        <v>46172</v>
      </c>
      <c r="AB122" s="154">
        <v>2715000</v>
      </c>
      <c r="AC122" s="154">
        <v>2715000</v>
      </c>
      <c r="AD122" s="130" t="s">
        <v>123</v>
      </c>
      <c r="AE122" s="154">
        <v>0</v>
      </c>
      <c r="AF122" s="154">
        <v>678600</v>
      </c>
      <c r="AG122" s="154">
        <v>0</v>
      </c>
      <c r="AH122" s="153">
        <v>46172</v>
      </c>
      <c r="AI122" s="130" t="s">
        <v>122</v>
      </c>
      <c r="AJ122" s="154">
        <v>678600</v>
      </c>
      <c r="AK122" s="130">
        <v>0.2</v>
      </c>
      <c r="AL122" s="130">
        <v>0.2</v>
      </c>
      <c r="AM122" s="154">
        <v>0</v>
      </c>
      <c r="AN122" s="154">
        <v>0</v>
      </c>
      <c r="AO122" s="155" t="s">
        <v>252</v>
      </c>
      <c r="AP122" s="155" t="s">
        <v>34</v>
      </c>
      <c r="AQ122" s="155">
        <v>30</v>
      </c>
      <c r="AR122" s="155" t="s">
        <v>1495</v>
      </c>
      <c r="AS122" s="155" t="s">
        <v>883</v>
      </c>
      <c r="AT122" s="155" t="s">
        <v>778</v>
      </c>
      <c r="AU122" s="155" t="b">
        <v>0</v>
      </c>
      <c r="AV122" s="156">
        <f t="shared" ca="1" si="4"/>
        <v>0</v>
      </c>
      <c r="AW122" s="156">
        <f t="shared" ca="1" si="5"/>
        <v>0</v>
      </c>
    </row>
    <row r="123" spans="1:49" x14ac:dyDescent="0.25">
      <c r="A123" s="131" t="s">
        <v>149</v>
      </c>
      <c r="B123" s="132" t="s">
        <v>275</v>
      </c>
      <c r="C123" s="132" t="s">
        <v>156</v>
      </c>
      <c r="D123" s="132" t="s">
        <v>32</v>
      </c>
      <c r="E123" s="132" t="s">
        <v>5</v>
      </c>
      <c r="F123" s="132" t="s">
        <v>946</v>
      </c>
      <c r="G123" s="132" t="s">
        <v>947</v>
      </c>
      <c r="H123" s="157">
        <v>45042</v>
      </c>
      <c r="I123" s="157">
        <v>46141</v>
      </c>
      <c r="J123" s="132" t="s">
        <v>12</v>
      </c>
      <c r="K123" s="132" t="s">
        <v>152</v>
      </c>
      <c r="L123" s="132" t="s">
        <v>20</v>
      </c>
      <c r="M123" s="132" t="s">
        <v>948</v>
      </c>
      <c r="N123" s="132" t="s">
        <v>0</v>
      </c>
      <c r="O123" s="132" t="s">
        <v>949</v>
      </c>
      <c r="P123" s="132" t="s">
        <v>949</v>
      </c>
      <c r="Q123" s="132" t="s">
        <v>949</v>
      </c>
      <c r="R123" s="132"/>
      <c r="S123" s="158">
        <v>0</v>
      </c>
      <c r="T123" s="158">
        <v>3565</v>
      </c>
      <c r="U123" s="158">
        <v>0</v>
      </c>
      <c r="V123" s="158">
        <v>3565</v>
      </c>
      <c r="W123" s="158">
        <v>0</v>
      </c>
      <c r="X123" s="158">
        <v>3565</v>
      </c>
      <c r="Y123" s="132" t="s">
        <v>16</v>
      </c>
      <c r="Z123" s="158">
        <v>0</v>
      </c>
      <c r="AA123" s="157">
        <v>46148</v>
      </c>
      <c r="AB123" s="158">
        <v>10000</v>
      </c>
      <c r="AC123" s="158">
        <v>10000</v>
      </c>
      <c r="AD123" s="132" t="s">
        <v>121</v>
      </c>
      <c r="AE123" s="158">
        <v>0</v>
      </c>
      <c r="AF123" s="158">
        <v>0</v>
      </c>
      <c r="AG123" s="158">
        <v>0</v>
      </c>
      <c r="AH123" s="157">
        <v>46148</v>
      </c>
      <c r="AI123" s="132" t="s">
        <v>122</v>
      </c>
      <c r="AJ123" s="158"/>
      <c r="AK123" s="132">
        <v>0</v>
      </c>
      <c r="AL123" s="132">
        <v>0</v>
      </c>
      <c r="AM123" s="158">
        <v>-6435</v>
      </c>
      <c r="AN123" s="158">
        <v>-6435</v>
      </c>
      <c r="AO123" s="155" t="s">
        <v>273</v>
      </c>
      <c r="AP123" s="155" t="s">
        <v>32</v>
      </c>
      <c r="AQ123" s="155">
        <v>6</v>
      </c>
      <c r="AR123" s="155" t="s">
        <v>1495</v>
      </c>
      <c r="AS123" s="155" t="s">
        <v>883</v>
      </c>
      <c r="AT123" s="155" t="s">
        <v>778</v>
      </c>
      <c r="AU123" s="155" t="b">
        <v>0</v>
      </c>
      <c r="AV123" s="156">
        <f t="shared" ca="1" si="4"/>
        <v>0</v>
      </c>
      <c r="AW123" s="156">
        <f t="shared" ca="1" si="5"/>
        <v>0</v>
      </c>
    </row>
  </sheetData>
  <autoFilter ref="A1:AW100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AV20"/>
  <sheetViews>
    <sheetView workbookViewId="0"/>
  </sheetViews>
  <sheetFormatPr defaultColWidth="9.109375" defaultRowHeight="13.2" x14ac:dyDescent="0.3"/>
  <cols>
    <col min="1" max="1" width="14.109375" style="127" bestFit="1" customWidth="1"/>
    <col min="2" max="2" width="15.109375" style="74" bestFit="1" customWidth="1"/>
    <col min="3" max="3" width="22.5546875" style="127" bestFit="1" customWidth="1"/>
    <col min="4" max="4" width="20.109375" style="127" customWidth="1"/>
    <col min="5" max="5" width="20.44140625" style="74" bestFit="1" customWidth="1"/>
    <col min="6" max="6" width="22.88671875" style="127" bestFit="1" customWidth="1"/>
    <col min="7" max="7" width="32.88671875" style="127" bestFit="1" customWidth="1"/>
    <col min="8" max="8" width="19.5546875" style="127" bestFit="1" customWidth="1"/>
    <col min="9" max="9" width="39.33203125" style="127" bestFit="1" customWidth="1"/>
    <col min="10" max="10" width="23.5546875" style="127" bestFit="1" customWidth="1"/>
    <col min="11" max="11" width="23" style="127" bestFit="1" customWidth="1"/>
    <col min="12" max="12" width="24.5546875" style="74" bestFit="1" customWidth="1"/>
    <col min="13" max="14" width="13.88671875" style="74" customWidth="1"/>
    <col min="15" max="17" width="81.109375" style="127" bestFit="1" customWidth="1"/>
    <col min="18" max="18" width="27.33203125" style="127" customWidth="1"/>
    <col min="19" max="19" width="24.5546875" style="127" bestFit="1" customWidth="1"/>
    <col min="20" max="20" width="22.33203125" style="127" bestFit="1" customWidth="1"/>
    <col min="21" max="21" width="27.33203125" style="127" bestFit="1" customWidth="1"/>
    <col min="22" max="22" width="35.88671875" style="127" bestFit="1" customWidth="1"/>
    <col min="23" max="23" width="13.6640625" style="127" bestFit="1" customWidth="1"/>
    <col min="24" max="24" width="24" style="127" bestFit="1" customWidth="1"/>
    <col min="25" max="25" width="21.88671875" style="127" bestFit="1" customWidth="1"/>
    <col min="26" max="26" width="35.88671875" style="127" bestFit="1" customWidth="1"/>
    <col min="27" max="27" width="23.44140625" style="74" bestFit="1" customWidth="1"/>
    <col min="28" max="28" width="29.88671875" style="127" bestFit="1" customWidth="1"/>
    <col min="29" max="29" width="27.88671875" style="127" bestFit="1" customWidth="1"/>
    <col min="30" max="30" width="10.109375" style="127" bestFit="1" customWidth="1"/>
    <col min="31" max="31" width="19.33203125" style="127" bestFit="1" customWidth="1"/>
    <col min="32" max="32" width="23" style="127" bestFit="1" customWidth="1"/>
    <col min="33" max="33" width="15.44140625" style="127" bestFit="1" customWidth="1"/>
    <col min="34" max="34" width="14.109375" style="127" bestFit="1" customWidth="1"/>
    <col min="35" max="35" width="19.33203125" style="127" bestFit="1" customWidth="1"/>
    <col min="36" max="36" width="23" style="127" bestFit="1" customWidth="1"/>
    <col min="37" max="37" width="52.109375" style="127" bestFit="1" customWidth="1"/>
    <col min="38" max="38" width="42.33203125" style="127" bestFit="1" customWidth="1"/>
    <col min="39" max="39" width="50.109375" style="127" bestFit="1" customWidth="1"/>
    <col min="40" max="40" width="40.44140625" style="127" bestFit="1" customWidth="1"/>
    <col min="41" max="41" width="17.44140625" style="127" bestFit="1" customWidth="1"/>
    <col min="42" max="42" width="17.109375" style="127" customWidth="1"/>
    <col min="43" max="43" width="29.33203125" style="74" bestFit="1" customWidth="1"/>
    <col min="44" max="44" width="33.6640625" style="74" bestFit="1" customWidth="1"/>
    <col min="45" max="45" width="49.5546875" style="74" bestFit="1" customWidth="1"/>
    <col min="46" max="46" width="20.109375" style="74" bestFit="1" customWidth="1"/>
    <col min="47" max="47" width="19.5546875" style="74" bestFit="1" customWidth="1"/>
    <col min="48" max="48" width="14.88671875" style="74" bestFit="1" customWidth="1"/>
    <col min="49" max="16384" width="9.109375" style="127"/>
  </cols>
  <sheetData>
    <row r="1" spans="1:48" s="74" customFormat="1" x14ac:dyDescent="0.3">
      <c r="A1" s="74" t="s">
        <v>87</v>
      </c>
      <c r="B1" s="74" t="s">
        <v>762</v>
      </c>
      <c r="C1" s="74" t="s">
        <v>88</v>
      </c>
      <c r="D1" s="74" t="s">
        <v>89</v>
      </c>
      <c r="E1" s="74" t="s">
        <v>90</v>
      </c>
      <c r="F1" s="74" t="s">
        <v>91</v>
      </c>
      <c r="G1" s="74" t="s">
        <v>92</v>
      </c>
      <c r="H1" s="74" t="s">
        <v>4</v>
      </c>
      <c r="I1" s="74" t="s">
        <v>93</v>
      </c>
      <c r="J1" s="74" t="s">
        <v>2</v>
      </c>
      <c r="K1" s="74" t="s">
        <v>3</v>
      </c>
      <c r="L1" s="74" t="s">
        <v>94</v>
      </c>
      <c r="M1" s="74" t="s">
        <v>95</v>
      </c>
      <c r="N1" s="74" t="s">
        <v>96</v>
      </c>
      <c r="O1" s="74" t="s">
        <v>653</v>
      </c>
      <c r="P1" s="74" t="s">
        <v>654</v>
      </c>
      <c r="Q1" s="74" t="s">
        <v>655</v>
      </c>
      <c r="R1" s="74" t="s">
        <v>656</v>
      </c>
      <c r="S1" s="74" t="s">
        <v>97</v>
      </c>
      <c r="T1" s="74" t="s">
        <v>98</v>
      </c>
      <c r="U1" s="74" t="s">
        <v>99</v>
      </c>
      <c r="V1" s="74" t="s">
        <v>100</v>
      </c>
      <c r="W1" s="74" t="s">
        <v>101</v>
      </c>
      <c r="X1" s="74" t="s">
        <v>102</v>
      </c>
      <c r="Y1" s="74" t="s">
        <v>1</v>
      </c>
      <c r="Z1" s="74" t="s">
        <v>103</v>
      </c>
      <c r="AA1" s="74" t="s">
        <v>104</v>
      </c>
      <c r="AB1" s="74" t="s">
        <v>105</v>
      </c>
      <c r="AC1" s="74" t="s">
        <v>106</v>
      </c>
      <c r="AD1" s="74" t="s">
        <v>107</v>
      </c>
      <c r="AE1" s="74" t="s">
        <v>108</v>
      </c>
      <c r="AF1" s="74" t="s">
        <v>109</v>
      </c>
      <c r="AG1" s="74" t="s">
        <v>110</v>
      </c>
      <c r="AH1" s="74" t="s">
        <v>111</v>
      </c>
      <c r="AI1" s="74" t="s">
        <v>112</v>
      </c>
      <c r="AJ1" s="74" t="s">
        <v>113</v>
      </c>
      <c r="AK1" s="74" t="s">
        <v>114</v>
      </c>
      <c r="AL1" s="74" t="s">
        <v>115</v>
      </c>
      <c r="AM1" s="74" t="s">
        <v>116</v>
      </c>
      <c r="AN1" s="74" t="s">
        <v>117</v>
      </c>
      <c r="AO1" s="128" t="s">
        <v>215</v>
      </c>
      <c r="AP1" s="128" t="s">
        <v>663</v>
      </c>
      <c r="AQ1" s="128" t="s">
        <v>767</v>
      </c>
      <c r="AR1" s="128" t="s">
        <v>763</v>
      </c>
      <c r="AS1" s="128" t="s">
        <v>764</v>
      </c>
      <c r="AT1" s="128" t="s">
        <v>765</v>
      </c>
      <c r="AU1" s="128" t="s">
        <v>766</v>
      </c>
      <c r="AV1" s="128" t="s">
        <v>768</v>
      </c>
    </row>
    <row r="2" spans="1:48" x14ac:dyDescent="0.3">
      <c r="A2" s="215" t="s">
        <v>138</v>
      </c>
      <c r="B2" s="216" t="s">
        <v>572</v>
      </c>
      <c r="C2" s="215" t="s">
        <v>139</v>
      </c>
      <c r="D2" s="215" t="s">
        <v>50</v>
      </c>
      <c r="E2" s="216" t="s">
        <v>45</v>
      </c>
      <c r="F2" s="215" t="s">
        <v>1560</v>
      </c>
      <c r="G2" s="215" t="s">
        <v>1561</v>
      </c>
      <c r="H2" s="217">
        <v>44721</v>
      </c>
      <c r="I2" s="217">
        <v>46174</v>
      </c>
      <c r="J2" s="215" t="s">
        <v>7</v>
      </c>
      <c r="K2" s="215" t="s">
        <v>120</v>
      </c>
      <c r="L2" s="216" t="s">
        <v>21</v>
      </c>
      <c r="M2" s="216" t="s">
        <v>1562</v>
      </c>
      <c r="N2" s="216" t="s">
        <v>0</v>
      </c>
      <c r="O2" s="215" t="s">
        <v>1563</v>
      </c>
      <c r="P2" s="215" t="s">
        <v>1564</v>
      </c>
      <c r="Q2" s="215" t="s">
        <v>1565</v>
      </c>
      <c r="R2" s="215"/>
      <c r="S2" s="215">
        <v>0</v>
      </c>
      <c r="T2" s="215">
        <v>341630.5</v>
      </c>
      <c r="U2" s="215">
        <v>0</v>
      </c>
      <c r="V2" s="215">
        <v>341630.5</v>
      </c>
      <c r="W2" s="215">
        <v>0</v>
      </c>
      <c r="X2" s="215">
        <v>341630.5</v>
      </c>
      <c r="Y2" s="215" t="s">
        <v>1566</v>
      </c>
      <c r="Z2" s="215">
        <v>341630.5</v>
      </c>
      <c r="AA2" s="217">
        <v>46176</v>
      </c>
      <c r="AB2" s="215">
        <v>341631</v>
      </c>
      <c r="AC2" s="215">
        <v>0</v>
      </c>
      <c r="AD2" s="215" t="s">
        <v>121</v>
      </c>
      <c r="AE2" s="215">
        <v>0</v>
      </c>
      <c r="AF2" s="215">
        <v>0</v>
      </c>
      <c r="AG2" s="215">
        <v>0</v>
      </c>
      <c r="AH2" s="215"/>
      <c r="AI2" s="215" t="s">
        <v>9</v>
      </c>
      <c r="AJ2" s="215"/>
      <c r="AK2" s="215">
        <v>0</v>
      </c>
      <c r="AL2" s="215">
        <v>0</v>
      </c>
      <c r="AM2" s="215">
        <v>-0.5</v>
      </c>
      <c r="AN2" s="215">
        <v>-0.5</v>
      </c>
      <c r="AO2" s="218" t="str">
        <f>VLOOKUP(hcp[[#This Row],[BRANCHID]],'New KC'!$A:$K,8,0)</f>
        <v>01. Jabodetabekser</v>
      </c>
      <c r="AP2" s="218" t="str">
        <f>VLOOKUP(hcp[[#This Row],[BRANCHID]],'New KC'!$A:$K,9,0)</f>
        <v>BEKASI</v>
      </c>
      <c r="AQ2" s="219">
        <f>DAY(hcp[[#This Row],[TGL_PEMBAYARAN]])</f>
        <v>3</v>
      </c>
      <c r="AR2" s="219" t="str">
        <f>TEXT(hcp[[#This Row],[TGL_PEMBAYARAN]],"YY-MM")</f>
        <v>26-06</v>
      </c>
      <c r="AS2" s="219" t="str">
        <f>TEXT(hcp[[#This Row],[TANGGAL_BAYAR_ANGS_TERAKHIR]],"YY-MM")</f>
        <v>26-06</v>
      </c>
      <c r="AT2" s="219" t="str">
        <f>IF(hcp[[#This Row],[Periode ( TANGGAL_BAYAR_ANGS_TERAKHIR )]]=hcp[[#This Row],[Periode ( TGL_PEMBAYARAN )]],"AKTIF","ALDA")</f>
        <v>AKTIF</v>
      </c>
      <c r="AU2" s="219" t="b">
        <f>hcp[[#This Row],[Periode ( TANGGAL_BAYAR_ANGS_TERAKHIR )]]=hcp[[#This Row],[Periode ( TGL_PEMBAYARAN )]]</f>
        <v>1</v>
      </c>
      <c r="AV2" s="219">
        <f ca="1">IF(hcp[[#This Row],[Tgl ( TGL_PEMBAYARAN )]]=DAY(TODAY()),1,0)</f>
        <v>0</v>
      </c>
    </row>
    <row r="3" spans="1:48" x14ac:dyDescent="0.3">
      <c r="A3" s="215" t="s">
        <v>149</v>
      </c>
      <c r="B3" s="216" t="s">
        <v>577</v>
      </c>
      <c r="C3" s="215" t="s">
        <v>155</v>
      </c>
      <c r="D3" s="215" t="s">
        <v>53</v>
      </c>
      <c r="E3" s="216" t="s">
        <v>45</v>
      </c>
      <c r="F3" s="215" t="s">
        <v>1567</v>
      </c>
      <c r="G3" s="215" t="s">
        <v>1568</v>
      </c>
      <c r="H3" s="217">
        <v>44709</v>
      </c>
      <c r="I3" s="217">
        <v>46175</v>
      </c>
      <c r="J3" s="215" t="s">
        <v>7</v>
      </c>
      <c r="K3" s="215" t="s">
        <v>120</v>
      </c>
      <c r="L3" s="216" t="s">
        <v>21</v>
      </c>
      <c r="M3" s="216" t="s">
        <v>1569</v>
      </c>
      <c r="N3" s="216" t="s">
        <v>1570</v>
      </c>
      <c r="O3" s="215" t="s">
        <v>1571</v>
      </c>
      <c r="P3" s="215" t="s">
        <v>1571</v>
      </c>
      <c r="Q3" s="215" t="s">
        <v>1572</v>
      </c>
      <c r="R3" s="215"/>
      <c r="S3" s="215">
        <v>0</v>
      </c>
      <c r="T3" s="215">
        <v>0</v>
      </c>
      <c r="U3" s="215">
        <v>2270000</v>
      </c>
      <c r="V3" s="215">
        <v>2270000</v>
      </c>
      <c r="W3" s="215">
        <v>1661000</v>
      </c>
      <c r="X3" s="215">
        <v>609000</v>
      </c>
      <c r="Y3" s="215" t="s">
        <v>40</v>
      </c>
      <c r="Z3" s="215">
        <v>0</v>
      </c>
      <c r="AA3" s="217">
        <v>46176</v>
      </c>
      <c r="AB3" s="215">
        <v>609000</v>
      </c>
      <c r="AC3" s="215">
        <v>0</v>
      </c>
      <c r="AD3" s="215" t="s">
        <v>121</v>
      </c>
      <c r="AE3" s="215">
        <v>0</v>
      </c>
      <c r="AF3" s="215">
        <v>0</v>
      </c>
      <c r="AG3" s="215">
        <v>0</v>
      </c>
      <c r="AH3" s="215">
        <v>46176</v>
      </c>
      <c r="AI3" s="215" t="s">
        <v>9</v>
      </c>
      <c r="AJ3" s="215"/>
      <c r="AK3" s="215">
        <v>0</v>
      </c>
      <c r="AL3" s="215">
        <v>0</v>
      </c>
      <c r="AM3" s="215">
        <v>1661000</v>
      </c>
      <c r="AN3" s="215">
        <v>0</v>
      </c>
      <c r="AO3" s="218" t="str">
        <f>VLOOKUP(hcp[[#This Row],[BRANCHID]],'New KC'!$A:$K,8,0)</f>
        <v>03. Jawa Tengah</v>
      </c>
      <c r="AP3" s="218" t="str">
        <f>VLOOKUP(hcp[[#This Row],[BRANCHID]],'New KC'!$A:$K,9,0)</f>
        <v>SEMARANG</v>
      </c>
      <c r="AQ3" s="219">
        <f>DAY(hcp[[#This Row],[TGL_PEMBAYARAN]])</f>
        <v>3</v>
      </c>
      <c r="AR3" s="219" t="str">
        <f>TEXT(hcp[[#This Row],[TGL_PEMBAYARAN]],"YY-MM")</f>
        <v>26-06</v>
      </c>
      <c r="AS3" s="219" t="str">
        <f>TEXT(hcp[[#This Row],[TANGGAL_BAYAR_ANGS_TERAKHIR]],"YY-MM")</f>
        <v>26-06</v>
      </c>
      <c r="AT3" s="219" t="str">
        <f>IF(hcp[[#This Row],[Periode ( TANGGAL_BAYAR_ANGS_TERAKHIR )]]=hcp[[#This Row],[Periode ( TGL_PEMBAYARAN )]],"AKTIF","ALDA")</f>
        <v>AKTIF</v>
      </c>
      <c r="AU3" s="219" t="b">
        <f>hcp[[#This Row],[Periode ( TANGGAL_BAYAR_ANGS_TERAKHIR )]]=hcp[[#This Row],[Periode ( TGL_PEMBAYARAN )]]</f>
        <v>1</v>
      </c>
      <c r="AV3" s="219">
        <f ca="1">IF(hcp[[#This Row],[Tgl ( TGL_PEMBAYARAN )]]=DAY(TODAY()),1,0)</f>
        <v>0</v>
      </c>
    </row>
    <row r="4" spans="1:48" x14ac:dyDescent="0.3">
      <c r="A4" s="215" t="s">
        <v>161</v>
      </c>
      <c r="B4" s="216" t="s">
        <v>568</v>
      </c>
      <c r="C4" s="215" t="s">
        <v>168</v>
      </c>
      <c r="D4" s="215" t="s">
        <v>48</v>
      </c>
      <c r="E4" s="216" t="s">
        <v>45</v>
      </c>
      <c r="F4" s="215" t="s">
        <v>1573</v>
      </c>
      <c r="G4" s="215" t="s">
        <v>1574</v>
      </c>
      <c r="H4" s="217">
        <v>44033</v>
      </c>
      <c r="I4" s="217">
        <v>45492</v>
      </c>
      <c r="J4" s="215" t="s">
        <v>7</v>
      </c>
      <c r="K4" s="215" t="s">
        <v>120</v>
      </c>
      <c r="L4" s="216" t="s">
        <v>17</v>
      </c>
      <c r="M4" s="216" t="s">
        <v>1575</v>
      </c>
      <c r="N4" s="216" t="s">
        <v>0</v>
      </c>
      <c r="O4" s="215" t="s">
        <v>1576</v>
      </c>
      <c r="P4" s="215" t="s">
        <v>1576</v>
      </c>
      <c r="Q4" s="215" t="s">
        <v>1576</v>
      </c>
      <c r="R4" s="215"/>
      <c r="S4" s="215">
        <v>0</v>
      </c>
      <c r="T4" s="215">
        <v>709200</v>
      </c>
      <c r="U4" s="215">
        <v>0</v>
      </c>
      <c r="V4" s="215">
        <v>709200</v>
      </c>
      <c r="W4" s="215">
        <v>0</v>
      </c>
      <c r="X4" s="215">
        <v>709200</v>
      </c>
      <c r="Y4" s="215" t="s">
        <v>40</v>
      </c>
      <c r="Z4" s="215">
        <v>0</v>
      </c>
      <c r="AA4" s="217">
        <v>46176</v>
      </c>
      <c r="AB4" s="215">
        <v>709200</v>
      </c>
      <c r="AC4" s="215">
        <v>709200</v>
      </c>
      <c r="AD4" s="215" t="s">
        <v>123</v>
      </c>
      <c r="AE4" s="215">
        <v>0</v>
      </c>
      <c r="AF4" s="215">
        <v>0</v>
      </c>
      <c r="AG4" s="215">
        <v>0</v>
      </c>
      <c r="AH4" s="215">
        <v>46176</v>
      </c>
      <c r="AI4" s="215" t="s">
        <v>9</v>
      </c>
      <c r="AJ4" s="215"/>
      <c r="AK4" s="215">
        <v>0</v>
      </c>
      <c r="AL4" s="215">
        <v>0</v>
      </c>
      <c r="AM4" s="215">
        <v>0</v>
      </c>
      <c r="AN4" s="215">
        <v>0</v>
      </c>
      <c r="AO4" s="218" t="str">
        <f>VLOOKUP(hcp[[#This Row],[BRANCHID]],'New KC'!$A:$K,8,0)</f>
        <v>04. Jawa Timur</v>
      </c>
      <c r="AP4" s="218" t="str">
        <f>VLOOKUP(hcp[[#This Row],[BRANCHID]],'New KC'!$A:$K,9,0)</f>
        <v>SURABAYA</v>
      </c>
      <c r="AQ4" s="219">
        <f>DAY(hcp[[#This Row],[TGL_PEMBAYARAN]])</f>
        <v>3</v>
      </c>
      <c r="AR4" s="219" t="str">
        <f>TEXT(hcp[[#This Row],[TGL_PEMBAYARAN]],"YY-MM")</f>
        <v>26-06</v>
      </c>
      <c r="AS4" s="219" t="str">
        <f>TEXT(hcp[[#This Row],[TANGGAL_BAYAR_ANGS_TERAKHIR]],"YY-MM")</f>
        <v>24-07</v>
      </c>
      <c r="AT4" s="219" t="str">
        <f>IF(hcp[[#This Row],[Periode ( TANGGAL_BAYAR_ANGS_TERAKHIR )]]=hcp[[#This Row],[Periode ( TGL_PEMBAYARAN )]],"AKTIF","ALDA")</f>
        <v>ALDA</v>
      </c>
      <c r="AU4" s="219" t="b">
        <f>hcp[[#This Row],[Periode ( TANGGAL_BAYAR_ANGS_TERAKHIR )]]=hcp[[#This Row],[Periode ( TGL_PEMBAYARAN )]]</f>
        <v>0</v>
      </c>
      <c r="AV4" s="219">
        <f ca="1">IF(hcp[[#This Row],[Tgl ( TGL_PEMBAYARAN )]]=DAY(TODAY()),1,0)</f>
        <v>0</v>
      </c>
    </row>
    <row r="5" spans="1:48" x14ac:dyDescent="0.3">
      <c r="A5" s="215" t="s">
        <v>169</v>
      </c>
      <c r="B5" s="216" t="s">
        <v>594</v>
      </c>
      <c r="C5" s="215" t="s">
        <v>171</v>
      </c>
      <c r="D5" s="215" t="s">
        <v>57</v>
      </c>
      <c r="E5" s="216" t="s">
        <v>45</v>
      </c>
      <c r="F5" s="215" t="s">
        <v>1577</v>
      </c>
      <c r="G5" s="215" t="s">
        <v>1578</v>
      </c>
      <c r="H5" s="217">
        <v>44740</v>
      </c>
      <c r="I5" s="217">
        <v>46143</v>
      </c>
      <c r="J5" s="215" t="s">
        <v>7</v>
      </c>
      <c r="K5" s="215" t="s">
        <v>120</v>
      </c>
      <c r="L5" s="216" t="s">
        <v>21</v>
      </c>
      <c r="M5" s="216" t="s">
        <v>0</v>
      </c>
      <c r="N5" s="216" t="s">
        <v>0</v>
      </c>
      <c r="O5" s="215" t="s">
        <v>1579</v>
      </c>
      <c r="P5" s="215" t="s">
        <v>1579</v>
      </c>
      <c r="Q5" s="215"/>
      <c r="R5" s="215"/>
      <c r="S5" s="215">
        <v>0</v>
      </c>
      <c r="T5" s="215">
        <v>100490</v>
      </c>
      <c r="U5" s="215">
        <v>1410426</v>
      </c>
      <c r="V5" s="215">
        <v>1510916</v>
      </c>
      <c r="W5" s="215">
        <v>0</v>
      </c>
      <c r="X5" s="215">
        <v>1510916</v>
      </c>
      <c r="Y5" s="215" t="s">
        <v>6</v>
      </c>
      <c r="Z5" s="215">
        <v>100490</v>
      </c>
      <c r="AA5" s="217">
        <v>46176</v>
      </c>
      <c r="AB5" s="215">
        <v>1510916</v>
      </c>
      <c r="AC5" s="215">
        <v>1510916</v>
      </c>
      <c r="AD5" s="215" t="s">
        <v>121</v>
      </c>
      <c r="AE5" s="215">
        <v>0</v>
      </c>
      <c r="AF5" s="215">
        <v>0</v>
      </c>
      <c r="AG5" s="215">
        <v>0</v>
      </c>
      <c r="AH5" s="215"/>
      <c r="AI5" s="215" t="s">
        <v>9</v>
      </c>
      <c r="AJ5" s="215"/>
      <c r="AK5" s="215">
        <v>0</v>
      </c>
      <c r="AL5" s="215">
        <v>0</v>
      </c>
      <c r="AM5" s="215">
        <v>0</v>
      </c>
      <c r="AN5" s="215">
        <v>0</v>
      </c>
      <c r="AO5" s="218" t="str">
        <f>VLOOKUP(hcp[[#This Row],[BRANCHID]],'New KC'!$A:$K,8,0)</f>
        <v>05. Kalimantan</v>
      </c>
      <c r="AP5" s="218" t="str">
        <f>VLOOKUP(hcp[[#This Row],[BRANCHID]],'New KC'!$A:$K,9,0)</f>
        <v>BANJARMASIN</v>
      </c>
      <c r="AQ5" s="219">
        <f>DAY(hcp[[#This Row],[TGL_PEMBAYARAN]])</f>
        <v>3</v>
      </c>
      <c r="AR5" s="219" t="str">
        <f>TEXT(hcp[[#This Row],[TGL_PEMBAYARAN]],"YY-MM")</f>
        <v>26-06</v>
      </c>
      <c r="AS5" s="219" t="str">
        <f>TEXT(hcp[[#This Row],[TANGGAL_BAYAR_ANGS_TERAKHIR]],"YY-MM")</f>
        <v>26-05</v>
      </c>
      <c r="AT5" s="219" t="str">
        <f>IF(hcp[[#This Row],[Periode ( TANGGAL_BAYAR_ANGS_TERAKHIR )]]=hcp[[#This Row],[Periode ( TGL_PEMBAYARAN )]],"AKTIF","ALDA")</f>
        <v>ALDA</v>
      </c>
      <c r="AU5" s="219" t="b">
        <f>hcp[[#This Row],[Periode ( TANGGAL_BAYAR_ANGS_TERAKHIR )]]=hcp[[#This Row],[Periode ( TGL_PEMBAYARAN )]]</f>
        <v>0</v>
      </c>
      <c r="AV5" s="219">
        <f ca="1">IF(hcp[[#This Row],[Tgl ( TGL_PEMBAYARAN )]]=DAY(TODAY()),1,0)</f>
        <v>0</v>
      </c>
    </row>
    <row r="6" spans="1:48" x14ac:dyDescent="0.3">
      <c r="A6" s="127" t="s">
        <v>169</v>
      </c>
      <c r="B6" s="74" t="s">
        <v>240</v>
      </c>
      <c r="C6" s="127" t="s">
        <v>178</v>
      </c>
      <c r="D6" s="127" t="s">
        <v>19</v>
      </c>
      <c r="E6" s="74" t="s">
        <v>5</v>
      </c>
      <c r="F6" s="127" t="s">
        <v>1580</v>
      </c>
      <c r="G6" s="127" t="s">
        <v>1581</v>
      </c>
      <c r="H6" s="163">
        <v>44363</v>
      </c>
      <c r="I6" s="163">
        <v>45307</v>
      </c>
      <c r="J6" s="127" t="s">
        <v>7</v>
      </c>
      <c r="K6" s="127" t="s">
        <v>130</v>
      </c>
      <c r="L6" s="74" t="s">
        <v>20</v>
      </c>
      <c r="M6" s="74" t="s">
        <v>1582</v>
      </c>
      <c r="N6" s="74" t="s">
        <v>1583</v>
      </c>
      <c r="O6" s="127" t="s">
        <v>1584</v>
      </c>
      <c r="P6" s="127" t="s">
        <v>1585</v>
      </c>
      <c r="Q6" s="127" t="s">
        <v>1586</v>
      </c>
      <c r="S6" s="127">
        <v>0</v>
      </c>
      <c r="T6" s="127">
        <v>2963750</v>
      </c>
      <c r="U6" s="127">
        <v>0</v>
      </c>
      <c r="V6" s="127">
        <v>2963750</v>
      </c>
      <c r="W6" s="127">
        <v>0</v>
      </c>
      <c r="X6" s="127">
        <v>2963750</v>
      </c>
      <c r="Y6" s="127" t="s">
        <v>6</v>
      </c>
      <c r="Z6" s="127">
        <v>2963750</v>
      </c>
      <c r="AA6" s="163">
        <v>46176</v>
      </c>
      <c r="AB6" s="127">
        <v>307000</v>
      </c>
      <c r="AC6" s="127">
        <v>307000</v>
      </c>
      <c r="AD6" s="127" t="s">
        <v>121</v>
      </c>
      <c r="AE6" s="127">
        <v>0</v>
      </c>
      <c r="AF6" s="127">
        <v>0</v>
      </c>
      <c r="AG6" s="127">
        <v>0</v>
      </c>
      <c r="AI6" s="127" t="s">
        <v>9</v>
      </c>
      <c r="AK6" s="127">
        <v>0</v>
      </c>
      <c r="AL6" s="127">
        <v>0</v>
      </c>
      <c r="AM6" s="127">
        <v>2656750</v>
      </c>
      <c r="AN6" s="127">
        <v>2656750</v>
      </c>
      <c r="AO6" s="161" t="str">
        <f>VLOOKUP(hcp[[#This Row],[BRANCHID]],'New KC'!$A:$K,8,0)</f>
        <v>05. Kalimantan</v>
      </c>
      <c r="AP6" s="161" t="str">
        <f>VLOOKUP(hcp[[#This Row],[BRANCHID]],'New KC'!$A:$K,9,0)</f>
        <v>SAMARINDA</v>
      </c>
      <c r="AQ6" s="162">
        <f>DAY(hcp[[#This Row],[TGL_PEMBAYARAN]])</f>
        <v>3</v>
      </c>
      <c r="AR6" s="162" t="str">
        <f>TEXT(hcp[[#This Row],[TGL_PEMBAYARAN]],"YY-MM")</f>
        <v>26-06</v>
      </c>
      <c r="AS6" s="162" t="str">
        <f>TEXT(hcp[[#This Row],[TANGGAL_BAYAR_ANGS_TERAKHIR]],"YY-MM")</f>
        <v>24-01</v>
      </c>
      <c r="AT6" s="162" t="str">
        <f>IF(hcp[[#This Row],[Periode ( TANGGAL_BAYAR_ANGS_TERAKHIR )]]=hcp[[#This Row],[Periode ( TGL_PEMBAYARAN )]],"AKTIF","ALDA")</f>
        <v>ALDA</v>
      </c>
      <c r="AU6" s="162" t="b">
        <f>hcp[[#This Row],[Periode ( TANGGAL_BAYAR_ANGS_TERAKHIR )]]=hcp[[#This Row],[Periode ( TGL_PEMBAYARAN )]]</f>
        <v>0</v>
      </c>
      <c r="AV6" s="162">
        <f ca="1">IF(hcp[[#This Row],[Tgl ( TGL_PEMBAYARAN )]]=DAY(TODAY()),1,0)</f>
        <v>0</v>
      </c>
    </row>
    <row r="7" spans="1:48" x14ac:dyDescent="0.3">
      <c r="A7" s="215" t="s">
        <v>169</v>
      </c>
      <c r="B7" s="216" t="s">
        <v>630</v>
      </c>
      <c r="C7" s="215" t="s">
        <v>180</v>
      </c>
      <c r="D7" s="215" t="s">
        <v>78</v>
      </c>
      <c r="E7" s="216" t="s">
        <v>45</v>
      </c>
      <c r="F7" s="215" t="s">
        <v>1587</v>
      </c>
      <c r="G7" s="215" t="s">
        <v>1588</v>
      </c>
      <c r="H7" s="217">
        <v>44345</v>
      </c>
      <c r="I7" s="217">
        <v>46174</v>
      </c>
      <c r="J7" s="215" t="s">
        <v>7</v>
      </c>
      <c r="K7" s="215" t="s">
        <v>1589</v>
      </c>
      <c r="L7" s="216" t="s">
        <v>17</v>
      </c>
      <c r="M7" s="216" t="s">
        <v>1590</v>
      </c>
      <c r="N7" s="216" t="s">
        <v>0</v>
      </c>
      <c r="O7" s="215" t="s">
        <v>1591</v>
      </c>
      <c r="P7" s="215" t="s">
        <v>1591</v>
      </c>
      <c r="Q7" s="215" t="s">
        <v>1591</v>
      </c>
      <c r="R7" s="215"/>
      <c r="S7" s="215">
        <v>0</v>
      </c>
      <c r="T7" s="215">
        <v>0</v>
      </c>
      <c r="U7" s="215">
        <v>404955</v>
      </c>
      <c r="V7" s="215">
        <v>404955</v>
      </c>
      <c r="W7" s="215">
        <v>150000</v>
      </c>
      <c r="X7" s="215">
        <v>254955</v>
      </c>
      <c r="Y7" s="215" t="s">
        <v>40</v>
      </c>
      <c r="Z7" s="215">
        <v>0</v>
      </c>
      <c r="AA7" s="217">
        <v>46176</v>
      </c>
      <c r="AB7" s="215">
        <v>254955</v>
      </c>
      <c r="AC7" s="215">
        <v>0</v>
      </c>
      <c r="AD7" s="215" t="s">
        <v>121</v>
      </c>
      <c r="AE7" s="215">
        <v>0</v>
      </c>
      <c r="AF7" s="215">
        <v>0</v>
      </c>
      <c r="AG7" s="215">
        <v>0</v>
      </c>
      <c r="AH7" s="215">
        <v>46176</v>
      </c>
      <c r="AI7" s="215" t="s">
        <v>9</v>
      </c>
      <c r="AJ7" s="215"/>
      <c r="AK7" s="215">
        <v>0</v>
      </c>
      <c r="AL7" s="215">
        <v>0</v>
      </c>
      <c r="AM7" s="215">
        <v>150000</v>
      </c>
      <c r="AN7" s="215">
        <v>0</v>
      </c>
      <c r="AO7" s="218" t="str">
        <f>VLOOKUP(hcp[[#This Row],[BRANCHID]],'New KC'!$A:$K,8,0)</f>
        <v>05. Kalimantan</v>
      </c>
      <c r="AP7" s="218" t="str">
        <f>VLOOKUP(hcp[[#This Row],[BRANCHID]],'New KC'!$A:$K,9,0)</f>
        <v>SAMPIT</v>
      </c>
      <c r="AQ7" s="219">
        <f>DAY(hcp[[#This Row],[TGL_PEMBAYARAN]])</f>
        <v>3</v>
      </c>
      <c r="AR7" s="219" t="str">
        <f>TEXT(hcp[[#This Row],[TGL_PEMBAYARAN]],"YY-MM")</f>
        <v>26-06</v>
      </c>
      <c r="AS7" s="219" t="str">
        <f>TEXT(hcp[[#This Row],[TANGGAL_BAYAR_ANGS_TERAKHIR]],"YY-MM")</f>
        <v>26-06</v>
      </c>
      <c r="AT7" s="219" t="str">
        <f>IF(hcp[[#This Row],[Periode ( TANGGAL_BAYAR_ANGS_TERAKHIR )]]=hcp[[#This Row],[Periode ( TGL_PEMBAYARAN )]],"AKTIF","ALDA")</f>
        <v>AKTIF</v>
      </c>
      <c r="AU7" s="219" t="b">
        <f>hcp[[#This Row],[Periode ( TANGGAL_BAYAR_ANGS_TERAKHIR )]]=hcp[[#This Row],[Periode ( TGL_PEMBAYARAN )]]</f>
        <v>1</v>
      </c>
      <c r="AV7" s="219">
        <f ca="1">IF(hcp[[#This Row],[Tgl ( TGL_PEMBAYARAN )]]=DAY(TODAY()),1,0)</f>
        <v>0</v>
      </c>
    </row>
    <row r="8" spans="1:48" x14ac:dyDescent="0.3">
      <c r="A8" s="215" t="s">
        <v>169</v>
      </c>
      <c r="B8" s="216" t="s">
        <v>630</v>
      </c>
      <c r="C8" s="215" t="s">
        <v>180</v>
      </c>
      <c r="D8" s="215" t="s">
        <v>78</v>
      </c>
      <c r="E8" s="216" t="s">
        <v>45</v>
      </c>
      <c r="F8" s="215" t="s">
        <v>1592</v>
      </c>
      <c r="G8" s="215" t="s">
        <v>1593</v>
      </c>
      <c r="H8" s="217">
        <v>44672</v>
      </c>
      <c r="I8" s="217">
        <v>46119</v>
      </c>
      <c r="J8" s="215" t="s">
        <v>7</v>
      </c>
      <c r="K8" s="215" t="s">
        <v>120</v>
      </c>
      <c r="L8" s="216" t="s">
        <v>21</v>
      </c>
      <c r="M8" s="216" t="s">
        <v>1594</v>
      </c>
      <c r="N8" s="216" t="s">
        <v>0</v>
      </c>
      <c r="O8" s="215" t="s">
        <v>1595</v>
      </c>
      <c r="P8" s="215" t="s">
        <v>1595</v>
      </c>
      <c r="Q8" s="215" t="s">
        <v>1596</v>
      </c>
      <c r="R8" s="215"/>
      <c r="S8" s="215">
        <v>0</v>
      </c>
      <c r="T8" s="215">
        <v>1403050</v>
      </c>
      <c r="U8" s="215">
        <v>0</v>
      </c>
      <c r="V8" s="215">
        <v>1403050</v>
      </c>
      <c r="W8" s="215">
        <v>0</v>
      </c>
      <c r="X8" s="215">
        <v>1403050</v>
      </c>
      <c r="Y8" s="215" t="s">
        <v>6</v>
      </c>
      <c r="Z8" s="215">
        <v>1403050</v>
      </c>
      <c r="AA8" s="217">
        <v>46176</v>
      </c>
      <c r="AB8" s="215">
        <v>1403050</v>
      </c>
      <c r="AC8" s="215">
        <v>1403050</v>
      </c>
      <c r="AD8" s="215" t="s">
        <v>121</v>
      </c>
      <c r="AE8" s="215">
        <v>0</v>
      </c>
      <c r="AF8" s="215">
        <v>0</v>
      </c>
      <c r="AG8" s="215">
        <v>0</v>
      </c>
      <c r="AH8" s="215"/>
      <c r="AI8" s="215" t="s">
        <v>9</v>
      </c>
      <c r="AJ8" s="215"/>
      <c r="AK8" s="215">
        <v>0</v>
      </c>
      <c r="AL8" s="215">
        <v>0</v>
      </c>
      <c r="AM8" s="215">
        <v>0</v>
      </c>
      <c r="AN8" s="215">
        <v>0</v>
      </c>
      <c r="AO8" s="218" t="str">
        <f>VLOOKUP(hcp[[#This Row],[BRANCHID]],'New KC'!$A:$K,8,0)</f>
        <v>05. Kalimantan</v>
      </c>
      <c r="AP8" s="218" t="str">
        <f>VLOOKUP(hcp[[#This Row],[BRANCHID]],'New KC'!$A:$K,9,0)</f>
        <v>SAMPIT</v>
      </c>
      <c r="AQ8" s="219">
        <f>DAY(hcp[[#This Row],[TGL_PEMBAYARAN]])</f>
        <v>3</v>
      </c>
      <c r="AR8" s="219" t="str">
        <f>TEXT(hcp[[#This Row],[TGL_PEMBAYARAN]],"YY-MM")</f>
        <v>26-06</v>
      </c>
      <c r="AS8" s="219" t="str">
        <f>TEXT(hcp[[#This Row],[TANGGAL_BAYAR_ANGS_TERAKHIR]],"YY-MM")</f>
        <v>26-04</v>
      </c>
      <c r="AT8" s="219" t="str">
        <f>IF(hcp[[#This Row],[Periode ( TANGGAL_BAYAR_ANGS_TERAKHIR )]]=hcp[[#This Row],[Periode ( TGL_PEMBAYARAN )]],"AKTIF","ALDA")</f>
        <v>ALDA</v>
      </c>
      <c r="AU8" s="219" t="b">
        <f>hcp[[#This Row],[Periode ( TANGGAL_BAYAR_ANGS_TERAKHIR )]]=hcp[[#This Row],[Periode ( TGL_PEMBAYARAN )]]</f>
        <v>0</v>
      </c>
      <c r="AV8" s="219">
        <f ca="1">IF(hcp[[#This Row],[Tgl ( TGL_PEMBAYARAN )]]=DAY(TODAY()),1,0)</f>
        <v>0</v>
      </c>
    </row>
    <row r="9" spans="1:48" x14ac:dyDescent="0.3">
      <c r="A9" s="215" t="s">
        <v>181</v>
      </c>
      <c r="B9" s="216" t="s">
        <v>343</v>
      </c>
      <c r="C9" s="215" t="s">
        <v>183</v>
      </c>
      <c r="D9" s="215" t="s">
        <v>344</v>
      </c>
      <c r="E9" s="216" t="s">
        <v>5</v>
      </c>
      <c r="F9" s="215" t="s">
        <v>1597</v>
      </c>
      <c r="G9" s="215" t="s">
        <v>1598</v>
      </c>
      <c r="H9" s="217">
        <v>43809</v>
      </c>
      <c r="I9" s="217">
        <v>44925</v>
      </c>
      <c r="J9" s="215" t="s">
        <v>7</v>
      </c>
      <c r="K9" s="215" t="s">
        <v>137</v>
      </c>
      <c r="L9" s="216" t="s">
        <v>15</v>
      </c>
      <c r="M9" s="216" t="s">
        <v>1599</v>
      </c>
      <c r="N9" s="216" t="s">
        <v>0</v>
      </c>
      <c r="O9" s="215" t="s">
        <v>1600</v>
      </c>
      <c r="P9" s="215" t="s">
        <v>1600</v>
      </c>
      <c r="Q9" s="215" t="s">
        <v>1601</v>
      </c>
      <c r="R9" s="215"/>
      <c r="S9" s="215">
        <v>0</v>
      </c>
      <c r="T9" s="215">
        <v>1394780</v>
      </c>
      <c r="U9" s="215">
        <v>0</v>
      </c>
      <c r="V9" s="215">
        <v>1394780</v>
      </c>
      <c r="W9" s="215">
        <v>0</v>
      </c>
      <c r="X9" s="215">
        <v>1394780</v>
      </c>
      <c r="Y9" s="215" t="s">
        <v>6</v>
      </c>
      <c r="Z9" s="215">
        <v>1394780</v>
      </c>
      <c r="AA9" s="217">
        <v>46176</v>
      </c>
      <c r="AB9" s="215">
        <v>1394780</v>
      </c>
      <c r="AC9" s="215">
        <v>1394780</v>
      </c>
      <c r="AD9" s="215" t="s">
        <v>121</v>
      </c>
      <c r="AE9" s="215">
        <v>0</v>
      </c>
      <c r="AF9" s="215">
        <v>0</v>
      </c>
      <c r="AG9" s="215">
        <v>0</v>
      </c>
      <c r="AH9" s="215"/>
      <c r="AI9" s="215" t="s">
        <v>9</v>
      </c>
      <c r="AJ9" s="215"/>
      <c r="AK9" s="215">
        <v>0</v>
      </c>
      <c r="AL9" s="215">
        <v>0</v>
      </c>
      <c r="AM9" s="215">
        <v>0</v>
      </c>
      <c r="AN9" s="215">
        <v>0</v>
      </c>
      <c r="AO9" s="218" t="str">
        <f>VLOOKUP(hcp[[#This Row],[BRANCHID]],'New KC'!$A:$K,8,0)</f>
        <v>06. Sulawesi</v>
      </c>
      <c r="AP9" s="218" t="str">
        <f>VLOOKUP(hcp[[#This Row],[BRANCHID]],'New KC'!$A:$K,9,0)</f>
        <v>KENDARI</v>
      </c>
      <c r="AQ9" s="219">
        <f>DAY(hcp[[#This Row],[TGL_PEMBAYARAN]])</f>
        <v>3</v>
      </c>
      <c r="AR9" s="219" t="str">
        <f>TEXT(hcp[[#This Row],[TGL_PEMBAYARAN]],"YY-MM")</f>
        <v>26-06</v>
      </c>
      <c r="AS9" s="219" t="str">
        <f>TEXT(hcp[[#This Row],[TANGGAL_BAYAR_ANGS_TERAKHIR]],"YY-MM")</f>
        <v>22-12</v>
      </c>
      <c r="AT9" s="219" t="str">
        <f>IF(hcp[[#This Row],[Periode ( TANGGAL_BAYAR_ANGS_TERAKHIR )]]=hcp[[#This Row],[Periode ( TGL_PEMBAYARAN )]],"AKTIF","ALDA")</f>
        <v>ALDA</v>
      </c>
      <c r="AU9" s="219" t="b">
        <f>hcp[[#This Row],[Periode ( TANGGAL_BAYAR_ANGS_TERAKHIR )]]=hcp[[#This Row],[Periode ( TGL_PEMBAYARAN )]]</f>
        <v>0</v>
      </c>
      <c r="AV9" s="219">
        <f ca="1">IF(hcp[[#This Row],[Tgl ( TGL_PEMBAYARAN )]]=DAY(TODAY()),1,0)</f>
        <v>0</v>
      </c>
    </row>
    <row r="10" spans="1:48" x14ac:dyDescent="0.3">
      <c r="A10" s="215" t="s">
        <v>181</v>
      </c>
      <c r="B10" s="216" t="s">
        <v>615</v>
      </c>
      <c r="C10" s="215" t="s">
        <v>189</v>
      </c>
      <c r="D10" s="215" t="s">
        <v>63</v>
      </c>
      <c r="E10" s="216" t="s">
        <v>45</v>
      </c>
      <c r="F10" s="215" t="s">
        <v>1602</v>
      </c>
      <c r="G10" s="215" t="s">
        <v>1603</v>
      </c>
      <c r="H10" s="217">
        <v>43760</v>
      </c>
      <c r="I10" s="217">
        <v>45412</v>
      </c>
      <c r="J10" s="215" t="s">
        <v>7</v>
      </c>
      <c r="K10" s="215" t="s">
        <v>120</v>
      </c>
      <c r="L10" s="216" t="s">
        <v>15</v>
      </c>
      <c r="M10" s="216" t="s">
        <v>1604</v>
      </c>
      <c r="N10" s="216" t="s">
        <v>0</v>
      </c>
      <c r="O10" s="215" t="s">
        <v>1605</v>
      </c>
      <c r="P10" s="215" t="s">
        <v>1605</v>
      </c>
      <c r="Q10" s="215" t="s">
        <v>1606</v>
      </c>
      <c r="R10" s="215"/>
      <c r="S10" s="215">
        <v>0</v>
      </c>
      <c r="T10" s="215">
        <v>6683170</v>
      </c>
      <c r="U10" s="215">
        <v>0</v>
      </c>
      <c r="V10" s="215">
        <v>6683170</v>
      </c>
      <c r="W10" s="215">
        <v>0</v>
      </c>
      <c r="X10" s="215">
        <v>6683170</v>
      </c>
      <c r="Y10" s="215" t="s">
        <v>6</v>
      </c>
      <c r="Z10" s="215">
        <v>5350000</v>
      </c>
      <c r="AA10" s="217">
        <v>46176</v>
      </c>
      <c r="AB10" s="215">
        <v>5350000</v>
      </c>
      <c r="AC10" s="215">
        <v>5350000</v>
      </c>
      <c r="AD10" s="215" t="s">
        <v>121</v>
      </c>
      <c r="AE10" s="215">
        <v>0</v>
      </c>
      <c r="AF10" s="215">
        <v>1333170</v>
      </c>
      <c r="AG10" s="215">
        <v>0</v>
      </c>
      <c r="AH10" s="215"/>
      <c r="AI10" s="215" t="s">
        <v>9</v>
      </c>
      <c r="AJ10" s="215">
        <v>1333170</v>
      </c>
      <c r="AK10" s="215">
        <v>0.2</v>
      </c>
      <c r="AL10" s="215">
        <v>0.2</v>
      </c>
      <c r="AM10" s="215">
        <v>0</v>
      </c>
      <c r="AN10" s="215">
        <v>0</v>
      </c>
      <c r="AO10" s="218" t="str">
        <f>VLOOKUP(hcp[[#This Row],[BRANCHID]],'New KC'!$A:$K,8,0)</f>
        <v>06. Sulawesi</v>
      </c>
      <c r="AP10" s="218" t="str">
        <f>VLOOKUP(hcp[[#This Row],[BRANCHID]],'New KC'!$A:$K,9,0)</f>
        <v>PALU</v>
      </c>
      <c r="AQ10" s="219">
        <f>DAY(hcp[[#This Row],[TGL_PEMBAYARAN]])</f>
        <v>3</v>
      </c>
      <c r="AR10" s="219" t="str">
        <f>TEXT(hcp[[#This Row],[TGL_PEMBAYARAN]],"YY-MM")</f>
        <v>26-06</v>
      </c>
      <c r="AS10" s="219" t="str">
        <f>TEXT(hcp[[#This Row],[TANGGAL_BAYAR_ANGS_TERAKHIR]],"YY-MM")</f>
        <v>24-04</v>
      </c>
      <c r="AT10" s="219" t="str">
        <f>IF(hcp[[#This Row],[Periode ( TANGGAL_BAYAR_ANGS_TERAKHIR )]]=hcp[[#This Row],[Periode ( TGL_PEMBAYARAN )]],"AKTIF","ALDA")</f>
        <v>ALDA</v>
      </c>
      <c r="AU10" s="219" t="b">
        <f>hcp[[#This Row],[Periode ( TANGGAL_BAYAR_ANGS_TERAKHIR )]]=hcp[[#This Row],[Periode ( TGL_PEMBAYARAN )]]</f>
        <v>0</v>
      </c>
      <c r="AV10" s="219">
        <f ca="1">IF(hcp[[#This Row],[Tgl ( TGL_PEMBAYARAN )]]=DAY(TODAY()),1,0)</f>
        <v>0</v>
      </c>
    </row>
    <row r="11" spans="1:48" x14ac:dyDescent="0.3">
      <c r="A11" s="215" t="s">
        <v>138</v>
      </c>
      <c r="B11" s="216" t="s">
        <v>588</v>
      </c>
      <c r="C11" s="215" t="s">
        <v>143</v>
      </c>
      <c r="D11" s="215" t="s">
        <v>70</v>
      </c>
      <c r="E11" s="216" t="s">
        <v>45</v>
      </c>
      <c r="F11" s="215" t="s">
        <v>1516</v>
      </c>
      <c r="G11" s="215" t="s">
        <v>1517</v>
      </c>
      <c r="H11" s="217">
        <v>44679</v>
      </c>
      <c r="I11" s="217">
        <v>46082</v>
      </c>
      <c r="J11" s="215" t="s">
        <v>7</v>
      </c>
      <c r="K11" s="215" t="s">
        <v>129</v>
      </c>
      <c r="L11" s="216" t="s">
        <v>21</v>
      </c>
      <c r="M11" s="216" t="s">
        <v>1518</v>
      </c>
      <c r="N11" s="216" t="s">
        <v>0</v>
      </c>
      <c r="O11" s="215" t="s">
        <v>1519</v>
      </c>
      <c r="P11" s="215" t="s">
        <v>1520</v>
      </c>
      <c r="Q11" s="215" t="s">
        <v>1521</v>
      </c>
      <c r="R11" s="215"/>
      <c r="S11" s="215">
        <v>0</v>
      </c>
      <c r="T11" s="215">
        <v>0</v>
      </c>
      <c r="U11" s="215">
        <v>16025</v>
      </c>
      <c r="V11" s="215">
        <v>16025</v>
      </c>
      <c r="W11" s="215">
        <v>112175</v>
      </c>
      <c r="X11" s="215">
        <v>-96150</v>
      </c>
      <c r="Y11" s="215" t="s">
        <v>40</v>
      </c>
      <c r="Z11" s="215">
        <v>0</v>
      </c>
      <c r="AA11" s="217">
        <v>46175</v>
      </c>
      <c r="AB11" s="215">
        <v>16025</v>
      </c>
      <c r="AC11" s="215">
        <v>16025</v>
      </c>
      <c r="AD11" s="215" t="s">
        <v>121</v>
      </c>
      <c r="AE11" s="215">
        <v>0</v>
      </c>
      <c r="AF11" s="215">
        <v>0</v>
      </c>
      <c r="AG11" s="215">
        <v>0</v>
      </c>
      <c r="AH11" s="215">
        <v>46175</v>
      </c>
      <c r="AI11" s="215" t="s">
        <v>9</v>
      </c>
      <c r="AJ11" s="215"/>
      <c r="AK11" s="215">
        <v>0</v>
      </c>
      <c r="AL11" s="215">
        <v>0</v>
      </c>
      <c r="AM11" s="215">
        <v>0</v>
      </c>
      <c r="AN11" s="215">
        <v>-112175</v>
      </c>
      <c r="AO11" s="218" t="str">
        <f>VLOOKUP(hcp[[#This Row],[BRANCHID]],'New KC'!$A:$K,8,0)</f>
        <v>01. Jabodetabekser</v>
      </c>
      <c r="AP11" s="218" t="str">
        <f>VLOOKUP(hcp[[#This Row],[BRANCHID]],'New KC'!$A:$K,9,0)</f>
        <v>DEWI SARTIKA</v>
      </c>
      <c r="AQ11" s="219">
        <f>DAY(hcp[[#This Row],[TGL_PEMBAYARAN]])</f>
        <v>2</v>
      </c>
      <c r="AR11" s="219" t="str">
        <f>TEXT(hcp[[#This Row],[TGL_PEMBAYARAN]],"YY-MM")</f>
        <v>26-06</v>
      </c>
      <c r="AS11" s="219" t="str">
        <f>TEXT(hcp[[#This Row],[TANGGAL_BAYAR_ANGS_TERAKHIR]],"YY-MM")</f>
        <v>26-03</v>
      </c>
      <c r="AT11" s="219" t="str">
        <f>IF(hcp[[#This Row],[Periode ( TANGGAL_BAYAR_ANGS_TERAKHIR )]]=hcp[[#This Row],[Periode ( TGL_PEMBAYARAN )]],"AKTIF","ALDA")</f>
        <v>ALDA</v>
      </c>
      <c r="AU11" s="219" t="b">
        <f>hcp[[#This Row],[Periode ( TANGGAL_BAYAR_ANGS_TERAKHIR )]]=hcp[[#This Row],[Periode ( TGL_PEMBAYARAN )]]</f>
        <v>0</v>
      </c>
      <c r="AV11" s="219">
        <f ca="1">IF(hcp[[#This Row],[Tgl ( TGL_PEMBAYARAN )]]=DAY(TODAY()),1,0)</f>
        <v>0</v>
      </c>
    </row>
    <row r="12" spans="1:48" x14ac:dyDescent="0.3">
      <c r="A12" s="215" t="s">
        <v>138</v>
      </c>
      <c r="B12" s="216" t="s">
        <v>586</v>
      </c>
      <c r="C12" s="215" t="s">
        <v>146</v>
      </c>
      <c r="D12" s="215" t="s">
        <v>55</v>
      </c>
      <c r="E12" s="216" t="s">
        <v>45</v>
      </c>
      <c r="F12" s="215" t="s">
        <v>1522</v>
      </c>
      <c r="G12" s="215" t="s">
        <v>1523</v>
      </c>
      <c r="H12" s="217">
        <v>44373</v>
      </c>
      <c r="I12" s="217">
        <v>45804</v>
      </c>
      <c r="J12" s="215" t="s">
        <v>7</v>
      </c>
      <c r="K12" s="215" t="s">
        <v>120</v>
      </c>
      <c r="L12" s="216" t="s">
        <v>20</v>
      </c>
      <c r="M12" s="216" t="s">
        <v>1524</v>
      </c>
      <c r="N12" s="216" t="s">
        <v>0</v>
      </c>
      <c r="O12" s="215" t="s">
        <v>1525</v>
      </c>
      <c r="P12" s="215" t="s">
        <v>1525</v>
      </c>
      <c r="Q12" s="215" t="s">
        <v>1526</v>
      </c>
      <c r="R12" s="215"/>
      <c r="S12" s="215">
        <v>0</v>
      </c>
      <c r="T12" s="215">
        <v>2555580</v>
      </c>
      <c r="U12" s="215">
        <v>0</v>
      </c>
      <c r="V12" s="215">
        <v>2555580</v>
      </c>
      <c r="W12" s="215">
        <v>0</v>
      </c>
      <c r="X12" s="215">
        <v>2555580</v>
      </c>
      <c r="Y12" s="215" t="s">
        <v>40</v>
      </c>
      <c r="Z12" s="215">
        <v>0</v>
      </c>
      <c r="AA12" s="217">
        <v>46175</v>
      </c>
      <c r="AB12" s="215">
        <v>2555580</v>
      </c>
      <c r="AC12" s="215">
        <v>2555580</v>
      </c>
      <c r="AD12" s="215" t="s">
        <v>121</v>
      </c>
      <c r="AE12" s="215">
        <v>0</v>
      </c>
      <c r="AF12" s="215">
        <v>0</v>
      </c>
      <c r="AG12" s="215">
        <v>0</v>
      </c>
      <c r="AH12" s="215">
        <v>46176</v>
      </c>
      <c r="AI12" s="215" t="s">
        <v>9</v>
      </c>
      <c r="AJ12" s="215"/>
      <c r="AK12" s="215">
        <v>0</v>
      </c>
      <c r="AL12" s="215">
        <v>0</v>
      </c>
      <c r="AM12" s="215">
        <v>0</v>
      </c>
      <c r="AN12" s="215">
        <v>0</v>
      </c>
      <c r="AO12" s="218" t="str">
        <f>VLOOKUP(hcp[[#This Row],[BRANCHID]],'New KC'!$A:$K,8,0)</f>
        <v>01. Jabodetabekser</v>
      </c>
      <c r="AP12" s="218" t="str">
        <f>VLOOKUP(hcp[[#This Row],[BRANCHID]],'New KC'!$A:$K,9,0)</f>
        <v>SERANG</v>
      </c>
      <c r="AQ12" s="219">
        <f>DAY(hcp[[#This Row],[TGL_PEMBAYARAN]])</f>
        <v>2</v>
      </c>
      <c r="AR12" s="219" t="str">
        <f>TEXT(hcp[[#This Row],[TGL_PEMBAYARAN]],"YY-MM")</f>
        <v>26-06</v>
      </c>
      <c r="AS12" s="219" t="str">
        <f>TEXT(hcp[[#This Row],[TANGGAL_BAYAR_ANGS_TERAKHIR]],"YY-MM")</f>
        <v>25-05</v>
      </c>
      <c r="AT12" s="219" t="str">
        <f>IF(hcp[[#This Row],[Periode ( TANGGAL_BAYAR_ANGS_TERAKHIR )]]=hcp[[#This Row],[Periode ( TGL_PEMBAYARAN )]],"AKTIF","ALDA")</f>
        <v>ALDA</v>
      </c>
      <c r="AU12" s="219" t="b">
        <f>hcp[[#This Row],[Periode ( TANGGAL_BAYAR_ANGS_TERAKHIR )]]=hcp[[#This Row],[Periode ( TGL_PEMBAYARAN )]]</f>
        <v>0</v>
      </c>
      <c r="AV12" s="219">
        <f ca="1">IF(hcp[[#This Row],[Tgl ( TGL_PEMBAYARAN )]]=DAY(TODAY()),1,0)</f>
        <v>0</v>
      </c>
    </row>
    <row r="13" spans="1:48" x14ac:dyDescent="0.3">
      <c r="A13" s="215" t="s">
        <v>149</v>
      </c>
      <c r="B13" s="216" t="s">
        <v>275</v>
      </c>
      <c r="C13" s="215" t="s">
        <v>156</v>
      </c>
      <c r="D13" s="215" t="s">
        <v>32</v>
      </c>
      <c r="E13" s="216" t="s">
        <v>5</v>
      </c>
      <c r="F13" s="215" t="s">
        <v>1527</v>
      </c>
      <c r="G13" s="215" t="s">
        <v>1528</v>
      </c>
      <c r="H13" s="217">
        <v>45069</v>
      </c>
      <c r="I13" s="217">
        <v>46171</v>
      </c>
      <c r="J13" s="215" t="s">
        <v>12</v>
      </c>
      <c r="K13" s="215" t="s">
        <v>128</v>
      </c>
      <c r="L13" s="216" t="s">
        <v>15</v>
      </c>
      <c r="M13" s="216" t="s">
        <v>1529</v>
      </c>
      <c r="N13" s="216" t="s">
        <v>1530</v>
      </c>
      <c r="O13" s="215" t="s">
        <v>1531</v>
      </c>
      <c r="P13" s="215" t="s">
        <v>1531</v>
      </c>
      <c r="Q13" s="215" t="s">
        <v>1532</v>
      </c>
      <c r="R13" s="215"/>
      <c r="S13" s="215">
        <v>0</v>
      </c>
      <c r="T13" s="215">
        <v>3580</v>
      </c>
      <c r="U13" s="215">
        <v>0</v>
      </c>
      <c r="V13" s="215">
        <v>3580</v>
      </c>
      <c r="W13" s="215">
        <v>0</v>
      </c>
      <c r="X13" s="215">
        <v>3580</v>
      </c>
      <c r="Y13" s="215" t="s">
        <v>40</v>
      </c>
      <c r="Z13" s="215">
        <v>0</v>
      </c>
      <c r="AA13" s="217">
        <v>46175</v>
      </c>
      <c r="AB13" s="215">
        <v>3580</v>
      </c>
      <c r="AC13" s="215">
        <v>3580</v>
      </c>
      <c r="AD13" s="215" t="s">
        <v>121</v>
      </c>
      <c r="AE13" s="215">
        <v>0</v>
      </c>
      <c r="AF13" s="215">
        <v>0</v>
      </c>
      <c r="AG13" s="215">
        <v>0</v>
      </c>
      <c r="AH13" s="215">
        <v>46175</v>
      </c>
      <c r="AI13" s="215" t="s">
        <v>9</v>
      </c>
      <c r="AJ13" s="215"/>
      <c r="AK13" s="215">
        <v>0</v>
      </c>
      <c r="AL13" s="215">
        <v>0</v>
      </c>
      <c r="AM13" s="215">
        <v>0</v>
      </c>
      <c r="AN13" s="215">
        <v>0</v>
      </c>
      <c r="AO13" s="218" t="str">
        <f>VLOOKUP(hcp[[#This Row],[BRANCHID]],'New KC'!$A:$K,8,0)</f>
        <v>03. Jawa Tengah</v>
      </c>
      <c r="AP13" s="218" t="str">
        <f>VLOOKUP(hcp[[#This Row],[BRANCHID]],'New KC'!$A:$K,9,0)</f>
        <v>SOLO</v>
      </c>
      <c r="AQ13" s="219">
        <f>DAY(hcp[[#This Row],[TGL_PEMBAYARAN]])</f>
        <v>2</v>
      </c>
      <c r="AR13" s="219" t="str">
        <f>TEXT(hcp[[#This Row],[TGL_PEMBAYARAN]],"YY-MM")</f>
        <v>26-06</v>
      </c>
      <c r="AS13" s="219" t="str">
        <f>TEXT(hcp[[#This Row],[TANGGAL_BAYAR_ANGS_TERAKHIR]],"YY-MM")</f>
        <v>26-05</v>
      </c>
      <c r="AT13" s="219" t="str">
        <f>IF(hcp[[#This Row],[Periode ( TANGGAL_BAYAR_ANGS_TERAKHIR )]]=hcp[[#This Row],[Periode ( TGL_PEMBAYARAN )]],"AKTIF","ALDA")</f>
        <v>ALDA</v>
      </c>
      <c r="AU13" s="219" t="b">
        <f>hcp[[#This Row],[Periode ( TANGGAL_BAYAR_ANGS_TERAKHIR )]]=hcp[[#This Row],[Periode ( TGL_PEMBAYARAN )]]</f>
        <v>0</v>
      </c>
      <c r="AV13" s="219">
        <f ca="1">IF(hcp[[#This Row],[Tgl ( TGL_PEMBAYARAN )]]=DAY(TODAY()),1,0)</f>
        <v>0</v>
      </c>
    </row>
    <row r="14" spans="1:48" x14ac:dyDescent="0.3">
      <c r="A14" s="215" t="s">
        <v>161</v>
      </c>
      <c r="B14" s="216" t="s">
        <v>281</v>
      </c>
      <c r="C14" s="215" t="s">
        <v>162</v>
      </c>
      <c r="D14" s="215" t="s">
        <v>36</v>
      </c>
      <c r="E14" s="216" t="s">
        <v>5</v>
      </c>
      <c r="F14" s="215" t="s">
        <v>1555</v>
      </c>
      <c r="G14" s="215" t="s">
        <v>1556</v>
      </c>
      <c r="H14" s="217">
        <v>45065</v>
      </c>
      <c r="I14" s="217">
        <v>46173</v>
      </c>
      <c r="J14" s="215" t="s">
        <v>12</v>
      </c>
      <c r="K14" s="215" t="s">
        <v>967</v>
      </c>
      <c r="L14" s="216" t="s">
        <v>836</v>
      </c>
      <c r="M14" s="216" t="s">
        <v>1557</v>
      </c>
      <c r="N14" s="216" t="s">
        <v>0</v>
      </c>
      <c r="O14" s="215" t="s">
        <v>1558</v>
      </c>
      <c r="P14" s="215" t="s">
        <v>1559</v>
      </c>
      <c r="Q14" s="215" t="s">
        <v>1558</v>
      </c>
      <c r="R14" s="215"/>
      <c r="S14" s="215">
        <v>0</v>
      </c>
      <c r="T14" s="215">
        <v>89400</v>
      </c>
      <c r="U14" s="215">
        <v>0</v>
      </c>
      <c r="V14" s="215">
        <v>89400</v>
      </c>
      <c r="W14" s="215">
        <v>0</v>
      </c>
      <c r="X14" s="215">
        <v>89400</v>
      </c>
      <c r="Y14" s="215" t="s">
        <v>40</v>
      </c>
      <c r="Z14" s="215">
        <v>0</v>
      </c>
      <c r="AA14" s="217">
        <v>46175</v>
      </c>
      <c r="AB14" s="215">
        <v>89400</v>
      </c>
      <c r="AC14" s="215">
        <v>89400</v>
      </c>
      <c r="AD14" s="215" t="s">
        <v>121</v>
      </c>
      <c r="AE14" s="215">
        <v>0</v>
      </c>
      <c r="AF14" s="215">
        <v>0</v>
      </c>
      <c r="AG14" s="215">
        <v>0</v>
      </c>
      <c r="AH14" s="215">
        <v>46176</v>
      </c>
      <c r="AI14" s="215" t="s">
        <v>9</v>
      </c>
      <c r="AJ14" s="215"/>
      <c r="AK14" s="215">
        <v>0</v>
      </c>
      <c r="AL14" s="215">
        <v>0</v>
      </c>
      <c r="AM14" s="215">
        <v>0</v>
      </c>
      <c r="AN14" s="215">
        <v>0</v>
      </c>
      <c r="AO14" s="218" t="str">
        <f>VLOOKUP(hcp[[#This Row],[BRANCHID]],'New KC'!$A:$K,8,0)</f>
        <v>04. Jawa Timur</v>
      </c>
      <c r="AP14" s="218" t="str">
        <f>VLOOKUP(hcp[[#This Row],[BRANCHID]],'New KC'!$A:$K,9,0)</f>
        <v>GRESIK</v>
      </c>
      <c r="AQ14" s="219">
        <f>DAY(hcp[[#This Row],[TGL_PEMBAYARAN]])</f>
        <v>2</v>
      </c>
      <c r="AR14" s="219" t="str">
        <f>TEXT(hcp[[#This Row],[TGL_PEMBAYARAN]],"YY-MM")</f>
        <v>26-06</v>
      </c>
      <c r="AS14" s="219" t="str">
        <f>TEXT(hcp[[#This Row],[TANGGAL_BAYAR_ANGS_TERAKHIR]],"YY-MM")</f>
        <v>26-05</v>
      </c>
      <c r="AT14" s="219" t="str">
        <f>IF(hcp[[#This Row],[Periode ( TANGGAL_BAYAR_ANGS_TERAKHIR )]]=hcp[[#This Row],[Periode ( TGL_PEMBAYARAN )]],"AKTIF","ALDA")</f>
        <v>ALDA</v>
      </c>
      <c r="AU14" s="219" t="b">
        <f>hcp[[#This Row],[Periode ( TANGGAL_BAYAR_ANGS_TERAKHIR )]]=hcp[[#This Row],[Periode ( TGL_PEMBAYARAN )]]</f>
        <v>0</v>
      </c>
      <c r="AV14" s="219">
        <f ca="1">IF(hcp[[#This Row],[Tgl ( TGL_PEMBAYARAN )]]=DAY(TODAY()),1,0)</f>
        <v>0</v>
      </c>
    </row>
    <row r="15" spans="1:48" x14ac:dyDescent="0.3">
      <c r="A15" s="215" t="s">
        <v>161</v>
      </c>
      <c r="B15" s="216" t="s">
        <v>279</v>
      </c>
      <c r="C15" s="215" t="s">
        <v>166</v>
      </c>
      <c r="D15" s="215" t="s">
        <v>31</v>
      </c>
      <c r="E15" s="216" t="s">
        <v>5</v>
      </c>
      <c r="F15" s="215" t="s">
        <v>1533</v>
      </c>
      <c r="G15" s="215" t="s">
        <v>1534</v>
      </c>
      <c r="H15" s="217">
        <v>44916</v>
      </c>
      <c r="I15" s="217">
        <v>46022</v>
      </c>
      <c r="J15" s="215" t="s">
        <v>849</v>
      </c>
      <c r="K15" s="215" t="s">
        <v>1535</v>
      </c>
      <c r="L15" s="216" t="s">
        <v>14</v>
      </c>
      <c r="M15" s="216" t="s">
        <v>1536</v>
      </c>
      <c r="N15" s="216" t="s">
        <v>0</v>
      </c>
      <c r="O15" s="215" t="s">
        <v>1537</v>
      </c>
      <c r="P15" s="215" t="s">
        <v>1538</v>
      </c>
      <c r="Q15" s="215" t="s">
        <v>1539</v>
      </c>
      <c r="R15" s="215"/>
      <c r="S15" s="215">
        <v>0</v>
      </c>
      <c r="T15" s="215">
        <v>189000</v>
      </c>
      <c r="U15" s="215">
        <v>0</v>
      </c>
      <c r="V15" s="215">
        <v>189000</v>
      </c>
      <c r="W15" s="215">
        <v>0</v>
      </c>
      <c r="X15" s="215">
        <v>189000</v>
      </c>
      <c r="Y15" s="215" t="s">
        <v>16</v>
      </c>
      <c r="Z15" s="215">
        <v>0</v>
      </c>
      <c r="AA15" s="217">
        <v>46175</v>
      </c>
      <c r="AB15" s="215">
        <v>189000</v>
      </c>
      <c r="AC15" s="215">
        <v>189000</v>
      </c>
      <c r="AD15" s="215" t="s">
        <v>123</v>
      </c>
      <c r="AE15" s="215">
        <v>0</v>
      </c>
      <c r="AF15" s="215">
        <v>0</v>
      </c>
      <c r="AG15" s="215">
        <v>0</v>
      </c>
      <c r="AH15" s="215">
        <v>46175</v>
      </c>
      <c r="AI15" s="215" t="s">
        <v>122</v>
      </c>
      <c r="AJ15" s="215"/>
      <c r="AK15" s="215">
        <v>0</v>
      </c>
      <c r="AL15" s="215">
        <v>0</v>
      </c>
      <c r="AM15" s="215">
        <v>0</v>
      </c>
      <c r="AN15" s="215">
        <v>0</v>
      </c>
      <c r="AO15" s="218" t="str">
        <f>VLOOKUP(hcp[[#This Row],[BRANCHID]],'New KC'!$A:$K,8,0)</f>
        <v>04. Jawa Timur</v>
      </c>
      <c r="AP15" s="218" t="str">
        <f>VLOOKUP(hcp[[#This Row],[BRANCHID]],'New KC'!$A:$K,9,0)</f>
        <v>MALANG</v>
      </c>
      <c r="AQ15" s="219">
        <f>DAY(hcp[[#This Row],[TGL_PEMBAYARAN]])</f>
        <v>2</v>
      </c>
      <c r="AR15" s="219" t="str">
        <f>TEXT(hcp[[#This Row],[TGL_PEMBAYARAN]],"YY-MM")</f>
        <v>26-06</v>
      </c>
      <c r="AS15" s="219" t="str">
        <f>TEXT(hcp[[#This Row],[TANGGAL_BAYAR_ANGS_TERAKHIR]],"YY-MM")</f>
        <v>25-12</v>
      </c>
      <c r="AT15" s="219" t="str">
        <f>IF(hcp[[#This Row],[Periode ( TANGGAL_BAYAR_ANGS_TERAKHIR )]]=hcp[[#This Row],[Periode ( TGL_PEMBAYARAN )]],"AKTIF","ALDA")</f>
        <v>ALDA</v>
      </c>
      <c r="AU15" s="219" t="b">
        <f>hcp[[#This Row],[Periode ( TANGGAL_BAYAR_ANGS_TERAKHIR )]]=hcp[[#This Row],[Periode ( TGL_PEMBAYARAN )]]</f>
        <v>0</v>
      </c>
      <c r="AV15" s="219">
        <f ca="1">IF(hcp[[#This Row],[Tgl ( TGL_PEMBAYARAN )]]=DAY(TODAY()),1,0)</f>
        <v>0</v>
      </c>
    </row>
    <row r="16" spans="1:48" x14ac:dyDescent="0.3">
      <c r="A16" s="215" t="s">
        <v>169</v>
      </c>
      <c r="B16" s="216" t="s">
        <v>226</v>
      </c>
      <c r="C16" s="215" t="s">
        <v>171</v>
      </c>
      <c r="D16" s="215" t="s">
        <v>8</v>
      </c>
      <c r="E16" s="216" t="s">
        <v>5</v>
      </c>
      <c r="F16" s="215" t="s">
        <v>857</v>
      </c>
      <c r="G16" s="215" t="s">
        <v>858</v>
      </c>
      <c r="H16" s="217">
        <v>45337</v>
      </c>
      <c r="I16" s="217">
        <v>46048</v>
      </c>
      <c r="J16" s="215" t="s">
        <v>12</v>
      </c>
      <c r="K16" s="215" t="s">
        <v>128</v>
      </c>
      <c r="L16" s="216" t="s">
        <v>836</v>
      </c>
      <c r="M16" s="216" t="s">
        <v>859</v>
      </c>
      <c r="N16" s="216" t="s">
        <v>0</v>
      </c>
      <c r="O16" s="215" t="s">
        <v>860</v>
      </c>
      <c r="P16" s="215" t="s">
        <v>860</v>
      </c>
      <c r="Q16" s="215" t="s">
        <v>861</v>
      </c>
      <c r="R16" s="215"/>
      <c r="S16" s="215">
        <v>0</v>
      </c>
      <c r="T16" s="215">
        <v>43800</v>
      </c>
      <c r="U16" s="215">
        <v>0</v>
      </c>
      <c r="V16" s="215">
        <v>43800</v>
      </c>
      <c r="W16" s="215">
        <v>0</v>
      </c>
      <c r="X16" s="215">
        <v>43800</v>
      </c>
      <c r="Y16" s="215" t="s">
        <v>40</v>
      </c>
      <c r="Z16" s="215">
        <v>0</v>
      </c>
      <c r="AA16" s="217">
        <v>46175</v>
      </c>
      <c r="AB16" s="215">
        <v>0</v>
      </c>
      <c r="AC16" s="215">
        <v>0</v>
      </c>
      <c r="AD16" s="215" t="s">
        <v>121</v>
      </c>
      <c r="AE16" s="215">
        <v>0</v>
      </c>
      <c r="AF16" s="215">
        <v>0</v>
      </c>
      <c r="AG16" s="215">
        <v>0</v>
      </c>
      <c r="AH16" s="215">
        <v>46126</v>
      </c>
      <c r="AI16" s="215" t="s">
        <v>9</v>
      </c>
      <c r="AJ16" s="215"/>
      <c r="AK16" s="215">
        <v>0</v>
      </c>
      <c r="AL16" s="215">
        <v>0</v>
      </c>
      <c r="AM16" s="215">
        <v>-50000</v>
      </c>
      <c r="AN16" s="215">
        <v>-50000</v>
      </c>
      <c r="AO16" s="218" t="str">
        <f>VLOOKUP(hcp[[#This Row],[BRANCHID]],'New KC'!$A:$K,8,0)</f>
        <v>05. Kalimantan</v>
      </c>
      <c r="AP16" s="218" t="str">
        <f>VLOOKUP(hcp[[#This Row],[BRANCHID]],'New KC'!$A:$K,9,0)</f>
        <v>BANJARMASIN</v>
      </c>
      <c r="AQ16" s="219">
        <f>DAY(hcp[[#This Row],[TGL_PEMBAYARAN]])</f>
        <v>2</v>
      </c>
      <c r="AR16" s="219" t="str">
        <f>TEXT(hcp[[#This Row],[TGL_PEMBAYARAN]],"YY-MM")</f>
        <v>26-06</v>
      </c>
      <c r="AS16" s="219" t="str">
        <f>TEXT(hcp[[#This Row],[TANGGAL_BAYAR_ANGS_TERAKHIR]],"YY-MM")</f>
        <v>26-01</v>
      </c>
      <c r="AT16" s="219" t="str">
        <f>IF(hcp[[#This Row],[Periode ( TANGGAL_BAYAR_ANGS_TERAKHIR )]]=hcp[[#This Row],[Periode ( TGL_PEMBAYARAN )]],"AKTIF","ALDA")</f>
        <v>ALDA</v>
      </c>
      <c r="AU16" s="219" t="b">
        <f>hcp[[#This Row],[Periode ( TANGGAL_BAYAR_ANGS_TERAKHIR )]]=hcp[[#This Row],[Periode ( TGL_PEMBAYARAN )]]</f>
        <v>0</v>
      </c>
      <c r="AV16" s="219">
        <f ca="1">IF(hcp[[#This Row],[Tgl ( TGL_PEMBAYARAN )]]=DAY(TODAY()),1,0)</f>
        <v>0</v>
      </c>
    </row>
    <row r="17" spans="1:48" x14ac:dyDescent="0.3">
      <c r="A17" s="215" t="s">
        <v>169</v>
      </c>
      <c r="B17" s="216" t="s">
        <v>631</v>
      </c>
      <c r="C17" s="215" t="s">
        <v>177</v>
      </c>
      <c r="D17" s="215" t="s">
        <v>72</v>
      </c>
      <c r="E17" s="216" t="s">
        <v>45</v>
      </c>
      <c r="F17" s="215" t="s">
        <v>1540</v>
      </c>
      <c r="G17" s="215" t="s">
        <v>1541</v>
      </c>
      <c r="H17" s="217">
        <v>44560</v>
      </c>
      <c r="I17" s="217">
        <v>45947</v>
      </c>
      <c r="J17" s="215" t="s">
        <v>7</v>
      </c>
      <c r="K17" s="215" t="s">
        <v>120</v>
      </c>
      <c r="L17" s="216" t="s">
        <v>20</v>
      </c>
      <c r="M17" s="216" t="s">
        <v>1542</v>
      </c>
      <c r="N17" s="216" t="s">
        <v>0</v>
      </c>
      <c r="O17" s="215" t="s">
        <v>1543</v>
      </c>
      <c r="P17" s="215" t="s">
        <v>1543</v>
      </c>
      <c r="Q17" s="215" t="s">
        <v>1544</v>
      </c>
      <c r="R17" s="215"/>
      <c r="S17" s="215">
        <v>0</v>
      </c>
      <c r="T17" s="215">
        <v>3333875</v>
      </c>
      <c r="U17" s="215">
        <v>30000</v>
      </c>
      <c r="V17" s="215">
        <v>3363875</v>
      </c>
      <c r="W17" s="215">
        <v>0</v>
      </c>
      <c r="X17" s="215">
        <v>3363875</v>
      </c>
      <c r="Y17" s="215" t="s">
        <v>16</v>
      </c>
      <c r="Z17" s="215">
        <v>0</v>
      </c>
      <c r="AA17" s="217">
        <v>46175</v>
      </c>
      <c r="AB17" s="215">
        <v>3363875</v>
      </c>
      <c r="AC17" s="215">
        <v>3363875</v>
      </c>
      <c r="AD17" s="215" t="s">
        <v>123</v>
      </c>
      <c r="AE17" s="215">
        <v>0</v>
      </c>
      <c r="AF17" s="215">
        <v>0</v>
      </c>
      <c r="AG17" s="215">
        <v>0</v>
      </c>
      <c r="AH17" s="215">
        <v>46175</v>
      </c>
      <c r="AI17" s="215" t="s">
        <v>122</v>
      </c>
      <c r="AJ17" s="215"/>
      <c r="AK17" s="215">
        <v>0</v>
      </c>
      <c r="AL17" s="215">
        <v>0</v>
      </c>
      <c r="AM17" s="215">
        <v>0</v>
      </c>
      <c r="AN17" s="215">
        <v>0</v>
      </c>
      <c r="AO17" s="218" t="str">
        <f>VLOOKUP(hcp[[#This Row],[BRANCHID]],'New KC'!$A:$K,8,0)</f>
        <v>05. Kalimantan</v>
      </c>
      <c r="AP17" s="218" t="str">
        <f>VLOOKUP(hcp[[#This Row],[BRANCHID]],'New KC'!$A:$K,9,0)</f>
        <v>PONTIANAK</v>
      </c>
      <c r="AQ17" s="219">
        <f>DAY(hcp[[#This Row],[TGL_PEMBAYARAN]])</f>
        <v>2</v>
      </c>
      <c r="AR17" s="219" t="str">
        <f>TEXT(hcp[[#This Row],[TGL_PEMBAYARAN]],"YY-MM")</f>
        <v>26-06</v>
      </c>
      <c r="AS17" s="219" t="str">
        <f>TEXT(hcp[[#This Row],[TANGGAL_BAYAR_ANGS_TERAKHIR]],"YY-MM")</f>
        <v>25-10</v>
      </c>
      <c r="AT17" s="219" t="str">
        <f>IF(hcp[[#This Row],[Periode ( TANGGAL_BAYAR_ANGS_TERAKHIR )]]=hcp[[#This Row],[Periode ( TGL_PEMBAYARAN )]],"AKTIF","ALDA")</f>
        <v>ALDA</v>
      </c>
      <c r="AU17" s="219" t="b">
        <f>hcp[[#This Row],[Periode ( TANGGAL_BAYAR_ANGS_TERAKHIR )]]=hcp[[#This Row],[Periode ( TGL_PEMBAYARAN )]]</f>
        <v>0</v>
      </c>
      <c r="AV17" s="219">
        <f ca="1">IF(hcp[[#This Row],[Tgl ( TGL_PEMBAYARAN )]]=DAY(TODAY()),1,0)</f>
        <v>0</v>
      </c>
    </row>
    <row r="18" spans="1:48" x14ac:dyDescent="0.3">
      <c r="A18" s="215" t="s">
        <v>197</v>
      </c>
      <c r="B18" s="216" t="s">
        <v>609</v>
      </c>
      <c r="C18" s="215" t="s">
        <v>205</v>
      </c>
      <c r="D18" s="215" t="s">
        <v>84</v>
      </c>
      <c r="E18" s="216" t="s">
        <v>45</v>
      </c>
      <c r="F18" s="215" t="s">
        <v>1550</v>
      </c>
      <c r="G18" s="215" t="s">
        <v>1551</v>
      </c>
      <c r="H18" s="217">
        <v>44613</v>
      </c>
      <c r="I18" s="217">
        <v>46076</v>
      </c>
      <c r="J18" s="215" t="s">
        <v>7</v>
      </c>
      <c r="K18" s="215" t="s">
        <v>120</v>
      </c>
      <c r="L18" s="216" t="s">
        <v>21</v>
      </c>
      <c r="M18" s="216" t="s">
        <v>1552</v>
      </c>
      <c r="N18" s="216" t="s">
        <v>0</v>
      </c>
      <c r="O18" s="215" t="s">
        <v>1553</v>
      </c>
      <c r="P18" s="215" t="s">
        <v>1553</v>
      </c>
      <c r="Q18" s="215" t="s">
        <v>1554</v>
      </c>
      <c r="R18" s="215"/>
      <c r="S18" s="215">
        <v>0</v>
      </c>
      <c r="T18" s="215">
        <v>21000</v>
      </c>
      <c r="U18" s="215">
        <v>0</v>
      </c>
      <c r="V18" s="215">
        <v>21000</v>
      </c>
      <c r="W18" s="215">
        <v>0</v>
      </c>
      <c r="X18" s="215">
        <v>21000</v>
      </c>
      <c r="Y18" s="215" t="s">
        <v>40</v>
      </c>
      <c r="Z18" s="215">
        <v>0</v>
      </c>
      <c r="AA18" s="217">
        <v>46175</v>
      </c>
      <c r="AB18" s="215">
        <v>21000</v>
      </c>
      <c r="AC18" s="215">
        <v>21000</v>
      </c>
      <c r="AD18" s="215" t="s">
        <v>121</v>
      </c>
      <c r="AE18" s="215">
        <v>0</v>
      </c>
      <c r="AF18" s="215">
        <v>0</v>
      </c>
      <c r="AG18" s="215">
        <v>0</v>
      </c>
      <c r="AH18" s="215">
        <v>46176</v>
      </c>
      <c r="AI18" s="215" t="s">
        <v>9</v>
      </c>
      <c r="AJ18" s="215"/>
      <c r="AK18" s="215">
        <v>0</v>
      </c>
      <c r="AL18" s="215">
        <v>0</v>
      </c>
      <c r="AM18" s="215">
        <v>0</v>
      </c>
      <c r="AN18" s="215">
        <v>0</v>
      </c>
      <c r="AO18" s="218" t="str">
        <f>VLOOKUP(hcp[[#This Row],[BRANCHID]],'New KC'!$A:$K,8,0)</f>
        <v>07. Sumbagsel</v>
      </c>
      <c r="AP18" s="218" t="str">
        <f>VLOOKUP(hcp[[#This Row],[BRANCHID]],'New KC'!$A:$K,9,0)</f>
        <v>PALEMBANG</v>
      </c>
      <c r="AQ18" s="219">
        <f>DAY(hcp[[#This Row],[TGL_PEMBAYARAN]])</f>
        <v>2</v>
      </c>
      <c r="AR18" s="219" t="str">
        <f>TEXT(hcp[[#This Row],[TGL_PEMBAYARAN]],"YY-MM")</f>
        <v>26-06</v>
      </c>
      <c r="AS18" s="219" t="str">
        <f>TEXT(hcp[[#This Row],[TANGGAL_BAYAR_ANGS_TERAKHIR]],"YY-MM")</f>
        <v>26-02</v>
      </c>
      <c r="AT18" s="219" t="str">
        <f>IF(hcp[[#This Row],[Periode ( TANGGAL_BAYAR_ANGS_TERAKHIR )]]=hcp[[#This Row],[Periode ( TGL_PEMBAYARAN )]],"AKTIF","ALDA")</f>
        <v>ALDA</v>
      </c>
      <c r="AU18" s="219" t="b">
        <f>hcp[[#This Row],[Periode ( TANGGAL_BAYAR_ANGS_TERAKHIR )]]=hcp[[#This Row],[Periode ( TGL_PEMBAYARAN )]]</f>
        <v>0</v>
      </c>
      <c r="AV18" s="219">
        <f ca="1">IF(hcp[[#This Row],[Tgl ( TGL_PEMBAYARAN )]]=DAY(TODAY()),1,0)</f>
        <v>0</v>
      </c>
    </row>
    <row r="19" spans="1:48" x14ac:dyDescent="0.3">
      <c r="A19" s="215" t="s">
        <v>169</v>
      </c>
      <c r="B19" s="216" t="s">
        <v>630</v>
      </c>
      <c r="C19" s="215" t="s">
        <v>180</v>
      </c>
      <c r="D19" s="215" t="s">
        <v>78</v>
      </c>
      <c r="E19" s="216" t="s">
        <v>45</v>
      </c>
      <c r="F19" s="215" t="s">
        <v>1545</v>
      </c>
      <c r="G19" s="215" t="s">
        <v>1546</v>
      </c>
      <c r="H19" s="217">
        <v>44704</v>
      </c>
      <c r="I19" s="217">
        <v>46156</v>
      </c>
      <c r="J19" s="215" t="s">
        <v>7</v>
      </c>
      <c r="K19" s="215" t="s">
        <v>120</v>
      </c>
      <c r="L19" s="216" t="s">
        <v>21</v>
      </c>
      <c r="M19" s="216" t="s">
        <v>1547</v>
      </c>
      <c r="N19" s="216" t="s">
        <v>0</v>
      </c>
      <c r="O19" s="215" t="s">
        <v>1548</v>
      </c>
      <c r="P19" s="215" t="s">
        <v>1548</v>
      </c>
      <c r="Q19" s="215" t="s">
        <v>1549</v>
      </c>
      <c r="R19" s="215"/>
      <c r="S19" s="215">
        <v>0</v>
      </c>
      <c r="T19" s="215">
        <v>1260991.5</v>
      </c>
      <c r="U19" s="215">
        <v>0</v>
      </c>
      <c r="V19" s="215">
        <v>1260991.5</v>
      </c>
      <c r="W19" s="215">
        <v>5000</v>
      </c>
      <c r="X19" s="215">
        <v>1255991.5</v>
      </c>
      <c r="Y19" s="215" t="s">
        <v>40</v>
      </c>
      <c r="Z19" s="215">
        <v>0</v>
      </c>
      <c r="AA19" s="217">
        <v>46174</v>
      </c>
      <c r="AB19" s="215">
        <v>1260992</v>
      </c>
      <c r="AC19" s="215">
        <v>1260992</v>
      </c>
      <c r="AD19" s="215" t="s">
        <v>121</v>
      </c>
      <c r="AE19" s="215">
        <v>0</v>
      </c>
      <c r="AF19" s="215">
        <v>0</v>
      </c>
      <c r="AG19" s="215">
        <v>0</v>
      </c>
      <c r="AH19" s="215">
        <v>46175</v>
      </c>
      <c r="AI19" s="215" t="s">
        <v>9</v>
      </c>
      <c r="AJ19" s="215"/>
      <c r="AK19" s="215">
        <v>0</v>
      </c>
      <c r="AL19" s="215">
        <v>0</v>
      </c>
      <c r="AM19" s="215">
        <v>-0.5</v>
      </c>
      <c r="AN19" s="215">
        <v>-5000.5</v>
      </c>
      <c r="AO19" s="218" t="str">
        <f>VLOOKUP(hcp[[#This Row],[BRANCHID]],'New KC'!$A:$K,8,0)</f>
        <v>05. Kalimantan</v>
      </c>
      <c r="AP19" s="218" t="str">
        <f>VLOOKUP(hcp[[#This Row],[BRANCHID]],'New KC'!$A:$K,9,0)</f>
        <v>SAMPIT</v>
      </c>
      <c r="AQ19" s="219">
        <f>DAY(hcp[[#This Row],[TGL_PEMBAYARAN]])</f>
        <v>1</v>
      </c>
      <c r="AR19" s="219" t="str">
        <f>TEXT(hcp[[#This Row],[TGL_PEMBAYARAN]],"YY-MM")</f>
        <v>26-06</v>
      </c>
      <c r="AS19" s="219" t="str">
        <f>TEXT(hcp[[#This Row],[TANGGAL_BAYAR_ANGS_TERAKHIR]],"YY-MM")</f>
        <v>26-05</v>
      </c>
      <c r="AT19" s="219" t="str">
        <f>IF(hcp[[#This Row],[Periode ( TANGGAL_BAYAR_ANGS_TERAKHIR )]]=hcp[[#This Row],[Periode ( TGL_PEMBAYARAN )]],"AKTIF","ALDA")</f>
        <v>ALDA</v>
      </c>
      <c r="AU19" s="219" t="b">
        <f>hcp[[#This Row],[Periode ( TANGGAL_BAYAR_ANGS_TERAKHIR )]]=hcp[[#This Row],[Periode ( TGL_PEMBAYARAN )]]</f>
        <v>0</v>
      </c>
      <c r="AV19" s="219">
        <f ca="1">IF(hcp[[#This Row],[Tgl ( TGL_PEMBAYARAN )]]=DAY(TODAY()),1,0)</f>
        <v>0</v>
      </c>
    </row>
    <row r="20" spans="1:48" x14ac:dyDescent="0.3">
      <c r="A20" s="215" t="s">
        <v>197</v>
      </c>
      <c r="B20" s="216" t="s">
        <v>592</v>
      </c>
      <c r="C20" s="215" t="s">
        <v>207</v>
      </c>
      <c r="D20" s="215" t="s">
        <v>56</v>
      </c>
      <c r="E20" s="216" t="s">
        <v>45</v>
      </c>
      <c r="F20" s="215" t="s">
        <v>837</v>
      </c>
      <c r="G20" s="215" t="s">
        <v>838</v>
      </c>
      <c r="H20" s="217">
        <v>44506</v>
      </c>
      <c r="I20" s="217">
        <v>45970</v>
      </c>
      <c r="J20" s="215" t="s">
        <v>7</v>
      </c>
      <c r="K20" s="215" t="s">
        <v>120</v>
      </c>
      <c r="L20" s="216" t="s">
        <v>20</v>
      </c>
      <c r="M20" s="216" t="s">
        <v>839</v>
      </c>
      <c r="N20" s="216" t="s">
        <v>0</v>
      </c>
      <c r="O20" s="215" t="s">
        <v>840</v>
      </c>
      <c r="P20" s="215" t="s">
        <v>840</v>
      </c>
      <c r="Q20" s="215" t="s">
        <v>840</v>
      </c>
      <c r="R20" s="215"/>
      <c r="S20" s="215">
        <v>0</v>
      </c>
      <c r="T20" s="215">
        <v>18000</v>
      </c>
      <c r="U20" s="215">
        <v>0</v>
      </c>
      <c r="V20" s="215">
        <v>18000</v>
      </c>
      <c r="W20" s="215">
        <v>0</v>
      </c>
      <c r="X20" s="215">
        <v>18000</v>
      </c>
      <c r="Y20" s="215" t="s">
        <v>40</v>
      </c>
      <c r="Z20" s="215">
        <v>0</v>
      </c>
      <c r="AA20" s="217">
        <v>46174</v>
      </c>
      <c r="AB20" s="215">
        <v>50000</v>
      </c>
      <c r="AC20" s="215">
        <v>50000</v>
      </c>
      <c r="AD20" s="215" t="s">
        <v>121</v>
      </c>
      <c r="AE20" s="215">
        <v>0</v>
      </c>
      <c r="AF20" s="215">
        <v>0</v>
      </c>
      <c r="AG20" s="215">
        <v>0</v>
      </c>
      <c r="AH20" s="215">
        <v>46119</v>
      </c>
      <c r="AI20" s="215" t="s">
        <v>856</v>
      </c>
      <c r="AJ20" s="215"/>
      <c r="AK20" s="215">
        <v>0</v>
      </c>
      <c r="AL20" s="215">
        <v>0</v>
      </c>
      <c r="AM20" s="215">
        <v>-50000</v>
      </c>
      <c r="AN20" s="215">
        <v>-50000</v>
      </c>
      <c r="AO20" s="218" t="str">
        <f>VLOOKUP(hcp[[#This Row],[BRANCHID]],'New KC'!$A:$K,8,0)</f>
        <v>08. Sumbaguteng</v>
      </c>
      <c r="AP20" s="218" t="str">
        <f>VLOOKUP(hcp[[#This Row],[BRANCHID]],'New KC'!$A:$K,9,0)</f>
        <v>PEKANBARU</v>
      </c>
      <c r="AQ20" s="219">
        <f>DAY(hcp[[#This Row],[TGL_PEMBAYARAN]])</f>
        <v>1</v>
      </c>
      <c r="AR20" s="219" t="str">
        <f>TEXT(hcp[[#This Row],[TGL_PEMBAYARAN]],"YY-MM")</f>
        <v>26-06</v>
      </c>
      <c r="AS20" s="219" t="str">
        <f>TEXT(hcp[[#This Row],[TANGGAL_BAYAR_ANGS_TERAKHIR]],"YY-MM")</f>
        <v>25-11</v>
      </c>
      <c r="AT20" s="219" t="str">
        <f>IF(hcp[[#This Row],[Periode ( TANGGAL_BAYAR_ANGS_TERAKHIR )]]=hcp[[#This Row],[Periode ( TGL_PEMBAYARAN )]],"AKTIF","ALDA")</f>
        <v>ALDA</v>
      </c>
      <c r="AU20" s="219" t="b">
        <f>hcp[[#This Row],[Periode ( TANGGAL_BAYAR_ANGS_TERAKHIR )]]=hcp[[#This Row],[Periode ( TGL_PEMBAYARAN )]]</f>
        <v>0</v>
      </c>
      <c r="AV20" s="219">
        <f ca="1">IF(hcp[[#This Row],[Tgl ( TGL_PEMBAYARAN )]]=DAY(TODAY()),1,0)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B1:E43"/>
  <sheetViews>
    <sheetView showGridLines="0" topLeftCell="A10" workbookViewId="0">
      <selection activeCell="C26" sqref="C26"/>
    </sheetView>
  </sheetViews>
  <sheetFormatPr defaultColWidth="8.6640625" defaultRowHeight="13.8" x14ac:dyDescent="0.3"/>
  <cols>
    <col min="1" max="1" width="1.6640625" style="1" customWidth="1"/>
    <col min="2" max="2" width="19.88671875" style="1" customWidth="1"/>
    <col min="3" max="4" width="25.88671875" style="1" customWidth="1"/>
    <col min="5" max="5" width="25.44140625" style="1" customWidth="1"/>
    <col min="6" max="9" width="25.88671875" style="1" customWidth="1"/>
    <col min="10" max="16384" width="8.6640625" style="1"/>
  </cols>
  <sheetData>
    <row r="1" spans="2:5" ht="19.2" x14ac:dyDescent="0.3">
      <c r="B1" s="43" t="str">
        <f ca="1">"Summary"&amp;" "&amp;'Detail Cabang-New'!$B$1</f>
        <v>Summary Penerimaan Denda Alda Periode June 2026</v>
      </c>
    </row>
    <row r="2" spans="2:5" ht="19.2" x14ac:dyDescent="0.3">
      <c r="B2" s="222">
        <f ca="1">TODAY()</f>
        <v>46178</v>
      </c>
      <c r="C2" s="222"/>
    </row>
    <row r="3" spans="2:5" ht="6.9" customHeight="1" thickBot="1" x14ac:dyDescent="0.35"/>
    <row r="4" spans="2:5" ht="32.4" thickTop="1" thickBot="1" x14ac:dyDescent="0.35">
      <c r="B4" s="55" t="s">
        <v>209</v>
      </c>
      <c r="C4" s="54" t="s">
        <v>769</v>
      </c>
      <c r="D4" s="71" t="s">
        <v>770</v>
      </c>
      <c r="E4" s="72" t="s">
        <v>211</v>
      </c>
    </row>
    <row r="5" spans="2:5" ht="14.4" thickTop="1" x14ac:dyDescent="0.3">
      <c r="B5" s="39" t="s">
        <v>246</v>
      </c>
      <c r="C5" s="32">
        <f>'Detail Cabang-New'!F49</f>
        <v>945019000</v>
      </c>
      <c r="D5" s="62">
        <f ca="1">'Detail Cabang-New'!G49</f>
        <v>2571605</v>
      </c>
      <c r="E5" s="66">
        <f ca="1">'Detail Cabang-New'!H49</f>
        <v>-942447395</v>
      </c>
    </row>
    <row r="6" spans="2:5" x14ac:dyDescent="0.3">
      <c r="B6" s="40" t="s">
        <v>257</v>
      </c>
      <c r="C6" s="28">
        <f>'Detail Cabang-New'!F50</f>
        <v>265993000</v>
      </c>
      <c r="D6" s="59">
        <f ca="1">'Detail Cabang-New'!G50</f>
        <v>0</v>
      </c>
      <c r="E6" s="65">
        <f ca="1">'Detail Cabang-New'!H50</f>
        <v>-265993000</v>
      </c>
    </row>
    <row r="7" spans="2:5" x14ac:dyDescent="0.3">
      <c r="B7" s="40" t="s">
        <v>273</v>
      </c>
      <c r="C7" s="28">
        <f>'Detail Cabang-New'!F51</f>
        <v>267123000</v>
      </c>
      <c r="D7" s="59">
        <f ca="1">'Detail Cabang-New'!G51</f>
        <v>3580</v>
      </c>
      <c r="E7" s="65">
        <f ca="1">'Detail Cabang-New'!H51</f>
        <v>-267119420</v>
      </c>
    </row>
    <row r="8" spans="2:5" x14ac:dyDescent="0.3">
      <c r="B8" s="40" t="s">
        <v>252</v>
      </c>
      <c r="C8" s="28">
        <f>'Detail Cabang-New'!F52</f>
        <v>186393000</v>
      </c>
      <c r="D8" s="59">
        <f ca="1">'Detail Cabang-New'!G52</f>
        <v>987600</v>
      </c>
      <c r="E8" s="65">
        <f ca="1">'Detail Cabang-New'!H52</f>
        <v>-185405400</v>
      </c>
    </row>
    <row r="9" spans="2:5" x14ac:dyDescent="0.3">
      <c r="B9" s="40" t="s">
        <v>228</v>
      </c>
      <c r="C9" s="28">
        <f>'Detail Cabang-New'!F53</f>
        <v>320842000</v>
      </c>
      <c r="D9" s="59">
        <f ca="1">'Detail Cabang-New'!G53</f>
        <v>7845833</v>
      </c>
      <c r="E9" s="65">
        <f ca="1">'Detail Cabang-New'!H53</f>
        <v>-312996167</v>
      </c>
    </row>
    <row r="10" spans="2:5" x14ac:dyDescent="0.3">
      <c r="B10" s="40" t="s">
        <v>233</v>
      </c>
      <c r="C10" s="28">
        <f>'Detail Cabang-New'!F54</f>
        <v>360476000</v>
      </c>
      <c r="D10" s="59">
        <f ca="1">'Detail Cabang-New'!G54</f>
        <v>6744780</v>
      </c>
      <c r="E10" s="65">
        <f ca="1">'Detail Cabang-New'!H54</f>
        <v>-353731220</v>
      </c>
    </row>
    <row r="11" spans="2:5" x14ac:dyDescent="0.3">
      <c r="B11" s="40" t="s">
        <v>295</v>
      </c>
      <c r="C11" s="28">
        <f>'Detail Cabang-New'!F55</f>
        <v>145592000</v>
      </c>
      <c r="D11" s="59">
        <f ca="1">'Detail Cabang-New'!G55</f>
        <v>21000</v>
      </c>
      <c r="E11" s="65">
        <f ca="1">'Detail Cabang-New'!H55</f>
        <v>-145571000</v>
      </c>
    </row>
    <row r="12" spans="2:5" x14ac:dyDescent="0.3">
      <c r="B12" s="40" t="s">
        <v>265</v>
      </c>
      <c r="C12" s="28">
        <f>'Detail Cabang-New'!F56</f>
        <v>365696000</v>
      </c>
      <c r="D12" s="59">
        <f ca="1">'Detail Cabang-New'!G56</f>
        <v>50000</v>
      </c>
      <c r="E12" s="65">
        <f ca="1">'Detail Cabang-New'!H56</f>
        <v>-365646000</v>
      </c>
    </row>
    <row r="13" spans="2:5" ht="14.4" thickBot="1" x14ac:dyDescent="0.35">
      <c r="B13" s="41" t="s">
        <v>385</v>
      </c>
      <c r="C13" s="31">
        <f>'Detail Cabang-New'!F57</f>
        <v>142866000</v>
      </c>
      <c r="D13" s="63">
        <f ca="1">'Detail Cabang-New'!G57</f>
        <v>0</v>
      </c>
      <c r="E13" s="67">
        <f ca="1">'Detail Cabang-New'!H57</f>
        <v>-142866000</v>
      </c>
    </row>
    <row r="14" spans="2:5" ht="18.600000000000001" thickTop="1" thickBot="1" x14ac:dyDescent="0.35">
      <c r="B14" s="42" t="s">
        <v>652</v>
      </c>
      <c r="C14" s="36">
        <f>'Detail Cabang-New'!F58</f>
        <v>3000000000</v>
      </c>
      <c r="D14" s="64">
        <f ca="1">'Detail Cabang-New'!G58</f>
        <v>18224398</v>
      </c>
      <c r="E14" s="68">
        <f ca="1">'Detail Cabang-New'!H58</f>
        <v>-2981775602</v>
      </c>
    </row>
    <row r="15" spans="2:5" ht="6.9" customHeight="1" thickTop="1" x14ac:dyDescent="0.3"/>
    <row r="16" spans="2:5" ht="6.9" customHeight="1" thickBot="1" x14ac:dyDescent="0.35"/>
    <row r="17" spans="2:5" ht="32.1" customHeight="1" thickTop="1" thickBot="1" x14ac:dyDescent="0.35">
      <c r="B17" s="223" t="s">
        <v>209</v>
      </c>
      <c r="C17" s="225" t="str">
        <f>'Detail Cabang-By Portfolio'!D3</f>
        <v>Actual Denda Alda By Portfolio</v>
      </c>
      <c r="D17" s="226"/>
      <c r="E17" s="227" t="s">
        <v>771</v>
      </c>
    </row>
    <row r="18" spans="2:5" ht="16.8" thickTop="1" thickBot="1" x14ac:dyDescent="0.35">
      <c r="B18" s="224"/>
      <c r="C18" s="69" t="s">
        <v>45</v>
      </c>
      <c r="D18" s="70" t="s">
        <v>5</v>
      </c>
      <c r="E18" s="228"/>
    </row>
    <row r="19" spans="2:5" ht="14.4" thickTop="1" x14ac:dyDescent="0.3">
      <c r="B19" s="39" t="s">
        <v>246</v>
      </c>
      <c r="C19" s="32">
        <f ca="1">'Detail Cabang-By Portfolio'!D50</f>
        <v>2571605</v>
      </c>
      <c r="D19" s="62">
        <f ca="1">'Detail Cabang-By Portfolio'!E50</f>
        <v>0</v>
      </c>
      <c r="E19" s="66">
        <f ca="1">'Detail Cabang-By Portfolio'!F50</f>
        <v>2571605</v>
      </c>
    </row>
    <row r="20" spans="2:5" x14ac:dyDescent="0.3">
      <c r="B20" s="40" t="s">
        <v>257</v>
      </c>
      <c r="C20" s="28">
        <f ca="1">'Detail Cabang-By Portfolio'!D51</f>
        <v>0</v>
      </c>
      <c r="D20" s="59">
        <f ca="1">'Detail Cabang-By Portfolio'!E51</f>
        <v>0</v>
      </c>
      <c r="E20" s="65">
        <f ca="1">'Detail Cabang-By Portfolio'!F51</f>
        <v>0</v>
      </c>
    </row>
    <row r="21" spans="2:5" x14ac:dyDescent="0.3">
      <c r="B21" s="40" t="s">
        <v>273</v>
      </c>
      <c r="C21" s="28">
        <f ca="1">'Detail Cabang-By Portfolio'!D52</f>
        <v>0</v>
      </c>
      <c r="D21" s="59">
        <f ca="1">'Detail Cabang-By Portfolio'!E52</f>
        <v>3580</v>
      </c>
      <c r="E21" s="65">
        <f ca="1">'Detail Cabang-By Portfolio'!F52</f>
        <v>3580</v>
      </c>
    </row>
    <row r="22" spans="2:5" x14ac:dyDescent="0.3">
      <c r="B22" s="40" t="s">
        <v>252</v>
      </c>
      <c r="C22" s="28">
        <f ca="1">'Detail Cabang-By Portfolio'!D53</f>
        <v>709200</v>
      </c>
      <c r="D22" s="59">
        <f ca="1">'Detail Cabang-By Portfolio'!E53</f>
        <v>278400</v>
      </c>
      <c r="E22" s="65">
        <f ca="1">'Detail Cabang-By Portfolio'!F53</f>
        <v>987600</v>
      </c>
    </row>
    <row r="23" spans="2:5" x14ac:dyDescent="0.3">
      <c r="B23" s="40" t="s">
        <v>228</v>
      </c>
      <c r="C23" s="28">
        <f ca="1">'Detail Cabang-By Portfolio'!D54</f>
        <v>7538833</v>
      </c>
      <c r="D23" s="59">
        <f ca="1">'Detail Cabang-By Portfolio'!E54</f>
        <v>307000</v>
      </c>
      <c r="E23" s="65">
        <f ca="1">'Detail Cabang-By Portfolio'!F54</f>
        <v>7845833</v>
      </c>
    </row>
    <row r="24" spans="2:5" x14ac:dyDescent="0.3">
      <c r="B24" s="40" t="s">
        <v>233</v>
      </c>
      <c r="C24" s="28">
        <f ca="1">'Detail Cabang-By Portfolio'!D55</f>
        <v>5350000</v>
      </c>
      <c r="D24" s="59">
        <f ca="1">'Detail Cabang-By Portfolio'!E55</f>
        <v>1394780</v>
      </c>
      <c r="E24" s="65">
        <f ca="1">'Detail Cabang-By Portfolio'!F55</f>
        <v>6744780</v>
      </c>
    </row>
    <row r="25" spans="2:5" x14ac:dyDescent="0.3">
      <c r="B25" s="40" t="s">
        <v>295</v>
      </c>
      <c r="C25" s="28">
        <f ca="1">'Detail Cabang-By Portfolio'!D56</f>
        <v>21000</v>
      </c>
      <c r="D25" s="59">
        <f ca="1">'Detail Cabang-By Portfolio'!E56</f>
        <v>0</v>
      </c>
      <c r="E25" s="65">
        <f ca="1">'Detail Cabang-By Portfolio'!F56</f>
        <v>21000</v>
      </c>
    </row>
    <row r="26" spans="2:5" x14ac:dyDescent="0.3">
      <c r="B26" s="40" t="s">
        <v>265</v>
      </c>
      <c r="C26" s="28">
        <f ca="1">'Detail Cabang-By Portfolio'!D57</f>
        <v>50000</v>
      </c>
      <c r="D26" s="59">
        <f ca="1">'Detail Cabang-By Portfolio'!E57</f>
        <v>0</v>
      </c>
      <c r="E26" s="65">
        <f ca="1">'Detail Cabang-By Portfolio'!F57</f>
        <v>50000</v>
      </c>
    </row>
    <row r="27" spans="2:5" ht="14.4" thickBot="1" x14ac:dyDescent="0.35">
      <c r="B27" s="41" t="s">
        <v>385</v>
      </c>
      <c r="C27" s="31">
        <f ca="1">'Detail Cabang-By Portfolio'!D58</f>
        <v>0</v>
      </c>
      <c r="D27" s="63">
        <f ca="1">'Detail Cabang-By Portfolio'!E58</f>
        <v>0</v>
      </c>
      <c r="E27" s="67">
        <f ca="1">'Detail Cabang-By Portfolio'!F58</f>
        <v>0</v>
      </c>
    </row>
    <row r="28" spans="2:5" ht="18.600000000000001" thickTop="1" thickBot="1" x14ac:dyDescent="0.35">
      <c r="B28" s="42" t="s">
        <v>652</v>
      </c>
      <c r="C28" s="36">
        <f ca="1">'Detail Cabang-By Portfolio'!D59</f>
        <v>16240638</v>
      </c>
      <c r="D28" s="64">
        <f ca="1">'Detail Cabang-By Portfolio'!E59</f>
        <v>1983760</v>
      </c>
      <c r="E28" s="68">
        <f ca="1">'Detail Cabang-By Portfolio'!F59</f>
        <v>18224398</v>
      </c>
    </row>
    <row r="29" spans="2:5" ht="6.9" customHeight="1" thickTop="1" x14ac:dyDescent="0.3"/>
    <row r="30" spans="2:5" ht="6.9" customHeight="1" thickBot="1" x14ac:dyDescent="0.35"/>
    <row r="31" spans="2:5" ht="32.1" customHeight="1" thickTop="1" thickBot="1" x14ac:dyDescent="0.35">
      <c r="B31" s="223" t="s">
        <v>209</v>
      </c>
      <c r="C31" s="225" t="s">
        <v>774</v>
      </c>
      <c r="D31" s="226"/>
      <c r="E31" s="227" t="s">
        <v>771</v>
      </c>
    </row>
    <row r="32" spans="2:5" ht="16.8" thickTop="1" thickBot="1" x14ac:dyDescent="0.35">
      <c r="B32" s="224"/>
      <c r="C32" s="69" t="s">
        <v>123</v>
      </c>
      <c r="D32" s="70" t="s">
        <v>121</v>
      </c>
      <c r="E32" s="228"/>
    </row>
    <row r="33" spans="2:5" ht="14.4" thickTop="1" x14ac:dyDescent="0.3">
      <c r="B33" s="39" t="s">
        <v>246</v>
      </c>
      <c r="C33" s="32">
        <f ca="1">'Detail Cabang-By Payment Type'!D50</f>
        <v>0</v>
      </c>
      <c r="D33" s="62">
        <f ca="1">'Detail Cabang-By Payment Type'!E50</f>
        <v>2571605</v>
      </c>
      <c r="E33" s="66">
        <f ca="1">'Detail Cabang-By Payment Type'!F50</f>
        <v>2571605</v>
      </c>
    </row>
    <row r="34" spans="2:5" x14ac:dyDescent="0.3">
      <c r="B34" s="40" t="s">
        <v>257</v>
      </c>
      <c r="C34" s="28">
        <f ca="1">'Detail Cabang-By Payment Type'!D51</f>
        <v>0</v>
      </c>
      <c r="D34" s="59">
        <f ca="1">'Detail Cabang-By Payment Type'!E51</f>
        <v>0</v>
      </c>
      <c r="E34" s="65">
        <f ca="1">'Detail Cabang-By Payment Type'!F51</f>
        <v>0</v>
      </c>
    </row>
    <row r="35" spans="2:5" x14ac:dyDescent="0.3">
      <c r="B35" s="40" t="s">
        <v>273</v>
      </c>
      <c r="C35" s="28">
        <f ca="1">'Detail Cabang-By Payment Type'!D52</f>
        <v>0</v>
      </c>
      <c r="D35" s="59">
        <f ca="1">'Detail Cabang-By Payment Type'!E52</f>
        <v>3580</v>
      </c>
      <c r="E35" s="65">
        <f ca="1">'Detail Cabang-By Payment Type'!F52</f>
        <v>3580</v>
      </c>
    </row>
    <row r="36" spans="2:5" x14ac:dyDescent="0.3">
      <c r="B36" s="40" t="s">
        <v>252</v>
      </c>
      <c r="C36" s="28">
        <f ca="1">'Detail Cabang-By Payment Type'!D53</f>
        <v>898200</v>
      </c>
      <c r="D36" s="59">
        <f ca="1">'Detail Cabang-By Payment Type'!E53</f>
        <v>89400</v>
      </c>
      <c r="E36" s="65">
        <f ca="1">'Detail Cabang-By Payment Type'!F53</f>
        <v>987600</v>
      </c>
    </row>
    <row r="37" spans="2:5" x14ac:dyDescent="0.3">
      <c r="B37" s="40" t="s">
        <v>228</v>
      </c>
      <c r="C37" s="28">
        <f ca="1">'Detail Cabang-By Payment Type'!D54</f>
        <v>3363875</v>
      </c>
      <c r="D37" s="59">
        <f ca="1">'Detail Cabang-By Payment Type'!E54</f>
        <v>4481958</v>
      </c>
      <c r="E37" s="65">
        <f ca="1">'Detail Cabang-By Payment Type'!F54</f>
        <v>7845833</v>
      </c>
    </row>
    <row r="38" spans="2:5" x14ac:dyDescent="0.3">
      <c r="B38" s="40" t="s">
        <v>233</v>
      </c>
      <c r="C38" s="28">
        <f ca="1">'Detail Cabang-By Payment Type'!D55</f>
        <v>0</v>
      </c>
      <c r="D38" s="59">
        <f ca="1">'Detail Cabang-By Payment Type'!E55</f>
        <v>6744780</v>
      </c>
      <c r="E38" s="65">
        <f ca="1">'Detail Cabang-By Payment Type'!F55</f>
        <v>6744780</v>
      </c>
    </row>
    <row r="39" spans="2:5" x14ac:dyDescent="0.3">
      <c r="B39" s="40" t="s">
        <v>295</v>
      </c>
      <c r="C39" s="28">
        <f ca="1">'Detail Cabang-By Payment Type'!D56</f>
        <v>0</v>
      </c>
      <c r="D39" s="59">
        <f ca="1">'Detail Cabang-By Payment Type'!E56</f>
        <v>21000</v>
      </c>
      <c r="E39" s="65">
        <f ca="1">'Detail Cabang-By Payment Type'!F56</f>
        <v>21000</v>
      </c>
    </row>
    <row r="40" spans="2:5" x14ac:dyDescent="0.3">
      <c r="B40" s="40" t="s">
        <v>265</v>
      </c>
      <c r="C40" s="28">
        <f ca="1">'Detail Cabang-By Payment Type'!D57</f>
        <v>0</v>
      </c>
      <c r="D40" s="59">
        <f ca="1">'Detail Cabang-By Payment Type'!E57</f>
        <v>50000</v>
      </c>
      <c r="E40" s="65">
        <f ca="1">'Detail Cabang-By Payment Type'!F57</f>
        <v>50000</v>
      </c>
    </row>
    <row r="41" spans="2:5" ht="14.4" thickBot="1" x14ac:dyDescent="0.35">
      <c r="B41" s="41" t="s">
        <v>385</v>
      </c>
      <c r="C41" s="31">
        <f ca="1">'Detail Cabang-By Payment Type'!D58</f>
        <v>0</v>
      </c>
      <c r="D41" s="63">
        <f ca="1">'Detail Cabang-By Payment Type'!E58</f>
        <v>0</v>
      </c>
      <c r="E41" s="67">
        <f ca="1">'Detail Cabang-By Payment Type'!F58</f>
        <v>0</v>
      </c>
    </row>
    <row r="42" spans="2:5" ht="18.600000000000001" thickTop="1" thickBot="1" x14ac:dyDescent="0.35">
      <c r="B42" s="42" t="s">
        <v>652</v>
      </c>
      <c r="C42" s="36">
        <f ca="1">'Detail Cabang-By Payment Type'!D59</f>
        <v>4262075</v>
      </c>
      <c r="D42" s="64">
        <f ca="1">'Detail Cabang-By Payment Type'!E59</f>
        <v>13962323</v>
      </c>
      <c r="E42" s="68">
        <f ca="1">'Detail Cabang-By Payment Type'!F59</f>
        <v>18224398</v>
      </c>
    </row>
    <row r="43" spans="2:5" ht="14.4" thickTop="1" x14ac:dyDescent="0.3"/>
  </sheetData>
  <mergeCells count="7">
    <mergeCell ref="B2:C2"/>
    <mergeCell ref="B17:B18"/>
    <mergeCell ref="C17:D17"/>
    <mergeCell ref="E17:E18"/>
    <mergeCell ref="B31:B32"/>
    <mergeCell ref="C31:D31"/>
    <mergeCell ref="E31:E32"/>
  </mergeCells>
  <conditionalFormatting sqref="E5:E14">
    <cfRule type="iconSet" priority="3">
      <iconSet iconSet="3Arrows">
        <cfvo type="percent" val="0"/>
        <cfvo type="num" val="0"/>
        <cfvo type="num" val="0" gte="0"/>
      </iconSet>
    </cfRule>
    <cfRule type="cellIs" dxfId="6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</sheetPr>
  <dimension ref="A1:I43"/>
  <sheetViews>
    <sheetView showGridLines="0" tabSelected="1" zoomScaleNormal="100" workbookViewId="0"/>
  </sheetViews>
  <sheetFormatPr defaultColWidth="8.6640625" defaultRowHeight="13.8" x14ac:dyDescent="0.3"/>
  <cols>
    <col min="1" max="1" width="0.44140625" style="1" customWidth="1"/>
    <col min="2" max="2" width="25.6640625" style="1" customWidth="1"/>
    <col min="3" max="4" width="23.33203125" style="1" customWidth="1"/>
    <col min="5" max="5" width="28.33203125" style="1" customWidth="1"/>
    <col min="6" max="7" width="27.33203125" style="1" customWidth="1"/>
    <col min="8" max="8" width="28.33203125" style="1" customWidth="1"/>
    <col min="9" max="9" width="33.33203125" style="1" customWidth="1"/>
    <col min="10" max="16384" width="8.6640625" style="1"/>
  </cols>
  <sheetData>
    <row r="1" spans="1:9" ht="19.2" x14ac:dyDescent="0.3">
      <c r="A1" s="1" t="s">
        <v>828</v>
      </c>
      <c r="B1" s="43" t="str">
        <f ca="1">'Summary-New'!B1</f>
        <v>Summary Penerimaan Denda Alda Periode June 2026</v>
      </c>
      <c r="C1" s="179"/>
    </row>
    <row r="2" spans="1:9" ht="19.2" x14ac:dyDescent="0.3">
      <c r="B2" s="222">
        <f ca="1">TODAY()</f>
        <v>46178</v>
      </c>
      <c r="C2" s="222"/>
    </row>
    <row r="3" spans="1:9" ht="5.0999999999999996" customHeight="1" thickBot="1" x14ac:dyDescent="0.35">
      <c r="B3" s="58">
        <v>0</v>
      </c>
      <c r="C3" s="58">
        <v>0</v>
      </c>
      <c r="D3" s="58">
        <v>0</v>
      </c>
      <c r="E3" s="58">
        <v>0</v>
      </c>
      <c r="F3" s="58">
        <v>0</v>
      </c>
      <c r="G3" s="58">
        <v>0</v>
      </c>
      <c r="H3" s="58">
        <v>0</v>
      </c>
      <c r="I3" s="58">
        <v>0</v>
      </c>
    </row>
    <row r="4" spans="1:9" ht="54.9" customHeight="1" thickBot="1" x14ac:dyDescent="0.35">
      <c r="B4" s="232" t="s">
        <v>209</v>
      </c>
      <c r="C4" s="233" t="str">
        <f ca="1">'Summary-New'!D3</f>
        <v>Actual Denda Alda 31 May 2026</v>
      </c>
      <c r="D4" s="233" t="str">
        <f ca="1">'Summary-New'!E3</f>
        <v>Actual Denda Alda 5 May 2026</v>
      </c>
      <c r="E4" s="234" t="str">
        <f ca="1">'Summary-New'!F3</f>
        <v>Target Denda Alda June 2026</v>
      </c>
      <c r="F4" s="235" t="str">
        <f ca="1">'Summary-New'!G3</f>
        <v>Actual Denda Alda s/d 5 June 2026</v>
      </c>
      <c r="G4" s="236" t="str">
        <f>'Summary-New'!H3</f>
        <v>Diff Actual Denda Alda Vs Target Alda</v>
      </c>
      <c r="H4" s="237" t="str">
        <f ca="1">'Summary-New'!I3</f>
        <v>Diff Denda Alda 5 May 2026 Vs 5 June 2026</v>
      </c>
      <c r="I4" s="238" t="str">
        <f ca="1">'Summary-New'!J3</f>
        <v>Diff Denda Alda Closing 31 May 2026 Vs Actual 5 June 2026</v>
      </c>
    </row>
    <row r="5" spans="1:9" ht="15" customHeight="1" x14ac:dyDescent="0.3">
      <c r="B5" s="166" t="s">
        <v>246</v>
      </c>
      <c r="C5" s="165">
        <f ca="1">SUMIFS('Summary-New'!D$4:D$48,'Summary-New'!$B$4:$B$48,'New Summary-New'!$B5)</f>
        <v>49671365</v>
      </c>
      <c r="D5" s="186">
        <f ca="1">SUMIFS('Summary-New'!E$4:E$48,'Summary-New'!$B$4:$B$48,'New Summary-New'!$B5)</f>
        <v>14359000</v>
      </c>
      <c r="E5" s="28">
        <f>SUMIFS('Summary-New'!F$4:F$48,'Summary-New'!$B$4:$B$48,'New Summary-New'!$B5)</f>
        <v>945019000</v>
      </c>
      <c r="F5" s="239">
        <f ca="1">SUMIFS('Summary-New'!G$4:G$48,'Summary-New'!$B$4:$B$48,'New Summary-New'!$B5)</f>
        <v>2571605</v>
      </c>
      <c r="G5" s="34">
        <f ca="1">F5-E5</f>
        <v>-942447395</v>
      </c>
      <c r="H5" s="187">
        <f ca="1">F5-D5</f>
        <v>-11787395</v>
      </c>
      <c r="I5" s="34">
        <f ca="1">F5-C5</f>
        <v>-47099760</v>
      </c>
    </row>
    <row r="6" spans="1:9" ht="15" customHeight="1" x14ac:dyDescent="0.3">
      <c r="B6" s="166" t="s">
        <v>257</v>
      </c>
      <c r="C6" s="165">
        <f ca="1">SUMIFS('Summary-New'!D$4:D$48,'Summary-New'!$B$4:$B$48,'New Summary-New'!$B6)</f>
        <v>26577116</v>
      </c>
      <c r="D6" s="186">
        <f ca="1">SUMIFS('Summary-New'!E$4:E$48,'Summary-New'!$B$4:$B$48,'New Summary-New'!$B6)</f>
        <v>0</v>
      </c>
      <c r="E6" s="28">
        <f>SUMIFS('Summary-New'!F$4:F$48,'Summary-New'!$B$4:$B$48,'New Summary-New'!$B6)</f>
        <v>265993000</v>
      </c>
      <c r="F6" s="239">
        <f ca="1">SUMIFS('Summary-New'!G$4:G$48,'Summary-New'!$B$4:$B$48,'New Summary-New'!$B6)</f>
        <v>0</v>
      </c>
      <c r="G6" s="34">
        <f t="shared" ref="G6:G14" ca="1" si="0">F6-E6</f>
        <v>-265993000</v>
      </c>
      <c r="H6" s="187">
        <f t="shared" ref="H6:H14" ca="1" si="1">F6-D6</f>
        <v>0</v>
      </c>
      <c r="I6" s="34">
        <f t="shared" ref="I6:I14" ca="1" si="2">F6-C6</f>
        <v>-26577116</v>
      </c>
    </row>
    <row r="7" spans="1:9" ht="15" customHeight="1" x14ac:dyDescent="0.3">
      <c r="B7" s="166" t="s">
        <v>273</v>
      </c>
      <c r="C7" s="165">
        <f ca="1">SUMIFS('Summary-New'!D$4:D$48,'Summary-New'!$B$4:$B$48,'New Summary-New'!$B7)</f>
        <v>35801835</v>
      </c>
      <c r="D7" s="186">
        <f ca="1">SUMIFS('Summary-New'!E$4:E$48,'Summary-New'!$B$4:$B$48,'New Summary-New'!$B7)</f>
        <v>12221000</v>
      </c>
      <c r="E7" s="28">
        <f>SUMIFS('Summary-New'!F$4:F$48,'Summary-New'!$B$4:$B$48,'New Summary-New'!$B7)</f>
        <v>267123000</v>
      </c>
      <c r="F7" s="239">
        <f ca="1">SUMIFS('Summary-New'!G$4:G$48,'Summary-New'!$B$4:$B$48,'New Summary-New'!$B7)</f>
        <v>3580</v>
      </c>
      <c r="G7" s="34">
        <f t="shared" ca="1" si="0"/>
        <v>-267119420</v>
      </c>
      <c r="H7" s="187">
        <f t="shared" ca="1" si="1"/>
        <v>-12217420</v>
      </c>
      <c r="I7" s="34">
        <f t="shared" ca="1" si="2"/>
        <v>-35798255</v>
      </c>
    </row>
    <row r="8" spans="1:9" ht="15" customHeight="1" x14ac:dyDescent="0.3">
      <c r="B8" s="166" t="s">
        <v>252</v>
      </c>
      <c r="C8" s="165">
        <f ca="1">SUMIFS('Summary-New'!D$4:D$48,'Summary-New'!$B$4:$B$48,'New Summary-New'!$B8)</f>
        <v>89852060</v>
      </c>
      <c r="D8" s="186">
        <f ca="1">SUMIFS('Summary-New'!E$4:E$48,'Summary-New'!$B$4:$B$48,'New Summary-New'!$B8)</f>
        <v>178800</v>
      </c>
      <c r="E8" s="28">
        <f>SUMIFS('Summary-New'!F$4:F$48,'Summary-New'!$B$4:$B$48,'New Summary-New'!$B8)</f>
        <v>186393000</v>
      </c>
      <c r="F8" s="239">
        <f ca="1">SUMIFS('Summary-New'!G$4:G$48,'Summary-New'!$B$4:$B$48,'New Summary-New'!$B8)</f>
        <v>987600</v>
      </c>
      <c r="G8" s="34">
        <f t="shared" ca="1" si="0"/>
        <v>-185405400</v>
      </c>
      <c r="H8" s="187">
        <f t="shared" ca="1" si="1"/>
        <v>808800</v>
      </c>
      <c r="I8" s="34">
        <f t="shared" ca="1" si="2"/>
        <v>-88864460</v>
      </c>
    </row>
    <row r="9" spans="1:9" ht="15" customHeight="1" x14ac:dyDescent="0.3">
      <c r="B9" s="166" t="s">
        <v>228</v>
      </c>
      <c r="C9" s="165">
        <f ca="1">SUMIFS('Summary-New'!D$4:D$48,'Summary-New'!$B$4:$B$48,'New Summary-New'!$B9)</f>
        <v>58804380</v>
      </c>
      <c r="D9" s="186">
        <f ca="1">SUMIFS('Summary-New'!E$4:E$48,'Summary-New'!$B$4:$B$48,'New Summary-New'!$B9)</f>
        <v>5855900</v>
      </c>
      <c r="E9" s="28">
        <f>SUMIFS('Summary-New'!F$4:F$48,'Summary-New'!$B$4:$B$48,'New Summary-New'!$B9)</f>
        <v>320842000</v>
      </c>
      <c r="F9" s="239">
        <f ca="1">SUMIFS('Summary-New'!G$4:G$48,'Summary-New'!$B$4:$B$48,'New Summary-New'!$B9)</f>
        <v>7845833</v>
      </c>
      <c r="G9" s="34">
        <f t="shared" ca="1" si="0"/>
        <v>-312996167</v>
      </c>
      <c r="H9" s="187">
        <f t="shared" ca="1" si="1"/>
        <v>1989933</v>
      </c>
      <c r="I9" s="34">
        <f t="shared" ca="1" si="2"/>
        <v>-50958547</v>
      </c>
    </row>
    <row r="10" spans="1:9" ht="15" customHeight="1" x14ac:dyDescent="0.3">
      <c r="B10" s="166" t="s">
        <v>233</v>
      </c>
      <c r="C10" s="165">
        <f ca="1">SUMIFS('Summary-New'!D$4:D$48,'Summary-New'!$B$4:$B$48,'New Summary-New'!$B10)</f>
        <v>107830065</v>
      </c>
      <c r="D10" s="186">
        <f ca="1">SUMIFS('Summary-New'!E$4:E$48,'Summary-New'!$B$4:$B$48,'New Summary-New'!$B10)</f>
        <v>25576070</v>
      </c>
      <c r="E10" s="28">
        <f>SUMIFS('Summary-New'!F$4:F$48,'Summary-New'!$B$4:$B$48,'New Summary-New'!$B10)</f>
        <v>360476000</v>
      </c>
      <c r="F10" s="239">
        <f ca="1">SUMIFS('Summary-New'!G$4:G$48,'Summary-New'!$B$4:$B$48,'New Summary-New'!$B10)</f>
        <v>6744780</v>
      </c>
      <c r="G10" s="34">
        <f t="shared" ca="1" si="0"/>
        <v>-353731220</v>
      </c>
      <c r="H10" s="187">
        <f t="shared" ca="1" si="1"/>
        <v>-18831290</v>
      </c>
      <c r="I10" s="34">
        <f t="shared" ca="1" si="2"/>
        <v>-101085285</v>
      </c>
    </row>
    <row r="11" spans="1:9" ht="15" customHeight="1" x14ac:dyDescent="0.3">
      <c r="B11" s="166" t="s">
        <v>295</v>
      </c>
      <c r="C11" s="165">
        <f ca="1">SUMIFS('Summary-New'!D$4:D$48,'Summary-New'!$B$4:$B$48,'New Summary-New'!$B11)</f>
        <v>40474902</v>
      </c>
      <c r="D11" s="186">
        <f ca="1">SUMIFS('Summary-New'!E$4:E$48,'Summary-New'!$B$4:$B$48,'New Summary-New'!$B11)</f>
        <v>2138350</v>
      </c>
      <c r="E11" s="28">
        <f>SUMIFS('Summary-New'!F$4:F$48,'Summary-New'!$B$4:$B$48,'New Summary-New'!$B11)</f>
        <v>145592000</v>
      </c>
      <c r="F11" s="239">
        <f ca="1">SUMIFS('Summary-New'!G$4:G$48,'Summary-New'!$B$4:$B$48,'New Summary-New'!$B11)</f>
        <v>21000</v>
      </c>
      <c r="G11" s="34">
        <f t="shared" ca="1" si="0"/>
        <v>-145571000</v>
      </c>
      <c r="H11" s="187">
        <f t="shared" ca="1" si="1"/>
        <v>-2117350</v>
      </c>
      <c r="I11" s="34">
        <f t="shared" ca="1" si="2"/>
        <v>-40453902</v>
      </c>
    </row>
    <row r="12" spans="1:9" ht="15" customHeight="1" x14ac:dyDescent="0.3">
      <c r="B12" s="166" t="s">
        <v>265</v>
      </c>
      <c r="C12" s="165">
        <f ca="1">SUMIFS('Summary-New'!D$4:D$48,'Summary-New'!$B$4:$B$48,'New Summary-New'!$B12)</f>
        <v>34462500</v>
      </c>
      <c r="D12" s="186">
        <f ca="1">SUMIFS('Summary-New'!E$4:E$48,'Summary-New'!$B$4:$B$48,'New Summary-New'!$B12)</f>
        <v>1003640</v>
      </c>
      <c r="E12" s="28">
        <f>SUMIFS('Summary-New'!F$4:F$48,'Summary-New'!$B$4:$B$48,'New Summary-New'!$B12)</f>
        <v>365696000</v>
      </c>
      <c r="F12" s="239">
        <f ca="1">SUMIFS('Summary-New'!G$4:G$48,'Summary-New'!$B$4:$B$48,'New Summary-New'!$B12)</f>
        <v>50000</v>
      </c>
      <c r="G12" s="34">
        <f t="shared" ca="1" si="0"/>
        <v>-365646000</v>
      </c>
      <c r="H12" s="187">
        <f t="shared" ca="1" si="1"/>
        <v>-953640</v>
      </c>
      <c r="I12" s="34">
        <f t="shared" ca="1" si="2"/>
        <v>-34412500</v>
      </c>
    </row>
    <row r="13" spans="1:9" ht="15" customHeight="1" thickBot="1" x14ac:dyDescent="0.35">
      <c r="B13" s="167" t="s">
        <v>385</v>
      </c>
      <c r="C13" s="168">
        <f ca="1">SUMIFS('Summary-New'!D$4:D$48,'Summary-New'!$B$4:$B$48,'New Summary-New'!$B13)</f>
        <v>17116000</v>
      </c>
      <c r="D13" s="188">
        <f ca="1">SUMIFS('Summary-New'!E$4:E$48,'Summary-New'!$B$4:$B$48,'New Summary-New'!$B13)</f>
        <v>0</v>
      </c>
      <c r="E13" s="31">
        <f>SUMIFS('Summary-New'!F$4:F$48,'Summary-New'!$B$4:$B$48,'New Summary-New'!$B13)</f>
        <v>142866000</v>
      </c>
      <c r="F13" s="240">
        <f ca="1">SUMIFS('Summary-New'!G$4:G$48,'Summary-New'!$B$4:$B$48,'New Summary-New'!$B13)</f>
        <v>0</v>
      </c>
      <c r="G13" s="35">
        <f t="shared" ca="1" si="0"/>
        <v>-142866000</v>
      </c>
      <c r="H13" s="189">
        <f t="shared" ca="1" si="1"/>
        <v>0</v>
      </c>
      <c r="I13" s="35">
        <f t="shared" ca="1" si="2"/>
        <v>-17116000</v>
      </c>
    </row>
    <row r="14" spans="1:9" s="112" customFormat="1" ht="19.5" customHeight="1" thickTop="1" thickBot="1" x14ac:dyDescent="0.35">
      <c r="B14" s="241" t="s">
        <v>652</v>
      </c>
      <c r="C14" s="242">
        <f ca="1">SUM(C5:C13)</f>
        <v>460590223</v>
      </c>
      <c r="D14" s="243">
        <f t="shared" ref="D14:F14" ca="1" si="3">SUM(D5:D13)</f>
        <v>61332760</v>
      </c>
      <c r="E14" s="243">
        <f t="shared" si="3"/>
        <v>3000000000</v>
      </c>
      <c r="F14" s="243">
        <f t="shared" ca="1" si="3"/>
        <v>18224398</v>
      </c>
      <c r="G14" s="244">
        <f t="shared" ca="1" si="0"/>
        <v>-2981775602</v>
      </c>
      <c r="H14" s="245">
        <f t="shared" ca="1" si="1"/>
        <v>-43108362</v>
      </c>
      <c r="I14" s="245">
        <f t="shared" ca="1" si="2"/>
        <v>-442365825</v>
      </c>
    </row>
    <row r="15" spans="1:9" ht="2.4" customHeight="1" thickTop="1" x14ac:dyDescent="0.3">
      <c r="B15" s="58">
        <v>0</v>
      </c>
      <c r="C15" s="58">
        <v>0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</row>
    <row r="16" spans="1:9" ht="2.4" customHeight="1" thickBot="1" x14ac:dyDescent="0.35">
      <c r="B16" s="58">
        <v>0</v>
      </c>
      <c r="C16" s="58">
        <v>0</v>
      </c>
      <c r="D16" s="58">
        <v>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</row>
    <row r="17" spans="2:9" ht="17.399999999999999" customHeight="1" thickTop="1" thickBot="1" x14ac:dyDescent="0.35">
      <c r="B17" s="246" t="s">
        <v>209</v>
      </c>
      <c r="C17" s="247" t="s">
        <v>773</v>
      </c>
      <c r="D17" s="248"/>
      <c r="E17" s="249" t="s">
        <v>771</v>
      </c>
    </row>
    <row r="18" spans="2:9" ht="17.399999999999999" customHeight="1" thickTop="1" thickBot="1" x14ac:dyDescent="0.35">
      <c r="B18" s="250"/>
      <c r="C18" s="251" t="s">
        <v>45</v>
      </c>
      <c r="D18" s="252" t="s">
        <v>5</v>
      </c>
      <c r="E18" s="253"/>
    </row>
    <row r="19" spans="2:9" ht="15" customHeight="1" thickTop="1" x14ac:dyDescent="0.3">
      <c r="B19" s="164" t="s">
        <v>246</v>
      </c>
      <c r="C19" s="32">
        <f ca="1">'Detail Cabang-By Portfolio'!D50</f>
        <v>2571605</v>
      </c>
      <c r="D19" s="62">
        <f ca="1">'Detail Cabang-By Portfolio'!E50</f>
        <v>0</v>
      </c>
      <c r="E19" s="190">
        <f ca="1">'Detail Cabang-By Portfolio'!F50</f>
        <v>2571605</v>
      </c>
    </row>
    <row r="20" spans="2:9" ht="15" customHeight="1" x14ac:dyDescent="0.3">
      <c r="B20" s="166" t="s">
        <v>257</v>
      </c>
      <c r="C20" s="28">
        <f ca="1">'Detail Cabang-By Portfolio'!D51</f>
        <v>0</v>
      </c>
      <c r="D20" s="59">
        <f ca="1">'Detail Cabang-By Portfolio'!E51</f>
        <v>0</v>
      </c>
      <c r="E20" s="191">
        <f ca="1">'Detail Cabang-By Portfolio'!F51</f>
        <v>0</v>
      </c>
    </row>
    <row r="21" spans="2:9" ht="15" customHeight="1" x14ac:dyDescent="0.3">
      <c r="B21" s="166" t="s">
        <v>273</v>
      </c>
      <c r="C21" s="28">
        <f ca="1">'Detail Cabang-By Portfolio'!D52</f>
        <v>0</v>
      </c>
      <c r="D21" s="59">
        <f ca="1">'Detail Cabang-By Portfolio'!E52</f>
        <v>3580</v>
      </c>
      <c r="E21" s="191">
        <f ca="1">'Detail Cabang-By Portfolio'!F52</f>
        <v>3580</v>
      </c>
    </row>
    <row r="22" spans="2:9" ht="15" customHeight="1" x14ac:dyDescent="0.3">
      <c r="B22" s="166" t="s">
        <v>252</v>
      </c>
      <c r="C22" s="28">
        <f ca="1">'Detail Cabang-By Portfolio'!D53</f>
        <v>709200</v>
      </c>
      <c r="D22" s="59">
        <f ca="1">'Detail Cabang-By Portfolio'!E53</f>
        <v>278400</v>
      </c>
      <c r="E22" s="191">
        <f ca="1">'Detail Cabang-By Portfolio'!F53</f>
        <v>987600</v>
      </c>
    </row>
    <row r="23" spans="2:9" ht="15" customHeight="1" x14ac:dyDescent="0.3">
      <c r="B23" s="166" t="s">
        <v>228</v>
      </c>
      <c r="C23" s="28">
        <f ca="1">'Detail Cabang-By Portfolio'!D54</f>
        <v>7538833</v>
      </c>
      <c r="D23" s="59">
        <f ca="1">'Detail Cabang-By Portfolio'!E54</f>
        <v>307000</v>
      </c>
      <c r="E23" s="191">
        <f ca="1">'Detail Cabang-By Portfolio'!F54</f>
        <v>7845833</v>
      </c>
    </row>
    <row r="24" spans="2:9" ht="15" customHeight="1" x14ac:dyDescent="0.3">
      <c r="B24" s="166" t="s">
        <v>233</v>
      </c>
      <c r="C24" s="28">
        <f ca="1">'Detail Cabang-By Portfolio'!D55</f>
        <v>5350000</v>
      </c>
      <c r="D24" s="59">
        <f ca="1">'Detail Cabang-By Portfolio'!E55</f>
        <v>1394780</v>
      </c>
      <c r="E24" s="191">
        <f ca="1">'Detail Cabang-By Portfolio'!F55</f>
        <v>6744780</v>
      </c>
    </row>
    <row r="25" spans="2:9" ht="15" customHeight="1" x14ac:dyDescent="0.3">
      <c r="B25" s="166" t="s">
        <v>295</v>
      </c>
      <c r="C25" s="28">
        <f ca="1">'Detail Cabang-By Portfolio'!D56</f>
        <v>21000</v>
      </c>
      <c r="D25" s="59">
        <f ca="1">'Detail Cabang-By Portfolio'!E56</f>
        <v>0</v>
      </c>
      <c r="E25" s="191">
        <f ca="1">'Detail Cabang-By Portfolio'!F56</f>
        <v>21000</v>
      </c>
    </row>
    <row r="26" spans="2:9" ht="15" customHeight="1" x14ac:dyDescent="0.3">
      <c r="B26" s="166" t="s">
        <v>265</v>
      </c>
      <c r="C26" s="28">
        <f ca="1">'Detail Cabang-By Portfolio'!D57</f>
        <v>50000</v>
      </c>
      <c r="D26" s="59">
        <f ca="1">'Detail Cabang-By Portfolio'!E57</f>
        <v>0</v>
      </c>
      <c r="E26" s="191">
        <f ca="1">'Detail Cabang-By Portfolio'!F57</f>
        <v>50000</v>
      </c>
    </row>
    <row r="27" spans="2:9" ht="15" customHeight="1" thickBot="1" x14ac:dyDescent="0.35">
      <c r="B27" s="167" t="s">
        <v>385</v>
      </c>
      <c r="C27" s="31">
        <f ca="1">'Detail Cabang-By Portfolio'!D58</f>
        <v>0</v>
      </c>
      <c r="D27" s="63">
        <f ca="1">'Detail Cabang-By Portfolio'!E58</f>
        <v>0</v>
      </c>
      <c r="E27" s="192">
        <f ca="1">'Detail Cabang-By Portfolio'!F58</f>
        <v>0</v>
      </c>
    </row>
    <row r="28" spans="2:9" s="112" customFormat="1" ht="20.100000000000001" customHeight="1" thickTop="1" thickBot="1" x14ac:dyDescent="0.35">
      <c r="B28" s="254" t="s">
        <v>652</v>
      </c>
      <c r="C28" s="255">
        <f ca="1">'Detail Cabang-By Portfolio'!D59</f>
        <v>16240638</v>
      </c>
      <c r="D28" s="256">
        <f ca="1">'Detail Cabang-By Portfolio'!E59</f>
        <v>1983760</v>
      </c>
      <c r="E28" s="257">
        <f ca="1">'Detail Cabang-By Portfolio'!F59</f>
        <v>18224398</v>
      </c>
    </row>
    <row r="29" spans="2:9" ht="2.4" customHeight="1" thickTop="1" x14ac:dyDescent="0.3">
      <c r="B29" s="58">
        <v>0</v>
      </c>
      <c r="C29" s="58">
        <v>0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</row>
    <row r="30" spans="2:9" ht="2.4" customHeight="1" thickBot="1" x14ac:dyDescent="0.35">
      <c r="B30" s="58">
        <v>0</v>
      </c>
      <c r="C30" s="58">
        <v>0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</row>
    <row r="31" spans="2:9" ht="17.399999999999999" customHeight="1" thickTop="1" thickBot="1" x14ac:dyDescent="0.35">
      <c r="B31" s="246" t="s">
        <v>209</v>
      </c>
      <c r="C31" s="247" t="s">
        <v>774</v>
      </c>
      <c r="D31" s="248"/>
      <c r="E31" s="258" t="s">
        <v>771</v>
      </c>
    </row>
    <row r="32" spans="2:9" ht="17.399999999999999" customHeight="1" thickTop="1" thickBot="1" x14ac:dyDescent="0.35">
      <c r="B32" s="250"/>
      <c r="C32" s="251" t="s">
        <v>123</v>
      </c>
      <c r="D32" s="252" t="s">
        <v>121</v>
      </c>
      <c r="E32" s="259"/>
    </row>
    <row r="33" spans="1:5" ht="15" customHeight="1" thickTop="1" x14ac:dyDescent="0.3">
      <c r="B33" s="164" t="s">
        <v>246</v>
      </c>
      <c r="C33" s="183">
        <f ca="1">'Detail Cabang-By Payment Type'!D50</f>
        <v>0</v>
      </c>
      <c r="D33" s="32">
        <f ca="1">'Detail Cabang-By Payment Type'!E50</f>
        <v>2571605</v>
      </c>
      <c r="E33" s="190">
        <f ca="1">'Detail Cabang-By Payment Type'!F50</f>
        <v>2571605</v>
      </c>
    </row>
    <row r="34" spans="1:5" ht="15" customHeight="1" x14ac:dyDescent="0.3">
      <c r="B34" s="166" t="s">
        <v>257</v>
      </c>
      <c r="C34" s="184">
        <f ca="1">'Detail Cabang-By Payment Type'!D51</f>
        <v>0</v>
      </c>
      <c r="D34" s="28">
        <f ca="1">'Detail Cabang-By Payment Type'!E51</f>
        <v>0</v>
      </c>
      <c r="E34" s="191">
        <f ca="1">'Detail Cabang-By Payment Type'!F51</f>
        <v>0</v>
      </c>
    </row>
    <row r="35" spans="1:5" ht="15" customHeight="1" x14ac:dyDescent="0.3">
      <c r="B35" s="166" t="s">
        <v>273</v>
      </c>
      <c r="C35" s="184">
        <f ca="1">'Detail Cabang-By Payment Type'!D52</f>
        <v>0</v>
      </c>
      <c r="D35" s="28">
        <f ca="1">'Detail Cabang-By Payment Type'!E52</f>
        <v>3580</v>
      </c>
      <c r="E35" s="191">
        <f ca="1">'Detail Cabang-By Payment Type'!F52</f>
        <v>3580</v>
      </c>
    </row>
    <row r="36" spans="1:5" ht="15" customHeight="1" x14ac:dyDescent="0.3">
      <c r="B36" s="166" t="s">
        <v>252</v>
      </c>
      <c r="C36" s="184">
        <f ca="1">'Detail Cabang-By Payment Type'!D53</f>
        <v>898200</v>
      </c>
      <c r="D36" s="28">
        <f ca="1">'Detail Cabang-By Payment Type'!E53</f>
        <v>89400</v>
      </c>
      <c r="E36" s="191">
        <f ca="1">'Detail Cabang-By Payment Type'!F53</f>
        <v>987600</v>
      </c>
    </row>
    <row r="37" spans="1:5" ht="15" customHeight="1" x14ac:dyDescent="0.3">
      <c r="B37" s="166" t="s">
        <v>228</v>
      </c>
      <c r="C37" s="184">
        <f ca="1">'Detail Cabang-By Payment Type'!D54</f>
        <v>3363875</v>
      </c>
      <c r="D37" s="28">
        <f ca="1">'Detail Cabang-By Payment Type'!E54</f>
        <v>4481958</v>
      </c>
      <c r="E37" s="191">
        <f ca="1">'Detail Cabang-By Payment Type'!F54</f>
        <v>7845833</v>
      </c>
    </row>
    <row r="38" spans="1:5" ht="15" customHeight="1" x14ac:dyDescent="0.3">
      <c r="B38" s="166" t="s">
        <v>233</v>
      </c>
      <c r="C38" s="184">
        <f ca="1">'Detail Cabang-By Payment Type'!D55</f>
        <v>0</v>
      </c>
      <c r="D38" s="28">
        <f ca="1">'Detail Cabang-By Payment Type'!E55</f>
        <v>6744780</v>
      </c>
      <c r="E38" s="191">
        <f ca="1">'Detail Cabang-By Payment Type'!F55</f>
        <v>6744780</v>
      </c>
    </row>
    <row r="39" spans="1:5" ht="15" customHeight="1" x14ac:dyDescent="0.3">
      <c r="B39" s="166" t="s">
        <v>295</v>
      </c>
      <c r="C39" s="184">
        <f ca="1">'Detail Cabang-By Payment Type'!D56</f>
        <v>0</v>
      </c>
      <c r="D39" s="28">
        <f ca="1">'Detail Cabang-By Payment Type'!E56</f>
        <v>21000</v>
      </c>
      <c r="E39" s="191">
        <f ca="1">'Detail Cabang-By Payment Type'!F56</f>
        <v>21000</v>
      </c>
    </row>
    <row r="40" spans="1:5" ht="15" customHeight="1" x14ac:dyDescent="0.3">
      <c r="B40" s="166" t="s">
        <v>265</v>
      </c>
      <c r="C40" s="184">
        <f ca="1">'Detail Cabang-By Payment Type'!D57</f>
        <v>0</v>
      </c>
      <c r="D40" s="28">
        <f ca="1">'Detail Cabang-By Payment Type'!E57</f>
        <v>50000</v>
      </c>
      <c r="E40" s="191">
        <f ca="1">'Detail Cabang-By Payment Type'!F57</f>
        <v>50000</v>
      </c>
    </row>
    <row r="41" spans="1:5" ht="15" customHeight="1" thickBot="1" x14ac:dyDescent="0.35">
      <c r="B41" s="167" t="s">
        <v>385</v>
      </c>
      <c r="C41" s="185">
        <f ca="1">'Detail Cabang-By Payment Type'!D58</f>
        <v>0</v>
      </c>
      <c r="D41" s="31">
        <f ca="1">'Detail Cabang-By Payment Type'!E58</f>
        <v>0</v>
      </c>
      <c r="E41" s="192">
        <f ca="1">'Detail Cabang-By Payment Type'!F58</f>
        <v>0</v>
      </c>
    </row>
    <row r="42" spans="1:5" s="112" customFormat="1" ht="20.100000000000001" customHeight="1" thickTop="1" thickBot="1" x14ac:dyDescent="0.35">
      <c r="B42" s="254" t="s">
        <v>652</v>
      </c>
      <c r="C42" s="255">
        <f ca="1">'Detail Cabang-By Payment Type'!D59</f>
        <v>4262075</v>
      </c>
      <c r="D42" s="256">
        <f ca="1">'Detail Cabang-By Payment Type'!E59</f>
        <v>13962323</v>
      </c>
      <c r="E42" s="257">
        <f ca="1">'Detail Cabang-By Payment Type'!F59</f>
        <v>18224398</v>
      </c>
    </row>
    <row r="43" spans="1:5" ht="2.4" customHeight="1" thickTop="1" x14ac:dyDescent="0.3">
      <c r="A43" s="56">
        <v>0</v>
      </c>
    </row>
  </sheetData>
  <mergeCells count="7">
    <mergeCell ref="B2:C2"/>
    <mergeCell ref="B17:B18"/>
    <mergeCell ref="C17:D17"/>
    <mergeCell ref="E17:E18"/>
    <mergeCell ref="B31:B32"/>
    <mergeCell ref="C31:D31"/>
    <mergeCell ref="E31:E32"/>
  </mergeCells>
  <conditionalFormatting sqref="G5:H13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G10:H14"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G5:I14">
    <cfRule type="cellIs" dxfId="2" priority="2" operator="lessThan">
      <formula>0</formula>
    </cfRule>
  </conditionalFormatting>
  <conditionalFormatting sqref="I5:I13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I10:I14">
    <cfRule type="iconSet" priority="4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</sheetPr>
  <dimension ref="A1:AH50"/>
  <sheetViews>
    <sheetView showGridLines="0" workbookViewId="0">
      <selection sqref="A1:XFD1048576"/>
    </sheetView>
  </sheetViews>
  <sheetFormatPr defaultColWidth="8.6640625" defaultRowHeight="13.8" x14ac:dyDescent="0.3"/>
  <cols>
    <col min="1" max="1" width="0.44140625" style="1" customWidth="1"/>
    <col min="2" max="5" width="23.33203125" style="1" customWidth="1"/>
    <col min="6" max="7" width="23.33203125" style="28" customWidth="1"/>
    <col min="8" max="9" width="30.6640625" style="28" customWidth="1"/>
    <col min="10" max="10" width="33.33203125" style="28" customWidth="1"/>
    <col min="11" max="11" width="1.88671875" style="160" customWidth="1"/>
    <col min="12" max="13" width="10.5546875" style="1" bestFit="1" customWidth="1"/>
    <col min="14" max="14" width="8" style="1" bestFit="1" customWidth="1"/>
    <col min="15" max="16" width="10.88671875" style="1" bestFit="1" customWidth="1"/>
    <col min="17" max="17" width="10.109375" style="1" bestFit="1" customWidth="1"/>
    <col min="18" max="16384" width="8.6640625" style="1"/>
  </cols>
  <sheetData>
    <row r="1" spans="1:34" ht="19.2" x14ac:dyDescent="0.3">
      <c r="B1" s="43" t="str">
        <f ca="1">"Summary Penerimaan Denda Alda Periode"&amp;" "&amp;$O$5&amp;" "&amp;$O$6</f>
        <v>Summary Penerimaan Denda Alda Periode June 2026</v>
      </c>
      <c r="K1" s="56"/>
      <c r="L1" s="56"/>
      <c r="M1" s="57">
        <f ca="1">EOMONTH($L$3,0)</f>
        <v>46173</v>
      </c>
      <c r="N1" s="57"/>
      <c r="O1" s="56" t="str">
        <f ca="1">TEXT(P1,"YY-MM")</f>
        <v>26-06</v>
      </c>
      <c r="P1" s="57">
        <f ca="1">EOMONTH($O$3,0)</f>
        <v>46203</v>
      </c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</row>
    <row r="2" spans="1:34" ht="3" customHeight="1" thickBot="1" x14ac:dyDescent="0.35">
      <c r="B2" s="58">
        <v>0</v>
      </c>
      <c r="C2" s="58">
        <v>0</v>
      </c>
      <c r="D2" s="58">
        <v>0</v>
      </c>
      <c r="E2" s="58">
        <v>0</v>
      </c>
      <c r="F2" s="58">
        <v>0</v>
      </c>
      <c r="G2" s="58">
        <v>0</v>
      </c>
      <c r="H2" s="58">
        <v>0</v>
      </c>
      <c r="I2" s="58">
        <v>0</v>
      </c>
      <c r="J2" s="58">
        <v>0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</row>
    <row r="3" spans="1:34" ht="50.1" customHeight="1" thickTop="1" thickBot="1" x14ac:dyDescent="0.35">
      <c r="A3" s="56">
        <v>0</v>
      </c>
      <c r="B3" s="260" t="str">
        <f>'Detail Cabang-New'!B3</f>
        <v>Area</v>
      </c>
      <c r="C3" s="261" t="str">
        <f>'Detail Cabang-New'!C3</f>
        <v>Cabang</v>
      </c>
      <c r="D3" s="262" t="str">
        <f ca="1">'Detail Cabang-New'!D3</f>
        <v>Actual Denda Alda 31 May 2026</v>
      </c>
      <c r="E3" s="262" t="str">
        <f ca="1">'Detail Cabang-New'!E3</f>
        <v>Actual Denda Alda 5 May 2026</v>
      </c>
      <c r="F3" s="263" t="str">
        <f ca="1">'Detail Cabang-New'!F3</f>
        <v>Target Denda Alda June 2026</v>
      </c>
      <c r="G3" s="264" t="str">
        <f ca="1">'Detail Cabang-New'!G3</f>
        <v>Actual Denda Alda s/d 5 June 2026</v>
      </c>
      <c r="H3" s="265" t="str">
        <f>'Detail Cabang-New'!H3</f>
        <v>Diff Actual Denda Alda Vs Target Alda</v>
      </c>
      <c r="I3" s="265" t="str">
        <f ca="1">'Detail Cabang-New'!I3</f>
        <v>Diff Denda Alda 5 May 2026 Vs 5 June 2026</v>
      </c>
      <c r="J3" s="265" t="str">
        <f ca="1">'Detail Cabang-New'!J3</f>
        <v>Diff Denda Alda Closing 31 May 2026 Vs Actual 5 June 2026</v>
      </c>
      <c r="K3" s="56"/>
      <c r="L3" s="57">
        <f ca="1">EDATE(O3,-1)</f>
        <v>46146</v>
      </c>
      <c r="M3" s="57">
        <f ca="1">EDATE(P3,-1)</f>
        <v>46147</v>
      </c>
      <c r="N3" s="57"/>
      <c r="O3" s="57">
        <f ca="1">TODAY()-1</f>
        <v>46177</v>
      </c>
      <c r="P3" s="57">
        <f ca="1">TODAY()</f>
        <v>46178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</row>
    <row r="4" spans="1:34" ht="15" customHeight="1" thickTop="1" x14ac:dyDescent="0.3">
      <c r="B4" s="180" t="s">
        <v>246</v>
      </c>
      <c r="C4" s="169" t="s">
        <v>23</v>
      </c>
      <c r="D4" s="165">
        <f ca="1">'Detail Cabang-New'!D4</f>
        <v>1239560</v>
      </c>
      <c r="E4" s="165">
        <f ca="1">'Detail Cabang-New'!E4</f>
        <v>0</v>
      </c>
      <c r="F4" s="28">
        <f>'Detail Cabang-New'!F4</f>
        <v>178413000</v>
      </c>
      <c r="G4" s="165">
        <f ca="1">'Detail Cabang-New'!G4</f>
        <v>0</v>
      </c>
      <c r="H4" s="34">
        <f ca="1">G4-F4</f>
        <v>-178413000</v>
      </c>
      <c r="I4" s="34">
        <f ca="1">G4-E4</f>
        <v>0</v>
      </c>
      <c r="J4" s="34">
        <f ca="1">G4-D4</f>
        <v>-1239560</v>
      </c>
      <c r="K4" s="56"/>
      <c r="L4" s="58">
        <f ca="1">DAY($L$3)</f>
        <v>4</v>
      </c>
      <c r="M4" s="58">
        <f ca="1">DAY($M$3)</f>
        <v>5</v>
      </c>
      <c r="N4" s="58">
        <f ca="1">DAY($M$1)</f>
        <v>31</v>
      </c>
      <c r="O4" s="58">
        <f ca="1">DAY($O$3)</f>
        <v>4</v>
      </c>
      <c r="P4" s="58">
        <f ca="1">DAY($P$3)</f>
        <v>5</v>
      </c>
      <c r="Q4" s="58">
        <f ca="1">DAY($P$1)</f>
        <v>30</v>
      </c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</row>
    <row r="5" spans="1:34" ht="15" customHeight="1" x14ac:dyDescent="0.3">
      <c r="B5" s="180" t="s">
        <v>246</v>
      </c>
      <c r="C5" s="169" t="s">
        <v>244</v>
      </c>
      <c r="D5" s="165">
        <f ca="1">'Detail Cabang-New'!D5</f>
        <v>0</v>
      </c>
      <c r="E5" s="165">
        <f ca="1">'Detail Cabang-New'!E5</f>
        <v>0</v>
      </c>
      <c r="F5" s="28">
        <f>'Detail Cabang-New'!F5</f>
        <v>90555000</v>
      </c>
      <c r="G5" s="165">
        <f ca="1">'Detail Cabang-New'!G5</f>
        <v>0</v>
      </c>
      <c r="H5" s="34">
        <f t="shared" ref="H5:H49" ca="1" si="0">G5-F5</f>
        <v>-90555000</v>
      </c>
      <c r="I5" s="34">
        <f t="shared" ref="I5:I49" ca="1" si="1">G5-E5</f>
        <v>0</v>
      </c>
      <c r="J5" s="34">
        <f t="shared" ref="J5:J49" ca="1" si="2">G5-D5</f>
        <v>0</v>
      </c>
      <c r="K5" s="56"/>
      <c r="L5" s="58" t="str">
        <f ca="1">TEXT($L$3,"MMMM")</f>
        <v>May</v>
      </c>
      <c r="M5" s="58" t="str">
        <f ca="1">TEXT($M$3,"MMMM")</f>
        <v>May</v>
      </c>
      <c r="N5" s="58" t="str">
        <f ca="1">TEXT($M$1,"MMMM")</f>
        <v>May</v>
      </c>
      <c r="O5" s="58" t="str">
        <f ca="1">TEXT($O$3,"MMMM")</f>
        <v>June</v>
      </c>
      <c r="P5" s="58" t="str">
        <f ca="1">TEXT($P$3,"MMMM")</f>
        <v>June</v>
      </c>
      <c r="Q5" s="58" t="str">
        <f ca="1">TEXT($P$1,"MMMM")</f>
        <v>June</v>
      </c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</row>
    <row r="6" spans="1:34" ht="15" customHeight="1" x14ac:dyDescent="0.3">
      <c r="B6" s="180" t="s">
        <v>246</v>
      </c>
      <c r="C6" s="169" t="s">
        <v>22</v>
      </c>
      <c r="D6" s="165">
        <f ca="1">'Detail Cabang-New'!D6</f>
        <v>0</v>
      </c>
      <c r="E6" s="165">
        <f ca="1">'Detail Cabang-New'!E6</f>
        <v>0</v>
      </c>
      <c r="F6" s="28">
        <f>'Detail Cabang-New'!F6</f>
        <v>43361000</v>
      </c>
      <c r="G6" s="165">
        <f ca="1">'Detail Cabang-New'!G6</f>
        <v>0</v>
      </c>
      <c r="H6" s="34">
        <f t="shared" ca="1" si="0"/>
        <v>-43361000</v>
      </c>
      <c r="I6" s="34">
        <f t="shared" ca="1" si="1"/>
        <v>0</v>
      </c>
      <c r="J6" s="34">
        <f t="shared" ca="1" si="2"/>
        <v>0</v>
      </c>
      <c r="K6" s="56"/>
      <c r="L6" s="58">
        <f ca="1">YEAR($L$3)</f>
        <v>2026</v>
      </c>
      <c r="M6" s="58">
        <f ca="1">YEAR($M$3)</f>
        <v>2026</v>
      </c>
      <c r="N6" s="58">
        <f ca="1">YEAR($M$1)</f>
        <v>2026</v>
      </c>
      <c r="O6" s="58">
        <f ca="1">YEAR($O$3)</f>
        <v>2026</v>
      </c>
      <c r="P6" s="58">
        <f ca="1">YEAR($P$3)</f>
        <v>2026</v>
      </c>
      <c r="Q6" s="58">
        <f ca="1">YEAR($P$1)</f>
        <v>2026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</row>
    <row r="7" spans="1:34" ht="15" customHeight="1" x14ac:dyDescent="0.3">
      <c r="B7" s="180" t="s">
        <v>246</v>
      </c>
      <c r="C7" s="169" t="s">
        <v>590</v>
      </c>
      <c r="D7" s="165">
        <f ca="1">'Detail Cabang-New'!D7</f>
        <v>4462000</v>
      </c>
      <c r="E7" s="165">
        <f ca="1">'Detail Cabang-New'!E7</f>
        <v>0</v>
      </c>
      <c r="F7" s="28">
        <f>'Detail Cabang-New'!F7</f>
        <v>64741000</v>
      </c>
      <c r="G7" s="165">
        <f ca="1">'Detail Cabang-New'!G7</f>
        <v>16025</v>
      </c>
      <c r="H7" s="34">
        <f t="shared" ca="1" si="0"/>
        <v>-64724975</v>
      </c>
      <c r="I7" s="34">
        <f t="shared" ca="1" si="1"/>
        <v>16025</v>
      </c>
      <c r="J7" s="34">
        <f t="shared" ca="1" si="2"/>
        <v>-4445975</v>
      </c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</row>
    <row r="8" spans="1:34" ht="15" customHeight="1" x14ac:dyDescent="0.3">
      <c r="B8" s="180" t="s">
        <v>246</v>
      </c>
      <c r="C8" s="169" t="s">
        <v>331</v>
      </c>
      <c r="D8" s="165">
        <f ca="1">'Detail Cabang-New'!D8</f>
        <v>2319805</v>
      </c>
      <c r="E8" s="165">
        <f ca="1">'Detail Cabang-New'!E8</f>
        <v>0</v>
      </c>
      <c r="F8" s="28">
        <f>'Detail Cabang-New'!F8</f>
        <v>124821000</v>
      </c>
      <c r="G8" s="165">
        <f ca="1">'Detail Cabang-New'!G8</f>
        <v>0</v>
      </c>
      <c r="H8" s="34">
        <f t="shared" ca="1" si="0"/>
        <v>-124821000</v>
      </c>
      <c r="I8" s="34">
        <f t="shared" ca="1" si="1"/>
        <v>0</v>
      </c>
      <c r="J8" s="34">
        <f t="shared" ca="1" si="2"/>
        <v>-2319805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</row>
    <row r="9" spans="1:34" ht="15" customHeight="1" x14ac:dyDescent="0.3">
      <c r="B9" s="180" t="s">
        <v>246</v>
      </c>
      <c r="C9" s="169" t="s">
        <v>29</v>
      </c>
      <c r="D9" s="165">
        <f ca="1">'Detail Cabang-New'!D9</f>
        <v>17888000</v>
      </c>
      <c r="E9" s="165">
        <f ca="1">'Detail Cabang-New'!E9</f>
        <v>11788000</v>
      </c>
      <c r="F9" s="28">
        <f>'Detail Cabang-New'!F9</f>
        <v>100120000</v>
      </c>
      <c r="G9" s="165">
        <f ca="1">'Detail Cabang-New'!G9</f>
        <v>2555580</v>
      </c>
      <c r="H9" s="34">
        <f t="shared" ca="1" si="0"/>
        <v>-97564420</v>
      </c>
      <c r="I9" s="34">
        <f t="shared" ca="1" si="1"/>
        <v>-9232420</v>
      </c>
      <c r="J9" s="34">
        <f t="shared" ca="1" si="2"/>
        <v>-15332420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</row>
    <row r="10" spans="1:34" ht="15" customHeight="1" x14ac:dyDescent="0.3">
      <c r="B10" s="180" t="s">
        <v>246</v>
      </c>
      <c r="C10" s="169" t="s">
        <v>269</v>
      </c>
      <c r="D10" s="165">
        <f ca="1">'Detail Cabang-New'!D10</f>
        <v>0</v>
      </c>
      <c r="E10" s="165">
        <f ca="1">'Detail Cabang-New'!E10</f>
        <v>0</v>
      </c>
      <c r="F10" s="28">
        <f>'Detail Cabang-New'!F10</f>
        <v>107225000</v>
      </c>
      <c r="G10" s="165">
        <f ca="1">'Detail Cabang-New'!G10</f>
        <v>0</v>
      </c>
      <c r="H10" s="34">
        <f t="shared" ca="1" si="0"/>
        <v>-107225000</v>
      </c>
      <c r="I10" s="34">
        <f t="shared" ca="1" si="1"/>
        <v>0</v>
      </c>
      <c r="J10" s="34">
        <f t="shared" ca="1" si="2"/>
        <v>0</v>
      </c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</row>
    <row r="11" spans="1:34" ht="15" customHeight="1" thickBot="1" x14ac:dyDescent="0.35">
      <c r="B11" s="181" t="s">
        <v>246</v>
      </c>
      <c r="C11" s="170" t="s">
        <v>28</v>
      </c>
      <c r="D11" s="171">
        <f ca="1">'Detail Cabang-New'!D11</f>
        <v>23762000</v>
      </c>
      <c r="E11" s="171">
        <f ca="1">'Detail Cabang-New'!E11</f>
        <v>2571000</v>
      </c>
      <c r="F11" s="29">
        <f>'Detail Cabang-New'!F11</f>
        <v>235783000</v>
      </c>
      <c r="G11" s="171">
        <f ca="1">'Detail Cabang-New'!G11</f>
        <v>0</v>
      </c>
      <c r="H11" s="37">
        <f t="shared" ca="1" si="0"/>
        <v>-235783000</v>
      </c>
      <c r="I11" s="37">
        <f t="shared" ca="1" si="1"/>
        <v>-2571000</v>
      </c>
      <c r="J11" s="37">
        <f t="shared" ca="1" si="2"/>
        <v>-23762000</v>
      </c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</row>
    <row r="12" spans="1:34" ht="15" customHeight="1" x14ac:dyDescent="0.3">
      <c r="B12" s="180" t="s">
        <v>257</v>
      </c>
      <c r="C12" s="169" t="s">
        <v>30</v>
      </c>
      <c r="D12" s="165">
        <f ca="1">'Detail Cabang-New'!D12</f>
        <v>15077116</v>
      </c>
      <c r="E12" s="165">
        <f ca="1">'Detail Cabang-New'!E12</f>
        <v>0</v>
      </c>
      <c r="F12" s="28">
        <f>'Detail Cabang-New'!F12</f>
        <v>82031000</v>
      </c>
      <c r="G12" s="165">
        <f ca="1">'Detail Cabang-New'!G12</f>
        <v>0</v>
      </c>
      <c r="H12" s="34">
        <f t="shared" ca="1" si="0"/>
        <v>-82031000</v>
      </c>
      <c r="I12" s="34">
        <f t="shared" ca="1" si="1"/>
        <v>0</v>
      </c>
      <c r="J12" s="34">
        <f t="shared" ca="1" si="2"/>
        <v>-15077116</v>
      </c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</row>
    <row r="13" spans="1:34" ht="15" customHeight="1" x14ac:dyDescent="0.3">
      <c r="B13" s="180" t="s">
        <v>257</v>
      </c>
      <c r="C13" s="169" t="s">
        <v>309</v>
      </c>
      <c r="D13" s="165">
        <f ca="1">'Detail Cabang-New'!D13</f>
        <v>0</v>
      </c>
      <c r="E13" s="165">
        <f ca="1">'Detail Cabang-New'!E13</f>
        <v>0</v>
      </c>
      <c r="F13" s="28">
        <f>'Detail Cabang-New'!F13</f>
        <v>11789000</v>
      </c>
      <c r="G13" s="165">
        <f ca="1">'Detail Cabang-New'!G13</f>
        <v>0</v>
      </c>
      <c r="H13" s="34">
        <f t="shared" ca="1" si="0"/>
        <v>-11789000</v>
      </c>
      <c r="I13" s="34">
        <f t="shared" ca="1" si="1"/>
        <v>0</v>
      </c>
      <c r="J13" s="34">
        <f t="shared" ca="1" si="2"/>
        <v>0</v>
      </c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</row>
    <row r="14" spans="1:34" ht="15" customHeight="1" thickBot="1" x14ac:dyDescent="0.35">
      <c r="B14" s="181" t="s">
        <v>257</v>
      </c>
      <c r="C14" s="170" t="s">
        <v>25</v>
      </c>
      <c r="D14" s="171">
        <f ca="1">'Detail Cabang-New'!D14</f>
        <v>11500000</v>
      </c>
      <c r="E14" s="171">
        <f ca="1">'Detail Cabang-New'!E14</f>
        <v>0</v>
      </c>
      <c r="F14" s="29">
        <f>'Detail Cabang-New'!F14</f>
        <v>172173000</v>
      </c>
      <c r="G14" s="171">
        <f ca="1">'Detail Cabang-New'!G14</f>
        <v>0</v>
      </c>
      <c r="H14" s="37">
        <f t="shared" ca="1" si="0"/>
        <v>-172173000</v>
      </c>
      <c r="I14" s="37">
        <f t="shared" ca="1" si="1"/>
        <v>0</v>
      </c>
      <c r="J14" s="37">
        <f t="shared" ca="1" si="2"/>
        <v>-11500000</v>
      </c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</row>
    <row r="15" spans="1:34" ht="15" customHeight="1" x14ac:dyDescent="0.3">
      <c r="B15" s="180" t="s">
        <v>273</v>
      </c>
      <c r="C15" s="169" t="s">
        <v>38</v>
      </c>
      <c r="D15" s="165">
        <f ca="1">'Detail Cabang-New'!D15</f>
        <v>638000</v>
      </c>
      <c r="E15" s="165">
        <f ca="1">'Detail Cabang-New'!E15</f>
        <v>0</v>
      </c>
      <c r="F15" s="28">
        <f>'Detail Cabang-New'!F15</f>
        <v>17542000</v>
      </c>
      <c r="G15" s="165">
        <f ca="1">'Detail Cabang-New'!G15</f>
        <v>0</v>
      </c>
      <c r="H15" s="34">
        <f t="shared" ca="1" si="0"/>
        <v>-17542000</v>
      </c>
      <c r="I15" s="34">
        <f t="shared" ca="1" si="1"/>
        <v>0</v>
      </c>
      <c r="J15" s="34">
        <f t="shared" ca="1" si="2"/>
        <v>-638000</v>
      </c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</row>
    <row r="16" spans="1:34" ht="15" customHeight="1" x14ac:dyDescent="0.3">
      <c r="B16" s="180" t="s">
        <v>273</v>
      </c>
      <c r="C16" s="169" t="s">
        <v>27</v>
      </c>
      <c r="D16" s="165">
        <f ca="1">'Detail Cabang-New'!D16</f>
        <v>1700000</v>
      </c>
      <c r="E16" s="165">
        <f ca="1">'Detail Cabang-New'!E16</f>
        <v>0</v>
      </c>
      <c r="F16" s="28">
        <f>'Detail Cabang-New'!F16</f>
        <v>27347000</v>
      </c>
      <c r="G16" s="165">
        <f ca="1">'Detail Cabang-New'!G16</f>
        <v>0</v>
      </c>
      <c r="H16" s="34">
        <f t="shared" ca="1" si="0"/>
        <v>-27347000</v>
      </c>
      <c r="I16" s="34">
        <f t="shared" ca="1" si="1"/>
        <v>0</v>
      </c>
      <c r="J16" s="34">
        <f t="shared" ca="1" si="2"/>
        <v>-1700000</v>
      </c>
    </row>
    <row r="17" spans="2:10" ht="15" customHeight="1" x14ac:dyDescent="0.3">
      <c r="B17" s="180" t="s">
        <v>273</v>
      </c>
      <c r="C17" s="169" t="s">
        <v>33</v>
      </c>
      <c r="D17" s="165">
        <f ca="1">'Detail Cabang-New'!D17</f>
        <v>13392375</v>
      </c>
      <c r="E17" s="165">
        <f ca="1">'Detail Cabang-New'!E17</f>
        <v>0</v>
      </c>
      <c r="F17" s="28">
        <f>'Detail Cabang-New'!F17</f>
        <v>96496000</v>
      </c>
      <c r="G17" s="165">
        <f ca="1">'Detail Cabang-New'!G17</f>
        <v>0</v>
      </c>
      <c r="H17" s="34">
        <f t="shared" ca="1" si="0"/>
        <v>-96496000</v>
      </c>
      <c r="I17" s="34">
        <f t="shared" ca="1" si="1"/>
        <v>0</v>
      </c>
      <c r="J17" s="34">
        <f t="shared" ca="1" si="2"/>
        <v>-13392375</v>
      </c>
    </row>
    <row r="18" spans="2:10" ht="15" customHeight="1" x14ac:dyDescent="0.3">
      <c r="B18" s="180" t="s">
        <v>273</v>
      </c>
      <c r="C18" s="169" t="s">
        <v>32</v>
      </c>
      <c r="D18" s="165">
        <f ca="1">'Detail Cabang-New'!D18</f>
        <v>7671460</v>
      </c>
      <c r="E18" s="165">
        <f ca="1">'Detail Cabang-New'!E18</f>
        <v>121000</v>
      </c>
      <c r="F18" s="28">
        <f>'Detail Cabang-New'!F18</f>
        <v>33443000</v>
      </c>
      <c r="G18" s="165">
        <f ca="1">'Detail Cabang-New'!G18</f>
        <v>3580</v>
      </c>
      <c r="H18" s="34">
        <f t="shared" ca="1" si="0"/>
        <v>-33439420</v>
      </c>
      <c r="I18" s="34">
        <f t="shared" ca="1" si="1"/>
        <v>-117420</v>
      </c>
      <c r="J18" s="34">
        <f t="shared" ca="1" si="2"/>
        <v>-7667880</v>
      </c>
    </row>
    <row r="19" spans="2:10" ht="15" customHeight="1" x14ac:dyDescent="0.3">
      <c r="B19" s="180" t="s">
        <v>273</v>
      </c>
      <c r="C19" s="169" t="s">
        <v>307</v>
      </c>
      <c r="D19" s="165">
        <f ca="1">'Detail Cabang-New'!D19</f>
        <v>12400000</v>
      </c>
      <c r="E19" s="165">
        <f ca="1">'Detail Cabang-New'!E19</f>
        <v>12100000</v>
      </c>
      <c r="F19" s="28">
        <f>'Detail Cabang-New'!F19</f>
        <v>15828000</v>
      </c>
      <c r="G19" s="165">
        <f ca="1">'Detail Cabang-New'!G19</f>
        <v>0</v>
      </c>
      <c r="H19" s="34">
        <f t="shared" ca="1" si="0"/>
        <v>-15828000</v>
      </c>
      <c r="I19" s="34">
        <f t="shared" ca="1" si="1"/>
        <v>-12100000</v>
      </c>
      <c r="J19" s="34">
        <f t="shared" ca="1" si="2"/>
        <v>-12400000</v>
      </c>
    </row>
    <row r="20" spans="2:10" ht="15" customHeight="1" thickBot="1" x14ac:dyDescent="0.35">
      <c r="B20" s="181" t="s">
        <v>273</v>
      </c>
      <c r="C20" s="170" t="s">
        <v>274</v>
      </c>
      <c r="D20" s="171">
        <f ca="1">'Detail Cabang-New'!D20</f>
        <v>0</v>
      </c>
      <c r="E20" s="171">
        <f ca="1">'Detail Cabang-New'!E20</f>
        <v>0</v>
      </c>
      <c r="F20" s="29">
        <f>'Detail Cabang-New'!F20</f>
        <v>76467000</v>
      </c>
      <c r="G20" s="171">
        <f ca="1">'Detail Cabang-New'!G20</f>
        <v>0</v>
      </c>
      <c r="H20" s="37">
        <f t="shared" ca="1" si="0"/>
        <v>-76467000</v>
      </c>
      <c r="I20" s="37">
        <f t="shared" ca="1" si="1"/>
        <v>0</v>
      </c>
      <c r="J20" s="37">
        <f t="shared" ca="1" si="2"/>
        <v>0</v>
      </c>
    </row>
    <row r="21" spans="2:10" ht="15" customHeight="1" x14ac:dyDescent="0.3">
      <c r="B21" s="180" t="s">
        <v>252</v>
      </c>
      <c r="C21" s="169" t="s">
        <v>36</v>
      </c>
      <c r="D21" s="165">
        <f ca="1">'Detail Cabang-New'!D21</f>
        <v>34507000</v>
      </c>
      <c r="E21" s="165">
        <f ca="1">'Detail Cabang-New'!E21</f>
        <v>0</v>
      </c>
      <c r="F21" s="28">
        <f>'Detail Cabang-New'!F21</f>
        <v>33682000</v>
      </c>
      <c r="G21" s="165">
        <f ca="1">'Detail Cabang-New'!G21</f>
        <v>89400</v>
      </c>
      <c r="H21" s="34">
        <f t="shared" ca="1" si="0"/>
        <v>-33592600</v>
      </c>
      <c r="I21" s="34">
        <f t="shared" ca="1" si="1"/>
        <v>89400</v>
      </c>
      <c r="J21" s="34">
        <f t="shared" ca="1" si="2"/>
        <v>-34417600</v>
      </c>
    </row>
    <row r="22" spans="2:10" ht="15" customHeight="1" x14ac:dyDescent="0.3">
      <c r="B22" s="180" t="s">
        <v>252</v>
      </c>
      <c r="C22" s="169" t="s">
        <v>24</v>
      </c>
      <c r="D22" s="165">
        <f ca="1">'Detail Cabang-New'!D22</f>
        <v>27394260</v>
      </c>
      <c r="E22" s="165">
        <f ca="1">'Detail Cabang-New'!E22</f>
        <v>0</v>
      </c>
      <c r="F22" s="28">
        <f>'Detail Cabang-New'!F22</f>
        <v>17407000</v>
      </c>
      <c r="G22" s="165">
        <f ca="1">'Detail Cabang-New'!G22</f>
        <v>0</v>
      </c>
      <c r="H22" s="34">
        <f t="shared" ca="1" si="0"/>
        <v>-17407000</v>
      </c>
      <c r="I22" s="34">
        <f t="shared" ca="1" si="1"/>
        <v>0</v>
      </c>
      <c r="J22" s="34">
        <f t="shared" ca="1" si="2"/>
        <v>-27394260</v>
      </c>
    </row>
    <row r="23" spans="2:10" ht="15" customHeight="1" x14ac:dyDescent="0.3">
      <c r="B23" s="180" t="s">
        <v>252</v>
      </c>
      <c r="C23" s="169" t="s">
        <v>31</v>
      </c>
      <c r="D23" s="165">
        <f ca="1">'Detail Cabang-New'!D23</f>
        <v>4165500</v>
      </c>
      <c r="E23" s="165">
        <f ca="1">'Detail Cabang-New'!E23</f>
        <v>0</v>
      </c>
      <c r="F23" s="28">
        <f>'Detail Cabang-New'!F23</f>
        <v>46623000</v>
      </c>
      <c r="G23" s="165">
        <f ca="1">'Detail Cabang-New'!G23</f>
        <v>189000</v>
      </c>
      <c r="H23" s="34">
        <f t="shared" ca="1" si="0"/>
        <v>-46434000</v>
      </c>
      <c r="I23" s="34">
        <f t="shared" ca="1" si="1"/>
        <v>189000</v>
      </c>
      <c r="J23" s="34">
        <f t="shared" ca="1" si="2"/>
        <v>-3976500</v>
      </c>
    </row>
    <row r="24" spans="2:10" ht="15" customHeight="1" thickBot="1" x14ac:dyDescent="0.35">
      <c r="B24" s="181" t="s">
        <v>252</v>
      </c>
      <c r="C24" s="170" t="s">
        <v>34</v>
      </c>
      <c r="D24" s="171">
        <f ca="1">'Detail Cabang-New'!D24</f>
        <v>23785300</v>
      </c>
      <c r="E24" s="171">
        <f ca="1">'Detail Cabang-New'!E24</f>
        <v>178800</v>
      </c>
      <c r="F24" s="29">
        <f>'Detail Cabang-New'!F24</f>
        <v>88681000</v>
      </c>
      <c r="G24" s="171">
        <f ca="1">'Detail Cabang-New'!G24</f>
        <v>709200</v>
      </c>
      <c r="H24" s="37">
        <f t="shared" ca="1" si="0"/>
        <v>-87971800</v>
      </c>
      <c r="I24" s="37">
        <f t="shared" ca="1" si="1"/>
        <v>530400</v>
      </c>
      <c r="J24" s="37">
        <f t="shared" ca="1" si="2"/>
        <v>-23076100</v>
      </c>
    </row>
    <row r="25" spans="2:10" ht="15" customHeight="1" x14ac:dyDescent="0.3">
      <c r="B25" s="180" t="s">
        <v>228</v>
      </c>
      <c r="C25" s="169" t="s">
        <v>18</v>
      </c>
      <c r="D25" s="165">
        <f ca="1">'Detail Cabang-New'!D25</f>
        <v>18461400</v>
      </c>
      <c r="E25" s="165">
        <f ca="1">'Detail Cabang-New'!E25</f>
        <v>0</v>
      </c>
      <c r="F25" s="28">
        <f>'Detail Cabang-New'!F25</f>
        <v>46506000</v>
      </c>
      <c r="G25" s="165">
        <f ca="1">'Detail Cabang-New'!G25</f>
        <v>0</v>
      </c>
      <c r="H25" s="34">
        <f t="shared" ca="1" si="0"/>
        <v>-46506000</v>
      </c>
      <c r="I25" s="34">
        <f t="shared" ca="1" si="1"/>
        <v>0</v>
      </c>
      <c r="J25" s="34">
        <f t="shared" ca="1" si="2"/>
        <v>-18461400</v>
      </c>
    </row>
    <row r="26" spans="2:10" ht="15" customHeight="1" x14ac:dyDescent="0.3">
      <c r="B26" s="180" t="s">
        <v>228</v>
      </c>
      <c r="C26" s="169" t="s">
        <v>8</v>
      </c>
      <c r="D26" s="165">
        <f ca="1">'Detail Cabang-New'!D26</f>
        <v>10027700</v>
      </c>
      <c r="E26" s="165">
        <f ca="1">'Detail Cabang-New'!E26</f>
        <v>659900</v>
      </c>
      <c r="F26" s="28">
        <f>'Detail Cabang-New'!F26</f>
        <v>107027000</v>
      </c>
      <c r="G26" s="165">
        <f ca="1">'Detail Cabang-New'!G26</f>
        <v>1510916</v>
      </c>
      <c r="H26" s="34">
        <f t="shared" ca="1" si="0"/>
        <v>-105516084</v>
      </c>
      <c r="I26" s="34">
        <f t="shared" ca="1" si="1"/>
        <v>851016</v>
      </c>
      <c r="J26" s="34">
        <f t="shared" ca="1" si="2"/>
        <v>-8516784</v>
      </c>
    </row>
    <row r="27" spans="2:10" ht="15" customHeight="1" x14ac:dyDescent="0.3">
      <c r="B27" s="180" t="s">
        <v>228</v>
      </c>
      <c r="C27" s="169" t="s">
        <v>173</v>
      </c>
      <c r="D27" s="165">
        <f ca="1">'Detail Cabang-New'!D27</f>
        <v>0</v>
      </c>
      <c r="E27" s="165">
        <f ca="1">'Detail Cabang-New'!E27</f>
        <v>0</v>
      </c>
      <c r="F27" s="28">
        <f>'Detail Cabang-New'!F27</f>
        <v>0</v>
      </c>
      <c r="G27" s="165">
        <f ca="1">'Detail Cabang-New'!G27</f>
        <v>0</v>
      </c>
      <c r="H27" s="34">
        <f t="shared" ca="1" si="0"/>
        <v>0</v>
      </c>
      <c r="I27" s="34">
        <f t="shared" ca="1" si="1"/>
        <v>0</v>
      </c>
      <c r="J27" s="34">
        <f t="shared" ca="1" si="2"/>
        <v>0</v>
      </c>
    </row>
    <row r="28" spans="2:10" ht="15" customHeight="1" x14ac:dyDescent="0.3">
      <c r="B28" s="180" t="s">
        <v>228</v>
      </c>
      <c r="C28" s="169" t="s">
        <v>176</v>
      </c>
      <c r="D28" s="165">
        <f ca="1">'Detail Cabang-New'!D28</f>
        <v>5196000</v>
      </c>
      <c r="E28" s="165">
        <f ca="1">'Detail Cabang-New'!E28</f>
        <v>5196000</v>
      </c>
      <c r="F28" s="28">
        <f>'Detail Cabang-New'!F28</f>
        <v>39588000</v>
      </c>
      <c r="G28" s="165">
        <f ca="1">'Detail Cabang-New'!G28</f>
        <v>0</v>
      </c>
      <c r="H28" s="34">
        <f t="shared" ca="1" si="0"/>
        <v>-39588000</v>
      </c>
      <c r="I28" s="34">
        <f t="shared" ca="1" si="1"/>
        <v>-5196000</v>
      </c>
      <c r="J28" s="34">
        <f t="shared" ca="1" si="2"/>
        <v>-5196000</v>
      </c>
    </row>
    <row r="29" spans="2:10" ht="15" customHeight="1" x14ac:dyDescent="0.3">
      <c r="B29" s="180" t="s">
        <v>228</v>
      </c>
      <c r="C29" s="169" t="s">
        <v>42</v>
      </c>
      <c r="D29" s="165">
        <f ca="1">'Detail Cabang-New'!D29</f>
        <v>7019280</v>
      </c>
      <c r="E29" s="165">
        <f ca="1">'Detail Cabang-New'!E29</f>
        <v>0</v>
      </c>
      <c r="F29" s="28">
        <f>'Detail Cabang-New'!F29</f>
        <v>32302000</v>
      </c>
      <c r="G29" s="165">
        <f ca="1">'Detail Cabang-New'!G29</f>
        <v>3363875</v>
      </c>
      <c r="H29" s="34">
        <f t="shared" ca="1" si="0"/>
        <v>-28938125</v>
      </c>
      <c r="I29" s="34">
        <f t="shared" ca="1" si="1"/>
        <v>3363875</v>
      </c>
      <c r="J29" s="34">
        <f t="shared" ca="1" si="2"/>
        <v>-3655405</v>
      </c>
    </row>
    <row r="30" spans="2:10" ht="15" customHeight="1" x14ac:dyDescent="0.3">
      <c r="B30" s="180" t="s">
        <v>228</v>
      </c>
      <c r="C30" s="169" t="s">
        <v>19</v>
      </c>
      <c r="D30" s="165">
        <f ca="1">'Detail Cabang-New'!D30</f>
        <v>13200000</v>
      </c>
      <c r="E30" s="165">
        <f ca="1">'Detail Cabang-New'!E30</f>
        <v>0</v>
      </c>
      <c r="F30" s="28">
        <f>'Detail Cabang-New'!F30</f>
        <v>60107000</v>
      </c>
      <c r="G30" s="165">
        <f ca="1">'Detail Cabang-New'!G30</f>
        <v>307000</v>
      </c>
      <c r="H30" s="34">
        <f t="shared" ca="1" si="0"/>
        <v>-59800000</v>
      </c>
      <c r="I30" s="34">
        <f t="shared" ca="1" si="1"/>
        <v>307000</v>
      </c>
      <c r="J30" s="34">
        <f t="shared" ca="1" si="2"/>
        <v>-12893000</v>
      </c>
    </row>
    <row r="31" spans="2:10" ht="15" customHeight="1" thickBot="1" x14ac:dyDescent="0.35">
      <c r="B31" s="181" t="s">
        <v>228</v>
      </c>
      <c r="C31" s="170" t="s">
        <v>10</v>
      </c>
      <c r="D31" s="171">
        <f ca="1">'Detail Cabang-New'!D31</f>
        <v>4900000</v>
      </c>
      <c r="E31" s="171">
        <f ca="1">'Detail Cabang-New'!E31</f>
        <v>0</v>
      </c>
      <c r="F31" s="29">
        <f>'Detail Cabang-New'!F31</f>
        <v>35312000</v>
      </c>
      <c r="G31" s="171">
        <f ca="1">'Detail Cabang-New'!G31</f>
        <v>2664042</v>
      </c>
      <c r="H31" s="37">
        <f t="shared" ca="1" si="0"/>
        <v>-32647958</v>
      </c>
      <c r="I31" s="37">
        <f t="shared" ca="1" si="1"/>
        <v>2664042</v>
      </c>
      <c r="J31" s="37">
        <f t="shared" ca="1" si="2"/>
        <v>-2235958</v>
      </c>
    </row>
    <row r="32" spans="2:10" ht="15" customHeight="1" x14ac:dyDescent="0.3">
      <c r="B32" s="180" t="s">
        <v>233</v>
      </c>
      <c r="C32" s="169" t="s">
        <v>346</v>
      </c>
      <c r="D32" s="165">
        <f ca="1">'Detail Cabang-New'!D32</f>
        <v>0</v>
      </c>
      <c r="E32" s="165">
        <f ca="1">'Detail Cabang-New'!E32</f>
        <v>0</v>
      </c>
      <c r="F32" s="28">
        <f>'Detail Cabang-New'!F32</f>
        <v>28956000</v>
      </c>
      <c r="G32" s="165">
        <f ca="1">'Detail Cabang-New'!G32</f>
        <v>0</v>
      </c>
      <c r="H32" s="34">
        <f t="shared" ca="1" si="0"/>
        <v>-28956000</v>
      </c>
      <c r="I32" s="34">
        <f t="shared" ca="1" si="1"/>
        <v>0</v>
      </c>
      <c r="J32" s="34">
        <f t="shared" ca="1" si="2"/>
        <v>0</v>
      </c>
    </row>
    <row r="33" spans="2:10" ht="15" customHeight="1" x14ac:dyDescent="0.3">
      <c r="B33" s="180" t="s">
        <v>233</v>
      </c>
      <c r="C33" s="169" t="s">
        <v>344</v>
      </c>
      <c r="D33" s="165">
        <f ca="1">'Detail Cabang-New'!D33</f>
        <v>4374195</v>
      </c>
      <c r="E33" s="165">
        <f ca="1">'Detail Cabang-New'!E33</f>
        <v>217000</v>
      </c>
      <c r="F33" s="28">
        <f>'Detail Cabang-New'!F33</f>
        <v>75857000</v>
      </c>
      <c r="G33" s="165">
        <f ca="1">'Detail Cabang-New'!G33</f>
        <v>1394780</v>
      </c>
      <c r="H33" s="34">
        <f t="shared" ca="1" si="0"/>
        <v>-74462220</v>
      </c>
      <c r="I33" s="34">
        <f t="shared" ca="1" si="1"/>
        <v>1177780</v>
      </c>
      <c r="J33" s="34">
        <f t="shared" ca="1" si="2"/>
        <v>-2979415</v>
      </c>
    </row>
    <row r="34" spans="2:10" ht="15" customHeight="1" x14ac:dyDescent="0.3">
      <c r="B34" s="180" t="s">
        <v>233</v>
      </c>
      <c r="C34" s="169" t="s">
        <v>234</v>
      </c>
      <c r="D34" s="165">
        <f ca="1">'Detail Cabang-New'!D34</f>
        <v>31478870</v>
      </c>
      <c r="E34" s="165">
        <f ca="1">'Detail Cabang-New'!E34</f>
        <v>53070</v>
      </c>
      <c r="F34" s="28">
        <f>'Detail Cabang-New'!F34</f>
        <v>169759000</v>
      </c>
      <c r="G34" s="165">
        <f ca="1">'Detail Cabang-New'!G34</f>
        <v>0</v>
      </c>
      <c r="H34" s="34">
        <f t="shared" ca="1" si="0"/>
        <v>-169759000</v>
      </c>
      <c r="I34" s="34">
        <f t="shared" ca="1" si="1"/>
        <v>-53070</v>
      </c>
      <c r="J34" s="34">
        <f t="shared" ca="1" si="2"/>
        <v>-31478870</v>
      </c>
    </row>
    <row r="35" spans="2:10" ht="15" customHeight="1" x14ac:dyDescent="0.3">
      <c r="B35" s="180" t="s">
        <v>233</v>
      </c>
      <c r="C35" s="169" t="s">
        <v>41</v>
      </c>
      <c r="D35" s="165">
        <f ca="1">'Detail Cabang-New'!D35</f>
        <v>51747000</v>
      </c>
      <c r="E35" s="165">
        <f ca="1">'Detail Cabang-New'!E35</f>
        <v>8306000</v>
      </c>
      <c r="F35" s="28">
        <f>'Detail Cabang-New'!F35</f>
        <v>46972000</v>
      </c>
      <c r="G35" s="165">
        <f ca="1">'Detail Cabang-New'!G35</f>
        <v>0</v>
      </c>
      <c r="H35" s="34">
        <f t="shared" ca="1" si="0"/>
        <v>-46972000</v>
      </c>
      <c r="I35" s="34">
        <f t="shared" ca="1" si="1"/>
        <v>-8306000</v>
      </c>
      <c r="J35" s="34">
        <f t="shared" ca="1" si="2"/>
        <v>-51747000</v>
      </c>
    </row>
    <row r="36" spans="2:10" ht="15" customHeight="1" x14ac:dyDescent="0.3">
      <c r="B36" s="180" t="s">
        <v>233</v>
      </c>
      <c r="C36" s="169" t="s">
        <v>388</v>
      </c>
      <c r="D36" s="165">
        <f ca="1">'Detail Cabang-New'!D36</f>
        <v>17000000</v>
      </c>
      <c r="E36" s="165">
        <f ca="1">'Detail Cabang-New'!E36</f>
        <v>17000000</v>
      </c>
      <c r="F36" s="28">
        <f>'Detail Cabang-New'!F36</f>
        <v>22242000</v>
      </c>
      <c r="G36" s="165">
        <f ca="1">'Detail Cabang-New'!G36</f>
        <v>5350000</v>
      </c>
      <c r="H36" s="34">
        <f t="shared" ca="1" si="0"/>
        <v>-16892000</v>
      </c>
      <c r="I36" s="34">
        <f t="shared" ca="1" si="1"/>
        <v>-11650000</v>
      </c>
      <c r="J36" s="34">
        <f t="shared" ca="1" si="2"/>
        <v>-11650000</v>
      </c>
    </row>
    <row r="37" spans="2:10" ht="15" customHeight="1" thickBot="1" x14ac:dyDescent="0.35">
      <c r="B37" s="181" t="s">
        <v>233</v>
      </c>
      <c r="C37" s="170" t="s">
        <v>560</v>
      </c>
      <c r="D37" s="171">
        <f ca="1">'Detail Cabang-New'!D37</f>
        <v>3230000</v>
      </c>
      <c r="E37" s="171">
        <f ca="1">'Detail Cabang-New'!E37</f>
        <v>0</v>
      </c>
      <c r="F37" s="29">
        <f>'Detail Cabang-New'!F37</f>
        <v>16690000</v>
      </c>
      <c r="G37" s="171">
        <f ca="1">'Detail Cabang-New'!G37</f>
        <v>0</v>
      </c>
      <c r="H37" s="37">
        <f t="shared" ca="1" si="0"/>
        <v>-16690000</v>
      </c>
      <c r="I37" s="37">
        <f t="shared" ca="1" si="1"/>
        <v>0</v>
      </c>
      <c r="J37" s="37">
        <f t="shared" ca="1" si="2"/>
        <v>-3230000</v>
      </c>
    </row>
    <row r="38" spans="2:10" ht="15" customHeight="1" x14ac:dyDescent="0.3">
      <c r="B38" s="180" t="s">
        <v>295</v>
      </c>
      <c r="C38" s="169" t="s">
        <v>199</v>
      </c>
      <c r="D38" s="165">
        <f ca="1">'Detail Cabang-New'!D38</f>
        <v>17696402</v>
      </c>
      <c r="E38" s="165">
        <f ca="1">'Detail Cabang-New'!E38</f>
        <v>0</v>
      </c>
      <c r="F38" s="28">
        <f>'Detail Cabang-New'!F38</f>
        <v>35300000</v>
      </c>
      <c r="G38" s="165">
        <f ca="1">'Detail Cabang-New'!G38</f>
        <v>0</v>
      </c>
      <c r="H38" s="34">
        <f t="shared" ca="1" si="0"/>
        <v>-35300000</v>
      </c>
      <c r="I38" s="34">
        <f t="shared" ca="1" si="1"/>
        <v>0</v>
      </c>
      <c r="J38" s="34">
        <f t="shared" ca="1" si="2"/>
        <v>-17696402</v>
      </c>
    </row>
    <row r="39" spans="2:10" ht="15" customHeight="1" x14ac:dyDescent="0.3">
      <c r="B39" s="180" t="s">
        <v>295</v>
      </c>
      <c r="C39" s="169" t="s">
        <v>362</v>
      </c>
      <c r="D39" s="165">
        <f ca="1">'Detail Cabang-New'!D39</f>
        <v>2881150</v>
      </c>
      <c r="E39" s="165">
        <f ca="1">'Detail Cabang-New'!E39</f>
        <v>0</v>
      </c>
      <c r="F39" s="28">
        <f>'Detail Cabang-New'!F39</f>
        <v>63090000</v>
      </c>
      <c r="G39" s="165">
        <f ca="1">'Detail Cabang-New'!G39</f>
        <v>0</v>
      </c>
      <c r="H39" s="34">
        <f t="shared" ca="1" si="0"/>
        <v>-63090000</v>
      </c>
      <c r="I39" s="34">
        <f t="shared" ca="1" si="1"/>
        <v>0</v>
      </c>
      <c r="J39" s="34">
        <f t="shared" ca="1" si="2"/>
        <v>-2881150</v>
      </c>
    </row>
    <row r="40" spans="2:10" ht="15" customHeight="1" x14ac:dyDescent="0.3">
      <c r="B40" s="180" t="s">
        <v>295</v>
      </c>
      <c r="C40" s="169" t="s">
        <v>37</v>
      </c>
      <c r="D40" s="165">
        <f ca="1">'Detail Cabang-New'!D40</f>
        <v>7858350</v>
      </c>
      <c r="E40" s="165">
        <f ca="1">'Detail Cabang-New'!E40</f>
        <v>2138350</v>
      </c>
      <c r="F40" s="28">
        <f>'Detail Cabang-New'!F40</f>
        <v>35745000</v>
      </c>
      <c r="G40" s="165">
        <f ca="1">'Detail Cabang-New'!G40</f>
        <v>21000</v>
      </c>
      <c r="H40" s="34">
        <f t="shared" ca="1" si="0"/>
        <v>-35724000</v>
      </c>
      <c r="I40" s="34">
        <f t="shared" ca="1" si="1"/>
        <v>-2117350</v>
      </c>
      <c r="J40" s="34">
        <f t="shared" ca="1" si="2"/>
        <v>-7837350</v>
      </c>
    </row>
    <row r="41" spans="2:10" ht="15" customHeight="1" thickBot="1" x14ac:dyDescent="0.35">
      <c r="B41" s="181" t="s">
        <v>295</v>
      </c>
      <c r="C41" s="170" t="s">
        <v>557</v>
      </c>
      <c r="D41" s="171">
        <f ca="1">'Detail Cabang-New'!D41</f>
        <v>12039000</v>
      </c>
      <c r="E41" s="171">
        <f ca="1">'Detail Cabang-New'!E41</f>
        <v>0</v>
      </c>
      <c r="F41" s="29">
        <f>'Detail Cabang-New'!F41</f>
        <v>11457000</v>
      </c>
      <c r="G41" s="171">
        <f ca="1">'Detail Cabang-New'!G41</f>
        <v>0</v>
      </c>
      <c r="H41" s="37">
        <f t="shared" ca="1" si="0"/>
        <v>-11457000</v>
      </c>
      <c r="I41" s="37">
        <f t="shared" ca="1" si="1"/>
        <v>0</v>
      </c>
      <c r="J41" s="37">
        <f t="shared" ca="1" si="2"/>
        <v>-12039000</v>
      </c>
    </row>
    <row r="42" spans="2:10" ht="15" customHeight="1" x14ac:dyDescent="0.3">
      <c r="B42" s="180" t="s">
        <v>265</v>
      </c>
      <c r="C42" s="169" t="s">
        <v>43</v>
      </c>
      <c r="D42" s="165">
        <f ca="1">'Detail Cabang-New'!D42</f>
        <v>1168925</v>
      </c>
      <c r="E42" s="165">
        <f ca="1">'Detail Cabang-New'!E42</f>
        <v>897000</v>
      </c>
      <c r="F42" s="28">
        <f>'Detail Cabang-New'!F42</f>
        <v>23084000</v>
      </c>
      <c r="G42" s="165">
        <f ca="1">'Detail Cabang-New'!G42</f>
        <v>0</v>
      </c>
      <c r="H42" s="34">
        <f t="shared" ca="1" si="0"/>
        <v>-23084000</v>
      </c>
      <c r="I42" s="34">
        <f t="shared" ca="1" si="1"/>
        <v>-897000</v>
      </c>
      <c r="J42" s="34">
        <f t="shared" ca="1" si="2"/>
        <v>-1168925</v>
      </c>
    </row>
    <row r="43" spans="2:10" ht="15" customHeight="1" x14ac:dyDescent="0.3">
      <c r="B43" s="180" t="s">
        <v>265</v>
      </c>
      <c r="C43" s="169" t="s">
        <v>263</v>
      </c>
      <c r="D43" s="165">
        <f ca="1">'Detail Cabang-New'!D43</f>
        <v>7650000</v>
      </c>
      <c r="E43" s="165">
        <f ca="1">'Detail Cabang-New'!E43</f>
        <v>0</v>
      </c>
      <c r="F43" s="28">
        <f>'Detail Cabang-New'!F43</f>
        <v>145293000</v>
      </c>
      <c r="G43" s="165">
        <f ca="1">'Detail Cabang-New'!G43</f>
        <v>0</v>
      </c>
      <c r="H43" s="34">
        <f t="shared" ca="1" si="0"/>
        <v>-145293000</v>
      </c>
      <c r="I43" s="34">
        <f t="shared" ca="1" si="1"/>
        <v>0</v>
      </c>
      <c r="J43" s="34">
        <f t="shared" ca="1" si="2"/>
        <v>-7650000</v>
      </c>
    </row>
    <row r="44" spans="2:10" ht="15" customHeight="1" x14ac:dyDescent="0.3">
      <c r="B44" s="180" t="s">
        <v>265</v>
      </c>
      <c r="C44" s="169" t="s">
        <v>290</v>
      </c>
      <c r="D44" s="165">
        <f ca="1">'Detail Cabang-New'!D44</f>
        <v>0</v>
      </c>
      <c r="E44" s="165">
        <f ca="1">'Detail Cabang-New'!E44</f>
        <v>0</v>
      </c>
      <c r="F44" s="28">
        <f>'Detail Cabang-New'!F44</f>
        <v>32330000</v>
      </c>
      <c r="G44" s="165">
        <f ca="1">'Detail Cabang-New'!G44</f>
        <v>0</v>
      </c>
      <c r="H44" s="34">
        <f t="shared" ca="1" si="0"/>
        <v>-32330000</v>
      </c>
      <c r="I44" s="34">
        <f t="shared" ca="1" si="1"/>
        <v>0</v>
      </c>
      <c r="J44" s="34">
        <f t="shared" ca="1" si="2"/>
        <v>0</v>
      </c>
    </row>
    <row r="45" spans="2:10" ht="15" customHeight="1" thickBot="1" x14ac:dyDescent="0.35">
      <c r="B45" s="181" t="s">
        <v>265</v>
      </c>
      <c r="C45" s="170" t="s">
        <v>288</v>
      </c>
      <c r="D45" s="171">
        <f ca="1">'Detail Cabang-New'!D45</f>
        <v>25643575</v>
      </c>
      <c r="E45" s="171">
        <f ca="1">'Detail Cabang-New'!E45</f>
        <v>106640</v>
      </c>
      <c r="F45" s="29">
        <f>'Detail Cabang-New'!F45</f>
        <v>164989000</v>
      </c>
      <c r="G45" s="171">
        <f ca="1">'Detail Cabang-New'!G45</f>
        <v>50000</v>
      </c>
      <c r="H45" s="37">
        <f t="shared" ca="1" si="0"/>
        <v>-164939000</v>
      </c>
      <c r="I45" s="37">
        <f t="shared" ca="1" si="1"/>
        <v>-56640</v>
      </c>
      <c r="J45" s="37">
        <f t="shared" ca="1" si="2"/>
        <v>-25593575</v>
      </c>
    </row>
    <row r="46" spans="2:10" ht="15" customHeight="1" x14ac:dyDescent="0.3">
      <c r="B46" s="180" t="s">
        <v>385</v>
      </c>
      <c r="C46" s="169" t="s">
        <v>383</v>
      </c>
      <c r="D46" s="165">
        <f ca="1">'Detail Cabang-New'!D46</f>
        <v>13500000</v>
      </c>
      <c r="E46" s="165">
        <f ca="1">'Detail Cabang-New'!E46</f>
        <v>0</v>
      </c>
      <c r="F46" s="28">
        <f>'Detail Cabang-New'!F46</f>
        <v>44937000</v>
      </c>
      <c r="G46" s="165">
        <f ca="1">'Detail Cabang-New'!G46</f>
        <v>0</v>
      </c>
      <c r="H46" s="34">
        <f t="shared" ca="1" si="0"/>
        <v>-44937000</v>
      </c>
      <c r="I46" s="34">
        <f t="shared" ca="1" si="1"/>
        <v>0</v>
      </c>
      <c r="J46" s="34">
        <f t="shared" ca="1" si="2"/>
        <v>-13500000</v>
      </c>
    </row>
    <row r="47" spans="2:10" ht="15" customHeight="1" x14ac:dyDescent="0.3">
      <c r="B47" s="180" t="s">
        <v>385</v>
      </c>
      <c r="C47" s="169" t="s">
        <v>408</v>
      </c>
      <c r="D47" s="165">
        <f ca="1">'Detail Cabang-New'!D47</f>
        <v>3616000</v>
      </c>
      <c r="E47" s="165">
        <f ca="1">'Detail Cabang-New'!E47</f>
        <v>0</v>
      </c>
      <c r="F47" s="28">
        <f>'Detail Cabang-New'!F47</f>
        <v>63969000</v>
      </c>
      <c r="G47" s="165">
        <f ca="1">'Detail Cabang-New'!G47</f>
        <v>0</v>
      </c>
      <c r="H47" s="34">
        <f t="shared" ca="1" si="0"/>
        <v>-63969000</v>
      </c>
      <c r="I47" s="34">
        <f t="shared" ca="1" si="1"/>
        <v>0</v>
      </c>
      <c r="J47" s="34">
        <f t="shared" ca="1" si="2"/>
        <v>-3616000</v>
      </c>
    </row>
    <row r="48" spans="2:10" ht="15" customHeight="1" thickBot="1" x14ac:dyDescent="0.35">
      <c r="B48" s="182" t="s">
        <v>385</v>
      </c>
      <c r="C48" s="172" t="s">
        <v>554</v>
      </c>
      <c r="D48" s="173">
        <f ca="1">'Detail Cabang-New'!D48</f>
        <v>0</v>
      </c>
      <c r="E48" s="173">
        <f ca="1">'Detail Cabang-New'!E48</f>
        <v>0</v>
      </c>
      <c r="F48" s="30">
        <f>'Detail Cabang-New'!F48</f>
        <v>33960000</v>
      </c>
      <c r="G48" s="173">
        <f ca="1">'Detail Cabang-New'!G48</f>
        <v>0</v>
      </c>
      <c r="H48" s="38">
        <f t="shared" ca="1" si="0"/>
        <v>-33960000</v>
      </c>
      <c r="I48" s="38">
        <f t="shared" ca="1" si="1"/>
        <v>0</v>
      </c>
      <c r="J48" s="38">
        <f t="shared" ca="1" si="2"/>
        <v>0</v>
      </c>
    </row>
    <row r="49" spans="2:10" ht="20.100000000000001" customHeight="1" thickTop="1" thickBot="1" x14ac:dyDescent="0.35">
      <c r="B49" s="266" t="s">
        <v>652</v>
      </c>
      <c r="C49" s="267"/>
      <c r="D49" s="268">
        <f ca="1">SUM(D4:D48)</f>
        <v>460590223</v>
      </c>
      <c r="E49" s="268">
        <f t="shared" ref="E49:G49" ca="1" si="3">SUM(E4:E48)</f>
        <v>61332760</v>
      </c>
      <c r="F49" s="269">
        <f t="shared" si="3"/>
        <v>3000000000</v>
      </c>
      <c r="G49" s="268">
        <f t="shared" ca="1" si="3"/>
        <v>18224398</v>
      </c>
      <c r="H49" s="270">
        <f t="shared" ca="1" si="0"/>
        <v>-2981775602</v>
      </c>
      <c r="I49" s="270">
        <f t="shared" ca="1" si="1"/>
        <v>-43108362</v>
      </c>
      <c r="J49" s="270">
        <f t="shared" ca="1" si="2"/>
        <v>-442365825</v>
      </c>
    </row>
    <row r="50" spans="2:10" ht="14.4" thickTop="1" x14ac:dyDescent="0.3"/>
  </sheetData>
  <conditionalFormatting sqref="H4:I40 H43:I44 H46:I48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H41:I41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H42:I42">
    <cfRule type="iconSet" priority="8">
      <iconSet iconSet="3Arrows">
        <cfvo type="percent" val="0"/>
        <cfvo type="num" val="0"/>
        <cfvo type="num" val="0" gte="0"/>
      </iconSet>
    </cfRule>
  </conditionalFormatting>
  <conditionalFormatting sqref="H45:I45">
    <cfRule type="iconSet" priority="6">
      <iconSet iconSet="3Arrows">
        <cfvo type="percent" val="0"/>
        <cfvo type="num" val="0"/>
        <cfvo type="num" val="0" gte="0"/>
      </iconSet>
    </cfRule>
  </conditionalFormatting>
  <conditionalFormatting sqref="H49:I49">
    <cfRule type="iconSet" priority="11">
      <iconSet iconSet="3Arrows">
        <cfvo type="percent" val="0"/>
        <cfvo type="num" val="0"/>
        <cfvo type="num" val="0" gte="0"/>
      </iconSet>
    </cfRule>
  </conditionalFormatting>
  <conditionalFormatting sqref="H4:J49">
    <cfRule type="cellIs" dxfId="1" priority="2" operator="lessThan">
      <formula>0</formula>
    </cfRule>
  </conditionalFormatting>
  <conditionalFormatting sqref="J4:J40 J43:J44 J46:J48"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J41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J42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J45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J49">
    <cfRule type="iconSet" priority="10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H59"/>
  <sheetViews>
    <sheetView showGridLines="0" workbookViewId="0">
      <pane xSplit="3" ySplit="11" topLeftCell="D42" activePane="bottomRight" state="frozen"/>
      <selection activeCell="AJ28" sqref="AJ28:AJ29"/>
      <selection pane="topRight" activeCell="AJ28" sqref="AJ28:AJ29"/>
      <selection pane="bottomLeft" activeCell="AJ28" sqref="AJ28:AJ29"/>
      <selection pane="bottomRight" sqref="A1:XFD1048576"/>
    </sheetView>
  </sheetViews>
  <sheetFormatPr defaultColWidth="8.6640625" defaultRowHeight="13.8" x14ac:dyDescent="0.3"/>
  <cols>
    <col min="1" max="1" width="0.44140625" style="1" customWidth="1"/>
    <col min="2" max="3" width="25.6640625" style="1" customWidth="1"/>
    <col min="4" max="5" width="23.33203125" style="28" customWidth="1"/>
    <col min="6" max="9" width="25.6640625" style="28" customWidth="1"/>
    <col min="10" max="10" width="30.6640625" style="28" customWidth="1"/>
    <col min="11" max="12" width="1.88671875" style="1" customWidth="1"/>
    <col min="13" max="14" width="10.44140625" style="1" bestFit="1" customWidth="1"/>
    <col min="15" max="15" width="8" style="1" bestFit="1" customWidth="1"/>
    <col min="16" max="17" width="10.5546875" style="1" bestFit="1" customWidth="1"/>
    <col min="18" max="18" width="10.109375" style="1" bestFit="1" customWidth="1"/>
    <col min="19" max="16384" width="8.6640625" style="1"/>
  </cols>
  <sheetData>
    <row r="1" spans="1:34" s="179" customFormat="1" ht="24.9" customHeight="1" x14ac:dyDescent="0.3">
      <c r="B1" s="43" t="str">
        <f ca="1">"Penerimaan Denda Alda Periode"&amp;" "&amp;$P$5&amp;" "&amp;$P$6</f>
        <v>Penerimaan Denda Alda Periode June 2026</v>
      </c>
      <c r="D1" s="271"/>
      <c r="E1" s="271"/>
      <c r="F1" s="271"/>
      <c r="I1" s="272"/>
      <c r="J1" s="273"/>
      <c r="K1" s="273"/>
      <c r="L1" s="272"/>
      <c r="M1" s="273" t="str">
        <f ca="1">TEXT(N1,"YY-MM")</f>
        <v>26-05</v>
      </c>
      <c r="N1" s="272">
        <f ca="1">EOMONTH($M$3,0)</f>
        <v>46173</v>
      </c>
      <c r="P1" s="179" t="str">
        <f ca="1">TEXT(Q1,"YY-MM")</f>
        <v>26-06</v>
      </c>
      <c r="Q1" s="179">
        <f ca="1">EOMONTH($P$3,0)</f>
        <v>46203</v>
      </c>
    </row>
    <row r="2" spans="1:34" ht="5.0999999999999996" customHeight="1" thickBot="1" x14ac:dyDescent="0.35">
      <c r="G2" s="1"/>
      <c r="H2" s="1"/>
      <c r="I2" s="56"/>
      <c r="J2" s="56"/>
      <c r="K2" s="56"/>
      <c r="L2" s="56"/>
      <c r="M2" s="56"/>
      <c r="N2" s="56"/>
    </row>
    <row r="3" spans="1:34" ht="50.1" customHeight="1" thickTop="1" thickBot="1" x14ac:dyDescent="0.35">
      <c r="A3" s="56"/>
      <c r="B3" s="260" t="s">
        <v>209</v>
      </c>
      <c r="C3" s="261" t="s">
        <v>210</v>
      </c>
      <c r="D3" s="262" t="str">
        <f ca="1">"Actual Denda Alda"&amp;""&amp;" "&amp;$O$4&amp;" "&amp;$O$5&amp;" "&amp;$O$6</f>
        <v>Actual Denda Alda 31 May 2026</v>
      </c>
      <c r="E3" s="262" t="str">
        <f ca="1">"Actual Denda Alda"&amp;" "&amp;$N$4&amp;" "&amp;$N$5&amp;" "&amp;$N$6</f>
        <v>Actual Denda Alda 5 May 2026</v>
      </c>
      <c r="F3" s="263" t="str">
        <f ca="1">"Target Denda Alda"&amp;" "&amp;$P$5&amp;" "&amp;$P$6</f>
        <v>Target Denda Alda June 2026</v>
      </c>
      <c r="G3" s="264" t="str">
        <f ca="1">"Actual Denda Alda s/d"&amp;" "&amp;$Q$4&amp;" "&amp;$P$5&amp;" "&amp;$P$6</f>
        <v>Actual Denda Alda s/d 5 June 2026</v>
      </c>
      <c r="H3" s="265" t="s">
        <v>799</v>
      </c>
      <c r="I3" s="265" t="str">
        <f ca="1">"Diff Denda Alda"&amp;" "&amp;$N$4&amp;" "&amp;$N$5&amp;" "&amp;$N$6&amp;" "&amp;"Vs"&amp;" "&amp;$Q$4&amp;" "&amp;$Q$5&amp;" "&amp;$Q$6</f>
        <v>Diff Denda Alda 5 May 2026 Vs 5 June 2026</v>
      </c>
      <c r="J3" s="265" t="str">
        <f ca="1">"Diff Denda Alda Closing"&amp;" "&amp;$O$4&amp;" "&amp;$O$5&amp;" "&amp;$O$6&amp;" "&amp;"Vs Actual"&amp;" "&amp;$Q$4&amp;" "&amp;$R$5&amp;" "&amp;$R$6</f>
        <v>Diff Denda Alda Closing 31 May 2026 Vs Actual 5 June 2026</v>
      </c>
      <c r="K3" s="56"/>
      <c r="L3" s="57"/>
      <c r="M3" s="57">
        <f ca="1">EDATE(P3,-1)</f>
        <v>46146</v>
      </c>
      <c r="N3" s="57">
        <f ca="1">EDATE(Q3,-1)</f>
        <v>46147</v>
      </c>
      <c r="O3" s="57"/>
      <c r="P3" s="57">
        <f ca="1">TODAY()-1</f>
        <v>46177</v>
      </c>
      <c r="Q3" s="56">
        <f ca="1">TODAY()</f>
        <v>46178</v>
      </c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</row>
    <row r="4" spans="1:34" ht="14.4" thickTop="1" x14ac:dyDescent="0.3">
      <c r="B4" s="180" t="s">
        <v>246</v>
      </c>
      <c r="C4" s="169" t="s">
        <v>23</v>
      </c>
      <c r="D4" s="165">
        <f ca="1">SUMIFS('DB N-1'!$AC:$AC,'DB N-1'!$AP:$AP,'Detail Cabang-New'!$C4,'DB N-1'!$AR:$AR,'Detail Cabang-New'!$M$1,'DB N-1'!$AT:$AT,"ALDA")</f>
        <v>1239560</v>
      </c>
      <c r="E4" s="165">
        <f ca="1">SUMIFS('DB N-1'!$AC:$AC,'DB N-1'!$AP:$AP,'Detail Cabang-New'!$C4,'DB N-1'!$AR:$AR,'Detail Cabang-New'!$M$1,'DB N-1'!$AT:$AT,"ALDA",'DB N-1'!$AV:$AV,1)</f>
        <v>0</v>
      </c>
      <c r="F4" s="28">
        <f>IFERROR(VLOOKUP($C4,'NEw Tgt Alda'!$I$2:$L$45,4,0),0)</f>
        <v>178413000</v>
      </c>
      <c r="G4" s="165">
        <f ca="1">SUMIFS(DB!$AC:$AC,DB!$AP:$AP,'Detail Cabang-New'!$C4,DB!$AT:$AT,"ALDA",DB!$AR:$AR,'Detail Cabang-New'!$P$1)</f>
        <v>0</v>
      </c>
      <c r="H4" s="34">
        <f ca="1">G4-F4</f>
        <v>-178413000</v>
      </c>
      <c r="I4" s="34">
        <f ca="1">G4-E4</f>
        <v>0</v>
      </c>
      <c r="J4" s="34">
        <f ca="1">G4-D4</f>
        <v>-1239560</v>
      </c>
      <c r="K4" s="73"/>
      <c r="L4" s="73"/>
      <c r="M4" s="58">
        <f ca="1">DAY($M$3)</f>
        <v>4</v>
      </c>
      <c r="N4" s="58">
        <f ca="1">DAY($N$3)</f>
        <v>5</v>
      </c>
      <c r="O4" s="58">
        <f ca="1">DAY($N$1)</f>
        <v>31</v>
      </c>
      <c r="P4" s="58">
        <f ca="1">DAY($P$3)</f>
        <v>4</v>
      </c>
      <c r="Q4" s="58">
        <f ca="1">DAY($Q$3)</f>
        <v>5</v>
      </c>
      <c r="R4" s="58">
        <f ca="1">DAY($Q$1)</f>
        <v>30</v>
      </c>
      <c r="S4" s="73"/>
      <c r="T4" s="73"/>
      <c r="U4" s="73"/>
      <c r="V4" s="73"/>
    </row>
    <row r="5" spans="1:34" x14ac:dyDescent="0.3">
      <c r="B5" s="180" t="s">
        <v>246</v>
      </c>
      <c r="C5" s="169" t="s">
        <v>244</v>
      </c>
      <c r="D5" s="165">
        <f ca="1">SUMIFS('DB N-1'!$AC:$AC,'DB N-1'!$AP:$AP,'Detail Cabang-New'!$C5,'DB N-1'!$AR:$AR,'Detail Cabang-New'!$M$1,'DB N-1'!$AT:$AT,"ALDA")</f>
        <v>0</v>
      </c>
      <c r="E5" s="165">
        <f ca="1">SUMIFS('DB N-1'!$AC:$AC,'DB N-1'!$AP:$AP,'Detail Cabang-New'!$C5,'DB N-1'!$AR:$AR,'Detail Cabang-New'!$M$1,'DB N-1'!$AT:$AT,"ALDA",'DB N-1'!$AV:$AV,1)</f>
        <v>0</v>
      </c>
      <c r="F5" s="28">
        <f>IFERROR(VLOOKUP($C5,'NEw Tgt Alda'!$I$2:$L$45,4,0),0)</f>
        <v>90555000</v>
      </c>
      <c r="G5" s="165">
        <f ca="1">SUMIFS(DB!$AC:$AC,DB!$AP:$AP,'Detail Cabang-New'!$C5,DB!$AT:$AT,"ALDA",DB!$AR:$AR,'Detail Cabang-New'!$P$1)</f>
        <v>0</v>
      </c>
      <c r="H5" s="34">
        <f t="shared" ref="H5:H58" ca="1" si="0">G5-F5</f>
        <v>-90555000</v>
      </c>
      <c r="I5" s="34">
        <f t="shared" ref="I5:I58" ca="1" si="1">G5-E5</f>
        <v>0</v>
      </c>
      <c r="J5" s="34">
        <f t="shared" ref="J5:J58" ca="1" si="2">G5-D5</f>
        <v>0</v>
      </c>
      <c r="K5" s="73"/>
      <c r="L5" s="73"/>
      <c r="M5" s="58" t="str">
        <f ca="1">TEXT($M$3,"MMMM")</f>
        <v>May</v>
      </c>
      <c r="N5" s="58" t="str">
        <f ca="1">TEXT($N$3,"MMMM")</f>
        <v>May</v>
      </c>
      <c r="O5" s="58" t="str">
        <f ca="1">TEXT($N$1,"MMMM")</f>
        <v>May</v>
      </c>
      <c r="P5" s="58" t="str">
        <f ca="1">TEXT($P$3,"MMMM")</f>
        <v>June</v>
      </c>
      <c r="Q5" s="58" t="str">
        <f ca="1">TEXT($Q$3,"MMMM")</f>
        <v>June</v>
      </c>
      <c r="R5" s="58" t="str">
        <f ca="1">TEXT($Q$1,"MMMM")</f>
        <v>June</v>
      </c>
      <c r="S5" s="73"/>
      <c r="T5" s="73"/>
      <c r="U5" s="73"/>
      <c r="V5" s="73"/>
    </row>
    <row r="6" spans="1:34" x14ac:dyDescent="0.3">
      <c r="B6" s="180" t="s">
        <v>246</v>
      </c>
      <c r="C6" s="169" t="s">
        <v>22</v>
      </c>
      <c r="D6" s="165">
        <f ca="1">SUMIFS('DB N-1'!$AC:$AC,'DB N-1'!$AP:$AP,'Detail Cabang-New'!$C6,'DB N-1'!$AR:$AR,'Detail Cabang-New'!$M$1,'DB N-1'!$AT:$AT,"ALDA")</f>
        <v>0</v>
      </c>
      <c r="E6" s="165">
        <f ca="1">SUMIFS('DB N-1'!$AC:$AC,'DB N-1'!$AP:$AP,'Detail Cabang-New'!$C6,'DB N-1'!$AR:$AR,'Detail Cabang-New'!$M$1,'DB N-1'!$AT:$AT,"ALDA",'DB N-1'!$AV:$AV,1)</f>
        <v>0</v>
      </c>
      <c r="F6" s="28">
        <f>IFERROR(VLOOKUP($C6,'NEw Tgt Alda'!$I$2:$L$45,4,0),0)</f>
        <v>43361000</v>
      </c>
      <c r="G6" s="165">
        <f ca="1">SUMIFS(DB!$AC:$AC,DB!$AP:$AP,'Detail Cabang-New'!$C6,DB!$AT:$AT,"ALDA",DB!$AR:$AR,'Detail Cabang-New'!$P$1)</f>
        <v>0</v>
      </c>
      <c r="H6" s="34">
        <f t="shared" ca="1" si="0"/>
        <v>-43361000</v>
      </c>
      <c r="I6" s="34">
        <f t="shared" ca="1" si="1"/>
        <v>0</v>
      </c>
      <c r="J6" s="34">
        <f t="shared" ca="1" si="2"/>
        <v>0</v>
      </c>
      <c r="K6" s="73"/>
      <c r="L6" s="73"/>
      <c r="M6" s="58">
        <f ca="1">YEAR($M$3)</f>
        <v>2026</v>
      </c>
      <c r="N6" s="58">
        <f ca="1">YEAR($N$3)</f>
        <v>2026</v>
      </c>
      <c r="O6" s="58">
        <f ca="1">YEAR($N$1)</f>
        <v>2026</v>
      </c>
      <c r="P6" s="58">
        <f ca="1">YEAR($P$3)</f>
        <v>2026</v>
      </c>
      <c r="Q6" s="58">
        <f ca="1">YEAR($Q$3)</f>
        <v>2026</v>
      </c>
      <c r="R6" s="58">
        <f ca="1">YEAR($Q$1)</f>
        <v>2026</v>
      </c>
      <c r="S6" s="73"/>
      <c r="T6" s="73"/>
      <c r="U6" s="73"/>
      <c r="V6" s="73"/>
    </row>
    <row r="7" spans="1:34" x14ac:dyDescent="0.3">
      <c r="B7" s="180" t="s">
        <v>246</v>
      </c>
      <c r="C7" s="169" t="s">
        <v>590</v>
      </c>
      <c r="D7" s="165">
        <f ca="1">SUMIFS('DB N-1'!$AC:$AC,'DB N-1'!$AP:$AP,'Detail Cabang-New'!$C7,'DB N-1'!$AR:$AR,'Detail Cabang-New'!$M$1,'DB N-1'!$AT:$AT,"ALDA")</f>
        <v>4462000</v>
      </c>
      <c r="E7" s="165">
        <f ca="1">SUMIFS('DB N-1'!$AC:$AC,'DB N-1'!$AP:$AP,'Detail Cabang-New'!$C7,'DB N-1'!$AR:$AR,'Detail Cabang-New'!$M$1,'DB N-1'!$AT:$AT,"ALDA",'DB N-1'!$AV:$AV,1)</f>
        <v>0</v>
      </c>
      <c r="F7" s="28">
        <f>IFERROR(VLOOKUP($C7,'NEw Tgt Alda'!$I$2:$L$45,4,0),0)</f>
        <v>64741000</v>
      </c>
      <c r="G7" s="165">
        <f ca="1">SUMIFS(DB!$AC:$AC,DB!$AP:$AP,'Detail Cabang-New'!$C7,DB!$AT:$AT,"ALDA",DB!$AR:$AR,'Detail Cabang-New'!$P$1)</f>
        <v>16025</v>
      </c>
      <c r="H7" s="34">
        <f t="shared" ca="1" si="0"/>
        <v>-64724975</v>
      </c>
      <c r="I7" s="34">
        <f t="shared" ca="1" si="1"/>
        <v>16025</v>
      </c>
      <c r="J7" s="34">
        <f t="shared" ca="1" si="2"/>
        <v>-4445975</v>
      </c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</row>
    <row r="8" spans="1:34" x14ac:dyDescent="0.3">
      <c r="B8" s="180" t="s">
        <v>246</v>
      </c>
      <c r="C8" s="169" t="s">
        <v>331</v>
      </c>
      <c r="D8" s="165">
        <f ca="1">SUMIFS('DB N-1'!$AC:$AC,'DB N-1'!$AP:$AP,'Detail Cabang-New'!$C8,'DB N-1'!$AR:$AR,'Detail Cabang-New'!$M$1,'DB N-1'!$AT:$AT,"ALDA")</f>
        <v>2319805</v>
      </c>
      <c r="E8" s="165">
        <f ca="1">SUMIFS('DB N-1'!$AC:$AC,'DB N-1'!$AP:$AP,'Detail Cabang-New'!$C8,'DB N-1'!$AR:$AR,'Detail Cabang-New'!$M$1,'DB N-1'!$AT:$AT,"ALDA",'DB N-1'!$AV:$AV,1)</f>
        <v>0</v>
      </c>
      <c r="F8" s="28">
        <f>IFERROR(VLOOKUP($C8,'NEw Tgt Alda'!$I$2:$L$45,4,0),0)</f>
        <v>124821000</v>
      </c>
      <c r="G8" s="165">
        <f ca="1">SUMIFS(DB!$AC:$AC,DB!$AP:$AP,'Detail Cabang-New'!$C8,DB!$AT:$AT,"ALDA",DB!$AR:$AR,'Detail Cabang-New'!$P$1)</f>
        <v>0</v>
      </c>
      <c r="H8" s="34">
        <f t="shared" ca="1" si="0"/>
        <v>-124821000</v>
      </c>
      <c r="I8" s="34">
        <f t="shared" ca="1" si="1"/>
        <v>0</v>
      </c>
      <c r="J8" s="34">
        <f t="shared" ca="1" si="2"/>
        <v>-2319805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</row>
    <row r="9" spans="1:34" x14ac:dyDescent="0.3">
      <c r="B9" s="180" t="s">
        <v>246</v>
      </c>
      <c r="C9" s="169" t="s">
        <v>29</v>
      </c>
      <c r="D9" s="165">
        <f ca="1">SUMIFS('DB N-1'!$AC:$AC,'DB N-1'!$AP:$AP,'Detail Cabang-New'!$C9,'DB N-1'!$AR:$AR,'Detail Cabang-New'!$M$1,'DB N-1'!$AT:$AT,"ALDA")</f>
        <v>17888000</v>
      </c>
      <c r="E9" s="165">
        <f ca="1">SUMIFS('DB N-1'!$AC:$AC,'DB N-1'!$AP:$AP,'Detail Cabang-New'!$C9,'DB N-1'!$AR:$AR,'Detail Cabang-New'!$M$1,'DB N-1'!$AT:$AT,"ALDA",'DB N-1'!$AV:$AV,1)</f>
        <v>11788000</v>
      </c>
      <c r="F9" s="28">
        <f>IFERROR(VLOOKUP($C9,'NEw Tgt Alda'!$I$2:$L$45,4,0),0)</f>
        <v>100120000</v>
      </c>
      <c r="G9" s="165">
        <f ca="1">SUMIFS(DB!$AC:$AC,DB!$AP:$AP,'Detail Cabang-New'!$C9,DB!$AT:$AT,"ALDA",DB!$AR:$AR,'Detail Cabang-New'!$P$1)</f>
        <v>2555580</v>
      </c>
      <c r="H9" s="34">
        <f t="shared" ca="1" si="0"/>
        <v>-97564420</v>
      </c>
      <c r="I9" s="34">
        <f t="shared" ca="1" si="1"/>
        <v>-9232420</v>
      </c>
      <c r="J9" s="34">
        <f t="shared" ca="1" si="2"/>
        <v>-15332420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</row>
    <row r="10" spans="1:34" x14ac:dyDescent="0.3">
      <c r="B10" s="180" t="s">
        <v>246</v>
      </c>
      <c r="C10" s="169" t="s">
        <v>269</v>
      </c>
      <c r="D10" s="165">
        <f ca="1">SUMIFS('DB N-1'!$AC:$AC,'DB N-1'!$AP:$AP,'Detail Cabang-New'!$C10,'DB N-1'!$AR:$AR,'Detail Cabang-New'!$M$1,'DB N-1'!$AT:$AT,"ALDA")</f>
        <v>0</v>
      </c>
      <c r="E10" s="165">
        <f ca="1">SUMIFS('DB N-1'!$AC:$AC,'DB N-1'!$AP:$AP,'Detail Cabang-New'!$C10,'DB N-1'!$AR:$AR,'Detail Cabang-New'!$M$1,'DB N-1'!$AT:$AT,"ALDA",'DB N-1'!$AV:$AV,1)</f>
        <v>0</v>
      </c>
      <c r="F10" s="28">
        <f>IFERROR(VLOOKUP($C10,'NEw Tgt Alda'!$I$2:$L$45,4,0),0)</f>
        <v>107225000</v>
      </c>
      <c r="G10" s="165">
        <f ca="1">SUMIFS(DB!$AC:$AC,DB!$AP:$AP,'Detail Cabang-New'!$C10,DB!$AT:$AT,"ALDA",DB!$AR:$AR,'Detail Cabang-New'!$P$1)</f>
        <v>0</v>
      </c>
      <c r="H10" s="34">
        <f t="shared" ca="1" si="0"/>
        <v>-107225000</v>
      </c>
      <c r="I10" s="34">
        <f t="shared" ca="1" si="1"/>
        <v>0</v>
      </c>
      <c r="J10" s="34">
        <f t="shared" ca="1" si="2"/>
        <v>0</v>
      </c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</row>
    <row r="11" spans="1:34" ht="14.4" thickBot="1" x14ac:dyDescent="0.35">
      <c r="B11" s="181" t="s">
        <v>246</v>
      </c>
      <c r="C11" s="170" t="s">
        <v>28</v>
      </c>
      <c r="D11" s="171">
        <f ca="1">SUMIFS('DB N-1'!$AC:$AC,'DB N-1'!$AP:$AP,'Detail Cabang-New'!$C11,'DB N-1'!$AR:$AR,'Detail Cabang-New'!$M$1,'DB N-1'!$AT:$AT,"ALDA")</f>
        <v>23762000</v>
      </c>
      <c r="E11" s="171">
        <f ca="1">SUMIFS('DB N-1'!$AC:$AC,'DB N-1'!$AP:$AP,'Detail Cabang-New'!$C11,'DB N-1'!$AR:$AR,'Detail Cabang-New'!$M$1,'DB N-1'!$AT:$AT,"ALDA",'DB N-1'!$AV:$AV,1)</f>
        <v>2571000</v>
      </c>
      <c r="F11" s="29">
        <f>IFERROR(VLOOKUP($C11,'NEw Tgt Alda'!$I$2:$L$45,4,0),0)</f>
        <v>235783000</v>
      </c>
      <c r="G11" s="171">
        <f ca="1">SUMIFS(DB!$AC:$AC,DB!$AP:$AP,'Detail Cabang-New'!$C11,DB!$AT:$AT,"ALDA",DB!$AR:$AR,'Detail Cabang-New'!$P$1)</f>
        <v>0</v>
      </c>
      <c r="H11" s="37">
        <f t="shared" ca="1" si="0"/>
        <v>-235783000</v>
      </c>
      <c r="I11" s="37">
        <f t="shared" ca="1" si="1"/>
        <v>-2571000</v>
      </c>
      <c r="J11" s="37">
        <f t="shared" ca="1" si="2"/>
        <v>-23762000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</row>
    <row r="12" spans="1:34" x14ac:dyDescent="0.3">
      <c r="B12" s="180" t="s">
        <v>257</v>
      </c>
      <c r="C12" s="169" t="s">
        <v>30</v>
      </c>
      <c r="D12" s="165">
        <f ca="1">SUMIFS('DB N-1'!$AC:$AC,'DB N-1'!$AP:$AP,'Detail Cabang-New'!$C12,'DB N-1'!$AR:$AR,'Detail Cabang-New'!$M$1,'DB N-1'!$AT:$AT,"ALDA")</f>
        <v>15077116</v>
      </c>
      <c r="E12" s="165">
        <f ca="1">SUMIFS('DB N-1'!$AC:$AC,'DB N-1'!$AP:$AP,'Detail Cabang-New'!$C12,'DB N-1'!$AR:$AR,'Detail Cabang-New'!$M$1,'DB N-1'!$AT:$AT,"ALDA",'DB N-1'!$AV:$AV,1)</f>
        <v>0</v>
      </c>
      <c r="F12" s="28">
        <f>IFERROR(VLOOKUP($C12,'NEw Tgt Alda'!$I$2:$L$45,4,0),0)</f>
        <v>82031000</v>
      </c>
      <c r="G12" s="165">
        <f ca="1">SUMIFS(DB!$AC:$AC,DB!$AP:$AP,'Detail Cabang-New'!$C12,DB!$AT:$AT,"ALDA",DB!$AR:$AR,'Detail Cabang-New'!$P$1)</f>
        <v>0</v>
      </c>
      <c r="H12" s="34">
        <f t="shared" ca="1" si="0"/>
        <v>-82031000</v>
      </c>
      <c r="I12" s="34">
        <f t="shared" ca="1" si="1"/>
        <v>0</v>
      </c>
      <c r="J12" s="34">
        <f t="shared" ca="1" si="2"/>
        <v>-15077116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</row>
    <row r="13" spans="1:34" x14ac:dyDescent="0.3">
      <c r="B13" s="180" t="s">
        <v>257</v>
      </c>
      <c r="C13" s="169" t="s">
        <v>309</v>
      </c>
      <c r="D13" s="165">
        <f ca="1">SUMIFS('DB N-1'!$AC:$AC,'DB N-1'!$AP:$AP,'Detail Cabang-New'!$C13,'DB N-1'!$AR:$AR,'Detail Cabang-New'!$M$1,'DB N-1'!$AT:$AT,"ALDA")</f>
        <v>0</v>
      </c>
      <c r="E13" s="165">
        <f ca="1">SUMIFS('DB N-1'!$AC:$AC,'DB N-1'!$AP:$AP,'Detail Cabang-New'!$C13,'DB N-1'!$AR:$AR,'Detail Cabang-New'!$M$1,'DB N-1'!$AT:$AT,"ALDA",'DB N-1'!$AV:$AV,1)</f>
        <v>0</v>
      </c>
      <c r="F13" s="28">
        <f>IFERROR(VLOOKUP($C13,'NEw Tgt Alda'!$I$2:$L$45,4,0),0)</f>
        <v>11789000</v>
      </c>
      <c r="G13" s="165">
        <f ca="1">SUMIFS(DB!$AC:$AC,DB!$AP:$AP,'Detail Cabang-New'!$C13,DB!$AT:$AT,"ALDA",DB!$AR:$AR,'Detail Cabang-New'!$P$1)</f>
        <v>0</v>
      </c>
      <c r="H13" s="34">
        <f t="shared" ca="1" si="0"/>
        <v>-11789000</v>
      </c>
      <c r="I13" s="34">
        <f t="shared" ca="1" si="1"/>
        <v>0</v>
      </c>
      <c r="J13" s="34">
        <f t="shared" ca="1" si="2"/>
        <v>0</v>
      </c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</row>
    <row r="14" spans="1:34" ht="14.4" thickBot="1" x14ac:dyDescent="0.35">
      <c r="B14" s="181" t="s">
        <v>257</v>
      </c>
      <c r="C14" s="170" t="s">
        <v>25</v>
      </c>
      <c r="D14" s="171">
        <f ca="1">SUMIFS('DB N-1'!$AC:$AC,'DB N-1'!$AP:$AP,'Detail Cabang-New'!$C14,'DB N-1'!$AR:$AR,'Detail Cabang-New'!$M$1,'DB N-1'!$AT:$AT,"ALDA")</f>
        <v>11500000</v>
      </c>
      <c r="E14" s="171">
        <f ca="1">SUMIFS('DB N-1'!$AC:$AC,'DB N-1'!$AP:$AP,'Detail Cabang-New'!$C14,'DB N-1'!$AR:$AR,'Detail Cabang-New'!$M$1,'DB N-1'!$AT:$AT,"ALDA",'DB N-1'!$AV:$AV,1)</f>
        <v>0</v>
      </c>
      <c r="F14" s="29">
        <f>IFERROR(VLOOKUP($C14,'NEw Tgt Alda'!$I$2:$L$45,4,0),0)</f>
        <v>172173000</v>
      </c>
      <c r="G14" s="171">
        <f ca="1">SUMIFS(DB!$AC:$AC,DB!$AP:$AP,'Detail Cabang-New'!$C14,DB!$AT:$AT,"ALDA",DB!$AR:$AR,'Detail Cabang-New'!$P$1)</f>
        <v>0</v>
      </c>
      <c r="H14" s="37">
        <f t="shared" ca="1" si="0"/>
        <v>-172173000</v>
      </c>
      <c r="I14" s="37">
        <f t="shared" ca="1" si="1"/>
        <v>0</v>
      </c>
      <c r="J14" s="37">
        <f t="shared" ca="1" si="2"/>
        <v>-11500000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</row>
    <row r="15" spans="1:34" x14ac:dyDescent="0.3">
      <c r="B15" s="180" t="s">
        <v>273</v>
      </c>
      <c r="C15" s="169" t="s">
        <v>38</v>
      </c>
      <c r="D15" s="165">
        <f ca="1">SUMIFS('DB N-1'!$AC:$AC,'DB N-1'!$AP:$AP,'Detail Cabang-New'!$C15,'DB N-1'!$AR:$AR,'Detail Cabang-New'!$M$1,'DB N-1'!$AT:$AT,"ALDA")</f>
        <v>638000</v>
      </c>
      <c r="E15" s="165">
        <f ca="1">SUMIFS('DB N-1'!$AC:$AC,'DB N-1'!$AP:$AP,'Detail Cabang-New'!$C15,'DB N-1'!$AR:$AR,'Detail Cabang-New'!$M$1,'DB N-1'!$AT:$AT,"ALDA",'DB N-1'!$AV:$AV,1)</f>
        <v>0</v>
      </c>
      <c r="F15" s="28">
        <f>IFERROR(VLOOKUP($C15,'NEw Tgt Alda'!$I$2:$L$45,4,0),0)</f>
        <v>17542000</v>
      </c>
      <c r="G15" s="165">
        <f ca="1">SUMIFS(DB!$AC:$AC,DB!$AP:$AP,'Detail Cabang-New'!$C15,DB!$AT:$AT,"ALDA",DB!$AR:$AR,'Detail Cabang-New'!$P$1)</f>
        <v>0</v>
      </c>
      <c r="H15" s="34">
        <f t="shared" ca="1" si="0"/>
        <v>-17542000</v>
      </c>
      <c r="I15" s="34">
        <f t="shared" ca="1" si="1"/>
        <v>0</v>
      </c>
      <c r="J15" s="34">
        <f t="shared" ca="1" si="2"/>
        <v>-638000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</row>
    <row r="16" spans="1:34" x14ac:dyDescent="0.3">
      <c r="B16" s="180" t="s">
        <v>273</v>
      </c>
      <c r="C16" s="169" t="s">
        <v>27</v>
      </c>
      <c r="D16" s="165">
        <f ca="1">SUMIFS('DB N-1'!$AC:$AC,'DB N-1'!$AP:$AP,'Detail Cabang-New'!$C16,'DB N-1'!$AR:$AR,'Detail Cabang-New'!$M$1,'DB N-1'!$AT:$AT,"ALDA")</f>
        <v>1700000</v>
      </c>
      <c r="E16" s="165">
        <f ca="1">SUMIFS('DB N-1'!$AC:$AC,'DB N-1'!$AP:$AP,'Detail Cabang-New'!$C16,'DB N-1'!$AR:$AR,'Detail Cabang-New'!$M$1,'DB N-1'!$AT:$AT,"ALDA",'DB N-1'!$AV:$AV,1)</f>
        <v>0</v>
      </c>
      <c r="F16" s="28">
        <f>IFERROR(VLOOKUP($C16,'NEw Tgt Alda'!$I$2:$L$45,4,0),0)</f>
        <v>27347000</v>
      </c>
      <c r="G16" s="165">
        <f ca="1">SUMIFS(DB!$AC:$AC,DB!$AP:$AP,'Detail Cabang-New'!$C16,DB!$AT:$AT,"ALDA",DB!$AR:$AR,'Detail Cabang-New'!$P$1)</f>
        <v>0</v>
      </c>
      <c r="H16" s="34">
        <f t="shared" ca="1" si="0"/>
        <v>-27347000</v>
      </c>
      <c r="I16" s="34">
        <f t="shared" ca="1" si="1"/>
        <v>0</v>
      </c>
      <c r="J16" s="34">
        <f t="shared" ca="1" si="2"/>
        <v>-1700000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r="17" spans="2:22" x14ac:dyDescent="0.3">
      <c r="B17" s="180" t="s">
        <v>273</v>
      </c>
      <c r="C17" s="169" t="s">
        <v>33</v>
      </c>
      <c r="D17" s="165">
        <f ca="1">SUMIFS('DB N-1'!$AC:$AC,'DB N-1'!$AP:$AP,'Detail Cabang-New'!$C17,'DB N-1'!$AR:$AR,'Detail Cabang-New'!$M$1,'DB N-1'!$AT:$AT,"ALDA")</f>
        <v>13392375</v>
      </c>
      <c r="E17" s="165">
        <f ca="1">SUMIFS('DB N-1'!$AC:$AC,'DB N-1'!$AP:$AP,'Detail Cabang-New'!$C17,'DB N-1'!$AR:$AR,'Detail Cabang-New'!$M$1,'DB N-1'!$AT:$AT,"ALDA",'DB N-1'!$AV:$AV,1)</f>
        <v>0</v>
      </c>
      <c r="F17" s="28">
        <f>IFERROR(VLOOKUP($C17,'NEw Tgt Alda'!$I$2:$L$45,4,0),0)</f>
        <v>96496000</v>
      </c>
      <c r="G17" s="165">
        <f ca="1">SUMIFS(DB!$AC:$AC,DB!$AP:$AP,'Detail Cabang-New'!$C17,DB!$AT:$AT,"ALDA",DB!$AR:$AR,'Detail Cabang-New'!$P$1)</f>
        <v>0</v>
      </c>
      <c r="H17" s="34">
        <f t="shared" ca="1" si="0"/>
        <v>-96496000</v>
      </c>
      <c r="I17" s="34">
        <f t="shared" ca="1" si="1"/>
        <v>0</v>
      </c>
      <c r="J17" s="34">
        <f t="shared" ca="1" si="2"/>
        <v>-13392375</v>
      </c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</row>
    <row r="18" spans="2:22" x14ac:dyDescent="0.3">
      <c r="B18" s="180" t="s">
        <v>273</v>
      </c>
      <c r="C18" s="169" t="s">
        <v>32</v>
      </c>
      <c r="D18" s="165">
        <f ca="1">SUMIFS('DB N-1'!$AC:$AC,'DB N-1'!$AP:$AP,'Detail Cabang-New'!$C18,'DB N-1'!$AR:$AR,'Detail Cabang-New'!$M$1,'DB N-1'!$AT:$AT,"ALDA")</f>
        <v>7671460</v>
      </c>
      <c r="E18" s="165">
        <f ca="1">SUMIFS('DB N-1'!$AC:$AC,'DB N-1'!$AP:$AP,'Detail Cabang-New'!$C18,'DB N-1'!$AR:$AR,'Detail Cabang-New'!$M$1,'DB N-1'!$AT:$AT,"ALDA",'DB N-1'!$AV:$AV,1)</f>
        <v>121000</v>
      </c>
      <c r="F18" s="28">
        <f>IFERROR(VLOOKUP($C18,'NEw Tgt Alda'!$I$2:$L$45,4,0),0)</f>
        <v>33443000</v>
      </c>
      <c r="G18" s="165">
        <f ca="1">SUMIFS(DB!$AC:$AC,DB!$AP:$AP,'Detail Cabang-New'!$C18,DB!$AT:$AT,"ALDA",DB!$AR:$AR,'Detail Cabang-New'!$P$1)</f>
        <v>3580</v>
      </c>
      <c r="H18" s="34">
        <f t="shared" ca="1" si="0"/>
        <v>-33439420</v>
      </c>
      <c r="I18" s="34">
        <f t="shared" ca="1" si="1"/>
        <v>-117420</v>
      </c>
      <c r="J18" s="34">
        <f t="shared" ca="1" si="2"/>
        <v>-7667880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</row>
    <row r="19" spans="2:22" x14ac:dyDescent="0.3">
      <c r="B19" s="180" t="s">
        <v>273</v>
      </c>
      <c r="C19" s="169" t="s">
        <v>307</v>
      </c>
      <c r="D19" s="165">
        <f ca="1">SUMIFS('DB N-1'!$AC:$AC,'DB N-1'!$AP:$AP,'Detail Cabang-New'!$C19,'DB N-1'!$AR:$AR,'Detail Cabang-New'!$M$1,'DB N-1'!$AT:$AT,"ALDA")</f>
        <v>12400000</v>
      </c>
      <c r="E19" s="165">
        <f ca="1">SUMIFS('DB N-1'!$AC:$AC,'DB N-1'!$AP:$AP,'Detail Cabang-New'!$C19,'DB N-1'!$AR:$AR,'Detail Cabang-New'!$M$1,'DB N-1'!$AT:$AT,"ALDA",'DB N-1'!$AV:$AV,1)</f>
        <v>12100000</v>
      </c>
      <c r="F19" s="28">
        <f>IFERROR(VLOOKUP($C19,'NEw Tgt Alda'!$I$2:$L$45,4,0),0)</f>
        <v>15828000</v>
      </c>
      <c r="G19" s="165">
        <f ca="1">SUMIFS(DB!$AC:$AC,DB!$AP:$AP,'Detail Cabang-New'!$C19,DB!$AT:$AT,"ALDA",DB!$AR:$AR,'Detail Cabang-New'!$P$1)</f>
        <v>0</v>
      </c>
      <c r="H19" s="34">
        <f t="shared" ca="1" si="0"/>
        <v>-15828000</v>
      </c>
      <c r="I19" s="34">
        <f t="shared" ca="1" si="1"/>
        <v>-12100000</v>
      </c>
      <c r="J19" s="34">
        <f t="shared" ca="1" si="2"/>
        <v>-12400000</v>
      </c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</row>
    <row r="20" spans="2:22" ht="14.4" thickBot="1" x14ac:dyDescent="0.35">
      <c r="B20" s="181" t="s">
        <v>273</v>
      </c>
      <c r="C20" s="170" t="s">
        <v>274</v>
      </c>
      <c r="D20" s="171">
        <f ca="1">SUMIFS('DB N-1'!$AC:$AC,'DB N-1'!$AP:$AP,'Detail Cabang-New'!$C20,'DB N-1'!$AR:$AR,'Detail Cabang-New'!$M$1,'DB N-1'!$AT:$AT,"ALDA")</f>
        <v>0</v>
      </c>
      <c r="E20" s="171">
        <f ca="1">SUMIFS('DB N-1'!$AC:$AC,'DB N-1'!$AP:$AP,'Detail Cabang-New'!$C20,'DB N-1'!$AR:$AR,'Detail Cabang-New'!$M$1,'DB N-1'!$AT:$AT,"ALDA",'DB N-1'!$AV:$AV,1)</f>
        <v>0</v>
      </c>
      <c r="F20" s="29">
        <f>IFERROR(VLOOKUP($C20,'NEw Tgt Alda'!$I$2:$L$45,4,0),0)</f>
        <v>76467000</v>
      </c>
      <c r="G20" s="171">
        <f ca="1">SUMIFS(DB!$AC:$AC,DB!$AP:$AP,'Detail Cabang-New'!$C20,DB!$AT:$AT,"ALDA",DB!$AR:$AR,'Detail Cabang-New'!$P$1)</f>
        <v>0</v>
      </c>
      <c r="H20" s="37">
        <f t="shared" ca="1" si="0"/>
        <v>-76467000</v>
      </c>
      <c r="I20" s="37">
        <f t="shared" ca="1" si="1"/>
        <v>0</v>
      </c>
      <c r="J20" s="37">
        <f t="shared" ca="1" si="2"/>
        <v>0</v>
      </c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</row>
    <row r="21" spans="2:22" x14ac:dyDescent="0.3">
      <c r="B21" s="180" t="s">
        <v>252</v>
      </c>
      <c r="C21" s="169" t="s">
        <v>36</v>
      </c>
      <c r="D21" s="165">
        <f ca="1">SUMIFS('DB N-1'!$AC:$AC,'DB N-1'!$AP:$AP,'Detail Cabang-New'!$C21,'DB N-1'!$AR:$AR,'Detail Cabang-New'!$M$1,'DB N-1'!$AT:$AT,"ALDA")</f>
        <v>34507000</v>
      </c>
      <c r="E21" s="165">
        <f ca="1">SUMIFS('DB N-1'!$AC:$AC,'DB N-1'!$AP:$AP,'Detail Cabang-New'!$C21,'DB N-1'!$AR:$AR,'Detail Cabang-New'!$M$1,'DB N-1'!$AT:$AT,"ALDA",'DB N-1'!$AV:$AV,1)</f>
        <v>0</v>
      </c>
      <c r="F21" s="28">
        <f>IFERROR(VLOOKUP($C21,'NEw Tgt Alda'!$I$2:$L$45,4,0),0)</f>
        <v>33682000</v>
      </c>
      <c r="G21" s="165">
        <f ca="1">SUMIFS(DB!$AC:$AC,DB!$AP:$AP,'Detail Cabang-New'!$C21,DB!$AT:$AT,"ALDA",DB!$AR:$AR,'Detail Cabang-New'!$P$1)</f>
        <v>89400</v>
      </c>
      <c r="H21" s="34">
        <f t="shared" ca="1" si="0"/>
        <v>-33592600</v>
      </c>
      <c r="I21" s="34">
        <f t="shared" ca="1" si="1"/>
        <v>89400</v>
      </c>
      <c r="J21" s="34">
        <f t="shared" ca="1" si="2"/>
        <v>-34417600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</row>
    <row r="22" spans="2:22" x14ac:dyDescent="0.3">
      <c r="B22" s="180" t="s">
        <v>252</v>
      </c>
      <c r="C22" s="169" t="s">
        <v>24</v>
      </c>
      <c r="D22" s="165">
        <f ca="1">SUMIFS('DB N-1'!$AC:$AC,'DB N-1'!$AP:$AP,'Detail Cabang-New'!$C22,'DB N-1'!$AR:$AR,'Detail Cabang-New'!$M$1,'DB N-1'!$AT:$AT,"ALDA")</f>
        <v>27394260</v>
      </c>
      <c r="E22" s="165">
        <f ca="1">SUMIFS('DB N-1'!$AC:$AC,'DB N-1'!$AP:$AP,'Detail Cabang-New'!$C22,'DB N-1'!$AR:$AR,'Detail Cabang-New'!$M$1,'DB N-1'!$AT:$AT,"ALDA",'DB N-1'!$AV:$AV,1)</f>
        <v>0</v>
      </c>
      <c r="F22" s="28">
        <f>IFERROR(VLOOKUP($C22,'NEw Tgt Alda'!$I$2:$L$45,4,0),0)</f>
        <v>17407000</v>
      </c>
      <c r="G22" s="165">
        <f ca="1">SUMIFS(DB!$AC:$AC,DB!$AP:$AP,'Detail Cabang-New'!$C22,DB!$AT:$AT,"ALDA",DB!$AR:$AR,'Detail Cabang-New'!$P$1)</f>
        <v>0</v>
      </c>
      <c r="H22" s="34">
        <f t="shared" ca="1" si="0"/>
        <v>-17407000</v>
      </c>
      <c r="I22" s="34">
        <f t="shared" ca="1" si="1"/>
        <v>0</v>
      </c>
      <c r="J22" s="34">
        <f t="shared" ca="1" si="2"/>
        <v>-27394260</v>
      </c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</row>
    <row r="23" spans="2:22" x14ac:dyDescent="0.3">
      <c r="B23" s="180" t="s">
        <v>252</v>
      </c>
      <c r="C23" s="169" t="s">
        <v>31</v>
      </c>
      <c r="D23" s="165">
        <f ca="1">SUMIFS('DB N-1'!$AC:$AC,'DB N-1'!$AP:$AP,'Detail Cabang-New'!$C23,'DB N-1'!$AR:$AR,'Detail Cabang-New'!$M$1,'DB N-1'!$AT:$AT,"ALDA")</f>
        <v>4165500</v>
      </c>
      <c r="E23" s="165">
        <f ca="1">SUMIFS('DB N-1'!$AC:$AC,'DB N-1'!$AP:$AP,'Detail Cabang-New'!$C23,'DB N-1'!$AR:$AR,'Detail Cabang-New'!$M$1,'DB N-1'!$AT:$AT,"ALDA",'DB N-1'!$AV:$AV,1)</f>
        <v>0</v>
      </c>
      <c r="F23" s="28">
        <f>IFERROR(VLOOKUP($C23,'NEw Tgt Alda'!$I$2:$L$45,4,0),0)</f>
        <v>46623000</v>
      </c>
      <c r="G23" s="165">
        <f ca="1">SUMIFS(DB!$AC:$AC,DB!$AP:$AP,'Detail Cabang-New'!$C23,DB!$AT:$AT,"ALDA",DB!$AR:$AR,'Detail Cabang-New'!$P$1)</f>
        <v>189000</v>
      </c>
      <c r="H23" s="34">
        <f t="shared" ca="1" si="0"/>
        <v>-46434000</v>
      </c>
      <c r="I23" s="34">
        <f t="shared" ca="1" si="1"/>
        <v>189000</v>
      </c>
      <c r="J23" s="34">
        <f t="shared" ca="1" si="2"/>
        <v>-3976500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</row>
    <row r="24" spans="2:22" ht="14.4" thickBot="1" x14ac:dyDescent="0.35">
      <c r="B24" s="181" t="s">
        <v>252</v>
      </c>
      <c r="C24" s="170" t="s">
        <v>34</v>
      </c>
      <c r="D24" s="171">
        <f ca="1">SUMIFS('DB N-1'!$AC:$AC,'DB N-1'!$AP:$AP,'Detail Cabang-New'!$C24,'DB N-1'!$AR:$AR,'Detail Cabang-New'!$M$1,'DB N-1'!$AT:$AT,"ALDA")</f>
        <v>23785300</v>
      </c>
      <c r="E24" s="171">
        <f ca="1">SUMIFS('DB N-1'!$AC:$AC,'DB N-1'!$AP:$AP,'Detail Cabang-New'!$C24,'DB N-1'!$AR:$AR,'Detail Cabang-New'!$M$1,'DB N-1'!$AT:$AT,"ALDA",'DB N-1'!$AV:$AV,1)</f>
        <v>178800</v>
      </c>
      <c r="F24" s="29">
        <f>IFERROR(VLOOKUP($C24,'NEw Tgt Alda'!$I$2:$L$45,4,0),0)</f>
        <v>88681000</v>
      </c>
      <c r="G24" s="171">
        <f ca="1">SUMIFS(DB!$AC:$AC,DB!$AP:$AP,'Detail Cabang-New'!$C24,DB!$AT:$AT,"ALDA",DB!$AR:$AR,'Detail Cabang-New'!$P$1)</f>
        <v>709200</v>
      </c>
      <c r="H24" s="37">
        <f t="shared" ca="1" si="0"/>
        <v>-87971800</v>
      </c>
      <c r="I24" s="37">
        <f t="shared" ca="1" si="1"/>
        <v>530400</v>
      </c>
      <c r="J24" s="37">
        <f t="shared" ca="1" si="2"/>
        <v>-23076100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</row>
    <row r="25" spans="2:22" x14ac:dyDescent="0.3">
      <c r="B25" s="180" t="s">
        <v>228</v>
      </c>
      <c r="C25" s="169" t="s">
        <v>18</v>
      </c>
      <c r="D25" s="165">
        <f ca="1">SUMIFS('DB N-1'!$AC:$AC,'DB N-1'!$AP:$AP,'Detail Cabang-New'!$C25,'DB N-1'!$AR:$AR,'Detail Cabang-New'!$M$1,'DB N-1'!$AT:$AT,"ALDA")</f>
        <v>18461400</v>
      </c>
      <c r="E25" s="165">
        <f ca="1">SUMIFS('DB N-1'!$AC:$AC,'DB N-1'!$AP:$AP,'Detail Cabang-New'!$C25,'DB N-1'!$AR:$AR,'Detail Cabang-New'!$M$1,'DB N-1'!$AT:$AT,"ALDA",'DB N-1'!$AV:$AV,1)</f>
        <v>0</v>
      </c>
      <c r="F25" s="28">
        <f>IFERROR(VLOOKUP($C25,'NEw Tgt Alda'!$I$2:$L$45,4,0),0)</f>
        <v>46506000</v>
      </c>
      <c r="G25" s="165">
        <f ca="1">SUMIFS(DB!$AC:$AC,DB!$AP:$AP,'Detail Cabang-New'!$C25,DB!$AT:$AT,"ALDA",DB!$AR:$AR,'Detail Cabang-New'!$P$1)</f>
        <v>0</v>
      </c>
      <c r="H25" s="34">
        <f t="shared" ca="1" si="0"/>
        <v>-46506000</v>
      </c>
      <c r="I25" s="34">
        <f t="shared" ca="1" si="1"/>
        <v>0</v>
      </c>
      <c r="J25" s="34">
        <f t="shared" ca="1" si="2"/>
        <v>-18461400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</row>
    <row r="26" spans="2:22" x14ac:dyDescent="0.3">
      <c r="B26" s="180" t="s">
        <v>228</v>
      </c>
      <c r="C26" s="169" t="s">
        <v>8</v>
      </c>
      <c r="D26" s="165">
        <f ca="1">SUMIFS('DB N-1'!$AC:$AC,'DB N-1'!$AP:$AP,'Detail Cabang-New'!$C26,'DB N-1'!$AR:$AR,'Detail Cabang-New'!$M$1,'DB N-1'!$AT:$AT,"ALDA")</f>
        <v>10027700</v>
      </c>
      <c r="E26" s="165">
        <f ca="1">SUMIFS('DB N-1'!$AC:$AC,'DB N-1'!$AP:$AP,'Detail Cabang-New'!$C26,'DB N-1'!$AR:$AR,'Detail Cabang-New'!$M$1,'DB N-1'!$AT:$AT,"ALDA",'DB N-1'!$AV:$AV,1)</f>
        <v>659900</v>
      </c>
      <c r="F26" s="28">
        <f>IFERROR(VLOOKUP($C26,'NEw Tgt Alda'!$I$2:$L$45,4,0),0)</f>
        <v>107027000</v>
      </c>
      <c r="G26" s="165">
        <f ca="1">SUMIFS(DB!$AC:$AC,DB!$AP:$AP,'Detail Cabang-New'!$C26,DB!$AT:$AT,"ALDA",DB!$AR:$AR,'Detail Cabang-New'!$P$1)</f>
        <v>1510916</v>
      </c>
      <c r="H26" s="34">
        <f t="shared" ca="1" si="0"/>
        <v>-105516084</v>
      </c>
      <c r="I26" s="34">
        <f t="shared" ca="1" si="1"/>
        <v>851016</v>
      </c>
      <c r="J26" s="34">
        <f t="shared" ca="1" si="2"/>
        <v>-8516784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</row>
    <row r="27" spans="2:22" x14ac:dyDescent="0.3">
      <c r="B27" s="180" t="s">
        <v>228</v>
      </c>
      <c r="C27" s="169" t="s">
        <v>173</v>
      </c>
      <c r="D27" s="165">
        <f ca="1">SUMIFS('DB N-1'!$AC:$AC,'DB N-1'!$AP:$AP,'Detail Cabang-New'!$C27,'DB N-1'!$AR:$AR,'Detail Cabang-New'!$M$1,'DB N-1'!$AT:$AT,"ALDA")</f>
        <v>0</v>
      </c>
      <c r="E27" s="165">
        <f ca="1">SUMIFS('DB N-1'!$AC:$AC,'DB N-1'!$AP:$AP,'Detail Cabang-New'!$C27,'DB N-1'!$AR:$AR,'Detail Cabang-New'!$M$1,'DB N-1'!$AT:$AT,"ALDA",'DB N-1'!$AV:$AV,1)</f>
        <v>0</v>
      </c>
      <c r="F27" s="28">
        <f>IFERROR(VLOOKUP($C27,'NEw Tgt Alda'!$I$2:$L$45,4,0),0)</f>
        <v>0</v>
      </c>
      <c r="G27" s="165">
        <f ca="1">SUMIFS(DB!$AC:$AC,DB!$AP:$AP,'Detail Cabang-New'!$C27,DB!$AT:$AT,"ALDA",DB!$AR:$AR,'Detail Cabang-New'!$P$1)</f>
        <v>0</v>
      </c>
      <c r="H27" s="34">
        <f t="shared" ca="1" si="0"/>
        <v>0</v>
      </c>
      <c r="I27" s="34">
        <f t="shared" ca="1" si="1"/>
        <v>0</v>
      </c>
      <c r="J27" s="34">
        <f t="shared" ca="1" si="2"/>
        <v>0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</row>
    <row r="28" spans="2:22" x14ac:dyDescent="0.3">
      <c r="B28" s="180" t="s">
        <v>228</v>
      </c>
      <c r="C28" s="169" t="s">
        <v>176</v>
      </c>
      <c r="D28" s="165">
        <f ca="1">SUMIFS('DB N-1'!$AC:$AC,'DB N-1'!$AP:$AP,'Detail Cabang-New'!$C28,'DB N-1'!$AR:$AR,'Detail Cabang-New'!$M$1,'DB N-1'!$AT:$AT,"ALDA")</f>
        <v>5196000</v>
      </c>
      <c r="E28" s="165">
        <f ca="1">SUMIFS('DB N-1'!$AC:$AC,'DB N-1'!$AP:$AP,'Detail Cabang-New'!$C28,'DB N-1'!$AR:$AR,'Detail Cabang-New'!$M$1,'DB N-1'!$AT:$AT,"ALDA",'DB N-1'!$AV:$AV,1)</f>
        <v>5196000</v>
      </c>
      <c r="F28" s="28">
        <f>IFERROR(VLOOKUP($C28,'NEw Tgt Alda'!$I$2:$L$45,4,0),0)</f>
        <v>39588000</v>
      </c>
      <c r="G28" s="165">
        <f ca="1">SUMIFS(DB!$AC:$AC,DB!$AP:$AP,'Detail Cabang-New'!$C28,DB!$AT:$AT,"ALDA",DB!$AR:$AR,'Detail Cabang-New'!$P$1)</f>
        <v>0</v>
      </c>
      <c r="H28" s="34">
        <f t="shared" ca="1" si="0"/>
        <v>-39588000</v>
      </c>
      <c r="I28" s="34">
        <f t="shared" ca="1" si="1"/>
        <v>-5196000</v>
      </c>
      <c r="J28" s="34">
        <f t="shared" ca="1" si="2"/>
        <v>-5196000</v>
      </c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</row>
    <row r="29" spans="2:22" x14ac:dyDescent="0.3">
      <c r="B29" s="180" t="s">
        <v>228</v>
      </c>
      <c r="C29" s="169" t="s">
        <v>42</v>
      </c>
      <c r="D29" s="165">
        <f ca="1">SUMIFS('DB N-1'!$AC:$AC,'DB N-1'!$AP:$AP,'Detail Cabang-New'!$C29,'DB N-1'!$AR:$AR,'Detail Cabang-New'!$M$1,'DB N-1'!$AT:$AT,"ALDA")</f>
        <v>7019280</v>
      </c>
      <c r="E29" s="165">
        <f ca="1">SUMIFS('DB N-1'!$AC:$AC,'DB N-1'!$AP:$AP,'Detail Cabang-New'!$C29,'DB N-1'!$AR:$AR,'Detail Cabang-New'!$M$1,'DB N-1'!$AT:$AT,"ALDA",'DB N-1'!$AV:$AV,1)</f>
        <v>0</v>
      </c>
      <c r="F29" s="28">
        <f>IFERROR(VLOOKUP($C29,'NEw Tgt Alda'!$I$2:$L$45,4,0),0)</f>
        <v>32302000</v>
      </c>
      <c r="G29" s="165">
        <f ca="1">SUMIFS(DB!$AC:$AC,DB!$AP:$AP,'Detail Cabang-New'!$C29,DB!$AT:$AT,"ALDA",DB!$AR:$AR,'Detail Cabang-New'!$P$1)</f>
        <v>3363875</v>
      </c>
      <c r="H29" s="34">
        <f t="shared" ca="1" si="0"/>
        <v>-28938125</v>
      </c>
      <c r="I29" s="34">
        <f t="shared" ca="1" si="1"/>
        <v>3363875</v>
      </c>
      <c r="J29" s="34">
        <f t="shared" ca="1" si="2"/>
        <v>-3655405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</row>
    <row r="30" spans="2:22" x14ac:dyDescent="0.3">
      <c r="B30" s="180" t="s">
        <v>228</v>
      </c>
      <c r="C30" s="169" t="s">
        <v>19</v>
      </c>
      <c r="D30" s="165">
        <f ca="1">SUMIFS('DB N-1'!$AC:$AC,'DB N-1'!$AP:$AP,'Detail Cabang-New'!$C30,'DB N-1'!$AR:$AR,'Detail Cabang-New'!$M$1,'DB N-1'!$AT:$AT,"ALDA")</f>
        <v>13200000</v>
      </c>
      <c r="E30" s="165">
        <f ca="1">SUMIFS('DB N-1'!$AC:$AC,'DB N-1'!$AP:$AP,'Detail Cabang-New'!$C30,'DB N-1'!$AR:$AR,'Detail Cabang-New'!$M$1,'DB N-1'!$AT:$AT,"ALDA",'DB N-1'!$AV:$AV,1)</f>
        <v>0</v>
      </c>
      <c r="F30" s="28">
        <f>IFERROR(VLOOKUP($C30,'NEw Tgt Alda'!$I$2:$L$45,4,0),0)</f>
        <v>60107000</v>
      </c>
      <c r="G30" s="165">
        <f ca="1">SUMIFS(DB!$AC:$AC,DB!$AP:$AP,'Detail Cabang-New'!$C30,DB!$AT:$AT,"ALDA",DB!$AR:$AR,'Detail Cabang-New'!$P$1)</f>
        <v>307000</v>
      </c>
      <c r="H30" s="34">
        <f t="shared" ca="1" si="0"/>
        <v>-59800000</v>
      </c>
      <c r="I30" s="34">
        <f t="shared" ca="1" si="1"/>
        <v>307000</v>
      </c>
      <c r="J30" s="34">
        <f t="shared" ca="1" si="2"/>
        <v>-12893000</v>
      </c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</row>
    <row r="31" spans="2:22" ht="14.4" thickBot="1" x14ac:dyDescent="0.35">
      <c r="B31" s="181" t="s">
        <v>228</v>
      </c>
      <c r="C31" s="170" t="s">
        <v>10</v>
      </c>
      <c r="D31" s="171">
        <f ca="1">SUMIFS('DB N-1'!$AC:$AC,'DB N-1'!$AP:$AP,'Detail Cabang-New'!$C31,'DB N-1'!$AR:$AR,'Detail Cabang-New'!$M$1,'DB N-1'!$AT:$AT,"ALDA")</f>
        <v>4900000</v>
      </c>
      <c r="E31" s="171">
        <f ca="1">SUMIFS('DB N-1'!$AC:$AC,'DB N-1'!$AP:$AP,'Detail Cabang-New'!$C31,'DB N-1'!$AR:$AR,'Detail Cabang-New'!$M$1,'DB N-1'!$AT:$AT,"ALDA",'DB N-1'!$AV:$AV,1)</f>
        <v>0</v>
      </c>
      <c r="F31" s="29">
        <f>IFERROR(VLOOKUP($C31,'NEw Tgt Alda'!$I$2:$L$45,4,0),0)</f>
        <v>35312000</v>
      </c>
      <c r="G31" s="171">
        <f ca="1">SUMIFS(DB!$AC:$AC,DB!$AP:$AP,'Detail Cabang-New'!$C31,DB!$AT:$AT,"ALDA",DB!$AR:$AR,'Detail Cabang-New'!$P$1)</f>
        <v>2664042</v>
      </c>
      <c r="H31" s="37">
        <f t="shared" ca="1" si="0"/>
        <v>-32647958</v>
      </c>
      <c r="I31" s="37">
        <f t="shared" ca="1" si="1"/>
        <v>2664042</v>
      </c>
      <c r="J31" s="37">
        <f t="shared" ca="1" si="2"/>
        <v>-2235958</v>
      </c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</row>
    <row r="32" spans="2:22" x14ac:dyDescent="0.3">
      <c r="B32" s="180" t="s">
        <v>233</v>
      </c>
      <c r="C32" s="169" t="s">
        <v>346</v>
      </c>
      <c r="D32" s="165">
        <f ca="1">SUMIFS('DB N-1'!$AC:$AC,'DB N-1'!$AP:$AP,'Detail Cabang-New'!$C32,'DB N-1'!$AR:$AR,'Detail Cabang-New'!$M$1,'DB N-1'!$AT:$AT,"ALDA")</f>
        <v>0</v>
      </c>
      <c r="E32" s="165">
        <f ca="1">SUMIFS('DB N-1'!$AC:$AC,'DB N-1'!$AP:$AP,'Detail Cabang-New'!$C32,'DB N-1'!$AR:$AR,'Detail Cabang-New'!$M$1,'DB N-1'!$AT:$AT,"ALDA",'DB N-1'!$AV:$AV,1)</f>
        <v>0</v>
      </c>
      <c r="F32" s="28">
        <f>IFERROR(VLOOKUP($C32,'NEw Tgt Alda'!$I$2:$L$45,4,0),0)</f>
        <v>28956000</v>
      </c>
      <c r="G32" s="165">
        <f ca="1">SUMIFS(DB!$AC:$AC,DB!$AP:$AP,'Detail Cabang-New'!$C32,DB!$AT:$AT,"ALDA",DB!$AR:$AR,'Detail Cabang-New'!$P$1)</f>
        <v>0</v>
      </c>
      <c r="H32" s="34">
        <f t="shared" ca="1" si="0"/>
        <v>-28956000</v>
      </c>
      <c r="I32" s="34">
        <f t="shared" ca="1" si="1"/>
        <v>0</v>
      </c>
      <c r="J32" s="34">
        <f t="shared" ca="1" si="2"/>
        <v>0</v>
      </c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</row>
    <row r="33" spans="2:22" x14ac:dyDescent="0.3">
      <c r="B33" s="180" t="s">
        <v>233</v>
      </c>
      <c r="C33" s="169" t="s">
        <v>344</v>
      </c>
      <c r="D33" s="165">
        <f ca="1">SUMIFS('DB N-1'!$AC:$AC,'DB N-1'!$AP:$AP,'Detail Cabang-New'!$C33,'DB N-1'!$AR:$AR,'Detail Cabang-New'!$M$1,'DB N-1'!$AT:$AT,"ALDA")</f>
        <v>4374195</v>
      </c>
      <c r="E33" s="165">
        <f ca="1">SUMIFS('DB N-1'!$AC:$AC,'DB N-1'!$AP:$AP,'Detail Cabang-New'!$C33,'DB N-1'!$AR:$AR,'Detail Cabang-New'!$M$1,'DB N-1'!$AT:$AT,"ALDA",'DB N-1'!$AV:$AV,1)</f>
        <v>217000</v>
      </c>
      <c r="F33" s="28">
        <f>IFERROR(VLOOKUP($C33,'NEw Tgt Alda'!$I$2:$L$45,4,0),0)</f>
        <v>75857000</v>
      </c>
      <c r="G33" s="165">
        <f ca="1">SUMIFS(DB!$AC:$AC,DB!$AP:$AP,'Detail Cabang-New'!$C33,DB!$AT:$AT,"ALDA",DB!$AR:$AR,'Detail Cabang-New'!$P$1)</f>
        <v>1394780</v>
      </c>
      <c r="H33" s="34">
        <f t="shared" ca="1" si="0"/>
        <v>-74462220</v>
      </c>
      <c r="I33" s="34">
        <f t="shared" ca="1" si="1"/>
        <v>1177780</v>
      </c>
      <c r="J33" s="34">
        <f t="shared" ca="1" si="2"/>
        <v>-2979415</v>
      </c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</row>
    <row r="34" spans="2:22" x14ac:dyDescent="0.3">
      <c r="B34" s="180" t="s">
        <v>233</v>
      </c>
      <c r="C34" s="169" t="s">
        <v>234</v>
      </c>
      <c r="D34" s="165">
        <f ca="1">SUMIFS('DB N-1'!$AC:$AC,'DB N-1'!$AP:$AP,'Detail Cabang-New'!$C34,'DB N-1'!$AR:$AR,'Detail Cabang-New'!$M$1,'DB N-1'!$AT:$AT,"ALDA")</f>
        <v>31478870</v>
      </c>
      <c r="E34" s="165">
        <f ca="1">SUMIFS('DB N-1'!$AC:$AC,'DB N-1'!$AP:$AP,'Detail Cabang-New'!$C34,'DB N-1'!$AR:$AR,'Detail Cabang-New'!$M$1,'DB N-1'!$AT:$AT,"ALDA",'DB N-1'!$AV:$AV,1)</f>
        <v>53070</v>
      </c>
      <c r="F34" s="28">
        <f>IFERROR(VLOOKUP($C34,'NEw Tgt Alda'!$I$2:$L$45,4,0),0)</f>
        <v>169759000</v>
      </c>
      <c r="G34" s="165">
        <f ca="1">SUMIFS(DB!$AC:$AC,DB!$AP:$AP,'Detail Cabang-New'!$C34,DB!$AT:$AT,"ALDA",DB!$AR:$AR,'Detail Cabang-New'!$P$1)</f>
        <v>0</v>
      </c>
      <c r="H34" s="34">
        <f t="shared" ca="1" si="0"/>
        <v>-169759000</v>
      </c>
      <c r="I34" s="34">
        <f t="shared" ca="1" si="1"/>
        <v>-53070</v>
      </c>
      <c r="J34" s="34">
        <f t="shared" ca="1" si="2"/>
        <v>-31478870</v>
      </c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</row>
    <row r="35" spans="2:22" x14ac:dyDescent="0.3">
      <c r="B35" s="180" t="s">
        <v>233</v>
      </c>
      <c r="C35" s="169" t="s">
        <v>41</v>
      </c>
      <c r="D35" s="165">
        <f ca="1">SUMIFS('DB N-1'!$AC:$AC,'DB N-1'!$AP:$AP,'Detail Cabang-New'!$C35,'DB N-1'!$AR:$AR,'Detail Cabang-New'!$M$1,'DB N-1'!$AT:$AT,"ALDA")</f>
        <v>51747000</v>
      </c>
      <c r="E35" s="165">
        <f ca="1">SUMIFS('DB N-1'!$AC:$AC,'DB N-1'!$AP:$AP,'Detail Cabang-New'!$C35,'DB N-1'!$AR:$AR,'Detail Cabang-New'!$M$1,'DB N-1'!$AT:$AT,"ALDA",'DB N-1'!$AV:$AV,1)</f>
        <v>8306000</v>
      </c>
      <c r="F35" s="28">
        <f>IFERROR(VLOOKUP($C35,'NEw Tgt Alda'!$I$2:$L$45,4,0),0)</f>
        <v>46972000</v>
      </c>
      <c r="G35" s="165">
        <f ca="1">SUMIFS(DB!$AC:$AC,DB!$AP:$AP,'Detail Cabang-New'!$C35,DB!$AT:$AT,"ALDA",DB!$AR:$AR,'Detail Cabang-New'!$P$1)</f>
        <v>0</v>
      </c>
      <c r="H35" s="34">
        <f t="shared" ca="1" si="0"/>
        <v>-46972000</v>
      </c>
      <c r="I35" s="34">
        <f t="shared" ca="1" si="1"/>
        <v>-8306000</v>
      </c>
      <c r="J35" s="34">
        <f t="shared" ca="1" si="2"/>
        <v>-51747000</v>
      </c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</row>
    <row r="36" spans="2:22" x14ac:dyDescent="0.3">
      <c r="B36" s="180" t="s">
        <v>233</v>
      </c>
      <c r="C36" s="169" t="s">
        <v>388</v>
      </c>
      <c r="D36" s="165">
        <f ca="1">SUMIFS('DB N-1'!$AC:$AC,'DB N-1'!$AP:$AP,'Detail Cabang-New'!$C36,'DB N-1'!$AR:$AR,'Detail Cabang-New'!$M$1,'DB N-1'!$AT:$AT,"ALDA")</f>
        <v>17000000</v>
      </c>
      <c r="E36" s="165">
        <f ca="1">SUMIFS('DB N-1'!$AC:$AC,'DB N-1'!$AP:$AP,'Detail Cabang-New'!$C36,'DB N-1'!$AR:$AR,'Detail Cabang-New'!$M$1,'DB N-1'!$AT:$AT,"ALDA",'DB N-1'!$AV:$AV,1)</f>
        <v>17000000</v>
      </c>
      <c r="F36" s="28">
        <f>IFERROR(VLOOKUP($C36,'NEw Tgt Alda'!$I$2:$L$45,4,0),0)</f>
        <v>22242000</v>
      </c>
      <c r="G36" s="165">
        <f ca="1">SUMIFS(DB!$AC:$AC,DB!$AP:$AP,'Detail Cabang-New'!$C36,DB!$AT:$AT,"ALDA",DB!$AR:$AR,'Detail Cabang-New'!$P$1)</f>
        <v>5350000</v>
      </c>
      <c r="H36" s="34">
        <f t="shared" ca="1" si="0"/>
        <v>-16892000</v>
      </c>
      <c r="I36" s="34">
        <f t="shared" ca="1" si="1"/>
        <v>-11650000</v>
      </c>
      <c r="J36" s="34">
        <f t="shared" ca="1" si="2"/>
        <v>-11650000</v>
      </c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</row>
    <row r="37" spans="2:22" ht="14.4" thickBot="1" x14ac:dyDescent="0.35">
      <c r="B37" s="181" t="s">
        <v>233</v>
      </c>
      <c r="C37" s="170" t="s">
        <v>560</v>
      </c>
      <c r="D37" s="171">
        <f ca="1">SUMIFS('DB N-1'!$AC:$AC,'DB N-1'!$AP:$AP,'Detail Cabang-New'!$C37,'DB N-1'!$AR:$AR,'Detail Cabang-New'!$M$1,'DB N-1'!$AT:$AT,"ALDA")</f>
        <v>3230000</v>
      </c>
      <c r="E37" s="171">
        <f ca="1">SUMIFS('DB N-1'!$AC:$AC,'DB N-1'!$AP:$AP,'Detail Cabang-New'!$C37,'DB N-1'!$AR:$AR,'Detail Cabang-New'!$M$1,'DB N-1'!$AT:$AT,"ALDA",'DB N-1'!$AV:$AV,1)</f>
        <v>0</v>
      </c>
      <c r="F37" s="29">
        <f>IFERROR(VLOOKUP($C37,'NEw Tgt Alda'!$I$2:$L$45,4,0),0)</f>
        <v>16690000</v>
      </c>
      <c r="G37" s="171">
        <f ca="1">SUMIFS(DB!$AC:$AC,DB!$AP:$AP,'Detail Cabang-New'!$C37,DB!$AT:$AT,"ALDA",DB!$AR:$AR,'Detail Cabang-New'!$P$1)</f>
        <v>0</v>
      </c>
      <c r="H37" s="37">
        <f t="shared" ca="1" si="0"/>
        <v>-16690000</v>
      </c>
      <c r="I37" s="37">
        <f t="shared" ca="1" si="1"/>
        <v>0</v>
      </c>
      <c r="J37" s="37">
        <f t="shared" ca="1" si="2"/>
        <v>-3230000</v>
      </c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</row>
    <row r="38" spans="2:22" x14ac:dyDescent="0.3">
      <c r="B38" s="180" t="s">
        <v>295</v>
      </c>
      <c r="C38" s="169" t="s">
        <v>199</v>
      </c>
      <c r="D38" s="165">
        <f ca="1">SUMIFS('DB N-1'!$AC:$AC,'DB N-1'!$AP:$AP,'Detail Cabang-New'!$C38,'DB N-1'!$AR:$AR,'Detail Cabang-New'!$M$1,'DB N-1'!$AT:$AT,"ALDA")</f>
        <v>17696402</v>
      </c>
      <c r="E38" s="165">
        <f ca="1">SUMIFS('DB N-1'!$AC:$AC,'DB N-1'!$AP:$AP,'Detail Cabang-New'!$C38,'DB N-1'!$AR:$AR,'Detail Cabang-New'!$M$1,'DB N-1'!$AT:$AT,"ALDA",'DB N-1'!$AV:$AV,1)</f>
        <v>0</v>
      </c>
      <c r="F38" s="28">
        <f>IFERROR(VLOOKUP($C38,'NEw Tgt Alda'!$I$2:$L$45,4,0),0)</f>
        <v>35300000</v>
      </c>
      <c r="G38" s="165">
        <f ca="1">SUMIFS(DB!$AC:$AC,DB!$AP:$AP,'Detail Cabang-New'!$C38,DB!$AT:$AT,"ALDA",DB!$AR:$AR,'Detail Cabang-New'!$P$1)</f>
        <v>0</v>
      </c>
      <c r="H38" s="34">
        <f t="shared" ca="1" si="0"/>
        <v>-35300000</v>
      </c>
      <c r="I38" s="34">
        <f t="shared" ca="1" si="1"/>
        <v>0</v>
      </c>
      <c r="J38" s="34">
        <f t="shared" ca="1" si="2"/>
        <v>-17696402</v>
      </c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</row>
    <row r="39" spans="2:22" x14ac:dyDescent="0.3">
      <c r="B39" s="180" t="s">
        <v>295</v>
      </c>
      <c r="C39" s="169" t="s">
        <v>362</v>
      </c>
      <c r="D39" s="165">
        <f ca="1">SUMIFS('DB N-1'!$AC:$AC,'DB N-1'!$AP:$AP,'Detail Cabang-New'!$C39,'DB N-1'!$AR:$AR,'Detail Cabang-New'!$M$1,'DB N-1'!$AT:$AT,"ALDA")</f>
        <v>2881150</v>
      </c>
      <c r="E39" s="165">
        <f ca="1">SUMIFS('DB N-1'!$AC:$AC,'DB N-1'!$AP:$AP,'Detail Cabang-New'!$C39,'DB N-1'!$AR:$AR,'Detail Cabang-New'!$M$1,'DB N-1'!$AT:$AT,"ALDA",'DB N-1'!$AV:$AV,1)</f>
        <v>0</v>
      </c>
      <c r="F39" s="28">
        <f>IFERROR(VLOOKUP($C39,'NEw Tgt Alda'!$I$2:$L$45,4,0),0)</f>
        <v>63090000</v>
      </c>
      <c r="G39" s="165">
        <f ca="1">SUMIFS(DB!$AC:$AC,DB!$AP:$AP,'Detail Cabang-New'!$C39,DB!$AT:$AT,"ALDA",DB!$AR:$AR,'Detail Cabang-New'!$P$1)</f>
        <v>0</v>
      </c>
      <c r="H39" s="34">
        <f t="shared" ca="1" si="0"/>
        <v>-63090000</v>
      </c>
      <c r="I39" s="34">
        <f t="shared" ca="1" si="1"/>
        <v>0</v>
      </c>
      <c r="J39" s="34">
        <f t="shared" ca="1" si="2"/>
        <v>-2881150</v>
      </c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</row>
    <row r="40" spans="2:22" x14ac:dyDescent="0.3">
      <c r="B40" s="180" t="s">
        <v>295</v>
      </c>
      <c r="C40" s="169" t="s">
        <v>37</v>
      </c>
      <c r="D40" s="165">
        <f ca="1">SUMIFS('DB N-1'!$AC:$AC,'DB N-1'!$AP:$AP,'Detail Cabang-New'!$C40,'DB N-1'!$AR:$AR,'Detail Cabang-New'!$M$1,'DB N-1'!$AT:$AT,"ALDA")</f>
        <v>7858350</v>
      </c>
      <c r="E40" s="165">
        <f ca="1">SUMIFS('DB N-1'!$AC:$AC,'DB N-1'!$AP:$AP,'Detail Cabang-New'!$C40,'DB N-1'!$AR:$AR,'Detail Cabang-New'!$M$1,'DB N-1'!$AT:$AT,"ALDA",'DB N-1'!$AV:$AV,1)</f>
        <v>2138350</v>
      </c>
      <c r="F40" s="28">
        <f>IFERROR(VLOOKUP($C40,'NEw Tgt Alda'!$I$2:$L$45,4,0),0)</f>
        <v>35745000</v>
      </c>
      <c r="G40" s="165">
        <f ca="1">SUMIFS(DB!$AC:$AC,DB!$AP:$AP,'Detail Cabang-New'!$C40,DB!$AT:$AT,"ALDA",DB!$AR:$AR,'Detail Cabang-New'!$P$1)</f>
        <v>21000</v>
      </c>
      <c r="H40" s="34">
        <f t="shared" ca="1" si="0"/>
        <v>-35724000</v>
      </c>
      <c r="I40" s="34">
        <f t="shared" ca="1" si="1"/>
        <v>-2117350</v>
      </c>
      <c r="J40" s="34">
        <f t="shared" ca="1" si="2"/>
        <v>-7837350</v>
      </c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</row>
    <row r="41" spans="2:22" ht="14.4" thickBot="1" x14ac:dyDescent="0.35">
      <c r="B41" s="181" t="s">
        <v>295</v>
      </c>
      <c r="C41" s="170" t="s">
        <v>557</v>
      </c>
      <c r="D41" s="171">
        <f ca="1">SUMIFS('DB N-1'!$AC:$AC,'DB N-1'!$AP:$AP,'Detail Cabang-New'!$C41,'DB N-1'!$AR:$AR,'Detail Cabang-New'!$M$1,'DB N-1'!$AT:$AT,"ALDA")</f>
        <v>12039000</v>
      </c>
      <c r="E41" s="171">
        <f ca="1">SUMIFS('DB N-1'!$AC:$AC,'DB N-1'!$AP:$AP,'Detail Cabang-New'!$C41,'DB N-1'!$AR:$AR,'Detail Cabang-New'!$M$1,'DB N-1'!$AT:$AT,"ALDA",'DB N-1'!$AV:$AV,1)</f>
        <v>0</v>
      </c>
      <c r="F41" s="29">
        <f>IFERROR(VLOOKUP($C41,'NEw Tgt Alda'!$I$2:$L$45,4,0),0)</f>
        <v>11457000</v>
      </c>
      <c r="G41" s="171">
        <f ca="1">SUMIFS(DB!$AC:$AC,DB!$AP:$AP,'Detail Cabang-New'!$C41,DB!$AT:$AT,"ALDA",DB!$AR:$AR,'Detail Cabang-New'!$P$1)</f>
        <v>0</v>
      </c>
      <c r="H41" s="37">
        <f t="shared" ca="1" si="0"/>
        <v>-11457000</v>
      </c>
      <c r="I41" s="37">
        <f t="shared" ca="1" si="1"/>
        <v>0</v>
      </c>
      <c r="J41" s="37">
        <f t="shared" ca="1" si="2"/>
        <v>-12039000</v>
      </c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</row>
    <row r="42" spans="2:22" x14ac:dyDescent="0.3">
      <c r="B42" s="180" t="s">
        <v>265</v>
      </c>
      <c r="C42" s="169" t="s">
        <v>43</v>
      </c>
      <c r="D42" s="165">
        <f ca="1">SUMIFS('DB N-1'!$AC:$AC,'DB N-1'!$AP:$AP,'Detail Cabang-New'!$C42,'DB N-1'!$AR:$AR,'Detail Cabang-New'!$M$1,'DB N-1'!$AT:$AT,"ALDA")</f>
        <v>1168925</v>
      </c>
      <c r="E42" s="165">
        <f ca="1">SUMIFS('DB N-1'!$AC:$AC,'DB N-1'!$AP:$AP,'Detail Cabang-New'!$C42,'DB N-1'!$AR:$AR,'Detail Cabang-New'!$M$1,'DB N-1'!$AT:$AT,"ALDA",'DB N-1'!$AV:$AV,1)</f>
        <v>897000</v>
      </c>
      <c r="F42" s="28">
        <f>IFERROR(VLOOKUP($C42,'NEw Tgt Alda'!$I$2:$L$45,4,0),0)</f>
        <v>23084000</v>
      </c>
      <c r="G42" s="165">
        <f ca="1">SUMIFS(DB!$AC:$AC,DB!$AP:$AP,'Detail Cabang-New'!$C42,DB!$AT:$AT,"ALDA",DB!$AR:$AR,'Detail Cabang-New'!$P$1)</f>
        <v>0</v>
      </c>
      <c r="H42" s="34">
        <f t="shared" ca="1" si="0"/>
        <v>-23084000</v>
      </c>
      <c r="I42" s="34">
        <f t="shared" ca="1" si="1"/>
        <v>-897000</v>
      </c>
      <c r="J42" s="34">
        <f t="shared" ca="1" si="2"/>
        <v>-1168925</v>
      </c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</row>
    <row r="43" spans="2:22" x14ac:dyDescent="0.3">
      <c r="B43" s="180" t="s">
        <v>265</v>
      </c>
      <c r="C43" s="169" t="s">
        <v>263</v>
      </c>
      <c r="D43" s="165">
        <f ca="1">SUMIFS('DB N-1'!$AC:$AC,'DB N-1'!$AP:$AP,'Detail Cabang-New'!$C43,'DB N-1'!$AR:$AR,'Detail Cabang-New'!$M$1,'DB N-1'!$AT:$AT,"ALDA")</f>
        <v>7650000</v>
      </c>
      <c r="E43" s="165">
        <f ca="1">SUMIFS('DB N-1'!$AC:$AC,'DB N-1'!$AP:$AP,'Detail Cabang-New'!$C43,'DB N-1'!$AR:$AR,'Detail Cabang-New'!$M$1,'DB N-1'!$AT:$AT,"ALDA",'DB N-1'!$AV:$AV,1)</f>
        <v>0</v>
      </c>
      <c r="F43" s="28">
        <f>IFERROR(VLOOKUP($C43,'NEw Tgt Alda'!$I$2:$L$45,4,0),0)</f>
        <v>145293000</v>
      </c>
      <c r="G43" s="165">
        <f ca="1">SUMIFS(DB!$AC:$AC,DB!$AP:$AP,'Detail Cabang-New'!$C43,DB!$AT:$AT,"ALDA",DB!$AR:$AR,'Detail Cabang-New'!$P$1)</f>
        <v>0</v>
      </c>
      <c r="H43" s="34">
        <f t="shared" ca="1" si="0"/>
        <v>-145293000</v>
      </c>
      <c r="I43" s="34">
        <f t="shared" ca="1" si="1"/>
        <v>0</v>
      </c>
      <c r="J43" s="34">
        <f t="shared" ca="1" si="2"/>
        <v>-7650000</v>
      </c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</row>
    <row r="44" spans="2:22" x14ac:dyDescent="0.3">
      <c r="B44" s="180" t="s">
        <v>265</v>
      </c>
      <c r="C44" s="169" t="s">
        <v>290</v>
      </c>
      <c r="D44" s="165">
        <f ca="1">SUMIFS('DB N-1'!$AC:$AC,'DB N-1'!$AP:$AP,'Detail Cabang-New'!$C44,'DB N-1'!$AR:$AR,'Detail Cabang-New'!$M$1,'DB N-1'!$AT:$AT,"ALDA")</f>
        <v>0</v>
      </c>
      <c r="E44" s="165">
        <f ca="1">SUMIFS('DB N-1'!$AC:$AC,'DB N-1'!$AP:$AP,'Detail Cabang-New'!$C44,'DB N-1'!$AR:$AR,'Detail Cabang-New'!$M$1,'DB N-1'!$AT:$AT,"ALDA",'DB N-1'!$AV:$AV,1)</f>
        <v>0</v>
      </c>
      <c r="F44" s="28">
        <f>IFERROR(VLOOKUP($C44,'NEw Tgt Alda'!$I$2:$L$45,4,0),0)</f>
        <v>32330000</v>
      </c>
      <c r="G44" s="165">
        <f ca="1">SUMIFS(DB!$AC:$AC,DB!$AP:$AP,'Detail Cabang-New'!$C44,DB!$AT:$AT,"ALDA",DB!$AR:$AR,'Detail Cabang-New'!$P$1)</f>
        <v>0</v>
      </c>
      <c r="H44" s="34">
        <f t="shared" ca="1" si="0"/>
        <v>-32330000</v>
      </c>
      <c r="I44" s="34">
        <f t="shared" ca="1" si="1"/>
        <v>0</v>
      </c>
      <c r="J44" s="34">
        <f t="shared" ca="1" si="2"/>
        <v>0</v>
      </c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</row>
    <row r="45" spans="2:22" ht="14.4" thickBot="1" x14ac:dyDescent="0.35">
      <c r="B45" s="181" t="s">
        <v>265</v>
      </c>
      <c r="C45" s="170" t="s">
        <v>288</v>
      </c>
      <c r="D45" s="171">
        <f ca="1">SUMIFS('DB N-1'!$AC:$AC,'DB N-1'!$AP:$AP,'Detail Cabang-New'!$C45,'DB N-1'!$AR:$AR,'Detail Cabang-New'!$M$1,'DB N-1'!$AT:$AT,"ALDA")</f>
        <v>25643575</v>
      </c>
      <c r="E45" s="171">
        <f ca="1">SUMIFS('DB N-1'!$AC:$AC,'DB N-1'!$AP:$AP,'Detail Cabang-New'!$C45,'DB N-1'!$AR:$AR,'Detail Cabang-New'!$M$1,'DB N-1'!$AT:$AT,"ALDA",'DB N-1'!$AV:$AV,1)</f>
        <v>106640</v>
      </c>
      <c r="F45" s="29">
        <f>IFERROR(VLOOKUP($C45,'NEw Tgt Alda'!$I$2:$L$45,4,0),0)</f>
        <v>164989000</v>
      </c>
      <c r="G45" s="171">
        <f ca="1">SUMIFS(DB!$AC:$AC,DB!$AP:$AP,'Detail Cabang-New'!$C45,DB!$AT:$AT,"ALDA",DB!$AR:$AR,'Detail Cabang-New'!$P$1)</f>
        <v>50000</v>
      </c>
      <c r="H45" s="37">
        <f t="shared" ca="1" si="0"/>
        <v>-164939000</v>
      </c>
      <c r="I45" s="37">
        <f t="shared" ca="1" si="1"/>
        <v>-56640</v>
      </c>
      <c r="J45" s="37">
        <f t="shared" ca="1" si="2"/>
        <v>-25593575</v>
      </c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</row>
    <row r="46" spans="2:22" x14ac:dyDescent="0.3">
      <c r="B46" s="180" t="s">
        <v>385</v>
      </c>
      <c r="C46" s="169" t="s">
        <v>383</v>
      </c>
      <c r="D46" s="165">
        <f ca="1">SUMIFS('DB N-1'!$AC:$AC,'DB N-1'!$AP:$AP,'Detail Cabang-New'!$C46,'DB N-1'!$AR:$AR,'Detail Cabang-New'!$M$1,'DB N-1'!$AT:$AT,"ALDA")</f>
        <v>13500000</v>
      </c>
      <c r="E46" s="165">
        <f ca="1">SUMIFS('DB N-1'!$AC:$AC,'DB N-1'!$AP:$AP,'Detail Cabang-New'!$C46,'DB N-1'!$AR:$AR,'Detail Cabang-New'!$M$1,'DB N-1'!$AT:$AT,"ALDA",'DB N-1'!$AV:$AV,1)</f>
        <v>0</v>
      </c>
      <c r="F46" s="28">
        <f>IFERROR(VLOOKUP($C46,'NEw Tgt Alda'!$I$2:$L$45,4,0),0)</f>
        <v>44937000</v>
      </c>
      <c r="G46" s="165">
        <f ca="1">SUMIFS(DB!$AC:$AC,DB!$AP:$AP,'Detail Cabang-New'!$C46,DB!$AT:$AT,"ALDA",DB!$AR:$AR,'Detail Cabang-New'!$P$1)</f>
        <v>0</v>
      </c>
      <c r="H46" s="34">
        <f t="shared" ca="1" si="0"/>
        <v>-44937000</v>
      </c>
      <c r="I46" s="34">
        <f t="shared" ca="1" si="1"/>
        <v>0</v>
      </c>
      <c r="J46" s="34">
        <f t="shared" ca="1" si="2"/>
        <v>-13500000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</row>
    <row r="47" spans="2:22" x14ac:dyDescent="0.3">
      <c r="B47" s="180" t="s">
        <v>385</v>
      </c>
      <c r="C47" s="169" t="s">
        <v>408</v>
      </c>
      <c r="D47" s="165">
        <f ca="1">SUMIFS('DB N-1'!$AC:$AC,'DB N-1'!$AP:$AP,'Detail Cabang-New'!$C47,'DB N-1'!$AR:$AR,'Detail Cabang-New'!$M$1,'DB N-1'!$AT:$AT,"ALDA")</f>
        <v>3616000</v>
      </c>
      <c r="E47" s="165">
        <f ca="1">SUMIFS('DB N-1'!$AC:$AC,'DB N-1'!$AP:$AP,'Detail Cabang-New'!$C47,'DB N-1'!$AR:$AR,'Detail Cabang-New'!$M$1,'DB N-1'!$AT:$AT,"ALDA",'DB N-1'!$AV:$AV,1)</f>
        <v>0</v>
      </c>
      <c r="F47" s="28">
        <f>IFERROR(VLOOKUP($C47,'NEw Tgt Alda'!$I$2:$L$45,4,0),0)</f>
        <v>63969000</v>
      </c>
      <c r="G47" s="165">
        <f ca="1">SUMIFS(DB!$AC:$AC,DB!$AP:$AP,'Detail Cabang-New'!$C47,DB!$AT:$AT,"ALDA",DB!$AR:$AR,'Detail Cabang-New'!$P$1)</f>
        <v>0</v>
      </c>
      <c r="H47" s="34">
        <f t="shared" ca="1" si="0"/>
        <v>-63969000</v>
      </c>
      <c r="I47" s="34">
        <f t="shared" ca="1" si="1"/>
        <v>0</v>
      </c>
      <c r="J47" s="34">
        <f t="shared" ca="1" si="2"/>
        <v>-3616000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</row>
    <row r="48" spans="2:22" ht="14.4" thickBot="1" x14ac:dyDescent="0.35">
      <c r="B48" s="182" t="s">
        <v>385</v>
      </c>
      <c r="C48" s="172" t="s">
        <v>554</v>
      </c>
      <c r="D48" s="173">
        <f ca="1">SUMIFS('DB N-1'!$AC:$AC,'DB N-1'!$AP:$AP,'Detail Cabang-New'!$C48,'DB N-1'!$AR:$AR,'Detail Cabang-New'!$M$1,'DB N-1'!$AT:$AT,"ALDA")</f>
        <v>0</v>
      </c>
      <c r="E48" s="173">
        <f ca="1">SUMIFS('DB N-1'!$AC:$AC,'DB N-1'!$AP:$AP,'Detail Cabang-New'!$C48,'DB N-1'!$AR:$AR,'Detail Cabang-New'!$M$1,'DB N-1'!$AT:$AT,"ALDA",'DB N-1'!$AV:$AV,1)</f>
        <v>0</v>
      </c>
      <c r="F48" s="30">
        <f>IFERROR(VLOOKUP($C48,'NEw Tgt Alda'!$I$2:$L$45,4,0),0)</f>
        <v>33960000</v>
      </c>
      <c r="G48" s="173">
        <f ca="1">SUMIFS(DB!$AC:$AC,DB!$AP:$AP,'Detail Cabang-New'!$C48,DB!$AT:$AT,"ALDA",DB!$AR:$AR,'Detail Cabang-New'!$P$1)</f>
        <v>0</v>
      </c>
      <c r="H48" s="38">
        <f t="shared" ca="1" si="0"/>
        <v>-33960000</v>
      </c>
      <c r="I48" s="38">
        <f t="shared" ca="1" si="1"/>
        <v>0</v>
      </c>
      <c r="J48" s="38">
        <f t="shared" ca="1" si="2"/>
        <v>0</v>
      </c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</row>
    <row r="49" spans="3:22" ht="14.4" thickTop="1" x14ac:dyDescent="0.3">
      <c r="C49" s="164" t="s">
        <v>246</v>
      </c>
      <c r="D49" s="174">
        <f t="shared" ref="D49:E57" ca="1" si="3">SUMIFS(D$4:D$48,$B$4:$B$48,$C49)</f>
        <v>49671365</v>
      </c>
      <c r="E49" s="174">
        <f t="shared" ca="1" si="3"/>
        <v>14359000</v>
      </c>
      <c r="F49" s="32">
        <f t="shared" ref="F49:G57" si="4">SUMIFS(F$4:F$48,$B$4:$B$48,$C49)</f>
        <v>945019000</v>
      </c>
      <c r="G49" s="174">
        <f t="shared" ca="1" si="4"/>
        <v>2571605</v>
      </c>
      <c r="H49" s="33">
        <f t="shared" ca="1" si="0"/>
        <v>-942447395</v>
      </c>
      <c r="I49" s="33">
        <f t="shared" ca="1" si="1"/>
        <v>-11787395</v>
      </c>
      <c r="J49" s="33">
        <f t="shared" ca="1" si="2"/>
        <v>-47099760</v>
      </c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  <row r="50" spans="3:22" x14ac:dyDescent="0.3">
      <c r="C50" s="166" t="s">
        <v>257</v>
      </c>
      <c r="D50" s="165">
        <f t="shared" ca="1" si="3"/>
        <v>26577116</v>
      </c>
      <c r="E50" s="165">
        <f t="shared" ca="1" si="3"/>
        <v>0</v>
      </c>
      <c r="F50" s="28">
        <f t="shared" si="4"/>
        <v>265993000</v>
      </c>
      <c r="G50" s="165">
        <f t="shared" ca="1" si="4"/>
        <v>0</v>
      </c>
      <c r="H50" s="34">
        <f t="shared" ca="1" si="0"/>
        <v>-265993000</v>
      </c>
      <c r="I50" s="34">
        <f t="shared" ca="1" si="1"/>
        <v>0</v>
      </c>
      <c r="J50" s="34">
        <f t="shared" ca="1" si="2"/>
        <v>-26577116</v>
      </c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</row>
    <row r="51" spans="3:22" x14ac:dyDescent="0.3">
      <c r="C51" s="166" t="s">
        <v>273</v>
      </c>
      <c r="D51" s="165">
        <f t="shared" ca="1" si="3"/>
        <v>35801835</v>
      </c>
      <c r="E51" s="165">
        <f t="shared" ca="1" si="3"/>
        <v>12221000</v>
      </c>
      <c r="F51" s="28">
        <f t="shared" si="4"/>
        <v>267123000</v>
      </c>
      <c r="G51" s="165">
        <f t="shared" ca="1" si="4"/>
        <v>3580</v>
      </c>
      <c r="H51" s="34">
        <f t="shared" ca="1" si="0"/>
        <v>-267119420</v>
      </c>
      <c r="I51" s="34">
        <f t="shared" ca="1" si="1"/>
        <v>-12217420</v>
      </c>
      <c r="J51" s="34">
        <f t="shared" ca="1" si="2"/>
        <v>-35798255</v>
      </c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</row>
    <row r="52" spans="3:22" x14ac:dyDescent="0.3">
      <c r="C52" s="166" t="s">
        <v>252</v>
      </c>
      <c r="D52" s="165">
        <f t="shared" ca="1" si="3"/>
        <v>89852060</v>
      </c>
      <c r="E52" s="165">
        <f t="shared" ca="1" si="3"/>
        <v>178800</v>
      </c>
      <c r="F52" s="28">
        <f t="shared" si="4"/>
        <v>186393000</v>
      </c>
      <c r="G52" s="165">
        <f t="shared" ca="1" si="4"/>
        <v>987600</v>
      </c>
      <c r="H52" s="34">
        <f t="shared" ca="1" si="0"/>
        <v>-185405400</v>
      </c>
      <c r="I52" s="34">
        <f t="shared" ca="1" si="1"/>
        <v>808800</v>
      </c>
      <c r="J52" s="34">
        <f t="shared" ca="1" si="2"/>
        <v>-88864460</v>
      </c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</row>
    <row r="53" spans="3:22" x14ac:dyDescent="0.3">
      <c r="C53" s="166" t="s">
        <v>228</v>
      </c>
      <c r="D53" s="165">
        <f t="shared" ca="1" si="3"/>
        <v>58804380</v>
      </c>
      <c r="E53" s="165">
        <f t="shared" ca="1" si="3"/>
        <v>5855900</v>
      </c>
      <c r="F53" s="28">
        <f t="shared" si="4"/>
        <v>320842000</v>
      </c>
      <c r="G53" s="165">
        <f t="shared" ca="1" si="4"/>
        <v>7845833</v>
      </c>
      <c r="H53" s="34">
        <f t="shared" ca="1" si="0"/>
        <v>-312996167</v>
      </c>
      <c r="I53" s="34">
        <f t="shared" ca="1" si="1"/>
        <v>1989933</v>
      </c>
      <c r="J53" s="34">
        <f t="shared" ca="1" si="2"/>
        <v>-50958547</v>
      </c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</row>
    <row r="54" spans="3:22" x14ac:dyDescent="0.3">
      <c r="C54" s="166" t="s">
        <v>233</v>
      </c>
      <c r="D54" s="165">
        <f t="shared" ca="1" si="3"/>
        <v>107830065</v>
      </c>
      <c r="E54" s="165">
        <f t="shared" ca="1" si="3"/>
        <v>25576070</v>
      </c>
      <c r="F54" s="28">
        <f t="shared" si="4"/>
        <v>360476000</v>
      </c>
      <c r="G54" s="165">
        <f t="shared" ca="1" si="4"/>
        <v>6744780</v>
      </c>
      <c r="H54" s="34">
        <f t="shared" ca="1" si="0"/>
        <v>-353731220</v>
      </c>
      <c r="I54" s="34">
        <f t="shared" ca="1" si="1"/>
        <v>-18831290</v>
      </c>
      <c r="J54" s="34">
        <f t="shared" ca="1" si="2"/>
        <v>-101085285</v>
      </c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</row>
    <row r="55" spans="3:22" x14ac:dyDescent="0.3">
      <c r="C55" s="166" t="s">
        <v>295</v>
      </c>
      <c r="D55" s="165">
        <f t="shared" ca="1" si="3"/>
        <v>40474902</v>
      </c>
      <c r="E55" s="165">
        <f t="shared" ca="1" si="3"/>
        <v>2138350</v>
      </c>
      <c r="F55" s="28">
        <f t="shared" si="4"/>
        <v>145592000</v>
      </c>
      <c r="G55" s="165">
        <f t="shared" ca="1" si="4"/>
        <v>21000</v>
      </c>
      <c r="H55" s="34">
        <f t="shared" ca="1" si="0"/>
        <v>-145571000</v>
      </c>
      <c r="I55" s="34">
        <f t="shared" ca="1" si="1"/>
        <v>-2117350</v>
      </c>
      <c r="J55" s="34">
        <f t="shared" ca="1" si="2"/>
        <v>-40453902</v>
      </c>
    </row>
    <row r="56" spans="3:22" x14ac:dyDescent="0.3">
      <c r="C56" s="166" t="s">
        <v>265</v>
      </c>
      <c r="D56" s="165">
        <f t="shared" ca="1" si="3"/>
        <v>34462500</v>
      </c>
      <c r="E56" s="165">
        <f t="shared" ca="1" si="3"/>
        <v>1003640</v>
      </c>
      <c r="F56" s="28">
        <f t="shared" si="4"/>
        <v>365696000</v>
      </c>
      <c r="G56" s="165">
        <f t="shared" ca="1" si="4"/>
        <v>50000</v>
      </c>
      <c r="H56" s="34">
        <f t="shared" ca="1" si="0"/>
        <v>-365646000</v>
      </c>
      <c r="I56" s="34">
        <f t="shared" ca="1" si="1"/>
        <v>-953640</v>
      </c>
      <c r="J56" s="34">
        <f t="shared" ca="1" si="2"/>
        <v>-34412500</v>
      </c>
    </row>
    <row r="57" spans="3:22" ht="14.4" thickBot="1" x14ac:dyDescent="0.35">
      <c r="C57" s="167" t="s">
        <v>385</v>
      </c>
      <c r="D57" s="168">
        <f t="shared" ca="1" si="3"/>
        <v>17116000</v>
      </c>
      <c r="E57" s="168">
        <f t="shared" ca="1" si="3"/>
        <v>0</v>
      </c>
      <c r="F57" s="31">
        <f t="shared" si="4"/>
        <v>142866000</v>
      </c>
      <c r="G57" s="168">
        <f t="shared" ca="1" si="4"/>
        <v>0</v>
      </c>
      <c r="H57" s="35">
        <f t="shared" ca="1" si="0"/>
        <v>-142866000</v>
      </c>
      <c r="I57" s="35">
        <f t="shared" ca="1" si="1"/>
        <v>0</v>
      </c>
      <c r="J57" s="35">
        <f t="shared" ca="1" si="2"/>
        <v>-17116000</v>
      </c>
    </row>
    <row r="58" spans="3:22" ht="16.8" thickTop="1" thickBot="1" x14ac:dyDescent="0.35">
      <c r="C58" s="254" t="s">
        <v>652</v>
      </c>
      <c r="D58" s="274">
        <f ca="1">SUM(D49:D57)</f>
        <v>460590223</v>
      </c>
      <c r="E58" s="274">
        <f t="shared" ref="E58" ca="1" si="5">SUM(E49:E57)</f>
        <v>61332760</v>
      </c>
      <c r="F58" s="255">
        <f>SUM(F49:F57)</f>
        <v>3000000000</v>
      </c>
      <c r="G58" s="274">
        <f t="shared" ref="G58" ca="1" si="6">SUM(G49:G57)</f>
        <v>18224398</v>
      </c>
      <c r="H58" s="275">
        <f t="shared" ca="1" si="0"/>
        <v>-2981775602</v>
      </c>
      <c r="I58" s="275">
        <f t="shared" ca="1" si="1"/>
        <v>-43108362</v>
      </c>
      <c r="J58" s="275">
        <f t="shared" ca="1" si="2"/>
        <v>-442365825</v>
      </c>
    </row>
    <row r="59" spans="3:22" ht="14.4" thickTop="1" x14ac:dyDescent="0.3"/>
  </sheetData>
  <conditionalFormatting sqref="H4:I40 H43:I44 H46:I58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H41:I41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H42:I42">
    <cfRule type="iconSet" priority="8">
      <iconSet iconSet="3Arrows">
        <cfvo type="percent" val="0"/>
        <cfvo type="num" val="0"/>
        <cfvo type="num" val="0" gte="0"/>
      </iconSet>
    </cfRule>
  </conditionalFormatting>
  <conditionalFormatting sqref="H45:I45">
    <cfRule type="iconSet" priority="6">
      <iconSet iconSet="3Arrows">
        <cfvo type="percent" val="0"/>
        <cfvo type="num" val="0"/>
        <cfvo type="num" val="0" gte="0"/>
      </iconSet>
    </cfRule>
  </conditionalFormatting>
  <conditionalFormatting sqref="H4:J58">
    <cfRule type="cellIs" dxfId="0" priority="2" operator="lessThan">
      <formula>0</formula>
    </cfRule>
  </conditionalFormatting>
  <conditionalFormatting sqref="J4:J40 J43:J44 J46:J58"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J41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J42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J45">
    <cfRule type="iconSet" priority="1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B1:N60"/>
  <sheetViews>
    <sheetView showGridLines="0" workbookViewId="0">
      <pane xSplit="3" ySplit="12" topLeftCell="D47" activePane="bottomRight" state="frozen"/>
      <selection activeCell="AJ28" sqref="AJ28:AJ29"/>
      <selection pane="topRight" activeCell="AJ28" sqref="AJ28:AJ29"/>
      <selection pane="bottomLeft" activeCell="AJ28" sqref="AJ28:AJ29"/>
      <selection pane="bottomRight" sqref="A1:XFD1048576"/>
    </sheetView>
  </sheetViews>
  <sheetFormatPr defaultColWidth="8.6640625" defaultRowHeight="13.8" x14ac:dyDescent="0.3"/>
  <cols>
    <col min="1" max="1" width="0.44140625" style="1" customWidth="1"/>
    <col min="2" max="3" width="20.6640625" style="1" customWidth="1"/>
    <col min="4" max="6" width="23.33203125" style="28" customWidth="1"/>
    <col min="7" max="8" width="1.88671875" style="1" customWidth="1"/>
    <col min="9" max="10" width="9.5546875" style="1" bestFit="1" customWidth="1"/>
    <col min="11" max="11" width="7.88671875" style="1" bestFit="1" customWidth="1"/>
    <col min="12" max="13" width="10.109375" style="1" bestFit="1" customWidth="1"/>
    <col min="14" max="14" width="10" style="1" bestFit="1" customWidth="1"/>
    <col min="15" max="16384" width="8.6640625" style="1"/>
  </cols>
  <sheetData>
    <row r="1" spans="2:14" s="179" customFormat="1" ht="24.9" customHeight="1" x14ac:dyDescent="0.3">
      <c r="B1" s="43" t="s">
        <v>772</v>
      </c>
      <c r="D1" s="271"/>
      <c r="E1" s="271"/>
      <c r="F1" s="271"/>
      <c r="I1" s="272"/>
      <c r="J1" s="273"/>
      <c r="K1" s="273"/>
      <c r="L1" s="272" t="str">
        <f ca="1">'Detail Cabang-New'!$P$1</f>
        <v>26-06</v>
      </c>
      <c r="M1" s="273"/>
      <c r="N1" s="272"/>
    </row>
    <row r="2" spans="2:14" ht="5.0999999999999996" customHeight="1" thickBot="1" x14ac:dyDescent="0.35">
      <c r="I2" s="56"/>
      <c r="J2" s="56"/>
      <c r="K2" s="56"/>
      <c r="L2" s="56"/>
      <c r="M2" s="56"/>
      <c r="N2" s="56"/>
    </row>
    <row r="3" spans="2:14" ht="20.100000000000001" customHeight="1" thickTop="1" thickBot="1" x14ac:dyDescent="0.35">
      <c r="B3" s="246" t="s">
        <v>209</v>
      </c>
      <c r="C3" s="246" t="s">
        <v>210</v>
      </c>
      <c r="D3" s="247" t="s">
        <v>773</v>
      </c>
      <c r="E3" s="276"/>
      <c r="F3" s="249" t="s">
        <v>771</v>
      </c>
      <c r="I3" s="57"/>
      <c r="J3" s="57"/>
      <c r="K3" s="57"/>
      <c r="L3" s="57"/>
      <c r="M3" s="57"/>
      <c r="N3" s="56"/>
    </row>
    <row r="4" spans="2:14" ht="20.100000000000001" customHeight="1" thickTop="1" thickBot="1" x14ac:dyDescent="0.35">
      <c r="B4" s="250"/>
      <c r="C4" s="250"/>
      <c r="D4" s="251" t="s">
        <v>45</v>
      </c>
      <c r="E4" s="252" t="s">
        <v>5</v>
      </c>
      <c r="F4" s="253"/>
      <c r="I4" s="57"/>
      <c r="J4" s="57"/>
      <c r="K4" s="57"/>
      <c r="L4" s="57"/>
      <c r="M4" s="57"/>
      <c r="N4" s="56"/>
    </row>
    <row r="5" spans="2:14" ht="14.4" thickTop="1" x14ac:dyDescent="0.3">
      <c r="B5" s="180" t="s">
        <v>246</v>
      </c>
      <c r="C5" s="169" t="s">
        <v>23</v>
      </c>
      <c r="D5" s="28">
        <f ca="1">SUMIFS(DB!$AC:$AC,DB!$AP:$AP,'Detail Cabang-By Portfolio'!$C5,DB!$AT:$AT,"ALDA",DB!$AR:$AR,'Detail Cabang-By Portfolio'!$L$1,DB!$E:$E,'Detail Cabang-By Portfolio'!D$4)</f>
        <v>0</v>
      </c>
      <c r="E5" s="59">
        <f ca="1">SUMIFS(DB!$AC:$AC,DB!$AP:$AP,'Detail Cabang-By Portfolio'!$C5,DB!$AT:$AT,"ALDA",DB!$AR:$AR,'Detail Cabang-By Portfolio'!$L$1,DB!$E:$E,'Detail Cabang-By Portfolio'!E$4)</f>
        <v>0</v>
      </c>
      <c r="F5" s="65">
        <f ca="1">SUM(D5:E5)</f>
        <v>0</v>
      </c>
      <c r="I5" s="58"/>
      <c r="J5" s="58"/>
      <c r="K5" s="58"/>
      <c r="L5" s="58"/>
      <c r="M5" s="58"/>
      <c r="N5" s="58"/>
    </row>
    <row r="6" spans="2:14" x14ac:dyDescent="0.3">
      <c r="B6" s="180" t="s">
        <v>246</v>
      </c>
      <c r="C6" s="169" t="s">
        <v>244</v>
      </c>
      <c r="D6" s="28">
        <f ca="1">SUMIFS(DB!$AC:$AC,DB!$AP:$AP,'Detail Cabang-By Portfolio'!$C6,DB!$AT:$AT,"ALDA",DB!$AR:$AR,'Detail Cabang-By Portfolio'!$L$1,DB!$E:$E,'Detail Cabang-By Portfolio'!D$4)</f>
        <v>0</v>
      </c>
      <c r="E6" s="59">
        <f ca="1">SUMIFS(DB!$AC:$AC,DB!$AP:$AP,'Detail Cabang-By Portfolio'!$C6,DB!$AT:$AT,"ALDA",DB!$AR:$AR,'Detail Cabang-By Portfolio'!$L$1,DB!$E:$E,'Detail Cabang-By Portfolio'!E$4)</f>
        <v>0</v>
      </c>
      <c r="F6" s="65">
        <f t="shared" ref="F6:F49" ca="1" si="0">SUM(D6:E6)</f>
        <v>0</v>
      </c>
      <c r="I6" s="58"/>
      <c r="J6" s="58"/>
      <c r="K6" s="58"/>
      <c r="L6" s="58"/>
      <c r="M6" s="58"/>
      <c r="N6" s="58"/>
    </row>
    <row r="7" spans="2:14" x14ac:dyDescent="0.3">
      <c r="B7" s="180" t="s">
        <v>246</v>
      </c>
      <c r="C7" s="169" t="s">
        <v>22</v>
      </c>
      <c r="D7" s="28">
        <f ca="1">SUMIFS(DB!$AC:$AC,DB!$AP:$AP,'Detail Cabang-By Portfolio'!$C7,DB!$AT:$AT,"ALDA",DB!$AR:$AR,'Detail Cabang-By Portfolio'!$L$1,DB!$E:$E,'Detail Cabang-By Portfolio'!D$4)</f>
        <v>0</v>
      </c>
      <c r="E7" s="59">
        <f ca="1">SUMIFS(DB!$AC:$AC,DB!$AP:$AP,'Detail Cabang-By Portfolio'!$C7,DB!$AT:$AT,"ALDA",DB!$AR:$AR,'Detail Cabang-By Portfolio'!$L$1,DB!$E:$E,'Detail Cabang-By Portfolio'!E$4)</f>
        <v>0</v>
      </c>
      <c r="F7" s="65">
        <f t="shared" ca="1" si="0"/>
        <v>0</v>
      </c>
      <c r="I7" s="58"/>
      <c r="J7" s="58"/>
      <c r="K7" s="58"/>
      <c r="L7" s="58"/>
      <c r="M7" s="58"/>
      <c r="N7" s="58"/>
    </row>
    <row r="8" spans="2:14" x14ac:dyDescent="0.3">
      <c r="B8" s="180" t="s">
        <v>246</v>
      </c>
      <c r="C8" s="169" t="s">
        <v>590</v>
      </c>
      <c r="D8" s="28">
        <f ca="1">SUMIFS(DB!$AC:$AC,DB!$AP:$AP,'Detail Cabang-By Portfolio'!$C8,DB!$AT:$AT,"ALDA",DB!$AR:$AR,'Detail Cabang-By Portfolio'!$L$1,DB!$E:$E,'Detail Cabang-By Portfolio'!D$4)</f>
        <v>16025</v>
      </c>
      <c r="E8" s="59">
        <f ca="1">SUMIFS(DB!$AC:$AC,DB!$AP:$AP,'Detail Cabang-By Portfolio'!$C8,DB!$AT:$AT,"ALDA",DB!$AR:$AR,'Detail Cabang-By Portfolio'!$L$1,DB!$E:$E,'Detail Cabang-By Portfolio'!E$4)</f>
        <v>0</v>
      </c>
      <c r="F8" s="65">
        <f t="shared" ca="1" si="0"/>
        <v>16025</v>
      </c>
    </row>
    <row r="9" spans="2:14" x14ac:dyDescent="0.3">
      <c r="B9" s="180" t="s">
        <v>246</v>
      </c>
      <c r="C9" s="169" t="s">
        <v>331</v>
      </c>
      <c r="D9" s="28">
        <f ca="1">SUMIFS(DB!$AC:$AC,DB!$AP:$AP,'Detail Cabang-By Portfolio'!$C9,DB!$AT:$AT,"ALDA",DB!$AR:$AR,'Detail Cabang-By Portfolio'!$L$1,DB!$E:$E,'Detail Cabang-By Portfolio'!D$4)</f>
        <v>0</v>
      </c>
      <c r="E9" s="59">
        <f ca="1">SUMIFS(DB!$AC:$AC,DB!$AP:$AP,'Detail Cabang-By Portfolio'!$C9,DB!$AT:$AT,"ALDA",DB!$AR:$AR,'Detail Cabang-By Portfolio'!$L$1,DB!$E:$E,'Detail Cabang-By Portfolio'!E$4)</f>
        <v>0</v>
      </c>
      <c r="F9" s="65">
        <f t="shared" ca="1" si="0"/>
        <v>0</v>
      </c>
    </row>
    <row r="10" spans="2:14" x14ac:dyDescent="0.3">
      <c r="B10" s="180" t="s">
        <v>246</v>
      </c>
      <c r="C10" s="169" t="s">
        <v>29</v>
      </c>
      <c r="D10" s="28">
        <f ca="1">SUMIFS(DB!$AC:$AC,DB!$AP:$AP,'Detail Cabang-By Portfolio'!$C10,DB!$AT:$AT,"ALDA",DB!$AR:$AR,'Detail Cabang-By Portfolio'!$L$1,DB!$E:$E,'Detail Cabang-By Portfolio'!D$4)</f>
        <v>2555580</v>
      </c>
      <c r="E10" s="59">
        <f ca="1">SUMIFS(DB!$AC:$AC,DB!$AP:$AP,'Detail Cabang-By Portfolio'!$C10,DB!$AT:$AT,"ALDA",DB!$AR:$AR,'Detail Cabang-By Portfolio'!$L$1,DB!$E:$E,'Detail Cabang-By Portfolio'!E$4)</f>
        <v>0</v>
      </c>
      <c r="F10" s="65">
        <f t="shared" ca="1" si="0"/>
        <v>2555580</v>
      </c>
    </row>
    <row r="11" spans="2:14" x14ac:dyDescent="0.3">
      <c r="B11" s="180" t="s">
        <v>246</v>
      </c>
      <c r="C11" s="169" t="s">
        <v>269</v>
      </c>
      <c r="D11" s="28">
        <f ca="1">SUMIFS(DB!$AC:$AC,DB!$AP:$AP,'Detail Cabang-By Portfolio'!$C11,DB!$AT:$AT,"ALDA",DB!$AR:$AR,'Detail Cabang-By Portfolio'!$L$1,DB!$E:$E,'Detail Cabang-By Portfolio'!D$4)</f>
        <v>0</v>
      </c>
      <c r="E11" s="59">
        <f ca="1">SUMIFS(DB!$AC:$AC,DB!$AP:$AP,'Detail Cabang-By Portfolio'!$C11,DB!$AT:$AT,"ALDA",DB!$AR:$AR,'Detail Cabang-By Portfolio'!$L$1,DB!$E:$E,'Detail Cabang-By Portfolio'!E$4)</f>
        <v>0</v>
      </c>
      <c r="F11" s="65">
        <f t="shared" ca="1" si="0"/>
        <v>0</v>
      </c>
    </row>
    <row r="12" spans="2:14" ht="14.4" thickBot="1" x14ac:dyDescent="0.35">
      <c r="B12" s="181" t="s">
        <v>246</v>
      </c>
      <c r="C12" s="170" t="s">
        <v>28</v>
      </c>
      <c r="D12" s="29">
        <f ca="1">SUMIFS(DB!$AC:$AC,DB!$AP:$AP,'Detail Cabang-By Portfolio'!$C12,DB!$AT:$AT,"ALDA",DB!$AR:$AR,'Detail Cabang-By Portfolio'!$L$1,DB!$E:$E,'Detail Cabang-By Portfolio'!D$4)</f>
        <v>0</v>
      </c>
      <c r="E12" s="60">
        <f ca="1">SUMIFS(DB!$AC:$AC,DB!$AP:$AP,'Detail Cabang-By Portfolio'!$C12,DB!$AT:$AT,"ALDA",DB!$AR:$AR,'Detail Cabang-By Portfolio'!$L$1,DB!$E:$E,'Detail Cabang-By Portfolio'!E$4)</f>
        <v>0</v>
      </c>
      <c r="F12" s="277">
        <f t="shared" ca="1" si="0"/>
        <v>0</v>
      </c>
    </row>
    <row r="13" spans="2:14" x14ac:dyDescent="0.3">
      <c r="B13" s="180" t="s">
        <v>257</v>
      </c>
      <c r="C13" s="169" t="s">
        <v>30</v>
      </c>
      <c r="D13" s="28">
        <f ca="1">SUMIFS(DB!$AC:$AC,DB!$AP:$AP,'Detail Cabang-By Portfolio'!$C13,DB!$AT:$AT,"ALDA",DB!$AR:$AR,'Detail Cabang-By Portfolio'!$L$1,DB!$E:$E,'Detail Cabang-By Portfolio'!D$4)</f>
        <v>0</v>
      </c>
      <c r="E13" s="59">
        <f ca="1">SUMIFS(DB!$AC:$AC,DB!$AP:$AP,'Detail Cabang-By Portfolio'!$C13,DB!$AT:$AT,"ALDA",DB!$AR:$AR,'Detail Cabang-By Portfolio'!$L$1,DB!$E:$E,'Detail Cabang-By Portfolio'!E$4)</f>
        <v>0</v>
      </c>
      <c r="F13" s="65">
        <f t="shared" ca="1" si="0"/>
        <v>0</v>
      </c>
    </row>
    <row r="14" spans="2:14" x14ac:dyDescent="0.3">
      <c r="B14" s="180" t="s">
        <v>257</v>
      </c>
      <c r="C14" s="169" t="s">
        <v>309</v>
      </c>
      <c r="D14" s="28">
        <f ca="1">SUMIFS(DB!$AC:$AC,DB!$AP:$AP,'Detail Cabang-By Portfolio'!$C14,DB!$AT:$AT,"ALDA",DB!$AR:$AR,'Detail Cabang-By Portfolio'!$L$1,DB!$E:$E,'Detail Cabang-By Portfolio'!D$4)</f>
        <v>0</v>
      </c>
      <c r="E14" s="59">
        <f ca="1">SUMIFS(DB!$AC:$AC,DB!$AP:$AP,'Detail Cabang-By Portfolio'!$C14,DB!$AT:$AT,"ALDA",DB!$AR:$AR,'Detail Cabang-By Portfolio'!$L$1,DB!$E:$E,'Detail Cabang-By Portfolio'!E$4)</f>
        <v>0</v>
      </c>
      <c r="F14" s="65">
        <f t="shared" ca="1" si="0"/>
        <v>0</v>
      </c>
    </row>
    <row r="15" spans="2:14" ht="14.4" thickBot="1" x14ac:dyDescent="0.35">
      <c r="B15" s="181" t="s">
        <v>257</v>
      </c>
      <c r="C15" s="170" t="s">
        <v>25</v>
      </c>
      <c r="D15" s="29">
        <f ca="1">SUMIFS(DB!$AC:$AC,DB!$AP:$AP,'Detail Cabang-By Portfolio'!$C15,DB!$AT:$AT,"ALDA",DB!$AR:$AR,'Detail Cabang-By Portfolio'!$L$1,DB!$E:$E,'Detail Cabang-By Portfolio'!D$4)</f>
        <v>0</v>
      </c>
      <c r="E15" s="60">
        <f ca="1">SUMIFS(DB!$AC:$AC,DB!$AP:$AP,'Detail Cabang-By Portfolio'!$C15,DB!$AT:$AT,"ALDA",DB!$AR:$AR,'Detail Cabang-By Portfolio'!$L$1,DB!$E:$E,'Detail Cabang-By Portfolio'!E$4)</f>
        <v>0</v>
      </c>
      <c r="F15" s="277">
        <f t="shared" ca="1" si="0"/>
        <v>0</v>
      </c>
    </row>
    <row r="16" spans="2:14" x14ac:dyDescent="0.3">
      <c r="B16" s="180" t="s">
        <v>273</v>
      </c>
      <c r="C16" s="169" t="s">
        <v>38</v>
      </c>
      <c r="D16" s="28">
        <f ca="1">SUMIFS(DB!$AC:$AC,DB!$AP:$AP,'Detail Cabang-By Portfolio'!$C16,DB!$AT:$AT,"ALDA",DB!$AR:$AR,'Detail Cabang-By Portfolio'!$L$1,DB!$E:$E,'Detail Cabang-By Portfolio'!D$4)</f>
        <v>0</v>
      </c>
      <c r="E16" s="59">
        <f ca="1">SUMIFS(DB!$AC:$AC,DB!$AP:$AP,'Detail Cabang-By Portfolio'!$C16,DB!$AT:$AT,"ALDA",DB!$AR:$AR,'Detail Cabang-By Portfolio'!$L$1,DB!$E:$E,'Detail Cabang-By Portfolio'!E$4)</f>
        <v>0</v>
      </c>
      <c r="F16" s="65">
        <f t="shared" ca="1" si="0"/>
        <v>0</v>
      </c>
    </row>
    <row r="17" spans="2:6" x14ac:dyDescent="0.3">
      <c r="B17" s="180" t="s">
        <v>273</v>
      </c>
      <c r="C17" s="169" t="s">
        <v>27</v>
      </c>
      <c r="D17" s="28">
        <f ca="1">SUMIFS(DB!$AC:$AC,DB!$AP:$AP,'Detail Cabang-By Portfolio'!$C17,DB!$AT:$AT,"ALDA",DB!$AR:$AR,'Detail Cabang-By Portfolio'!$L$1,DB!$E:$E,'Detail Cabang-By Portfolio'!D$4)</f>
        <v>0</v>
      </c>
      <c r="E17" s="59">
        <f ca="1">SUMIFS(DB!$AC:$AC,DB!$AP:$AP,'Detail Cabang-By Portfolio'!$C17,DB!$AT:$AT,"ALDA",DB!$AR:$AR,'Detail Cabang-By Portfolio'!$L$1,DB!$E:$E,'Detail Cabang-By Portfolio'!E$4)</f>
        <v>0</v>
      </c>
      <c r="F17" s="65">
        <f t="shared" ca="1" si="0"/>
        <v>0</v>
      </c>
    </row>
    <row r="18" spans="2:6" x14ac:dyDescent="0.3">
      <c r="B18" s="180" t="s">
        <v>273</v>
      </c>
      <c r="C18" s="169" t="s">
        <v>33</v>
      </c>
      <c r="D18" s="28">
        <f ca="1">SUMIFS(DB!$AC:$AC,DB!$AP:$AP,'Detail Cabang-By Portfolio'!$C18,DB!$AT:$AT,"ALDA",DB!$AR:$AR,'Detail Cabang-By Portfolio'!$L$1,DB!$E:$E,'Detail Cabang-By Portfolio'!D$4)</f>
        <v>0</v>
      </c>
      <c r="E18" s="59">
        <f ca="1">SUMIFS(DB!$AC:$AC,DB!$AP:$AP,'Detail Cabang-By Portfolio'!$C18,DB!$AT:$AT,"ALDA",DB!$AR:$AR,'Detail Cabang-By Portfolio'!$L$1,DB!$E:$E,'Detail Cabang-By Portfolio'!E$4)</f>
        <v>0</v>
      </c>
      <c r="F18" s="65">
        <f t="shared" ca="1" si="0"/>
        <v>0</v>
      </c>
    </row>
    <row r="19" spans="2:6" x14ac:dyDescent="0.3">
      <c r="B19" s="180" t="s">
        <v>273</v>
      </c>
      <c r="C19" s="169" t="s">
        <v>32</v>
      </c>
      <c r="D19" s="28">
        <f ca="1">SUMIFS(DB!$AC:$AC,DB!$AP:$AP,'Detail Cabang-By Portfolio'!$C19,DB!$AT:$AT,"ALDA",DB!$AR:$AR,'Detail Cabang-By Portfolio'!$L$1,DB!$E:$E,'Detail Cabang-By Portfolio'!D$4)</f>
        <v>0</v>
      </c>
      <c r="E19" s="59">
        <f ca="1">SUMIFS(DB!$AC:$AC,DB!$AP:$AP,'Detail Cabang-By Portfolio'!$C19,DB!$AT:$AT,"ALDA",DB!$AR:$AR,'Detail Cabang-By Portfolio'!$L$1,DB!$E:$E,'Detail Cabang-By Portfolio'!E$4)</f>
        <v>3580</v>
      </c>
      <c r="F19" s="65">
        <f t="shared" ca="1" si="0"/>
        <v>3580</v>
      </c>
    </row>
    <row r="20" spans="2:6" x14ac:dyDescent="0.3">
      <c r="B20" s="180" t="s">
        <v>273</v>
      </c>
      <c r="C20" s="169" t="s">
        <v>307</v>
      </c>
      <c r="D20" s="28">
        <f ca="1">SUMIFS(DB!$AC:$AC,DB!$AP:$AP,'Detail Cabang-By Portfolio'!$C20,DB!$AT:$AT,"ALDA",DB!$AR:$AR,'Detail Cabang-By Portfolio'!$L$1,DB!$E:$E,'Detail Cabang-By Portfolio'!D$4)</f>
        <v>0</v>
      </c>
      <c r="E20" s="59">
        <f ca="1">SUMIFS(DB!$AC:$AC,DB!$AP:$AP,'Detail Cabang-By Portfolio'!$C20,DB!$AT:$AT,"ALDA",DB!$AR:$AR,'Detail Cabang-By Portfolio'!$L$1,DB!$E:$E,'Detail Cabang-By Portfolio'!E$4)</f>
        <v>0</v>
      </c>
      <c r="F20" s="65">
        <f t="shared" ca="1" si="0"/>
        <v>0</v>
      </c>
    </row>
    <row r="21" spans="2:6" ht="14.4" thickBot="1" x14ac:dyDescent="0.35">
      <c r="B21" s="181" t="s">
        <v>273</v>
      </c>
      <c r="C21" s="170" t="s">
        <v>274</v>
      </c>
      <c r="D21" s="29">
        <f ca="1">SUMIFS(DB!$AC:$AC,DB!$AP:$AP,'Detail Cabang-By Portfolio'!$C21,DB!$AT:$AT,"ALDA",DB!$AR:$AR,'Detail Cabang-By Portfolio'!$L$1,DB!$E:$E,'Detail Cabang-By Portfolio'!D$4)</f>
        <v>0</v>
      </c>
      <c r="E21" s="60">
        <f ca="1">SUMIFS(DB!$AC:$AC,DB!$AP:$AP,'Detail Cabang-By Portfolio'!$C21,DB!$AT:$AT,"ALDA",DB!$AR:$AR,'Detail Cabang-By Portfolio'!$L$1,DB!$E:$E,'Detail Cabang-By Portfolio'!E$4)</f>
        <v>0</v>
      </c>
      <c r="F21" s="277">
        <f t="shared" ca="1" si="0"/>
        <v>0</v>
      </c>
    </row>
    <row r="22" spans="2:6" x14ac:dyDescent="0.3">
      <c r="B22" s="180" t="s">
        <v>252</v>
      </c>
      <c r="C22" s="169" t="s">
        <v>36</v>
      </c>
      <c r="D22" s="28">
        <f ca="1">SUMIFS(DB!$AC:$AC,DB!$AP:$AP,'Detail Cabang-By Portfolio'!$C22,DB!$AT:$AT,"ALDA",DB!$AR:$AR,'Detail Cabang-By Portfolio'!$L$1,DB!$E:$E,'Detail Cabang-By Portfolio'!D$4)</f>
        <v>0</v>
      </c>
      <c r="E22" s="59">
        <f ca="1">SUMIFS(DB!$AC:$AC,DB!$AP:$AP,'Detail Cabang-By Portfolio'!$C22,DB!$AT:$AT,"ALDA",DB!$AR:$AR,'Detail Cabang-By Portfolio'!$L$1,DB!$E:$E,'Detail Cabang-By Portfolio'!E$4)</f>
        <v>89400</v>
      </c>
      <c r="F22" s="65">
        <f t="shared" ca="1" si="0"/>
        <v>89400</v>
      </c>
    </row>
    <row r="23" spans="2:6" x14ac:dyDescent="0.3">
      <c r="B23" s="180" t="s">
        <v>252</v>
      </c>
      <c r="C23" s="169" t="s">
        <v>24</v>
      </c>
      <c r="D23" s="28">
        <f ca="1">SUMIFS(DB!$AC:$AC,DB!$AP:$AP,'Detail Cabang-By Portfolio'!$C23,DB!$AT:$AT,"ALDA",DB!$AR:$AR,'Detail Cabang-By Portfolio'!$L$1,DB!$E:$E,'Detail Cabang-By Portfolio'!D$4)</f>
        <v>0</v>
      </c>
      <c r="E23" s="59">
        <f ca="1">SUMIFS(DB!$AC:$AC,DB!$AP:$AP,'Detail Cabang-By Portfolio'!$C23,DB!$AT:$AT,"ALDA",DB!$AR:$AR,'Detail Cabang-By Portfolio'!$L$1,DB!$E:$E,'Detail Cabang-By Portfolio'!E$4)</f>
        <v>0</v>
      </c>
      <c r="F23" s="65">
        <f t="shared" ca="1" si="0"/>
        <v>0</v>
      </c>
    </row>
    <row r="24" spans="2:6" x14ac:dyDescent="0.3">
      <c r="B24" s="180" t="s">
        <v>252</v>
      </c>
      <c r="C24" s="169" t="s">
        <v>31</v>
      </c>
      <c r="D24" s="28">
        <f ca="1">SUMIFS(DB!$AC:$AC,DB!$AP:$AP,'Detail Cabang-By Portfolio'!$C24,DB!$AT:$AT,"ALDA",DB!$AR:$AR,'Detail Cabang-By Portfolio'!$L$1,DB!$E:$E,'Detail Cabang-By Portfolio'!D$4)</f>
        <v>0</v>
      </c>
      <c r="E24" s="59">
        <f ca="1">SUMIFS(DB!$AC:$AC,DB!$AP:$AP,'Detail Cabang-By Portfolio'!$C24,DB!$AT:$AT,"ALDA",DB!$AR:$AR,'Detail Cabang-By Portfolio'!$L$1,DB!$E:$E,'Detail Cabang-By Portfolio'!E$4)</f>
        <v>189000</v>
      </c>
      <c r="F24" s="65">
        <f t="shared" ca="1" si="0"/>
        <v>189000</v>
      </c>
    </row>
    <row r="25" spans="2:6" ht="14.4" thickBot="1" x14ac:dyDescent="0.35">
      <c r="B25" s="181" t="s">
        <v>252</v>
      </c>
      <c r="C25" s="170" t="s">
        <v>34</v>
      </c>
      <c r="D25" s="29">
        <f ca="1">SUMIFS(DB!$AC:$AC,DB!$AP:$AP,'Detail Cabang-By Portfolio'!$C25,DB!$AT:$AT,"ALDA",DB!$AR:$AR,'Detail Cabang-By Portfolio'!$L$1,DB!$E:$E,'Detail Cabang-By Portfolio'!D$4)</f>
        <v>709200</v>
      </c>
      <c r="E25" s="60">
        <f ca="1">SUMIFS(DB!$AC:$AC,DB!$AP:$AP,'Detail Cabang-By Portfolio'!$C25,DB!$AT:$AT,"ALDA",DB!$AR:$AR,'Detail Cabang-By Portfolio'!$L$1,DB!$E:$E,'Detail Cabang-By Portfolio'!E$4)</f>
        <v>0</v>
      </c>
      <c r="F25" s="277">
        <f t="shared" ca="1" si="0"/>
        <v>709200</v>
      </c>
    </row>
    <row r="26" spans="2:6" x14ac:dyDescent="0.3">
      <c r="B26" s="180" t="s">
        <v>228</v>
      </c>
      <c r="C26" s="169" t="s">
        <v>18</v>
      </c>
      <c r="D26" s="28">
        <f ca="1">SUMIFS(DB!$AC:$AC,DB!$AP:$AP,'Detail Cabang-By Portfolio'!$C26,DB!$AT:$AT,"ALDA",DB!$AR:$AR,'Detail Cabang-By Portfolio'!$L$1,DB!$E:$E,'Detail Cabang-By Portfolio'!D$4)</f>
        <v>0</v>
      </c>
      <c r="E26" s="59">
        <f ca="1">SUMIFS(DB!$AC:$AC,DB!$AP:$AP,'Detail Cabang-By Portfolio'!$C26,DB!$AT:$AT,"ALDA",DB!$AR:$AR,'Detail Cabang-By Portfolio'!$L$1,DB!$E:$E,'Detail Cabang-By Portfolio'!E$4)</f>
        <v>0</v>
      </c>
      <c r="F26" s="65">
        <f t="shared" ca="1" si="0"/>
        <v>0</v>
      </c>
    </row>
    <row r="27" spans="2:6" x14ac:dyDescent="0.3">
      <c r="B27" s="180" t="s">
        <v>228</v>
      </c>
      <c r="C27" s="169" t="s">
        <v>8</v>
      </c>
      <c r="D27" s="28">
        <f ca="1">SUMIFS(DB!$AC:$AC,DB!$AP:$AP,'Detail Cabang-By Portfolio'!$C27,DB!$AT:$AT,"ALDA",DB!$AR:$AR,'Detail Cabang-By Portfolio'!$L$1,DB!$E:$E,'Detail Cabang-By Portfolio'!D$4)</f>
        <v>1510916</v>
      </c>
      <c r="E27" s="59">
        <f ca="1">SUMIFS(DB!$AC:$AC,DB!$AP:$AP,'Detail Cabang-By Portfolio'!$C27,DB!$AT:$AT,"ALDA",DB!$AR:$AR,'Detail Cabang-By Portfolio'!$L$1,DB!$E:$E,'Detail Cabang-By Portfolio'!E$4)</f>
        <v>0</v>
      </c>
      <c r="F27" s="65">
        <f t="shared" ca="1" si="0"/>
        <v>1510916</v>
      </c>
    </row>
    <row r="28" spans="2:6" x14ac:dyDescent="0.3">
      <c r="B28" s="180" t="s">
        <v>228</v>
      </c>
      <c r="C28" s="169" t="s">
        <v>173</v>
      </c>
      <c r="D28" s="28">
        <f ca="1">SUMIFS(DB!$AC:$AC,DB!$AP:$AP,'Detail Cabang-By Portfolio'!$C28,DB!$AT:$AT,"ALDA",DB!$AR:$AR,'Detail Cabang-By Portfolio'!$L$1,DB!$E:$E,'Detail Cabang-By Portfolio'!D$4)</f>
        <v>0</v>
      </c>
      <c r="E28" s="59">
        <f ca="1">SUMIFS(DB!$AC:$AC,DB!$AP:$AP,'Detail Cabang-By Portfolio'!$C28,DB!$AT:$AT,"ALDA",DB!$AR:$AR,'Detail Cabang-By Portfolio'!$L$1,DB!$E:$E,'Detail Cabang-By Portfolio'!E$4)</f>
        <v>0</v>
      </c>
      <c r="F28" s="65">
        <f t="shared" ca="1" si="0"/>
        <v>0</v>
      </c>
    </row>
    <row r="29" spans="2:6" x14ac:dyDescent="0.3">
      <c r="B29" s="180" t="s">
        <v>228</v>
      </c>
      <c r="C29" s="169" t="s">
        <v>176</v>
      </c>
      <c r="D29" s="28">
        <f ca="1">SUMIFS(DB!$AC:$AC,DB!$AP:$AP,'Detail Cabang-By Portfolio'!$C29,DB!$AT:$AT,"ALDA",DB!$AR:$AR,'Detail Cabang-By Portfolio'!$L$1,DB!$E:$E,'Detail Cabang-By Portfolio'!D$4)</f>
        <v>0</v>
      </c>
      <c r="E29" s="59">
        <f ca="1">SUMIFS(DB!$AC:$AC,DB!$AP:$AP,'Detail Cabang-By Portfolio'!$C29,DB!$AT:$AT,"ALDA",DB!$AR:$AR,'Detail Cabang-By Portfolio'!$L$1,DB!$E:$E,'Detail Cabang-By Portfolio'!E$4)</f>
        <v>0</v>
      </c>
      <c r="F29" s="65">
        <f t="shared" ca="1" si="0"/>
        <v>0</v>
      </c>
    </row>
    <row r="30" spans="2:6" x14ac:dyDescent="0.3">
      <c r="B30" s="180" t="s">
        <v>228</v>
      </c>
      <c r="C30" s="169" t="s">
        <v>42</v>
      </c>
      <c r="D30" s="28">
        <f ca="1">SUMIFS(DB!$AC:$AC,DB!$AP:$AP,'Detail Cabang-By Portfolio'!$C30,DB!$AT:$AT,"ALDA",DB!$AR:$AR,'Detail Cabang-By Portfolio'!$L$1,DB!$E:$E,'Detail Cabang-By Portfolio'!D$4)</f>
        <v>3363875</v>
      </c>
      <c r="E30" s="59">
        <f ca="1">SUMIFS(DB!$AC:$AC,DB!$AP:$AP,'Detail Cabang-By Portfolio'!$C30,DB!$AT:$AT,"ALDA",DB!$AR:$AR,'Detail Cabang-By Portfolio'!$L$1,DB!$E:$E,'Detail Cabang-By Portfolio'!E$4)</f>
        <v>0</v>
      </c>
      <c r="F30" s="65">
        <f t="shared" ca="1" si="0"/>
        <v>3363875</v>
      </c>
    </row>
    <row r="31" spans="2:6" x14ac:dyDescent="0.3">
      <c r="B31" s="180" t="s">
        <v>228</v>
      </c>
      <c r="C31" s="169" t="s">
        <v>19</v>
      </c>
      <c r="D31" s="28">
        <f ca="1">SUMIFS(DB!$AC:$AC,DB!$AP:$AP,'Detail Cabang-By Portfolio'!$C31,DB!$AT:$AT,"ALDA",DB!$AR:$AR,'Detail Cabang-By Portfolio'!$L$1,DB!$E:$E,'Detail Cabang-By Portfolio'!D$4)</f>
        <v>0</v>
      </c>
      <c r="E31" s="59">
        <f ca="1">SUMIFS(DB!$AC:$AC,DB!$AP:$AP,'Detail Cabang-By Portfolio'!$C31,DB!$AT:$AT,"ALDA",DB!$AR:$AR,'Detail Cabang-By Portfolio'!$L$1,DB!$E:$E,'Detail Cabang-By Portfolio'!E$4)</f>
        <v>307000</v>
      </c>
      <c r="F31" s="65">
        <f t="shared" ca="1" si="0"/>
        <v>307000</v>
      </c>
    </row>
    <row r="32" spans="2:6" ht="14.4" thickBot="1" x14ac:dyDescent="0.35">
      <c r="B32" s="181" t="s">
        <v>228</v>
      </c>
      <c r="C32" s="170" t="s">
        <v>10</v>
      </c>
      <c r="D32" s="29">
        <f ca="1">SUMIFS(DB!$AC:$AC,DB!$AP:$AP,'Detail Cabang-By Portfolio'!$C32,DB!$AT:$AT,"ALDA",DB!$AR:$AR,'Detail Cabang-By Portfolio'!$L$1,DB!$E:$E,'Detail Cabang-By Portfolio'!D$4)</f>
        <v>2664042</v>
      </c>
      <c r="E32" s="60">
        <f ca="1">SUMIFS(DB!$AC:$AC,DB!$AP:$AP,'Detail Cabang-By Portfolio'!$C32,DB!$AT:$AT,"ALDA",DB!$AR:$AR,'Detail Cabang-By Portfolio'!$L$1,DB!$E:$E,'Detail Cabang-By Portfolio'!E$4)</f>
        <v>0</v>
      </c>
      <c r="F32" s="277">
        <f t="shared" ca="1" si="0"/>
        <v>2664042</v>
      </c>
    </row>
    <row r="33" spans="2:6" x14ac:dyDescent="0.3">
      <c r="B33" s="180" t="s">
        <v>233</v>
      </c>
      <c r="C33" s="169" t="s">
        <v>346</v>
      </c>
      <c r="D33" s="28">
        <f ca="1">SUMIFS(DB!$AC:$AC,DB!$AP:$AP,'Detail Cabang-By Portfolio'!$C33,DB!$AT:$AT,"ALDA",DB!$AR:$AR,'Detail Cabang-By Portfolio'!$L$1,DB!$E:$E,'Detail Cabang-By Portfolio'!D$4)</f>
        <v>0</v>
      </c>
      <c r="E33" s="59">
        <f ca="1">SUMIFS(DB!$AC:$AC,DB!$AP:$AP,'Detail Cabang-By Portfolio'!$C33,DB!$AT:$AT,"ALDA",DB!$AR:$AR,'Detail Cabang-By Portfolio'!$L$1,DB!$E:$E,'Detail Cabang-By Portfolio'!E$4)</f>
        <v>0</v>
      </c>
      <c r="F33" s="65">
        <f t="shared" ca="1" si="0"/>
        <v>0</v>
      </c>
    </row>
    <row r="34" spans="2:6" x14ac:dyDescent="0.3">
      <c r="B34" s="180" t="s">
        <v>233</v>
      </c>
      <c r="C34" s="169" t="s">
        <v>344</v>
      </c>
      <c r="D34" s="28">
        <f ca="1">SUMIFS(DB!$AC:$AC,DB!$AP:$AP,'Detail Cabang-By Portfolio'!$C34,DB!$AT:$AT,"ALDA",DB!$AR:$AR,'Detail Cabang-By Portfolio'!$L$1,DB!$E:$E,'Detail Cabang-By Portfolio'!D$4)</f>
        <v>0</v>
      </c>
      <c r="E34" s="59">
        <f ca="1">SUMIFS(DB!$AC:$AC,DB!$AP:$AP,'Detail Cabang-By Portfolio'!$C34,DB!$AT:$AT,"ALDA",DB!$AR:$AR,'Detail Cabang-By Portfolio'!$L$1,DB!$E:$E,'Detail Cabang-By Portfolio'!E$4)</f>
        <v>1394780</v>
      </c>
      <c r="F34" s="65">
        <f t="shared" ca="1" si="0"/>
        <v>1394780</v>
      </c>
    </row>
    <row r="35" spans="2:6" x14ac:dyDescent="0.3">
      <c r="B35" s="180" t="s">
        <v>233</v>
      </c>
      <c r="C35" s="169" t="s">
        <v>234</v>
      </c>
      <c r="D35" s="28">
        <f ca="1">SUMIFS(DB!$AC:$AC,DB!$AP:$AP,'Detail Cabang-By Portfolio'!$C35,DB!$AT:$AT,"ALDA",DB!$AR:$AR,'Detail Cabang-By Portfolio'!$L$1,DB!$E:$E,'Detail Cabang-By Portfolio'!D$4)</f>
        <v>0</v>
      </c>
      <c r="E35" s="59">
        <f ca="1">SUMIFS(DB!$AC:$AC,DB!$AP:$AP,'Detail Cabang-By Portfolio'!$C35,DB!$AT:$AT,"ALDA",DB!$AR:$AR,'Detail Cabang-By Portfolio'!$L$1,DB!$E:$E,'Detail Cabang-By Portfolio'!E$4)</f>
        <v>0</v>
      </c>
      <c r="F35" s="65">
        <f t="shared" ca="1" si="0"/>
        <v>0</v>
      </c>
    </row>
    <row r="36" spans="2:6" x14ac:dyDescent="0.3">
      <c r="B36" s="180" t="s">
        <v>233</v>
      </c>
      <c r="C36" s="169" t="s">
        <v>41</v>
      </c>
      <c r="D36" s="28">
        <f ca="1">SUMIFS(DB!$AC:$AC,DB!$AP:$AP,'Detail Cabang-By Portfolio'!$C36,DB!$AT:$AT,"ALDA",DB!$AR:$AR,'Detail Cabang-By Portfolio'!$L$1,DB!$E:$E,'Detail Cabang-By Portfolio'!D$4)</f>
        <v>0</v>
      </c>
      <c r="E36" s="59">
        <f ca="1">SUMIFS(DB!$AC:$AC,DB!$AP:$AP,'Detail Cabang-By Portfolio'!$C36,DB!$AT:$AT,"ALDA",DB!$AR:$AR,'Detail Cabang-By Portfolio'!$L$1,DB!$E:$E,'Detail Cabang-By Portfolio'!E$4)</f>
        <v>0</v>
      </c>
      <c r="F36" s="65">
        <f t="shared" ca="1" si="0"/>
        <v>0</v>
      </c>
    </row>
    <row r="37" spans="2:6" x14ac:dyDescent="0.3">
      <c r="B37" s="180" t="s">
        <v>233</v>
      </c>
      <c r="C37" s="169" t="s">
        <v>388</v>
      </c>
      <c r="D37" s="28">
        <f ca="1">SUMIFS(DB!$AC:$AC,DB!$AP:$AP,'Detail Cabang-By Portfolio'!$C37,DB!$AT:$AT,"ALDA",DB!$AR:$AR,'Detail Cabang-By Portfolio'!$L$1,DB!$E:$E,'Detail Cabang-By Portfolio'!D$4)</f>
        <v>5350000</v>
      </c>
      <c r="E37" s="59">
        <f ca="1">SUMIFS(DB!$AC:$AC,DB!$AP:$AP,'Detail Cabang-By Portfolio'!$C37,DB!$AT:$AT,"ALDA",DB!$AR:$AR,'Detail Cabang-By Portfolio'!$L$1,DB!$E:$E,'Detail Cabang-By Portfolio'!E$4)</f>
        <v>0</v>
      </c>
      <c r="F37" s="65">
        <f t="shared" ca="1" si="0"/>
        <v>5350000</v>
      </c>
    </row>
    <row r="38" spans="2:6" ht="14.4" thickBot="1" x14ac:dyDescent="0.35">
      <c r="B38" s="181" t="s">
        <v>233</v>
      </c>
      <c r="C38" s="170" t="s">
        <v>560</v>
      </c>
      <c r="D38" s="29">
        <f ca="1">SUMIFS(DB!$AC:$AC,DB!$AP:$AP,'Detail Cabang-By Portfolio'!$C38,DB!$AT:$AT,"ALDA",DB!$AR:$AR,'Detail Cabang-By Portfolio'!$L$1,DB!$E:$E,'Detail Cabang-By Portfolio'!D$4)</f>
        <v>0</v>
      </c>
      <c r="E38" s="60">
        <f ca="1">SUMIFS(DB!$AC:$AC,DB!$AP:$AP,'Detail Cabang-By Portfolio'!$C38,DB!$AT:$AT,"ALDA",DB!$AR:$AR,'Detail Cabang-By Portfolio'!$L$1,DB!$E:$E,'Detail Cabang-By Portfolio'!E$4)</f>
        <v>0</v>
      </c>
      <c r="F38" s="277">
        <f t="shared" ca="1" si="0"/>
        <v>0</v>
      </c>
    </row>
    <row r="39" spans="2:6" x14ac:dyDescent="0.3">
      <c r="B39" s="180" t="s">
        <v>295</v>
      </c>
      <c r="C39" s="169" t="s">
        <v>199</v>
      </c>
      <c r="D39" s="28">
        <f ca="1">SUMIFS(DB!$AC:$AC,DB!$AP:$AP,'Detail Cabang-By Portfolio'!$C39,DB!$AT:$AT,"ALDA",DB!$AR:$AR,'Detail Cabang-By Portfolio'!$L$1,DB!$E:$E,'Detail Cabang-By Portfolio'!D$4)</f>
        <v>0</v>
      </c>
      <c r="E39" s="59">
        <f ca="1">SUMIFS(DB!$AC:$AC,DB!$AP:$AP,'Detail Cabang-By Portfolio'!$C39,DB!$AT:$AT,"ALDA",DB!$AR:$AR,'Detail Cabang-By Portfolio'!$L$1,DB!$E:$E,'Detail Cabang-By Portfolio'!E$4)</f>
        <v>0</v>
      </c>
      <c r="F39" s="65">
        <f t="shared" ca="1" si="0"/>
        <v>0</v>
      </c>
    </row>
    <row r="40" spans="2:6" x14ac:dyDescent="0.3">
      <c r="B40" s="180" t="s">
        <v>295</v>
      </c>
      <c r="C40" s="169" t="s">
        <v>362</v>
      </c>
      <c r="D40" s="28">
        <f ca="1">SUMIFS(DB!$AC:$AC,DB!$AP:$AP,'Detail Cabang-By Portfolio'!$C40,DB!$AT:$AT,"ALDA",DB!$AR:$AR,'Detail Cabang-By Portfolio'!$L$1,DB!$E:$E,'Detail Cabang-By Portfolio'!D$4)</f>
        <v>0</v>
      </c>
      <c r="E40" s="59">
        <f ca="1">SUMIFS(DB!$AC:$AC,DB!$AP:$AP,'Detail Cabang-By Portfolio'!$C40,DB!$AT:$AT,"ALDA",DB!$AR:$AR,'Detail Cabang-By Portfolio'!$L$1,DB!$E:$E,'Detail Cabang-By Portfolio'!E$4)</f>
        <v>0</v>
      </c>
      <c r="F40" s="65">
        <f t="shared" ca="1" si="0"/>
        <v>0</v>
      </c>
    </row>
    <row r="41" spans="2:6" x14ac:dyDescent="0.3">
      <c r="B41" s="180" t="s">
        <v>295</v>
      </c>
      <c r="C41" s="169" t="s">
        <v>37</v>
      </c>
      <c r="D41" s="28">
        <f ca="1">SUMIFS(DB!$AC:$AC,DB!$AP:$AP,'Detail Cabang-By Portfolio'!$C41,DB!$AT:$AT,"ALDA",DB!$AR:$AR,'Detail Cabang-By Portfolio'!$L$1,DB!$E:$E,'Detail Cabang-By Portfolio'!D$4)</f>
        <v>21000</v>
      </c>
      <c r="E41" s="59">
        <f ca="1">SUMIFS(DB!$AC:$AC,DB!$AP:$AP,'Detail Cabang-By Portfolio'!$C41,DB!$AT:$AT,"ALDA",DB!$AR:$AR,'Detail Cabang-By Portfolio'!$L$1,DB!$E:$E,'Detail Cabang-By Portfolio'!E$4)</f>
        <v>0</v>
      </c>
      <c r="F41" s="65">
        <f t="shared" ca="1" si="0"/>
        <v>21000</v>
      </c>
    </row>
    <row r="42" spans="2:6" ht="14.4" thickBot="1" x14ac:dyDescent="0.35">
      <c r="B42" s="181" t="s">
        <v>295</v>
      </c>
      <c r="C42" s="170" t="s">
        <v>557</v>
      </c>
      <c r="D42" s="29">
        <f ca="1">SUMIFS(DB!$AC:$AC,DB!$AP:$AP,'Detail Cabang-By Portfolio'!$C42,DB!$AT:$AT,"ALDA",DB!$AR:$AR,'Detail Cabang-By Portfolio'!$L$1,DB!$E:$E,'Detail Cabang-By Portfolio'!D$4)</f>
        <v>0</v>
      </c>
      <c r="E42" s="60">
        <f ca="1">SUMIFS(DB!$AC:$AC,DB!$AP:$AP,'Detail Cabang-By Portfolio'!$C42,DB!$AT:$AT,"ALDA",DB!$AR:$AR,'Detail Cabang-By Portfolio'!$L$1,DB!$E:$E,'Detail Cabang-By Portfolio'!E$4)</f>
        <v>0</v>
      </c>
      <c r="F42" s="277">
        <f t="shared" ca="1" si="0"/>
        <v>0</v>
      </c>
    </row>
    <row r="43" spans="2:6" x14ac:dyDescent="0.3">
      <c r="B43" s="180" t="s">
        <v>265</v>
      </c>
      <c r="C43" s="169" t="s">
        <v>43</v>
      </c>
      <c r="D43" s="28">
        <f ca="1">SUMIFS(DB!$AC:$AC,DB!$AP:$AP,'Detail Cabang-By Portfolio'!$C43,DB!$AT:$AT,"ALDA",DB!$AR:$AR,'Detail Cabang-By Portfolio'!$L$1,DB!$E:$E,'Detail Cabang-By Portfolio'!D$4)</f>
        <v>0</v>
      </c>
      <c r="E43" s="59">
        <f ca="1">SUMIFS(DB!$AC:$AC,DB!$AP:$AP,'Detail Cabang-By Portfolio'!$C43,DB!$AT:$AT,"ALDA",DB!$AR:$AR,'Detail Cabang-By Portfolio'!$L$1,DB!$E:$E,'Detail Cabang-By Portfolio'!E$4)</f>
        <v>0</v>
      </c>
      <c r="F43" s="65">
        <f t="shared" ca="1" si="0"/>
        <v>0</v>
      </c>
    </row>
    <row r="44" spans="2:6" x14ac:dyDescent="0.3">
      <c r="B44" s="180" t="s">
        <v>265</v>
      </c>
      <c r="C44" s="169" t="s">
        <v>263</v>
      </c>
      <c r="D44" s="28">
        <f ca="1">SUMIFS(DB!$AC:$AC,DB!$AP:$AP,'Detail Cabang-By Portfolio'!$C44,DB!$AT:$AT,"ALDA",DB!$AR:$AR,'Detail Cabang-By Portfolio'!$L$1,DB!$E:$E,'Detail Cabang-By Portfolio'!D$4)</f>
        <v>0</v>
      </c>
      <c r="E44" s="59">
        <f ca="1">SUMIFS(DB!$AC:$AC,DB!$AP:$AP,'Detail Cabang-By Portfolio'!$C44,DB!$AT:$AT,"ALDA",DB!$AR:$AR,'Detail Cabang-By Portfolio'!$L$1,DB!$E:$E,'Detail Cabang-By Portfolio'!E$4)</f>
        <v>0</v>
      </c>
      <c r="F44" s="65">
        <f t="shared" ca="1" si="0"/>
        <v>0</v>
      </c>
    </row>
    <row r="45" spans="2:6" x14ac:dyDescent="0.3">
      <c r="B45" s="180" t="s">
        <v>265</v>
      </c>
      <c r="C45" s="169" t="s">
        <v>290</v>
      </c>
      <c r="D45" s="28">
        <f ca="1">SUMIFS(DB!$AC:$AC,DB!$AP:$AP,'Detail Cabang-By Portfolio'!$C45,DB!$AT:$AT,"ALDA",DB!$AR:$AR,'Detail Cabang-By Portfolio'!$L$1,DB!$E:$E,'Detail Cabang-By Portfolio'!D$4)</f>
        <v>0</v>
      </c>
      <c r="E45" s="59">
        <f ca="1">SUMIFS(DB!$AC:$AC,DB!$AP:$AP,'Detail Cabang-By Portfolio'!$C45,DB!$AT:$AT,"ALDA",DB!$AR:$AR,'Detail Cabang-By Portfolio'!$L$1,DB!$E:$E,'Detail Cabang-By Portfolio'!E$4)</f>
        <v>0</v>
      </c>
      <c r="F45" s="65">
        <f t="shared" ca="1" si="0"/>
        <v>0</v>
      </c>
    </row>
    <row r="46" spans="2:6" ht="14.4" thickBot="1" x14ac:dyDescent="0.35">
      <c r="B46" s="181" t="s">
        <v>265</v>
      </c>
      <c r="C46" s="170" t="s">
        <v>288</v>
      </c>
      <c r="D46" s="29">
        <f ca="1">SUMIFS(DB!$AC:$AC,DB!$AP:$AP,'Detail Cabang-By Portfolio'!$C46,DB!$AT:$AT,"ALDA",DB!$AR:$AR,'Detail Cabang-By Portfolio'!$L$1,DB!$E:$E,'Detail Cabang-By Portfolio'!D$4)</f>
        <v>50000</v>
      </c>
      <c r="E46" s="60">
        <f ca="1">SUMIFS(DB!$AC:$AC,DB!$AP:$AP,'Detail Cabang-By Portfolio'!$C46,DB!$AT:$AT,"ALDA",DB!$AR:$AR,'Detail Cabang-By Portfolio'!$L$1,DB!$E:$E,'Detail Cabang-By Portfolio'!E$4)</f>
        <v>0</v>
      </c>
      <c r="F46" s="277">
        <f t="shared" ca="1" si="0"/>
        <v>50000</v>
      </c>
    </row>
    <row r="47" spans="2:6" x14ac:dyDescent="0.3">
      <c r="B47" s="180" t="s">
        <v>385</v>
      </c>
      <c r="C47" s="169" t="s">
        <v>383</v>
      </c>
      <c r="D47" s="28">
        <f ca="1">SUMIFS(DB!$AC:$AC,DB!$AP:$AP,'Detail Cabang-By Portfolio'!$C47,DB!$AT:$AT,"ALDA",DB!$AR:$AR,'Detail Cabang-By Portfolio'!$L$1,DB!$E:$E,'Detail Cabang-By Portfolio'!D$4)</f>
        <v>0</v>
      </c>
      <c r="E47" s="59">
        <f ca="1">SUMIFS(DB!$AC:$AC,DB!$AP:$AP,'Detail Cabang-By Portfolio'!$C47,DB!$AT:$AT,"ALDA",DB!$AR:$AR,'Detail Cabang-By Portfolio'!$L$1,DB!$E:$E,'Detail Cabang-By Portfolio'!E$4)</f>
        <v>0</v>
      </c>
      <c r="F47" s="65">
        <f t="shared" ca="1" si="0"/>
        <v>0</v>
      </c>
    </row>
    <row r="48" spans="2:6" x14ac:dyDescent="0.3">
      <c r="B48" s="180" t="s">
        <v>385</v>
      </c>
      <c r="C48" s="169" t="s">
        <v>408</v>
      </c>
      <c r="D48" s="28">
        <f ca="1">SUMIFS(DB!$AC:$AC,DB!$AP:$AP,'Detail Cabang-By Portfolio'!$C48,DB!$AT:$AT,"ALDA",DB!$AR:$AR,'Detail Cabang-By Portfolio'!$L$1,DB!$E:$E,'Detail Cabang-By Portfolio'!D$4)</f>
        <v>0</v>
      </c>
      <c r="E48" s="59">
        <f ca="1">SUMIFS(DB!$AC:$AC,DB!$AP:$AP,'Detail Cabang-By Portfolio'!$C48,DB!$AT:$AT,"ALDA",DB!$AR:$AR,'Detail Cabang-By Portfolio'!$L$1,DB!$E:$E,'Detail Cabang-By Portfolio'!E$4)</f>
        <v>0</v>
      </c>
      <c r="F48" s="65">
        <f t="shared" ca="1" si="0"/>
        <v>0</v>
      </c>
    </row>
    <row r="49" spans="2:6" ht="14.4" thickBot="1" x14ac:dyDescent="0.35">
      <c r="B49" s="182" t="s">
        <v>385</v>
      </c>
      <c r="C49" s="172" t="s">
        <v>554</v>
      </c>
      <c r="D49" s="30">
        <f ca="1">SUMIFS(DB!$AC:$AC,DB!$AP:$AP,'Detail Cabang-By Portfolio'!$C49,DB!$AT:$AT,"ALDA",DB!$AR:$AR,'Detail Cabang-By Portfolio'!$L$1,DB!$E:$E,'Detail Cabang-By Portfolio'!D$4)</f>
        <v>0</v>
      </c>
      <c r="E49" s="61">
        <f ca="1">SUMIFS(DB!$AC:$AC,DB!$AP:$AP,'Detail Cabang-By Portfolio'!$C49,DB!$AT:$AT,"ALDA",DB!$AR:$AR,'Detail Cabang-By Portfolio'!$L$1,DB!$E:$E,'Detail Cabang-By Portfolio'!E$4)</f>
        <v>0</v>
      </c>
      <c r="F49" s="278">
        <f t="shared" ca="1" si="0"/>
        <v>0</v>
      </c>
    </row>
    <row r="50" spans="2:6" ht="14.4" thickTop="1" x14ac:dyDescent="0.3">
      <c r="C50" s="164" t="s">
        <v>246</v>
      </c>
      <c r="D50" s="32">
        <f t="shared" ref="D50:F58" ca="1" si="1">SUMIFS(D$5:D$49,$B$5:$B$49,$C50)</f>
        <v>2571605</v>
      </c>
      <c r="E50" s="62">
        <f t="shared" ca="1" si="1"/>
        <v>0</v>
      </c>
      <c r="F50" s="66">
        <f t="shared" ca="1" si="1"/>
        <v>2571605</v>
      </c>
    </row>
    <row r="51" spans="2:6" x14ac:dyDescent="0.3">
      <c r="C51" s="166" t="s">
        <v>257</v>
      </c>
      <c r="D51" s="28">
        <f t="shared" ca="1" si="1"/>
        <v>0</v>
      </c>
      <c r="E51" s="59">
        <f t="shared" ca="1" si="1"/>
        <v>0</v>
      </c>
      <c r="F51" s="65">
        <f t="shared" ca="1" si="1"/>
        <v>0</v>
      </c>
    </row>
    <row r="52" spans="2:6" x14ac:dyDescent="0.3">
      <c r="C52" s="166" t="s">
        <v>273</v>
      </c>
      <c r="D52" s="28">
        <f t="shared" ca="1" si="1"/>
        <v>0</v>
      </c>
      <c r="E52" s="59">
        <f t="shared" ca="1" si="1"/>
        <v>3580</v>
      </c>
      <c r="F52" s="65">
        <f t="shared" ca="1" si="1"/>
        <v>3580</v>
      </c>
    </row>
    <row r="53" spans="2:6" x14ac:dyDescent="0.3">
      <c r="C53" s="166" t="s">
        <v>252</v>
      </c>
      <c r="D53" s="28">
        <f t="shared" ca="1" si="1"/>
        <v>709200</v>
      </c>
      <c r="E53" s="59">
        <f t="shared" ca="1" si="1"/>
        <v>278400</v>
      </c>
      <c r="F53" s="65">
        <f t="shared" ca="1" si="1"/>
        <v>987600</v>
      </c>
    </row>
    <row r="54" spans="2:6" x14ac:dyDescent="0.3">
      <c r="C54" s="166" t="s">
        <v>228</v>
      </c>
      <c r="D54" s="28">
        <f t="shared" ca="1" si="1"/>
        <v>7538833</v>
      </c>
      <c r="E54" s="59">
        <f t="shared" ca="1" si="1"/>
        <v>307000</v>
      </c>
      <c r="F54" s="65">
        <f t="shared" ca="1" si="1"/>
        <v>7845833</v>
      </c>
    </row>
    <row r="55" spans="2:6" x14ac:dyDescent="0.3">
      <c r="C55" s="166" t="s">
        <v>233</v>
      </c>
      <c r="D55" s="28">
        <f t="shared" ca="1" si="1"/>
        <v>5350000</v>
      </c>
      <c r="E55" s="59">
        <f t="shared" ca="1" si="1"/>
        <v>1394780</v>
      </c>
      <c r="F55" s="65">
        <f t="shared" ca="1" si="1"/>
        <v>6744780</v>
      </c>
    </row>
    <row r="56" spans="2:6" x14ac:dyDescent="0.3">
      <c r="C56" s="166" t="s">
        <v>295</v>
      </c>
      <c r="D56" s="28">
        <f t="shared" ca="1" si="1"/>
        <v>21000</v>
      </c>
      <c r="E56" s="59">
        <f t="shared" ca="1" si="1"/>
        <v>0</v>
      </c>
      <c r="F56" s="65">
        <f t="shared" ca="1" si="1"/>
        <v>21000</v>
      </c>
    </row>
    <row r="57" spans="2:6" x14ac:dyDescent="0.3">
      <c r="C57" s="166" t="s">
        <v>265</v>
      </c>
      <c r="D57" s="28">
        <f t="shared" ca="1" si="1"/>
        <v>50000</v>
      </c>
      <c r="E57" s="59">
        <f t="shared" ca="1" si="1"/>
        <v>0</v>
      </c>
      <c r="F57" s="65">
        <f t="shared" ca="1" si="1"/>
        <v>50000</v>
      </c>
    </row>
    <row r="58" spans="2:6" ht="14.4" thickBot="1" x14ac:dyDescent="0.35">
      <c r="C58" s="167" t="s">
        <v>385</v>
      </c>
      <c r="D58" s="31">
        <f t="shared" ca="1" si="1"/>
        <v>0</v>
      </c>
      <c r="E58" s="63">
        <f t="shared" ca="1" si="1"/>
        <v>0</v>
      </c>
      <c r="F58" s="67">
        <f t="shared" ca="1" si="1"/>
        <v>0</v>
      </c>
    </row>
    <row r="59" spans="2:6" ht="15" thickTop="1" thickBot="1" x14ac:dyDescent="0.35">
      <c r="C59" s="279" t="s">
        <v>652</v>
      </c>
      <c r="D59" s="280">
        <f ca="1">SUM(D50:D58)</f>
        <v>16240638</v>
      </c>
      <c r="E59" s="281">
        <f t="shared" ref="E59:F59" ca="1" si="2">SUM(E50:E58)</f>
        <v>1983760</v>
      </c>
      <c r="F59" s="282">
        <f t="shared" ca="1" si="2"/>
        <v>18224398</v>
      </c>
    </row>
    <row r="60" spans="2:6" ht="14.4" thickTop="1" x14ac:dyDescent="0.3"/>
  </sheetData>
  <mergeCells count="4">
    <mergeCell ref="D3:E3"/>
    <mergeCell ref="C3:C4"/>
    <mergeCell ref="B3:B4"/>
    <mergeCell ref="F3:F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B1:N60"/>
  <sheetViews>
    <sheetView showGridLines="0" workbookViewId="0">
      <pane xSplit="3" ySplit="12" topLeftCell="D47" activePane="bottomRight" state="frozen"/>
      <selection activeCell="AJ28" sqref="AJ28:AJ29"/>
      <selection pane="topRight" activeCell="AJ28" sqref="AJ28:AJ29"/>
      <selection pane="bottomLeft" activeCell="AJ28" sqref="AJ28:AJ29"/>
      <selection pane="bottomRight" sqref="A1:XFD1048576"/>
    </sheetView>
  </sheetViews>
  <sheetFormatPr defaultColWidth="8.6640625" defaultRowHeight="13.8" x14ac:dyDescent="0.3"/>
  <cols>
    <col min="1" max="1" width="0.44140625" style="1" customWidth="1"/>
    <col min="2" max="3" width="20.6640625" style="1" customWidth="1"/>
    <col min="4" max="6" width="23.33203125" style="28" customWidth="1"/>
    <col min="7" max="8" width="1.88671875" style="1" customWidth="1"/>
    <col min="9" max="10" width="9.5546875" style="1" bestFit="1" customWidth="1"/>
    <col min="11" max="11" width="7.88671875" style="1" bestFit="1" customWidth="1"/>
    <col min="12" max="13" width="10.109375" style="1" bestFit="1" customWidth="1"/>
    <col min="14" max="14" width="10" style="1" bestFit="1" customWidth="1"/>
    <col min="15" max="16384" width="8.6640625" style="1"/>
  </cols>
  <sheetData>
    <row r="1" spans="2:14" s="179" customFormat="1" ht="24.9" customHeight="1" x14ac:dyDescent="0.3">
      <c r="B1" s="43" t="s">
        <v>775</v>
      </c>
      <c r="D1" s="271"/>
      <c r="E1" s="271"/>
      <c r="F1" s="271"/>
      <c r="I1" s="272"/>
      <c r="J1" s="273"/>
      <c r="K1" s="273"/>
      <c r="L1" s="272" t="str">
        <f ca="1">'Detail Cabang-New'!$P$1</f>
        <v>26-06</v>
      </c>
      <c r="M1" s="273"/>
      <c r="N1" s="272"/>
    </row>
    <row r="2" spans="2:14" ht="5.0999999999999996" customHeight="1" thickBot="1" x14ac:dyDescent="0.35">
      <c r="I2" s="56"/>
      <c r="J2" s="56"/>
      <c r="K2" s="56"/>
      <c r="L2" s="56"/>
      <c r="M2" s="56"/>
      <c r="N2" s="56"/>
    </row>
    <row r="3" spans="2:14" ht="20.100000000000001" customHeight="1" thickTop="1" thickBot="1" x14ac:dyDescent="0.35">
      <c r="B3" s="246" t="s">
        <v>209</v>
      </c>
      <c r="C3" s="246" t="s">
        <v>210</v>
      </c>
      <c r="D3" s="247" t="s">
        <v>774</v>
      </c>
      <c r="E3" s="276"/>
      <c r="F3" s="249" t="s">
        <v>771</v>
      </c>
      <c r="I3" s="57"/>
      <c r="J3" s="57"/>
      <c r="K3" s="57"/>
      <c r="L3" s="57"/>
      <c r="M3" s="57"/>
      <c r="N3" s="56"/>
    </row>
    <row r="4" spans="2:14" ht="20.100000000000001" customHeight="1" thickTop="1" thickBot="1" x14ac:dyDescent="0.35">
      <c r="B4" s="250"/>
      <c r="C4" s="250"/>
      <c r="D4" s="251" t="s">
        <v>123</v>
      </c>
      <c r="E4" s="252" t="s">
        <v>121</v>
      </c>
      <c r="F4" s="253"/>
      <c r="I4" s="57"/>
      <c r="J4" s="57"/>
      <c r="K4" s="57"/>
      <c r="L4" s="57"/>
      <c r="M4" s="57"/>
      <c r="N4" s="56"/>
    </row>
    <row r="5" spans="2:14" ht="14.4" thickTop="1" x14ac:dyDescent="0.3">
      <c r="B5" s="180" t="s">
        <v>246</v>
      </c>
      <c r="C5" s="169" t="s">
        <v>23</v>
      </c>
      <c r="D5" s="28">
        <f ca="1">SUMIFS(DB!$AC:$AC,DB!$AP:$AP,'Detail Cabang-By Payment Type'!$C5,DB!$AT:$AT,"ALDA",DB!$AR:$AR,'Detail Cabang-By Payment Type'!$L$1,DB!$AD:$AD,'Detail Cabang-By Payment Type'!D$4)</f>
        <v>0</v>
      </c>
      <c r="E5" s="59">
        <f ca="1">SUMIFS(DB!$AC:$AC,DB!$AP:$AP,'Detail Cabang-By Payment Type'!$C5,DB!$AT:$AT,"ALDA",DB!$AR:$AR,'Detail Cabang-By Payment Type'!$L$1,DB!$AD:$AD,'Detail Cabang-By Payment Type'!E$4)</f>
        <v>0</v>
      </c>
      <c r="F5" s="65">
        <f ca="1">SUM(D5:E5)</f>
        <v>0</v>
      </c>
      <c r="I5" s="58"/>
      <c r="J5" s="58"/>
      <c r="K5" s="58"/>
      <c r="L5" s="58"/>
      <c r="M5" s="58"/>
      <c r="N5" s="58"/>
    </row>
    <row r="6" spans="2:14" x14ac:dyDescent="0.3">
      <c r="B6" s="180" t="s">
        <v>246</v>
      </c>
      <c r="C6" s="169" t="s">
        <v>244</v>
      </c>
      <c r="D6" s="28">
        <f ca="1">SUMIFS(DB!$AC:$AC,DB!$AP:$AP,'Detail Cabang-By Payment Type'!$C6,DB!$AT:$AT,"ALDA",DB!$AR:$AR,'Detail Cabang-By Payment Type'!$L$1,DB!$AD:$AD,'Detail Cabang-By Payment Type'!D$4)</f>
        <v>0</v>
      </c>
      <c r="E6" s="59">
        <f ca="1">SUMIFS(DB!$AC:$AC,DB!$AP:$AP,'Detail Cabang-By Payment Type'!$C6,DB!$AT:$AT,"ALDA",DB!$AR:$AR,'Detail Cabang-By Payment Type'!$L$1,DB!$AD:$AD,'Detail Cabang-By Payment Type'!E$4)</f>
        <v>0</v>
      </c>
      <c r="F6" s="65">
        <f t="shared" ref="F6:F49" ca="1" si="0">SUM(D6:E6)</f>
        <v>0</v>
      </c>
      <c r="I6" s="58"/>
      <c r="J6" s="58"/>
      <c r="K6" s="58"/>
      <c r="L6" s="58"/>
      <c r="M6" s="58"/>
      <c r="N6" s="58"/>
    </row>
    <row r="7" spans="2:14" x14ac:dyDescent="0.3">
      <c r="B7" s="180" t="s">
        <v>246</v>
      </c>
      <c r="C7" s="169" t="s">
        <v>22</v>
      </c>
      <c r="D7" s="28">
        <f ca="1">SUMIFS(DB!$AC:$AC,DB!$AP:$AP,'Detail Cabang-By Payment Type'!$C7,DB!$AT:$AT,"ALDA",DB!$AR:$AR,'Detail Cabang-By Payment Type'!$L$1,DB!$AD:$AD,'Detail Cabang-By Payment Type'!D$4)</f>
        <v>0</v>
      </c>
      <c r="E7" s="59">
        <f ca="1">SUMIFS(DB!$AC:$AC,DB!$AP:$AP,'Detail Cabang-By Payment Type'!$C7,DB!$AT:$AT,"ALDA",DB!$AR:$AR,'Detail Cabang-By Payment Type'!$L$1,DB!$AD:$AD,'Detail Cabang-By Payment Type'!E$4)</f>
        <v>0</v>
      </c>
      <c r="F7" s="65">
        <f t="shared" ca="1" si="0"/>
        <v>0</v>
      </c>
      <c r="I7" s="58"/>
      <c r="J7" s="58"/>
      <c r="K7" s="58"/>
      <c r="L7" s="58"/>
      <c r="M7" s="58"/>
      <c r="N7" s="58"/>
    </row>
    <row r="8" spans="2:14" x14ac:dyDescent="0.3">
      <c r="B8" s="180" t="s">
        <v>246</v>
      </c>
      <c r="C8" s="169" t="s">
        <v>590</v>
      </c>
      <c r="D8" s="28">
        <f ca="1">SUMIFS(DB!$AC:$AC,DB!$AP:$AP,'Detail Cabang-By Payment Type'!$C8,DB!$AT:$AT,"ALDA",DB!$AR:$AR,'Detail Cabang-By Payment Type'!$L$1,DB!$AD:$AD,'Detail Cabang-By Payment Type'!D$4)</f>
        <v>0</v>
      </c>
      <c r="E8" s="59">
        <f ca="1">SUMIFS(DB!$AC:$AC,DB!$AP:$AP,'Detail Cabang-By Payment Type'!$C8,DB!$AT:$AT,"ALDA",DB!$AR:$AR,'Detail Cabang-By Payment Type'!$L$1,DB!$AD:$AD,'Detail Cabang-By Payment Type'!E$4)</f>
        <v>16025</v>
      </c>
      <c r="F8" s="65">
        <f t="shared" ca="1" si="0"/>
        <v>16025</v>
      </c>
    </row>
    <row r="9" spans="2:14" x14ac:dyDescent="0.3">
      <c r="B9" s="180" t="s">
        <v>246</v>
      </c>
      <c r="C9" s="169" t="s">
        <v>331</v>
      </c>
      <c r="D9" s="28">
        <f ca="1">SUMIFS(DB!$AC:$AC,DB!$AP:$AP,'Detail Cabang-By Payment Type'!$C9,DB!$AT:$AT,"ALDA",DB!$AR:$AR,'Detail Cabang-By Payment Type'!$L$1,DB!$AD:$AD,'Detail Cabang-By Payment Type'!D$4)</f>
        <v>0</v>
      </c>
      <c r="E9" s="59">
        <f ca="1">SUMIFS(DB!$AC:$AC,DB!$AP:$AP,'Detail Cabang-By Payment Type'!$C9,DB!$AT:$AT,"ALDA",DB!$AR:$AR,'Detail Cabang-By Payment Type'!$L$1,DB!$AD:$AD,'Detail Cabang-By Payment Type'!E$4)</f>
        <v>0</v>
      </c>
      <c r="F9" s="65">
        <f t="shared" ca="1" si="0"/>
        <v>0</v>
      </c>
    </row>
    <row r="10" spans="2:14" x14ac:dyDescent="0.3">
      <c r="B10" s="180" t="s">
        <v>246</v>
      </c>
      <c r="C10" s="169" t="s">
        <v>29</v>
      </c>
      <c r="D10" s="28">
        <f ca="1">SUMIFS(DB!$AC:$AC,DB!$AP:$AP,'Detail Cabang-By Payment Type'!$C10,DB!$AT:$AT,"ALDA",DB!$AR:$AR,'Detail Cabang-By Payment Type'!$L$1,DB!$AD:$AD,'Detail Cabang-By Payment Type'!D$4)</f>
        <v>0</v>
      </c>
      <c r="E10" s="59">
        <f ca="1">SUMIFS(DB!$AC:$AC,DB!$AP:$AP,'Detail Cabang-By Payment Type'!$C10,DB!$AT:$AT,"ALDA",DB!$AR:$AR,'Detail Cabang-By Payment Type'!$L$1,DB!$AD:$AD,'Detail Cabang-By Payment Type'!E$4)</f>
        <v>2555580</v>
      </c>
      <c r="F10" s="65">
        <f t="shared" ca="1" si="0"/>
        <v>2555580</v>
      </c>
    </row>
    <row r="11" spans="2:14" x14ac:dyDescent="0.3">
      <c r="B11" s="180" t="s">
        <v>246</v>
      </c>
      <c r="C11" s="169" t="s">
        <v>269</v>
      </c>
      <c r="D11" s="28">
        <f ca="1">SUMIFS(DB!$AC:$AC,DB!$AP:$AP,'Detail Cabang-By Payment Type'!$C11,DB!$AT:$AT,"ALDA",DB!$AR:$AR,'Detail Cabang-By Payment Type'!$L$1,DB!$AD:$AD,'Detail Cabang-By Payment Type'!D$4)</f>
        <v>0</v>
      </c>
      <c r="E11" s="59">
        <f ca="1">SUMIFS(DB!$AC:$AC,DB!$AP:$AP,'Detail Cabang-By Payment Type'!$C11,DB!$AT:$AT,"ALDA",DB!$AR:$AR,'Detail Cabang-By Payment Type'!$L$1,DB!$AD:$AD,'Detail Cabang-By Payment Type'!E$4)</f>
        <v>0</v>
      </c>
      <c r="F11" s="65">
        <f t="shared" ca="1" si="0"/>
        <v>0</v>
      </c>
    </row>
    <row r="12" spans="2:14" ht="14.4" thickBot="1" x14ac:dyDescent="0.35">
      <c r="B12" s="181" t="s">
        <v>246</v>
      </c>
      <c r="C12" s="170" t="s">
        <v>28</v>
      </c>
      <c r="D12" s="29">
        <f ca="1">SUMIFS(DB!$AC:$AC,DB!$AP:$AP,'Detail Cabang-By Payment Type'!$C12,DB!$AT:$AT,"ALDA",DB!$AR:$AR,'Detail Cabang-By Payment Type'!$L$1,DB!$AD:$AD,'Detail Cabang-By Payment Type'!D$4)</f>
        <v>0</v>
      </c>
      <c r="E12" s="60">
        <f ca="1">SUMIFS(DB!$AC:$AC,DB!$AP:$AP,'Detail Cabang-By Payment Type'!$C12,DB!$AT:$AT,"ALDA",DB!$AR:$AR,'Detail Cabang-By Payment Type'!$L$1,DB!$AD:$AD,'Detail Cabang-By Payment Type'!E$4)</f>
        <v>0</v>
      </c>
      <c r="F12" s="277">
        <f t="shared" ca="1" si="0"/>
        <v>0</v>
      </c>
    </row>
    <row r="13" spans="2:14" x14ac:dyDescent="0.3">
      <c r="B13" s="180" t="s">
        <v>257</v>
      </c>
      <c r="C13" s="169" t="s">
        <v>30</v>
      </c>
      <c r="D13" s="28">
        <f ca="1">SUMIFS(DB!$AC:$AC,DB!$AP:$AP,'Detail Cabang-By Payment Type'!$C13,DB!$AT:$AT,"ALDA",DB!$AR:$AR,'Detail Cabang-By Payment Type'!$L$1,DB!$AD:$AD,'Detail Cabang-By Payment Type'!D$4)</f>
        <v>0</v>
      </c>
      <c r="E13" s="59">
        <f ca="1">SUMIFS(DB!$AC:$AC,DB!$AP:$AP,'Detail Cabang-By Payment Type'!$C13,DB!$AT:$AT,"ALDA",DB!$AR:$AR,'Detail Cabang-By Payment Type'!$L$1,DB!$AD:$AD,'Detail Cabang-By Payment Type'!E$4)</f>
        <v>0</v>
      </c>
      <c r="F13" s="65">
        <f t="shared" ca="1" si="0"/>
        <v>0</v>
      </c>
    </row>
    <row r="14" spans="2:14" x14ac:dyDescent="0.3">
      <c r="B14" s="180" t="s">
        <v>257</v>
      </c>
      <c r="C14" s="169" t="s">
        <v>309</v>
      </c>
      <c r="D14" s="28">
        <f ca="1">SUMIFS(DB!$AC:$AC,DB!$AP:$AP,'Detail Cabang-By Payment Type'!$C14,DB!$AT:$AT,"ALDA",DB!$AR:$AR,'Detail Cabang-By Payment Type'!$L$1,DB!$AD:$AD,'Detail Cabang-By Payment Type'!D$4)</f>
        <v>0</v>
      </c>
      <c r="E14" s="59">
        <f ca="1">SUMIFS(DB!$AC:$AC,DB!$AP:$AP,'Detail Cabang-By Payment Type'!$C14,DB!$AT:$AT,"ALDA",DB!$AR:$AR,'Detail Cabang-By Payment Type'!$L$1,DB!$AD:$AD,'Detail Cabang-By Payment Type'!E$4)</f>
        <v>0</v>
      </c>
      <c r="F14" s="65">
        <f t="shared" ca="1" si="0"/>
        <v>0</v>
      </c>
    </row>
    <row r="15" spans="2:14" ht="14.4" thickBot="1" x14ac:dyDescent="0.35">
      <c r="B15" s="181" t="s">
        <v>257</v>
      </c>
      <c r="C15" s="170" t="s">
        <v>25</v>
      </c>
      <c r="D15" s="29">
        <f ca="1">SUMIFS(DB!$AC:$AC,DB!$AP:$AP,'Detail Cabang-By Payment Type'!$C15,DB!$AT:$AT,"ALDA",DB!$AR:$AR,'Detail Cabang-By Payment Type'!$L$1,DB!$AD:$AD,'Detail Cabang-By Payment Type'!D$4)</f>
        <v>0</v>
      </c>
      <c r="E15" s="60">
        <f ca="1">SUMIFS(DB!$AC:$AC,DB!$AP:$AP,'Detail Cabang-By Payment Type'!$C15,DB!$AT:$AT,"ALDA",DB!$AR:$AR,'Detail Cabang-By Payment Type'!$L$1,DB!$AD:$AD,'Detail Cabang-By Payment Type'!E$4)</f>
        <v>0</v>
      </c>
      <c r="F15" s="277">
        <f t="shared" ca="1" si="0"/>
        <v>0</v>
      </c>
    </row>
    <row r="16" spans="2:14" x14ac:dyDescent="0.3">
      <c r="B16" s="180" t="s">
        <v>273</v>
      </c>
      <c r="C16" s="169" t="s">
        <v>38</v>
      </c>
      <c r="D16" s="28">
        <f ca="1">SUMIFS(DB!$AC:$AC,DB!$AP:$AP,'Detail Cabang-By Payment Type'!$C16,DB!$AT:$AT,"ALDA",DB!$AR:$AR,'Detail Cabang-By Payment Type'!$L$1,DB!$AD:$AD,'Detail Cabang-By Payment Type'!D$4)</f>
        <v>0</v>
      </c>
      <c r="E16" s="59">
        <f ca="1">SUMIFS(DB!$AC:$AC,DB!$AP:$AP,'Detail Cabang-By Payment Type'!$C16,DB!$AT:$AT,"ALDA",DB!$AR:$AR,'Detail Cabang-By Payment Type'!$L$1,DB!$AD:$AD,'Detail Cabang-By Payment Type'!E$4)</f>
        <v>0</v>
      </c>
      <c r="F16" s="65">
        <f t="shared" ca="1" si="0"/>
        <v>0</v>
      </c>
    </row>
    <row r="17" spans="2:6" x14ac:dyDescent="0.3">
      <c r="B17" s="180" t="s">
        <v>273</v>
      </c>
      <c r="C17" s="169" t="s">
        <v>27</v>
      </c>
      <c r="D17" s="28">
        <f ca="1">SUMIFS(DB!$AC:$AC,DB!$AP:$AP,'Detail Cabang-By Payment Type'!$C17,DB!$AT:$AT,"ALDA",DB!$AR:$AR,'Detail Cabang-By Payment Type'!$L$1,DB!$AD:$AD,'Detail Cabang-By Payment Type'!D$4)</f>
        <v>0</v>
      </c>
      <c r="E17" s="59">
        <f ca="1">SUMIFS(DB!$AC:$AC,DB!$AP:$AP,'Detail Cabang-By Payment Type'!$C17,DB!$AT:$AT,"ALDA",DB!$AR:$AR,'Detail Cabang-By Payment Type'!$L$1,DB!$AD:$AD,'Detail Cabang-By Payment Type'!E$4)</f>
        <v>0</v>
      </c>
      <c r="F17" s="65">
        <f t="shared" ca="1" si="0"/>
        <v>0</v>
      </c>
    </row>
    <row r="18" spans="2:6" x14ac:dyDescent="0.3">
      <c r="B18" s="180" t="s">
        <v>273</v>
      </c>
      <c r="C18" s="169" t="s">
        <v>33</v>
      </c>
      <c r="D18" s="28">
        <f ca="1">SUMIFS(DB!$AC:$AC,DB!$AP:$AP,'Detail Cabang-By Payment Type'!$C18,DB!$AT:$AT,"ALDA",DB!$AR:$AR,'Detail Cabang-By Payment Type'!$L$1,DB!$AD:$AD,'Detail Cabang-By Payment Type'!D$4)</f>
        <v>0</v>
      </c>
      <c r="E18" s="59">
        <f ca="1">SUMIFS(DB!$AC:$AC,DB!$AP:$AP,'Detail Cabang-By Payment Type'!$C18,DB!$AT:$AT,"ALDA",DB!$AR:$AR,'Detail Cabang-By Payment Type'!$L$1,DB!$AD:$AD,'Detail Cabang-By Payment Type'!E$4)</f>
        <v>0</v>
      </c>
      <c r="F18" s="65">
        <f t="shared" ca="1" si="0"/>
        <v>0</v>
      </c>
    </row>
    <row r="19" spans="2:6" x14ac:dyDescent="0.3">
      <c r="B19" s="180" t="s">
        <v>273</v>
      </c>
      <c r="C19" s="169" t="s">
        <v>32</v>
      </c>
      <c r="D19" s="28">
        <f ca="1">SUMIFS(DB!$AC:$AC,DB!$AP:$AP,'Detail Cabang-By Payment Type'!$C19,DB!$AT:$AT,"ALDA",DB!$AR:$AR,'Detail Cabang-By Payment Type'!$L$1,DB!$AD:$AD,'Detail Cabang-By Payment Type'!D$4)</f>
        <v>0</v>
      </c>
      <c r="E19" s="59">
        <f ca="1">SUMIFS(DB!$AC:$AC,DB!$AP:$AP,'Detail Cabang-By Payment Type'!$C19,DB!$AT:$AT,"ALDA",DB!$AR:$AR,'Detail Cabang-By Payment Type'!$L$1,DB!$AD:$AD,'Detail Cabang-By Payment Type'!E$4)</f>
        <v>3580</v>
      </c>
      <c r="F19" s="65">
        <f t="shared" ca="1" si="0"/>
        <v>3580</v>
      </c>
    </row>
    <row r="20" spans="2:6" x14ac:dyDescent="0.3">
      <c r="B20" s="180" t="s">
        <v>273</v>
      </c>
      <c r="C20" s="169" t="s">
        <v>307</v>
      </c>
      <c r="D20" s="28">
        <f ca="1">SUMIFS(DB!$AC:$AC,DB!$AP:$AP,'Detail Cabang-By Payment Type'!$C20,DB!$AT:$AT,"ALDA",DB!$AR:$AR,'Detail Cabang-By Payment Type'!$L$1,DB!$AD:$AD,'Detail Cabang-By Payment Type'!D$4)</f>
        <v>0</v>
      </c>
      <c r="E20" s="59">
        <f ca="1">SUMIFS(DB!$AC:$AC,DB!$AP:$AP,'Detail Cabang-By Payment Type'!$C20,DB!$AT:$AT,"ALDA",DB!$AR:$AR,'Detail Cabang-By Payment Type'!$L$1,DB!$AD:$AD,'Detail Cabang-By Payment Type'!E$4)</f>
        <v>0</v>
      </c>
      <c r="F20" s="65">
        <f t="shared" ca="1" si="0"/>
        <v>0</v>
      </c>
    </row>
    <row r="21" spans="2:6" ht="14.4" thickBot="1" x14ac:dyDescent="0.35">
      <c r="B21" s="181" t="s">
        <v>273</v>
      </c>
      <c r="C21" s="170" t="s">
        <v>274</v>
      </c>
      <c r="D21" s="29">
        <f ca="1">SUMIFS(DB!$AC:$AC,DB!$AP:$AP,'Detail Cabang-By Payment Type'!$C21,DB!$AT:$AT,"ALDA",DB!$AR:$AR,'Detail Cabang-By Payment Type'!$L$1,DB!$AD:$AD,'Detail Cabang-By Payment Type'!D$4)</f>
        <v>0</v>
      </c>
      <c r="E21" s="60">
        <f ca="1">SUMIFS(DB!$AC:$AC,DB!$AP:$AP,'Detail Cabang-By Payment Type'!$C21,DB!$AT:$AT,"ALDA",DB!$AR:$AR,'Detail Cabang-By Payment Type'!$L$1,DB!$AD:$AD,'Detail Cabang-By Payment Type'!E$4)</f>
        <v>0</v>
      </c>
      <c r="F21" s="277">
        <f t="shared" ca="1" si="0"/>
        <v>0</v>
      </c>
    </row>
    <row r="22" spans="2:6" x14ac:dyDescent="0.3">
      <c r="B22" s="180" t="s">
        <v>252</v>
      </c>
      <c r="C22" s="169" t="s">
        <v>36</v>
      </c>
      <c r="D22" s="28">
        <f ca="1">SUMIFS(DB!$AC:$AC,DB!$AP:$AP,'Detail Cabang-By Payment Type'!$C22,DB!$AT:$AT,"ALDA",DB!$AR:$AR,'Detail Cabang-By Payment Type'!$L$1,DB!$AD:$AD,'Detail Cabang-By Payment Type'!D$4)</f>
        <v>0</v>
      </c>
      <c r="E22" s="59">
        <f ca="1">SUMIFS(DB!$AC:$AC,DB!$AP:$AP,'Detail Cabang-By Payment Type'!$C22,DB!$AT:$AT,"ALDA",DB!$AR:$AR,'Detail Cabang-By Payment Type'!$L$1,DB!$AD:$AD,'Detail Cabang-By Payment Type'!E$4)</f>
        <v>89400</v>
      </c>
      <c r="F22" s="65">
        <f t="shared" ca="1" si="0"/>
        <v>89400</v>
      </c>
    </row>
    <row r="23" spans="2:6" x14ac:dyDescent="0.3">
      <c r="B23" s="180" t="s">
        <v>252</v>
      </c>
      <c r="C23" s="169" t="s">
        <v>24</v>
      </c>
      <c r="D23" s="28">
        <f ca="1">SUMIFS(DB!$AC:$AC,DB!$AP:$AP,'Detail Cabang-By Payment Type'!$C23,DB!$AT:$AT,"ALDA",DB!$AR:$AR,'Detail Cabang-By Payment Type'!$L$1,DB!$AD:$AD,'Detail Cabang-By Payment Type'!D$4)</f>
        <v>0</v>
      </c>
      <c r="E23" s="59">
        <f ca="1">SUMIFS(DB!$AC:$AC,DB!$AP:$AP,'Detail Cabang-By Payment Type'!$C23,DB!$AT:$AT,"ALDA",DB!$AR:$AR,'Detail Cabang-By Payment Type'!$L$1,DB!$AD:$AD,'Detail Cabang-By Payment Type'!E$4)</f>
        <v>0</v>
      </c>
      <c r="F23" s="65">
        <f t="shared" ca="1" si="0"/>
        <v>0</v>
      </c>
    </row>
    <row r="24" spans="2:6" x14ac:dyDescent="0.3">
      <c r="B24" s="180" t="s">
        <v>252</v>
      </c>
      <c r="C24" s="169" t="s">
        <v>31</v>
      </c>
      <c r="D24" s="28">
        <f ca="1">SUMIFS(DB!$AC:$AC,DB!$AP:$AP,'Detail Cabang-By Payment Type'!$C24,DB!$AT:$AT,"ALDA",DB!$AR:$AR,'Detail Cabang-By Payment Type'!$L$1,DB!$AD:$AD,'Detail Cabang-By Payment Type'!D$4)</f>
        <v>189000</v>
      </c>
      <c r="E24" s="59">
        <f ca="1">SUMIFS(DB!$AC:$AC,DB!$AP:$AP,'Detail Cabang-By Payment Type'!$C24,DB!$AT:$AT,"ALDA",DB!$AR:$AR,'Detail Cabang-By Payment Type'!$L$1,DB!$AD:$AD,'Detail Cabang-By Payment Type'!E$4)</f>
        <v>0</v>
      </c>
      <c r="F24" s="65">
        <f t="shared" ca="1" si="0"/>
        <v>189000</v>
      </c>
    </row>
    <row r="25" spans="2:6" ht="14.4" thickBot="1" x14ac:dyDescent="0.35">
      <c r="B25" s="181" t="s">
        <v>252</v>
      </c>
      <c r="C25" s="170" t="s">
        <v>34</v>
      </c>
      <c r="D25" s="29">
        <f ca="1">SUMIFS(DB!$AC:$AC,DB!$AP:$AP,'Detail Cabang-By Payment Type'!$C25,DB!$AT:$AT,"ALDA",DB!$AR:$AR,'Detail Cabang-By Payment Type'!$L$1,DB!$AD:$AD,'Detail Cabang-By Payment Type'!D$4)</f>
        <v>709200</v>
      </c>
      <c r="E25" s="60">
        <f ca="1">SUMIFS(DB!$AC:$AC,DB!$AP:$AP,'Detail Cabang-By Payment Type'!$C25,DB!$AT:$AT,"ALDA",DB!$AR:$AR,'Detail Cabang-By Payment Type'!$L$1,DB!$AD:$AD,'Detail Cabang-By Payment Type'!E$4)</f>
        <v>0</v>
      </c>
      <c r="F25" s="277">
        <f t="shared" ca="1" si="0"/>
        <v>709200</v>
      </c>
    </row>
    <row r="26" spans="2:6" x14ac:dyDescent="0.3">
      <c r="B26" s="180" t="s">
        <v>228</v>
      </c>
      <c r="C26" s="169" t="s">
        <v>18</v>
      </c>
      <c r="D26" s="28">
        <f ca="1">SUMIFS(DB!$AC:$AC,DB!$AP:$AP,'Detail Cabang-By Payment Type'!$C26,DB!$AT:$AT,"ALDA",DB!$AR:$AR,'Detail Cabang-By Payment Type'!$L$1,DB!$AD:$AD,'Detail Cabang-By Payment Type'!D$4)</f>
        <v>0</v>
      </c>
      <c r="E26" s="59">
        <f ca="1">SUMIFS(DB!$AC:$AC,DB!$AP:$AP,'Detail Cabang-By Payment Type'!$C26,DB!$AT:$AT,"ALDA",DB!$AR:$AR,'Detail Cabang-By Payment Type'!$L$1,DB!$AD:$AD,'Detail Cabang-By Payment Type'!E$4)</f>
        <v>0</v>
      </c>
      <c r="F26" s="65">
        <f t="shared" ca="1" si="0"/>
        <v>0</v>
      </c>
    </row>
    <row r="27" spans="2:6" x14ac:dyDescent="0.3">
      <c r="B27" s="180" t="s">
        <v>228</v>
      </c>
      <c r="C27" s="169" t="s">
        <v>8</v>
      </c>
      <c r="D27" s="28">
        <f ca="1">SUMIFS(DB!$AC:$AC,DB!$AP:$AP,'Detail Cabang-By Payment Type'!$C27,DB!$AT:$AT,"ALDA",DB!$AR:$AR,'Detail Cabang-By Payment Type'!$L$1,DB!$AD:$AD,'Detail Cabang-By Payment Type'!D$4)</f>
        <v>0</v>
      </c>
      <c r="E27" s="59">
        <f ca="1">SUMIFS(DB!$AC:$AC,DB!$AP:$AP,'Detail Cabang-By Payment Type'!$C27,DB!$AT:$AT,"ALDA",DB!$AR:$AR,'Detail Cabang-By Payment Type'!$L$1,DB!$AD:$AD,'Detail Cabang-By Payment Type'!E$4)</f>
        <v>1510916</v>
      </c>
      <c r="F27" s="65">
        <f t="shared" ca="1" si="0"/>
        <v>1510916</v>
      </c>
    </row>
    <row r="28" spans="2:6" x14ac:dyDescent="0.3">
      <c r="B28" s="180" t="s">
        <v>228</v>
      </c>
      <c r="C28" s="169" t="s">
        <v>173</v>
      </c>
      <c r="D28" s="28">
        <f ca="1">SUMIFS(DB!$AC:$AC,DB!$AP:$AP,'Detail Cabang-By Payment Type'!$C28,DB!$AT:$AT,"ALDA",DB!$AR:$AR,'Detail Cabang-By Payment Type'!$L$1,DB!$AD:$AD,'Detail Cabang-By Payment Type'!D$4)</f>
        <v>0</v>
      </c>
      <c r="E28" s="59">
        <f ca="1">SUMIFS(DB!$AC:$AC,DB!$AP:$AP,'Detail Cabang-By Payment Type'!$C28,DB!$AT:$AT,"ALDA",DB!$AR:$AR,'Detail Cabang-By Payment Type'!$L$1,DB!$AD:$AD,'Detail Cabang-By Payment Type'!E$4)</f>
        <v>0</v>
      </c>
      <c r="F28" s="65">
        <f t="shared" ca="1" si="0"/>
        <v>0</v>
      </c>
    </row>
    <row r="29" spans="2:6" x14ac:dyDescent="0.3">
      <c r="B29" s="180" t="s">
        <v>228</v>
      </c>
      <c r="C29" s="169" t="s">
        <v>176</v>
      </c>
      <c r="D29" s="28">
        <f ca="1">SUMIFS(DB!$AC:$AC,DB!$AP:$AP,'Detail Cabang-By Payment Type'!$C29,DB!$AT:$AT,"ALDA",DB!$AR:$AR,'Detail Cabang-By Payment Type'!$L$1,DB!$AD:$AD,'Detail Cabang-By Payment Type'!D$4)</f>
        <v>0</v>
      </c>
      <c r="E29" s="59">
        <f ca="1">SUMIFS(DB!$AC:$AC,DB!$AP:$AP,'Detail Cabang-By Payment Type'!$C29,DB!$AT:$AT,"ALDA",DB!$AR:$AR,'Detail Cabang-By Payment Type'!$L$1,DB!$AD:$AD,'Detail Cabang-By Payment Type'!E$4)</f>
        <v>0</v>
      </c>
      <c r="F29" s="65">
        <f t="shared" ca="1" si="0"/>
        <v>0</v>
      </c>
    </row>
    <row r="30" spans="2:6" x14ac:dyDescent="0.3">
      <c r="B30" s="180" t="s">
        <v>228</v>
      </c>
      <c r="C30" s="169" t="s">
        <v>42</v>
      </c>
      <c r="D30" s="28">
        <f ca="1">SUMIFS(DB!$AC:$AC,DB!$AP:$AP,'Detail Cabang-By Payment Type'!$C30,DB!$AT:$AT,"ALDA",DB!$AR:$AR,'Detail Cabang-By Payment Type'!$L$1,DB!$AD:$AD,'Detail Cabang-By Payment Type'!D$4)</f>
        <v>3363875</v>
      </c>
      <c r="E30" s="59">
        <f ca="1">SUMIFS(DB!$AC:$AC,DB!$AP:$AP,'Detail Cabang-By Payment Type'!$C30,DB!$AT:$AT,"ALDA",DB!$AR:$AR,'Detail Cabang-By Payment Type'!$L$1,DB!$AD:$AD,'Detail Cabang-By Payment Type'!E$4)</f>
        <v>0</v>
      </c>
      <c r="F30" s="65">
        <f t="shared" ca="1" si="0"/>
        <v>3363875</v>
      </c>
    </row>
    <row r="31" spans="2:6" x14ac:dyDescent="0.3">
      <c r="B31" s="180" t="s">
        <v>228</v>
      </c>
      <c r="C31" s="169" t="s">
        <v>19</v>
      </c>
      <c r="D31" s="28">
        <f ca="1">SUMIFS(DB!$AC:$AC,DB!$AP:$AP,'Detail Cabang-By Payment Type'!$C31,DB!$AT:$AT,"ALDA",DB!$AR:$AR,'Detail Cabang-By Payment Type'!$L$1,DB!$AD:$AD,'Detail Cabang-By Payment Type'!D$4)</f>
        <v>0</v>
      </c>
      <c r="E31" s="59">
        <f ca="1">SUMIFS(DB!$AC:$AC,DB!$AP:$AP,'Detail Cabang-By Payment Type'!$C31,DB!$AT:$AT,"ALDA",DB!$AR:$AR,'Detail Cabang-By Payment Type'!$L$1,DB!$AD:$AD,'Detail Cabang-By Payment Type'!E$4)</f>
        <v>307000</v>
      </c>
      <c r="F31" s="65">
        <f t="shared" ca="1" si="0"/>
        <v>307000</v>
      </c>
    </row>
    <row r="32" spans="2:6" ht="14.4" thickBot="1" x14ac:dyDescent="0.35">
      <c r="B32" s="181" t="s">
        <v>228</v>
      </c>
      <c r="C32" s="170" t="s">
        <v>10</v>
      </c>
      <c r="D32" s="29">
        <f ca="1">SUMIFS(DB!$AC:$AC,DB!$AP:$AP,'Detail Cabang-By Payment Type'!$C32,DB!$AT:$AT,"ALDA",DB!$AR:$AR,'Detail Cabang-By Payment Type'!$L$1,DB!$AD:$AD,'Detail Cabang-By Payment Type'!D$4)</f>
        <v>0</v>
      </c>
      <c r="E32" s="60">
        <f ca="1">SUMIFS(DB!$AC:$AC,DB!$AP:$AP,'Detail Cabang-By Payment Type'!$C32,DB!$AT:$AT,"ALDA",DB!$AR:$AR,'Detail Cabang-By Payment Type'!$L$1,DB!$AD:$AD,'Detail Cabang-By Payment Type'!E$4)</f>
        <v>2664042</v>
      </c>
      <c r="F32" s="277">
        <f t="shared" ca="1" si="0"/>
        <v>2664042</v>
      </c>
    </row>
    <row r="33" spans="2:6" x14ac:dyDescent="0.3">
      <c r="B33" s="180" t="s">
        <v>233</v>
      </c>
      <c r="C33" s="169" t="s">
        <v>346</v>
      </c>
      <c r="D33" s="28">
        <f ca="1">SUMIFS(DB!$AC:$AC,DB!$AP:$AP,'Detail Cabang-By Payment Type'!$C33,DB!$AT:$AT,"ALDA",DB!$AR:$AR,'Detail Cabang-By Payment Type'!$L$1,DB!$AD:$AD,'Detail Cabang-By Payment Type'!D$4)</f>
        <v>0</v>
      </c>
      <c r="E33" s="59">
        <f ca="1">SUMIFS(DB!$AC:$AC,DB!$AP:$AP,'Detail Cabang-By Payment Type'!$C33,DB!$AT:$AT,"ALDA",DB!$AR:$AR,'Detail Cabang-By Payment Type'!$L$1,DB!$AD:$AD,'Detail Cabang-By Payment Type'!E$4)</f>
        <v>0</v>
      </c>
      <c r="F33" s="65">
        <f t="shared" ca="1" si="0"/>
        <v>0</v>
      </c>
    </row>
    <row r="34" spans="2:6" x14ac:dyDescent="0.3">
      <c r="B34" s="180" t="s">
        <v>233</v>
      </c>
      <c r="C34" s="169" t="s">
        <v>344</v>
      </c>
      <c r="D34" s="28">
        <f ca="1">SUMIFS(DB!$AC:$AC,DB!$AP:$AP,'Detail Cabang-By Payment Type'!$C34,DB!$AT:$AT,"ALDA",DB!$AR:$AR,'Detail Cabang-By Payment Type'!$L$1,DB!$AD:$AD,'Detail Cabang-By Payment Type'!D$4)</f>
        <v>0</v>
      </c>
      <c r="E34" s="59">
        <f ca="1">SUMIFS(DB!$AC:$AC,DB!$AP:$AP,'Detail Cabang-By Payment Type'!$C34,DB!$AT:$AT,"ALDA",DB!$AR:$AR,'Detail Cabang-By Payment Type'!$L$1,DB!$AD:$AD,'Detail Cabang-By Payment Type'!E$4)</f>
        <v>1394780</v>
      </c>
      <c r="F34" s="65">
        <f t="shared" ca="1" si="0"/>
        <v>1394780</v>
      </c>
    </row>
    <row r="35" spans="2:6" x14ac:dyDescent="0.3">
      <c r="B35" s="180" t="s">
        <v>233</v>
      </c>
      <c r="C35" s="169" t="s">
        <v>234</v>
      </c>
      <c r="D35" s="28">
        <f ca="1">SUMIFS(DB!$AC:$AC,DB!$AP:$AP,'Detail Cabang-By Payment Type'!$C35,DB!$AT:$AT,"ALDA",DB!$AR:$AR,'Detail Cabang-By Payment Type'!$L$1,DB!$AD:$AD,'Detail Cabang-By Payment Type'!D$4)</f>
        <v>0</v>
      </c>
      <c r="E35" s="59">
        <f ca="1">SUMIFS(DB!$AC:$AC,DB!$AP:$AP,'Detail Cabang-By Payment Type'!$C35,DB!$AT:$AT,"ALDA",DB!$AR:$AR,'Detail Cabang-By Payment Type'!$L$1,DB!$AD:$AD,'Detail Cabang-By Payment Type'!E$4)</f>
        <v>0</v>
      </c>
      <c r="F35" s="65">
        <f t="shared" ca="1" si="0"/>
        <v>0</v>
      </c>
    </row>
    <row r="36" spans="2:6" x14ac:dyDescent="0.3">
      <c r="B36" s="180" t="s">
        <v>233</v>
      </c>
      <c r="C36" s="169" t="s">
        <v>41</v>
      </c>
      <c r="D36" s="28">
        <f ca="1">SUMIFS(DB!$AC:$AC,DB!$AP:$AP,'Detail Cabang-By Payment Type'!$C36,DB!$AT:$AT,"ALDA",DB!$AR:$AR,'Detail Cabang-By Payment Type'!$L$1,DB!$AD:$AD,'Detail Cabang-By Payment Type'!D$4)</f>
        <v>0</v>
      </c>
      <c r="E36" s="59">
        <f ca="1">SUMIFS(DB!$AC:$AC,DB!$AP:$AP,'Detail Cabang-By Payment Type'!$C36,DB!$AT:$AT,"ALDA",DB!$AR:$AR,'Detail Cabang-By Payment Type'!$L$1,DB!$AD:$AD,'Detail Cabang-By Payment Type'!E$4)</f>
        <v>0</v>
      </c>
      <c r="F36" s="65">
        <f t="shared" ca="1" si="0"/>
        <v>0</v>
      </c>
    </row>
    <row r="37" spans="2:6" x14ac:dyDescent="0.3">
      <c r="B37" s="180" t="s">
        <v>233</v>
      </c>
      <c r="C37" s="169" t="s">
        <v>388</v>
      </c>
      <c r="D37" s="28">
        <f ca="1">SUMIFS(DB!$AC:$AC,DB!$AP:$AP,'Detail Cabang-By Payment Type'!$C37,DB!$AT:$AT,"ALDA",DB!$AR:$AR,'Detail Cabang-By Payment Type'!$L$1,DB!$AD:$AD,'Detail Cabang-By Payment Type'!D$4)</f>
        <v>0</v>
      </c>
      <c r="E37" s="59">
        <f ca="1">SUMIFS(DB!$AC:$AC,DB!$AP:$AP,'Detail Cabang-By Payment Type'!$C37,DB!$AT:$AT,"ALDA",DB!$AR:$AR,'Detail Cabang-By Payment Type'!$L$1,DB!$AD:$AD,'Detail Cabang-By Payment Type'!E$4)</f>
        <v>5350000</v>
      </c>
      <c r="F37" s="65">
        <f t="shared" ca="1" si="0"/>
        <v>5350000</v>
      </c>
    </row>
    <row r="38" spans="2:6" ht="14.4" thickBot="1" x14ac:dyDescent="0.35">
      <c r="B38" s="181" t="s">
        <v>233</v>
      </c>
      <c r="C38" s="170" t="s">
        <v>560</v>
      </c>
      <c r="D38" s="29">
        <f ca="1">SUMIFS(DB!$AC:$AC,DB!$AP:$AP,'Detail Cabang-By Payment Type'!$C38,DB!$AT:$AT,"ALDA",DB!$AR:$AR,'Detail Cabang-By Payment Type'!$L$1,DB!$AD:$AD,'Detail Cabang-By Payment Type'!D$4)</f>
        <v>0</v>
      </c>
      <c r="E38" s="60">
        <f ca="1">SUMIFS(DB!$AC:$AC,DB!$AP:$AP,'Detail Cabang-By Payment Type'!$C38,DB!$AT:$AT,"ALDA",DB!$AR:$AR,'Detail Cabang-By Payment Type'!$L$1,DB!$AD:$AD,'Detail Cabang-By Payment Type'!E$4)</f>
        <v>0</v>
      </c>
      <c r="F38" s="277">
        <f t="shared" ca="1" si="0"/>
        <v>0</v>
      </c>
    </row>
    <row r="39" spans="2:6" x14ac:dyDescent="0.3">
      <c r="B39" s="180" t="s">
        <v>295</v>
      </c>
      <c r="C39" s="169" t="s">
        <v>199</v>
      </c>
      <c r="D39" s="28">
        <f ca="1">SUMIFS(DB!$AC:$AC,DB!$AP:$AP,'Detail Cabang-By Payment Type'!$C39,DB!$AT:$AT,"ALDA",DB!$AR:$AR,'Detail Cabang-By Payment Type'!$L$1,DB!$AD:$AD,'Detail Cabang-By Payment Type'!D$4)</f>
        <v>0</v>
      </c>
      <c r="E39" s="59">
        <f ca="1">SUMIFS(DB!$AC:$AC,DB!$AP:$AP,'Detail Cabang-By Payment Type'!$C39,DB!$AT:$AT,"ALDA",DB!$AR:$AR,'Detail Cabang-By Payment Type'!$L$1,DB!$AD:$AD,'Detail Cabang-By Payment Type'!E$4)</f>
        <v>0</v>
      </c>
      <c r="F39" s="65">
        <f t="shared" ca="1" si="0"/>
        <v>0</v>
      </c>
    </row>
    <row r="40" spans="2:6" x14ac:dyDescent="0.3">
      <c r="B40" s="180" t="s">
        <v>295</v>
      </c>
      <c r="C40" s="169" t="s">
        <v>362</v>
      </c>
      <c r="D40" s="28">
        <f ca="1">SUMIFS(DB!$AC:$AC,DB!$AP:$AP,'Detail Cabang-By Payment Type'!$C40,DB!$AT:$AT,"ALDA",DB!$AR:$AR,'Detail Cabang-By Payment Type'!$L$1,DB!$AD:$AD,'Detail Cabang-By Payment Type'!D$4)</f>
        <v>0</v>
      </c>
      <c r="E40" s="59">
        <f ca="1">SUMIFS(DB!$AC:$AC,DB!$AP:$AP,'Detail Cabang-By Payment Type'!$C40,DB!$AT:$AT,"ALDA",DB!$AR:$AR,'Detail Cabang-By Payment Type'!$L$1,DB!$AD:$AD,'Detail Cabang-By Payment Type'!E$4)</f>
        <v>0</v>
      </c>
      <c r="F40" s="65">
        <f t="shared" ca="1" si="0"/>
        <v>0</v>
      </c>
    </row>
    <row r="41" spans="2:6" x14ac:dyDescent="0.3">
      <c r="B41" s="180" t="s">
        <v>295</v>
      </c>
      <c r="C41" s="169" t="s">
        <v>37</v>
      </c>
      <c r="D41" s="28">
        <f ca="1">SUMIFS(DB!$AC:$AC,DB!$AP:$AP,'Detail Cabang-By Payment Type'!$C41,DB!$AT:$AT,"ALDA",DB!$AR:$AR,'Detail Cabang-By Payment Type'!$L$1,DB!$AD:$AD,'Detail Cabang-By Payment Type'!D$4)</f>
        <v>0</v>
      </c>
      <c r="E41" s="59">
        <f ca="1">SUMIFS(DB!$AC:$AC,DB!$AP:$AP,'Detail Cabang-By Payment Type'!$C41,DB!$AT:$AT,"ALDA",DB!$AR:$AR,'Detail Cabang-By Payment Type'!$L$1,DB!$AD:$AD,'Detail Cabang-By Payment Type'!E$4)</f>
        <v>21000</v>
      </c>
      <c r="F41" s="65">
        <f t="shared" ca="1" si="0"/>
        <v>21000</v>
      </c>
    </row>
    <row r="42" spans="2:6" ht="14.4" thickBot="1" x14ac:dyDescent="0.35">
      <c r="B42" s="181" t="s">
        <v>295</v>
      </c>
      <c r="C42" s="170" t="s">
        <v>557</v>
      </c>
      <c r="D42" s="29">
        <f ca="1">SUMIFS(DB!$AC:$AC,DB!$AP:$AP,'Detail Cabang-By Payment Type'!$C42,DB!$AT:$AT,"ALDA",DB!$AR:$AR,'Detail Cabang-By Payment Type'!$L$1,DB!$AD:$AD,'Detail Cabang-By Payment Type'!D$4)</f>
        <v>0</v>
      </c>
      <c r="E42" s="60">
        <f ca="1">SUMIFS(DB!$AC:$AC,DB!$AP:$AP,'Detail Cabang-By Payment Type'!$C42,DB!$AT:$AT,"ALDA",DB!$AR:$AR,'Detail Cabang-By Payment Type'!$L$1,DB!$AD:$AD,'Detail Cabang-By Payment Type'!E$4)</f>
        <v>0</v>
      </c>
      <c r="F42" s="277">
        <f t="shared" ca="1" si="0"/>
        <v>0</v>
      </c>
    </row>
    <row r="43" spans="2:6" x14ac:dyDescent="0.3">
      <c r="B43" s="180" t="s">
        <v>265</v>
      </c>
      <c r="C43" s="169" t="s">
        <v>43</v>
      </c>
      <c r="D43" s="28">
        <f ca="1">SUMIFS(DB!$AC:$AC,DB!$AP:$AP,'Detail Cabang-By Payment Type'!$C43,DB!$AT:$AT,"ALDA",DB!$AR:$AR,'Detail Cabang-By Payment Type'!$L$1,DB!$AD:$AD,'Detail Cabang-By Payment Type'!D$4)</f>
        <v>0</v>
      </c>
      <c r="E43" s="59">
        <f ca="1">SUMIFS(DB!$AC:$AC,DB!$AP:$AP,'Detail Cabang-By Payment Type'!$C43,DB!$AT:$AT,"ALDA",DB!$AR:$AR,'Detail Cabang-By Payment Type'!$L$1,DB!$AD:$AD,'Detail Cabang-By Payment Type'!E$4)</f>
        <v>0</v>
      </c>
      <c r="F43" s="65">
        <f t="shared" ca="1" si="0"/>
        <v>0</v>
      </c>
    </row>
    <row r="44" spans="2:6" x14ac:dyDescent="0.3">
      <c r="B44" s="180" t="s">
        <v>265</v>
      </c>
      <c r="C44" s="169" t="s">
        <v>263</v>
      </c>
      <c r="D44" s="28">
        <f ca="1">SUMIFS(DB!$AC:$AC,DB!$AP:$AP,'Detail Cabang-By Payment Type'!$C44,DB!$AT:$AT,"ALDA",DB!$AR:$AR,'Detail Cabang-By Payment Type'!$L$1,DB!$AD:$AD,'Detail Cabang-By Payment Type'!D$4)</f>
        <v>0</v>
      </c>
      <c r="E44" s="59">
        <f ca="1">SUMIFS(DB!$AC:$AC,DB!$AP:$AP,'Detail Cabang-By Payment Type'!$C44,DB!$AT:$AT,"ALDA",DB!$AR:$AR,'Detail Cabang-By Payment Type'!$L$1,DB!$AD:$AD,'Detail Cabang-By Payment Type'!E$4)</f>
        <v>0</v>
      </c>
      <c r="F44" s="65">
        <f t="shared" ca="1" si="0"/>
        <v>0</v>
      </c>
    </row>
    <row r="45" spans="2:6" x14ac:dyDescent="0.3">
      <c r="B45" s="180" t="s">
        <v>265</v>
      </c>
      <c r="C45" s="169" t="s">
        <v>290</v>
      </c>
      <c r="D45" s="28">
        <f ca="1">SUMIFS(DB!$AC:$AC,DB!$AP:$AP,'Detail Cabang-By Payment Type'!$C45,DB!$AT:$AT,"ALDA",DB!$AR:$AR,'Detail Cabang-By Payment Type'!$L$1,DB!$AD:$AD,'Detail Cabang-By Payment Type'!D$4)</f>
        <v>0</v>
      </c>
      <c r="E45" s="59">
        <f ca="1">SUMIFS(DB!$AC:$AC,DB!$AP:$AP,'Detail Cabang-By Payment Type'!$C45,DB!$AT:$AT,"ALDA",DB!$AR:$AR,'Detail Cabang-By Payment Type'!$L$1,DB!$AD:$AD,'Detail Cabang-By Payment Type'!E$4)</f>
        <v>0</v>
      </c>
      <c r="F45" s="65">
        <f t="shared" ca="1" si="0"/>
        <v>0</v>
      </c>
    </row>
    <row r="46" spans="2:6" ht="14.4" thickBot="1" x14ac:dyDescent="0.35">
      <c r="B46" s="181" t="s">
        <v>265</v>
      </c>
      <c r="C46" s="170" t="s">
        <v>288</v>
      </c>
      <c r="D46" s="29">
        <f ca="1">SUMIFS(DB!$AC:$AC,DB!$AP:$AP,'Detail Cabang-By Payment Type'!$C46,DB!$AT:$AT,"ALDA",DB!$AR:$AR,'Detail Cabang-By Payment Type'!$L$1,DB!$AD:$AD,'Detail Cabang-By Payment Type'!D$4)</f>
        <v>0</v>
      </c>
      <c r="E46" s="60">
        <f ca="1">SUMIFS(DB!$AC:$AC,DB!$AP:$AP,'Detail Cabang-By Payment Type'!$C46,DB!$AT:$AT,"ALDA",DB!$AR:$AR,'Detail Cabang-By Payment Type'!$L$1,DB!$AD:$AD,'Detail Cabang-By Payment Type'!E$4)</f>
        <v>50000</v>
      </c>
      <c r="F46" s="277">
        <f t="shared" ca="1" si="0"/>
        <v>50000</v>
      </c>
    </row>
    <row r="47" spans="2:6" x14ac:dyDescent="0.3">
      <c r="B47" s="180" t="s">
        <v>385</v>
      </c>
      <c r="C47" s="169" t="s">
        <v>383</v>
      </c>
      <c r="D47" s="28">
        <f ca="1">SUMIFS(DB!$AC:$AC,DB!$AP:$AP,'Detail Cabang-By Payment Type'!$C47,DB!$AT:$AT,"ALDA",DB!$AR:$AR,'Detail Cabang-By Payment Type'!$L$1,DB!$AD:$AD,'Detail Cabang-By Payment Type'!D$4)</f>
        <v>0</v>
      </c>
      <c r="E47" s="59">
        <f ca="1">SUMIFS(DB!$AC:$AC,DB!$AP:$AP,'Detail Cabang-By Payment Type'!$C47,DB!$AT:$AT,"ALDA",DB!$AR:$AR,'Detail Cabang-By Payment Type'!$L$1,DB!$AD:$AD,'Detail Cabang-By Payment Type'!E$4)</f>
        <v>0</v>
      </c>
      <c r="F47" s="65">
        <f t="shared" ca="1" si="0"/>
        <v>0</v>
      </c>
    </row>
    <row r="48" spans="2:6" x14ac:dyDescent="0.3">
      <c r="B48" s="180" t="s">
        <v>385</v>
      </c>
      <c r="C48" s="169" t="s">
        <v>408</v>
      </c>
      <c r="D48" s="28">
        <f ca="1">SUMIFS(DB!$AC:$AC,DB!$AP:$AP,'Detail Cabang-By Payment Type'!$C48,DB!$AT:$AT,"ALDA",DB!$AR:$AR,'Detail Cabang-By Payment Type'!$L$1,DB!$AD:$AD,'Detail Cabang-By Payment Type'!D$4)</f>
        <v>0</v>
      </c>
      <c r="E48" s="59">
        <f ca="1">SUMIFS(DB!$AC:$AC,DB!$AP:$AP,'Detail Cabang-By Payment Type'!$C48,DB!$AT:$AT,"ALDA",DB!$AR:$AR,'Detail Cabang-By Payment Type'!$L$1,DB!$AD:$AD,'Detail Cabang-By Payment Type'!E$4)</f>
        <v>0</v>
      </c>
      <c r="F48" s="65">
        <f t="shared" ca="1" si="0"/>
        <v>0</v>
      </c>
    </row>
    <row r="49" spans="2:6" ht="14.4" thickBot="1" x14ac:dyDescent="0.35">
      <c r="B49" s="182" t="s">
        <v>385</v>
      </c>
      <c r="C49" s="172" t="s">
        <v>554</v>
      </c>
      <c r="D49" s="30">
        <f ca="1">SUMIFS(DB!$AC:$AC,DB!$AP:$AP,'Detail Cabang-By Payment Type'!$C49,DB!$AT:$AT,"ALDA",DB!$AR:$AR,'Detail Cabang-By Payment Type'!$L$1,DB!$AD:$AD,'Detail Cabang-By Payment Type'!D$4)</f>
        <v>0</v>
      </c>
      <c r="E49" s="61">
        <f ca="1">SUMIFS(DB!$AC:$AC,DB!$AP:$AP,'Detail Cabang-By Payment Type'!$C49,DB!$AT:$AT,"ALDA",DB!$AR:$AR,'Detail Cabang-By Payment Type'!$L$1,DB!$AD:$AD,'Detail Cabang-By Payment Type'!E$4)</f>
        <v>0</v>
      </c>
      <c r="F49" s="278">
        <f t="shared" ca="1" si="0"/>
        <v>0</v>
      </c>
    </row>
    <row r="50" spans="2:6" ht="14.4" thickTop="1" x14ac:dyDescent="0.3">
      <c r="C50" s="164" t="s">
        <v>246</v>
      </c>
      <c r="D50" s="32">
        <f t="shared" ref="D50:F58" ca="1" si="1">SUMIFS(D$5:D$49,$B$5:$B$49,$C50)</f>
        <v>0</v>
      </c>
      <c r="E50" s="62">
        <f t="shared" ca="1" si="1"/>
        <v>2571605</v>
      </c>
      <c r="F50" s="66">
        <f t="shared" ca="1" si="1"/>
        <v>2571605</v>
      </c>
    </row>
    <row r="51" spans="2:6" x14ac:dyDescent="0.3">
      <c r="C51" s="166" t="s">
        <v>257</v>
      </c>
      <c r="D51" s="28">
        <f t="shared" ca="1" si="1"/>
        <v>0</v>
      </c>
      <c r="E51" s="59">
        <f t="shared" ca="1" si="1"/>
        <v>0</v>
      </c>
      <c r="F51" s="65">
        <f t="shared" ca="1" si="1"/>
        <v>0</v>
      </c>
    </row>
    <row r="52" spans="2:6" x14ac:dyDescent="0.3">
      <c r="C52" s="166" t="s">
        <v>273</v>
      </c>
      <c r="D52" s="28">
        <f t="shared" ca="1" si="1"/>
        <v>0</v>
      </c>
      <c r="E52" s="59">
        <f t="shared" ca="1" si="1"/>
        <v>3580</v>
      </c>
      <c r="F52" s="65">
        <f t="shared" ca="1" si="1"/>
        <v>3580</v>
      </c>
    </row>
    <row r="53" spans="2:6" x14ac:dyDescent="0.3">
      <c r="C53" s="166" t="s">
        <v>252</v>
      </c>
      <c r="D53" s="28">
        <f t="shared" ca="1" si="1"/>
        <v>898200</v>
      </c>
      <c r="E53" s="59">
        <f t="shared" ca="1" si="1"/>
        <v>89400</v>
      </c>
      <c r="F53" s="65">
        <f t="shared" ca="1" si="1"/>
        <v>987600</v>
      </c>
    </row>
    <row r="54" spans="2:6" x14ac:dyDescent="0.3">
      <c r="C54" s="166" t="s">
        <v>228</v>
      </c>
      <c r="D54" s="28">
        <f t="shared" ca="1" si="1"/>
        <v>3363875</v>
      </c>
      <c r="E54" s="59">
        <f t="shared" ca="1" si="1"/>
        <v>4481958</v>
      </c>
      <c r="F54" s="65">
        <f t="shared" ca="1" si="1"/>
        <v>7845833</v>
      </c>
    </row>
    <row r="55" spans="2:6" x14ac:dyDescent="0.3">
      <c r="C55" s="166" t="s">
        <v>233</v>
      </c>
      <c r="D55" s="28">
        <f t="shared" ca="1" si="1"/>
        <v>0</v>
      </c>
      <c r="E55" s="59">
        <f t="shared" ca="1" si="1"/>
        <v>6744780</v>
      </c>
      <c r="F55" s="65">
        <f t="shared" ca="1" si="1"/>
        <v>6744780</v>
      </c>
    </row>
    <row r="56" spans="2:6" x14ac:dyDescent="0.3">
      <c r="C56" s="166" t="s">
        <v>295</v>
      </c>
      <c r="D56" s="28">
        <f t="shared" ca="1" si="1"/>
        <v>0</v>
      </c>
      <c r="E56" s="59">
        <f t="shared" ca="1" si="1"/>
        <v>21000</v>
      </c>
      <c r="F56" s="65">
        <f t="shared" ca="1" si="1"/>
        <v>21000</v>
      </c>
    </row>
    <row r="57" spans="2:6" x14ac:dyDescent="0.3">
      <c r="C57" s="166" t="s">
        <v>265</v>
      </c>
      <c r="D57" s="28">
        <f t="shared" ca="1" si="1"/>
        <v>0</v>
      </c>
      <c r="E57" s="59">
        <f t="shared" ca="1" si="1"/>
        <v>50000</v>
      </c>
      <c r="F57" s="65">
        <f t="shared" ca="1" si="1"/>
        <v>50000</v>
      </c>
    </row>
    <row r="58" spans="2:6" ht="14.4" thickBot="1" x14ac:dyDescent="0.35">
      <c r="C58" s="167" t="s">
        <v>385</v>
      </c>
      <c r="D58" s="31">
        <f t="shared" ca="1" si="1"/>
        <v>0</v>
      </c>
      <c r="E58" s="63">
        <f t="shared" ca="1" si="1"/>
        <v>0</v>
      </c>
      <c r="F58" s="67">
        <f t="shared" ca="1" si="1"/>
        <v>0</v>
      </c>
    </row>
    <row r="59" spans="2:6" ht="15" thickTop="1" thickBot="1" x14ac:dyDescent="0.35">
      <c r="C59" s="279" t="s">
        <v>652</v>
      </c>
      <c r="D59" s="280">
        <f ca="1">SUM(D50:D58)</f>
        <v>4262075</v>
      </c>
      <c r="E59" s="281">
        <f t="shared" ref="E59:F59" ca="1" si="2">SUM(E50:E58)</f>
        <v>13962323</v>
      </c>
      <c r="F59" s="282">
        <f t="shared" ca="1" si="2"/>
        <v>18224398</v>
      </c>
    </row>
    <row r="60" spans="2:6" ht="14.4" thickTop="1" x14ac:dyDescent="0.3"/>
  </sheetData>
  <mergeCells count="4">
    <mergeCell ref="B3:B4"/>
    <mergeCell ref="C3:C4"/>
    <mergeCell ref="D3:E3"/>
    <mergeCell ref="F3:F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B1:AK120"/>
  <sheetViews>
    <sheetView showGridLines="0" workbookViewId="0">
      <pane xSplit="4" ySplit="5" topLeftCell="E6" activePane="bottomRight" state="frozen"/>
      <selection activeCell="AJ28" sqref="AJ28:AJ29"/>
      <selection pane="topRight" activeCell="AJ28" sqref="AJ28:AJ29"/>
      <selection pane="bottomLeft" activeCell="AJ28" sqref="AJ28:AJ29"/>
      <selection pane="bottomRight" activeCell="C4" sqref="C4:C5"/>
    </sheetView>
  </sheetViews>
  <sheetFormatPr defaultColWidth="9.109375" defaultRowHeight="16.2" x14ac:dyDescent="0.3"/>
  <cols>
    <col min="1" max="1" width="0.44140625" style="91" customWidth="1"/>
    <col min="2" max="3" width="20.6640625" style="91" customWidth="1"/>
    <col min="4" max="4" width="23.33203125" style="91" customWidth="1"/>
    <col min="5" max="35" width="15.6640625" style="91" customWidth="1"/>
    <col min="36" max="36" width="23.33203125" style="91" customWidth="1"/>
    <col min="37" max="37" width="11.5546875" style="91" bestFit="1" customWidth="1"/>
    <col min="38" max="16384" width="9.109375" style="91"/>
  </cols>
  <sheetData>
    <row r="1" spans="2:37" s="82" customFormat="1" ht="24" x14ac:dyDescent="0.3">
      <c r="B1" s="80" t="str">
        <f ca="1">'Summary-New'!B1</f>
        <v>Summary Penerimaan Denda Alda Periode June 2026</v>
      </c>
      <c r="C1" s="80"/>
      <c r="D1" s="81"/>
    </row>
    <row r="2" spans="2:37" s="82" customFormat="1" ht="24" x14ac:dyDescent="0.3">
      <c r="B2" s="229">
        <f ca="1">TODAY()-1</f>
        <v>46177</v>
      </c>
      <c r="C2" s="229"/>
      <c r="D2" s="81"/>
    </row>
    <row r="3" spans="2:37" s="83" customFormat="1" ht="5.0999999999999996" customHeight="1" thickBot="1" x14ac:dyDescent="0.35">
      <c r="B3" s="83">
        <v>10</v>
      </c>
      <c r="C3" s="83" t="s">
        <v>789</v>
      </c>
      <c r="D3" s="84">
        <v>2025</v>
      </c>
      <c r="E3" s="83" t="s">
        <v>790</v>
      </c>
    </row>
    <row r="4" spans="2:37" s="283" customFormat="1" ht="20.100000000000001" customHeight="1" x14ac:dyDescent="0.3">
      <c r="C4" s="284" t="s">
        <v>791</v>
      </c>
      <c r="D4" s="284" t="s">
        <v>87</v>
      </c>
      <c r="E4" s="285" t="s">
        <v>792</v>
      </c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285"/>
      <c r="AE4" s="285"/>
      <c r="AF4" s="285"/>
      <c r="AG4" s="285"/>
      <c r="AH4" s="285"/>
      <c r="AI4" s="285"/>
      <c r="AJ4" s="286" t="s">
        <v>793</v>
      </c>
    </row>
    <row r="5" spans="2:37" s="283" customFormat="1" ht="20.100000000000001" customHeight="1" thickBot="1" x14ac:dyDescent="0.35">
      <c r="B5" s="287"/>
      <c r="C5" s="288"/>
      <c r="D5" s="288"/>
      <c r="E5" s="289">
        <v>1</v>
      </c>
      <c r="F5" s="290">
        <v>2</v>
      </c>
      <c r="G5" s="290">
        <v>3</v>
      </c>
      <c r="H5" s="290">
        <v>4</v>
      </c>
      <c r="I5" s="290">
        <v>5</v>
      </c>
      <c r="J5" s="290">
        <v>6</v>
      </c>
      <c r="K5" s="290">
        <v>7</v>
      </c>
      <c r="L5" s="290">
        <v>8</v>
      </c>
      <c r="M5" s="290">
        <v>9</v>
      </c>
      <c r="N5" s="290">
        <v>10</v>
      </c>
      <c r="O5" s="290">
        <v>11</v>
      </c>
      <c r="P5" s="290">
        <v>12</v>
      </c>
      <c r="Q5" s="290">
        <v>13</v>
      </c>
      <c r="R5" s="290">
        <v>14</v>
      </c>
      <c r="S5" s="290">
        <v>15</v>
      </c>
      <c r="T5" s="290">
        <v>16</v>
      </c>
      <c r="U5" s="290">
        <v>17</v>
      </c>
      <c r="V5" s="290">
        <v>18</v>
      </c>
      <c r="W5" s="290">
        <v>19</v>
      </c>
      <c r="X5" s="290">
        <v>20</v>
      </c>
      <c r="Y5" s="290">
        <v>21</v>
      </c>
      <c r="Z5" s="290">
        <v>22</v>
      </c>
      <c r="AA5" s="290">
        <v>23</v>
      </c>
      <c r="AB5" s="290">
        <v>24</v>
      </c>
      <c r="AC5" s="290">
        <v>25</v>
      </c>
      <c r="AD5" s="290">
        <v>26</v>
      </c>
      <c r="AE5" s="290">
        <v>27</v>
      </c>
      <c r="AF5" s="290">
        <v>28</v>
      </c>
      <c r="AG5" s="290">
        <v>29</v>
      </c>
      <c r="AH5" s="290">
        <v>30</v>
      </c>
      <c r="AI5" s="291">
        <v>31</v>
      </c>
      <c r="AJ5" s="292"/>
    </row>
    <row r="6" spans="2:37" ht="15" customHeight="1" x14ac:dyDescent="0.3">
      <c r="B6" s="86" t="s">
        <v>45</v>
      </c>
      <c r="C6" s="293" t="s">
        <v>45</v>
      </c>
      <c r="D6" s="87" t="s">
        <v>246</v>
      </c>
      <c r="E6" s="88">
        <f>SUMIFS(E$30:E$119,$B$30:$B$119,$B6,$C$30:$C$119,$D6)</f>
        <v>0</v>
      </c>
      <c r="F6" s="89">
        <f t="shared" ref="F6:AI14" si="0">SUMIFS(F$30:F$119,$B$30:$B$119,$B6,$C$30:$C$119,$D6)</f>
        <v>2571605</v>
      </c>
      <c r="G6" s="89">
        <f t="shared" si="0"/>
        <v>0</v>
      </c>
      <c r="H6" s="89">
        <f t="shared" si="0"/>
        <v>0</v>
      </c>
      <c r="I6" s="89">
        <f t="shared" si="0"/>
        <v>0</v>
      </c>
      <c r="J6" s="89">
        <f t="shared" si="0"/>
        <v>0</v>
      </c>
      <c r="K6" s="89">
        <f t="shared" si="0"/>
        <v>0</v>
      </c>
      <c r="L6" s="89">
        <f t="shared" si="0"/>
        <v>0</v>
      </c>
      <c r="M6" s="89">
        <f t="shared" si="0"/>
        <v>0</v>
      </c>
      <c r="N6" s="89">
        <f t="shared" si="0"/>
        <v>0</v>
      </c>
      <c r="O6" s="89">
        <f t="shared" si="0"/>
        <v>0</v>
      </c>
      <c r="P6" s="89">
        <f t="shared" si="0"/>
        <v>0</v>
      </c>
      <c r="Q6" s="89">
        <f t="shared" si="0"/>
        <v>0</v>
      </c>
      <c r="R6" s="89">
        <f t="shared" si="0"/>
        <v>0</v>
      </c>
      <c r="S6" s="89">
        <f t="shared" si="0"/>
        <v>0</v>
      </c>
      <c r="T6" s="89">
        <f t="shared" si="0"/>
        <v>0</v>
      </c>
      <c r="U6" s="89">
        <f t="shared" si="0"/>
        <v>0</v>
      </c>
      <c r="V6" s="89">
        <f t="shared" si="0"/>
        <v>0</v>
      </c>
      <c r="W6" s="89">
        <f t="shared" si="0"/>
        <v>0</v>
      </c>
      <c r="X6" s="89">
        <f t="shared" si="0"/>
        <v>0</v>
      </c>
      <c r="Y6" s="89">
        <f t="shared" si="0"/>
        <v>0</v>
      </c>
      <c r="Z6" s="89">
        <f t="shared" si="0"/>
        <v>0</v>
      </c>
      <c r="AA6" s="89">
        <f t="shared" si="0"/>
        <v>0</v>
      </c>
      <c r="AB6" s="89">
        <f t="shared" si="0"/>
        <v>0</v>
      </c>
      <c r="AC6" s="89">
        <f t="shared" si="0"/>
        <v>0</v>
      </c>
      <c r="AD6" s="89">
        <f t="shared" si="0"/>
        <v>0</v>
      </c>
      <c r="AE6" s="89">
        <f t="shared" si="0"/>
        <v>0</v>
      </c>
      <c r="AF6" s="89">
        <f t="shared" si="0"/>
        <v>0</v>
      </c>
      <c r="AG6" s="89">
        <f t="shared" si="0"/>
        <v>0</v>
      </c>
      <c r="AH6" s="89">
        <f t="shared" si="0"/>
        <v>0</v>
      </c>
      <c r="AI6" s="90">
        <f t="shared" si="0"/>
        <v>0</v>
      </c>
      <c r="AJ6" s="294">
        <f t="shared" ref="AJ6:AJ26" si="1">SUM(E6:AI6)</f>
        <v>2571605</v>
      </c>
    </row>
    <row r="7" spans="2:37" ht="15" customHeight="1" x14ac:dyDescent="0.3">
      <c r="B7" s="86" t="s">
        <v>45</v>
      </c>
      <c r="C7" s="295"/>
      <c r="D7" s="92" t="s">
        <v>257</v>
      </c>
      <c r="E7" s="93">
        <f t="shared" ref="E7:T14" si="2">SUMIFS(E$30:E$119,$B$30:$B$119,$B7,$C$30:$C$119,$D7)</f>
        <v>0</v>
      </c>
      <c r="F7" s="94">
        <f t="shared" si="2"/>
        <v>0</v>
      </c>
      <c r="G7" s="94">
        <f t="shared" si="2"/>
        <v>0</v>
      </c>
      <c r="H7" s="94">
        <f t="shared" si="2"/>
        <v>0</v>
      </c>
      <c r="I7" s="94">
        <f t="shared" si="2"/>
        <v>0</v>
      </c>
      <c r="J7" s="94">
        <f t="shared" si="2"/>
        <v>0</v>
      </c>
      <c r="K7" s="94">
        <f t="shared" si="2"/>
        <v>0</v>
      </c>
      <c r="L7" s="94">
        <f t="shared" si="2"/>
        <v>0</v>
      </c>
      <c r="M7" s="94">
        <f t="shared" si="2"/>
        <v>0</v>
      </c>
      <c r="N7" s="94">
        <f t="shared" si="2"/>
        <v>0</v>
      </c>
      <c r="O7" s="94">
        <f t="shared" si="2"/>
        <v>0</v>
      </c>
      <c r="P7" s="94">
        <f t="shared" si="2"/>
        <v>0</v>
      </c>
      <c r="Q7" s="94">
        <f t="shared" si="2"/>
        <v>0</v>
      </c>
      <c r="R7" s="94">
        <f t="shared" si="2"/>
        <v>0</v>
      </c>
      <c r="S7" s="94">
        <f t="shared" si="2"/>
        <v>0</v>
      </c>
      <c r="T7" s="94">
        <f t="shared" si="2"/>
        <v>0</v>
      </c>
      <c r="U7" s="94">
        <f t="shared" si="0"/>
        <v>0</v>
      </c>
      <c r="V7" s="94">
        <f t="shared" si="0"/>
        <v>0</v>
      </c>
      <c r="W7" s="94">
        <f t="shared" si="0"/>
        <v>0</v>
      </c>
      <c r="X7" s="94">
        <f t="shared" si="0"/>
        <v>0</v>
      </c>
      <c r="Y7" s="94">
        <f t="shared" si="0"/>
        <v>0</v>
      </c>
      <c r="Z7" s="94">
        <f t="shared" si="0"/>
        <v>0</v>
      </c>
      <c r="AA7" s="94">
        <f t="shared" si="0"/>
        <v>0</v>
      </c>
      <c r="AB7" s="94">
        <f t="shared" si="0"/>
        <v>0</v>
      </c>
      <c r="AC7" s="94">
        <f t="shared" si="0"/>
        <v>0</v>
      </c>
      <c r="AD7" s="94">
        <f t="shared" si="0"/>
        <v>0</v>
      </c>
      <c r="AE7" s="94">
        <f t="shared" si="0"/>
        <v>0</v>
      </c>
      <c r="AF7" s="94">
        <f t="shared" si="0"/>
        <v>0</v>
      </c>
      <c r="AG7" s="94">
        <f t="shared" si="0"/>
        <v>0</v>
      </c>
      <c r="AH7" s="94">
        <f t="shared" si="0"/>
        <v>0</v>
      </c>
      <c r="AI7" s="95">
        <f t="shared" si="0"/>
        <v>0</v>
      </c>
      <c r="AJ7" s="296">
        <f t="shared" si="1"/>
        <v>0</v>
      </c>
    </row>
    <row r="8" spans="2:37" ht="15" customHeight="1" x14ac:dyDescent="0.3">
      <c r="B8" s="86" t="s">
        <v>45</v>
      </c>
      <c r="C8" s="295"/>
      <c r="D8" s="92" t="s">
        <v>273</v>
      </c>
      <c r="E8" s="93">
        <f t="shared" si="2"/>
        <v>0</v>
      </c>
      <c r="F8" s="94">
        <f t="shared" si="0"/>
        <v>0</v>
      </c>
      <c r="G8" s="94">
        <f t="shared" si="0"/>
        <v>0</v>
      </c>
      <c r="H8" s="94">
        <f t="shared" si="0"/>
        <v>0</v>
      </c>
      <c r="I8" s="94">
        <f t="shared" si="0"/>
        <v>0</v>
      </c>
      <c r="J8" s="94">
        <f t="shared" si="0"/>
        <v>0</v>
      </c>
      <c r="K8" s="94">
        <f t="shared" si="0"/>
        <v>0</v>
      </c>
      <c r="L8" s="94">
        <f t="shared" si="0"/>
        <v>0</v>
      </c>
      <c r="M8" s="94">
        <f t="shared" si="0"/>
        <v>0</v>
      </c>
      <c r="N8" s="94">
        <f t="shared" si="0"/>
        <v>0</v>
      </c>
      <c r="O8" s="94">
        <f t="shared" si="0"/>
        <v>0</v>
      </c>
      <c r="P8" s="94">
        <f t="shared" si="0"/>
        <v>0</v>
      </c>
      <c r="Q8" s="94">
        <f t="shared" si="0"/>
        <v>0</v>
      </c>
      <c r="R8" s="94">
        <f t="shared" si="0"/>
        <v>0</v>
      </c>
      <c r="S8" s="94">
        <f t="shared" si="0"/>
        <v>0</v>
      </c>
      <c r="T8" s="94">
        <f t="shared" si="0"/>
        <v>0</v>
      </c>
      <c r="U8" s="94">
        <f t="shared" si="0"/>
        <v>0</v>
      </c>
      <c r="V8" s="94">
        <f t="shared" si="0"/>
        <v>0</v>
      </c>
      <c r="W8" s="94">
        <f t="shared" si="0"/>
        <v>0</v>
      </c>
      <c r="X8" s="94">
        <f t="shared" si="0"/>
        <v>0</v>
      </c>
      <c r="Y8" s="94">
        <f t="shared" si="0"/>
        <v>0</v>
      </c>
      <c r="Z8" s="94">
        <f t="shared" si="0"/>
        <v>0</v>
      </c>
      <c r="AA8" s="94">
        <f t="shared" si="0"/>
        <v>0</v>
      </c>
      <c r="AB8" s="94">
        <f t="shared" si="0"/>
        <v>0</v>
      </c>
      <c r="AC8" s="94">
        <f t="shared" si="0"/>
        <v>0</v>
      </c>
      <c r="AD8" s="94">
        <f t="shared" si="0"/>
        <v>0</v>
      </c>
      <c r="AE8" s="94">
        <f t="shared" si="0"/>
        <v>0</v>
      </c>
      <c r="AF8" s="94">
        <f t="shared" si="0"/>
        <v>0</v>
      </c>
      <c r="AG8" s="94">
        <f t="shared" si="0"/>
        <v>0</v>
      </c>
      <c r="AH8" s="94">
        <f t="shared" si="0"/>
        <v>0</v>
      </c>
      <c r="AI8" s="95">
        <f t="shared" si="0"/>
        <v>0</v>
      </c>
      <c r="AJ8" s="296">
        <f t="shared" si="1"/>
        <v>0</v>
      </c>
    </row>
    <row r="9" spans="2:37" ht="15" customHeight="1" x14ac:dyDescent="0.3">
      <c r="B9" s="86" t="s">
        <v>45</v>
      </c>
      <c r="C9" s="295"/>
      <c r="D9" s="92" t="s">
        <v>252</v>
      </c>
      <c r="E9" s="93">
        <f t="shared" si="2"/>
        <v>0</v>
      </c>
      <c r="F9" s="94">
        <f t="shared" si="0"/>
        <v>0</v>
      </c>
      <c r="G9" s="94">
        <f t="shared" si="0"/>
        <v>709200</v>
      </c>
      <c r="H9" s="94">
        <f t="shared" si="0"/>
        <v>0</v>
      </c>
      <c r="I9" s="94">
        <f t="shared" si="0"/>
        <v>0</v>
      </c>
      <c r="J9" s="94">
        <f t="shared" si="0"/>
        <v>0</v>
      </c>
      <c r="K9" s="94">
        <f t="shared" si="0"/>
        <v>0</v>
      </c>
      <c r="L9" s="94">
        <f t="shared" si="0"/>
        <v>0</v>
      </c>
      <c r="M9" s="94">
        <f t="shared" si="0"/>
        <v>0</v>
      </c>
      <c r="N9" s="94">
        <f t="shared" si="0"/>
        <v>0</v>
      </c>
      <c r="O9" s="94">
        <f t="shared" si="0"/>
        <v>0</v>
      </c>
      <c r="P9" s="94">
        <f t="shared" si="0"/>
        <v>0</v>
      </c>
      <c r="Q9" s="94">
        <f t="shared" si="0"/>
        <v>0</v>
      </c>
      <c r="R9" s="94">
        <f t="shared" si="0"/>
        <v>0</v>
      </c>
      <c r="S9" s="94">
        <f t="shared" si="0"/>
        <v>0</v>
      </c>
      <c r="T9" s="94">
        <f t="shared" si="0"/>
        <v>0</v>
      </c>
      <c r="U9" s="94">
        <f t="shared" si="0"/>
        <v>0</v>
      </c>
      <c r="V9" s="94">
        <f t="shared" si="0"/>
        <v>0</v>
      </c>
      <c r="W9" s="94">
        <f t="shared" si="0"/>
        <v>0</v>
      </c>
      <c r="X9" s="94">
        <f t="shared" si="0"/>
        <v>0</v>
      </c>
      <c r="Y9" s="94">
        <f t="shared" si="0"/>
        <v>0</v>
      </c>
      <c r="Z9" s="94">
        <f t="shared" si="0"/>
        <v>0</v>
      </c>
      <c r="AA9" s="94">
        <f t="shared" si="0"/>
        <v>0</v>
      </c>
      <c r="AB9" s="94">
        <f t="shared" si="0"/>
        <v>0</v>
      </c>
      <c r="AC9" s="94">
        <f t="shared" si="0"/>
        <v>0</v>
      </c>
      <c r="AD9" s="94">
        <f t="shared" si="0"/>
        <v>0</v>
      </c>
      <c r="AE9" s="94">
        <f t="shared" si="0"/>
        <v>0</v>
      </c>
      <c r="AF9" s="94">
        <f t="shared" si="0"/>
        <v>0</v>
      </c>
      <c r="AG9" s="94">
        <f t="shared" si="0"/>
        <v>0</v>
      </c>
      <c r="AH9" s="94">
        <f t="shared" si="0"/>
        <v>0</v>
      </c>
      <c r="AI9" s="95">
        <f t="shared" si="0"/>
        <v>0</v>
      </c>
      <c r="AJ9" s="296">
        <f t="shared" si="1"/>
        <v>709200</v>
      </c>
    </row>
    <row r="10" spans="2:37" ht="15" customHeight="1" x14ac:dyDescent="0.3">
      <c r="B10" s="86" t="s">
        <v>45</v>
      </c>
      <c r="C10" s="295"/>
      <c r="D10" s="92" t="s">
        <v>228</v>
      </c>
      <c r="E10" s="93">
        <f t="shared" si="2"/>
        <v>1260992</v>
      </c>
      <c r="F10" s="94">
        <f t="shared" si="0"/>
        <v>3363875</v>
      </c>
      <c r="G10" s="94">
        <f t="shared" si="0"/>
        <v>2913966</v>
      </c>
      <c r="H10" s="94">
        <f t="shared" si="0"/>
        <v>0</v>
      </c>
      <c r="I10" s="94">
        <f t="shared" si="0"/>
        <v>0</v>
      </c>
      <c r="J10" s="94">
        <f t="shared" si="0"/>
        <v>0</v>
      </c>
      <c r="K10" s="94">
        <f t="shared" si="0"/>
        <v>0</v>
      </c>
      <c r="L10" s="94">
        <f t="shared" si="0"/>
        <v>0</v>
      </c>
      <c r="M10" s="94">
        <f t="shared" si="0"/>
        <v>0</v>
      </c>
      <c r="N10" s="94">
        <f t="shared" si="0"/>
        <v>0</v>
      </c>
      <c r="O10" s="94">
        <f t="shared" si="0"/>
        <v>0</v>
      </c>
      <c r="P10" s="94">
        <f t="shared" si="0"/>
        <v>0</v>
      </c>
      <c r="Q10" s="94">
        <f t="shared" si="0"/>
        <v>0</v>
      </c>
      <c r="R10" s="94">
        <f t="shared" si="0"/>
        <v>0</v>
      </c>
      <c r="S10" s="94">
        <f t="shared" si="0"/>
        <v>0</v>
      </c>
      <c r="T10" s="94">
        <f t="shared" si="0"/>
        <v>0</v>
      </c>
      <c r="U10" s="94">
        <f t="shared" si="0"/>
        <v>0</v>
      </c>
      <c r="V10" s="94">
        <f t="shared" si="0"/>
        <v>0</v>
      </c>
      <c r="W10" s="94">
        <f t="shared" si="0"/>
        <v>0</v>
      </c>
      <c r="X10" s="94">
        <f t="shared" si="0"/>
        <v>0</v>
      </c>
      <c r="Y10" s="94">
        <f t="shared" si="0"/>
        <v>0</v>
      </c>
      <c r="Z10" s="94">
        <f t="shared" si="0"/>
        <v>0</v>
      </c>
      <c r="AA10" s="94">
        <f t="shared" si="0"/>
        <v>0</v>
      </c>
      <c r="AB10" s="94">
        <f t="shared" si="0"/>
        <v>0</v>
      </c>
      <c r="AC10" s="94">
        <f t="shared" si="0"/>
        <v>0</v>
      </c>
      <c r="AD10" s="94">
        <f t="shared" si="0"/>
        <v>0</v>
      </c>
      <c r="AE10" s="94">
        <f t="shared" si="0"/>
        <v>0</v>
      </c>
      <c r="AF10" s="94">
        <f t="shared" si="0"/>
        <v>0</v>
      </c>
      <c r="AG10" s="94">
        <f t="shared" si="0"/>
        <v>0</v>
      </c>
      <c r="AH10" s="94">
        <f t="shared" si="0"/>
        <v>0</v>
      </c>
      <c r="AI10" s="95">
        <f t="shared" si="0"/>
        <v>0</v>
      </c>
      <c r="AJ10" s="296">
        <f t="shared" si="1"/>
        <v>7538833</v>
      </c>
    </row>
    <row r="11" spans="2:37" ht="15" customHeight="1" x14ac:dyDescent="0.3">
      <c r="B11" s="86" t="s">
        <v>45</v>
      </c>
      <c r="C11" s="295"/>
      <c r="D11" s="92" t="s">
        <v>233</v>
      </c>
      <c r="E11" s="93">
        <f t="shared" si="2"/>
        <v>0</v>
      </c>
      <c r="F11" s="94">
        <f t="shared" si="0"/>
        <v>0</v>
      </c>
      <c r="G11" s="94">
        <f t="shared" si="0"/>
        <v>5350000</v>
      </c>
      <c r="H11" s="94">
        <f t="shared" si="0"/>
        <v>0</v>
      </c>
      <c r="I11" s="94">
        <f t="shared" si="0"/>
        <v>0</v>
      </c>
      <c r="J11" s="94">
        <f t="shared" si="0"/>
        <v>0</v>
      </c>
      <c r="K11" s="94">
        <f t="shared" si="0"/>
        <v>0</v>
      </c>
      <c r="L11" s="94">
        <f t="shared" si="0"/>
        <v>0</v>
      </c>
      <c r="M11" s="94">
        <f t="shared" si="0"/>
        <v>0</v>
      </c>
      <c r="N11" s="94">
        <f t="shared" si="0"/>
        <v>0</v>
      </c>
      <c r="O11" s="94">
        <f t="shared" si="0"/>
        <v>0</v>
      </c>
      <c r="P11" s="94">
        <f t="shared" si="0"/>
        <v>0</v>
      </c>
      <c r="Q11" s="94">
        <f t="shared" si="0"/>
        <v>0</v>
      </c>
      <c r="R11" s="94">
        <f t="shared" si="0"/>
        <v>0</v>
      </c>
      <c r="S11" s="94">
        <f t="shared" si="0"/>
        <v>0</v>
      </c>
      <c r="T11" s="94">
        <f t="shared" si="0"/>
        <v>0</v>
      </c>
      <c r="U11" s="94">
        <f t="shared" si="0"/>
        <v>0</v>
      </c>
      <c r="V11" s="94">
        <f t="shared" si="0"/>
        <v>0</v>
      </c>
      <c r="W11" s="94">
        <f t="shared" si="0"/>
        <v>0</v>
      </c>
      <c r="X11" s="94">
        <f t="shared" si="0"/>
        <v>0</v>
      </c>
      <c r="Y11" s="94">
        <f t="shared" si="0"/>
        <v>0</v>
      </c>
      <c r="Z11" s="94">
        <f t="shared" si="0"/>
        <v>0</v>
      </c>
      <c r="AA11" s="94">
        <f t="shared" si="0"/>
        <v>0</v>
      </c>
      <c r="AB11" s="94">
        <f t="shared" si="0"/>
        <v>0</v>
      </c>
      <c r="AC11" s="94">
        <f t="shared" si="0"/>
        <v>0</v>
      </c>
      <c r="AD11" s="94">
        <f t="shared" si="0"/>
        <v>0</v>
      </c>
      <c r="AE11" s="94">
        <f t="shared" si="0"/>
        <v>0</v>
      </c>
      <c r="AF11" s="94">
        <f t="shared" si="0"/>
        <v>0</v>
      </c>
      <c r="AG11" s="94">
        <f t="shared" si="0"/>
        <v>0</v>
      </c>
      <c r="AH11" s="94">
        <f t="shared" si="0"/>
        <v>0</v>
      </c>
      <c r="AI11" s="95">
        <f t="shared" si="0"/>
        <v>0</v>
      </c>
      <c r="AJ11" s="296">
        <f t="shared" si="1"/>
        <v>5350000</v>
      </c>
    </row>
    <row r="12" spans="2:37" ht="15" customHeight="1" x14ac:dyDescent="0.3">
      <c r="B12" s="86" t="s">
        <v>45</v>
      </c>
      <c r="C12" s="295"/>
      <c r="D12" s="92" t="s">
        <v>295</v>
      </c>
      <c r="E12" s="93">
        <f t="shared" si="2"/>
        <v>0</v>
      </c>
      <c r="F12" s="94">
        <f t="shared" si="0"/>
        <v>21000</v>
      </c>
      <c r="G12" s="94">
        <f t="shared" si="0"/>
        <v>0</v>
      </c>
      <c r="H12" s="94">
        <f t="shared" si="0"/>
        <v>0</v>
      </c>
      <c r="I12" s="94">
        <f t="shared" si="0"/>
        <v>0</v>
      </c>
      <c r="J12" s="94">
        <f t="shared" si="0"/>
        <v>0</v>
      </c>
      <c r="K12" s="94">
        <f t="shared" si="0"/>
        <v>0</v>
      </c>
      <c r="L12" s="94">
        <f t="shared" si="0"/>
        <v>0</v>
      </c>
      <c r="M12" s="94">
        <f t="shared" si="0"/>
        <v>0</v>
      </c>
      <c r="N12" s="94">
        <f t="shared" si="0"/>
        <v>0</v>
      </c>
      <c r="O12" s="94">
        <f t="shared" si="0"/>
        <v>0</v>
      </c>
      <c r="P12" s="94">
        <f t="shared" si="0"/>
        <v>0</v>
      </c>
      <c r="Q12" s="94">
        <f t="shared" si="0"/>
        <v>0</v>
      </c>
      <c r="R12" s="94">
        <f t="shared" si="0"/>
        <v>0</v>
      </c>
      <c r="S12" s="94">
        <f t="shared" si="0"/>
        <v>0</v>
      </c>
      <c r="T12" s="94">
        <f t="shared" si="0"/>
        <v>0</v>
      </c>
      <c r="U12" s="94">
        <f t="shared" si="0"/>
        <v>0</v>
      </c>
      <c r="V12" s="94">
        <f t="shared" si="0"/>
        <v>0</v>
      </c>
      <c r="W12" s="94">
        <f t="shared" si="0"/>
        <v>0</v>
      </c>
      <c r="X12" s="94">
        <f t="shared" si="0"/>
        <v>0</v>
      </c>
      <c r="Y12" s="94">
        <f t="shared" si="0"/>
        <v>0</v>
      </c>
      <c r="Z12" s="94">
        <f t="shared" si="0"/>
        <v>0</v>
      </c>
      <c r="AA12" s="94">
        <f t="shared" si="0"/>
        <v>0</v>
      </c>
      <c r="AB12" s="94">
        <f t="shared" si="0"/>
        <v>0</v>
      </c>
      <c r="AC12" s="94">
        <f t="shared" si="0"/>
        <v>0</v>
      </c>
      <c r="AD12" s="94">
        <f t="shared" si="0"/>
        <v>0</v>
      </c>
      <c r="AE12" s="94">
        <f t="shared" si="0"/>
        <v>0</v>
      </c>
      <c r="AF12" s="94">
        <f t="shared" si="0"/>
        <v>0</v>
      </c>
      <c r="AG12" s="94">
        <f t="shared" si="0"/>
        <v>0</v>
      </c>
      <c r="AH12" s="94">
        <f t="shared" si="0"/>
        <v>0</v>
      </c>
      <c r="AI12" s="95">
        <f t="shared" si="0"/>
        <v>0</v>
      </c>
      <c r="AJ12" s="296">
        <f t="shared" si="1"/>
        <v>21000</v>
      </c>
    </row>
    <row r="13" spans="2:37" ht="15" customHeight="1" x14ac:dyDescent="0.3">
      <c r="B13" s="86" t="s">
        <v>45</v>
      </c>
      <c r="C13" s="295"/>
      <c r="D13" s="92" t="s">
        <v>265</v>
      </c>
      <c r="E13" s="93">
        <f t="shared" si="2"/>
        <v>50000</v>
      </c>
      <c r="F13" s="94">
        <f t="shared" si="0"/>
        <v>0</v>
      </c>
      <c r="G13" s="94">
        <f t="shared" si="0"/>
        <v>0</v>
      </c>
      <c r="H13" s="94">
        <f t="shared" si="0"/>
        <v>0</v>
      </c>
      <c r="I13" s="94">
        <f t="shared" si="0"/>
        <v>0</v>
      </c>
      <c r="J13" s="94">
        <f t="shared" si="0"/>
        <v>0</v>
      </c>
      <c r="K13" s="94">
        <f t="shared" si="0"/>
        <v>0</v>
      </c>
      <c r="L13" s="94">
        <f t="shared" si="0"/>
        <v>0</v>
      </c>
      <c r="M13" s="94">
        <f t="shared" si="0"/>
        <v>0</v>
      </c>
      <c r="N13" s="94">
        <f t="shared" si="0"/>
        <v>0</v>
      </c>
      <c r="O13" s="94">
        <f t="shared" si="0"/>
        <v>0</v>
      </c>
      <c r="P13" s="94">
        <f t="shared" si="0"/>
        <v>0</v>
      </c>
      <c r="Q13" s="94">
        <f t="shared" si="0"/>
        <v>0</v>
      </c>
      <c r="R13" s="94">
        <f t="shared" si="0"/>
        <v>0</v>
      </c>
      <c r="S13" s="94">
        <f t="shared" si="0"/>
        <v>0</v>
      </c>
      <c r="T13" s="94">
        <f t="shared" si="0"/>
        <v>0</v>
      </c>
      <c r="U13" s="94">
        <f t="shared" si="0"/>
        <v>0</v>
      </c>
      <c r="V13" s="94">
        <f t="shared" si="0"/>
        <v>0</v>
      </c>
      <c r="W13" s="94">
        <f t="shared" si="0"/>
        <v>0</v>
      </c>
      <c r="X13" s="94">
        <f t="shared" si="0"/>
        <v>0</v>
      </c>
      <c r="Y13" s="94">
        <f t="shared" si="0"/>
        <v>0</v>
      </c>
      <c r="Z13" s="94">
        <f t="shared" si="0"/>
        <v>0</v>
      </c>
      <c r="AA13" s="94">
        <f t="shared" si="0"/>
        <v>0</v>
      </c>
      <c r="AB13" s="94">
        <f t="shared" si="0"/>
        <v>0</v>
      </c>
      <c r="AC13" s="94">
        <f t="shared" si="0"/>
        <v>0</v>
      </c>
      <c r="AD13" s="94">
        <f t="shared" si="0"/>
        <v>0</v>
      </c>
      <c r="AE13" s="94">
        <f t="shared" si="0"/>
        <v>0</v>
      </c>
      <c r="AF13" s="94">
        <f t="shared" si="0"/>
        <v>0</v>
      </c>
      <c r="AG13" s="94">
        <f t="shared" si="0"/>
        <v>0</v>
      </c>
      <c r="AH13" s="94">
        <f t="shared" si="0"/>
        <v>0</v>
      </c>
      <c r="AI13" s="95">
        <f t="shared" si="0"/>
        <v>0</v>
      </c>
      <c r="AJ13" s="296">
        <f t="shared" si="1"/>
        <v>50000</v>
      </c>
    </row>
    <row r="14" spans="2:37" ht="15" customHeight="1" thickBot="1" x14ac:dyDescent="0.35">
      <c r="B14" s="86" t="s">
        <v>45</v>
      </c>
      <c r="C14" s="295"/>
      <c r="D14" s="96" t="s">
        <v>385</v>
      </c>
      <c r="E14" s="97">
        <f t="shared" si="2"/>
        <v>0</v>
      </c>
      <c r="F14" s="98">
        <f t="shared" si="0"/>
        <v>0</v>
      </c>
      <c r="G14" s="98">
        <f t="shared" si="0"/>
        <v>0</v>
      </c>
      <c r="H14" s="98">
        <f t="shared" si="0"/>
        <v>0</v>
      </c>
      <c r="I14" s="98">
        <f t="shared" si="0"/>
        <v>0</v>
      </c>
      <c r="J14" s="98">
        <f t="shared" si="0"/>
        <v>0</v>
      </c>
      <c r="K14" s="98">
        <f t="shared" si="0"/>
        <v>0</v>
      </c>
      <c r="L14" s="98">
        <f t="shared" si="0"/>
        <v>0</v>
      </c>
      <c r="M14" s="98">
        <f t="shared" si="0"/>
        <v>0</v>
      </c>
      <c r="N14" s="98">
        <f t="shared" si="0"/>
        <v>0</v>
      </c>
      <c r="O14" s="98">
        <f t="shared" si="0"/>
        <v>0</v>
      </c>
      <c r="P14" s="98">
        <f t="shared" si="0"/>
        <v>0</v>
      </c>
      <c r="Q14" s="98">
        <f t="shared" si="0"/>
        <v>0</v>
      </c>
      <c r="R14" s="98">
        <f t="shared" si="0"/>
        <v>0</v>
      </c>
      <c r="S14" s="98">
        <f t="shared" si="0"/>
        <v>0</v>
      </c>
      <c r="T14" s="98">
        <f t="shared" si="0"/>
        <v>0</v>
      </c>
      <c r="U14" s="98">
        <f t="shared" si="0"/>
        <v>0</v>
      </c>
      <c r="V14" s="98">
        <f t="shared" si="0"/>
        <v>0</v>
      </c>
      <c r="W14" s="98">
        <f t="shared" si="0"/>
        <v>0</v>
      </c>
      <c r="X14" s="98">
        <f t="shared" si="0"/>
        <v>0</v>
      </c>
      <c r="Y14" s="98">
        <f t="shared" si="0"/>
        <v>0</v>
      </c>
      <c r="Z14" s="98">
        <f t="shared" si="0"/>
        <v>0</v>
      </c>
      <c r="AA14" s="98">
        <f t="shared" si="0"/>
        <v>0</v>
      </c>
      <c r="AB14" s="98">
        <f t="shared" si="0"/>
        <v>0</v>
      </c>
      <c r="AC14" s="98">
        <f t="shared" si="0"/>
        <v>0</v>
      </c>
      <c r="AD14" s="98">
        <f t="shared" si="0"/>
        <v>0</v>
      </c>
      <c r="AE14" s="98">
        <f t="shared" si="0"/>
        <v>0</v>
      </c>
      <c r="AF14" s="98">
        <f t="shared" si="0"/>
        <v>0</v>
      </c>
      <c r="AG14" s="98">
        <f t="shared" si="0"/>
        <v>0</v>
      </c>
      <c r="AH14" s="98">
        <f t="shared" si="0"/>
        <v>0</v>
      </c>
      <c r="AI14" s="99">
        <f t="shared" si="0"/>
        <v>0</v>
      </c>
      <c r="AJ14" s="297">
        <f t="shared" si="1"/>
        <v>0</v>
      </c>
    </row>
    <row r="15" spans="2:37" s="82" customFormat="1" ht="20.100000000000001" customHeight="1" thickBot="1" x14ac:dyDescent="0.35">
      <c r="B15" s="100" t="s">
        <v>45</v>
      </c>
      <c r="C15" s="298"/>
      <c r="D15" s="299" t="s">
        <v>794</v>
      </c>
      <c r="E15" s="300">
        <f>SUM(E6:E14)</f>
        <v>1310992</v>
      </c>
      <c r="F15" s="301">
        <f t="shared" ref="F15:AI15" si="3">SUM(F6:F14)</f>
        <v>5956480</v>
      </c>
      <c r="G15" s="301">
        <f t="shared" si="3"/>
        <v>8973166</v>
      </c>
      <c r="H15" s="301">
        <f t="shared" si="3"/>
        <v>0</v>
      </c>
      <c r="I15" s="301">
        <f t="shared" si="3"/>
        <v>0</v>
      </c>
      <c r="J15" s="301">
        <f t="shared" si="3"/>
        <v>0</v>
      </c>
      <c r="K15" s="301">
        <f t="shared" si="3"/>
        <v>0</v>
      </c>
      <c r="L15" s="301">
        <f t="shared" si="3"/>
        <v>0</v>
      </c>
      <c r="M15" s="301">
        <f t="shared" si="3"/>
        <v>0</v>
      </c>
      <c r="N15" s="301">
        <f t="shared" si="3"/>
        <v>0</v>
      </c>
      <c r="O15" s="301">
        <f t="shared" si="3"/>
        <v>0</v>
      </c>
      <c r="P15" s="301">
        <f t="shared" si="3"/>
        <v>0</v>
      </c>
      <c r="Q15" s="301">
        <f t="shared" si="3"/>
        <v>0</v>
      </c>
      <c r="R15" s="301">
        <f t="shared" si="3"/>
        <v>0</v>
      </c>
      <c r="S15" s="301">
        <f t="shared" si="3"/>
        <v>0</v>
      </c>
      <c r="T15" s="301">
        <f t="shared" si="3"/>
        <v>0</v>
      </c>
      <c r="U15" s="301">
        <f t="shared" si="3"/>
        <v>0</v>
      </c>
      <c r="V15" s="301">
        <f t="shared" si="3"/>
        <v>0</v>
      </c>
      <c r="W15" s="301">
        <f t="shared" si="3"/>
        <v>0</v>
      </c>
      <c r="X15" s="301">
        <f t="shared" si="3"/>
        <v>0</v>
      </c>
      <c r="Y15" s="301">
        <f t="shared" si="3"/>
        <v>0</v>
      </c>
      <c r="Z15" s="301">
        <f t="shared" si="3"/>
        <v>0</v>
      </c>
      <c r="AA15" s="301">
        <f t="shared" si="3"/>
        <v>0</v>
      </c>
      <c r="AB15" s="301">
        <f t="shared" si="3"/>
        <v>0</v>
      </c>
      <c r="AC15" s="301">
        <f t="shared" si="3"/>
        <v>0</v>
      </c>
      <c r="AD15" s="301">
        <f t="shared" si="3"/>
        <v>0</v>
      </c>
      <c r="AE15" s="301">
        <f t="shared" si="3"/>
        <v>0</v>
      </c>
      <c r="AF15" s="301">
        <f t="shared" si="3"/>
        <v>0</v>
      </c>
      <c r="AG15" s="301">
        <f t="shared" si="3"/>
        <v>0</v>
      </c>
      <c r="AH15" s="301">
        <f t="shared" si="3"/>
        <v>0</v>
      </c>
      <c r="AI15" s="302">
        <f t="shared" si="3"/>
        <v>0</v>
      </c>
      <c r="AJ15" s="303">
        <f t="shared" si="1"/>
        <v>16240638</v>
      </c>
      <c r="AK15" s="101"/>
    </row>
    <row r="16" spans="2:37" ht="15" customHeight="1" x14ac:dyDescent="0.3">
      <c r="B16" s="86" t="s">
        <v>5</v>
      </c>
      <c r="C16" s="293" t="s">
        <v>5</v>
      </c>
      <c r="D16" s="87" t="s">
        <v>246</v>
      </c>
      <c r="E16" s="88">
        <f>SUMIFS(E$30:E$119,$B$30:$B$119,$B16,$C$30:$C$119,$D16)</f>
        <v>0</v>
      </c>
      <c r="F16" s="89">
        <f t="shared" ref="F16:AI24" si="4">SUMIFS(F$30:F$119,$B$30:$B$119,$B16,$C$30:$C$119,$D16)</f>
        <v>0</v>
      </c>
      <c r="G16" s="89">
        <f t="shared" si="4"/>
        <v>0</v>
      </c>
      <c r="H16" s="89">
        <f t="shared" si="4"/>
        <v>0</v>
      </c>
      <c r="I16" s="89">
        <f t="shared" si="4"/>
        <v>0</v>
      </c>
      <c r="J16" s="89">
        <f t="shared" si="4"/>
        <v>0</v>
      </c>
      <c r="K16" s="89">
        <f t="shared" si="4"/>
        <v>0</v>
      </c>
      <c r="L16" s="89">
        <f t="shared" si="4"/>
        <v>0</v>
      </c>
      <c r="M16" s="89">
        <f t="shared" si="4"/>
        <v>0</v>
      </c>
      <c r="N16" s="89">
        <f t="shared" si="4"/>
        <v>0</v>
      </c>
      <c r="O16" s="89">
        <f t="shared" si="4"/>
        <v>0</v>
      </c>
      <c r="P16" s="89">
        <f t="shared" si="4"/>
        <v>0</v>
      </c>
      <c r="Q16" s="89">
        <f t="shared" si="4"/>
        <v>0</v>
      </c>
      <c r="R16" s="89">
        <f t="shared" si="4"/>
        <v>0</v>
      </c>
      <c r="S16" s="89">
        <f t="shared" si="4"/>
        <v>0</v>
      </c>
      <c r="T16" s="89">
        <f t="shared" si="4"/>
        <v>0</v>
      </c>
      <c r="U16" s="89">
        <f t="shared" si="4"/>
        <v>0</v>
      </c>
      <c r="V16" s="89">
        <f t="shared" si="4"/>
        <v>0</v>
      </c>
      <c r="W16" s="89">
        <f t="shared" si="4"/>
        <v>0</v>
      </c>
      <c r="X16" s="89">
        <f t="shared" si="4"/>
        <v>0</v>
      </c>
      <c r="Y16" s="89">
        <f t="shared" si="4"/>
        <v>0</v>
      </c>
      <c r="Z16" s="89">
        <f t="shared" si="4"/>
        <v>0</v>
      </c>
      <c r="AA16" s="89">
        <f t="shared" si="4"/>
        <v>0</v>
      </c>
      <c r="AB16" s="89">
        <f t="shared" si="4"/>
        <v>0</v>
      </c>
      <c r="AC16" s="89">
        <f t="shared" si="4"/>
        <v>0</v>
      </c>
      <c r="AD16" s="89">
        <f t="shared" si="4"/>
        <v>0</v>
      </c>
      <c r="AE16" s="89">
        <f t="shared" si="4"/>
        <v>0</v>
      </c>
      <c r="AF16" s="89">
        <f t="shared" si="4"/>
        <v>0</v>
      </c>
      <c r="AG16" s="89">
        <f t="shared" si="4"/>
        <v>0</v>
      </c>
      <c r="AH16" s="89">
        <f t="shared" si="4"/>
        <v>0</v>
      </c>
      <c r="AI16" s="90">
        <f t="shared" si="4"/>
        <v>0</v>
      </c>
      <c r="AJ16" s="294">
        <f t="shared" si="1"/>
        <v>0</v>
      </c>
    </row>
    <row r="17" spans="2:36" ht="15" customHeight="1" x14ac:dyDescent="0.3">
      <c r="B17" s="86" t="s">
        <v>5</v>
      </c>
      <c r="C17" s="295"/>
      <c r="D17" s="92" t="s">
        <v>257</v>
      </c>
      <c r="E17" s="93">
        <f t="shared" ref="E17:T24" si="5">SUMIFS(E$30:E$119,$B$30:$B$119,$B17,$C$30:$C$119,$D17)</f>
        <v>0</v>
      </c>
      <c r="F17" s="94">
        <f t="shared" si="5"/>
        <v>0</v>
      </c>
      <c r="G17" s="94">
        <f t="shared" si="5"/>
        <v>0</v>
      </c>
      <c r="H17" s="94">
        <f t="shared" si="5"/>
        <v>0</v>
      </c>
      <c r="I17" s="94">
        <f t="shared" si="5"/>
        <v>0</v>
      </c>
      <c r="J17" s="94">
        <f t="shared" si="5"/>
        <v>0</v>
      </c>
      <c r="K17" s="94">
        <f t="shared" si="5"/>
        <v>0</v>
      </c>
      <c r="L17" s="94">
        <f t="shared" si="5"/>
        <v>0</v>
      </c>
      <c r="M17" s="94">
        <f t="shared" si="5"/>
        <v>0</v>
      </c>
      <c r="N17" s="94">
        <f t="shared" si="5"/>
        <v>0</v>
      </c>
      <c r="O17" s="94">
        <f t="shared" si="5"/>
        <v>0</v>
      </c>
      <c r="P17" s="94">
        <f t="shared" si="5"/>
        <v>0</v>
      </c>
      <c r="Q17" s="94">
        <f t="shared" si="5"/>
        <v>0</v>
      </c>
      <c r="R17" s="94">
        <f t="shared" si="5"/>
        <v>0</v>
      </c>
      <c r="S17" s="94">
        <f t="shared" si="5"/>
        <v>0</v>
      </c>
      <c r="T17" s="94">
        <f t="shared" si="5"/>
        <v>0</v>
      </c>
      <c r="U17" s="94">
        <f t="shared" si="4"/>
        <v>0</v>
      </c>
      <c r="V17" s="94">
        <f t="shared" si="4"/>
        <v>0</v>
      </c>
      <c r="W17" s="94">
        <f t="shared" si="4"/>
        <v>0</v>
      </c>
      <c r="X17" s="94">
        <f t="shared" si="4"/>
        <v>0</v>
      </c>
      <c r="Y17" s="94">
        <f t="shared" si="4"/>
        <v>0</v>
      </c>
      <c r="Z17" s="94">
        <f t="shared" si="4"/>
        <v>0</v>
      </c>
      <c r="AA17" s="94">
        <f t="shared" si="4"/>
        <v>0</v>
      </c>
      <c r="AB17" s="94">
        <f t="shared" si="4"/>
        <v>0</v>
      </c>
      <c r="AC17" s="94">
        <f t="shared" si="4"/>
        <v>0</v>
      </c>
      <c r="AD17" s="94">
        <f t="shared" si="4"/>
        <v>0</v>
      </c>
      <c r="AE17" s="94">
        <f t="shared" si="4"/>
        <v>0</v>
      </c>
      <c r="AF17" s="94">
        <f t="shared" si="4"/>
        <v>0</v>
      </c>
      <c r="AG17" s="94">
        <f t="shared" si="4"/>
        <v>0</v>
      </c>
      <c r="AH17" s="94">
        <f t="shared" si="4"/>
        <v>0</v>
      </c>
      <c r="AI17" s="95">
        <f t="shared" si="4"/>
        <v>0</v>
      </c>
      <c r="AJ17" s="296">
        <f t="shared" si="1"/>
        <v>0</v>
      </c>
    </row>
    <row r="18" spans="2:36" ht="15" customHeight="1" x14ac:dyDescent="0.3">
      <c r="B18" s="86" t="s">
        <v>5</v>
      </c>
      <c r="C18" s="295"/>
      <c r="D18" s="92" t="s">
        <v>273</v>
      </c>
      <c r="E18" s="93">
        <f t="shared" si="5"/>
        <v>0</v>
      </c>
      <c r="F18" s="94">
        <f t="shared" si="4"/>
        <v>3580</v>
      </c>
      <c r="G18" s="94">
        <f t="shared" si="4"/>
        <v>0</v>
      </c>
      <c r="H18" s="94">
        <f t="shared" si="4"/>
        <v>0</v>
      </c>
      <c r="I18" s="94">
        <f t="shared" si="4"/>
        <v>0</v>
      </c>
      <c r="J18" s="94">
        <f t="shared" si="4"/>
        <v>0</v>
      </c>
      <c r="K18" s="94">
        <f t="shared" si="4"/>
        <v>0</v>
      </c>
      <c r="L18" s="94">
        <f t="shared" si="4"/>
        <v>0</v>
      </c>
      <c r="M18" s="94">
        <f t="shared" si="4"/>
        <v>0</v>
      </c>
      <c r="N18" s="94">
        <f t="shared" si="4"/>
        <v>0</v>
      </c>
      <c r="O18" s="94">
        <f t="shared" si="4"/>
        <v>0</v>
      </c>
      <c r="P18" s="94">
        <f t="shared" si="4"/>
        <v>0</v>
      </c>
      <c r="Q18" s="94">
        <f t="shared" si="4"/>
        <v>0</v>
      </c>
      <c r="R18" s="94">
        <f t="shared" si="4"/>
        <v>0</v>
      </c>
      <c r="S18" s="94">
        <f t="shared" si="4"/>
        <v>0</v>
      </c>
      <c r="T18" s="94">
        <f t="shared" si="4"/>
        <v>0</v>
      </c>
      <c r="U18" s="94">
        <f t="shared" si="4"/>
        <v>0</v>
      </c>
      <c r="V18" s="94">
        <f t="shared" si="4"/>
        <v>0</v>
      </c>
      <c r="W18" s="94">
        <f t="shared" si="4"/>
        <v>0</v>
      </c>
      <c r="X18" s="94">
        <f t="shared" si="4"/>
        <v>0</v>
      </c>
      <c r="Y18" s="94">
        <f t="shared" si="4"/>
        <v>0</v>
      </c>
      <c r="Z18" s="94">
        <f t="shared" si="4"/>
        <v>0</v>
      </c>
      <c r="AA18" s="94">
        <f t="shared" si="4"/>
        <v>0</v>
      </c>
      <c r="AB18" s="94">
        <f t="shared" si="4"/>
        <v>0</v>
      </c>
      <c r="AC18" s="94">
        <f t="shared" si="4"/>
        <v>0</v>
      </c>
      <c r="AD18" s="94">
        <f t="shared" si="4"/>
        <v>0</v>
      </c>
      <c r="AE18" s="94">
        <f t="shared" si="4"/>
        <v>0</v>
      </c>
      <c r="AF18" s="94">
        <f t="shared" si="4"/>
        <v>0</v>
      </c>
      <c r="AG18" s="94">
        <f t="shared" si="4"/>
        <v>0</v>
      </c>
      <c r="AH18" s="94">
        <f t="shared" si="4"/>
        <v>0</v>
      </c>
      <c r="AI18" s="95">
        <f t="shared" si="4"/>
        <v>0</v>
      </c>
      <c r="AJ18" s="296">
        <f t="shared" si="1"/>
        <v>3580</v>
      </c>
    </row>
    <row r="19" spans="2:36" ht="15" customHeight="1" x14ac:dyDescent="0.3">
      <c r="B19" s="86" t="s">
        <v>5</v>
      </c>
      <c r="C19" s="295"/>
      <c r="D19" s="92" t="s">
        <v>252</v>
      </c>
      <c r="E19" s="93">
        <f t="shared" si="5"/>
        <v>0</v>
      </c>
      <c r="F19" s="94">
        <f t="shared" si="4"/>
        <v>278400</v>
      </c>
      <c r="G19" s="94">
        <f t="shared" si="4"/>
        <v>0</v>
      </c>
      <c r="H19" s="94">
        <f t="shared" si="4"/>
        <v>0</v>
      </c>
      <c r="I19" s="94">
        <f t="shared" si="4"/>
        <v>0</v>
      </c>
      <c r="J19" s="94">
        <f t="shared" si="4"/>
        <v>0</v>
      </c>
      <c r="K19" s="94">
        <f t="shared" si="4"/>
        <v>0</v>
      </c>
      <c r="L19" s="94">
        <f t="shared" si="4"/>
        <v>0</v>
      </c>
      <c r="M19" s="94">
        <f t="shared" si="4"/>
        <v>0</v>
      </c>
      <c r="N19" s="94">
        <f t="shared" si="4"/>
        <v>0</v>
      </c>
      <c r="O19" s="94">
        <f t="shared" si="4"/>
        <v>0</v>
      </c>
      <c r="P19" s="94">
        <f t="shared" si="4"/>
        <v>0</v>
      </c>
      <c r="Q19" s="94">
        <f t="shared" si="4"/>
        <v>0</v>
      </c>
      <c r="R19" s="94">
        <f t="shared" si="4"/>
        <v>0</v>
      </c>
      <c r="S19" s="94">
        <f t="shared" si="4"/>
        <v>0</v>
      </c>
      <c r="T19" s="94">
        <f t="shared" si="4"/>
        <v>0</v>
      </c>
      <c r="U19" s="94">
        <f t="shared" si="4"/>
        <v>0</v>
      </c>
      <c r="V19" s="94">
        <f t="shared" si="4"/>
        <v>0</v>
      </c>
      <c r="W19" s="94">
        <f t="shared" si="4"/>
        <v>0</v>
      </c>
      <c r="X19" s="94">
        <f t="shared" si="4"/>
        <v>0</v>
      </c>
      <c r="Y19" s="94">
        <f t="shared" si="4"/>
        <v>0</v>
      </c>
      <c r="Z19" s="94">
        <f t="shared" si="4"/>
        <v>0</v>
      </c>
      <c r="AA19" s="94">
        <f t="shared" si="4"/>
        <v>0</v>
      </c>
      <c r="AB19" s="94">
        <f t="shared" si="4"/>
        <v>0</v>
      </c>
      <c r="AC19" s="94">
        <f t="shared" si="4"/>
        <v>0</v>
      </c>
      <c r="AD19" s="94">
        <f t="shared" si="4"/>
        <v>0</v>
      </c>
      <c r="AE19" s="94">
        <f t="shared" si="4"/>
        <v>0</v>
      </c>
      <c r="AF19" s="94">
        <f t="shared" si="4"/>
        <v>0</v>
      </c>
      <c r="AG19" s="94">
        <f t="shared" si="4"/>
        <v>0</v>
      </c>
      <c r="AH19" s="94">
        <f t="shared" si="4"/>
        <v>0</v>
      </c>
      <c r="AI19" s="95">
        <f t="shared" si="4"/>
        <v>0</v>
      </c>
      <c r="AJ19" s="296">
        <f t="shared" si="1"/>
        <v>278400</v>
      </c>
    </row>
    <row r="20" spans="2:36" ht="15" customHeight="1" x14ac:dyDescent="0.3">
      <c r="B20" s="86" t="s">
        <v>5</v>
      </c>
      <c r="C20" s="295"/>
      <c r="D20" s="92" t="s">
        <v>228</v>
      </c>
      <c r="E20" s="93">
        <f t="shared" si="5"/>
        <v>0</v>
      </c>
      <c r="F20" s="94">
        <f t="shared" si="4"/>
        <v>0</v>
      </c>
      <c r="G20" s="94">
        <f t="shared" si="4"/>
        <v>307000</v>
      </c>
      <c r="H20" s="94">
        <f t="shared" si="4"/>
        <v>0</v>
      </c>
      <c r="I20" s="94">
        <f t="shared" si="4"/>
        <v>0</v>
      </c>
      <c r="J20" s="94">
        <f t="shared" si="4"/>
        <v>0</v>
      </c>
      <c r="K20" s="94">
        <f t="shared" si="4"/>
        <v>0</v>
      </c>
      <c r="L20" s="94">
        <f t="shared" si="4"/>
        <v>0</v>
      </c>
      <c r="M20" s="94">
        <f t="shared" si="4"/>
        <v>0</v>
      </c>
      <c r="N20" s="94">
        <f t="shared" si="4"/>
        <v>0</v>
      </c>
      <c r="O20" s="94">
        <f t="shared" si="4"/>
        <v>0</v>
      </c>
      <c r="P20" s="94">
        <f t="shared" si="4"/>
        <v>0</v>
      </c>
      <c r="Q20" s="94">
        <f t="shared" si="4"/>
        <v>0</v>
      </c>
      <c r="R20" s="94">
        <f t="shared" si="4"/>
        <v>0</v>
      </c>
      <c r="S20" s="94">
        <f t="shared" si="4"/>
        <v>0</v>
      </c>
      <c r="T20" s="94">
        <f t="shared" si="4"/>
        <v>0</v>
      </c>
      <c r="U20" s="94">
        <f t="shared" si="4"/>
        <v>0</v>
      </c>
      <c r="V20" s="94">
        <f t="shared" si="4"/>
        <v>0</v>
      </c>
      <c r="W20" s="94">
        <f t="shared" si="4"/>
        <v>0</v>
      </c>
      <c r="X20" s="94">
        <f t="shared" si="4"/>
        <v>0</v>
      </c>
      <c r="Y20" s="94">
        <f t="shared" si="4"/>
        <v>0</v>
      </c>
      <c r="Z20" s="94">
        <f t="shared" si="4"/>
        <v>0</v>
      </c>
      <c r="AA20" s="94">
        <f t="shared" si="4"/>
        <v>0</v>
      </c>
      <c r="AB20" s="94">
        <f t="shared" si="4"/>
        <v>0</v>
      </c>
      <c r="AC20" s="94">
        <f t="shared" si="4"/>
        <v>0</v>
      </c>
      <c r="AD20" s="94">
        <f t="shared" si="4"/>
        <v>0</v>
      </c>
      <c r="AE20" s="94">
        <f t="shared" si="4"/>
        <v>0</v>
      </c>
      <c r="AF20" s="94">
        <f t="shared" si="4"/>
        <v>0</v>
      </c>
      <c r="AG20" s="94">
        <f t="shared" si="4"/>
        <v>0</v>
      </c>
      <c r="AH20" s="94">
        <f t="shared" si="4"/>
        <v>0</v>
      </c>
      <c r="AI20" s="95">
        <f t="shared" si="4"/>
        <v>0</v>
      </c>
      <c r="AJ20" s="296">
        <f t="shared" si="1"/>
        <v>307000</v>
      </c>
    </row>
    <row r="21" spans="2:36" ht="15" customHeight="1" x14ac:dyDescent="0.3">
      <c r="B21" s="86" t="s">
        <v>5</v>
      </c>
      <c r="C21" s="295"/>
      <c r="D21" s="92" t="s">
        <v>233</v>
      </c>
      <c r="E21" s="93">
        <f t="shared" si="5"/>
        <v>0</v>
      </c>
      <c r="F21" s="94">
        <f t="shared" si="4"/>
        <v>0</v>
      </c>
      <c r="G21" s="94">
        <f t="shared" si="4"/>
        <v>1394780</v>
      </c>
      <c r="H21" s="94">
        <f t="shared" si="4"/>
        <v>0</v>
      </c>
      <c r="I21" s="94">
        <f t="shared" si="4"/>
        <v>0</v>
      </c>
      <c r="J21" s="94">
        <f t="shared" si="4"/>
        <v>0</v>
      </c>
      <c r="K21" s="94">
        <f t="shared" si="4"/>
        <v>0</v>
      </c>
      <c r="L21" s="94">
        <f t="shared" si="4"/>
        <v>0</v>
      </c>
      <c r="M21" s="94">
        <f t="shared" si="4"/>
        <v>0</v>
      </c>
      <c r="N21" s="94">
        <f t="shared" si="4"/>
        <v>0</v>
      </c>
      <c r="O21" s="94">
        <f t="shared" si="4"/>
        <v>0</v>
      </c>
      <c r="P21" s="94">
        <f t="shared" si="4"/>
        <v>0</v>
      </c>
      <c r="Q21" s="94">
        <f t="shared" si="4"/>
        <v>0</v>
      </c>
      <c r="R21" s="94">
        <f t="shared" si="4"/>
        <v>0</v>
      </c>
      <c r="S21" s="94">
        <f t="shared" si="4"/>
        <v>0</v>
      </c>
      <c r="T21" s="94">
        <f t="shared" si="4"/>
        <v>0</v>
      </c>
      <c r="U21" s="94">
        <f t="shared" si="4"/>
        <v>0</v>
      </c>
      <c r="V21" s="94">
        <f t="shared" si="4"/>
        <v>0</v>
      </c>
      <c r="W21" s="94">
        <f t="shared" si="4"/>
        <v>0</v>
      </c>
      <c r="X21" s="94">
        <f t="shared" si="4"/>
        <v>0</v>
      </c>
      <c r="Y21" s="94">
        <f t="shared" si="4"/>
        <v>0</v>
      </c>
      <c r="Z21" s="94">
        <f t="shared" si="4"/>
        <v>0</v>
      </c>
      <c r="AA21" s="94">
        <f t="shared" si="4"/>
        <v>0</v>
      </c>
      <c r="AB21" s="94">
        <f t="shared" si="4"/>
        <v>0</v>
      </c>
      <c r="AC21" s="94">
        <f t="shared" si="4"/>
        <v>0</v>
      </c>
      <c r="AD21" s="94">
        <f t="shared" si="4"/>
        <v>0</v>
      </c>
      <c r="AE21" s="94">
        <f t="shared" si="4"/>
        <v>0</v>
      </c>
      <c r="AF21" s="94">
        <f t="shared" si="4"/>
        <v>0</v>
      </c>
      <c r="AG21" s="94">
        <f t="shared" si="4"/>
        <v>0</v>
      </c>
      <c r="AH21" s="94">
        <f t="shared" si="4"/>
        <v>0</v>
      </c>
      <c r="AI21" s="95">
        <f t="shared" si="4"/>
        <v>0</v>
      </c>
      <c r="AJ21" s="296">
        <f t="shared" si="1"/>
        <v>1394780</v>
      </c>
    </row>
    <row r="22" spans="2:36" ht="15" customHeight="1" x14ac:dyDescent="0.3">
      <c r="B22" s="86" t="s">
        <v>5</v>
      </c>
      <c r="C22" s="295"/>
      <c r="D22" s="92" t="s">
        <v>295</v>
      </c>
      <c r="E22" s="93">
        <f t="shared" si="5"/>
        <v>0</v>
      </c>
      <c r="F22" s="94">
        <f t="shared" si="4"/>
        <v>0</v>
      </c>
      <c r="G22" s="94">
        <f t="shared" si="4"/>
        <v>0</v>
      </c>
      <c r="H22" s="94">
        <f t="shared" si="4"/>
        <v>0</v>
      </c>
      <c r="I22" s="94">
        <f t="shared" si="4"/>
        <v>0</v>
      </c>
      <c r="J22" s="94">
        <f t="shared" si="4"/>
        <v>0</v>
      </c>
      <c r="K22" s="94">
        <f t="shared" si="4"/>
        <v>0</v>
      </c>
      <c r="L22" s="94">
        <f t="shared" si="4"/>
        <v>0</v>
      </c>
      <c r="M22" s="94">
        <f t="shared" si="4"/>
        <v>0</v>
      </c>
      <c r="N22" s="94">
        <f t="shared" si="4"/>
        <v>0</v>
      </c>
      <c r="O22" s="94">
        <f t="shared" si="4"/>
        <v>0</v>
      </c>
      <c r="P22" s="94">
        <f t="shared" si="4"/>
        <v>0</v>
      </c>
      <c r="Q22" s="94">
        <f t="shared" si="4"/>
        <v>0</v>
      </c>
      <c r="R22" s="94">
        <f t="shared" si="4"/>
        <v>0</v>
      </c>
      <c r="S22" s="94">
        <f t="shared" si="4"/>
        <v>0</v>
      </c>
      <c r="T22" s="94">
        <f t="shared" si="4"/>
        <v>0</v>
      </c>
      <c r="U22" s="94">
        <f t="shared" si="4"/>
        <v>0</v>
      </c>
      <c r="V22" s="94">
        <f t="shared" si="4"/>
        <v>0</v>
      </c>
      <c r="W22" s="94">
        <f t="shared" si="4"/>
        <v>0</v>
      </c>
      <c r="X22" s="94">
        <f t="shared" si="4"/>
        <v>0</v>
      </c>
      <c r="Y22" s="94">
        <f t="shared" si="4"/>
        <v>0</v>
      </c>
      <c r="Z22" s="94">
        <f t="shared" si="4"/>
        <v>0</v>
      </c>
      <c r="AA22" s="94">
        <f t="shared" si="4"/>
        <v>0</v>
      </c>
      <c r="AB22" s="94">
        <f t="shared" si="4"/>
        <v>0</v>
      </c>
      <c r="AC22" s="94">
        <f t="shared" si="4"/>
        <v>0</v>
      </c>
      <c r="AD22" s="94">
        <f t="shared" si="4"/>
        <v>0</v>
      </c>
      <c r="AE22" s="94">
        <f t="shared" si="4"/>
        <v>0</v>
      </c>
      <c r="AF22" s="94">
        <f t="shared" si="4"/>
        <v>0</v>
      </c>
      <c r="AG22" s="94">
        <f t="shared" si="4"/>
        <v>0</v>
      </c>
      <c r="AH22" s="94">
        <f t="shared" si="4"/>
        <v>0</v>
      </c>
      <c r="AI22" s="95">
        <f t="shared" si="4"/>
        <v>0</v>
      </c>
      <c r="AJ22" s="296">
        <f t="shared" si="1"/>
        <v>0</v>
      </c>
    </row>
    <row r="23" spans="2:36" ht="15" customHeight="1" x14ac:dyDescent="0.3">
      <c r="B23" s="86" t="s">
        <v>5</v>
      </c>
      <c r="C23" s="295"/>
      <c r="D23" s="92" t="s">
        <v>265</v>
      </c>
      <c r="E23" s="93">
        <f t="shared" si="5"/>
        <v>0</v>
      </c>
      <c r="F23" s="94">
        <f t="shared" si="4"/>
        <v>0</v>
      </c>
      <c r="G23" s="94">
        <f t="shared" si="4"/>
        <v>0</v>
      </c>
      <c r="H23" s="94">
        <f t="shared" si="4"/>
        <v>0</v>
      </c>
      <c r="I23" s="94">
        <f t="shared" si="4"/>
        <v>0</v>
      </c>
      <c r="J23" s="94">
        <f t="shared" si="4"/>
        <v>0</v>
      </c>
      <c r="K23" s="94">
        <f t="shared" si="4"/>
        <v>0</v>
      </c>
      <c r="L23" s="94">
        <f t="shared" si="4"/>
        <v>0</v>
      </c>
      <c r="M23" s="94">
        <f t="shared" si="4"/>
        <v>0</v>
      </c>
      <c r="N23" s="94">
        <f t="shared" si="4"/>
        <v>0</v>
      </c>
      <c r="O23" s="94">
        <f t="shared" si="4"/>
        <v>0</v>
      </c>
      <c r="P23" s="94">
        <f t="shared" si="4"/>
        <v>0</v>
      </c>
      <c r="Q23" s="94">
        <f t="shared" si="4"/>
        <v>0</v>
      </c>
      <c r="R23" s="94">
        <f t="shared" si="4"/>
        <v>0</v>
      </c>
      <c r="S23" s="94">
        <f t="shared" si="4"/>
        <v>0</v>
      </c>
      <c r="T23" s="94">
        <f t="shared" si="4"/>
        <v>0</v>
      </c>
      <c r="U23" s="94">
        <f t="shared" si="4"/>
        <v>0</v>
      </c>
      <c r="V23" s="94">
        <f t="shared" si="4"/>
        <v>0</v>
      </c>
      <c r="W23" s="94">
        <f t="shared" si="4"/>
        <v>0</v>
      </c>
      <c r="X23" s="94">
        <f t="shared" si="4"/>
        <v>0</v>
      </c>
      <c r="Y23" s="94">
        <f t="shared" si="4"/>
        <v>0</v>
      </c>
      <c r="Z23" s="94">
        <f t="shared" si="4"/>
        <v>0</v>
      </c>
      <c r="AA23" s="94">
        <f t="shared" si="4"/>
        <v>0</v>
      </c>
      <c r="AB23" s="94">
        <f t="shared" si="4"/>
        <v>0</v>
      </c>
      <c r="AC23" s="94">
        <f t="shared" si="4"/>
        <v>0</v>
      </c>
      <c r="AD23" s="94">
        <f t="shared" si="4"/>
        <v>0</v>
      </c>
      <c r="AE23" s="94">
        <f t="shared" si="4"/>
        <v>0</v>
      </c>
      <c r="AF23" s="94">
        <f t="shared" si="4"/>
        <v>0</v>
      </c>
      <c r="AG23" s="94">
        <f t="shared" si="4"/>
        <v>0</v>
      </c>
      <c r="AH23" s="94">
        <f t="shared" si="4"/>
        <v>0</v>
      </c>
      <c r="AI23" s="95">
        <f t="shared" si="4"/>
        <v>0</v>
      </c>
      <c r="AJ23" s="296">
        <f t="shared" si="1"/>
        <v>0</v>
      </c>
    </row>
    <row r="24" spans="2:36" ht="15.75" customHeight="1" thickBot="1" x14ac:dyDescent="0.35">
      <c r="B24" s="86" t="s">
        <v>5</v>
      </c>
      <c r="C24" s="295"/>
      <c r="D24" s="96" t="s">
        <v>385</v>
      </c>
      <c r="E24" s="97">
        <f t="shared" si="5"/>
        <v>0</v>
      </c>
      <c r="F24" s="98">
        <f t="shared" si="4"/>
        <v>0</v>
      </c>
      <c r="G24" s="98">
        <f t="shared" si="4"/>
        <v>0</v>
      </c>
      <c r="H24" s="98">
        <f t="shared" si="4"/>
        <v>0</v>
      </c>
      <c r="I24" s="98">
        <f t="shared" si="4"/>
        <v>0</v>
      </c>
      <c r="J24" s="98">
        <f t="shared" si="4"/>
        <v>0</v>
      </c>
      <c r="K24" s="98">
        <f t="shared" si="4"/>
        <v>0</v>
      </c>
      <c r="L24" s="98">
        <f t="shared" si="4"/>
        <v>0</v>
      </c>
      <c r="M24" s="98">
        <f t="shared" si="4"/>
        <v>0</v>
      </c>
      <c r="N24" s="98">
        <f t="shared" si="4"/>
        <v>0</v>
      </c>
      <c r="O24" s="98">
        <f t="shared" si="4"/>
        <v>0</v>
      </c>
      <c r="P24" s="98">
        <f t="shared" si="4"/>
        <v>0</v>
      </c>
      <c r="Q24" s="98">
        <f t="shared" si="4"/>
        <v>0</v>
      </c>
      <c r="R24" s="98">
        <f t="shared" si="4"/>
        <v>0</v>
      </c>
      <c r="S24" s="98">
        <f t="shared" si="4"/>
        <v>0</v>
      </c>
      <c r="T24" s="98">
        <f t="shared" si="4"/>
        <v>0</v>
      </c>
      <c r="U24" s="98">
        <f t="shared" si="4"/>
        <v>0</v>
      </c>
      <c r="V24" s="98">
        <f t="shared" si="4"/>
        <v>0</v>
      </c>
      <c r="W24" s="98">
        <f t="shared" si="4"/>
        <v>0</v>
      </c>
      <c r="X24" s="98">
        <f t="shared" si="4"/>
        <v>0</v>
      </c>
      <c r="Y24" s="98">
        <f t="shared" si="4"/>
        <v>0</v>
      </c>
      <c r="Z24" s="98">
        <f t="shared" si="4"/>
        <v>0</v>
      </c>
      <c r="AA24" s="98">
        <f t="shared" si="4"/>
        <v>0</v>
      </c>
      <c r="AB24" s="98">
        <f t="shared" si="4"/>
        <v>0</v>
      </c>
      <c r="AC24" s="98">
        <f t="shared" si="4"/>
        <v>0</v>
      </c>
      <c r="AD24" s="98">
        <f t="shared" si="4"/>
        <v>0</v>
      </c>
      <c r="AE24" s="98">
        <f t="shared" si="4"/>
        <v>0</v>
      </c>
      <c r="AF24" s="98">
        <f t="shared" si="4"/>
        <v>0</v>
      </c>
      <c r="AG24" s="98">
        <f t="shared" si="4"/>
        <v>0</v>
      </c>
      <c r="AH24" s="98">
        <f t="shared" si="4"/>
        <v>0</v>
      </c>
      <c r="AI24" s="99">
        <f t="shared" si="4"/>
        <v>0</v>
      </c>
      <c r="AJ24" s="297">
        <f t="shared" si="1"/>
        <v>0</v>
      </c>
    </row>
    <row r="25" spans="2:36" s="82" customFormat="1" ht="19.5" customHeight="1" thickBot="1" x14ac:dyDescent="0.35">
      <c r="B25" s="100" t="s">
        <v>5</v>
      </c>
      <c r="C25" s="298"/>
      <c r="D25" s="299" t="s">
        <v>795</v>
      </c>
      <c r="E25" s="300">
        <f>SUM(E16:E24)</f>
        <v>0</v>
      </c>
      <c r="F25" s="301">
        <f t="shared" ref="F25:AI25" si="6">SUM(F16:F24)</f>
        <v>281980</v>
      </c>
      <c r="G25" s="301">
        <f t="shared" si="6"/>
        <v>1701780</v>
      </c>
      <c r="H25" s="301">
        <f t="shared" si="6"/>
        <v>0</v>
      </c>
      <c r="I25" s="301">
        <f t="shared" si="6"/>
        <v>0</v>
      </c>
      <c r="J25" s="301">
        <f t="shared" si="6"/>
        <v>0</v>
      </c>
      <c r="K25" s="301">
        <f t="shared" si="6"/>
        <v>0</v>
      </c>
      <c r="L25" s="301">
        <f t="shared" si="6"/>
        <v>0</v>
      </c>
      <c r="M25" s="301">
        <f t="shared" si="6"/>
        <v>0</v>
      </c>
      <c r="N25" s="301">
        <f t="shared" si="6"/>
        <v>0</v>
      </c>
      <c r="O25" s="301">
        <f t="shared" si="6"/>
        <v>0</v>
      </c>
      <c r="P25" s="301">
        <f t="shared" si="6"/>
        <v>0</v>
      </c>
      <c r="Q25" s="301">
        <f t="shared" si="6"/>
        <v>0</v>
      </c>
      <c r="R25" s="301">
        <f t="shared" si="6"/>
        <v>0</v>
      </c>
      <c r="S25" s="301">
        <f t="shared" si="6"/>
        <v>0</v>
      </c>
      <c r="T25" s="301">
        <f t="shared" si="6"/>
        <v>0</v>
      </c>
      <c r="U25" s="301">
        <f t="shared" si="6"/>
        <v>0</v>
      </c>
      <c r="V25" s="301">
        <f t="shared" si="6"/>
        <v>0</v>
      </c>
      <c r="W25" s="301">
        <f t="shared" si="6"/>
        <v>0</v>
      </c>
      <c r="X25" s="301">
        <f t="shared" si="6"/>
        <v>0</v>
      </c>
      <c r="Y25" s="301">
        <f t="shared" si="6"/>
        <v>0</v>
      </c>
      <c r="Z25" s="301">
        <f t="shared" si="6"/>
        <v>0</v>
      </c>
      <c r="AA25" s="301">
        <f t="shared" si="6"/>
        <v>0</v>
      </c>
      <c r="AB25" s="301">
        <f t="shared" si="6"/>
        <v>0</v>
      </c>
      <c r="AC25" s="301">
        <f t="shared" si="6"/>
        <v>0</v>
      </c>
      <c r="AD25" s="301">
        <f t="shared" si="6"/>
        <v>0</v>
      </c>
      <c r="AE25" s="301">
        <f t="shared" si="6"/>
        <v>0</v>
      </c>
      <c r="AF25" s="301">
        <f t="shared" si="6"/>
        <v>0</v>
      </c>
      <c r="AG25" s="301">
        <f t="shared" si="6"/>
        <v>0</v>
      </c>
      <c r="AH25" s="301">
        <f t="shared" si="6"/>
        <v>0</v>
      </c>
      <c r="AI25" s="302">
        <f t="shared" si="6"/>
        <v>0</v>
      </c>
      <c r="AJ25" s="303">
        <f t="shared" si="1"/>
        <v>1983760</v>
      </c>
    </row>
    <row r="26" spans="2:36" s="82" customFormat="1" ht="18" thickBot="1" x14ac:dyDescent="0.35">
      <c r="B26" s="85"/>
      <c r="C26" s="304" t="s">
        <v>796</v>
      </c>
      <c r="D26" s="305"/>
      <c r="E26" s="306">
        <f>E15+E25</f>
        <v>1310992</v>
      </c>
      <c r="F26" s="307">
        <f t="shared" ref="F26:AI26" si="7">F15+F25</f>
        <v>6238460</v>
      </c>
      <c r="G26" s="307">
        <f t="shared" si="7"/>
        <v>10674946</v>
      </c>
      <c r="H26" s="307">
        <f t="shared" si="7"/>
        <v>0</v>
      </c>
      <c r="I26" s="307">
        <f t="shared" si="7"/>
        <v>0</v>
      </c>
      <c r="J26" s="307">
        <f t="shared" si="7"/>
        <v>0</v>
      </c>
      <c r="K26" s="307">
        <f t="shared" si="7"/>
        <v>0</v>
      </c>
      <c r="L26" s="307">
        <f t="shared" si="7"/>
        <v>0</v>
      </c>
      <c r="M26" s="307">
        <f t="shared" si="7"/>
        <v>0</v>
      </c>
      <c r="N26" s="307">
        <f t="shared" si="7"/>
        <v>0</v>
      </c>
      <c r="O26" s="307">
        <f t="shared" si="7"/>
        <v>0</v>
      </c>
      <c r="P26" s="307">
        <f t="shared" si="7"/>
        <v>0</v>
      </c>
      <c r="Q26" s="307">
        <f t="shared" si="7"/>
        <v>0</v>
      </c>
      <c r="R26" s="307">
        <f t="shared" si="7"/>
        <v>0</v>
      </c>
      <c r="S26" s="307">
        <f t="shared" si="7"/>
        <v>0</v>
      </c>
      <c r="T26" s="307">
        <f t="shared" si="7"/>
        <v>0</v>
      </c>
      <c r="U26" s="307">
        <f t="shared" si="7"/>
        <v>0</v>
      </c>
      <c r="V26" s="307">
        <f t="shared" si="7"/>
        <v>0</v>
      </c>
      <c r="W26" s="307">
        <f t="shared" si="7"/>
        <v>0</v>
      </c>
      <c r="X26" s="307">
        <f t="shared" si="7"/>
        <v>0</v>
      </c>
      <c r="Y26" s="307">
        <f t="shared" si="7"/>
        <v>0</v>
      </c>
      <c r="Z26" s="307">
        <f t="shared" si="7"/>
        <v>0</v>
      </c>
      <c r="AA26" s="307">
        <f t="shared" si="7"/>
        <v>0</v>
      </c>
      <c r="AB26" s="307">
        <f t="shared" si="7"/>
        <v>0</v>
      </c>
      <c r="AC26" s="307">
        <f t="shared" si="7"/>
        <v>0</v>
      </c>
      <c r="AD26" s="307">
        <f t="shared" si="7"/>
        <v>0</v>
      </c>
      <c r="AE26" s="307">
        <f t="shared" si="7"/>
        <v>0</v>
      </c>
      <c r="AF26" s="307">
        <f t="shared" si="7"/>
        <v>0</v>
      </c>
      <c r="AG26" s="307">
        <f t="shared" si="7"/>
        <v>0</v>
      </c>
      <c r="AH26" s="307">
        <f t="shared" si="7"/>
        <v>0</v>
      </c>
      <c r="AI26" s="308">
        <f t="shared" si="7"/>
        <v>0</v>
      </c>
      <c r="AJ26" s="309">
        <f t="shared" si="1"/>
        <v>18224398</v>
      </c>
    </row>
    <row r="27" spans="2:36" s="83" customFormat="1" ht="16.8" thickBot="1" x14ac:dyDescent="0.35">
      <c r="C27" s="83" t="s">
        <v>778</v>
      </c>
    </row>
    <row r="28" spans="2:36" s="82" customFormat="1" ht="18.75" customHeight="1" x14ac:dyDescent="0.3">
      <c r="B28" s="310" t="s">
        <v>791</v>
      </c>
      <c r="C28" s="311" t="s">
        <v>87</v>
      </c>
      <c r="D28" s="284" t="s">
        <v>89</v>
      </c>
      <c r="E28" s="285" t="s">
        <v>792</v>
      </c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  <c r="AE28" s="285"/>
      <c r="AF28" s="285"/>
      <c r="AG28" s="285"/>
      <c r="AH28" s="285"/>
      <c r="AI28" s="285"/>
      <c r="AJ28" s="286" t="s">
        <v>793</v>
      </c>
    </row>
    <row r="29" spans="2:36" s="82" customFormat="1" ht="17.399999999999999" x14ac:dyDescent="0.3">
      <c r="B29" s="312"/>
      <c r="C29" s="313"/>
      <c r="D29" s="314"/>
      <c r="E29" s="315">
        <v>1</v>
      </c>
      <c r="F29" s="316">
        <v>2</v>
      </c>
      <c r="G29" s="316">
        <v>3</v>
      </c>
      <c r="H29" s="316">
        <v>4</v>
      </c>
      <c r="I29" s="316">
        <v>5</v>
      </c>
      <c r="J29" s="316">
        <v>6</v>
      </c>
      <c r="K29" s="316">
        <v>7</v>
      </c>
      <c r="L29" s="316">
        <v>8</v>
      </c>
      <c r="M29" s="316">
        <v>9</v>
      </c>
      <c r="N29" s="316">
        <v>10</v>
      </c>
      <c r="O29" s="316">
        <v>11</v>
      </c>
      <c r="P29" s="316">
        <v>12</v>
      </c>
      <c r="Q29" s="316">
        <v>13</v>
      </c>
      <c r="R29" s="316">
        <v>14</v>
      </c>
      <c r="S29" s="316">
        <v>15</v>
      </c>
      <c r="T29" s="316">
        <v>16</v>
      </c>
      <c r="U29" s="316">
        <v>17</v>
      </c>
      <c r="V29" s="316">
        <v>18</v>
      </c>
      <c r="W29" s="316">
        <v>19</v>
      </c>
      <c r="X29" s="316">
        <v>20</v>
      </c>
      <c r="Y29" s="316">
        <v>21</v>
      </c>
      <c r="Z29" s="316">
        <v>22</v>
      </c>
      <c r="AA29" s="316">
        <v>23</v>
      </c>
      <c r="AB29" s="316">
        <v>24</v>
      </c>
      <c r="AC29" s="316">
        <v>25</v>
      </c>
      <c r="AD29" s="316">
        <v>26</v>
      </c>
      <c r="AE29" s="316">
        <v>27</v>
      </c>
      <c r="AF29" s="316">
        <v>28</v>
      </c>
      <c r="AG29" s="316">
        <v>29</v>
      </c>
      <c r="AH29" s="316">
        <v>30</v>
      </c>
      <c r="AI29" s="317">
        <v>31</v>
      </c>
      <c r="AJ29" s="318"/>
    </row>
    <row r="30" spans="2:36" x14ac:dyDescent="0.3">
      <c r="B30" s="319" t="s">
        <v>45</v>
      </c>
      <c r="C30" s="320" t="s">
        <v>246</v>
      </c>
      <c r="D30" s="102" t="s">
        <v>23</v>
      </c>
      <c r="E30" s="103">
        <f>SUMIFS(DB!$AC:$AC,DB!$E:$E,'Detail Cab By Tgl'!$B30,DB!$AP:$AP,'Detail Cab By Tgl'!$D30,DB!$AT:$AT,"ALDA",DB!$AQ:$AQ,'Detail Cab By Tgl'!E$29)</f>
        <v>0</v>
      </c>
      <c r="F30" s="104">
        <f>SUMIFS(DB!$AC:$AC,DB!$E:$E,'Detail Cab By Tgl'!$B30,DB!$AP:$AP,'Detail Cab By Tgl'!$D30,DB!$AT:$AT,"ALDA",DB!$AQ:$AQ,'Detail Cab By Tgl'!F$29)</f>
        <v>0</v>
      </c>
      <c r="G30" s="104">
        <f>SUMIFS(DB!$AC:$AC,DB!$E:$E,'Detail Cab By Tgl'!$B30,DB!$AP:$AP,'Detail Cab By Tgl'!$D30,DB!$AT:$AT,"ALDA",DB!$AQ:$AQ,'Detail Cab By Tgl'!G$29)</f>
        <v>0</v>
      </c>
      <c r="H30" s="104">
        <f>SUMIFS(DB!$AC:$AC,DB!$E:$E,'Detail Cab By Tgl'!$B30,DB!$AP:$AP,'Detail Cab By Tgl'!$D30,DB!$AT:$AT,"ALDA",DB!$AQ:$AQ,'Detail Cab By Tgl'!H$29)</f>
        <v>0</v>
      </c>
      <c r="I30" s="104">
        <f>SUMIFS(DB!$AC:$AC,DB!$E:$E,'Detail Cab By Tgl'!$B30,DB!$AP:$AP,'Detail Cab By Tgl'!$D30,DB!$AT:$AT,"ALDA",DB!$AQ:$AQ,'Detail Cab By Tgl'!I$29)</f>
        <v>0</v>
      </c>
      <c r="J30" s="104">
        <f>SUMIFS(DB!$AC:$AC,DB!$E:$E,'Detail Cab By Tgl'!$B30,DB!$AP:$AP,'Detail Cab By Tgl'!$D30,DB!$AT:$AT,"ALDA",DB!$AQ:$AQ,'Detail Cab By Tgl'!J$29)</f>
        <v>0</v>
      </c>
      <c r="K30" s="104">
        <f>SUMIFS(DB!$AC:$AC,DB!$E:$E,'Detail Cab By Tgl'!$B30,DB!$AP:$AP,'Detail Cab By Tgl'!$D30,DB!$AT:$AT,"ALDA",DB!$AQ:$AQ,'Detail Cab By Tgl'!K$29)</f>
        <v>0</v>
      </c>
      <c r="L30" s="104">
        <f>SUMIFS(DB!$AC:$AC,DB!$E:$E,'Detail Cab By Tgl'!$B30,DB!$AP:$AP,'Detail Cab By Tgl'!$D30,DB!$AT:$AT,"ALDA",DB!$AQ:$AQ,'Detail Cab By Tgl'!L$29)</f>
        <v>0</v>
      </c>
      <c r="M30" s="104">
        <f>SUMIFS(DB!$AC:$AC,DB!$E:$E,'Detail Cab By Tgl'!$B30,DB!$AP:$AP,'Detail Cab By Tgl'!$D30,DB!$AT:$AT,"ALDA",DB!$AQ:$AQ,'Detail Cab By Tgl'!M$29)</f>
        <v>0</v>
      </c>
      <c r="N30" s="104">
        <f>SUMIFS(DB!$AC:$AC,DB!$E:$E,'Detail Cab By Tgl'!$B30,DB!$AP:$AP,'Detail Cab By Tgl'!$D30,DB!$AT:$AT,"ALDA",DB!$AQ:$AQ,'Detail Cab By Tgl'!N$29)</f>
        <v>0</v>
      </c>
      <c r="O30" s="104">
        <f>SUMIFS(DB!$AC:$AC,DB!$E:$E,'Detail Cab By Tgl'!$B30,DB!$AP:$AP,'Detail Cab By Tgl'!$D30,DB!$AT:$AT,"ALDA",DB!$AQ:$AQ,'Detail Cab By Tgl'!O$29)</f>
        <v>0</v>
      </c>
      <c r="P30" s="104">
        <f>SUMIFS(DB!$AC:$AC,DB!$E:$E,'Detail Cab By Tgl'!$B30,DB!$AP:$AP,'Detail Cab By Tgl'!$D30,DB!$AT:$AT,"ALDA",DB!$AQ:$AQ,'Detail Cab By Tgl'!P$29)</f>
        <v>0</v>
      </c>
      <c r="Q30" s="104">
        <f>SUMIFS(DB!$AC:$AC,DB!$E:$E,'Detail Cab By Tgl'!$B30,DB!$AP:$AP,'Detail Cab By Tgl'!$D30,DB!$AT:$AT,"ALDA",DB!$AQ:$AQ,'Detail Cab By Tgl'!Q$29)</f>
        <v>0</v>
      </c>
      <c r="R30" s="104">
        <f>SUMIFS(DB!$AC:$AC,DB!$E:$E,'Detail Cab By Tgl'!$B30,DB!$AP:$AP,'Detail Cab By Tgl'!$D30,DB!$AT:$AT,"ALDA",DB!$AQ:$AQ,'Detail Cab By Tgl'!R$29)</f>
        <v>0</v>
      </c>
      <c r="S30" s="104">
        <f>SUMIFS(DB!$AC:$AC,DB!$E:$E,'Detail Cab By Tgl'!$B30,DB!$AP:$AP,'Detail Cab By Tgl'!$D30,DB!$AT:$AT,"ALDA",DB!$AQ:$AQ,'Detail Cab By Tgl'!S$29)</f>
        <v>0</v>
      </c>
      <c r="T30" s="104">
        <f>SUMIFS(DB!$AC:$AC,DB!$E:$E,'Detail Cab By Tgl'!$B30,DB!$AP:$AP,'Detail Cab By Tgl'!$D30,DB!$AT:$AT,"ALDA",DB!$AQ:$AQ,'Detail Cab By Tgl'!T$29)</f>
        <v>0</v>
      </c>
      <c r="U30" s="104">
        <f>SUMIFS(DB!$AC:$AC,DB!$E:$E,'Detail Cab By Tgl'!$B30,DB!$AP:$AP,'Detail Cab By Tgl'!$D30,DB!$AT:$AT,"ALDA",DB!$AQ:$AQ,'Detail Cab By Tgl'!U$29)</f>
        <v>0</v>
      </c>
      <c r="V30" s="104">
        <f>SUMIFS(DB!$AC:$AC,DB!$E:$E,'Detail Cab By Tgl'!$B30,DB!$AP:$AP,'Detail Cab By Tgl'!$D30,DB!$AT:$AT,"ALDA",DB!$AQ:$AQ,'Detail Cab By Tgl'!V$29)</f>
        <v>0</v>
      </c>
      <c r="W30" s="104">
        <f>SUMIFS(DB!$AC:$AC,DB!$E:$E,'Detail Cab By Tgl'!$B30,DB!$AP:$AP,'Detail Cab By Tgl'!$D30,DB!$AT:$AT,"ALDA",DB!$AQ:$AQ,'Detail Cab By Tgl'!W$29)</f>
        <v>0</v>
      </c>
      <c r="X30" s="104">
        <f>SUMIFS(DB!$AC:$AC,DB!$E:$E,'Detail Cab By Tgl'!$B30,DB!$AP:$AP,'Detail Cab By Tgl'!$D30,DB!$AT:$AT,"ALDA",DB!$AQ:$AQ,'Detail Cab By Tgl'!X$29)</f>
        <v>0</v>
      </c>
      <c r="Y30" s="104">
        <f>SUMIFS(DB!$AC:$AC,DB!$E:$E,'Detail Cab By Tgl'!$B30,DB!$AP:$AP,'Detail Cab By Tgl'!$D30,DB!$AT:$AT,"ALDA",DB!$AQ:$AQ,'Detail Cab By Tgl'!Y$29)</f>
        <v>0</v>
      </c>
      <c r="Z30" s="104">
        <f>SUMIFS(DB!$AC:$AC,DB!$E:$E,'Detail Cab By Tgl'!$B30,DB!$AP:$AP,'Detail Cab By Tgl'!$D30,DB!$AT:$AT,"ALDA",DB!$AQ:$AQ,'Detail Cab By Tgl'!Z$29)</f>
        <v>0</v>
      </c>
      <c r="AA30" s="104">
        <f>SUMIFS(DB!$AC:$AC,DB!$E:$E,'Detail Cab By Tgl'!$B30,DB!$AP:$AP,'Detail Cab By Tgl'!$D30,DB!$AT:$AT,"ALDA",DB!$AQ:$AQ,'Detail Cab By Tgl'!AA$29)</f>
        <v>0</v>
      </c>
      <c r="AB30" s="104">
        <f>SUMIFS(DB!$AC:$AC,DB!$E:$E,'Detail Cab By Tgl'!$B30,DB!$AP:$AP,'Detail Cab By Tgl'!$D30,DB!$AT:$AT,"ALDA",DB!$AQ:$AQ,'Detail Cab By Tgl'!AB$29)</f>
        <v>0</v>
      </c>
      <c r="AC30" s="104">
        <f>SUMIFS(DB!$AC:$AC,DB!$E:$E,'Detail Cab By Tgl'!$B30,DB!$AP:$AP,'Detail Cab By Tgl'!$D30,DB!$AT:$AT,"ALDA",DB!$AQ:$AQ,'Detail Cab By Tgl'!AC$29)</f>
        <v>0</v>
      </c>
      <c r="AD30" s="104">
        <f>SUMIFS(DB!$AC:$AC,DB!$E:$E,'Detail Cab By Tgl'!$B30,DB!$AP:$AP,'Detail Cab By Tgl'!$D30,DB!$AT:$AT,"ALDA",DB!$AQ:$AQ,'Detail Cab By Tgl'!AD$29)</f>
        <v>0</v>
      </c>
      <c r="AE30" s="104">
        <f>SUMIFS(DB!$AC:$AC,DB!$E:$E,'Detail Cab By Tgl'!$B30,DB!$AP:$AP,'Detail Cab By Tgl'!$D30,DB!$AT:$AT,"ALDA",DB!$AQ:$AQ,'Detail Cab By Tgl'!AE$29)</f>
        <v>0</v>
      </c>
      <c r="AF30" s="104">
        <f>SUMIFS(DB!$AC:$AC,DB!$E:$E,'Detail Cab By Tgl'!$B30,DB!$AP:$AP,'Detail Cab By Tgl'!$D30,DB!$AT:$AT,"ALDA",DB!$AQ:$AQ,'Detail Cab By Tgl'!AF$29)</f>
        <v>0</v>
      </c>
      <c r="AG30" s="104">
        <f>SUMIFS(DB!$AC:$AC,DB!$E:$E,'Detail Cab By Tgl'!$B30,DB!$AP:$AP,'Detail Cab By Tgl'!$D30,DB!$AT:$AT,"ALDA",DB!$AQ:$AQ,'Detail Cab By Tgl'!AG$29)</f>
        <v>0</v>
      </c>
      <c r="AH30" s="104">
        <f>SUMIFS(DB!$AC:$AC,DB!$E:$E,'Detail Cab By Tgl'!$B30,DB!$AP:$AP,'Detail Cab By Tgl'!$D30,DB!$AT:$AT,"ALDA",DB!$AQ:$AQ,'Detail Cab By Tgl'!AH$29)</f>
        <v>0</v>
      </c>
      <c r="AI30" s="105">
        <f>SUMIFS(DB!$AC:$AC,DB!$E:$E,'Detail Cab By Tgl'!$B30,DB!$AP:$AP,'Detail Cab By Tgl'!$D30,DB!$AT:$AT,"ALDA",DB!$AQ:$AQ,'Detail Cab By Tgl'!AI$29)</f>
        <v>0</v>
      </c>
      <c r="AJ30" s="175">
        <f>SUM(E30:AI30)</f>
        <v>0</v>
      </c>
    </row>
    <row r="31" spans="2:36" x14ac:dyDescent="0.3">
      <c r="B31" s="321" t="s">
        <v>45</v>
      </c>
      <c r="C31" s="322" t="s">
        <v>246</v>
      </c>
      <c r="D31" s="106" t="s">
        <v>244</v>
      </c>
      <c r="E31" s="93">
        <f>SUMIFS(DB!$AC:$AC,DB!$E:$E,'Detail Cab By Tgl'!$B31,DB!$AP:$AP,'Detail Cab By Tgl'!$D31,DB!$AT:$AT,"ALDA",DB!$AQ:$AQ,'Detail Cab By Tgl'!E$29)</f>
        <v>0</v>
      </c>
      <c r="F31" s="94">
        <f>SUMIFS(DB!$AC:$AC,DB!$E:$E,'Detail Cab By Tgl'!$B31,DB!$AP:$AP,'Detail Cab By Tgl'!$D31,DB!$AT:$AT,"ALDA",DB!$AQ:$AQ,'Detail Cab By Tgl'!F$29)</f>
        <v>0</v>
      </c>
      <c r="G31" s="94">
        <f>SUMIFS(DB!$AC:$AC,DB!$E:$E,'Detail Cab By Tgl'!$B31,DB!$AP:$AP,'Detail Cab By Tgl'!$D31,DB!$AT:$AT,"ALDA",DB!$AQ:$AQ,'Detail Cab By Tgl'!G$29)</f>
        <v>0</v>
      </c>
      <c r="H31" s="94">
        <f>SUMIFS(DB!$AC:$AC,DB!$E:$E,'Detail Cab By Tgl'!$B31,DB!$AP:$AP,'Detail Cab By Tgl'!$D31,DB!$AT:$AT,"ALDA",DB!$AQ:$AQ,'Detail Cab By Tgl'!H$29)</f>
        <v>0</v>
      </c>
      <c r="I31" s="94">
        <f>SUMIFS(DB!$AC:$AC,DB!$E:$E,'Detail Cab By Tgl'!$B31,DB!$AP:$AP,'Detail Cab By Tgl'!$D31,DB!$AT:$AT,"ALDA",DB!$AQ:$AQ,'Detail Cab By Tgl'!I$29)</f>
        <v>0</v>
      </c>
      <c r="J31" s="94">
        <f>SUMIFS(DB!$AC:$AC,DB!$E:$E,'Detail Cab By Tgl'!$B31,DB!$AP:$AP,'Detail Cab By Tgl'!$D31,DB!$AT:$AT,"ALDA",DB!$AQ:$AQ,'Detail Cab By Tgl'!J$29)</f>
        <v>0</v>
      </c>
      <c r="K31" s="94">
        <f>SUMIFS(DB!$AC:$AC,DB!$E:$E,'Detail Cab By Tgl'!$B31,DB!$AP:$AP,'Detail Cab By Tgl'!$D31,DB!$AT:$AT,"ALDA",DB!$AQ:$AQ,'Detail Cab By Tgl'!K$29)</f>
        <v>0</v>
      </c>
      <c r="L31" s="94">
        <f>SUMIFS(DB!$AC:$AC,DB!$E:$E,'Detail Cab By Tgl'!$B31,DB!$AP:$AP,'Detail Cab By Tgl'!$D31,DB!$AT:$AT,"ALDA",DB!$AQ:$AQ,'Detail Cab By Tgl'!L$29)</f>
        <v>0</v>
      </c>
      <c r="M31" s="94">
        <f>SUMIFS(DB!$AC:$AC,DB!$E:$E,'Detail Cab By Tgl'!$B31,DB!$AP:$AP,'Detail Cab By Tgl'!$D31,DB!$AT:$AT,"ALDA",DB!$AQ:$AQ,'Detail Cab By Tgl'!M$29)</f>
        <v>0</v>
      </c>
      <c r="N31" s="94">
        <f>SUMIFS(DB!$AC:$AC,DB!$E:$E,'Detail Cab By Tgl'!$B31,DB!$AP:$AP,'Detail Cab By Tgl'!$D31,DB!$AT:$AT,"ALDA",DB!$AQ:$AQ,'Detail Cab By Tgl'!N$29)</f>
        <v>0</v>
      </c>
      <c r="O31" s="94">
        <f>SUMIFS(DB!$AC:$AC,DB!$E:$E,'Detail Cab By Tgl'!$B31,DB!$AP:$AP,'Detail Cab By Tgl'!$D31,DB!$AT:$AT,"ALDA",DB!$AQ:$AQ,'Detail Cab By Tgl'!O$29)</f>
        <v>0</v>
      </c>
      <c r="P31" s="94">
        <f>SUMIFS(DB!$AC:$AC,DB!$E:$E,'Detail Cab By Tgl'!$B31,DB!$AP:$AP,'Detail Cab By Tgl'!$D31,DB!$AT:$AT,"ALDA",DB!$AQ:$AQ,'Detail Cab By Tgl'!P$29)</f>
        <v>0</v>
      </c>
      <c r="Q31" s="94">
        <f>SUMIFS(DB!$AC:$AC,DB!$E:$E,'Detail Cab By Tgl'!$B31,DB!$AP:$AP,'Detail Cab By Tgl'!$D31,DB!$AT:$AT,"ALDA",DB!$AQ:$AQ,'Detail Cab By Tgl'!Q$29)</f>
        <v>0</v>
      </c>
      <c r="R31" s="94">
        <f>SUMIFS(DB!$AC:$AC,DB!$E:$E,'Detail Cab By Tgl'!$B31,DB!$AP:$AP,'Detail Cab By Tgl'!$D31,DB!$AT:$AT,"ALDA",DB!$AQ:$AQ,'Detail Cab By Tgl'!R$29)</f>
        <v>0</v>
      </c>
      <c r="S31" s="94">
        <f>SUMIFS(DB!$AC:$AC,DB!$E:$E,'Detail Cab By Tgl'!$B31,DB!$AP:$AP,'Detail Cab By Tgl'!$D31,DB!$AT:$AT,"ALDA",DB!$AQ:$AQ,'Detail Cab By Tgl'!S$29)</f>
        <v>0</v>
      </c>
      <c r="T31" s="94">
        <f>SUMIFS(DB!$AC:$AC,DB!$E:$E,'Detail Cab By Tgl'!$B31,DB!$AP:$AP,'Detail Cab By Tgl'!$D31,DB!$AT:$AT,"ALDA",DB!$AQ:$AQ,'Detail Cab By Tgl'!T$29)</f>
        <v>0</v>
      </c>
      <c r="U31" s="94">
        <f>SUMIFS(DB!$AC:$AC,DB!$E:$E,'Detail Cab By Tgl'!$B31,DB!$AP:$AP,'Detail Cab By Tgl'!$D31,DB!$AT:$AT,"ALDA",DB!$AQ:$AQ,'Detail Cab By Tgl'!U$29)</f>
        <v>0</v>
      </c>
      <c r="V31" s="94">
        <f>SUMIFS(DB!$AC:$AC,DB!$E:$E,'Detail Cab By Tgl'!$B31,DB!$AP:$AP,'Detail Cab By Tgl'!$D31,DB!$AT:$AT,"ALDA",DB!$AQ:$AQ,'Detail Cab By Tgl'!V$29)</f>
        <v>0</v>
      </c>
      <c r="W31" s="94">
        <f>SUMIFS(DB!$AC:$AC,DB!$E:$E,'Detail Cab By Tgl'!$B31,DB!$AP:$AP,'Detail Cab By Tgl'!$D31,DB!$AT:$AT,"ALDA",DB!$AQ:$AQ,'Detail Cab By Tgl'!W$29)</f>
        <v>0</v>
      </c>
      <c r="X31" s="94">
        <f>SUMIFS(DB!$AC:$AC,DB!$E:$E,'Detail Cab By Tgl'!$B31,DB!$AP:$AP,'Detail Cab By Tgl'!$D31,DB!$AT:$AT,"ALDA",DB!$AQ:$AQ,'Detail Cab By Tgl'!X$29)</f>
        <v>0</v>
      </c>
      <c r="Y31" s="94">
        <f>SUMIFS(DB!$AC:$AC,DB!$E:$E,'Detail Cab By Tgl'!$B31,DB!$AP:$AP,'Detail Cab By Tgl'!$D31,DB!$AT:$AT,"ALDA",DB!$AQ:$AQ,'Detail Cab By Tgl'!Y$29)</f>
        <v>0</v>
      </c>
      <c r="Z31" s="94">
        <f>SUMIFS(DB!$AC:$AC,DB!$E:$E,'Detail Cab By Tgl'!$B31,DB!$AP:$AP,'Detail Cab By Tgl'!$D31,DB!$AT:$AT,"ALDA",DB!$AQ:$AQ,'Detail Cab By Tgl'!Z$29)</f>
        <v>0</v>
      </c>
      <c r="AA31" s="94">
        <f>SUMIFS(DB!$AC:$AC,DB!$E:$E,'Detail Cab By Tgl'!$B31,DB!$AP:$AP,'Detail Cab By Tgl'!$D31,DB!$AT:$AT,"ALDA",DB!$AQ:$AQ,'Detail Cab By Tgl'!AA$29)</f>
        <v>0</v>
      </c>
      <c r="AB31" s="94">
        <f>SUMIFS(DB!$AC:$AC,DB!$E:$E,'Detail Cab By Tgl'!$B31,DB!$AP:$AP,'Detail Cab By Tgl'!$D31,DB!$AT:$AT,"ALDA",DB!$AQ:$AQ,'Detail Cab By Tgl'!AB$29)</f>
        <v>0</v>
      </c>
      <c r="AC31" s="94">
        <f>SUMIFS(DB!$AC:$AC,DB!$E:$E,'Detail Cab By Tgl'!$B31,DB!$AP:$AP,'Detail Cab By Tgl'!$D31,DB!$AT:$AT,"ALDA",DB!$AQ:$AQ,'Detail Cab By Tgl'!AC$29)</f>
        <v>0</v>
      </c>
      <c r="AD31" s="94">
        <f>SUMIFS(DB!$AC:$AC,DB!$E:$E,'Detail Cab By Tgl'!$B31,DB!$AP:$AP,'Detail Cab By Tgl'!$D31,DB!$AT:$AT,"ALDA",DB!$AQ:$AQ,'Detail Cab By Tgl'!AD$29)</f>
        <v>0</v>
      </c>
      <c r="AE31" s="94">
        <f>SUMIFS(DB!$AC:$AC,DB!$E:$E,'Detail Cab By Tgl'!$B31,DB!$AP:$AP,'Detail Cab By Tgl'!$D31,DB!$AT:$AT,"ALDA",DB!$AQ:$AQ,'Detail Cab By Tgl'!AE$29)</f>
        <v>0</v>
      </c>
      <c r="AF31" s="94">
        <f>SUMIFS(DB!$AC:$AC,DB!$E:$E,'Detail Cab By Tgl'!$B31,DB!$AP:$AP,'Detail Cab By Tgl'!$D31,DB!$AT:$AT,"ALDA",DB!$AQ:$AQ,'Detail Cab By Tgl'!AF$29)</f>
        <v>0</v>
      </c>
      <c r="AG31" s="94">
        <f>SUMIFS(DB!$AC:$AC,DB!$E:$E,'Detail Cab By Tgl'!$B31,DB!$AP:$AP,'Detail Cab By Tgl'!$D31,DB!$AT:$AT,"ALDA",DB!$AQ:$AQ,'Detail Cab By Tgl'!AG$29)</f>
        <v>0</v>
      </c>
      <c r="AH31" s="94">
        <f>SUMIFS(DB!$AC:$AC,DB!$E:$E,'Detail Cab By Tgl'!$B31,DB!$AP:$AP,'Detail Cab By Tgl'!$D31,DB!$AT:$AT,"ALDA",DB!$AQ:$AQ,'Detail Cab By Tgl'!AH$29)</f>
        <v>0</v>
      </c>
      <c r="AI31" s="95">
        <f>SUMIFS(DB!$AC:$AC,DB!$E:$E,'Detail Cab By Tgl'!$B31,DB!$AP:$AP,'Detail Cab By Tgl'!$D31,DB!$AT:$AT,"ALDA",DB!$AQ:$AQ,'Detail Cab By Tgl'!AI$29)</f>
        <v>0</v>
      </c>
      <c r="AJ31" s="176">
        <f t="shared" ref="AJ31:AJ94" si="8">SUM(E31:AI31)</f>
        <v>0</v>
      </c>
    </row>
    <row r="32" spans="2:36" x14ac:dyDescent="0.3">
      <c r="B32" s="321" t="s">
        <v>45</v>
      </c>
      <c r="C32" s="322" t="s">
        <v>246</v>
      </c>
      <c r="D32" s="106" t="s">
        <v>22</v>
      </c>
      <c r="E32" s="93">
        <f>SUMIFS(DB!$AC:$AC,DB!$E:$E,'Detail Cab By Tgl'!$B32,DB!$AP:$AP,'Detail Cab By Tgl'!$D32,DB!$AT:$AT,"ALDA",DB!$AQ:$AQ,'Detail Cab By Tgl'!E$29)</f>
        <v>0</v>
      </c>
      <c r="F32" s="94">
        <f>SUMIFS(DB!$AC:$AC,DB!$E:$E,'Detail Cab By Tgl'!$B32,DB!$AP:$AP,'Detail Cab By Tgl'!$D32,DB!$AT:$AT,"ALDA",DB!$AQ:$AQ,'Detail Cab By Tgl'!F$29)</f>
        <v>0</v>
      </c>
      <c r="G32" s="94">
        <f>SUMIFS(DB!$AC:$AC,DB!$E:$E,'Detail Cab By Tgl'!$B32,DB!$AP:$AP,'Detail Cab By Tgl'!$D32,DB!$AT:$AT,"ALDA",DB!$AQ:$AQ,'Detail Cab By Tgl'!G$29)</f>
        <v>0</v>
      </c>
      <c r="H32" s="94">
        <f>SUMIFS(DB!$AC:$AC,DB!$E:$E,'Detail Cab By Tgl'!$B32,DB!$AP:$AP,'Detail Cab By Tgl'!$D32,DB!$AT:$AT,"ALDA",DB!$AQ:$AQ,'Detail Cab By Tgl'!H$29)</f>
        <v>0</v>
      </c>
      <c r="I32" s="94">
        <f>SUMIFS(DB!$AC:$AC,DB!$E:$E,'Detail Cab By Tgl'!$B32,DB!$AP:$AP,'Detail Cab By Tgl'!$D32,DB!$AT:$AT,"ALDA",DB!$AQ:$AQ,'Detail Cab By Tgl'!I$29)</f>
        <v>0</v>
      </c>
      <c r="J32" s="94">
        <f>SUMIFS(DB!$AC:$AC,DB!$E:$E,'Detail Cab By Tgl'!$B32,DB!$AP:$AP,'Detail Cab By Tgl'!$D32,DB!$AT:$AT,"ALDA",DB!$AQ:$AQ,'Detail Cab By Tgl'!J$29)</f>
        <v>0</v>
      </c>
      <c r="K32" s="94">
        <f>SUMIFS(DB!$AC:$AC,DB!$E:$E,'Detail Cab By Tgl'!$B32,DB!$AP:$AP,'Detail Cab By Tgl'!$D32,DB!$AT:$AT,"ALDA",DB!$AQ:$AQ,'Detail Cab By Tgl'!K$29)</f>
        <v>0</v>
      </c>
      <c r="L32" s="94">
        <f>SUMIFS(DB!$AC:$AC,DB!$E:$E,'Detail Cab By Tgl'!$B32,DB!$AP:$AP,'Detail Cab By Tgl'!$D32,DB!$AT:$AT,"ALDA",DB!$AQ:$AQ,'Detail Cab By Tgl'!L$29)</f>
        <v>0</v>
      </c>
      <c r="M32" s="94">
        <f>SUMIFS(DB!$AC:$AC,DB!$E:$E,'Detail Cab By Tgl'!$B32,DB!$AP:$AP,'Detail Cab By Tgl'!$D32,DB!$AT:$AT,"ALDA",DB!$AQ:$AQ,'Detail Cab By Tgl'!M$29)</f>
        <v>0</v>
      </c>
      <c r="N32" s="94">
        <f>SUMIFS(DB!$AC:$AC,DB!$E:$E,'Detail Cab By Tgl'!$B32,DB!$AP:$AP,'Detail Cab By Tgl'!$D32,DB!$AT:$AT,"ALDA",DB!$AQ:$AQ,'Detail Cab By Tgl'!N$29)</f>
        <v>0</v>
      </c>
      <c r="O32" s="94">
        <f>SUMIFS(DB!$AC:$AC,DB!$E:$E,'Detail Cab By Tgl'!$B32,DB!$AP:$AP,'Detail Cab By Tgl'!$D32,DB!$AT:$AT,"ALDA",DB!$AQ:$AQ,'Detail Cab By Tgl'!O$29)</f>
        <v>0</v>
      </c>
      <c r="P32" s="94">
        <f>SUMIFS(DB!$AC:$AC,DB!$E:$E,'Detail Cab By Tgl'!$B32,DB!$AP:$AP,'Detail Cab By Tgl'!$D32,DB!$AT:$AT,"ALDA",DB!$AQ:$AQ,'Detail Cab By Tgl'!P$29)</f>
        <v>0</v>
      </c>
      <c r="Q32" s="94">
        <f>SUMIFS(DB!$AC:$AC,DB!$E:$E,'Detail Cab By Tgl'!$B32,DB!$AP:$AP,'Detail Cab By Tgl'!$D32,DB!$AT:$AT,"ALDA",DB!$AQ:$AQ,'Detail Cab By Tgl'!Q$29)</f>
        <v>0</v>
      </c>
      <c r="R32" s="94">
        <f>SUMIFS(DB!$AC:$AC,DB!$E:$E,'Detail Cab By Tgl'!$B32,DB!$AP:$AP,'Detail Cab By Tgl'!$D32,DB!$AT:$AT,"ALDA",DB!$AQ:$AQ,'Detail Cab By Tgl'!R$29)</f>
        <v>0</v>
      </c>
      <c r="S32" s="94">
        <f>SUMIFS(DB!$AC:$AC,DB!$E:$E,'Detail Cab By Tgl'!$B32,DB!$AP:$AP,'Detail Cab By Tgl'!$D32,DB!$AT:$AT,"ALDA",DB!$AQ:$AQ,'Detail Cab By Tgl'!S$29)</f>
        <v>0</v>
      </c>
      <c r="T32" s="94">
        <f>SUMIFS(DB!$AC:$AC,DB!$E:$E,'Detail Cab By Tgl'!$B32,DB!$AP:$AP,'Detail Cab By Tgl'!$D32,DB!$AT:$AT,"ALDA",DB!$AQ:$AQ,'Detail Cab By Tgl'!T$29)</f>
        <v>0</v>
      </c>
      <c r="U32" s="94">
        <f>SUMIFS(DB!$AC:$AC,DB!$E:$E,'Detail Cab By Tgl'!$B32,DB!$AP:$AP,'Detail Cab By Tgl'!$D32,DB!$AT:$AT,"ALDA",DB!$AQ:$AQ,'Detail Cab By Tgl'!U$29)</f>
        <v>0</v>
      </c>
      <c r="V32" s="94">
        <f>SUMIFS(DB!$AC:$AC,DB!$E:$E,'Detail Cab By Tgl'!$B32,DB!$AP:$AP,'Detail Cab By Tgl'!$D32,DB!$AT:$AT,"ALDA",DB!$AQ:$AQ,'Detail Cab By Tgl'!V$29)</f>
        <v>0</v>
      </c>
      <c r="W32" s="94">
        <f>SUMIFS(DB!$AC:$AC,DB!$E:$E,'Detail Cab By Tgl'!$B32,DB!$AP:$AP,'Detail Cab By Tgl'!$D32,DB!$AT:$AT,"ALDA",DB!$AQ:$AQ,'Detail Cab By Tgl'!W$29)</f>
        <v>0</v>
      </c>
      <c r="X32" s="94">
        <f>SUMIFS(DB!$AC:$AC,DB!$E:$E,'Detail Cab By Tgl'!$B32,DB!$AP:$AP,'Detail Cab By Tgl'!$D32,DB!$AT:$AT,"ALDA",DB!$AQ:$AQ,'Detail Cab By Tgl'!X$29)</f>
        <v>0</v>
      </c>
      <c r="Y32" s="94">
        <f>SUMIFS(DB!$AC:$AC,DB!$E:$E,'Detail Cab By Tgl'!$B32,DB!$AP:$AP,'Detail Cab By Tgl'!$D32,DB!$AT:$AT,"ALDA",DB!$AQ:$AQ,'Detail Cab By Tgl'!Y$29)</f>
        <v>0</v>
      </c>
      <c r="Z32" s="94">
        <f>SUMIFS(DB!$AC:$AC,DB!$E:$E,'Detail Cab By Tgl'!$B32,DB!$AP:$AP,'Detail Cab By Tgl'!$D32,DB!$AT:$AT,"ALDA",DB!$AQ:$AQ,'Detail Cab By Tgl'!Z$29)</f>
        <v>0</v>
      </c>
      <c r="AA32" s="94">
        <f>SUMIFS(DB!$AC:$AC,DB!$E:$E,'Detail Cab By Tgl'!$B32,DB!$AP:$AP,'Detail Cab By Tgl'!$D32,DB!$AT:$AT,"ALDA",DB!$AQ:$AQ,'Detail Cab By Tgl'!AA$29)</f>
        <v>0</v>
      </c>
      <c r="AB32" s="94">
        <f>SUMIFS(DB!$AC:$AC,DB!$E:$E,'Detail Cab By Tgl'!$B32,DB!$AP:$AP,'Detail Cab By Tgl'!$D32,DB!$AT:$AT,"ALDA",DB!$AQ:$AQ,'Detail Cab By Tgl'!AB$29)</f>
        <v>0</v>
      </c>
      <c r="AC32" s="94">
        <f>SUMIFS(DB!$AC:$AC,DB!$E:$E,'Detail Cab By Tgl'!$B32,DB!$AP:$AP,'Detail Cab By Tgl'!$D32,DB!$AT:$AT,"ALDA",DB!$AQ:$AQ,'Detail Cab By Tgl'!AC$29)</f>
        <v>0</v>
      </c>
      <c r="AD32" s="94">
        <f>SUMIFS(DB!$AC:$AC,DB!$E:$E,'Detail Cab By Tgl'!$B32,DB!$AP:$AP,'Detail Cab By Tgl'!$D32,DB!$AT:$AT,"ALDA",DB!$AQ:$AQ,'Detail Cab By Tgl'!AD$29)</f>
        <v>0</v>
      </c>
      <c r="AE32" s="94">
        <f>SUMIFS(DB!$AC:$AC,DB!$E:$E,'Detail Cab By Tgl'!$B32,DB!$AP:$AP,'Detail Cab By Tgl'!$D32,DB!$AT:$AT,"ALDA",DB!$AQ:$AQ,'Detail Cab By Tgl'!AE$29)</f>
        <v>0</v>
      </c>
      <c r="AF32" s="94">
        <f>SUMIFS(DB!$AC:$AC,DB!$E:$E,'Detail Cab By Tgl'!$B32,DB!$AP:$AP,'Detail Cab By Tgl'!$D32,DB!$AT:$AT,"ALDA",DB!$AQ:$AQ,'Detail Cab By Tgl'!AF$29)</f>
        <v>0</v>
      </c>
      <c r="AG32" s="94">
        <f>SUMIFS(DB!$AC:$AC,DB!$E:$E,'Detail Cab By Tgl'!$B32,DB!$AP:$AP,'Detail Cab By Tgl'!$D32,DB!$AT:$AT,"ALDA",DB!$AQ:$AQ,'Detail Cab By Tgl'!AG$29)</f>
        <v>0</v>
      </c>
      <c r="AH32" s="94">
        <f>SUMIFS(DB!$AC:$AC,DB!$E:$E,'Detail Cab By Tgl'!$B32,DB!$AP:$AP,'Detail Cab By Tgl'!$D32,DB!$AT:$AT,"ALDA",DB!$AQ:$AQ,'Detail Cab By Tgl'!AH$29)</f>
        <v>0</v>
      </c>
      <c r="AI32" s="95">
        <f>SUMIFS(DB!$AC:$AC,DB!$E:$E,'Detail Cab By Tgl'!$B32,DB!$AP:$AP,'Detail Cab By Tgl'!$D32,DB!$AT:$AT,"ALDA",DB!$AQ:$AQ,'Detail Cab By Tgl'!AI$29)</f>
        <v>0</v>
      </c>
      <c r="AJ32" s="176">
        <f t="shared" si="8"/>
        <v>0</v>
      </c>
    </row>
    <row r="33" spans="2:36" x14ac:dyDescent="0.3">
      <c r="B33" s="321" t="s">
        <v>45</v>
      </c>
      <c r="C33" s="322" t="s">
        <v>246</v>
      </c>
      <c r="D33" s="106" t="s">
        <v>590</v>
      </c>
      <c r="E33" s="93">
        <f>SUMIFS(DB!$AC:$AC,DB!$E:$E,'Detail Cab By Tgl'!$B33,DB!$AP:$AP,'Detail Cab By Tgl'!$D33,DB!$AT:$AT,"ALDA",DB!$AQ:$AQ,'Detail Cab By Tgl'!E$29)</f>
        <v>0</v>
      </c>
      <c r="F33" s="94">
        <f>SUMIFS(DB!$AC:$AC,DB!$E:$E,'Detail Cab By Tgl'!$B33,DB!$AP:$AP,'Detail Cab By Tgl'!$D33,DB!$AT:$AT,"ALDA",DB!$AQ:$AQ,'Detail Cab By Tgl'!F$29)</f>
        <v>16025</v>
      </c>
      <c r="G33" s="94">
        <f>SUMIFS(DB!$AC:$AC,DB!$E:$E,'Detail Cab By Tgl'!$B33,DB!$AP:$AP,'Detail Cab By Tgl'!$D33,DB!$AT:$AT,"ALDA",DB!$AQ:$AQ,'Detail Cab By Tgl'!G$29)</f>
        <v>0</v>
      </c>
      <c r="H33" s="94">
        <f>SUMIFS(DB!$AC:$AC,DB!$E:$E,'Detail Cab By Tgl'!$B33,DB!$AP:$AP,'Detail Cab By Tgl'!$D33,DB!$AT:$AT,"ALDA",DB!$AQ:$AQ,'Detail Cab By Tgl'!H$29)</f>
        <v>0</v>
      </c>
      <c r="I33" s="94">
        <f>SUMIFS(DB!$AC:$AC,DB!$E:$E,'Detail Cab By Tgl'!$B33,DB!$AP:$AP,'Detail Cab By Tgl'!$D33,DB!$AT:$AT,"ALDA",DB!$AQ:$AQ,'Detail Cab By Tgl'!I$29)</f>
        <v>0</v>
      </c>
      <c r="J33" s="94">
        <f>SUMIFS(DB!$AC:$AC,DB!$E:$E,'Detail Cab By Tgl'!$B33,DB!$AP:$AP,'Detail Cab By Tgl'!$D33,DB!$AT:$AT,"ALDA",DB!$AQ:$AQ,'Detail Cab By Tgl'!J$29)</f>
        <v>0</v>
      </c>
      <c r="K33" s="94">
        <f>SUMIFS(DB!$AC:$AC,DB!$E:$E,'Detail Cab By Tgl'!$B33,DB!$AP:$AP,'Detail Cab By Tgl'!$D33,DB!$AT:$AT,"ALDA",DB!$AQ:$AQ,'Detail Cab By Tgl'!K$29)</f>
        <v>0</v>
      </c>
      <c r="L33" s="94">
        <f>SUMIFS(DB!$AC:$AC,DB!$E:$E,'Detail Cab By Tgl'!$B33,DB!$AP:$AP,'Detail Cab By Tgl'!$D33,DB!$AT:$AT,"ALDA",DB!$AQ:$AQ,'Detail Cab By Tgl'!L$29)</f>
        <v>0</v>
      </c>
      <c r="M33" s="94">
        <f>SUMIFS(DB!$AC:$AC,DB!$E:$E,'Detail Cab By Tgl'!$B33,DB!$AP:$AP,'Detail Cab By Tgl'!$D33,DB!$AT:$AT,"ALDA",DB!$AQ:$AQ,'Detail Cab By Tgl'!M$29)</f>
        <v>0</v>
      </c>
      <c r="N33" s="94">
        <f>SUMIFS(DB!$AC:$AC,DB!$E:$E,'Detail Cab By Tgl'!$B33,DB!$AP:$AP,'Detail Cab By Tgl'!$D33,DB!$AT:$AT,"ALDA",DB!$AQ:$AQ,'Detail Cab By Tgl'!N$29)</f>
        <v>0</v>
      </c>
      <c r="O33" s="94">
        <f>SUMIFS(DB!$AC:$AC,DB!$E:$E,'Detail Cab By Tgl'!$B33,DB!$AP:$AP,'Detail Cab By Tgl'!$D33,DB!$AT:$AT,"ALDA",DB!$AQ:$AQ,'Detail Cab By Tgl'!O$29)</f>
        <v>0</v>
      </c>
      <c r="P33" s="94">
        <f>SUMIFS(DB!$AC:$AC,DB!$E:$E,'Detail Cab By Tgl'!$B33,DB!$AP:$AP,'Detail Cab By Tgl'!$D33,DB!$AT:$AT,"ALDA",DB!$AQ:$AQ,'Detail Cab By Tgl'!P$29)</f>
        <v>0</v>
      </c>
      <c r="Q33" s="94">
        <f>SUMIFS(DB!$AC:$AC,DB!$E:$E,'Detail Cab By Tgl'!$B33,DB!$AP:$AP,'Detail Cab By Tgl'!$D33,DB!$AT:$AT,"ALDA",DB!$AQ:$AQ,'Detail Cab By Tgl'!Q$29)</f>
        <v>0</v>
      </c>
      <c r="R33" s="94">
        <f>SUMIFS(DB!$AC:$AC,DB!$E:$E,'Detail Cab By Tgl'!$B33,DB!$AP:$AP,'Detail Cab By Tgl'!$D33,DB!$AT:$AT,"ALDA",DB!$AQ:$AQ,'Detail Cab By Tgl'!R$29)</f>
        <v>0</v>
      </c>
      <c r="S33" s="94">
        <f>SUMIFS(DB!$AC:$AC,DB!$E:$E,'Detail Cab By Tgl'!$B33,DB!$AP:$AP,'Detail Cab By Tgl'!$D33,DB!$AT:$AT,"ALDA",DB!$AQ:$AQ,'Detail Cab By Tgl'!S$29)</f>
        <v>0</v>
      </c>
      <c r="T33" s="94">
        <f>SUMIFS(DB!$AC:$AC,DB!$E:$E,'Detail Cab By Tgl'!$B33,DB!$AP:$AP,'Detail Cab By Tgl'!$D33,DB!$AT:$AT,"ALDA",DB!$AQ:$AQ,'Detail Cab By Tgl'!T$29)</f>
        <v>0</v>
      </c>
      <c r="U33" s="94">
        <f>SUMIFS(DB!$AC:$AC,DB!$E:$E,'Detail Cab By Tgl'!$B33,DB!$AP:$AP,'Detail Cab By Tgl'!$D33,DB!$AT:$AT,"ALDA",DB!$AQ:$AQ,'Detail Cab By Tgl'!U$29)</f>
        <v>0</v>
      </c>
      <c r="V33" s="94">
        <f>SUMIFS(DB!$AC:$AC,DB!$E:$E,'Detail Cab By Tgl'!$B33,DB!$AP:$AP,'Detail Cab By Tgl'!$D33,DB!$AT:$AT,"ALDA",DB!$AQ:$AQ,'Detail Cab By Tgl'!V$29)</f>
        <v>0</v>
      </c>
      <c r="W33" s="94">
        <f>SUMIFS(DB!$AC:$AC,DB!$E:$E,'Detail Cab By Tgl'!$B33,DB!$AP:$AP,'Detail Cab By Tgl'!$D33,DB!$AT:$AT,"ALDA",DB!$AQ:$AQ,'Detail Cab By Tgl'!W$29)</f>
        <v>0</v>
      </c>
      <c r="X33" s="94">
        <f>SUMIFS(DB!$AC:$AC,DB!$E:$E,'Detail Cab By Tgl'!$B33,DB!$AP:$AP,'Detail Cab By Tgl'!$D33,DB!$AT:$AT,"ALDA",DB!$AQ:$AQ,'Detail Cab By Tgl'!X$29)</f>
        <v>0</v>
      </c>
      <c r="Y33" s="94">
        <f>SUMIFS(DB!$AC:$AC,DB!$E:$E,'Detail Cab By Tgl'!$B33,DB!$AP:$AP,'Detail Cab By Tgl'!$D33,DB!$AT:$AT,"ALDA",DB!$AQ:$AQ,'Detail Cab By Tgl'!Y$29)</f>
        <v>0</v>
      </c>
      <c r="Z33" s="94">
        <f>SUMIFS(DB!$AC:$AC,DB!$E:$E,'Detail Cab By Tgl'!$B33,DB!$AP:$AP,'Detail Cab By Tgl'!$D33,DB!$AT:$AT,"ALDA",DB!$AQ:$AQ,'Detail Cab By Tgl'!Z$29)</f>
        <v>0</v>
      </c>
      <c r="AA33" s="94">
        <f>SUMIFS(DB!$AC:$AC,DB!$E:$E,'Detail Cab By Tgl'!$B33,DB!$AP:$AP,'Detail Cab By Tgl'!$D33,DB!$AT:$AT,"ALDA",DB!$AQ:$AQ,'Detail Cab By Tgl'!AA$29)</f>
        <v>0</v>
      </c>
      <c r="AB33" s="94">
        <f>SUMIFS(DB!$AC:$AC,DB!$E:$E,'Detail Cab By Tgl'!$B33,DB!$AP:$AP,'Detail Cab By Tgl'!$D33,DB!$AT:$AT,"ALDA",DB!$AQ:$AQ,'Detail Cab By Tgl'!AB$29)</f>
        <v>0</v>
      </c>
      <c r="AC33" s="94">
        <f>SUMIFS(DB!$AC:$AC,DB!$E:$E,'Detail Cab By Tgl'!$B33,DB!$AP:$AP,'Detail Cab By Tgl'!$D33,DB!$AT:$AT,"ALDA",DB!$AQ:$AQ,'Detail Cab By Tgl'!AC$29)</f>
        <v>0</v>
      </c>
      <c r="AD33" s="94">
        <f>SUMIFS(DB!$AC:$AC,DB!$E:$E,'Detail Cab By Tgl'!$B33,DB!$AP:$AP,'Detail Cab By Tgl'!$D33,DB!$AT:$AT,"ALDA",DB!$AQ:$AQ,'Detail Cab By Tgl'!AD$29)</f>
        <v>0</v>
      </c>
      <c r="AE33" s="94">
        <f>SUMIFS(DB!$AC:$AC,DB!$E:$E,'Detail Cab By Tgl'!$B33,DB!$AP:$AP,'Detail Cab By Tgl'!$D33,DB!$AT:$AT,"ALDA",DB!$AQ:$AQ,'Detail Cab By Tgl'!AE$29)</f>
        <v>0</v>
      </c>
      <c r="AF33" s="94">
        <f>SUMIFS(DB!$AC:$AC,DB!$E:$E,'Detail Cab By Tgl'!$B33,DB!$AP:$AP,'Detail Cab By Tgl'!$D33,DB!$AT:$AT,"ALDA",DB!$AQ:$AQ,'Detail Cab By Tgl'!AF$29)</f>
        <v>0</v>
      </c>
      <c r="AG33" s="94">
        <f>SUMIFS(DB!$AC:$AC,DB!$E:$E,'Detail Cab By Tgl'!$B33,DB!$AP:$AP,'Detail Cab By Tgl'!$D33,DB!$AT:$AT,"ALDA",DB!$AQ:$AQ,'Detail Cab By Tgl'!AG$29)</f>
        <v>0</v>
      </c>
      <c r="AH33" s="94">
        <f>SUMIFS(DB!$AC:$AC,DB!$E:$E,'Detail Cab By Tgl'!$B33,DB!$AP:$AP,'Detail Cab By Tgl'!$D33,DB!$AT:$AT,"ALDA",DB!$AQ:$AQ,'Detail Cab By Tgl'!AH$29)</f>
        <v>0</v>
      </c>
      <c r="AI33" s="95">
        <f>SUMIFS(DB!$AC:$AC,DB!$E:$E,'Detail Cab By Tgl'!$B33,DB!$AP:$AP,'Detail Cab By Tgl'!$D33,DB!$AT:$AT,"ALDA",DB!$AQ:$AQ,'Detail Cab By Tgl'!AI$29)</f>
        <v>0</v>
      </c>
      <c r="AJ33" s="176">
        <f t="shared" si="8"/>
        <v>16025</v>
      </c>
    </row>
    <row r="34" spans="2:36" x14ac:dyDescent="0.3">
      <c r="B34" s="321" t="s">
        <v>45</v>
      </c>
      <c r="C34" s="322" t="s">
        <v>246</v>
      </c>
      <c r="D34" s="106" t="s">
        <v>331</v>
      </c>
      <c r="E34" s="93">
        <f>SUMIFS(DB!$AC:$AC,DB!$E:$E,'Detail Cab By Tgl'!$B34,DB!$AP:$AP,'Detail Cab By Tgl'!$D34,DB!$AT:$AT,"ALDA",DB!$AQ:$AQ,'Detail Cab By Tgl'!E$29)</f>
        <v>0</v>
      </c>
      <c r="F34" s="94">
        <f>SUMIFS(DB!$AC:$AC,DB!$E:$E,'Detail Cab By Tgl'!$B34,DB!$AP:$AP,'Detail Cab By Tgl'!$D34,DB!$AT:$AT,"ALDA",DB!$AQ:$AQ,'Detail Cab By Tgl'!F$29)</f>
        <v>0</v>
      </c>
      <c r="G34" s="94">
        <f>SUMIFS(DB!$AC:$AC,DB!$E:$E,'Detail Cab By Tgl'!$B34,DB!$AP:$AP,'Detail Cab By Tgl'!$D34,DB!$AT:$AT,"ALDA",DB!$AQ:$AQ,'Detail Cab By Tgl'!G$29)</f>
        <v>0</v>
      </c>
      <c r="H34" s="94">
        <f>SUMIFS(DB!$AC:$AC,DB!$E:$E,'Detail Cab By Tgl'!$B34,DB!$AP:$AP,'Detail Cab By Tgl'!$D34,DB!$AT:$AT,"ALDA",DB!$AQ:$AQ,'Detail Cab By Tgl'!H$29)</f>
        <v>0</v>
      </c>
      <c r="I34" s="94">
        <f>SUMIFS(DB!$AC:$AC,DB!$E:$E,'Detail Cab By Tgl'!$B34,DB!$AP:$AP,'Detail Cab By Tgl'!$D34,DB!$AT:$AT,"ALDA",DB!$AQ:$AQ,'Detail Cab By Tgl'!I$29)</f>
        <v>0</v>
      </c>
      <c r="J34" s="94">
        <f>SUMIFS(DB!$AC:$AC,DB!$E:$E,'Detail Cab By Tgl'!$B34,DB!$AP:$AP,'Detail Cab By Tgl'!$D34,DB!$AT:$AT,"ALDA",DB!$AQ:$AQ,'Detail Cab By Tgl'!J$29)</f>
        <v>0</v>
      </c>
      <c r="K34" s="94">
        <f>SUMIFS(DB!$AC:$AC,DB!$E:$E,'Detail Cab By Tgl'!$B34,DB!$AP:$AP,'Detail Cab By Tgl'!$D34,DB!$AT:$AT,"ALDA",DB!$AQ:$AQ,'Detail Cab By Tgl'!K$29)</f>
        <v>0</v>
      </c>
      <c r="L34" s="94">
        <f>SUMIFS(DB!$AC:$AC,DB!$E:$E,'Detail Cab By Tgl'!$B34,DB!$AP:$AP,'Detail Cab By Tgl'!$D34,DB!$AT:$AT,"ALDA",DB!$AQ:$AQ,'Detail Cab By Tgl'!L$29)</f>
        <v>0</v>
      </c>
      <c r="M34" s="94">
        <f>SUMIFS(DB!$AC:$AC,DB!$E:$E,'Detail Cab By Tgl'!$B34,DB!$AP:$AP,'Detail Cab By Tgl'!$D34,DB!$AT:$AT,"ALDA",DB!$AQ:$AQ,'Detail Cab By Tgl'!M$29)</f>
        <v>0</v>
      </c>
      <c r="N34" s="94">
        <f>SUMIFS(DB!$AC:$AC,DB!$E:$E,'Detail Cab By Tgl'!$B34,DB!$AP:$AP,'Detail Cab By Tgl'!$D34,DB!$AT:$AT,"ALDA",DB!$AQ:$AQ,'Detail Cab By Tgl'!N$29)</f>
        <v>0</v>
      </c>
      <c r="O34" s="94">
        <f>SUMIFS(DB!$AC:$AC,DB!$E:$E,'Detail Cab By Tgl'!$B34,DB!$AP:$AP,'Detail Cab By Tgl'!$D34,DB!$AT:$AT,"ALDA",DB!$AQ:$AQ,'Detail Cab By Tgl'!O$29)</f>
        <v>0</v>
      </c>
      <c r="P34" s="94">
        <f>SUMIFS(DB!$AC:$AC,DB!$E:$E,'Detail Cab By Tgl'!$B34,DB!$AP:$AP,'Detail Cab By Tgl'!$D34,DB!$AT:$AT,"ALDA",DB!$AQ:$AQ,'Detail Cab By Tgl'!P$29)</f>
        <v>0</v>
      </c>
      <c r="Q34" s="94">
        <f>SUMIFS(DB!$AC:$AC,DB!$E:$E,'Detail Cab By Tgl'!$B34,DB!$AP:$AP,'Detail Cab By Tgl'!$D34,DB!$AT:$AT,"ALDA",DB!$AQ:$AQ,'Detail Cab By Tgl'!Q$29)</f>
        <v>0</v>
      </c>
      <c r="R34" s="94">
        <f>SUMIFS(DB!$AC:$AC,DB!$E:$E,'Detail Cab By Tgl'!$B34,DB!$AP:$AP,'Detail Cab By Tgl'!$D34,DB!$AT:$AT,"ALDA",DB!$AQ:$AQ,'Detail Cab By Tgl'!R$29)</f>
        <v>0</v>
      </c>
      <c r="S34" s="94">
        <f>SUMIFS(DB!$AC:$AC,DB!$E:$E,'Detail Cab By Tgl'!$B34,DB!$AP:$AP,'Detail Cab By Tgl'!$D34,DB!$AT:$AT,"ALDA",DB!$AQ:$AQ,'Detail Cab By Tgl'!S$29)</f>
        <v>0</v>
      </c>
      <c r="T34" s="94">
        <f>SUMIFS(DB!$AC:$AC,DB!$E:$E,'Detail Cab By Tgl'!$B34,DB!$AP:$AP,'Detail Cab By Tgl'!$D34,DB!$AT:$AT,"ALDA",DB!$AQ:$AQ,'Detail Cab By Tgl'!T$29)</f>
        <v>0</v>
      </c>
      <c r="U34" s="94">
        <f>SUMIFS(DB!$AC:$AC,DB!$E:$E,'Detail Cab By Tgl'!$B34,DB!$AP:$AP,'Detail Cab By Tgl'!$D34,DB!$AT:$AT,"ALDA",DB!$AQ:$AQ,'Detail Cab By Tgl'!U$29)</f>
        <v>0</v>
      </c>
      <c r="V34" s="94">
        <f>SUMIFS(DB!$AC:$AC,DB!$E:$E,'Detail Cab By Tgl'!$B34,DB!$AP:$AP,'Detail Cab By Tgl'!$D34,DB!$AT:$AT,"ALDA",DB!$AQ:$AQ,'Detail Cab By Tgl'!V$29)</f>
        <v>0</v>
      </c>
      <c r="W34" s="94">
        <f>SUMIFS(DB!$AC:$AC,DB!$E:$E,'Detail Cab By Tgl'!$B34,DB!$AP:$AP,'Detail Cab By Tgl'!$D34,DB!$AT:$AT,"ALDA",DB!$AQ:$AQ,'Detail Cab By Tgl'!W$29)</f>
        <v>0</v>
      </c>
      <c r="X34" s="94">
        <f>SUMIFS(DB!$AC:$AC,DB!$E:$E,'Detail Cab By Tgl'!$B34,DB!$AP:$AP,'Detail Cab By Tgl'!$D34,DB!$AT:$AT,"ALDA",DB!$AQ:$AQ,'Detail Cab By Tgl'!X$29)</f>
        <v>0</v>
      </c>
      <c r="Y34" s="94">
        <f>SUMIFS(DB!$AC:$AC,DB!$E:$E,'Detail Cab By Tgl'!$B34,DB!$AP:$AP,'Detail Cab By Tgl'!$D34,DB!$AT:$AT,"ALDA",DB!$AQ:$AQ,'Detail Cab By Tgl'!Y$29)</f>
        <v>0</v>
      </c>
      <c r="Z34" s="94">
        <f>SUMIFS(DB!$AC:$AC,DB!$E:$E,'Detail Cab By Tgl'!$B34,DB!$AP:$AP,'Detail Cab By Tgl'!$D34,DB!$AT:$AT,"ALDA",DB!$AQ:$AQ,'Detail Cab By Tgl'!Z$29)</f>
        <v>0</v>
      </c>
      <c r="AA34" s="94">
        <f>SUMIFS(DB!$AC:$AC,DB!$E:$E,'Detail Cab By Tgl'!$B34,DB!$AP:$AP,'Detail Cab By Tgl'!$D34,DB!$AT:$AT,"ALDA",DB!$AQ:$AQ,'Detail Cab By Tgl'!AA$29)</f>
        <v>0</v>
      </c>
      <c r="AB34" s="94">
        <f>SUMIFS(DB!$AC:$AC,DB!$E:$E,'Detail Cab By Tgl'!$B34,DB!$AP:$AP,'Detail Cab By Tgl'!$D34,DB!$AT:$AT,"ALDA",DB!$AQ:$AQ,'Detail Cab By Tgl'!AB$29)</f>
        <v>0</v>
      </c>
      <c r="AC34" s="94">
        <f>SUMIFS(DB!$AC:$AC,DB!$E:$E,'Detail Cab By Tgl'!$B34,DB!$AP:$AP,'Detail Cab By Tgl'!$D34,DB!$AT:$AT,"ALDA",DB!$AQ:$AQ,'Detail Cab By Tgl'!AC$29)</f>
        <v>0</v>
      </c>
      <c r="AD34" s="94">
        <f>SUMIFS(DB!$AC:$AC,DB!$E:$E,'Detail Cab By Tgl'!$B34,DB!$AP:$AP,'Detail Cab By Tgl'!$D34,DB!$AT:$AT,"ALDA",DB!$AQ:$AQ,'Detail Cab By Tgl'!AD$29)</f>
        <v>0</v>
      </c>
      <c r="AE34" s="94">
        <f>SUMIFS(DB!$AC:$AC,DB!$E:$E,'Detail Cab By Tgl'!$B34,DB!$AP:$AP,'Detail Cab By Tgl'!$D34,DB!$AT:$AT,"ALDA",DB!$AQ:$AQ,'Detail Cab By Tgl'!AE$29)</f>
        <v>0</v>
      </c>
      <c r="AF34" s="94">
        <f>SUMIFS(DB!$AC:$AC,DB!$E:$E,'Detail Cab By Tgl'!$B34,DB!$AP:$AP,'Detail Cab By Tgl'!$D34,DB!$AT:$AT,"ALDA",DB!$AQ:$AQ,'Detail Cab By Tgl'!AF$29)</f>
        <v>0</v>
      </c>
      <c r="AG34" s="94">
        <f>SUMIFS(DB!$AC:$AC,DB!$E:$E,'Detail Cab By Tgl'!$B34,DB!$AP:$AP,'Detail Cab By Tgl'!$D34,DB!$AT:$AT,"ALDA",DB!$AQ:$AQ,'Detail Cab By Tgl'!AG$29)</f>
        <v>0</v>
      </c>
      <c r="AH34" s="94">
        <f>SUMIFS(DB!$AC:$AC,DB!$E:$E,'Detail Cab By Tgl'!$B34,DB!$AP:$AP,'Detail Cab By Tgl'!$D34,DB!$AT:$AT,"ALDA",DB!$AQ:$AQ,'Detail Cab By Tgl'!AH$29)</f>
        <v>0</v>
      </c>
      <c r="AI34" s="95">
        <f>SUMIFS(DB!$AC:$AC,DB!$E:$E,'Detail Cab By Tgl'!$B34,DB!$AP:$AP,'Detail Cab By Tgl'!$D34,DB!$AT:$AT,"ALDA",DB!$AQ:$AQ,'Detail Cab By Tgl'!AI$29)</f>
        <v>0</v>
      </c>
      <c r="AJ34" s="176">
        <f t="shared" si="8"/>
        <v>0</v>
      </c>
    </row>
    <row r="35" spans="2:36" x14ac:dyDescent="0.3">
      <c r="B35" s="321" t="s">
        <v>45</v>
      </c>
      <c r="C35" s="322" t="s">
        <v>246</v>
      </c>
      <c r="D35" s="106" t="s">
        <v>29</v>
      </c>
      <c r="E35" s="93">
        <f>SUMIFS(DB!$AC:$AC,DB!$E:$E,'Detail Cab By Tgl'!$B35,DB!$AP:$AP,'Detail Cab By Tgl'!$D35,DB!$AT:$AT,"ALDA",DB!$AQ:$AQ,'Detail Cab By Tgl'!E$29)</f>
        <v>0</v>
      </c>
      <c r="F35" s="94">
        <f>SUMIFS(DB!$AC:$AC,DB!$E:$E,'Detail Cab By Tgl'!$B35,DB!$AP:$AP,'Detail Cab By Tgl'!$D35,DB!$AT:$AT,"ALDA",DB!$AQ:$AQ,'Detail Cab By Tgl'!F$29)</f>
        <v>2555580</v>
      </c>
      <c r="G35" s="94">
        <f>SUMIFS(DB!$AC:$AC,DB!$E:$E,'Detail Cab By Tgl'!$B35,DB!$AP:$AP,'Detail Cab By Tgl'!$D35,DB!$AT:$AT,"ALDA",DB!$AQ:$AQ,'Detail Cab By Tgl'!G$29)</f>
        <v>0</v>
      </c>
      <c r="H35" s="94">
        <f>SUMIFS(DB!$AC:$AC,DB!$E:$E,'Detail Cab By Tgl'!$B35,DB!$AP:$AP,'Detail Cab By Tgl'!$D35,DB!$AT:$AT,"ALDA",DB!$AQ:$AQ,'Detail Cab By Tgl'!H$29)</f>
        <v>0</v>
      </c>
      <c r="I35" s="94">
        <f>SUMIFS(DB!$AC:$AC,DB!$E:$E,'Detail Cab By Tgl'!$B35,DB!$AP:$AP,'Detail Cab By Tgl'!$D35,DB!$AT:$AT,"ALDA",DB!$AQ:$AQ,'Detail Cab By Tgl'!I$29)</f>
        <v>0</v>
      </c>
      <c r="J35" s="94">
        <f>SUMIFS(DB!$AC:$AC,DB!$E:$E,'Detail Cab By Tgl'!$B35,DB!$AP:$AP,'Detail Cab By Tgl'!$D35,DB!$AT:$AT,"ALDA",DB!$AQ:$AQ,'Detail Cab By Tgl'!J$29)</f>
        <v>0</v>
      </c>
      <c r="K35" s="94">
        <f>SUMIFS(DB!$AC:$AC,DB!$E:$E,'Detail Cab By Tgl'!$B35,DB!$AP:$AP,'Detail Cab By Tgl'!$D35,DB!$AT:$AT,"ALDA",DB!$AQ:$AQ,'Detail Cab By Tgl'!K$29)</f>
        <v>0</v>
      </c>
      <c r="L35" s="94">
        <f>SUMIFS(DB!$AC:$AC,DB!$E:$E,'Detail Cab By Tgl'!$B35,DB!$AP:$AP,'Detail Cab By Tgl'!$D35,DB!$AT:$AT,"ALDA",DB!$AQ:$AQ,'Detail Cab By Tgl'!L$29)</f>
        <v>0</v>
      </c>
      <c r="M35" s="94">
        <f>SUMIFS(DB!$AC:$AC,DB!$E:$E,'Detail Cab By Tgl'!$B35,DB!$AP:$AP,'Detail Cab By Tgl'!$D35,DB!$AT:$AT,"ALDA",DB!$AQ:$AQ,'Detail Cab By Tgl'!M$29)</f>
        <v>0</v>
      </c>
      <c r="N35" s="94">
        <f>SUMIFS(DB!$AC:$AC,DB!$E:$E,'Detail Cab By Tgl'!$B35,DB!$AP:$AP,'Detail Cab By Tgl'!$D35,DB!$AT:$AT,"ALDA",DB!$AQ:$AQ,'Detail Cab By Tgl'!N$29)</f>
        <v>0</v>
      </c>
      <c r="O35" s="94">
        <f>SUMIFS(DB!$AC:$AC,DB!$E:$E,'Detail Cab By Tgl'!$B35,DB!$AP:$AP,'Detail Cab By Tgl'!$D35,DB!$AT:$AT,"ALDA",DB!$AQ:$AQ,'Detail Cab By Tgl'!O$29)</f>
        <v>0</v>
      </c>
      <c r="P35" s="94">
        <f>SUMIFS(DB!$AC:$AC,DB!$E:$E,'Detail Cab By Tgl'!$B35,DB!$AP:$AP,'Detail Cab By Tgl'!$D35,DB!$AT:$AT,"ALDA",DB!$AQ:$AQ,'Detail Cab By Tgl'!P$29)</f>
        <v>0</v>
      </c>
      <c r="Q35" s="94">
        <f>SUMIFS(DB!$AC:$AC,DB!$E:$E,'Detail Cab By Tgl'!$B35,DB!$AP:$AP,'Detail Cab By Tgl'!$D35,DB!$AT:$AT,"ALDA",DB!$AQ:$AQ,'Detail Cab By Tgl'!Q$29)</f>
        <v>0</v>
      </c>
      <c r="R35" s="94">
        <f>SUMIFS(DB!$AC:$AC,DB!$E:$E,'Detail Cab By Tgl'!$B35,DB!$AP:$AP,'Detail Cab By Tgl'!$D35,DB!$AT:$AT,"ALDA",DB!$AQ:$AQ,'Detail Cab By Tgl'!R$29)</f>
        <v>0</v>
      </c>
      <c r="S35" s="94">
        <f>SUMIFS(DB!$AC:$AC,DB!$E:$E,'Detail Cab By Tgl'!$B35,DB!$AP:$AP,'Detail Cab By Tgl'!$D35,DB!$AT:$AT,"ALDA",DB!$AQ:$AQ,'Detail Cab By Tgl'!S$29)</f>
        <v>0</v>
      </c>
      <c r="T35" s="94">
        <f>SUMIFS(DB!$AC:$AC,DB!$E:$E,'Detail Cab By Tgl'!$B35,DB!$AP:$AP,'Detail Cab By Tgl'!$D35,DB!$AT:$AT,"ALDA",DB!$AQ:$AQ,'Detail Cab By Tgl'!T$29)</f>
        <v>0</v>
      </c>
      <c r="U35" s="94">
        <f>SUMIFS(DB!$AC:$AC,DB!$E:$E,'Detail Cab By Tgl'!$B35,DB!$AP:$AP,'Detail Cab By Tgl'!$D35,DB!$AT:$AT,"ALDA",DB!$AQ:$AQ,'Detail Cab By Tgl'!U$29)</f>
        <v>0</v>
      </c>
      <c r="V35" s="94">
        <f>SUMIFS(DB!$AC:$AC,DB!$E:$E,'Detail Cab By Tgl'!$B35,DB!$AP:$AP,'Detail Cab By Tgl'!$D35,DB!$AT:$AT,"ALDA",DB!$AQ:$AQ,'Detail Cab By Tgl'!V$29)</f>
        <v>0</v>
      </c>
      <c r="W35" s="94">
        <f>SUMIFS(DB!$AC:$AC,DB!$E:$E,'Detail Cab By Tgl'!$B35,DB!$AP:$AP,'Detail Cab By Tgl'!$D35,DB!$AT:$AT,"ALDA",DB!$AQ:$AQ,'Detail Cab By Tgl'!W$29)</f>
        <v>0</v>
      </c>
      <c r="X35" s="94">
        <f>SUMIFS(DB!$AC:$AC,DB!$E:$E,'Detail Cab By Tgl'!$B35,DB!$AP:$AP,'Detail Cab By Tgl'!$D35,DB!$AT:$AT,"ALDA",DB!$AQ:$AQ,'Detail Cab By Tgl'!X$29)</f>
        <v>0</v>
      </c>
      <c r="Y35" s="94">
        <f>SUMIFS(DB!$AC:$AC,DB!$E:$E,'Detail Cab By Tgl'!$B35,DB!$AP:$AP,'Detail Cab By Tgl'!$D35,DB!$AT:$AT,"ALDA",DB!$AQ:$AQ,'Detail Cab By Tgl'!Y$29)</f>
        <v>0</v>
      </c>
      <c r="Z35" s="94">
        <f>SUMIFS(DB!$AC:$AC,DB!$E:$E,'Detail Cab By Tgl'!$B35,DB!$AP:$AP,'Detail Cab By Tgl'!$D35,DB!$AT:$AT,"ALDA",DB!$AQ:$AQ,'Detail Cab By Tgl'!Z$29)</f>
        <v>0</v>
      </c>
      <c r="AA35" s="94">
        <f>SUMIFS(DB!$AC:$AC,DB!$E:$E,'Detail Cab By Tgl'!$B35,DB!$AP:$AP,'Detail Cab By Tgl'!$D35,DB!$AT:$AT,"ALDA",DB!$AQ:$AQ,'Detail Cab By Tgl'!AA$29)</f>
        <v>0</v>
      </c>
      <c r="AB35" s="94">
        <f>SUMIFS(DB!$AC:$AC,DB!$E:$E,'Detail Cab By Tgl'!$B35,DB!$AP:$AP,'Detail Cab By Tgl'!$D35,DB!$AT:$AT,"ALDA",DB!$AQ:$AQ,'Detail Cab By Tgl'!AB$29)</f>
        <v>0</v>
      </c>
      <c r="AC35" s="94">
        <f>SUMIFS(DB!$AC:$AC,DB!$E:$E,'Detail Cab By Tgl'!$B35,DB!$AP:$AP,'Detail Cab By Tgl'!$D35,DB!$AT:$AT,"ALDA",DB!$AQ:$AQ,'Detail Cab By Tgl'!AC$29)</f>
        <v>0</v>
      </c>
      <c r="AD35" s="94">
        <f>SUMIFS(DB!$AC:$AC,DB!$E:$E,'Detail Cab By Tgl'!$B35,DB!$AP:$AP,'Detail Cab By Tgl'!$D35,DB!$AT:$AT,"ALDA",DB!$AQ:$AQ,'Detail Cab By Tgl'!AD$29)</f>
        <v>0</v>
      </c>
      <c r="AE35" s="94">
        <f>SUMIFS(DB!$AC:$AC,DB!$E:$E,'Detail Cab By Tgl'!$B35,DB!$AP:$AP,'Detail Cab By Tgl'!$D35,DB!$AT:$AT,"ALDA",DB!$AQ:$AQ,'Detail Cab By Tgl'!AE$29)</f>
        <v>0</v>
      </c>
      <c r="AF35" s="94">
        <f>SUMIFS(DB!$AC:$AC,DB!$E:$E,'Detail Cab By Tgl'!$B35,DB!$AP:$AP,'Detail Cab By Tgl'!$D35,DB!$AT:$AT,"ALDA",DB!$AQ:$AQ,'Detail Cab By Tgl'!AF$29)</f>
        <v>0</v>
      </c>
      <c r="AG35" s="94">
        <f>SUMIFS(DB!$AC:$AC,DB!$E:$E,'Detail Cab By Tgl'!$B35,DB!$AP:$AP,'Detail Cab By Tgl'!$D35,DB!$AT:$AT,"ALDA",DB!$AQ:$AQ,'Detail Cab By Tgl'!AG$29)</f>
        <v>0</v>
      </c>
      <c r="AH35" s="94">
        <f>SUMIFS(DB!$AC:$AC,DB!$E:$E,'Detail Cab By Tgl'!$B35,DB!$AP:$AP,'Detail Cab By Tgl'!$D35,DB!$AT:$AT,"ALDA",DB!$AQ:$AQ,'Detail Cab By Tgl'!AH$29)</f>
        <v>0</v>
      </c>
      <c r="AI35" s="95">
        <f>SUMIFS(DB!$AC:$AC,DB!$E:$E,'Detail Cab By Tgl'!$B35,DB!$AP:$AP,'Detail Cab By Tgl'!$D35,DB!$AT:$AT,"ALDA",DB!$AQ:$AQ,'Detail Cab By Tgl'!AI$29)</f>
        <v>0</v>
      </c>
      <c r="AJ35" s="176">
        <f t="shared" si="8"/>
        <v>2555580</v>
      </c>
    </row>
    <row r="36" spans="2:36" x14ac:dyDescent="0.3">
      <c r="B36" s="321" t="s">
        <v>45</v>
      </c>
      <c r="C36" s="322" t="s">
        <v>246</v>
      </c>
      <c r="D36" s="106" t="s">
        <v>269</v>
      </c>
      <c r="E36" s="93">
        <f>SUMIFS(DB!$AC:$AC,DB!$E:$E,'Detail Cab By Tgl'!$B36,DB!$AP:$AP,'Detail Cab By Tgl'!$D36,DB!$AT:$AT,"ALDA",DB!$AQ:$AQ,'Detail Cab By Tgl'!E$29)</f>
        <v>0</v>
      </c>
      <c r="F36" s="94">
        <f>SUMIFS(DB!$AC:$AC,DB!$E:$E,'Detail Cab By Tgl'!$B36,DB!$AP:$AP,'Detail Cab By Tgl'!$D36,DB!$AT:$AT,"ALDA",DB!$AQ:$AQ,'Detail Cab By Tgl'!F$29)</f>
        <v>0</v>
      </c>
      <c r="G36" s="94">
        <f>SUMIFS(DB!$AC:$AC,DB!$E:$E,'Detail Cab By Tgl'!$B36,DB!$AP:$AP,'Detail Cab By Tgl'!$D36,DB!$AT:$AT,"ALDA",DB!$AQ:$AQ,'Detail Cab By Tgl'!G$29)</f>
        <v>0</v>
      </c>
      <c r="H36" s="94">
        <f>SUMIFS(DB!$AC:$AC,DB!$E:$E,'Detail Cab By Tgl'!$B36,DB!$AP:$AP,'Detail Cab By Tgl'!$D36,DB!$AT:$AT,"ALDA",DB!$AQ:$AQ,'Detail Cab By Tgl'!H$29)</f>
        <v>0</v>
      </c>
      <c r="I36" s="94">
        <f>SUMIFS(DB!$AC:$AC,DB!$E:$E,'Detail Cab By Tgl'!$B36,DB!$AP:$AP,'Detail Cab By Tgl'!$D36,DB!$AT:$AT,"ALDA",DB!$AQ:$AQ,'Detail Cab By Tgl'!I$29)</f>
        <v>0</v>
      </c>
      <c r="J36" s="94">
        <f>SUMIFS(DB!$AC:$AC,DB!$E:$E,'Detail Cab By Tgl'!$B36,DB!$AP:$AP,'Detail Cab By Tgl'!$D36,DB!$AT:$AT,"ALDA",DB!$AQ:$AQ,'Detail Cab By Tgl'!J$29)</f>
        <v>0</v>
      </c>
      <c r="K36" s="94">
        <f>SUMIFS(DB!$AC:$AC,DB!$E:$E,'Detail Cab By Tgl'!$B36,DB!$AP:$AP,'Detail Cab By Tgl'!$D36,DB!$AT:$AT,"ALDA",DB!$AQ:$AQ,'Detail Cab By Tgl'!K$29)</f>
        <v>0</v>
      </c>
      <c r="L36" s="94">
        <f>SUMIFS(DB!$AC:$AC,DB!$E:$E,'Detail Cab By Tgl'!$B36,DB!$AP:$AP,'Detail Cab By Tgl'!$D36,DB!$AT:$AT,"ALDA",DB!$AQ:$AQ,'Detail Cab By Tgl'!L$29)</f>
        <v>0</v>
      </c>
      <c r="M36" s="94">
        <f>SUMIFS(DB!$AC:$AC,DB!$E:$E,'Detail Cab By Tgl'!$B36,DB!$AP:$AP,'Detail Cab By Tgl'!$D36,DB!$AT:$AT,"ALDA",DB!$AQ:$AQ,'Detail Cab By Tgl'!M$29)</f>
        <v>0</v>
      </c>
      <c r="N36" s="94">
        <f>SUMIFS(DB!$AC:$AC,DB!$E:$E,'Detail Cab By Tgl'!$B36,DB!$AP:$AP,'Detail Cab By Tgl'!$D36,DB!$AT:$AT,"ALDA",DB!$AQ:$AQ,'Detail Cab By Tgl'!N$29)</f>
        <v>0</v>
      </c>
      <c r="O36" s="94">
        <f>SUMIFS(DB!$AC:$AC,DB!$E:$E,'Detail Cab By Tgl'!$B36,DB!$AP:$AP,'Detail Cab By Tgl'!$D36,DB!$AT:$AT,"ALDA",DB!$AQ:$AQ,'Detail Cab By Tgl'!O$29)</f>
        <v>0</v>
      </c>
      <c r="P36" s="94">
        <f>SUMIFS(DB!$AC:$AC,DB!$E:$E,'Detail Cab By Tgl'!$B36,DB!$AP:$AP,'Detail Cab By Tgl'!$D36,DB!$AT:$AT,"ALDA",DB!$AQ:$AQ,'Detail Cab By Tgl'!P$29)</f>
        <v>0</v>
      </c>
      <c r="Q36" s="94">
        <f>SUMIFS(DB!$AC:$AC,DB!$E:$E,'Detail Cab By Tgl'!$B36,DB!$AP:$AP,'Detail Cab By Tgl'!$D36,DB!$AT:$AT,"ALDA",DB!$AQ:$AQ,'Detail Cab By Tgl'!Q$29)</f>
        <v>0</v>
      </c>
      <c r="R36" s="94">
        <f>SUMIFS(DB!$AC:$AC,DB!$E:$E,'Detail Cab By Tgl'!$B36,DB!$AP:$AP,'Detail Cab By Tgl'!$D36,DB!$AT:$AT,"ALDA",DB!$AQ:$AQ,'Detail Cab By Tgl'!R$29)</f>
        <v>0</v>
      </c>
      <c r="S36" s="94">
        <f>SUMIFS(DB!$AC:$AC,DB!$E:$E,'Detail Cab By Tgl'!$B36,DB!$AP:$AP,'Detail Cab By Tgl'!$D36,DB!$AT:$AT,"ALDA",DB!$AQ:$AQ,'Detail Cab By Tgl'!S$29)</f>
        <v>0</v>
      </c>
      <c r="T36" s="94">
        <f>SUMIFS(DB!$AC:$AC,DB!$E:$E,'Detail Cab By Tgl'!$B36,DB!$AP:$AP,'Detail Cab By Tgl'!$D36,DB!$AT:$AT,"ALDA",DB!$AQ:$AQ,'Detail Cab By Tgl'!T$29)</f>
        <v>0</v>
      </c>
      <c r="U36" s="94">
        <f>SUMIFS(DB!$AC:$AC,DB!$E:$E,'Detail Cab By Tgl'!$B36,DB!$AP:$AP,'Detail Cab By Tgl'!$D36,DB!$AT:$AT,"ALDA",DB!$AQ:$AQ,'Detail Cab By Tgl'!U$29)</f>
        <v>0</v>
      </c>
      <c r="V36" s="94">
        <f>SUMIFS(DB!$AC:$AC,DB!$E:$E,'Detail Cab By Tgl'!$B36,DB!$AP:$AP,'Detail Cab By Tgl'!$D36,DB!$AT:$AT,"ALDA",DB!$AQ:$AQ,'Detail Cab By Tgl'!V$29)</f>
        <v>0</v>
      </c>
      <c r="W36" s="94">
        <f>SUMIFS(DB!$AC:$AC,DB!$E:$E,'Detail Cab By Tgl'!$B36,DB!$AP:$AP,'Detail Cab By Tgl'!$D36,DB!$AT:$AT,"ALDA",DB!$AQ:$AQ,'Detail Cab By Tgl'!W$29)</f>
        <v>0</v>
      </c>
      <c r="X36" s="94">
        <f>SUMIFS(DB!$AC:$AC,DB!$E:$E,'Detail Cab By Tgl'!$B36,DB!$AP:$AP,'Detail Cab By Tgl'!$D36,DB!$AT:$AT,"ALDA",DB!$AQ:$AQ,'Detail Cab By Tgl'!X$29)</f>
        <v>0</v>
      </c>
      <c r="Y36" s="94">
        <f>SUMIFS(DB!$AC:$AC,DB!$E:$E,'Detail Cab By Tgl'!$B36,DB!$AP:$AP,'Detail Cab By Tgl'!$D36,DB!$AT:$AT,"ALDA",DB!$AQ:$AQ,'Detail Cab By Tgl'!Y$29)</f>
        <v>0</v>
      </c>
      <c r="Z36" s="94">
        <f>SUMIFS(DB!$AC:$AC,DB!$E:$E,'Detail Cab By Tgl'!$B36,DB!$AP:$AP,'Detail Cab By Tgl'!$D36,DB!$AT:$AT,"ALDA",DB!$AQ:$AQ,'Detail Cab By Tgl'!Z$29)</f>
        <v>0</v>
      </c>
      <c r="AA36" s="94">
        <f>SUMIFS(DB!$AC:$AC,DB!$E:$E,'Detail Cab By Tgl'!$B36,DB!$AP:$AP,'Detail Cab By Tgl'!$D36,DB!$AT:$AT,"ALDA",DB!$AQ:$AQ,'Detail Cab By Tgl'!AA$29)</f>
        <v>0</v>
      </c>
      <c r="AB36" s="94">
        <f>SUMIFS(DB!$AC:$AC,DB!$E:$E,'Detail Cab By Tgl'!$B36,DB!$AP:$AP,'Detail Cab By Tgl'!$D36,DB!$AT:$AT,"ALDA",DB!$AQ:$AQ,'Detail Cab By Tgl'!AB$29)</f>
        <v>0</v>
      </c>
      <c r="AC36" s="94">
        <f>SUMIFS(DB!$AC:$AC,DB!$E:$E,'Detail Cab By Tgl'!$B36,DB!$AP:$AP,'Detail Cab By Tgl'!$D36,DB!$AT:$AT,"ALDA",DB!$AQ:$AQ,'Detail Cab By Tgl'!AC$29)</f>
        <v>0</v>
      </c>
      <c r="AD36" s="94">
        <f>SUMIFS(DB!$AC:$AC,DB!$E:$E,'Detail Cab By Tgl'!$B36,DB!$AP:$AP,'Detail Cab By Tgl'!$D36,DB!$AT:$AT,"ALDA",DB!$AQ:$AQ,'Detail Cab By Tgl'!AD$29)</f>
        <v>0</v>
      </c>
      <c r="AE36" s="94">
        <f>SUMIFS(DB!$AC:$AC,DB!$E:$E,'Detail Cab By Tgl'!$B36,DB!$AP:$AP,'Detail Cab By Tgl'!$D36,DB!$AT:$AT,"ALDA",DB!$AQ:$AQ,'Detail Cab By Tgl'!AE$29)</f>
        <v>0</v>
      </c>
      <c r="AF36" s="94">
        <f>SUMIFS(DB!$AC:$AC,DB!$E:$E,'Detail Cab By Tgl'!$B36,DB!$AP:$AP,'Detail Cab By Tgl'!$D36,DB!$AT:$AT,"ALDA",DB!$AQ:$AQ,'Detail Cab By Tgl'!AF$29)</f>
        <v>0</v>
      </c>
      <c r="AG36" s="94">
        <f>SUMIFS(DB!$AC:$AC,DB!$E:$E,'Detail Cab By Tgl'!$B36,DB!$AP:$AP,'Detail Cab By Tgl'!$D36,DB!$AT:$AT,"ALDA",DB!$AQ:$AQ,'Detail Cab By Tgl'!AG$29)</f>
        <v>0</v>
      </c>
      <c r="AH36" s="94">
        <f>SUMIFS(DB!$AC:$AC,DB!$E:$E,'Detail Cab By Tgl'!$B36,DB!$AP:$AP,'Detail Cab By Tgl'!$D36,DB!$AT:$AT,"ALDA",DB!$AQ:$AQ,'Detail Cab By Tgl'!AH$29)</f>
        <v>0</v>
      </c>
      <c r="AI36" s="95">
        <f>SUMIFS(DB!$AC:$AC,DB!$E:$E,'Detail Cab By Tgl'!$B36,DB!$AP:$AP,'Detail Cab By Tgl'!$D36,DB!$AT:$AT,"ALDA",DB!$AQ:$AQ,'Detail Cab By Tgl'!AI$29)</f>
        <v>0</v>
      </c>
      <c r="AJ36" s="176">
        <f t="shared" si="8"/>
        <v>0</v>
      </c>
    </row>
    <row r="37" spans="2:36" x14ac:dyDescent="0.3">
      <c r="B37" s="321" t="s">
        <v>45</v>
      </c>
      <c r="C37" s="322" t="s">
        <v>246</v>
      </c>
      <c r="D37" s="106" t="s">
        <v>28</v>
      </c>
      <c r="E37" s="93">
        <f>SUMIFS(DB!$AC:$AC,DB!$E:$E,'Detail Cab By Tgl'!$B37,DB!$AP:$AP,'Detail Cab By Tgl'!$D37,DB!$AT:$AT,"ALDA",DB!$AQ:$AQ,'Detail Cab By Tgl'!E$29)</f>
        <v>0</v>
      </c>
      <c r="F37" s="94">
        <f>SUMIFS(DB!$AC:$AC,DB!$E:$E,'Detail Cab By Tgl'!$B37,DB!$AP:$AP,'Detail Cab By Tgl'!$D37,DB!$AT:$AT,"ALDA",DB!$AQ:$AQ,'Detail Cab By Tgl'!F$29)</f>
        <v>0</v>
      </c>
      <c r="G37" s="94">
        <f>SUMIFS(DB!$AC:$AC,DB!$E:$E,'Detail Cab By Tgl'!$B37,DB!$AP:$AP,'Detail Cab By Tgl'!$D37,DB!$AT:$AT,"ALDA",DB!$AQ:$AQ,'Detail Cab By Tgl'!G$29)</f>
        <v>0</v>
      </c>
      <c r="H37" s="94">
        <f>SUMIFS(DB!$AC:$AC,DB!$E:$E,'Detail Cab By Tgl'!$B37,DB!$AP:$AP,'Detail Cab By Tgl'!$D37,DB!$AT:$AT,"ALDA",DB!$AQ:$AQ,'Detail Cab By Tgl'!H$29)</f>
        <v>0</v>
      </c>
      <c r="I37" s="94">
        <f>SUMIFS(DB!$AC:$AC,DB!$E:$E,'Detail Cab By Tgl'!$B37,DB!$AP:$AP,'Detail Cab By Tgl'!$D37,DB!$AT:$AT,"ALDA",DB!$AQ:$AQ,'Detail Cab By Tgl'!I$29)</f>
        <v>0</v>
      </c>
      <c r="J37" s="94">
        <f>SUMIFS(DB!$AC:$AC,DB!$E:$E,'Detail Cab By Tgl'!$B37,DB!$AP:$AP,'Detail Cab By Tgl'!$D37,DB!$AT:$AT,"ALDA",DB!$AQ:$AQ,'Detail Cab By Tgl'!J$29)</f>
        <v>0</v>
      </c>
      <c r="K37" s="94">
        <f>SUMIFS(DB!$AC:$AC,DB!$E:$E,'Detail Cab By Tgl'!$B37,DB!$AP:$AP,'Detail Cab By Tgl'!$D37,DB!$AT:$AT,"ALDA",DB!$AQ:$AQ,'Detail Cab By Tgl'!K$29)</f>
        <v>0</v>
      </c>
      <c r="L37" s="94">
        <f>SUMIFS(DB!$AC:$AC,DB!$E:$E,'Detail Cab By Tgl'!$B37,DB!$AP:$AP,'Detail Cab By Tgl'!$D37,DB!$AT:$AT,"ALDA",DB!$AQ:$AQ,'Detail Cab By Tgl'!L$29)</f>
        <v>0</v>
      </c>
      <c r="M37" s="94">
        <f>SUMIFS(DB!$AC:$AC,DB!$E:$E,'Detail Cab By Tgl'!$B37,DB!$AP:$AP,'Detail Cab By Tgl'!$D37,DB!$AT:$AT,"ALDA",DB!$AQ:$AQ,'Detail Cab By Tgl'!M$29)</f>
        <v>0</v>
      </c>
      <c r="N37" s="94">
        <f>SUMIFS(DB!$AC:$AC,DB!$E:$E,'Detail Cab By Tgl'!$B37,DB!$AP:$AP,'Detail Cab By Tgl'!$D37,DB!$AT:$AT,"ALDA",DB!$AQ:$AQ,'Detail Cab By Tgl'!N$29)</f>
        <v>0</v>
      </c>
      <c r="O37" s="94">
        <f>SUMIFS(DB!$AC:$AC,DB!$E:$E,'Detail Cab By Tgl'!$B37,DB!$AP:$AP,'Detail Cab By Tgl'!$D37,DB!$AT:$AT,"ALDA",DB!$AQ:$AQ,'Detail Cab By Tgl'!O$29)</f>
        <v>0</v>
      </c>
      <c r="P37" s="94">
        <f>SUMIFS(DB!$AC:$AC,DB!$E:$E,'Detail Cab By Tgl'!$B37,DB!$AP:$AP,'Detail Cab By Tgl'!$D37,DB!$AT:$AT,"ALDA",DB!$AQ:$AQ,'Detail Cab By Tgl'!P$29)</f>
        <v>0</v>
      </c>
      <c r="Q37" s="94">
        <f>SUMIFS(DB!$AC:$AC,DB!$E:$E,'Detail Cab By Tgl'!$B37,DB!$AP:$AP,'Detail Cab By Tgl'!$D37,DB!$AT:$AT,"ALDA",DB!$AQ:$AQ,'Detail Cab By Tgl'!Q$29)</f>
        <v>0</v>
      </c>
      <c r="R37" s="94">
        <f>SUMIFS(DB!$AC:$AC,DB!$E:$E,'Detail Cab By Tgl'!$B37,DB!$AP:$AP,'Detail Cab By Tgl'!$D37,DB!$AT:$AT,"ALDA",DB!$AQ:$AQ,'Detail Cab By Tgl'!R$29)</f>
        <v>0</v>
      </c>
      <c r="S37" s="94">
        <f>SUMIFS(DB!$AC:$AC,DB!$E:$E,'Detail Cab By Tgl'!$B37,DB!$AP:$AP,'Detail Cab By Tgl'!$D37,DB!$AT:$AT,"ALDA",DB!$AQ:$AQ,'Detail Cab By Tgl'!S$29)</f>
        <v>0</v>
      </c>
      <c r="T37" s="94">
        <f>SUMIFS(DB!$AC:$AC,DB!$E:$E,'Detail Cab By Tgl'!$B37,DB!$AP:$AP,'Detail Cab By Tgl'!$D37,DB!$AT:$AT,"ALDA",DB!$AQ:$AQ,'Detail Cab By Tgl'!T$29)</f>
        <v>0</v>
      </c>
      <c r="U37" s="94">
        <f>SUMIFS(DB!$AC:$AC,DB!$E:$E,'Detail Cab By Tgl'!$B37,DB!$AP:$AP,'Detail Cab By Tgl'!$D37,DB!$AT:$AT,"ALDA",DB!$AQ:$AQ,'Detail Cab By Tgl'!U$29)</f>
        <v>0</v>
      </c>
      <c r="V37" s="94">
        <f>SUMIFS(DB!$AC:$AC,DB!$E:$E,'Detail Cab By Tgl'!$B37,DB!$AP:$AP,'Detail Cab By Tgl'!$D37,DB!$AT:$AT,"ALDA",DB!$AQ:$AQ,'Detail Cab By Tgl'!V$29)</f>
        <v>0</v>
      </c>
      <c r="W37" s="94">
        <f>SUMIFS(DB!$AC:$AC,DB!$E:$E,'Detail Cab By Tgl'!$B37,DB!$AP:$AP,'Detail Cab By Tgl'!$D37,DB!$AT:$AT,"ALDA",DB!$AQ:$AQ,'Detail Cab By Tgl'!W$29)</f>
        <v>0</v>
      </c>
      <c r="X37" s="94">
        <f>SUMIFS(DB!$AC:$AC,DB!$E:$E,'Detail Cab By Tgl'!$B37,DB!$AP:$AP,'Detail Cab By Tgl'!$D37,DB!$AT:$AT,"ALDA",DB!$AQ:$AQ,'Detail Cab By Tgl'!X$29)</f>
        <v>0</v>
      </c>
      <c r="Y37" s="94">
        <f>SUMIFS(DB!$AC:$AC,DB!$E:$E,'Detail Cab By Tgl'!$B37,DB!$AP:$AP,'Detail Cab By Tgl'!$D37,DB!$AT:$AT,"ALDA",DB!$AQ:$AQ,'Detail Cab By Tgl'!Y$29)</f>
        <v>0</v>
      </c>
      <c r="Z37" s="94">
        <f>SUMIFS(DB!$AC:$AC,DB!$E:$E,'Detail Cab By Tgl'!$B37,DB!$AP:$AP,'Detail Cab By Tgl'!$D37,DB!$AT:$AT,"ALDA",DB!$AQ:$AQ,'Detail Cab By Tgl'!Z$29)</f>
        <v>0</v>
      </c>
      <c r="AA37" s="94">
        <f>SUMIFS(DB!$AC:$AC,DB!$E:$E,'Detail Cab By Tgl'!$B37,DB!$AP:$AP,'Detail Cab By Tgl'!$D37,DB!$AT:$AT,"ALDA",DB!$AQ:$AQ,'Detail Cab By Tgl'!AA$29)</f>
        <v>0</v>
      </c>
      <c r="AB37" s="94">
        <f>SUMIFS(DB!$AC:$AC,DB!$E:$E,'Detail Cab By Tgl'!$B37,DB!$AP:$AP,'Detail Cab By Tgl'!$D37,DB!$AT:$AT,"ALDA",DB!$AQ:$AQ,'Detail Cab By Tgl'!AB$29)</f>
        <v>0</v>
      </c>
      <c r="AC37" s="94">
        <f>SUMIFS(DB!$AC:$AC,DB!$E:$E,'Detail Cab By Tgl'!$B37,DB!$AP:$AP,'Detail Cab By Tgl'!$D37,DB!$AT:$AT,"ALDA",DB!$AQ:$AQ,'Detail Cab By Tgl'!AC$29)</f>
        <v>0</v>
      </c>
      <c r="AD37" s="94">
        <f>SUMIFS(DB!$AC:$AC,DB!$E:$E,'Detail Cab By Tgl'!$B37,DB!$AP:$AP,'Detail Cab By Tgl'!$D37,DB!$AT:$AT,"ALDA",DB!$AQ:$AQ,'Detail Cab By Tgl'!AD$29)</f>
        <v>0</v>
      </c>
      <c r="AE37" s="94">
        <f>SUMIFS(DB!$AC:$AC,DB!$E:$E,'Detail Cab By Tgl'!$B37,DB!$AP:$AP,'Detail Cab By Tgl'!$D37,DB!$AT:$AT,"ALDA",DB!$AQ:$AQ,'Detail Cab By Tgl'!AE$29)</f>
        <v>0</v>
      </c>
      <c r="AF37" s="94">
        <f>SUMIFS(DB!$AC:$AC,DB!$E:$E,'Detail Cab By Tgl'!$B37,DB!$AP:$AP,'Detail Cab By Tgl'!$D37,DB!$AT:$AT,"ALDA",DB!$AQ:$AQ,'Detail Cab By Tgl'!AF$29)</f>
        <v>0</v>
      </c>
      <c r="AG37" s="94">
        <f>SUMIFS(DB!$AC:$AC,DB!$E:$E,'Detail Cab By Tgl'!$B37,DB!$AP:$AP,'Detail Cab By Tgl'!$D37,DB!$AT:$AT,"ALDA",DB!$AQ:$AQ,'Detail Cab By Tgl'!AG$29)</f>
        <v>0</v>
      </c>
      <c r="AH37" s="94">
        <f>SUMIFS(DB!$AC:$AC,DB!$E:$E,'Detail Cab By Tgl'!$B37,DB!$AP:$AP,'Detail Cab By Tgl'!$D37,DB!$AT:$AT,"ALDA",DB!$AQ:$AQ,'Detail Cab By Tgl'!AH$29)</f>
        <v>0</v>
      </c>
      <c r="AI37" s="95">
        <f>SUMIFS(DB!$AC:$AC,DB!$E:$E,'Detail Cab By Tgl'!$B37,DB!$AP:$AP,'Detail Cab By Tgl'!$D37,DB!$AT:$AT,"ALDA",DB!$AQ:$AQ,'Detail Cab By Tgl'!AI$29)</f>
        <v>0</v>
      </c>
      <c r="AJ37" s="176">
        <f t="shared" si="8"/>
        <v>0</v>
      </c>
    </row>
    <row r="38" spans="2:36" x14ac:dyDescent="0.3">
      <c r="B38" s="321" t="s">
        <v>45</v>
      </c>
      <c r="C38" s="322" t="s">
        <v>257</v>
      </c>
      <c r="D38" s="106" t="s">
        <v>30</v>
      </c>
      <c r="E38" s="93">
        <f>SUMIFS(DB!$AC:$AC,DB!$E:$E,'Detail Cab By Tgl'!$B38,DB!$AP:$AP,'Detail Cab By Tgl'!$D38,DB!$AT:$AT,"ALDA",DB!$AQ:$AQ,'Detail Cab By Tgl'!E$29)</f>
        <v>0</v>
      </c>
      <c r="F38" s="94">
        <f>SUMIFS(DB!$AC:$AC,DB!$E:$E,'Detail Cab By Tgl'!$B38,DB!$AP:$AP,'Detail Cab By Tgl'!$D38,DB!$AT:$AT,"ALDA",DB!$AQ:$AQ,'Detail Cab By Tgl'!F$29)</f>
        <v>0</v>
      </c>
      <c r="G38" s="94">
        <f>SUMIFS(DB!$AC:$AC,DB!$E:$E,'Detail Cab By Tgl'!$B38,DB!$AP:$AP,'Detail Cab By Tgl'!$D38,DB!$AT:$AT,"ALDA",DB!$AQ:$AQ,'Detail Cab By Tgl'!G$29)</f>
        <v>0</v>
      </c>
      <c r="H38" s="94">
        <f>SUMIFS(DB!$AC:$AC,DB!$E:$E,'Detail Cab By Tgl'!$B38,DB!$AP:$AP,'Detail Cab By Tgl'!$D38,DB!$AT:$AT,"ALDA",DB!$AQ:$AQ,'Detail Cab By Tgl'!H$29)</f>
        <v>0</v>
      </c>
      <c r="I38" s="94">
        <f>SUMIFS(DB!$AC:$AC,DB!$E:$E,'Detail Cab By Tgl'!$B38,DB!$AP:$AP,'Detail Cab By Tgl'!$D38,DB!$AT:$AT,"ALDA",DB!$AQ:$AQ,'Detail Cab By Tgl'!I$29)</f>
        <v>0</v>
      </c>
      <c r="J38" s="94">
        <f>SUMIFS(DB!$AC:$AC,DB!$E:$E,'Detail Cab By Tgl'!$B38,DB!$AP:$AP,'Detail Cab By Tgl'!$D38,DB!$AT:$AT,"ALDA",DB!$AQ:$AQ,'Detail Cab By Tgl'!J$29)</f>
        <v>0</v>
      </c>
      <c r="K38" s="94">
        <f>SUMIFS(DB!$AC:$AC,DB!$E:$E,'Detail Cab By Tgl'!$B38,DB!$AP:$AP,'Detail Cab By Tgl'!$D38,DB!$AT:$AT,"ALDA",DB!$AQ:$AQ,'Detail Cab By Tgl'!K$29)</f>
        <v>0</v>
      </c>
      <c r="L38" s="94">
        <f>SUMIFS(DB!$AC:$AC,DB!$E:$E,'Detail Cab By Tgl'!$B38,DB!$AP:$AP,'Detail Cab By Tgl'!$D38,DB!$AT:$AT,"ALDA",DB!$AQ:$AQ,'Detail Cab By Tgl'!L$29)</f>
        <v>0</v>
      </c>
      <c r="M38" s="94">
        <f>SUMIFS(DB!$AC:$AC,DB!$E:$E,'Detail Cab By Tgl'!$B38,DB!$AP:$AP,'Detail Cab By Tgl'!$D38,DB!$AT:$AT,"ALDA",DB!$AQ:$AQ,'Detail Cab By Tgl'!M$29)</f>
        <v>0</v>
      </c>
      <c r="N38" s="94">
        <f>SUMIFS(DB!$AC:$AC,DB!$E:$E,'Detail Cab By Tgl'!$B38,DB!$AP:$AP,'Detail Cab By Tgl'!$D38,DB!$AT:$AT,"ALDA",DB!$AQ:$AQ,'Detail Cab By Tgl'!N$29)</f>
        <v>0</v>
      </c>
      <c r="O38" s="94">
        <f>SUMIFS(DB!$AC:$AC,DB!$E:$E,'Detail Cab By Tgl'!$B38,DB!$AP:$AP,'Detail Cab By Tgl'!$D38,DB!$AT:$AT,"ALDA",DB!$AQ:$AQ,'Detail Cab By Tgl'!O$29)</f>
        <v>0</v>
      </c>
      <c r="P38" s="94">
        <f>SUMIFS(DB!$AC:$AC,DB!$E:$E,'Detail Cab By Tgl'!$B38,DB!$AP:$AP,'Detail Cab By Tgl'!$D38,DB!$AT:$AT,"ALDA",DB!$AQ:$AQ,'Detail Cab By Tgl'!P$29)</f>
        <v>0</v>
      </c>
      <c r="Q38" s="94">
        <f>SUMIFS(DB!$AC:$AC,DB!$E:$E,'Detail Cab By Tgl'!$B38,DB!$AP:$AP,'Detail Cab By Tgl'!$D38,DB!$AT:$AT,"ALDA",DB!$AQ:$AQ,'Detail Cab By Tgl'!Q$29)</f>
        <v>0</v>
      </c>
      <c r="R38" s="94">
        <f>SUMIFS(DB!$AC:$AC,DB!$E:$E,'Detail Cab By Tgl'!$B38,DB!$AP:$AP,'Detail Cab By Tgl'!$D38,DB!$AT:$AT,"ALDA",DB!$AQ:$AQ,'Detail Cab By Tgl'!R$29)</f>
        <v>0</v>
      </c>
      <c r="S38" s="94">
        <f>SUMIFS(DB!$AC:$AC,DB!$E:$E,'Detail Cab By Tgl'!$B38,DB!$AP:$AP,'Detail Cab By Tgl'!$D38,DB!$AT:$AT,"ALDA",DB!$AQ:$AQ,'Detail Cab By Tgl'!S$29)</f>
        <v>0</v>
      </c>
      <c r="T38" s="94">
        <f>SUMIFS(DB!$AC:$AC,DB!$E:$E,'Detail Cab By Tgl'!$B38,DB!$AP:$AP,'Detail Cab By Tgl'!$D38,DB!$AT:$AT,"ALDA",DB!$AQ:$AQ,'Detail Cab By Tgl'!T$29)</f>
        <v>0</v>
      </c>
      <c r="U38" s="94">
        <f>SUMIFS(DB!$AC:$AC,DB!$E:$E,'Detail Cab By Tgl'!$B38,DB!$AP:$AP,'Detail Cab By Tgl'!$D38,DB!$AT:$AT,"ALDA",DB!$AQ:$AQ,'Detail Cab By Tgl'!U$29)</f>
        <v>0</v>
      </c>
      <c r="V38" s="94">
        <f>SUMIFS(DB!$AC:$AC,DB!$E:$E,'Detail Cab By Tgl'!$B38,DB!$AP:$AP,'Detail Cab By Tgl'!$D38,DB!$AT:$AT,"ALDA",DB!$AQ:$AQ,'Detail Cab By Tgl'!V$29)</f>
        <v>0</v>
      </c>
      <c r="W38" s="94">
        <f>SUMIFS(DB!$AC:$AC,DB!$E:$E,'Detail Cab By Tgl'!$B38,DB!$AP:$AP,'Detail Cab By Tgl'!$D38,DB!$AT:$AT,"ALDA",DB!$AQ:$AQ,'Detail Cab By Tgl'!W$29)</f>
        <v>0</v>
      </c>
      <c r="X38" s="94">
        <f>SUMIFS(DB!$AC:$AC,DB!$E:$E,'Detail Cab By Tgl'!$B38,DB!$AP:$AP,'Detail Cab By Tgl'!$D38,DB!$AT:$AT,"ALDA",DB!$AQ:$AQ,'Detail Cab By Tgl'!X$29)</f>
        <v>0</v>
      </c>
      <c r="Y38" s="94">
        <f>SUMIFS(DB!$AC:$AC,DB!$E:$E,'Detail Cab By Tgl'!$B38,DB!$AP:$AP,'Detail Cab By Tgl'!$D38,DB!$AT:$AT,"ALDA",DB!$AQ:$AQ,'Detail Cab By Tgl'!Y$29)</f>
        <v>0</v>
      </c>
      <c r="Z38" s="94">
        <f>SUMIFS(DB!$AC:$AC,DB!$E:$E,'Detail Cab By Tgl'!$B38,DB!$AP:$AP,'Detail Cab By Tgl'!$D38,DB!$AT:$AT,"ALDA",DB!$AQ:$AQ,'Detail Cab By Tgl'!Z$29)</f>
        <v>0</v>
      </c>
      <c r="AA38" s="94">
        <f>SUMIFS(DB!$AC:$AC,DB!$E:$E,'Detail Cab By Tgl'!$B38,DB!$AP:$AP,'Detail Cab By Tgl'!$D38,DB!$AT:$AT,"ALDA",DB!$AQ:$AQ,'Detail Cab By Tgl'!AA$29)</f>
        <v>0</v>
      </c>
      <c r="AB38" s="94">
        <f>SUMIFS(DB!$AC:$AC,DB!$E:$E,'Detail Cab By Tgl'!$B38,DB!$AP:$AP,'Detail Cab By Tgl'!$D38,DB!$AT:$AT,"ALDA",DB!$AQ:$AQ,'Detail Cab By Tgl'!AB$29)</f>
        <v>0</v>
      </c>
      <c r="AC38" s="94">
        <f>SUMIFS(DB!$AC:$AC,DB!$E:$E,'Detail Cab By Tgl'!$B38,DB!$AP:$AP,'Detail Cab By Tgl'!$D38,DB!$AT:$AT,"ALDA",DB!$AQ:$AQ,'Detail Cab By Tgl'!AC$29)</f>
        <v>0</v>
      </c>
      <c r="AD38" s="94">
        <f>SUMIFS(DB!$AC:$AC,DB!$E:$E,'Detail Cab By Tgl'!$B38,DB!$AP:$AP,'Detail Cab By Tgl'!$D38,DB!$AT:$AT,"ALDA",DB!$AQ:$AQ,'Detail Cab By Tgl'!AD$29)</f>
        <v>0</v>
      </c>
      <c r="AE38" s="94">
        <f>SUMIFS(DB!$AC:$AC,DB!$E:$E,'Detail Cab By Tgl'!$B38,DB!$AP:$AP,'Detail Cab By Tgl'!$D38,DB!$AT:$AT,"ALDA",DB!$AQ:$AQ,'Detail Cab By Tgl'!AE$29)</f>
        <v>0</v>
      </c>
      <c r="AF38" s="94">
        <f>SUMIFS(DB!$AC:$AC,DB!$E:$E,'Detail Cab By Tgl'!$B38,DB!$AP:$AP,'Detail Cab By Tgl'!$D38,DB!$AT:$AT,"ALDA",DB!$AQ:$AQ,'Detail Cab By Tgl'!AF$29)</f>
        <v>0</v>
      </c>
      <c r="AG38" s="94">
        <f>SUMIFS(DB!$AC:$AC,DB!$E:$E,'Detail Cab By Tgl'!$B38,DB!$AP:$AP,'Detail Cab By Tgl'!$D38,DB!$AT:$AT,"ALDA",DB!$AQ:$AQ,'Detail Cab By Tgl'!AG$29)</f>
        <v>0</v>
      </c>
      <c r="AH38" s="94">
        <f>SUMIFS(DB!$AC:$AC,DB!$E:$E,'Detail Cab By Tgl'!$B38,DB!$AP:$AP,'Detail Cab By Tgl'!$D38,DB!$AT:$AT,"ALDA",DB!$AQ:$AQ,'Detail Cab By Tgl'!AH$29)</f>
        <v>0</v>
      </c>
      <c r="AI38" s="95">
        <f>SUMIFS(DB!$AC:$AC,DB!$E:$E,'Detail Cab By Tgl'!$B38,DB!$AP:$AP,'Detail Cab By Tgl'!$D38,DB!$AT:$AT,"ALDA",DB!$AQ:$AQ,'Detail Cab By Tgl'!AI$29)</f>
        <v>0</v>
      </c>
      <c r="AJ38" s="176">
        <f t="shared" si="8"/>
        <v>0</v>
      </c>
    </row>
    <row r="39" spans="2:36" x14ac:dyDescent="0.3">
      <c r="B39" s="321" t="s">
        <v>45</v>
      </c>
      <c r="C39" s="322" t="s">
        <v>257</v>
      </c>
      <c r="D39" s="106" t="s">
        <v>309</v>
      </c>
      <c r="E39" s="93">
        <f>SUMIFS(DB!$AC:$AC,DB!$E:$E,'Detail Cab By Tgl'!$B39,DB!$AP:$AP,'Detail Cab By Tgl'!$D39,DB!$AT:$AT,"ALDA",DB!$AQ:$AQ,'Detail Cab By Tgl'!E$29)</f>
        <v>0</v>
      </c>
      <c r="F39" s="94">
        <f>SUMIFS(DB!$AC:$AC,DB!$E:$E,'Detail Cab By Tgl'!$B39,DB!$AP:$AP,'Detail Cab By Tgl'!$D39,DB!$AT:$AT,"ALDA",DB!$AQ:$AQ,'Detail Cab By Tgl'!F$29)</f>
        <v>0</v>
      </c>
      <c r="G39" s="94">
        <f>SUMIFS(DB!$AC:$AC,DB!$E:$E,'Detail Cab By Tgl'!$B39,DB!$AP:$AP,'Detail Cab By Tgl'!$D39,DB!$AT:$AT,"ALDA",DB!$AQ:$AQ,'Detail Cab By Tgl'!G$29)</f>
        <v>0</v>
      </c>
      <c r="H39" s="94">
        <f>SUMIFS(DB!$AC:$AC,DB!$E:$E,'Detail Cab By Tgl'!$B39,DB!$AP:$AP,'Detail Cab By Tgl'!$D39,DB!$AT:$AT,"ALDA",DB!$AQ:$AQ,'Detail Cab By Tgl'!H$29)</f>
        <v>0</v>
      </c>
      <c r="I39" s="94">
        <f>SUMIFS(DB!$AC:$AC,DB!$E:$E,'Detail Cab By Tgl'!$B39,DB!$AP:$AP,'Detail Cab By Tgl'!$D39,DB!$AT:$AT,"ALDA",DB!$AQ:$AQ,'Detail Cab By Tgl'!I$29)</f>
        <v>0</v>
      </c>
      <c r="J39" s="94">
        <f>SUMIFS(DB!$AC:$AC,DB!$E:$E,'Detail Cab By Tgl'!$B39,DB!$AP:$AP,'Detail Cab By Tgl'!$D39,DB!$AT:$AT,"ALDA",DB!$AQ:$AQ,'Detail Cab By Tgl'!J$29)</f>
        <v>0</v>
      </c>
      <c r="K39" s="94">
        <f>SUMIFS(DB!$AC:$AC,DB!$E:$E,'Detail Cab By Tgl'!$B39,DB!$AP:$AP,'Detail Cab By Tgl'!$D39,DB!$AT:$AT,"ALDA",DB!$AQ:$AQ,'Detail Cab By Tgl'!K$29)</f>
        <v>0</v>
      </c>
      <c r="L39" s="94">
        <f>SUMIFS(DB!$AC:$AC,DB!$E:$E,'Detail Cab By Tgl'!$B39,DB!$AP:$AP,'Detail Cab By Tgl'!$D39,DB!$AT:$AT,"ALDA",DB!$AQ:$AQ,'Detail Cab By Tgl'!L$29)</f>
        <v>0</v>
      </c>
      <c r="M39" s="94">
        <f>SUMIFS(DB!$AC:$AC,DB!$E:$E,'Detail Cab By Tgl'!$B39,DB!$AP:$AP,'Detail Cab By Tgl'!$D39,DB!$AT:$AT,"ALDA",DB!$AQ:$AQ,'Detail Cab By Tgl'!M$29)</f>
        <v>0</v>
      </c>
      <c r="N39" s="94">
        <f>SUMIFS(DB!$AC:$AC,DB!$E:$E,'Detail Cab By Tgl'!$B39,DB!$AP:$AP,'Detail Cab By Tgl'!$D39,DB!$AT:$AT,"ALDA",DB!$AQ:$AQ,'Detail Cab By Tgl'!N$29)</f>
        <v>0</v>
      </c>
      <c r="O39" s="94">
        <f>SUMIFS(DB!$AC:$AC,DB!$E:$E,'Detail Cab By Tgl'!$B39,DB!$AP:$AP,'Detail Cab By Tgl'!$D39,DB!$AT:$AT,"ALDA",DB!$AQ:$AQ,'Detail Cab By Tgl'!O$29)</f>
        <v>0</v>
      </c>
      <c r="P39" s="94">
        <f>SUMIFS(DB!$AC:$AC,DB!$E:$E,'Detail Cab By Tgl'!$B39,DB!$AP:$AP,'Detail Cab By Tgl'!$D39,DB!$AT:$AT,"ALDA",DB!$AQ:$AQ,'Detail Cab By Tgl'!P$29)</f>
        <v>0</v>
      </c>
      <c r="Q39" s="94">
        <f>SUMIFS(DB!$AC:$AC,DB!$E:$E,'Detail Cab By Tgl'!$B39,DB!$AP:$AP,'Detail Cab By Tgl'!$D39,DB!$AT:$AT,"ALDA",DB!$AQ:$AQ,'Detail Cab By Tgl'!Q$29)</f>
        <v>0</v>
      </c>
      <c r="R39" s="94">
        <f>SUMIFS(DB!$AC:$AC,DB!$E:$E,'Detail Cab By Tgl'!$B39,DB!$AP:$AP,'Detail Cab By Tgl'!$D39,DB!$AT:$AT,"ALDA",DB!$AQ:$AQ,'Detail Cab By Tgl'!R$29)</f>
        <v>0</v>
      </c>
      <c r="S39" s="94">
        <f>SUMIFS(DB!$AC:$AC,DB!$E:$E,'Detail Cab By Tgl'!$B39,DB!$AP:$AP,'Detail Cab By Tgl'!$D39,DB!$AT:$AT,"ALDA",DB!$AQ:$AQ,'Detail Cab By Tgl'!S$29)</f>
        <v>0</v>
      </c>
      <c r="T39" s="94">
        <f>SUMIFS(DB!$AC:$AC,DB!$E:$E,'Detail Cab By Tgl'!$B39,DB!$AP:$AP,'Detail Cab By Tgl'!$D39,DB!$AT:$AT,"ALDA",DB!$AQ:$AQ,'Detail Cab By Tgl'!T$29)</f>
        <v>0</v>
      </c>
      <c r="U39" s="94">
        <f>SUMIFS(DB!$AC:$AC,DB!$E:$E,'Detail Cab By Tgl'!$B39,DB!$AP:$AP,'Detail Cab By Tgl'!$D39,DB!$AT:$AT,"ALDA",DB!$AQ:$AQ,'Detail Cab By Tgl'!U$29)</f>
        <v>0</v>
      </c>
      <c r="V39" s="94">
        <f>SUMIFS(DB!$AC:$AC,DB!$E:$E,'Detail Cab By Tgl'!$B39,DB!$AP:$AP,'Detail Cab By Tgl'!$D39,DB!$AT:$AT,"ALDA",DB!$AQ:$AQ,'Detail Cab By Tgl'!V$29)</f>
        <v>0</v>
      </c>
      <c r="W39" s="94">
        <f>SUMIFS(DB!$AC:$AC,DB!$E:$E,'Detail Cab By Tgl'!$B39,DB!$AP:$AP,'Detail Cab By Tgl'!$D39,DB!$AT:$AT,"ALDA",DB!$AQ:$AQ,'Detail Cab By Tgl'!W$29)</f>
        <v>0</v>
      </c>
      <c r="X39" s="94">
        <f>SUMIFS(DB!$AC:$AC,DB!$E:$E,'Detail Cab By Tgl'!$B39,DB!$AP:$AP,'Detail Cab By Tgl'!$D39,DB!$AT:$AT,"ALDA",DB!$AQ:$AQ,'Detail Cab By Tgl'!X$29)</f>
        <v>0</v>
      </c>
      <c r="Y39" s="94">
        <f>SUMIFS(DB!$AC:$AC,DB!$E:$E,'Detail Cab By Tgl'!$B39,DB!$AP:$AP,'Detail Cab By Tgl'!$D39,DB!$AT:$AT,"ALDA",DB!$AQ:$AQ,'Detail Cab By Tgl'!Y$29)</f>
        <v>0</v>
      </c>
      <c r="Z39" s="94">
        <f>SUMIFS(DB!$AC:$AC,DB!$E:$E,'Detail Cab By Tgl'!$B39,DB!$AP:$AP,'Detail Cab By Tgl'!$D39,DB!$AT:$AT,"ALDA",DB!$AQ:$AQ,'Detail Cab By Tgl'!Z$29)</f>
        <v>0</v>
      </c>
      <c r="AA39" s="94">
        <f>SUMIFS(DB!$AC:$AC,DB!$E:$E,'Detail Cab By Tgl'!$B39,DB!$AP:$AP,'Detail Cab By Tgl'!$D39,DB!$AT:$AT,"ALDA",DB!$AQ:$AQ,'Detail Cab By Tgl'!AA$29)</f>
        <v>0</v>
      </c>
      <c r="AB39" s="94">
        <f>SUMIFS(DB!$AC:$AC,DB!$E:$E,'Detail Cab By Tgl'!$B39,DB!$AP:$AP,'Detail Cab By Tgl'!$D39,DB!$AT:$AT,"ALDA",DB!$AQ:$AQ,'Detail Cab By Tgl'!AB$29)</f>
        <v>0</v>
      </c>
      <c r="AC39" s="94">
        <f>SUMIFS(DB!$AC:$AC,DB!$E:$E,'Detail Cab By Tgl'!$B39,DB!$AP:$AP,'Detail Cab By Tgl'!$D39,DB!$AT:$AT,"ALDA",DB!$AQ:$AQ,'Detail Cab By Tgl'!AC$29)</f>
        <v>0</v>
      </c>
      <c r="AD39" s="94">
        <f>SUMIFS(DB!$AC:$AC,DB!$E:$E,'Detail Cab By Tgl'!$B39,DB!$AP:$AP,'Detail Cab By Tgl'!$D39,DB!$AT:$AT,"ALDA",DB!$AQ:$AQ,'Detail Cab By Tgl'!AD$29)</f>
        <v>0</v>
      </c>
      <c r="AE39" s="94">
        <f>SUMIFS(DB!$AC:$AC,DB!$E:$E,'Detail Cab By Tgl'!$B39,DB!$AP:$AP,'Detail Cab By Tgl'!$D39,DB!$AT:$AT,"ALDA",DB!$AQ:$AQ,'Detail Cab By Tgl'!AE$29)</f>
        <v>0</v>
      </c>
      <c r="AF39" s="94">
        <f>SUMIFS(DB!$AC:$AC,DB!$E:$E,'Detail Cab By Tgl'!$B39,DB!$AP:$AP,'Detail Cab By Tgl'!$D39,DB!$AT:$AT,"ALDA",DB!$AQ:$AQ,'Detail Cab By Tgl'!AF$29)</f>
        <v>0</v>
      </c>
      <c r="AG39" s="94">
        <f>SUMIFS(DB!$AC:$AC,DB!$E:$E,'Detail Cab By Tgl'!$B39,DB!$AP:$AP,'Detail Cab By Tgl'!$D39,DB!$AT:$AT,"ALDA",DB!$AQ:$AQ,'Detail Cab By Tgl'!AG$29)</f>
        <v>0</v>
      </c>
      <c r="AH39" s="94">
        <f>SUMIFS(DB!$AC:$AC,DB!$E:$E,'Detail Cab By Tgl'!$B39,DB!$AP:$AP,'Detail Cab By Tgl'!$D39,DB!$AT:$AT,"ALDA",DB!$AQ:$AQ,'Detail Cab By Tgl'!AH$29)</f>
        <v>0</v>
      </c>
      <c r="AI39" s="95">
        <f>SUMIFS(DB!$AC:$AC,DB!$E:$E,'Detail Cab By Tgl'!$B39,DB!$AP:$AP,'Detail Cab By Tgl'!$D39,DB!$AT:$AT,"ALDA",DB!$AQ:$AQ,'Detail Cab By Tgl'!AI$29)</f>
        <v>0</v>
      </c>
      <c r="AJ39" s="176">
        <f t="shared" si="8"/>
        <v>0</v>
      </c>
    </row>
    <row r="40" spans="2:36" x14ac:dyDescent="0.3">
      <c r="B40" s="321" t="s">
        <v>45</v>
      </c>
      <c r="C40" s="322" t="s">
        <v>257</v>
      </c>
      <c r="D40" s="106" t="s">
        <v>25</v>
      </c>
      <c r="E40" s="93">
        <f>SUMIFS(DB!$AC:$AC,DB!$E:$E,'Detail Cab By Tgl'!$B40,DB!$AP:$AP,'Detail Cab By Tgl'!$D40,DB!$AT:$AT,"ALDA",DB!$AQ:$AQ,'Detail Cab By Tgl'!E$29)</f>
        <v>0</v>
      </c>
      <c r="F40" s="94">
        <f>SUMIFS(DB!$AC:$AC,DB!$E:$E,'Detail Cab By Tgl'!$B40,DB!$AP:$AP,'Detail Cab By Tgl'!$D40,DB!$AT:$AT,"ALDA",DB!$AQ:$AQ,'Detail Cab By Tgl'!F$29)</f>
        <v>0</v>
      </c>
      <c r="G40" s="94">
        <f>SUMIFS(DB!$AC:$AC,DB!$E:$E,'Detail Cab By Tgl'!$B40,DB!$AP:$AP,'Detail Cab By Tgl'!$D40,DB!$AT:$AT,"ALDA",DB!$AQ:$AQ,'Detail Cab By Tgl'!G$29)</f>
        <v>0</v>
      </c>
      <c r="H40" s="94">
        <f>SUMIFS(DB!$AC:$AC,DB!$E:$E,'Detail Cab By Tgl'!$B40,DB!$AP:$AP,'Detail Cab By Tgl'!$D40,DB!$AT:$AT,"ALDA",DB!$AQ:$AQ,'Detail Cab By Tgl'!H$29)</f>
        <v>0</v>
      </c>
      <c r="I40" s="94">
        <f>SUMIFS(DB!$AC:$AC,DB!$E:$E,'Detail Cab By Tgl'!$B40,DB!$AP:$AP,'Detail Cab By Tgl'!$D40,DB!$AT:$AT,"ALDA",DB!$AQ:$AQ,'Detail Cab By Tgl'!I$29)</f>
        <v>0</v>
      </c>
      <c r="J40" s="94">
        <f>SUMIFS(DB!$AC:$AC,DB!$E:$E,'Detail Cab By Tgl'!$B40,DB!$AP:$AP,'Detail Cab By Tgl'!$D40,DB!$AT:$AT,"ALDA",DB!$AQ:$AQ,'Detail Cab By Tgl'!J$29)</f>
        <v>0</v>
      </c>
      <c r="K40" s="94">
        <f>SUMIFS(DB!$AC:$AC,DB!$E:$E,'Detail Cab By Tgl'!$B40,DB!$AP:$AP,'Detail Cab By Tgl'!$D40,DB!$AT:$AT,"ALDA",DB!$AQ:$AQ,'Detail Cab By Tgl'!K$29)</f>
        <v>0</v>
      </c>
      <c r="L40" s="94">
        <f>SUMIFS(DB!$AC:$AC,DB!$E:$E,'Detail Cab By Tgl'!$B40,DB!$AP:$AP,'Detail Cab By Tgl'!$D40,DB!$AT:$AT,"ALDA",DB!$AQ:$AQ,'Detail Cab By Tgl'!L$29)</f>
        <v>0</v>
      </c>
      <c r="M40" s="94">
        <f>SUMIFS(DB!$AC:$AC,DB!$E:$E,'Detail Cab By Tgl'!$B40,DB!$AP:$AP,'Detail Cab By Tgl'!$D40,DB!$AT:$AT,"ALDA",DB!$AQ:$AQ,'Detail Cab By Tgl'!M$29)</f>
        <v>0</v>
      </c>
      <c r="N40" s="94">
        <f>SUMIFS(DB!$AC:$AC,DB!$E:$E,'Detail Cab By Tgl'!$B40,DB!$AP:$AP,'Detail Cab By Tgl'!$D40,DB!$AT:$AT,"ALDA",DB!$AQ:$AQ,'Detail Cab By Tgl'!N$29)</f>
        <v>0</v>
      </c>
      <c r="O40" s="94">
        <f>SUMIFS(DB!$AC:$AC,DB!$E:$E,'Detail Cab By Tgl'!$B40,DB!$AP:$AP,'Detail Cab By Tgl'!$D40,DB!$AT:$AT,"ALDA",DB!$AQ:$AQ,'Detail Cab By Tgl'!O$29)</f>
        <v>0</v>
      </c>
      <c r="P40" s="94">
        <f>SUMIFS(DB!$AC:$AC,DB!$E:$E,'Detail Cab By Tgl'!$B40,DB!$AP:$AP,'Detail Cab By Tgl'!$D40,DB!$AT:$AT,"ALDA",DB!$AQ:$AQ,'Detail Cab By Tgl'!P$29)</f>
        <v>0</v>
      </c>
      <c r="Q40" s="94">
        <f>SUMIFS(DB!$AC:$AC,DB!$E:$E,'Detail Cab By Tgl'!$B40,DB!$AP:$AP,'Detail Cab By Tgl'!$D40,DB!$AT:$AT,"ALDA",DB!$AQ:$AQ,'Detail Cab By Tgl'!Q$29)</f>
        <v>0</v>
      </c>
      <c r="R40" s="94">
        <f>SUMIFS(DB!$AC:$AC,DB!$E:$E,'Detail Cab By Tgl'!$B40,DB!$AP:$AP,'Detail Cab By Tgl'!$D40,DB!$AT:$AT,"ALDA",DB!$AQ:$AQ,'Detail Cab By Tgl'!R$29)</f>
        <v>0</v>
      </c>
      <c r="S40" s="94">
        <f>SUMIFS(DB!$AC:$AC,DB!$E:$E,'Detail Cab By Tgl'!$B40,DB!$AP:$AP,'Detail Cab By Tgl'!$D40,DB!$AT:$AT,"ALDA",DB!$AQ:$AQ,'Detail Cab By Tgl'!S$29)</f>
        <v>0</v>
      </c>
      <c r="T40" s="94">
        <f>SUMIFS(DB!$AC:$AC,DB!$E:$E,'Detail Cab By Tgl'!$B40,DB!$AP:$AP,'Detail Cab By Tgl'!$D40,DB!$AT:$AT,"ALDA",DB!$AQ:$AQ,'Detail Cab By Tgl'!T$29)</f>
        <v>0</v>
      </c>
      <c r="U40" s="94">
        <f>SUMIFS(DB!$AC:$AC,DB!$E:$E,'Detail Cab By Tgl'!$B40,DB!$AP:$AP,'Detail Cab By Tgl'!$D40,DB!$AT:$AT,"ALDA",DB!$AQ:$AQ,'Detail Cab By Tgl'!U$29)</f>
        <v>0</v>
      </c>
      <c r="V40" s="94">
        <f>SUMIFS(DB!$AC:$AC,DB!$E:$E,'Detail Cab By Tgl'!$B40,DB!$AP:$AP,'Detail Cab By Tgl'!$D40,DB!$AT:$AT,"ALDA",DB!$AQ:$AQ,'Detail Cab By Tgl'!V$29)</f>
        <v>0</v>
      </c>
      <c r="W40" s="94">
        <f>SUMIFS(DB!$AC:$AC,DB!$E:$E,'Detail Cab By Tgl'!$B40,DB!$AP:$AP,'Detail Cab By Tgl'!$D40,DB!$AT:$AT,"ALDA",DB!$AQ:$AQ,'Detail Cab By Tgl'!W$29)</f>
        <v>0</v>
      </c>
      <c r="X40" s="94">
        <f>SUMIFS(DB!$AC:$AC,DB!$E:$E,'Detail Cab By Tgl'!$B40,DB!$AP:$AP,'Detail Cab By Tgl'!$D40,DB!$AT:$AT,"ALDA",DB!$AQ:$AQ,'Detail Cab By Tgl'!X$29)</f>
        <v>0</v>
      </c>
      <c r="Y40" s="94">
        <f>SUMIFS(DB!$AC:$AC,DB!$E:$E,'Detail Cab By Tgl'!$B40,DB!$AP:$AP,'Detail Cab By Tgl'!$D40,DB!$AT:$AT,"ALDA",DB!$AQ:$AQ,'Detail Cab By Tgl'!Y$29)</f>
        <v>0</v>
      </c>
      <c r="Z40" s="94">
        <f>SUMIFS(DB!$AC:$AC,DB!$E:$E,'Detail Cab By Tgl'!$B40,DB!$AP:$AP,'Detail Cab By Tgl'!$D40,DB!$AT:$AT,"ALDA",DB!$AQ:$AQ,'Detail Cab By Tgl'!Z$29)</f>
        <v>0</v>
      </c>
      <c r="AA40" s="94">
        <f>SUMIFS(DB!$AC:$AC,DB!$E:$E,'Detail Cab By Tgl'!$B40,DB!$AP:$AP,'Detail Cab By Tgl'!$D40,DB!$AT:$AT,"ALDA",DB!$AQ:$AQ,'Detail Cab By Tgl'!AA$29)</f>
        <v>0</v>
      </c>
      <c r="AB40" s="94">
        <f>SUMIFS(DB!$AC:$AC,DB!$E:$E,'Detail Cab By Tgl'!$B40,DB!$AP:$AP,'Detail Cab By Tgl'!$D40,DB!$AT:$AT,"ALDA",DB!$AQ:$AQ,'Detail Cab By Tgl'!AB$29)</f>
        <v>0</v>
      </c>
      <c r="AC40" s="94">
        <f>SUMIFS(DB!$AC:$AC,DB!$E:$E,'Detail Cab By Tgl'!$B40,DB!$AP:$AP,'Detail Cab By Tgl'!$D40,DB!$AT:$AT,"ALDA",DB!$AQ:$AQ,'Detail Cab By Tgl'!AC$29)</f>
        <v>0</v>
      </c>
      <c r="AD40" s="94">
        <f>SUMIFS(DB!$AC:$AC,DB!$E:$E,'Detail Cab By Tgl'!$B40,DB!$AP:$AP,'Detail Cab By Tgl'!$D40,DB!$AT:$AT,"ALDA",DB!$AQ:$AQ,'Detail Cab By Tgl'!AD$29)</f>
        <v>0</v>
      </c>
      <c r="AE40" s="94">
        <f>SUMIFS(DB!$AC:$AC,DB!$E:$E,'Detail Cab By Tgl'!$B40,DB!$AP:$AP,'Detail Cab By Tgl'!$D40,DB!$AT:$AT,"ALDA",DB!$AQ:$AQ,'Detail Cab By Tgl'!AE$29)</f>
        <v>0</v>
      </c>
      <c r="AF40" s="94">
        <f>SUMIFS(DB!$AC:$AC,DB!$E:$E,'Detail Cab By Tgl'!$B40,DB!$AP:$AP,'Detail Cab By Tgl'!$D40,DB!$AT:$AT,"ALDA",DB!$AQ:$AQ,'Detail Cab By Tgl'!AF$29)</f>
        <v>0</v>
      </c>
      <c r="AG40" s="94">
        <f>SUMIFS(DB!$AC:$AC,DB!$E:$E,'Detail Cab By Tgl'!$B40,DB!$AP:$AP,'Detail Cab By Tgl'!$D40,DB!$AT:$AT,"ALDA",DB!$AQ:$AQ,'Detail Cab By Tgl'!AG$29)</f>
        <v>0</v>
      </c>
      <c r="AH40" s="94">
        <f>SUMIFS(DB!$AC:$AC,DB!$E:$E,'Detail Cab By Tgl'!$B40,DB!$AP:$AP,'Detail Cab By Tgl'!$D40,DB!$AT:$AT,"ALDA",DB!$AQ:$AQ,'Detail Cab By Tgl'!AH$29)</f>
        <v>0</v>
      </c>
      <c r="AI40" s="95">
        <f>SUMIFS(DB!$AC:$AC,DB!$E:$E,'Detail Cab By Tgl'!$B40,DB!$AP:$AP,'Detail Cab By Tgl'!$D40,DB!$AT:$AT,"ALDA",DB!$AQ:$AQ,'Detail Cab By Tgl'!AI$29)</f>
        <v>0</v>
      </c>
      <c r="AJ40" s="176">
        <f t="shared" si="8"/>
        <v>0</v>
      </c>
    </row>
    <row r="41" spans="2:36" x14ac:dyDescent="0.3">
      <c r="B41" s="321" t="s">
        <v>45</v>
      </c>
      <c r="C41" s="322" t="s">
        <v>273</v>
      </c>
      <c r="D41" s="106" t="s">
        <v>38</v>
      </c>
      <c r="E41" s="93">
        <f>SUMIFS(DB!$AC:$AC,DB!$E:$E,'Detail Cab By Tgl'!$B41,DB!$AP:$AP,'Detail Cab By Tgl'!$D41,DB!$AT:$AT,"ALDA",DB!$AQ:$AQ,'Detail Cab By Tgl'!E$29)</f>
        <v>0</v>
      </c>
      <c r="F41" s="94">
        <f>SUMIFS(DB!$AC:$AC,DB!$E:$E,'Detail Cab By Tgl'!$B41,DB!$AP:$AP,'Detail Cab By Tgl'!$D41,DB!$AT:$AT,"ALDA",DB!$AQ:$AQ,'Detail Cab By Tgl'!F$29)</f>
        <v>0</v>
      </c>
      <c r="G41" s="94">
        <f>SUMIFS(DB!$AC:$AC,DB!$E:$E,'Detail Cab By Tgl'!$B41,DB!$AP:$AP,'Detail Cab By Tgl'!$D41,DB!$AT:$AT,"ALDA",DB!$AQ:$AQ,'Detail Cab By Tgl'!G$29)</f>
        <v>0</v>
      </c>
      <c r="H41" s="94">
        <f>SUMIFS(DB!$AC:$AC,DB!$E:$E,'Detail Cab By Tgl'!$B41,DB!$AP:$AP,'Detail Cab By Tgl'!$D41,DB!$AT:$AT,"ALDA",DB!$AQ:$AQ,'Detail Cab By Tgl'!H$29)</f>
        <v>0</v>
      </c>
      <c r="I41" s="94">
        <f>SUMIFS(DB!$AC:$AC,DB!$E:$E,'Detail Cab By Tgl'!$B41,DB!$AP:$AP,'Detail Cab By Tgl'!$D41,DB!$AT:$AT,"ALDA",DB!$AQ:$AQ,'Detail Cab By Tgl'!I$29)</f>
        <v>0</v>
      </c>
      <c r="J41" s="94">
        <f>SUMIFS(DB!$AC:$AC,DB!$E:$E,'Detail Cab By Tgl'!$B41,DB!$AP:$AP,'Detail Cab By Tgl'!$D41,DB!$AT:$AT,"ALDA",DB!$AQ:$AQ,'Detail Cab By Tgl'!J$29)</f>
        <v>0</v>
      </c>
      <c r="K41" s="94">
        <f>SUMIFS(DB!$AC:$AC,DB!$E:$E,'Detail Cab By Tgl'!$B41,DB!$AP:$AP,'Detail Cab By Tgl'!$D41,DB!$AT:$AT,"ALDA",DB!$AQ:$AQ,'Detail Cab By Tgl'!K$29)</f>
        <v>0</v>
      </c>
      <c r="L41" s="94">
        <f>SUMIFS(DB!$AC:$AC,DB!$E:$E,'Detail Cab By Tgl'!$B41,DB!$AP:$AP,'Detail Cab By Tgl'!$D41,DB!$AT:$AT,"ALDA",DB!$AQ:$AQ,'Detail Cab By Tgl'!L$29)</f>
        <v>0</v>
      </c>
      <c r="M41" s="94">
        <f>SUMIFS(DB!$AC:$AC,DB!$E:$E,'Detail Cab By Tgl'!$B41,DB!$AP:$AP,'Detail Cab By Tgl'!$D41,DB!$AT:$AT,"ALDA",DB!$AQ:$AQ,'Detail Cab By Tgl'!M$29)</f>
        <v>0</v>
      </c>
      <c r="N41" s="94">
        <f>SUMIFS(DB!$AC:$AC,DB!$E:$E,'Detail Cab By Tgl'!$B41,DB!$AP:$AP,'Detail Cab By Tgl'!$D41,DB!$AT:$AT,"ALDA",DB!$AQ:$AQ,'Detail Cab By Tgl'!N$29)</f>
        <v>0</v>
      </c>
      <c r="O41" s="94">
        <f>SUMIFS(DB!$AC:$AC,DB!$E:$E,'Detail Cab By Tgl'!$B41,DB!$AP:$AP,'Detail Cab By Tgl'!$D41,DB!$AT:$AT,"ALDA",DB!$AQ:$AQ,'Detail Cab By Tgl'!O$29)</f>
        <v>0</v>
      </c>
      <c r="P41" s="94">
        <f>SUMIFS(DB!$AC:$AC,DB!$E:$E,'Detail Cab By Tgl'!$B41,DB!$AP:$AP,'Detail Cab By Tgl'!$D41,DB!$AT:$AT,"ALDA",DB!$AQ:$AQ,'Detail Cab By Tgl'!P$29)</f>
        <v>0</v>
      </c>
      <c r="Q41" s="94">
        <f>SUMIFS(DB!$AC:$AC,DB!$E:$E,'Detail Cab By Tgl'!$B41,DB!$AP:$AP,'Detail Cab By Tgl'!$D41,DB!$AT:$AT,"ALDA",DB!$AQ:$AQ,'Detail Cab By Tgl'!Q$29)</f>
        <v>0</v>
      </c>
      <c r="R41" s="94">
        <f>SUMIFS(DB!$AC:$AC,DB!$E:$E,'Detail Cab By Tgl'!$B41,DB!$AP:$AP,'Detail Cab By Tgl'!$D41,DB!$AT:$AT,"ALDA",DB!$AQ:$AQ,'Detail Cab By Tgl'!R$29)</f>
        <v>0</v>
      </c>
      <c r="S41" s="94">
        <f>SUMIFS(DB!$AC:$AC,DB!$E:$E,'Detail Cab By Tgl'!$B41,DB!$AP:$AP,'Detail Cab By Tgl'!$D41,DB!$AT:$AT,"ALDA",DB!$AQ:$AQ,'Detail Cab By Tgl'!S$29)</f>
        <v>0</v>
      </c>
      <c r="T41" s="94">
        <f>SUMIFS(DB!$AC:$AC,DB!$E:$E,'Detail Cab By Tgl'!$B41,DB!$AP:$AP,'Detail Cab By Tgl'!$D41,DB!$AT:$AT,"ALDA",DB!$AQ:$AQ,'Detail Cab By Tgl'!T$29)</f>
        <v>0</v>
      </c>
      <c r="U41" s="94">
        <f>SUMIFS(DB!$AC:$AC,DB!$E:$E,'Detail Cab By Tgl'!$B41,DB!$AP:$AP,'Detail Cab By Tgl'!$D41,DB!$AT:$AT,"ALDA",DB!$AQ:$AQ,'Detail Cab By Tgl'!U$29)</f>
        <v>0</v>
      </c>
      <c r="V41" s="94">
        <f>SUMIFS(DB!$AC:$AC,DB!$E:$E,'Detail Cab By Tgl'!$B41,DB!$AP:$AP,'Detail Cab By Tgl'!$D41,DB!$AT:$AT,"ALDA",DB!$AQ:$AQ,'Detail Cab By Tgl'!V$29)</f>
        <v>0</v>
      </c>
      <c r="W41" s="94">
        <f>SUMIFS(DB!$AC:$AC,DB!$E:$E,'Detail Cab By Tgl'!$B41,DB!$AP:$AP,'Detail Cab By Tgl'!$D41,DB!$AT:$AT,"ALDA",DB!$AQ:$AQ,'Detail Cab By Tgl'!W$29)</f>
        <v>0</v>
      </c>
      <c r="X41" s="94">
        <f>SUMIFS(DB!$AC:$AC,DB!$E:$E,'Detail Cab By Tgl'!$B41,DB!$AP:$AP,'Detail Cab By Tgl'!$D41,DB!$AT:$AT,"ALDA",DB!$AQ:$AQ,'Detail Cab By Tgl'!X$29)</f>
        <v>0</v>
      </c>
      <c r="Y41" s="94">
        <f>SUMIFS(DB!$AC:$AC,DB!$E:$E,'Detail Cab By Tgl'!$B41,DB!$AP:$AP,'Detail Cab By Tgl'!$D41,DB!$AT:$AT,"ALDA",DB!$AQ:$AQ,'Detail Cab By Tgl'!Y$29)</f>
        <v>0</v>
      </c>
      <c r="Z41" s="94">
        <f>SUMIFS(DB!$AC:$AC,DB!$E:$E,'Detail Cab By Tgl'!$B41,DB!$AP:$AP,'Detail Cab By Tgl'!$D41,DB!$AT:$AT,"ALDA",DB!$AQ:$AQ,'Detail Cab By Tgl'!Z$29)</f>
        <v>0</v>
      </c>
      <c r="AA41" s="94">
        <f>SUMIFS(DB!$AC:$AC,DB!$E:$E,'Detail Cab By Tgl'!$B41,DB!$AP:$AP,'Detail Cab By Tgl'!$D41,DB!$AT:$AT,"ALDA",DB!$AQ:$AQ,'Detail Cab By Tgl'!AA$29)</f>
        <v>0</v>
      </c>
      <c r="AB41" s="94">
        <f>SUMIFS(DB!$AC:$AC,DB!$E:$E,'Detail Cab By Tgl'!$B41,DB!$AP:$AP,'Detail Cab By Tgl'!$D41,DB!$AT:$AT,"ALDA",DB!$AQ:$AQ,'Detail Cab By Tgl'!AB$29)</f>
        <v>0</v>
      </c>
      <c r="AC41" s="94">
        <f>SUMIFS(DB!$AC:$AC,DB!$E:$E,'Detail Cab By Tgl'!$B41,DB!$AP:$AP,'Detail Cab By Tgl'!$D41,DB!$AT:$AT,"ALDA",DB!$AQ:$AQ,'Detail Cab By Tgl'!AC$29)</f>
        <v>0</v>
      </c>
      <c r="AD41" s="94">
        <f>SUMIFS(DB!$AC:$AC,DB!$E:$E,'Detail Cab By Tgl'!$B41,DB!$AP:$AP,'Detail Cab By Tgl'!$D41,DB!$AT:$AT,"ALDA",DB!$AQ:$AQ,'Detail Cab By Tgl'!AD$29)</f>
        <v>0</v>
      </c>
      <c r="AE41" s="94">
        <f>SUMIFS(DB!$AC:$AC,DB!$E:$E,'Detail Cab By Tgl'!$B41,DB!$AP:$AP,'Detail Cab By Tgl'!$D41,DB!$AT:$AT,"ALDA",DB!$AQ:$AQ,'Detail Cab By Tgl'!AE$29)</f>
        <v>0</v>
      </c>
      <c r="AF41" s="94">
        <f>SUMIFS(DB!$AC:$AC,DB!$E:$E,'Detail Cab By Tgl'!$B41,DB!$AP:$AP,'Detail Cab By Tgl'!$D41,DB!$AT:$AT,"ALDA",DB!$AQ:$AQ,'Detail Cab By Tgl'!AF$29)</f>
        <v>0</v>
      </c>
      <c r="AG41" s="94">
        <f>SUMIFS(DB!$AC:$AC,DB!$E:$E,'Detail Cab By Tgl'!$B41,DB!$AP:$AP,'Detail Cab By Tgl'!$D41,DB!$AT:$AT,"ALDA",DB!$AQ:$AQ,'Detail Cab By Tgl'!AG$29)</f>
        <v>0</v>
      </c>
      <c r="AH41" s="94">
        <f>SUMIFS(DB!$AC:$AC,DB!$E:$E,'Detail Cab By Tgl'!$B41,DB!$AP:$AP,'Detail Cab By Tgl'!$D41,DB!$AT:$AT,"ALDA",DB!$AQ:$AQ,'Detail Cab By Tgl'!AH$29)</f>
        <v>0</v>
      </c>
      <c r="AI41" s="95">
        <f>SUMIFS(DB!$AC:$AC,DB!$E:$E,'Detail Cab By Tgl'!$B41,DB!$AP:$AP,'Detail Cab By Tgl'!$D41,DB!$AT:$AT,"ALDA",DB!$AQ:$AQ,'Detail Cab By Tgl'!AI$29)</f>
        <v>0</v>
      </c>
      <c r="AJ41" s="176">
        <f t="shared" si="8"/>
        <v>0</v>
      </c>
    </row>
    <row r="42" spans="2:36" x14ac:dyDescent="0.3">
      <c r="B42" s="321" t="s">
        <v>45</v>
      </c>
      <c r="C42" s="322" t="s">
        <v>273</v>
      </c>
      <c r="D42" s="106" t="s">
        <v>27</v>
      </c>
      <c r="E42" s="93">
        <f>SUMIFS(DB!$AC:$AC,DB!$E:$E,'Detail Cab By Tgl'!$B42,DB!$AP:$AP,'Detail Cab By Tgl'!$D42,DB!$AT:$AT,"ALDA",DB!$AQ:$AQ,'Detail Cab By Tgl'!E$29)</f>
        <v>0</v>
      </c>
      <c r="F42" s="94">
        <f>SUMIFS(DB!$AC:$AC,DB!$E:$E,'Detail Cab By Tgl'!$B42,DB!$AP:$AP,'Detail Cab By Tgl'!$D42,DB!$AT:$AT,"ALDA",DB!$AQ:$AQ,'Detail Cab By Tgl'!F$29)</f>
        <v>0</v>
      </c>
      <c r="G42" s="94">
        <f>SUMIFS(DB!$AC:$AC,DB!$E:$E,'Detail Cab By Tgl'!$B42,DB!$AP:$AP,'Detail Cab By Tgl'!$D42,DB!$AT:$AT,"ALDA",DB!$AQ:$AQ,'Detail Cab By Tgl'!G$29)</f>
        <v>0</v>
      </c>
      <c r="H42" s="94">
        <f>SUMIFS(DB!$AC:$AC,DB!$E:$E,'Detail Cab By Tgl'!$B42,DB!$AP:$AP,'Detail Cab By Tgl'!$D42,DB!$AT:$AT,"ALDA",DB!$AQ:$AQ,'Detail Cab By Tgl'!H$29)</f>
        <v>0</v>
      </c>
      <c r="I42" s="94">
        <f>SUMIFS(DB!$AC:$AC,DB!$E:$E,'Detail Cab By Tgl'!$B42,DB!$AP:$AP,'Detail Cab By Tgl'!$D42,DB!$AT:$AT,"ALDA",DB!$AQ:$AQ,'Detail Cab By Tgl'!I$29)</f>
        <v>0</v>
      </c>
      <c r="J42" s="94">
        <f>SUMIFS(DB!$AC:$AC,DB!$E:$E,'Detail Cab By Tgl'!$B42,DB!$AP:$AP,'Detail Cab By Tgl'!$D42,DB!$AT:$AT,"ALDA",DB!$AQ:$AQ,'Detail Cab By Tgl'!J$29)</f>
        <v>0</v>
      </c>
      <c r="K42" s="94">
        <f>SUMIFS(DB!$AC:$AC,DB!$E:$E,'Detail Cab By Tgl'!$B42,DB!$AP:$AP,'Detail Cab By Tgl'!$D42,DB!$AT:$AT,"ALDA",DB!$AQ:$AQ,'Detail Cab By Tgl'!K$29)</f>
        <v>0</v>
      </c>
      <c r="L42" s="94">
        <f>SUMIFS(DB!$AC:$AC,DB!$E:$E,'Detail Cab By Tgl'!$B42,DB!$AP:$AP,'Detail Cab By Tgl'!$D42,DB!$AT:$AT,"ALDA",DB!$AQ:$AQ,'Detail Cab By Tgl'!L$29)</f>
        <v>0</v>
      </c>
      <c r="M42" s="94">
        <f>SUMIFS(DB!$AC:$AC,DB!$E:$E,'Detail Cab By Tgl'!$B42,DB!$AP:$AP,'Detail Cab By Tgl'!$D42,DB!$AT:$AT,"ALDA",DB!$AQ:$AQ,'Detail Cab By Tgl'!M$29)</f>
        <v>0</v>
      </c>
      <c r="N42" s="94">
        <f>SUMIFS(DB!$AC:$AC,DB!$E:$E,'Detail Cab By Tgl'!$B42,DB!$AP:$AP,'Detail Cab By Tgl'!$D42,DB!$AT:$AT,"ALDA",DB!$AQ:$AQ,'Detail Cab By Tgl'!N$29)</f>
        <v>0</v>
      </c>
      <c r="O42" s="94">
        <f>SUMIFS(DB!$AC:$AC,DB!$E:$E,'Detail Cab By Tgl'!$B42,DB!$AP:$AP,'Detail Cab By Tgl'!$D42,DB!$AT:$AT,"ALDA",DB!$AQ:$AQ,'Detail Cab By Tgl'!O$29)</f>
        <v>0</v>
      </c>
      <c r="P42" s="94">
        <f>SUMIFS(DB!$AC:$AC,DB!$E:$E,'Detail Cab By Tgl'!$B42,DB!$AP:$AP,'Detail Cab By Tgl'!$D42,DB!$AT:$AT,"ALDA",DB!$AQ:$AQ,'Detail Cab By Tgl'!P$29)</f>
        <v>0</v>
      </c>
      <c r="Q42" s="94">
        <f>SUMIFS(DB!$AC:$AC,DB!$E:$E,'Detail Cab By Tgl'!$B42,DB!$AP:$AP,'Detail Cab By Tgl'!$D42,DB!$AT:$AT,"ALDA",DB!$AQ:$AQ,'Detail Cab By Tgl'!Q$29)</f>
        <v>0</v>
      </c>
      <c r="R42" s="94">
        <f>SUMIFS(DB!$AC:$AC,DB!$E:$E,'Detail Cab By Tgl'!$B42,DB!$AP:$AP,'Detail Cab By Tgl'!$D42,DB!$AT:$AT,"ALDA",DB!$AQ:$AQ,'Detail Cab By Tgl'!R$29)</f>
        <v>0</v>
      </c>
      <c r="S42" s="94">
        <f>SUMIFS(DB!$AC:$AC,DB!$E:$E,'Detail Cab By Tgl'!$B42,DB!$AP:$AP,'Detail Cab By Tgl'!$D42,DB!$AT:$AT,"ALDA",DB!$AQ:$AQ,'Detail Cab By Tgl'!S$29)</f>
        <v>0</v>
      </c>
      <c r="T42" s="94">
        <f>SUMIFS(DB!$AC:$AC,DB!$E:$E,'Detail Cab By Tgl'!$B42,DB!$AP:$AP,'Detail Cab By Tgl'!$D42,DB!$AT:$AT,"ALDA",DB!$AQ:$AQ,'Detail Cab By Tgl'!T$29)</f>
        <v>0</v>
      </c>
      <c r="U42" s="94">
        <f>SUMIFS(DB!$AC:$AC,DB!$E:$E,'Detail Cab By Tgl'!$B42,DB!$AP:$AP,'Detail Cab By Tgl'!$D42,DB!$AT:$AT,"ALDA",DB!$AQ:$AQ,'Detail Cab By Tgl'!U$29)</f>
        <v>0</v>
      </c>
      <c r="V42" s="94">
        <f>SUMIFS(DB!$AC:$AC,DB!$E:$E,'Detail Cab By Tgl'!$B42,DB!$AP:$AP,'Detail Cab By Tgl'!$D42,DB!$AT:$AT,"ALDA",DB!$AQ:$AQ,'Detail Cab By Tgl'!V$29)</f>
        <v>0</v>
      </c>
      <c r="W42" s="94">
        <f>SUMIFS(DB!$AC:$AC,DB!$E:$E,'Detail Cab By Tgl'!$B42,DB!$AP:$AP,'Detail Cab By Tgl'!$D42,DB!$AT:$AT,"ALDA",DB!$AQ:$AQ,'Detail Cab By Tgl'!W$29)</f>
        <v>0</v>
      </c>
      <c r="X42" s="94">
        <f>SUMIFS(DB!$AC:$AC,DB!$E:$E,'Detail Cab By Tgl'!$B42,DB!$AP:$AP,'Detail Cab By Tgl'!$D42,DB!$AT:$AT,"ALDA",DB!$AQ:$AQ,'Detail Cab By Tgl'!X$29)</f>
        <v>0</v>
      </c>
      <c r="Y42" s="94">
        <f>SUMIFS(DB!$AC:$AC,DB!$E:$E,'Detail Cab By Tgl'!$B42,DB!$AP:$AP,'Detail Cab By Tgl'!$D42,DB!$AT:$AT,"ALDA",DB!$AQ:$AQ,'Detail Cab By Tgl'!Y$29)</f>
        <v>0</v>
      </c>
      <c r="Z42" s="94">
        <f>SUMIFS(DB!$AC:$AC,DB!$E:$E,'Detail Cab By Tgl'!$B42,DB!$AP:$AP,'Detail Cab By Tgl'!$D42,DB!$AT:$AT,"ALDA",DB!$AQ:$AQ,'Detail Cab By Tgl'!Z$29)</f>
        <v>0</v>
      </c>
      <c r="AA42" s="94">
        <f>SUMIFS(DB!$AC:$AC,DB!$E:$E,'Detail Cab By Tgl'!$B42,DB!$AP:$AP,'Detail Cab By Tgl'!$D42,DB!$AT:$AT,"ALDA",DB!$AQ:$AQ,'Detail Cab By Tgl'!AA$29)</f>
        <v>0</v>
      </c>
      <c r="AB42" s="94">
        <f>SUMIFS(DB!$AC:$AC,DB!$E:$E,'Detail Cab By Tgl'!$B42,DB!$AP:$AP,'Detail Cab By Tgl'!$D42,DB!$AT:$AT,"ALDA",DB!$AQ:$AQ,'Detail Cab By Tgl'!AB$29)</f>
        <v>0</v>
      </c>
      <c r="AC42" s="94">
        <f>SUMIFS(DB!$AC:$AC,DB!$E:$E,'Detail Cab By Tgl'!$B42,DB!$AP:$AP,'Detail Cab By Tgl'!$D42,DB!$AT:$AT,"ALDA",DB!$AQ:$AQ,'Detail Cab By Tgl'!AC$29)</f>
        <v>0</v>
      </c>
      <c r="AD42" s="94">
        <f>SUMIFS(DB!$AC:$AC,DB!$E:$E,'Detail Cab By Tgl'!$B42,DB!$AP:$AP,'Detail Cab By Tgl'!$D42,DB!$AT:$AT,"ALDA",DB!$AQ:$AQ,'Detail Cab By Tgl'!AD$29)</f>
        <v>0</v>
      </c>
      <c r="AE42" s="94">
        <f>SUMIFS(DB!$AC:$AC,DB!$E:$E,'Detail Cab By Tgl'!$B42,DB!$AP:$AP,'Detail Cab By Tgl'!$D42,DB!$AT:$AT,"ALDA",DB!$AQ:$AQ,'Detail Cab By Tgl'!AE$29)</f>
        <v>0</v>
      </c>
      <c r="AF42" s="94">
        <f>SUMIFS(DB!$AC:$AC,DB!$E:$E,'Detail Cab By Tgl'!$B42,DB!$AP:$AP,'Detail Cab By Tgl'!$D42,DB!$AT:$AT,"ALDA",DB!$AQ:$AQ,'Detail Cab By Tgl'!AF$29)</f>
        <v>0</v>
      </c>
      <c r="AG42" s="94">
        <f>SUMIFS(DB!$AC:$AC,DB!$E:$E,'Detail Cab By Tgl'!$B42,DB!$AP:$AP,'Detail Cab By Tgl'!$D42,DB!$AT:$AT,"ALDA",DB!$AQ:$AQ,'Detail Cab By Tgl'!AG$29)</f>
        <v>0</v>
      </c>
      <c r="AH42" s="94">
        <f>SUMIFS(DB!$AC:$AC,DB!$E:$E,'Detail Cab By Tgl'!$B42,DB!$AP:$AP,'Detail Cab By Tgl'!$D42,DB!$AT:$AT,"ALDA",DB!$AQ:$AQ,'Detail Cab By Tgl'!AH$29)</f>
        <v>0</v>
      </c>
      <c r="AI42" s="95">
        <f>SUMIFS(DB!$AC:$AC,DB!$E:$E,'Detail Cab By Tgl'!$B42,DB!$AP:$AP,'Detail Cab By Tgl'!$D42,DB!$AT:$AT,"ALDA",DB!$AQ:$AQ,'Detail Cab By Tgl'!AI$29)</f>
        <v>0</v>
      </c>
      <c r="AJ42" s="176">
        <f t="shared" si="8"/>
        <v>0</v>
      </c>
    </row>
    <row r="43" spans="2:36" x14ac:dyDescent="0.3">
      <c r="B43" s="321" t="s">
        <v>45</v>
      </c>
      <c r="C43" s="322" t="s">
        <v>273</v>
      </c>
      <c r="D43" s="106" t="s">
        <v>33</v>
      </c>
      <c r="E43" s="93">
        <f>SUMIFS(DB!$AC:$AC,DB!$E:$E,'Detail Cab By Tgl'!$B43,DB!$AP:$AP,'Detail Cab By Tgl'!$D43,DB!$AT:$AT,"ALDA",DB!$AQ:$AQ,'Detail Cab By Tgl'!E$29)</f>
        <v>0</v>
      </c>
      <c r="F43" s="94">
        <f>SUMIFS(DB!$AC:$AC,DB!$E:$E,'Detail Cab By Tgl'!$B43,DB!$AP:$AP,'Detail Cab By Tgl'!$D43,DB!$AT:$AT,"ALDA",DB!$AQ:$AQ,'Detail Cab By Tgl'!F$29)</f>
        <v>0</v>
      </c>
      <c r="G43" s="94">
        <f>SUMIFS(DB!$AC:$AC,DB!$E:$E,'Detail Cab By Tgl'!$B43,DB!$AP:$AP,'Detail Cab By Tgl'!$D43,DB!$AT:$AT,"ALDA",DB!$AQ:$AQ,'Detail Cab By Tgl'!G$29)</f>
        <v>0</v>
      </c>
      <c r="H43" s="94">
        <f>SUMIFS(DB!$AC:$AC,DB!$E:$E,'Detail Cab By Tgl'!$B43,DB!$AP:$AP,'Detail Cab By Tgl'!$D43,DB!$AT:$AT,"ALDA",DB!$AQ:$AQ,'Detail Cab By Tgl'!H$29)</f>
        <v>0</v>
      </c>
      <c r="I43" s="94">
        <f>SUMIFS(DB!$AC:$AC,DB!$E:$E,'Detail Cab By Tgl'!$B43,DB!$AP:$AP,'Detail Cab By Tgl'!$D43,DB!$AT:$AT,"ALDA",DB!$AQ:$AQ,'Detail Cab By Tgl'!I$29)</f>
        <v>0</v>
      </c>
      <c r="J43" s="94">
        <f>SUMIFS(DB!$AC:$AC,DB!$E:$E,'Detail Cab By Tgl'!$B43,DB!$AP:$AP,'Detail Cab By Tgl'!$D43,DB!$AT:$AT,"ALDA",DB!$AQ:$AQ,'Detail Cab By Tgl'!J$29)</f>
        <v>0</v>
      </c>
      <c r="K43" s="94">
        <f>SUMIFS(DB!$AC:$AC,DB!$E:$E,'Detail Cab By Tgl'!$B43,DB!$AP:$AP,'Detail Cab By Tgl'!$D43,DB!$AT:$AT,"ALDA",DB!$AQ:$AQ,'Detail Cab By Tgl'!K$29)</f>
        <v>0</v>
      </c>
      <c r="L43" s="94">
        <f>SUMIFS(DB!$AC:$AC,DB!$E:$E,'Detail Cab By Tgl'!$B43,DB!$AP:$AP,'Detail Cab By Tgl'!$D43,DB!$AT:$AT,"ALDA",DB!$AQ:$AQ,'Detail Cab By Tgl'!L$29)</f>
        <v>0</v>
      </c>
      <c r="M43" s="94">
        <f>SUMIFS(DB!$AC:$AC,DB!$E:$E,'Detail Cab By Tgl'!$B43,DB!$AP:$AP,'Detail Cab By Tgl'!$D43,DB!$AT:$AT,"ALDA",DB!$AQ:$AQ,'Detail Cab By Tgl'!M$29)</f>
        <v>0</v>
      </c>
      <c r="N43" s="94">
        <f>SUMIFS(DB!$AC:$AC,DB!$E:$E,'Detail Cab By Tgl'!$B43,DB!$AP:$AP,'Detail Cab By Tgl'!$D43,DB!$AT:$AT,"ALDA",DB!$AQ:$AQ,'Detail Cab By Tgl'!N$29)</f>
        <v>0</v>
      </c>
      <c r="O43" s="94">
        <f>SUMIFS(DB!$AC:$AC,DB!$E:$E,'Detail Cab By Tgl'!$B43,DB!$AP:$AP,'Detail Cab By Tgl'!$D43,DB!$AT:$AT,"ALDA",DB!$AQ:$AQ,'Detail Cab By Tgl'!O$29)</f>
        <v>0</v>
      </c>
      <c r="P43" s="94">
        <f>SUMIFS(DB!$AC:$AC,DB!$E:$E,'Detail Cab By Tgl'!$B43,DB!$AP:$AP,'Detail Cab By Tgl'!$D43,DB!$AT:$AT,"ALDA",DB!$AQ:$AQ,'Detail Cab By Tgl'!P$29)</f>
        <v>0</v>
      </c>
      <c r="Q43" s="94">
        <f>SUMIFS(DB!$AC:$AC,DB!$E:$E,'Detail Cab By Tgl'!$B43,DB!$AP:$AP,'Detail Cab By Tgl'!$D43,DB!$AT:$AT,"ALDA",DB!$AQ:$AQ,'Detail Cab By Tgl'!Q$29)</f>
        <v>0</v>
      </c>
      <c r="R43" s="94">
        <f>SUMIFS(DB!$AC:$AC,DB!$E:$E,'Detail Cab By Tgl'!$B43,DB!$AP:$AP,'Detail Cab By Tgl'!$D43,DB!$AT:$AT,"ALDA",DB!$AQ:$AQ,'Detail Cab By Tgl'!R$29)</f>
        <v>0</v>
      </c>
      <c r="S43" s="94">
        <f>SUMIFS(DB!$AC:$AC,DB!$E:$E,'Detail Cab By Tgl'!$B43,DB!$AP:$AP,'Detail Cab By Tgl'!$D43,DB!$AT:$AT,"ALDA",DB!$AQ:$AQ,'Detail Cab By Tgl'!S$29)</f>
        <v>0</v>
      </c>
      <c r="T43" s="94">
        <f>SUMIFS(DB!$AC:$AC,DB!$E:$E,'Detail Cab By Tgl'!$B43,DB!$AP:$AP,'Detail Cab By Tgl'!$D43,DB!$AT:$AT,"ALDA",DB!$AQ:$AQ,'Detail Cab By Tgl'!T$29)</f>
        <v>0</v>
      </c>
      <c r="U43" s="94">
        <f>SUMIFS(DB!$AC:$AC,DB!$E:$E,'Detail Cab By Tgl'!$B43,DB!$AP:$AP,'Detail Cab By Tgl'!$D43,DB!$AT:$AT,"ALDA",DB!$AQ:$AQ,'Detail Cab By Tgl'!U$29)</f>
        <v>0</v>
      </c>
      <c r="V43" s="94">
        <f>SUMIFS(DB!$AC:$AC,DB!$E:$E,'Detail Cab By Tgl'!$B43,DB!$AP:$AP,'Detail Cab By Tgl'!$D43,DB!$AT:$AT,"ALDA",DB!$AQ:$AQ,'Detail Cab By Tgl'!V$29)</f>
        <v>0</v>
      </c>
      <c r="W43" s="94">
        <f>SUMIFS(DB!$AC:$AC,DB!$E:$E,'Detail Cab By Tgl'!$B43,DB!$AP:$AP,'Detail Cab By Tgl'!$D43,DB!$AT:$AT,"ALDA",DB!$AQ:$AQ,'Detail Cab By Tgl'!W$29)</f>
        <v>0</v>
      </c>
      <c r="X43" s="94">
        <f>SUMIFS(DB!$AC:$AC,DB!$E:$E,'Detail Cab By Tgl'!$B43,DB!$AP:$AP,'Detail Cab By Tgl'!$D43,DB!$AT:$AT,"ALDA",DB!$AQ:$AQ,'Detail Cab By Tgl'!X$29)</f>
        <v>0</v>
      </c>
      <c r="Y43" s="94">
        <f>SUMIFS(DB!$AC:$AC,DB!$E:$E,'Detail Cab By Tgl'!$B43,DB!$AP:$AP,'Detail Cab By Tgl'!$D43,DB!$AT:$AT,"ALDA",DB!$AQ:$AQ,'Detail Cab By Tgl'!Y$29)</f>
        <v>0</v>
      </c>
      <c r="Z43" s="94">
        <f>SUMIFS(DB!$AC:$AC,DB!$E:$E,'Detail Cab By Tgl'!$B43,DB!$AP:$AP,'Detail Cab By Tgl'!$D43,DB!$AT:$AT,"ALDA",DB!$AQ:$AQ,'Detail Cab By Tgl'!Z$29)</f>
        <v>0</v>
      </c>
      <c r="AA43" s="94">
        <f>SUMIFS(DB!$AC:$AC,DB!$E:$E,'Detail Cab By Tgl'!$B43,DB!$AP:$AP,'Detail Cab By Tgl'!$D43,DB!$AT:$AT,"ALDA",DB!$AQ:$AQ,'Detail Cab By Tgl'!AA$29)</f>
        <v>0</v>
      </c>
      <c r="AB43" s="94">
        <f>SUMIFS(DB!$AC:$AC,DB!$E:$E,'Detail Cab By Tgl'!$B43,DB!$AP:$AP,'Detail Cab By Tgl'!$D43,DB!$AT:$AT,"ALDA",DB!$AQ:$AQ,'Detail Cab By Tgl'!AB$29)</f>
        <v>0</v>
      </c>
      <c r="AC43" s="94">
        <f>SUMIFS(DB!$AC:$AC,DB!$E:$E,'Detail Cab By Tgl'!$B43,DB!$AP:$AP,'Detail Cab By Tgl'!$D43,DB!$AT:$AT,"ALDA",DB!$AQ:$AQ,'Detail Cab By Tgl'!AC$29)</f>
        <v>0</v>
      </c>
      <c r="AD43" s="94">
        <f>SUMIFS(DB!$AC:$AC,DB!$E:$E,'Detail Cab By Tgl'!$B43,DB!$AP:$AP,'Detail Cab By Tgl'!$D43,DB!$AT:$AT,"ALDA",DB!$AQ:$AQ,'Detail Cab By Tgl'!AD$29)</f>
        <v>0</v>
      </c>
      <c r="AE43" s="94">
        <f>SUMIFS(DB!$AC:$AC,DB!$E:$E,'Detail Cab By Tgl'!$B43,DB!$AP:$AP,'Detail Cab By Tgl'!$D43,DB!$AT:$AT,"ALDA",DB!$AQ:$AQ,'Detail Cab By Tgl'!AE$29)</f>
        <v>0</v>
      </c>
      <c r="AF43" s="94">
        <f>SUMIFS(DB!$AC:$AC,DB!$E:$E,'Detail Cab By Tgl'!$B43,DB!$AP:$AP,'Detail Cab By Tgl'!$D43,DB!$AT:$AT,"ALDA",DB!$AQ:$AQ,'Detail Cab By Tgl'!AF$29)</f>
        <v>0</v>
      </c>
      <c r="AG43" s="94">
        <f>SUMIFS(DB!$AC:$AC,DB!$E:$E,'Detail Cab By Tgl'!$B43,DB!$AP:$AP,'Detail Cab By Tgl'!$D43,DB!$AT:$AT,"ALDA",DB!$AQ:$AQ,'Detail Cab By Tgl'!AG$29)</f>
        <v>0</v>
      </c>
      <c r="AH43" s="94">
        <f>SUMIFS(DB!$AC:$AC,DB!$E:$E,'Detail Cab By Tgl'!$B43,DB!$AP:$AP,'Detail Cab By Tgl'!$D43,DB!$AT:$AT,"ALDA",DB!$AQ:$AQ,'Detail Cab By Tgl'!AH$29)</f>
        <v>0</v>
      </c>
      <c r="AI43" s="95">
        <f>SUMIFS(DB!$AC:$AC,DB!$E:$E,'Detail Cab By Tgl'!$B43,DB!$AP:$AP,'Detail Cab By Tgl'!$D43,DB!$AT:$AT,"ALDA",DB!$AQ:$AQ,'Detail Cab By Tgl'!AI$29)</f>
        <v>0</v>
      </c>
      <c r="AJ43" s="176">
        <f t="shared" si="8"/>
        <v>0</v>
      </c>
    </row>
    <row r="44" spans="2:36" x14ac:dyDescent="0.3">
      <c r="B44" s="321" t="s">
        <v>45</v>
      </c>
      <c r="C44" s="322" t="s">
        <v>273</v>
      </c>
      <c r="D44" s="106" t="s">
        <v>32</v>
      </c>
      <c r="E44" s="93">
        <f>SUMIFS(DB!$AC:$AC,DB!$E:$E,'Detail Cab By Tgl'!$B44,DB!$AP:$AP,'Detail Cab By Tgl'!$D44,DB!$AT:$AT,"ALDA",DB!$AQ:$AQ,'Detail Cab By Tgl'!E$29)</f>
        <v>0</v>
      </c>
      <c r="F44" s="94">
        <f>SUMIFS(DB!$AC:$AC,DB!$E:$E,'Detail Cab By Tgl'!$B44,DB!$AP:$AP,'Detail Cab By Tgl'!$D44,DB!$AT:$AT,"ALDA",DB!$AQ:$AQ,'Detail Cab By Tgl'!F$29)</f>
        <v>0</v>
      </c>
      <c r="G44" s="94">
        <f>SUMIFS(DB!$AC:$AC,DB!$E:$E,'Detail Cab By Tgl'!$B44,DB!$AP:$AP,'Detail Cab By Tgl'!$D44,DB!$AT:$AT,"ALDA",DB!$AQ:$AQ,'Detail Cab By Tgl'!G$29)</f>
        <v>0</v>
      </c>
      <c r="H44" s="94">
        <f>SUMIFS(DB!$AC:$AC,DB!$E:$E,'Detail Cab By Tgl'!$B44,DB!$AP:$AP,'Detail Cab By Tgl'!$D44,DB!$AT:$AT,"ALDA",DB!$AQ:$AQ,'Detail Cab By Tgl'!H$29)</f>
        <v>0</v>
      </c>
      <c r="I44" s="94">
        <f>SUMIFS(DB!$AC:$AC,DB!$E:$E,'Detail Cab By Tgl'!$B44,DB!$AP:$AP,'Detail Cab By Tgl'!$D44,DB!$AT:$AT,"ALDA",DB!$AQ:$AQ,'Detail Cab By Tgl'!I$29)</f>
        <v>0</v>
      </c>
      <c r="J44" s="94">
        <f>SUMIFS(DB!$AC:$AC,DB!$E:$E,'Detail Cab By Tgl'!$B44,DB!$AP:$AP,'Detail Cab By Tgl'!$D44,DB!$AT:$AT,"ALDA",DB!$AQ:$AQ,'Detail Cab By Tgl'!J$29)</f>
        <v>0</v>
      </c>
      <c r="K44" s="94">
        <f>SUMIFS(DB!$AC:$AC,DB!$E:$E,'Detail Cab By Tgl'!$B44,DB!$AP:$AP,'Detail Cab By Tgl'!$D44,DB!$AT:$AT,"ALDA",DB!$AQ:$AQ,'Detail Cab By Tgl'!K$29)</f>
        <v>0</v>
      </c>
      <c r="L44" s="94">
        <f>SUMIFS(DB!$AC:$AC,DB!$E:$E,'Detail Cab By Tgl'!$B44,DB!$AP:$AP,'Detail Cab By Tgl'!$D44,DB!$AT:$AT,"ALDA",DB!$AQ:$AQ,'Detail Cab By Tgl'!L$29)</f>
        <v>0</v>
      </c>
      <c r="M44" s="94">
        <f>SUMIFS(DB!$AC:$AC,DB!$E:$E,'Detail Cab By Tgl'!$B44,DB!$AP:$AP,'Detail Cab By Tgl'!$D44,DB!$AT:$AT,"ALDA",DB!$AQ:$AQ,'Detail Cab By Tgl'!M$29)</f>
        <v>0</v>
      </c>
      <c r="N44" s="94">
        <f>SUMIFS(DB!$AC:$AC,DB!$E:$E,'Detail Cab By Tgl'!$B44,DB!$AP:$AP,'Detail Cab By Tgl'!$D44,DB!$AT:$AT,"ALDA",DB!$AQ:$AQ,'Detail Cab By Tgl'!N$29)</f>
        <v>0</v>
      </c>
      <c r="O44" s="94">
        <f>SUMIFS(DB!$AC:$AC,DB!$E:$E,'Detail Cab By Tgl'!$B44,DB!$AP:$AP,'Detail Cab By Tgl'!$D44,DB!$AT:$AT,"ALDA",DB!$AQ:$AQ,'Detail Cab By Tgl'!O$29)</f>
        <v>0</v>
      </c>
      <c r="P44" s="94">
        <f>SUMIFS(DB!$AC:$AC,DB!$E:$E,'Detail Cab By Tgl'!$B44,DB!$AP:$AP,'Detail Cab By Tgl'!$D44,DB!$AT:$AT,"ALDA",DB!$AQ:$AQ,'Detail Cab By Tgl'!P$29)</f>
        <v>0</v>
      </c>
      <c r="Q44" s="94">
        <f>SUMIFS(DB!$AC:$AC,DB!$E:$E,'Detail Cab By Tgl'!$B44,DB!$AP:$AP,'Detail Cab By Tgl'!$D44,DB!$AT:$AT,"ALDA",DB!$AQ:$AQ,'Detail Cab By Tgl'!Q$29)</f>
        <v>0</v>
      </c>
      <c r="R44" s="94">
        <f>SUMIFS(DB!$AC:$AC,DB!$E:$E,'Detail Cab By Tgl'!$B44,DB!$AP:$AP,'Detail Cab By Tgl'!$D44,DB!$AT:$AT,"ALDA",DB!$AQ:$AQ,'Detail Cab By Tgl'!R$29)</f>
        <v>0</v>
      </c>
      <c r="S44" s="94">
        <f>SUMIFS(DB!$AC:$AC,DB!$E:$E,'Detail Cab By Tgl'!$B44,DB!$AP:$AP,'Detail Cab By Tgl'!$D44,DB!$AT:$AT,"ALDA",DB!$AQ:$AQ,'Detail Cab By Tgl'!S$29)</f>
        <v>0</v>
      </c>
      <c r="T44" s="94">
        <f>SUMIFS(DB!$AC:$AC,DB!$E:$E,'Detail Cab By Tgl'!$B44,DB!$AP:$AP,'Detail Cab By Tgl'!$D44,DB!$AT:$AT,"ALDA",DB!$AQ:$AQ,'Detail Cab By Tgl'!T$29)</f>
        <v>0</v>
      </c>
      <c r="U44" s="94">
        <f>SUMIFS(DB!$AC:$AC,DB!$E:$E,'Detail Cab By Tgl'!$B44,DB!$AP:$AP,'Detail Cab By Tgl'!$D44,DB!$AT:$AT,"ALDA",DB!$AQ:$AQ,'Detail Cab By Tgl'!U$29)</f>
        <v>0</v>
      </c>
      <c r="V44" s="94">
        <f>SUMIFS(DB!$AC:$AC,DB!$E:$E,'Detail Cab By Tgl'!$B44,DB!$AP:$AP,'Detail Cab By Tgl'!$D44,DB!$AT:$AT,"ALDA",DB!$AQ:$AQ,'Detail Cab By Tgl'!V$29)</f>
        <v>0</v>
      </c>
      <c r="W44" s="94">
        <f>SUMIFS(DB!$AC:$AC,DB!$E:$E,'Detail Cab By Tgl'!$B44,DB!$AP:$AP,'Detail Cab By Tgl'!$D44,DB!$AT:$AT,"ALDA",DB!$AQ:$AQ,'Detail Cab By Tgl'!W$29)</f>
        <v>0</v>
      </c>
      <c r="X44" s="94">
        <f>SUMIFS(DB!$AC:$AC,DB!$E:$E,'Detail Cab By Tgl'!$B44,DB!$AP:$AP,'Detail Cab By Tgl'!$D44,DB!$AT:$AT,"ALDA",DB!$AQ:$AQ,'Detail Cab By Tgl'!X$29)</f>
        <v>0</v>
      </c>
      <c r="Y44" s="94">
        <f>SUMIFS(DB!$AC:$AC,DB!$E:$E,'Detail Cab By Tgl'!$B44,DB!$AP:$AP,'Detail Cab By Tgl'!$D44,DB!$AT:$AT,"ALDA",DB!$AQ:$AQ,'Detail Cab By Tgl'!Y$29)</f>
        <v>0</v>
      </c>
      <c r="Z44" s="94">
        <f>SUMIFS(DB!$AC:$AC,DB!$E:$E,'Detail Cab By Tgl'!$B44,DB!$AP:$AP,'Detail Cab By Tgl'!$D44,DB!$AT:$AT,"ALDA",DB!$AQ:$AQ,'Detail Cab By Tgl'!Z$29)</f>
        <v>0</v>
      </c>
      <c r="AA44" s="94">
        <f>SUMIFS(DB!$AC:$AC,DB!$E:$E,'Detail Cab By Tgl'!$B44,DB!$AP:$AP,'Detail Cab By Tgl'!$D44,DB!$AT:$AT,"ALDA",DB!$AQ:$AQ,'Detail Cab By Tgl'!AA$29)</f>
        <v>0</v>
      </c>
      <c r="AB44" s="94">
        <f>SUMIFS(DB!$AC:$AC,DB!$E:$E,'Detail Cab By Tgl'!$B44,DB!$AP:$AP,'Detail Cab By Tgl'!$D44,DB!$AT:$AT,"ALDA",DB!$AQ:$AQ,'Detail Cab By Tgl'!AB$29)</f>
        <v>0</v>
      </c>
      <c r="AC44" s="94">
        <f>SUMIFS(DB!$AC:$AC,DB!$E:$E,'Detail Cab By Tgl'!$B44,DB!$AP:$AP,'Detail Cab By Tgl'!$D44,DB!$AT:$AT,"ALDA",DB!$AQ:$AQ,'Detail Cab By Tgl'!AC$29)</f>
        <v>0</v>
      </c>
      <c r="AD44" s="94">
        <f>SUMIFS(DB!$AC:$AC,DB!$E:$E,'Detail Cab By Tgl'!$B44,DB!$AP:$AP,'Detail Cab By Tgl'!$D44,DB!$AT:$AT,"ALDA",DB!$AQ:$AQ,'Detail Cab By Tgl'!AD$29)</f>
        <v>0</v>
      </c>
      <c r="AE44" s="94">
        <f>SUMIFS(DB!$AC:$AC,DB!$E:$E,'Detail Cab By Tgl'!$B44,DB!$AP:$AP,'Detail Cab By Tgl'!$D44,DB!$AT:$AT,"ALDA",DB!$AQ:$AQ,'Detail Cab By Tgl'!AE$29)</f>
        <v>0</v>
      </c>
      <c r="AF44" s="94">
        <f>SUMIFS(DB!$AC:$AC,DB!$E:$E,'Detail Cab By Tgl'!$B44,DB!$AP:$AP,'Detail Cab By Tgl'!$D44,DB!$AT:$AT,"ALDA",DB!$AQ:$AQ,'Detail Cab By Tgl'!AF$29)</f>
        <v>0</v>
      </c>
      <c r="AG44" s="94">
        <f>SUMIFS(DB!$AC:$AC,DB!$E:$E,'Detail Cab By Tgl'!$B44,DB!$AP:$AP,'Detail Cab By Tgl'!$D44,DB!$AT:$AT,"ALDA",DB!$AQ:$AQ,'Detail Cab By Tgl'!AG$29)</f>
        <v>0</v>
      </c>
      <c r="AH44" s="94">
        <f>SUMIFS(DB!$AC:$AC,DB!$E:$E,'Detail Cab By Tgl'!$B44,DB!$AP:$AP,'Detail Cab By Tgl'!$D44,DB!$AT:$AT,"ALDA",DB!$AQ:$AQ,'Detail Cab By Tgl'!AH$29)</f>
        <v>0</v>
      </c>
      <c r="AI44" s="95">
        <f>SUMIFS(DB!$AC:$AC,DB!$E:$E,'Detail Cab By Tgl'!$B44,DB!$AP:$AP,'Detail Cab By Tgl'!$D44,DB!$AT:$AT,"ALDA",DB!$AQ:$AQ,'Detail Cab By Tgl'!AI$29)</f>
        <v>0</v>
      </c>
      <c r="AJ44" s="176">
        <f t="shared" si="8"/>
        <v>0</v>
      </c>
    </row>
    <row r="45" spans="2:36" x14ac:dyDescent="0.3">
      <c r="B45" s="321" t="s">
        <v>45</v>
      </c>
      <c r="C45" s="322" t="s">
        <v>273</v>
      </c>
      <c r="D45" s="106" t="s">
        <v>307</v>
      </c>
      <c r="E45" s="93">
        <f>SUMIFS(DB!$AC:$AC,DB!$E:$E,'Detail Cab By Tgl'!$B45,DB!$AP:$AP,'Detail Cab By Tgl'!$D45,DB!$AT:$AT,"ALDA",DB!$AQ:$AQ,'Detail Cab By Tgl'!E$29)</f>
        <v>0</v>
      </c>
      <c r="F45" s="94">
        <f>SUMIFS(DB!$AC:$AC,DB!$E:$E,'Detail Cab By Tgl'!$B45,DB!$AP:$AP,'Detail Cab By Tgl'!$D45,DB!$AT:$AT,"ALDA",DB!$AQ:$AQ,'Detail Cab By Tgl'!F$29)</f>
        <v>0</v>
      </c>
      <c r="G45" s="94">
        <f>SUMIFS(DB!$AC:$AC,DB!$E:$E,'Detail Cab By Tgl'!$B45,DB!$AP:$AP,'Detail Cab By Tgl'!$D45,DB!$AT:$AT,"ALDA",DB!$AQ:$AQ,'Detail Cab By Tgl'!G$29)</f>
        <v>0</v>
      </c>
      <c r="H45" s="94">
        <f>SUMIFS(DB!$AC:$AC,DB!$E:$E,'Detail Cab By Tgl'!$B45,DB!$AP:$AP,'Detail Cab By Tgl'!$D45,DB!$AT:$AT,"ALDA",DB!$AQ:$AQ,'Detail Cab By Tgl'!H$29)</f>
        <v>0</v>
      </c>
      <c r="I45" s="94">
        <f>SUMIFS(DB!$AC:$AC,DB!$E:$E,'Detail Cab By Tgl'!$B45,DB!$AP:$AP,'Detail Cab By Tgl'!$D45,DB!$AT:$AT,"ALDA",DB!$AQ:$AQ,'Detail Cab By Tgl'!I$29)</f>
        <v>0</v>
      </c>
      <c r="J45" s="94">
        <f>SUMIFS(DB!$AC:$AC,DB!$E:$E,'Detail Cab By Tgl'!$B45,DB!$AP:$AP,'Detail Cab By Tgl'!$D45,DB!$AT:$AT,"ALDA",DB!$AQ:$AQ,'Detail Cab By Tgl'!J$29)</f>
        <v>0</v>
      </c>
      <c r="K45" s="94">
        <f>SUMIFS(DB!$AC:$AC,DB!$E:$E,'Detail Cab By Tgl'!$B45,DB!$AP:$AP,'Detail Cab By Tgl'!$D45,DB!$AT:$AT,"ALDA",DB!$AQ:$AQ,'Detail Cab By Tgl'!K$29)</f>
        <v>0</v>
      </c>
      <c r="L45" s="94">
        <f>SUMIFS(DB!$AC:$AC,DB!$E:$E,'Detail Cab By Tgl'!$B45,DB!$AP:$AP,'Detail Cab By Tgl'!$D45,DB!$AT:$AT,"ALDA",DB!$AQ:$AQ,'Detail Cab By Tgl'!L$29)</f>
        <v>0</v>
      </c>
      <c r="M45" s="94">
        <f>SUMIFS(DB!$AC:$AC,DB!$E:$E,'Detail Cab By Tgl'!$B45,DB!$AP:$AP,'Detail Cab By Tgl'!$D45,DB!$AT:$AT,"ALDA",DB!$AQ:$AQ,'Detail Cab By Tgl'!M$29)</f>
        <v>0</v>
      </c>
      <c r="N45" s="94">
        <f>SUMIFS(DB!$AC:$AC,DB!$E:$E,'Detail Cab By Tgl'!$B45,DB!$AP:$AP,'Detail Cab By Tgl'!$D45,DB!$AT:$AT,"ALDA",DB!$AQ:$AQ,'Detail Cab By Tgl'!N$29)</f>
        <v>0</v>
      </c>
      <c r="O45" s="94">
        <f>SUMIFS(DB!$AC:$AC,DB!$E:$E,'Detail Cab By Tgl'!$B45,DB!$AP:$AP,'Detail Cab By Tgl'!$D45,DB!$AT:$AT,"ALDA",DB!$AQ:$AQ,'Detail Cab By Tgl'!O$29)</f>
        <v>0</v>
      </c>
      <c r="P45" s="94">
        <f>SUMIFS(DB!$AC:$AC,DB!$E:$E,'Detail Cab By Tgl'!$B45,DB!$AP:$AP,'Detail Cab By Tgl'!$D45,DB!$AT:$AT,"ALDA",DB!$AQ:$AQ,'Detail Cab By Tgl'!P$29)</f>
        <v>0</v>
      </c>
      <c r="Q45" s="94">
        <f>SUMIFS(DB!$AC:$AC,DB!$E:$E,'Detail Cab By Tgl'!$B45,DB!$AP:$AP,'Detail Cab By Tgl'!$D45,DB!$AT:$AT,"ALDA",DB!$AQ:$AQ,'Detail Cab By Tgl'!Q$29)</f>
        <v>0</v>
      </c>
      <c r="R45" s="94">
        <f>SUMIFS(DB!$AC:$AC,DB!$E:$E,'Detail Cab By Tgl'!$B45,DB!$AP:$AP,'Detail Cab By Tgl'!$D45,DB!$AT:$AT,"ALDA",DB!$AQ:$AQ,'Detail Cab By Tgl'!R$29)</f>
        <v>0</v>
      </c>
      <c r="S45" s="94">
        <f>SUMIFS(DB!$AC:$AC,DB!$E:$E,'Detail Cab By Tgl'!$B45,DB!$AP:$AP,'Detail Cab By Tgl'!$D45,DB!$AT:$AT,"ALDA",DB!$AQ:$AQ,'Detail Cab By Tgl'!S$29)</f>
        <v>0</v>
      </c>
      <c r="T45" s="94">
        <f>SUMIFS(DB!$AC:$AC,DB!$E:$E,'Detail Cab By Tgl'!$B45,DB!$AP:$AP,'Detail Cab By Tgl'!$D45,DB!$AT:$AT,"ALDA",DB!$AQ:$AQ,'Detail Cab By Tgl'!T$29)</f>
        <v>0</v>
      </c>
      <c r="U45" s="94">
        <f>SUMIFS(DB!$AC:$AC,DB!$E:$E,'Detail Cab By Tgl'!$B45,DB!$AP:$AP,'Detail Cab By Tgl'!$D45,DB!$AT:$AT,"ALDA",DB!$AQ:$AQ,'Detail Cab By Tgl'!U$29)</f>
        <v>0</v>
      </c>
      <c r="V45" s="94">
        <f>SUMIFS(DB!$AC:$AC,DB!$E:$E,'Detail Cab By Tgl'!$B45,DB!$AP:$AP,'Detail Cab By Tgl'!$D45,DB!$AT:$AT,"ALDA",DB!$AQ:$AQ,'Detail Cab By Tgl'!V$29)</f>
        <v>0</v>
      </c>
      <c r="W45" s="94">
        <f>SUMIFS(DB!$AC:$AC,DB!$E:$E,'Detail Cab By Tgl'!$B45,DB!$AP:$AP,'Detail Cab By Tgl'!$D45,DB!$AT:$AT,"ALDA",DB!$AQ:$AQ,'Detail Cab By Tgl'!W$29)</f>
        <v>0</v>
      </c>
      <c r="X45" s="94">
        <f>SUMIFS(DB!$AC:$AC,DB!$E:$E,'Detail Cab By Tgl'!$B45,DB!$AP:$AP,'Detail Cab By Tgl'!$D45,DB!$AT:$AT,"ALDA",DB!$AQ:$AQ,'Detail Cab By Tgl'!X$29)</f>
        <v>0</v>
      </c>
      <c r="Y45" s="94">
        <f>SUMIFS(DB!$AC:$AC,DB!$E:$E,'Detail Cab By Tgl'!$B45,DB!$AP:$AP,'Detail Cab By Tgl'!$D45,DB!$AT:$AT,"ALDA",DB!$AQ:$AQ,'Detail Cab By Tgl'!Y$29)</f>
        <v>0</v>
      </c>
      <c r="Z45" s="94">
        <f>SUMIFS(DB!$AC:$AC,DB!$E:$E,'Detail Cab By Tgl'!$B45,DB!$AP:$AP,'Detail Cab By Tgl'!$D45,DB!$AT:$AT,"ALDA",DB!$AQ:$AQ,'Detail Cab By Tgl'!Z$29)</f>
        <v>0</v>
      </c>
      <c r="AA45" s="94">
        <f>SUMIFS(DB!$AC:$AC,DB!$E:$E,'Detail Cab By Tgl'!$B45,DB!$AP:$AP,'Detail Cab By Tgl'!$D45,DB!$AT:$AT,"ALDA",DB!$AQ:$AQ,'Detail Cab By Tgl'!AA$29)</f>
        <v>0</v>
      </c>
      <c r="AB45" s="94">
        <f>SUMIFS(DB!$AC:$AC,DB!$E:$E,'Detail Cab By Tgl'!$B45,DB!$AP:$AP,'Detail Cab By Tgl'!$D45,DB!$AT:$AT,"ALDA",DB!$AQ:$AQ,'Detail Cab By Tgl'!AB$29)</f>
        <v>0</v>
      </c>
      <c r="AC45" s="94">
        <f>SUMIFS(DB!$AC:$AC,DB!$E:$E,'Detail Cab By Tgl'!$B45,DB!$AP:$AP,'Detail Cab By Tgl'!$D45,DB!$AT:$AT,"ALDA",DB!$AQ:$AQ,'Detail Cab By Tgl'!AC$29)</f>
        <v>0</v>
      </c>
      <c r="AD45" s="94">
        <f>SUMIFS(DB!$AC:$AC,DB!$E:$E,'Detail Cab By Tgl'!$B45,DB!$AP:$AP,'Detail Cab By Tgl'!$D45,DB!$AT:$AT,"ALDA",DB!$AQ:$AQ,'Detail Cab By Tgl'!AD$29)</f>
        <v>0</v>
      </c>
      <c r="AE45" s="94">
        <f>SUMIFS(DB!$AC:$AC,DB!$E:$E,'Detail Cab By Tgl'!$B45,DB!$AP:$AP,'Detail Cab By Tgl'!$D45,DB!$AT:$AT,"ALDA",DB!$AQ:$AQ,'Detail Cab By Tgl'!AE$29)</f>
        <v>0</v>
      </c>
      <c r="AF45" s="94">
        <f>SUMIFS(DB!$AC:$AC,DB!$E:$E,'Detail Cab By Tgl'!$B45,DB!$AP:$AP,'Detail Cab By Tgl'!$D45,DB!$AT:$AT,"ALDA",DB!$AQ:$AQ,'Detail Cab By Tgl'!AF$29)</f>
        <v>0</v>
      </c>
      <c r="AG45" s="94">
        <f>SUMIFS(DB!$AC:$AC,DB!$E:$E,'Detail Cab By Tgl'!$B45,DB!$AP:$AP,'Detail Cab By Tgl'!$D45,DB!$AT:$AT,"ALDA",DB!$AQ:$AQ,'Detail Cab By Tgl'!AG$29)</f>
        <v>0</v>
      </c>
      <c r="AH45" s="94">
        <f>SUMIFS(DB!$AC:$AC,DB!$E:$E,'Detail Cab By Tgl'!$B45,DB!$AP:$AP,'Detail Cab By Tgl'!$D45,DB!$AT:$AT,"ALDA",DB!$AQ:$AQ,'Detail Cab By Tgl'!AH$29)</f>
        <v>0</v>
      </c>
      <c r="AI45" s="95">
        <f>SUMIFS(DB!$AC:$AC,DB!$E:$E,'Detail Cab By Tgl'!$B45,DB!$AP:$AP,'Detail Cab By Tgl'!$D45,DB!$AT:$AT,"ALDA",DB!$AQ:$AQ,'Detail Cab By Tgl'!AI$29)</f>
        <v>0</v>
      </c>
      <c r="AJ45" s="176">
        <f t="shared" si="8"/>
        <v>0</v>
      </c>
    </row>
    <row r="46" spans="2:36" x14ac:dyDescent="0.3">
      <c r="B46" s="321" t="s">
        <v>45</v>
      </c>
      <c r="C46" s="322" t="s">
        <v>273</v>
      </c>
      <c r="D46" s="106" t="s">
        <v>274</v>
      </c>
      <c r="E46" s="93">
        <f>SUMIFS(DB!$AC:$AC,DB!$E:$E,'Detail Cab By Tgl'!$B46,DB!$AP:$AP,'Detail Cab By Tgl'!$D46,DB!$AT:$AT,"ALDA",DB!$AQ:$AQ,'Detail Cab By Tgl'!E$29)</f>
        <v>0</v>
      </c>
      <c r="F46" s="94">
        <f>SUMIFS(DB!$AC:$AC,DB!$E:$E,'Detail Cab By Tgl'!$B46,DB!$AP:$AP,'Detail Cab By Tgl'!$D46,DB!$AT:$AT,"ALDA",DB!$AQ:$AQ,'Detail Cab By Tgl'!F$29)</f>
        <v>0</v>
      </c>
      <c r="G46" s="94">
        <f>SUMIFS(DB!$AC:$AC,DB!$E:$E,'Detail Cab By Tgl'!$B46,DB!$AP:$AP,'Detail Cab By Tgl'!$D46,DB!$AT:$AT,"ALDA",DB!$AQ:$AQ,'Detail Cab By Tgl'!G$29)</f>
        <v>0</v>
      </c>
      <c r="H46" s="94">
        <f>SUMIFS(DB!$AC:$AC,DB!$E:$E,'Detail Cab By Tgl'!$B46,DB!$AP:$AP,'Detail Cab By Tgl'!$D46,DB!$AT:$AT,"ALDA",DB!$AQ:$AQ,'Detail Cab By Tgl'!H$29)</f>
        <v>0</v>
      </c>
      <c r="I46" s="94">
        <f>SUMIFS(DB!$AC:$AC,DB!$E:$E,'Detail Cab By Tgl'!$B46,DB!$AP:$AP,'Detail Cab By Tgl'!$D46,DB!$AT:$AT,"ALDA",DB!$AQ:$AQ,'Detail Cab By Tgl'!I$29)</f>
        <v>0</v>
      </c>
      <c r="J46" s="94">
        <f>SUMIFS(DB!$AC:$AC,DB!$E:$E,'Detail Cab By Tgl'!$B46,DB!$AP:$AP,'Detail Cab By Tgl'!$D46,DB!$AT:$AT,"ALDA",DB!$AQ:$AQ,'Detail Cab By Tgl'!J$29)</f>
        <v>0</v>
      </c>
      <c r="K46" s="94">
        <f>SUMIFS(DB!$AC:$AC,DB!$E:$E,'Detail Cab By Tgl'!$B46,DB!$AP:$AP,'Detail Cab By Tgl'!$D46,DB!$AT:$AT,"ALDA",DB!$AQ:$AQ,'Detail Cab By Tgl'!K$29)</f>
        <v>0</v>
      </c>
      <c r="L46" s="94">
        <f>SUMIFS(DB!$AC:$AC,DB!$E:$E,'Detail Cab By Tgl'!$B46,DB!$AP:$AP,'Detail Cab By Tgl'!$D46,DB!$AT:$AT,"ALDA",DB!$AQ:$AQ,'Detail Cab By Tgl'!L$29)</f>
        <v>0</v>
      </c>
      <c r="M46" s="94">
        <f>SUMIFS(DB!$AC:$AC,DB!$E:$E,'Detail Cab By Tgl'!$B46,DB!$AP:$AP,'Detail Cab By Tgl'!$D46,DB!$AT:$AT,"ALDA",DB!$AQ:$AQ,'Detail Cab By Tgl'!M$29)</f>
        <v>0</v>
      </c>
      <c r="N46" s="94">
        <f>SUMIFS(DB!$AC:$AC,DB!$E:$E,'Detail Cab By Tgl'!$B46,DB!$AP:$AP,'Detail Cab By Tgl'!$D46,DB!$AT:$AT,"ALDA",DB!$AQ:$AQ,'Detail Cab By Tgl'!N$29)</f>
        <v>0</v>
      </c>
      <c r="O46" s="94">
        <f>SUMIFS(DB!$AC:$AC,DB!$E:$E,'Detail Cab By Tgl'!$B46,DB!$AP:$AP,'Detail Cab By Tgl'!$D46,DB!$AT:$AT,"ALDA",DB!$AQ:$AQ,'Detail Cab By Tgl'!O$29)</f>
        <v>0</v>
      </c>
      <c r="P46" s="94">
        <f>SUMIFS(DB!$AC:$AC,DB!$E:$E,'Detail Cab By Tgl'!$B46,DB!$AP:$AP,'Detail Cab By Tgl'!$D46,DB!$AT:$AT,"ALDA",DB!$AQ:$AQ,'Detail Cab By Tgl'!P$29)</f>
        <v>0</v>
      </c>
      <c r="Q46" s="94">
        <f>SUMIFS(DB!$AC:$AC,DB!$E:$E,'Detail Cab By Tgl'!$B46,DB!$AP:$AP,'Detail Cab By Tgl'!$D46,DB!$AT:$AT,"ALDA",DB!$AQ:$AQ,'Detail Cab By Tgl'!Q$29)</f>
        <v>0</v>
      </c>
      <c r="R46" s="94">
        <f>SUMIFS(DB!$AC:$AC,DB!$E:$E,'Detail Cab By Tgl'!$B46,DB!$AP:$AP,'Detail Cab By Tgl'!$D46,DB!$AT:$AT,"ALDA",DB!$AQ:$AQ,'Detail Cab By Tgl'!R$29)</f>
        <v>0</v>
      </c>
      <c r="S46" s="94">
        <f>SUMIFS(DB!$AC:$AC,DB!$E:$E,'Detail Cab By Tgl'!$B46,DB!$AP:$AP,'Detail Cab By Tgl'!$D46,DB!$AT:$AT,"ALDA",DB!$AQ:$AQ,'Detail Cab By Tgl'!S$29)</f>
        <v>0</v>
      </c>
      <c r="T46" s="94">
        <f>SUMIFS(DB!$AC:$AC,DB!$E:$E,'Detail Cab By Tgl'!$B46,DB!$AP:$AP,'Detail Cab By Tgl'!$D46,DB!$AT:$AT,"ALDA",DB!$AQ:$AQ,'Detail Cab By Tgl'!T$29)</f>
        <v>0</v>
      </c>
      <c r="U46" s="94">
        <f>SUMIFS(DB!$AC:$AC,DB!$E:$E,'Detail Cab By Tgl'!$B46,DB!$AP:$AP,'Detail Cab By Tgl'!$D46,DB!$AT:$AT,"ALDA",DB!$AQ:$AQ,'Detail Cab By Tgl'!U$29)</f>
        <v>0</v>
      </c>
      <c r="V46" s="94">
        <f>SUMIFS(DB!$AC:$AC,DB!$E:$E,'Detail Cab By Tgl'!$B46,DB!$AP:$AP,'Detail Cab By Tgl'!$D46,DB!$AT:$AT,"ALDA",DB!$AQ:$AQ,'Detail Cab By Tgl'!V$29)</f>
        <v>0</v>
      </c>
      <c r="W46" s="94">
        <f>SUMIFS(DB!$AC:$AC,DB!$E:$E,'Detail Cab By Tgl'!$B46,DB!$AP:$AP,'Detail Cab By Tgl'!$D46,DB!$AT:$AT,"ALDA",DB!$AQ:$AQ,'Detail Cab By Tgl'!W$29)</f>
        <v>0</v>
      </c>
      <c r="X46" s="94">
        <f>SUMIFS(DB!$AC:$AC,DB!$E:$E,'Detail Cab By Tgl'!$B46,DB!$AP:$AP,'Detail Cab By Tgl'!$D46,DB!$AT:$AT,"ALDA",DB!$AQ:$AQ,'Detail Cab By Tgl'!X$29)</f>
        <v>0</v>
      </c>
      <c r="Y46" s="94">
        <f>SUMIFS(DB!$AC:$AC,DB!$E:$E,'Detail Cab By Tgl'!$B46,DB!$AP:$AP,'Detail Cab By Tgl'!$D46,DB!$AT:$AT,"ALDA",DB!$AQ:$AQ,'Detail Cab By Tgl'!Y$29)</f>
        <v>0</v>
      </c>
      <c r="Z46" s="94">
        <f>SUMIFS(DB!$AC:$AC,DB!$E:$E,'Detail Cab By Tgl'!$B46,DB!$AP:$AP,'Detail Cab By Tgl'!$D46,DB!$AT:$AT,"ALDA",DB!$AQ:$AQ,'Detail Cab By Tgl'!Z$29)</f>
        <v>0</v>
      </c>
      <c r="AA46" s="94">
        <f>SUMIFS(DB!$AC:$AC,DB!$E:$E,'Detail Cab By Tgl'!$B46,DB!$AP:$AP,'Detail Cab By Tgl'!$D46,DB!$AT:$AT,"ALDA",DB!$AQ:$AQ,'Detail Cab By Tgl'!AA$29)</f>
        <v>0</v>
      </c>
      <c r="AB46" s="94">
        <f>SUMIFS(DB!$AC:$AC,DB!$E:$E,'Detail Cab By Tgl'!$B46,DB!$AP:$AP,'Detail Cab By Tgl'!$D46,DB!$AT:$AT,"ALDA",DB!$AQ:$AQ,'Detail Cab By Tgl'!AB$29)</f>
        <v>0</v>
      </c>
      <c r="AC46" s="94">
        <f>SUMIFS(DB!$AC:$AC,DB!$E:$E,'Detail Cab By Tgl'!$B46,DB!$AP:$AP,'Detail Cab By Tgl'!$D46,DB!$AT:$AT,"ALDA",DB!$AQ:$AQ,'Detail Cab By Tgl'!AC$29)</f>
        <v>0</v>
      </c>
      <c r="AD46" s="94">
        <f>SUMIFS(DB!$AC:$AC,DB!$E:$E,'Detail Cab By Tgl'!$B46,DB!$AP:$AP,'Detail Cab By Tgl'!$D46,DB!$AT:$AT,"ALDA",DB!$AQ:$AQ,'Detail Cab By Tgl'!AD$29)</f>
        <v>0</v>
      </c>
      <c r="AE46" s="94">
        <f>SUMIFS(DB!$AC:$AC,DB!$E:$E,'Detail Cab By Tgl'!$B46,DB!$AP:$AP,'Detail Cab By Tgl'!$D46,DB!$AT:$AT,"ALDA",DB!$AQ:$AQ,'Detail Cab By Tgl'!AE$29)</f>
        <v>0</v>
      </c>
      <c r="AF46" s="94">
        <f>SUMIFS(DB!$AC:$AC,DB!$E:$E,'Detail Cab By Tgl'!$B46,DB!$AP:$AP,'Detail Cab By Tgl'!$D46,DB!$AT:$AT,"ALDA",DB!$AQ:$AQ,'Detail Cab By Tgl'!AF$29)</f>
        <v>0</v>
      </c>
      <c r="AG46" s="94">
        <f>SUMIFS(DB!$AC:$AC,DB!$E:$E,'Detail Cab By Tgl'!$B46,DB!$AP:$AP,'Detail Cab By Tgl'!$D46,DB!$AT:$AT,"ALDA",DB!$AQ:$AQ,'Detail Cab By Tgl'!AG$29)</f>
        <v>0</v>
      </c>
      <c r="AH46" s="94">
        <f>SUMIFS(DB!$AC:$AC,DB!$E:$E,'Detail Cab By Tgl'!$B46,DB!$AP:$AP,'Detail Cab By Tgl'!$D46,DB!$AT:$AT,"ALDA",DB!$AQ:$AQ,'Detail Cab By Tgl'!AH$29)</f>
        <v>0</v>
      </c>
      <c r="AI46" s="95">
        <f>SUMIFS(DB!$AC:$AC,DB!$E:$E,'Detail Cab By Tgl'!$B46,DB!$AP:$AP,'Detail Cab By Tgl'!$D46,DB!$AT:$AT,"ALDA",DB!$AQ:$AQ,'Detail Cab By Tgl'!AI$29)</f>
        <v>0</v>
      </c>
      <c r="AJ46" s="176">
        <f t="shared" si="8"/>
        <v>0</v>
      </c>
    </row>
    <row r="47" spans="2:36" x14ac:dyDescent="0.3">
      <c r="B47" s="321" t="s">
        <v>45</v>
      </c>
      <c r="C47" s="322" t="s">
        <v>252</v>
      </c>
      <c r="D47" s="106" t="s">
        <v>36</v>
      </c>
      <c r="E47" s="93">
        <f>SUMIFS(DB!$AC:$AC,DB!$E:$E,'Detail Cab By Tgl'!$B47,DB!$AP:$AP,'Detail Cab By Tgl'!$D47,DB!$AT:$AT,"ALDA",DB!$AQ:$AQ,'Detail Cab By Tgl'!E$29)</f>
        <v>0</v>
      </c>
      <c r="F47" s="94">
        <f>SUMIFS(DB!$AC:$AC,DB!$E:$E,'Detail Cab By Tgl'!$B47,DB!$AP:$AP,'Detail Cab By Tgl'!$D47,DB!$AT:$AT,"ALDA",DB!$AQ:$AQ,'Detail Cab By Tgl'!F$29)</f>
        <v>0</v>
      </c>
      <c r="G47" s="94">
        <f>SUMIFS(DB!$AC:$AC,DB!$E:$E,'Detail Cab By Tgl'!$B47,DB!$AP:$AP,'Detail Cab By Tgl'!$D47,DB!$AT:$AT,"ALDA",DB!$AQ:$AQ,'Detail Cab By Tgl'!G$29)</f>
        <v>0</v>
      </c>
      <c r="H47" s="94">
        <f>SUMIFS(DB!$AC:$AC,DB!$E:$E,'Detail Cab By Tgl'!$B47,DB!$AP:$AP,'Detail Cab By Tgl'!$D47,DB!$AT:$AT,"ALDA",DB!$AQ:$AQ,'Detail Cab By Tgl'!H$29)</f>
        <v>0</v>
      </c>
      <c r="I47" s="94">
        <f>SUMIFS(DB!$AC:$AC,DB!$E:$E,'Detail Cab By Tgl'!$B47,DB!$AP:$AP,'Detail Cab By Tgl'!$D47,DB!$AT:$AT,"ALDA",DB!$AQ:$AQ,'Detail Cab By Tgl'!I$29)</f>
        <v>0</v>
      </c>
      <c r="J47" s="94">
        <f>SUMIFS(DB!$AC:$AC,DB!$E:$E,'Detail Cab By Tgl'!$B47,DB!$AP:$AP,'Detail Cab By Tgl'!$D47,DB!$AT:$AT,"ALDA",DB!$AQ:$AQ,'Detail Cab By Tgl'!J$29)</f>
        <v>0</v>
      </c>
      <c r="K47" s="94">
        <f>SUMIFS(DB!$AC:$AC,DB!$E:$E,'Detail Cab By Tgl'!$B47,DB!$AP:$AP,'Detail Cab By Tgl'!$D47,DB!$AT:$AT,"ALDA",DB!$AQ:$AQ,'Detail Cab By Tgl'!K$29)</f>
        <v>0</v>
      </c>
      <c r="L47" s="94">
        <f>SUMIFS(DB!$AC:$AC,DB!$E:$E,'Detail Cab By Tgl'!$B47,DB!$AP:$AP,'Detail Cab By Tgl'!$D47,DB!$AT:$AT,"ALDA",DB!$AQ:$AQ,'Detail Cab By Tgl'!L$29)</f>
        <v>0</v>
      </c>
      <c r="M47" s="94">
        <f>SUMIFS(DB!$AC:$AC,DB!$E:$E,'Detail Cab By Tgl'!$B47,DB!$AP:$AP,'Detail Cab By Tgl'!$D47,DB!$AT:$AT,"ALDA",DB!$AQ:$AQ,'Detail Cab By Tgl'!M$29)</f>
        <v>0</v>
      </c>
      <c r="N47" s="94">
        <f>SUMIFS(DB!$AC:$AC,DB!$E:$E,'Detail Cab By Tgl'!$B47,DB!$AP:$AP,'Detail Cab By Tgl'!$D47,DB!$AT:$AT,"ALDA",DB!$AQ:$AQ,'Detail Cab By Tgl'!N$29)</f>
        <v>0</v>
      </c>
      <c r="O47" s="94">
        <f>SUMIFS(DB!$AC:$AC,DB!$E:$E,'Detail Cab By Tgl'!$B47,DB!$AP:$AP,'Detail Cab By Tgl'!$D47,DB!$AT:$AT,"ALDA",DB!$AQ:$AQ,'Detail Cab By Tgl'!O$29)</f>
        <v>0</v>
      </c>
      <c r="P47" s="94">
        <f>SUMIFS(DB!$AC:$AC,DB!$E:$E,'Detail Cab By Tgl'!$B47,DB!$AP:$AP,'Detail Cab By Tgl'!$D47,DB!$AT:$AT,"ALDA",DB!$AQ:$AQ,'Detail Cab By Tgl'!P$29)</f>
        <v>0</v>
      </c>
      <c r="Q47" s="94">
        <f>SUMIFS(DB!$AC:$AC,DB!$E:$E,'Detail Cab By Tgl'!$B47,DB!$AP:$AP,'Detail Cab By Tgl'!$D47,DB!$AT:$AT,"ALDA",DB!$AQ:$AQ,'Detail Cab By Tgl'!Q$29)</f>
        <v>0</v>
      </c>
      <c r="R47" s="94">
        <f>SUMIFS(DB!$AC:$AC,DB!$E:$E,'Detail Cab By Tgl'!$B47,DB!$AP:$AP,'Detail Cab By Tgl'!$D47,DB!$AT:$AT,"ALDA",DB!$AQ:$AQ,'Detail Cab By Tgl'!R$29)</f>
        <v>0</v>
      </c>
      <c r="S47" s="94">
        <f>SUMIFS(DB!$AC:$AC,DB!$E:$E,'Detail Cab By Tgl'!$B47,DB!$AP:$AP,'Detail Cab By Tgl'!$D47,DB!$AT:$AT,"ALDA",DB!$AQ:$AQ,'Detail Cab By Tgl'!S$29)</f>
        <v>0</v>
      </c>
      <c r="T47" s="94">
        <f>SUMIFS(DB!$AC:$AC,DB!$E:$E,'Detail Cab By Tgl'!$B47,DB!$AP:$AP,'Detail Cab By Tgl'!$D47,DB!$AT:$AT,"ALDA",DB!$AQ:$AQ,'Detail Cab By Tgl'!T$29)</f>
        <v>0</v>
      </c>
      <c r="U47" s="94">
        <f>SUMIFS(DB!$AC:$AC,DB!$E:$E,'Detail Cab By Tgl'!$B47,DB!$AP:$AP,'Detail Cab By Tgl'!$D47,DB!$AT:$AT,"ALDA",DB!$AQ:$AQ,'Detail Cab By Tgl'!U$29)</f>
        <v>0</v>
      </c>
      <c r="V47" s="94">
        <f>SUMIFS(DB!$AC:$AC,DB!$E:$E,'Detail Cab By Tgl'!$B47,DB!$AP:$AP,'Detail Cab By Tgl'!$D47,DB!$AT:$AT,"ALDA",DB!$AQ:$AQ,'Detail Cab By Tgl'!V$29)</f>
        <v>0</v>
      </c>
      <c r="W47" s="94">
        <f>SUMIFS(DB!$AC:$AC,DB!$E:$E,'Detail Cab By Tgl'!$B47,DB!$AP:$AP,'Detail Cab By Tgl'!$D47,DB!$AT:$AT,"ALDA",DB!$AQ:$AQ,'Detail Cab By Tgl'!W$29)</f>
        <v>0</v>
      </c>
      <c r="X47" s="94">
        <f>SUMIFS(DB!$AC:$AC,DB!$E:$E,'Detail Cab By Tgl'!$B47,DB!$AP:$AP,'Detail Cab By Tgl'!$D47,DB!$AT:$AT,"ALDA",DB!$AQ:$AQ,'Detail Cab By Tgl'!X$29)</f>
        <v>0</v>
      </c>
      <c r="Y47" s="94">
        <f>SUMIFS(DB!$AC:$AC,DB!$E:$E,'Detail Cab By Tgl'!$B47,DB!$AP:$AP,'Detail Cab By Tgl'!$D47,DB!$AT:$AT,"ALDA",DB!$AQ:$AQ,'Detail Cab By Tgl'!Y$29)</f>
        <v>0</v>
      </c>
      <c r="Z47" s="94">
        <f>SUMIFS(DB!$AC:$AC,DB!$E:$E,'Detail Cab By Tgl'!$B47,DB!$AP:$AP,'Detail Cab By Tgl'!$D47,DB!$AT:$AT,"ALDA",DB!$AQ:$AQ,'Detail Cab By Tgl'!Z$29)</f>
        <v>0</v>
      </c>
      <c r="AA47" s="94">
        <f>SUMIFS(DB!$AC:$AC,DB!$E:$E,'Detail Cab By Tgl'!$B47,DB!$AP:$AP,'Detail Cab By Tgl'!$D47,DB!$AT:$AT,"ALDA",DB!$AQ:$AQ,'Detail Cab By Tgl'!AA$29)</f>
        <v>0</v>
      </c>
      <c r="AB47" s="94">
        <f>SUMIFS(DB!$AC:$AC,DB!$E:$E,'Detail Cab By Tgl'!$B47,DB!$AP:$AP,'Detail Cab By Tgl'!$D47,DB!$AT:$AT,"ALDA",DB!$AQ:$AQ,'Detail Cab By Tgl'!AB$29)</f>
        <v>0</v>
      </c>
      <c r="AC47" s="94">
        <f>SUMIFS(DB!$AC:$AC,DB!$E:$E,'Detail Cab By Tgl'!$B47,DB!$AP:$AP,'Detail Cab By Tgl'!$D47,DB!$AT:$AT,"ALDA",DB!$AQ:$AQ,'Detail Cab By Tgl'!AC$29)</f>
        <v>0</v>
      </c>
      <c r="AD47" s="94">
        <f>SUMIFS(DB!$AC:$AC,DB!$E:$E,'Detail Cab By Tgl'!$B47,DB!$AP:$AP,'Detail Cab By Tgl'!$D47,DB!$AT:$AT,"ALDA",DB!$AQ:$AQ,'Detail Cab By Tgl'!AD$29)</f>
        <v>0</v>
      </c>
      <c r="AE47" s="94">
        <f>SUMIFS(DB!$AC:$AC,DB!$E:$E,'Detail Cab By Tgl'!$B47,DB!$AP:$AP,'Detail Cab By Tgl'!$D47,DB!$AT:$AT,"ALDA",DB!$AQ:$AQ,'Detail Cab By Tgl'!AE$29)</f>
        <v>0</v>
      </c>
      <c r="AF47" s="94">
        <f>SUMIFS(DB!$AC:$AC,DB!$E:$E,'Detail Cab By Tgl'!$B47,DB!$AP:$AP,'Detail Cab By Tgl'!$D47,DB!$AT:$AT,"ALDA",DB!$AQ:$AQ,'Detail Cab By Tgl'!AF$29)</f>
        <v>0</v>
      </c>
      <c r="AG47" s="94">
        <f>SUMIFS(DB!$AC:$AC,DB!$E:$E,'Detail Cab By Tgl'!$B47,DB!$AP:$AP,'Detail Cab By Tgl'!$D47,DB!$AT:$AT,"ALDA",DB!$AQ:$AQ,'Detail Cab By Tgl'!AG$29)</f>
        <v>0</v>
      </c>
      <c r="AH47" s="94">
        <f>SUMIFS(DB!$AC:$AC,DB!$E:$E,'Detail Cab By Tgl'!$B47,DB!$AP:$AP,'Detail Cab By Tgl'!$D47,DB!$AT:$AT,"ALDA",DB!$AQ:$AQ,'Detail Cab By Tgl'!AH$29)</f>
        <v>0</v>
      </c>
      <c r="AI47" s="95">
        <f>SUMIFS(DB!$AC:$AC,DB!$E:$E,'Detail Cab By Tgl'!$B47,DB!$AP:$AP,'Detail Cab By Tgl'!$D47,DB!$AT:$AT,"ALDA",DB!$AQ:$AQ,'Detail Cab By Tgl'!AI$29)</f>
        <v>0</v>
      </c>
      <c r="AJ47" s="176">
        <f t="shared" si="8"/>
        <v>0</v>
      </c>
    </row>
    <row r="48" spans="2:36" x14ac:dyDescent="0.3">
      <c r="B48" s="321" t="s">
        <v>45</v>
      </c>
      <c r="C48" s="322" t="s">
        <v>252</v>
      </c>
      <c r="D48" s="106" t="s">
        <v>24</v>
      </c>
      <c r="E48" s="93">
        <f>SUMIFS(DB!$AC:$AC,DB!$E:$E,'Detail Cab By Tgl'!$B48,DB!$AP:$AP,'Detail Cab By Tgl'!$D48,DB!$AT:$AT,"ALDA",DB!$AQ:$AQ,'Detail Cab By Tgl'!E$29)</f>
        <v>0</v>
      </c>
      <c r="F48" s="94">
        <f>SUMIFS(DB!$AC:$AC,DB!$E:$E,'Detail Cab By Tgl'!$B48,DB!$AP:$AP,'Detail Cab By Tgl'!$D48,DB!$AT:$AT,"ALDA",DB!$AQ:$AQ,'Detail Cab By Tgl'!F$29)</f>
        <v>0</v>
      </c>
      <c r="G48" s="94">
        <f>SUMIFS(DB!$AC:$AC,DB!$E:$E,'Detail Cab By Tgl'!$B48,DB!$AP:$AP,'Detail Cab By Tgl'!$D48,DB!$AT:$AT,"ALDA",DB!$AQ:$AQ,'Detail Cab By Tgl'!G$29)</f>
        <v>0</v>
      </c>
      <c r="H48" s="94">
        <f>SUMIFS(DB!$AC:$AC,DB!$E:$E,'Detail Cab By Tgl'!$B48,DB!$AP:$AP,'Detail Cab By Tgl'!$D48,DB!$AT:$AT,"ALDA",DB!$AQ:$AQ,'Detail Cab By Tgl'!H$29)</f>
        <v>0</v>
      </c>
      <c r="I48" s="94">
        <f>SUMIFS(DB!$AC:$AC,DB!$E:$E,'Detail Cab By Tgl'!$B48,DB!$AP:$AP,'Detail Cab By Tgl'!$D48,DB!$AT:$AT,"ALDA",DB!$AQ:$AQ,'Detail Cab By Tgl'!I$29)</f>
        <v>0</v>
      </c>
      <c r="J48" s="94">
        <f>SUMIFS(DB!$AC:$AC,DB!$E:$E,'Detail Cab By Tgl'!$B48,DB!$AP:$AP,'Detail Cab By Tgl'!$D48,DB!$AT:$AT,"ALDA",DB!$AQ:$AQ,'Detail Cab By Tgl'!J$29)</f>
        <v>0</v>
      </c>
      <c r="K48" s="94">
        <f>SUMIFS(DB!$AC:$AC,DB!$E:$E,'Detail Cab By Tgl'!$B48,DB!$AP:$AP,'Detail Cab By Tgl'!$D48,DB!$AT:$AT,"ALDA",DB!$AQ:$AQ,'Detail Cab By Tgl'!K$29)</f>
        <v>0</v>
      </c>
      <c r="L48" s="94">
        <f>SUMIFS(DB!$AC:$AC,DB!$E:$E,'Detail Cab By Tgl'!$B48,DB!$AP:$AP,'Detail Cab By Tgl'!$D48,DB!$AT:$AT,"ALDA",DB!$AQ:$AQ,'Detail Cab By Tgl'!L$29)</f>
        <v>0</v>
      </c>
      <c r="M48" s="94">
        <f>SUMIFS(DB!$AC:$AC,DB!$E:$E,'Detail Cab By Tgl'!$B48,DB!$AP:$AP,'Detail Cab By Tgl'!$D48,DB!$AT:$AT,"ALDA",DB!$AQ:$AQ,'Detail Cab By Tgl'!M$29)</f>
        <v>0</v>
      </c>
      <c r="N48" s="94">
        <f>SUMIFS(DB!$AC:$AC,DB!$E:$E,'Detail Cab By Tgl'!$B48,DB!$AP:$AP,'Detail Cab By Tgl'!$D48,DB!$AT:$AT,"ALDA",DB!$AQ:$AQ,'Detail Cab By Tgl'!N$29)</f>
        <v>0</v>
      </c>
      <c r="O48" s="94">
        <f>SUMIFS(DB!$AC:$AC,DB!$E:$E,'Detail Cab By Tgl'!$B48,DB!$AP:$AP,'Detail Cab By Tgl'!$D48,DB!$AT:$AT,"ALDA",DB!$AQ:$AQ,'Detail Cab By Tgl'!O$29)</f>
        <v>0</v>
      </c>
      <c r="P48" s="94">
        <f>SUMIFS(DB!$AC:$AC,DB!$E:$E,'Detail Cab By Tgl'!$B48,DB!$AP:$AP,'Detail Cab By Tgl'!$D48,DB!$AT:$AT,"ALDA",DB!$AQ:$AQ,'Detail Cab By Tgl'!P$29)</f>
        <v>0</v>
      </c>
      <c r="Q48" s="94">
        <f>SUMIFS(DB!$AC:$AC,DB!$E:$E,'Detail Cab By Tgl'!$B48,DB!$AP:$AP,'Detail Cab By Tgl'!$D48,DB!$AT:$AT,"ALDA",DB!$AQ:$AQ,'Detail Cab By Tgl'!Q$29)</f>
        <v>0</v>
      </c>
      <c r="R48" s="94">
        <f>SUMIFS(DB!$AC:$AC,DB!$E:$E,'Detail Cab By Tgl'!$B48,DB!$AP:$AP,'Detail Cab By Tgl'!$D48,DB!$AT:$AT,"ALDA",DB!$AQ:$AQ,'Detail Cab By Tgl'!R$29)</f>
        <v>0</v>
      </c>
      <c r="S48" s="94">
        <f>SUMIFS(DB!$AC:$AC,DB!$E:$E,'Detail Cab By Tgl'!$B48,DB!$AP:$AP,'Detail Cab By Tgl'!$D48,DB!$AT:$AT,"ALDA",DB!$AQ:$AQ,'Detail Cab By Tgl'!S$29)</f>
        <v>0</v>
      </c>
      <c r="T48" s="94">
        <f>SUMIFS(DB!$AC:$AC,DB!$E:$E,'Detail Cab By Tgl'!$B48,DB!$AP:$AP,'Detail Cab By Tgl'!$D48,DB!$AT:$AT,"ALDA",DB!$AQ:$AQ,'Detail Cab By Tgl'!T$29)</f>
        <v>0</v>
      </c>
      <c r="U48" s="94">
        <f>SUMIFS(DB!$AC:$AC,DB!$E:$E,'Detail Cab By Tgl'!$B48,DB!$AP:$AP,'Detail Cab By Tgl'!$D48,DB!$AT:$AT,"ALDA",DB!$AQ:$AQ,'Detail Cab By Tgl'!U$29)</f>
        <v>0</v>
      </c>
      <c r="V48" s="94">
        <f>SUMIFS(DB!$AC:$AC,DB!$E:$E,'Detail Cab By Tgl'!$B48,DB!$AP:$AP,'Detail Cab By Tgl'!$D48,DB!$AT:$AT,"ALDA",DB!$AQ:$AQ,'Detail Cab By Tgl'!V$29)</f>
        <v>0</v>
      </c>
      <c r="W48" s="94">
        <f>SUMIFS(DB!$AC:$AC,DB!$E:$E,'Detail Cab By Tgl'!$B48,DB!$AP:$AP,'Detail Cab By Tgl'!$D48,DB!$AT:$AT,"ALDA",DB!$AQ:$AQ,'Detail Cab By Tgl'!W$29)</f>
        <v>0</v>
      </c>
      <c r="X48" s="94">
        <f>SUMIFS(DB!$AC:$AC,DB!$E:$E,'Detail Cab By Tgl'!$B48,DB!$AP:$AP,'Detail Cab By Tgl'!$D48,DB!$AT:$AT,"ALDA",DB!$AQ:$AQ,'Detail Cab By Tgl'!X$29)</f>
        <v>0</v>
      </c>
      <c r="Y48" s="94">
        <f>SUMIFS(DB!$AC:$AC,DB!$E:$E,'Detail Cab By Tgl'!$B48,DB!$AP:$AP,'Detail Cab By Tgl'!$D48,DB!$AT:$AT,"ALDA",DB!$AQ:$AQ,'Detail Cab By Tgl'!Y$29)</f>
        <v>0</v>
      </c>
      <c r="Z48" s="94">
        <f>SUMIFS(DB!$AC:$AC,DB!$E:$E,'Detail Cab By Tgl'!$B48,DB!$AP:$AP,'Detail Cab By Tgl'!$D48,DB!$AT:$AT,"ALDA",DB!$AQ:$AQ,'Detail Cab By Tgl'!Z$29)</f>
        <v>0</v>
      </c>
      <c r="AA48" s="94">
        <f>SUMIFS(DB!$AC:$AC,DB!$E:$E,'Detail Cab By Tgl'!$B48,DB!$AP:$AP,'Detail Cab By Tgl'!$D48,DB!$AT:$AT,"ALDA",DB!$AQ:$AQ,'Detail Cab By Tgl'!AA$29)</f>
        <v>0</v>
      </c>
      <c r="AB48" s="94">
        <f>SUMIFS(DB!$AC:$AC,DB!$E:$E,'Detail Cab By Tgl'!$B48,DB!$AP:$AP,'Detail Cab By Tgl'!$D48,DB!$AT:$AT,"ALDA",DB!$AQ:$AQ,'Detail Cab By Tgl'!AB$29)</f>
        <v>0</v>
      </c>
      <c r="AC48" s="94">
        <f>SUMIFS(DB!$AC:$AC,DB!$E:$E,'Detail Cab By Tgl'!$B48,DB!$AP:$AP,'Detail Cab By Tgl'!$D48,DB!$AT:$AT,"ALDA",DB!$AQ:$AQ,'Detail Cab By Tgl'!AC$29)</f>
        <v>0</v>
      </c>
      <c r="AD48" s="94">
        <f>SUMIFS(DB!$AC:$AC,DB!$E:$E,'Detail Cab By Tgl'!$B48,DB!$AP:$AP,'Detail Cab By Tgl'!$D48,DB!$AT:$AT,"ALDA",DB!$AQ:$AQ,'Detail Cab By Tgl'!AD$29)</f>
        <v>0</v>
      </c>
      <c r="AE48" s="94">
        <f>SUMIFS(DB!$AC:$AC,DB!$E:$E,'Detail Cab By Tgl'!$B48,DB!$AP:$AP,'Detail Cab By Tgl'!$D48,DB!$AT:$AT,"ALDA",DB!$AQ:$AQ,'Detail Cab By Tgl'!AE$29)</f>
        <v>0</v>
      </c>
      <c r="AF48" s="94">
        <f>SUMIFS(DB!$AC:$AC,DB!$E:$E,'Detail Cab By Tgl'!$B48,DB!$AP:$AP,'Detail Cab By Tgl'!$D48,DB!$AT:$AT,"ALDA",DB!$AQ:$AQ,'Detail Cab By Tgl'!AF$29)</f>
        <v>0</v>
      </c>
      <c r="AG48" s="94">
        <f>SUMIFS(DB!$AC:$AC,DB!$E:$E,'Detail Cab By Tgl'!$B48,DB!$AP:$AP,'Detail Cab By Tgl'!$D48,DB!$AT:$AT,"ALDA",DB!$AQ:$AQ,'Detail Cab By Tgl'!AG$29)</f>
        <v>0</v>
      </c>
      <c r="AH48" s="94">
        <f>SUMIFS(DB!$AC:$AC,DB!$E:$E,'Detail Cab By Tgl'!$B48,DB!$AP:$AP,'Detail Cab By Tgl'!$D48,DB!$AT:$AT,"ALDA",DB!$AQ:$AQ,'Detail Cab By Tgl'!AH$29)</f>
        <v>0</v>
      </c>
      <c r="AI48" s="95">
        <f>SUMIFS(DB!$AC:$AC,DB!$E:$E,'Detail Cab By Tgl'!$B48,DB!$AP:$AP,'Detail Cab By Tgl'!$D48,DB!$AT:$AT,"ALDA",DB!$AQ:$AQ,'Detail Cab By Tgl'!AI$29)</f>
        <v>0</v>
      </c>
      <c r="AJ48" s="176">
        <f t="shared" si="8"/>
        <v>0</v>
      </c>
    </row>
    <row r="49" spans="2:36" x14ac:dyDescent="0.3">
      <c r="B49" s="321" t="s">
        <v>45</v>
      </c>
      <c r="C49" s="322" t="s">
        <v>252</v>
      </c>
      <c r="D49" s="106" t="s">
        <v>31</v>
      </c>
      <c r="E49" s="93">
        <f>SUMIFS(DB!$AC:$AC,DB!$E:$E,'Detail Cab By Tgl'!$B49,DB!$AP:$AP,'Detail Cab By Tgl'!$D49,DB!$AT:$AT,"ALDA",DB!$AQ:$AQ,'Detail Cab By Tgl'!E$29)</f>
        <v>0</v>
      </c>
      <c r="F49" s="94">
        <f>SUMIFS(DB!$AC:$AC,DB!$E:$E,'Detail Cab By Tgl'!$B49,DB!$AP:$AP,'Detail Cab By Tgl'!$D49,DB!$AT:$AT,"ALDA",DB!$AQ:$AQ,'Detail Cab By Tgl'!F$29)</f>
        <v>0</v>
      </c>
      <c r="G49" s="94">
        <f>SUMIFS(DB!$AC:$AC,DB!$E:$E,'Detail Cab By Tgl'!$B49,DB!$AP:$AP,'Detail Cab By Tgl'!$D49,DB!$AT:$AT,"ALDA",DB!$AQ:$AQ,'Detail Cab By Tgl'!G$29)</f>
        <v>0</v>
      </c>
      <c r="H49" s="94">
        <f>SUMIFS(DB!$AC:$AC,DB!$E:$E,'Detail Cab By Tgl'!$B49,DB!$AP:$AP,'Detail Cab By Tgl'!$D49,DB!$AT:$AT,"ALDA",DB!$AQ:$AQ,'Detail Cab By Tgl'!H$29)</f>
        <v>0</v>
      </c>
      <c r="I49" s="94">
        <f>SUMIFS(DB!$AC:$AC,DB!$E:$E,'Detail Cab By Tgl'!$B49,DB!$AP:$AP,'Detail Cab By Tgl'!$D49,DB!$AT:$AT,"ALDA",DB!$AQ:$AQ,'Detail Cab By Tgl'!I$29)</f>
        <v>0</v>
      </c>
      <c r="J49" s="94">
        <f>SUMIFS(DB!$AC:$AC,DB!$E:$E,'Detail Cab By Tgl'!$B49,DB!$AP:$AP,'Detail Cab By Tgl'!$D49,DB!$AT:$AT,"ALDA",DB!$AQ:$AQ,'Detail Cab By Tgl'!J$29)</f>
        <v>0</v>
      </c>
      <c r="K49" s="94">
        <f>SUMIFS(DB!$AC:$AC,DB!$E:$E,'Detail Cab By Tgl'!$B49,DB!$AP:$AP,'Detail Cab By Tgl'!$D49,DB!$AT:$AT,"ALDA",DB!$AQ:$AQ,'Detail Cab By Tgl'!K$29)</f>
        <v>0</v>
      </c>
      <c r="L49" s="94">
        <f>SUMIFS(DB!$AC:$AC,DB!$E:$E,'Detail Cab By Tgl'!$B49,DB!$AP:$AP,'Detail Cab By Tgl'!$D49,DB!$AT:$AT,"ALDA",DB!$AQ:$AQ,'Detail Cab By Tgl'!L$29)</f>
        <v>0</v>
      </c>
      <c r="M49" s="94">
        <f>SUMIFS(DB!$AC:$AC,DB!$E:$E,'Detail Cab By Tgl'!$B49,DB!$AP:$AP,'Detail Cab By Tgl'!$D49,DB!$AT:$AT,"ALDA",DB!$AQ:$AQ,'Detail Cab By Tgl'!M$29)</f>
        <v>0</v>
      </c>
      <c r="N49" s="94">
        <f>SUMIFS(DB!$AC:$AC,DB!$E:$E,'Detail Cab By Tgl'!$B49,DB!$AP:$AP,'Detail Cab By Tgl'!$D49,DB!$AT:$AT,"ALDA",DB!$AQ:$AQ,'Detail Cab By Tgl'!N$29)</f>
        <v>0</v>
      </c>
      <c r="O49" s="94">
        <f>SUMIFS(DB!$AC:$AC,DB!$E:$E,'Detail Cab By Tgl'!$B49,DB!$AP:$AP,'Detail Cab By Tgl'!$D49,DB!$AT:$AT,"ALDA",DB!$AQ:$AQ,'Detail Cab By Tgl'!O$29)</f>
        <v>0</v>
      </c>
      <c r="P49" s="94">
        <f>SUMIFS(DB!$AC:$AC,DB!$E:$E,'Detail Cab By Tgl'!$B49,DB!$AP:$AP,'Detail Cab By Tgl'!$D49,DB!$AT:$AT,"ALDA",DB!$AQ:$AQ,'Detail Cab By Tgl'!P$29)</f>
        <v>0</v>
      </c>
      <c r="Q49" s="94">
        <f>SUMIFS(DB!$AC:$AC,DB!$E:$E,'Detail Cab By Tgl'!$B49,DB!$AP:$AP,'Detail Cab By Tgl'!$D49,DB!$AT:$AT,"ALDA",DB!$AQ:$AQ,'Detail Cab By Tgl'!Q$29)</f>
        <v>0</v>
      </c>
      <c r="R49" s="94">
        <f>SUMIFS(DB!$AC:$AC,DB!$E:$E,'Detail Cab By Tgl'!$B49,DB!$AP:$AP,'Detail Cab By Tgl'!$D49,DB!$AT:$AT,"ALDA",DB!$AQ:$AQ,'Detail Cab By Tgl'!R$29)</f>
        <v>0</v>
      </c>
      <c r="S49" s="94">
        <f>SUMIFS(DB!$AC:$AC,DB!$E:$E,'Detail Cab By Tgl'!$B49,DB!$AP:$AP,'Detail Cab By Tgl'!$D49,DB!$AT:$AT,"ALDA",DB!$AQ:$AQ,'Detail Cab By Tgl'!S$29)</f>
        <v>0</v>
      </c>
      <c r="T49" s="94">
        <f>SUMIFS(DB!$AC:$AC,DB!$E:$E,'Detail Cab By Tgl'!$B49,DB!$AP:$AP,'Detail Cab By Tgl'!$D49,DB!$AT:$AT,"ALDA",DB!$AQ:$AQ,'Detail Cab By Tgl'!T$29)</f>
        <v>0</v>
      </c>
      <c r="U49" s="94">
        <f>SUMIFS(DB!$AC:$AC,DB!$E:$E,'Detail Cab By Tgl'!$B49,DB!$AP:$AP,'Detail Cab By Tgl'!$D49,DB!$AT:$AT,"ALDA",DB!$AQ:$AQ,'Detail Cab By Tgl'!U$29)</f>
        <v>0</v>
      </c>
      <c r="V49" s="94">
        <f>SUMIFS(DB!$AC:$AC,DB!$E:$E,'Detail Cab By Tgl'!$B49,DB!$AP:$AP,'Detail Cab By Tgl'!$D49,DB!$AT:$AT,"ALDA",DB!$AQ:$AQ,'Detail Cab By Tgl'!V$29)</f>
        <v>0</v>
      </c>
      <c r="W49" s="94">
        <f>SUMIFS(DB!$AC:$AC,DB!$E:$E,'Detail Cab By Tgl'!$B49,DB!$AP:$AP,'Detail Cab By Tgl'!$D49,DB!$AT:$AT,"ALDA",DB!$AQ:$AQ,'Detail Cab By Tgl'!W$29)</f>
        <v>0</v>
      </c>
      <c r="X49" s="94">
        <f>SUMIFS(DB!$AC:$AC,DB!$E:$E,'Detail Cab By Tgl'!$B49,DB!$AP:$AP,'Detail Cab By Tgl'!$D49,DB!$AT:$AT,"ALDA",DB!$AQ:$AQ,'Detail Cab By Tgl'!X$29)</f>
        <v>0</v>
      </c>
      <c r="Y49" s="94">
        <f>SUMIFS(DB!$AC:$AC,DB!$E:$E,'Detail Cab By Tgl'!$B49,DB!$AP:$AP,'Detail Cab By Tgl'!$D49,DB!$AT:$AT,"ALDA",DB!$AQ:$AQ,'Detail Cab By Tgl'!Y$29)</f>
        <v>0</v>
      </c>
      <c r="Z49" s="94">
        <f>SUMIFS(DB!$AC:$AC,DB!$E:$E,'Detail Cab By Tgl'!$B49,DB!$AP:$AP,'Detail Cab By Tgl'!$D49,DB!$AT:$AT,"ALDA",DB!$AQ:$AQ,'Detail Cab By Tgl'!Z$29)</f>
        <v>0</v>
      </c>
      <c r="AA49" s="94">
        <f>SUMIFS(DB!$AC:$AC,DB!$E:$E,'Detail Cab By Tgl'!$B49,DB!$AP:$AP,'Detail Cab By Tgl'!$D49,DB!$AT:$AT,"ALDA",DB!$AQ:$AQ,'Detail Cab By Tgl'!AA$29)</f>
        <v>0</v>
      </c>
      <c r="AB49" s="94">
        <f>SUMIFS(DB!$AC:$AC,DB!$E:$E,'Detail Cab By Tgl'!$B49,DB!$AP:$AP,'Detail Cab By Tgl'!$D49,DB!$AT:$AT,"ALDA",DB!$AQ:$AQ,'Detail Cab By Tgl'!AB$29)</f>
        <v>0</v>
      </c>
      <c r="AC49" s="94">
        <f>SUMIFS(DB!$AC:$AC,DB!$E:$E,'Detail Cab By Tgl'!$B49,DB!$AP:$AP,'Detail Cab By Tgl'!$D49,DB!$AT:$AT,"ALDA",DB!$AQ:$AQ,'Detail Cab By Tgl'!AC$29)</f>
        <v>0</v>
      </c>
      <c r="AD49" s="94">
        <f>SUMIFS(DB!$AC:$AC,DB!$E:$E,'Detail Cab By Tgl'!$B49,DB!$AP:$AP,'Detail Cab By Tgl'!$D49,DB!$AT:$AT,"ALDA",DB!$AQ:$AQ,'Detail Cab By Tgl'!AD$29)</f>
        <v>0</v>
      </c>
      <c r="AE49" s="94">
        <f>SUMIFS(DB!$AC:$AC,DB!$E:$E,'Detail Cab By Tgl'!$B49,DB!$AP:$AP,'Detail Cab By Tgl'!$D49,DB!$AT:$AT,"ALDA",DB!$AQ:$AQ,'Detail Cab By Tgl'!AE$29)</f>
        <v>0</v>
      </c>
      <c r="AF49" s="94">
        <f>SUMIFS(DB!$AC:$AC,DB!$E:$E,'Detail Cab By Tgl'!$B49,DB!$AP:$AP,'Detail Cab By Tgl'!$D49,DB!$AT:$AT,"ALDA",DB!$AQ:$AQ,'Detail Cab By Tgl'!AF$29)</f>
        <v>0</v>
      </c>
      <c r="AG49" s="94">
        <f>SUMIFS(DB!$AC:$AC,DB!$E:$E,'Detail Cab By Tgl'!$B49,DB!$AP:$AP,'Detail Cab By Tgl'!$D49,DB!$AT:$AT,"ALDA",DB!$AQ:$AQ,'Detail Cab By Tgl'!AG$29)</f>
        <v>0</v>
      </c>
      <c r="AH49" s="94">
        <f>SUMIFS(DB!$AC:$AC,DB!$E:$E,'Detail Cab By Tgl'!$B49,DB!$AP:$AP,'Detail Cab By Tgl'!$D49,DB!$AT:$AT,"ALDA",DB!$AQ:$AQ,'Detail Cab By Tgl'!AH$29)</f>
        <v>0</v>
      </c>
      <c r="AI49" s="95">
        <f>SUMIFS(DB!$AC:$AC,DB!$E:$E,'Detail Cab By Tgl'!$B49,DB!$AP:$AP,'Detail Cab By Tgl'!$D49,DB!$AT:$AT,"ALDA",DB!$AQ:$AQ,'Detail Cab By Tgl'!AI$29)</f>
        <v>0</v>
      </c>
      <c r="AJ49" s="176">
        <f t="shared" si="8"/>
        <v>0</v>
      </c>
    </row>
    <row r="50" spans="2:36" x14ac:dyDescent="0.3">
      <c r="B50" s="321" t="s">
        <v>45</v>
      </c>
      <c r="C50" s="322" t="s">
        <v>252</v>
      </c>
      <c r="D50" s="106" t="s">
        <v>34</v>
      </c>
      <c r="E50" s="93">
        <f>SUMIFS(DB!$AC:$AC,DB!$E:$E,'Detail Cab By Tgl'!$B50,DB!$AP:$AP,'Detail Cab By Tgl'!$D50,DB!$AT:$AT,"ALDA",DB!$AQ:$AQ,'Detail Cab By Tgl'!E$29)</f>
        <v>0</v>
      </c>
      <c r="F50" s="94">
        <f>SUMIFS(DB!$AC:$AC,DB!$E:$E,'Detail Cab By Tgl'!$B50,DB!$AP:$AP,'Detail Cab By Tgl'!$D50,DB!$AT:$AT,"ALDA",DB!$AQ:$AQ,'Detail Cab By Tgl'!F$29)</f>
        <v>0</v>
      </c>
      <c r="G50" s="94">
        <f>SUMIFS(DB!$AC:$AC,DB!$E:$E,'Detail Cab By Tgl'!$B50,DB!$AP:$AP,'Detail Cab By Tgl'!$D50,DB!$AT:$AT,"ALDA",DB!$AQ:$AQ,'Detail Cab By Tgl'!G$29)</f>
        <v>709200</v>
      </c>
      <c r="H50" s="94">
        <f>SUMIFS(DB!$AC:$AC,DB!$E:$E,'Detail Cab By Tgl'!$B50,DB!$AP:$AP,'Detail Cab By Tgl'!$D50,DB!$AT:$AT,"ALDA",DB!$AQ:$AQ,'Detail Cab By Tgl'!H$29)</f>
        <v>0</v>
      </c>
      <c r="I50" s="94">
        <f>SUMIFS(DB!$AC:$AC,DB!$E:$E,'Detail Cab By Tgl'!$B50,DB!$AP:$AP,'Detail Cab By Tgl'!$D50,DB!$AT:$AT,"ALDA",DB!$AQ:$AQ,'Detail Cab By Tgl'!I$29)</f>
        <v>0</v>
      </c>
      <c r="J50" s="94">
        <f>SUMIFS(DB!$AC:$AC,DB!$E:$E,'Detail Cab By Tgl'!$B50,DB!$AP:$AP,'Detail Cab By Tgl'!$D50,DB!$AT:$AT,"ALDA",DB!$AQ:$AQ,'Detail Cab By Tgl'!J$29)</f>
        <v>0</v>
      </c>
      <c r="K50" s="94">
        <f>SUMIFS(DB!$AC:$AC,DB!$E:$E,'Detail Cab By Tgl'!$B50,DB!$AP:$AP,'Detail Cab By Tgl'!$D50,DB!$AT:$AT,"ALDA",DB!$AQ:$AQ,'Detail Cab By Tgl'!K$29)</f>
        <v>0</v>
      </c>
      <c r="L50" s="94">
        <f>SUMIFS(DB!$AC:$AC,DB!$E:$E,'Detail Cab By Tgl'!$B50,DB!$AP:$AP,'Detail Cab By Tgl'!$D50,DB!$AT:$AT,"ALDA",DB!$AQ:$AQ,'Detail Cab By Tgl'!L$29)</f>
        <v>0</v>
      </c>
      <c r="M50" s="94">
        <f>SUMIFS(DB!$AC:$AC,DB!$E:$E,'Detail Cab By Tgl'!$B50,DB!$AP:$AP,'Detail Cab By Tgl'!$D50,DB!$AT:$AT,"ALDA",DB!$AQ:$AQ,'Detail Cab By Tgl'!M$29)</f>
        <v>0</v>
      </c>
      <c r="N50" s="94">
        <f>SUMIFS(DB!$AC:$AC,DB!$E:$E,'Detail Cab By Tgl'!$B50,DB!$AP:$AP,'Detail Cab By Tgl'!$D50,DB!$AT:$AT,"ALDA",DB!$AQ:$AQ,'Detail Cab By Tgl'!N$29)</f>
        <v>0</v>
      </c>
      <c r="O50" s="94">
        <f>SUMIFS(DB!$AC:$AC,DB!$E:$E,'Detail Cab By Tgl'!$B50,DB!$AP:$AP,'Detail Cab By Tgl'!$D50,DB!$AT:$AT,"ALDA",DB!$AQ:$AQ,'Detail Cab By Tgl'!O$29)</f>
        <v>0</v>
      </c>
      <c r="P50" s="94">
        <f>SUMIFS(DB!$AC:$AC,DB!$E:$E,'Detail Cab By Tgl'!$B50,DB!$AP:$AP,'Detail Cab By Tgl'!$D50,DB!$AT:$AT,"ALDA",DB!$AQ:$AQ,'Detail Cab By Tgl'!P$29)</f>
        <v>0</v>
      </c>
      <c r="Q50" s="94">
        <f>SUMIFS(DB!$AC:$AC,DB!$E:$E,'Detail Cab By Tgl'!$B50,DB!$AP:$AP,'Detail Cab By Tgl'!$D50,DB!$AT:$AT,"ALDA",DB!$AQ:$AQ,'Detail Cab By Tgl'!Q$29)</f>
        <v>0</v>
      </c>
      <c r="R50" s="94">
        <f>SUMIFS(DB!$AC:$AC,DB!$E:$E,'Detail Cab By Tgl'!$B50,DB!$AP:$AP,'Detail Cab By Tgl'!$D50,DB!$AT:$AT,"ALDA",DB!$AQ:$AQ,'Detail Cab By Tgl'!R$29)</f>
        <v>0</v>
      </c>
      <c r="S50" s="94">
        <f>SUMIFS(DB!$AC:$AC,DB!$E:$E,'Detail Cab By Tgl'!$B50,DB!$AP:$AP,'Detail Cab By Tgl'!$D50,DB!$AT:$AT,"ALDA",DB!$AQ:$AQ,'Detail Cab By Tgl'!S$29)</f>
        <v>0</v>
      </c>
      <c r="T50" s="94">
        <f>SUMIFS(DB!$AC:$AC,DB!$E:$E,'Detail Cab By Tgl'!$B50,DB!$AP:$AP,'Detail Cab By Tgl'!$D50,DB!$AT:$AT,"ALDA",DB!$AQ:$AQ,'Detail Cab By Tgl'!T$29)</f>
        <v>0</v>
      </c>
      <c r="U50" s="94">
        <f>SUMIFS(DB!$AC:$AC,DB!$E:$E,'Detail Cab By Tgl'!$B50,DB!$AP:$AP,'Detail Cab By Tgl'!$D50,DB!$AT:$AT,"ALDA",DB!$AQ:$AQ,'Detail Cab By Tgl'!U$29)</f>
        <v>0</v>
      </c>
      <c r="V50" s="94">
        <f>SUMIFS(DB!$AC:$AC,DB!$E:$E,'Detail Cab By Tgl'!$B50,DB!$AP:$AP,'Detail Cab By Tgl'!$D50,DB!$AT:$AT,"ALDA",DB!$AQ:$AQ,'Detail Cab By Tgl'!V$29)</f>
        <v>0</v>
      </c>
      <c r="W50" s="94">
        <f>SUMIFS(DB!$AC:$AC,DB!$E:$E,'Detail Cab By Tgl'!$B50,DB!$AP:$AP,'Detail Cab By Tgl'!$D50,DB!$AT:$AT,"ALDA",DB!$AQ:$AQ,'Detail Cab By Tgl'!W$29)</f>
        <v>0</v>
      </c>
      <c r="X50" s="94">
        <f>SUMIFS(DB!$AC:$AC,DB!$E:$E,'Detail Cab By Tgl'!$B50,DB!$AP:$AP,'Detail Cab By Tgl'!$D50,DB!$AT:$AT,"ALDA",DB!$AQ:$AQ,'Detail Cab By Tgl'!X$29)</f>
        <v>0</v>
      </c>
      <c r="Y50" s="94">
        <f>SUMIFS(DB!$AC:$AC,DB!$E:$E,'Detail Cab By Tgl'!$B50,DB!$AP:$AP,'Detail Cab By Tgl'!$D50,DB!$AT:$AT,"ALDA",DB!$AQ:$AQ,'Detail Cab By Tgl'!Y$29)</f>
        <v>0</v>
      </c>
      <c r="Z50" s="94">
        <f>SUMIFS(DB!$AC:$AC,DB!$E:$E,'Detail Cab By Tgl'!$B50,DB!$AP:$AP,'Detail Cab By Tgl'!$D50,DB!$AT:$AT,"ALDA",DB!$AQ:$AQ,'Detail Cab By Tgl'!Z$29)</f>
        <v>0</v>
      </c>
      <c r="AA50" s="94">
        <f>SUMIFS(DB!$AC:$AC,DB!$E:$E,'Detail Cab By Tgl'!$B50,DB!$AP:$AP,'Detail Cab By Tgl'!$D50,DB!$AT:$AT,"ALDA",DB!$AQ:$AQ,'Detail Cab By Tgl'!AA$29)</f>
        <v>0</v>
      </c>
      <c r="AB50" s="94">
        <f>SUMIFS(DB!$AC:$AC,DB!$E:$E,'Detail Cab By Tgl'!$B50,DB!$AP:$AP,'Detail Cab By Tgl'!$D50,DB!$AT:$AT,"ALDA",DB!$AQ:$AQ,'Detail Cab By Tgl'!AB$29)</f>
        <v>0</v>
      </c>
      <c r="AC50" s="94">
        <f>SUMIFS(DB!$AC:$AC,DB!$E:$E,'Detail Cab By Tgl'!$B50,DB!$AP:$AP,'Detail Cab By Tgl'!$D50,DB!$AT:$AT,"ALDA",DB!$AQ:$AQ,'Detail Cab By Tgl'!AC$29)</f>
        <v>0</v>
      </c>
      <c r="AD50" s="94">
        <f>SUMIFS(DB!$AC:$AC,DB!$E:$E,'Detail Cab By Tgl'!$B50,DB!$AP:$AP,'Detail Cab By Tgl'!$D50,DB!$AT:$AT,"ALDA",DB!$AQ:$AQ,'Detail Cab By Tgl'!AD$29)</f>
        <v>0</v>
      </c>
      <c r="AE50" s="94">
        <f>SUMIFS(DB!$AC:$AC,DB!$E:$E,'Detail Cab By Tgl'!$B50,DB!$AP:$AP,'Detail Cab By Tgl'!$D50,DB!$AT:$AT,"ALDA",DB!$AQ:$AQ,'Detail Cab By Tgl'!AE$29)</f>
        <v>0</v>
      </c>
      <c r="AF50" s="94">
        <f>SUMIFS(DB!$AC:$AC,DB!$E:$E,'Detail Cab By Tgl'!$B50,DB!$AP:$AP,'Detail Cab By Tgl'!$D50,DB!$AT:$AT,"ALDA",DB!$AQ:$AQ,'Detail Cab By Tgl'!AF$29)</f>
        <v>0</v>
      </c>
      <c r="AG50" s="94">
        <f>SUMIFS(DB!$AC:$AC,DB!$E:$E,'Detail Cab By Tgl'!$B50,DB!$AP:$AP,'Detail Cab By Tgl'!$D50,DB!$AT:$AT,"ALDA",DB!$AQ:$AQ,'Detail Cab By Tgl'!AG$29)</f>
        <v>0</v>
      </c>
      <c r="AH50" s="94">
        <f>SUMIFS(DB!$AC:$AC,DB!$E:$E,'Detail Cab By Tgl'!$B50,DB!$AP:$AP,'Detail Cab By Tgl'!$D50,DB!$AT:$AT,"ALDA",DB!$AQ:$AQ,'Detail Cab By Tgl'!AH$29)</f>
        <v>0</v>
      </c>
      <c r="AI50" s="95">
        <f>SUMIFS(DB!$AC:$AC,DB!$E:$E,'Detail Cab By Tgl'!$B50,DB!$AP:$AP,'Detail Cab By Tgl'!$D50,DB!$AT:$AT,"ALDA",DB!$AQ:$AQ,'Detail Cab By Tgl'!AI$29)</f>
        <v>0</v>
      </c>
      <c r="AJ50" s="176">
        <f t="shared" si="8"/>
        <v>709200</v>
      </c>
    </row>
    <row r="51" spans="2:36" x14ac:dyDescent="0.3">
      <c r="B51" s="321" t="s">
        <v>45</v>
      </c>
      <c r="C51" s="322" t="s">
        <v>228</v>
      </c>
      <c r="D51" s="106" t="s">
        <v>18</v>
      </c>
      <c r="E51" s="93">
        <f>SUMIFS(DB!$AC:$AC,DB!$E:$E,'Detail Cab By Tgl'!$B51,DB!$AP:$AP,'Detail Cab By Tgl'!$D51,DB!$AT:$AT,"ALDA",DB!$AQ:$AQ,'Detail Cab By Tgl'!E$29)</f>
        <v>0</v>
      </c>
      <c r="F51" s="94">
        <f>SUMIFS(DB!$AC:$AC,DB!$E:$E,'Detail Cab By Tgl'!$B51,DB!$AP:$AP,'Detail Cab By Tgl'!$D51,DB!$AT:$AT,"ALDA",DB!$AQ:$AQ,'Detail Cab By Tgl'!F$29)</f>
        <v>0</v>
      </c>
      <c r="G51" s="94">
        <f>SUMIFS(DB!$AC:$AC,DB!$E:$E,'Detail Cab By Tgl'!$B51,DB!$AP:$AP,'Detail Cab By Tgl'!$D51,DB!$AT:$AT,"ALDA",DB!$AQ:$AQ,'Detail Cab By Tgl'!G$29)</f>
        <v>0</v>
      </c>
      <c r="H51" s="94">
        <f>SUMIFS(DB!$AC:$AC,DB!$E:$E,'Detail Cab By Tgl'!$B51,DB!$AP:$AP,'Detail Cab By Tgl'!$D51,DB!$AT:$AT,"ALDA",DB!$AQ:$AQ,'Detail Cab By Tgl'!H$29)</f>
        <v>0</v>
      </c>
      <c r="I51" s="94">
        <f>SUMIFS(DB!$AC:$AC,DB!$E:$E,'Detail Cab By Tgl'!$B51,DB!$AP:$AP,'Detail Cab By Tgl'!$D51,DB!$AT:$AT,"ALDA",DB!$AQ:$AQ,'Detail Cab By Tgl'!I$29)</f>
        <v>0</v>
      </c>
      <c r="J51" s="94">
        <f>SUMIFS(DB!$AC:$AC,DB!$E:$E,'Detail Cab By Tgl'!$B51,DB!$AP:$AP,'Detail Cab By Tgl'!$D51,DB!$AT:$AT,"ALDA",DB!$AQ:$AQ,'Detail Cab By Tgl'!J$29)</f>
        <v>0</v>
      </c>
      <c r="K51" s="94">
        <f>SUMIFS(DB!$AC:$AC,DB!$E:$E,'Detail Cab By Tgl'!$B51,DB!$AP:$AP,'Detail Cab By Tgl'!$D51,DB!$AT:$AT,"ALDA",DB!$AQ:$AQ,'Detail Cab By Tgl'!K$29)</f>
        <v>0</v>
      </c>
      <c r="L51" s="94">
        <f>SUMIFS(DB!$AC:$AC,DB!$E:$E,'Detail Cab By Tgl'!$B51,DB!$AP:$AP,'Detail Cab By Tgl'!$D51,DB!$AT:$AT,"ALDA",DB!$AQ:$AQ,'Detail Cab By Tgl'!L$29)</f>
        <v>0</v>
      </c>
      <c r="M51" s="94">
        <f>SUMIFS(DB!$AC:$AC,DB!$E:$E,'Detail Cab By Tgl'!$B51,DB!$AP:$AP,'Detail Cab By Tgl'!$D51,DB!$AT:$AT,"ALDA",DB!$AQ:$AQ,'Detail Cab By Tgl'!M$29)</f>
        <v>0</v>
      </c>
      <c r="N51" s="94">
        <f>SUMIFS(DB!$AC:$AC,DB!$E:$E,'Detail Cab By Tgl'!$B51,DB!$AP:$AP,'Detail Cab By Tgl'!$D51,DB!$AT:$AT,"ALDA",DB!$AQ:$AQ,'Detail Cab By Tgl'!N$29)</f>
        <v>0</v>
      </c>
      <c r="O51" s="94">
        <f>SUMIFS(DB!$AC:$AC,DB!$E:$E,'Detail Cab By Tgl'!$B51,DB!$AP:$AP,'Detail Cab By Tgl'!$D51,DB!$AT:$AT,"ALDA",DB!$AQ:$AQ,'Detail Cab By Tgl'!O$29)</f>
        <v>0</v>
      </c>
      <c r="P51" s="94">
        <f>SUMIFS(DB!$AC:$AC,DB!$E:$E,'Detail Cab By Tgl'!$B51,DB!$AP:$AP,'Detail Cab By Tgl'!$D51,DB!$AT:$AT,"ALDA",DB!$AQ:$AQ,'Detail Cab By Tgl'!P$29)</f>
        <v>0</v>
      </c>
      <c r="Q51" s="94">
        <f>SUMIFS(DB!$AC:$AC,DB!$E:$E,'Detail Cab By Tgl'!$B51,DB!$AP:$AP,'Detail Cab By Tgl'!$D51,DB!$AT:$AT,"ALDA",DB!$AQ:$AQ,'Detail Cab By Tgl'!Q$29)</f>
        <v>0</v>
      </c>
      <c r="R51" s="94">
        <f>SUMIFS(DB!$AC:$AC,DB!$E:$E,'Detail Cab By Tgl'!$B51,DB!$AP:$AP,'Detail Cab By Tgl'!$D51,DB!$AT:$AT,"ALDA",DB!$AQ:$AQ,'Detail Cab By Tgl'!R$29)</f>
        <v>0</v>
      </c>
      <c r="S51" s="94">
        <f>SUMIFS(DB!$AC:$AC,DB!$E:$E,'Detail Cab By Tgl'!$B51,DB!$AP:$AP,'Detail Cab By Tgl'!$D51,DB!$AT:$AT,"ALDA",DB!$AQ:$AQ,'Detail Cab By Tgl'!S$29)</f>
        <v>0</v>
      </c>
      <c r="T51" s="94">
        <f>SUMIFS(DB!$AC:$AC,DB!$E:$E,'Detail Cab By Tgl'!$B51,DB!$AP:$AP,'Detail Cab By Tgl'!$D51,DB!$AT:$AT,"ALDA",DB!$AQ:$AQ,'Detail Cab By Tgl'!T$29)</f>
        <v>0</v>
      </c>
      <c r="U51" s="94">
        <f>SUMIFS(DB!$AC:$AC,DB!$E:$E,'Detail Cab By Tgl'!$B51,DB!$AP:$AP,'Detail Cab By Tgl'!$D51,DB!$AT:$AT,"ALDA",DB!$AQ:$AQ,'Detail Cab By Tgl'!U$29)</f>
        <v>0</v>
      </c>
      <c r="V51" s="94">
        <f>SUMIFS(DB!$AC:$AC,DB!$E:$E,'Detail Cab By Tgl'!$B51,DB!$AP:$AP,'Detail Cab By Tgl'!$D51,DB!$AT:$AT,"ALDA",DB!$AQ:$AQ,'Detail Cab By Tgl'!V$29)</f>
        <v>0</v>
      </c>
      <c r="W51" s="94">
        <f>SUMIFS(DB!$AC:$AC,DB!$E:$E,'Detail Cab By Tgl'!$B51,DB!$AP:$AP,'Detail Cab By Tgl'!$D51,DB!$AT:$AT,"ALDA",DB!$AQ:$AQ,'Detail Cab By Tgl'!W$29)</f>
        <v>0</v>
      </c>
      <c r="X51" s="94">
        <f>SUMIFS(DB!$AC:$AC,DB!$E:$E,'Detail Cab By Tgl'!$B51,DB!$AP:$AP,'Detail Cab By Tgl'!$D51,DB!$AT:$AT,"ALDA",DB!$AQ:$AQ,'Detail Cab By Tgl'!X$29)</f>
        <v>0</v>
      </c>
      <c r="Y51" s="94">
        <f>SUMIFS(DB!$AC:$AC,DB!$E:$E,'Detail Cab By Tgl'!$B51,DB!$AP:$AP,'Detail Cab By Tgl'!$D51,DB!$AT:$AT,"ALDA",DB!$AQ:$AQ,'Detail Cab By Tgl'!Y$29)</f>
        <v>0</v>
      </c>
      <c r="Z51" s="94">
        <f>SUMIFS(DB!$AC:$AC,DB!$E:$E,'Detail Cab By Tgl'!$B51,DB!$AP:$AP,'Detail Cab By Tgl'!$D51,DB!$AT:$AT,"ALDA",DB!$AQ:$AQ,'Detail Cab By Tgl'!Z$29)</f>
        <v>0</v>
      </c>
      <c r="AA51" s="94">
        <f>SUMIFS(DB!$AC:$AC,DB!$E:$E,'Detail Cab By Tgl'!$B51,DB!$AP:$AP,'Detail Cab By Tgl'!$D51,DB!$AT:$AT,"ALDA",DB!$AQ:$AQ,'Detail Cab By Tgl'!AA$29)</f>
        <v>0</v>
      </c>
      <c r="AB51" s="94">
        <f>SUMIFS(DB!$AC:$AC,DB!$E:$E,'Detail Cab By Tgl'!$B51,DB!$AP:$AP,'Detail Cab By Tgl'!$D51,DB!$AT:$AT,"ALDA",DB!$AQ:$AQ,'Detail Cab By Tgl'!AB$29)</f>
        <v>0</v>
      </c>
      <c r="AC51" s="94">
        <f>SUMIFS(DB!$AC:$AC,DB!$E:$E,'Detail Cab By Tgl'!$B51,DB!$AP:$AP,'Detail Cab By Tgl'!$D51,DB!$AT:$AT,"ALDA",DB!$AQ:$AQ,'Detail Cab By Tgl'!AC$29)</f>
        <v>0</v>
      </c>
      <c r="AD51" s="94">
        <f>SUMIFS(DB!$AC:$AC,DB!$E:$E,'Detail Cab By Tgl'!$B51,DB!$AP:$AP,'Detail Cab By Tgl'!$D51,DB!$AT:$AT,"ALDA",DB!$AQ:$AQ,'Detail Cab By Tgl'!AD$29)</f>
        <v>0</v>
      </c>
      <c r="AE51" s="94">
        <f>SUMIFS(DB!$AC:$AC,DB!$E:$E,'Detail Cab By Tgl'!$B51,DB!$AP:$AP,'Detail Cab By Tgl'!$D51,DB!$AT:$AT,"ALDA",DB!$AQ:$AQ,'Detail Cab By Tgl'!AE$29)</f>
        <v>0</v>
      </c>
      <c r="AF51" s="94">
        <f>SUMIFS(DB!$AC:$AC,DB!$E:$E,'Detail Cab By Tgl'!$B51,DB!$AP:$AP,'Detail Cab By Tgl'!$D51,DB!$AT:$AT,"ALDA",DB!$AQ:$AQ,'Detail Cab By Tgl'!AF$29)</f>
        <v>0</v>
      </c>
      <c r="AG51" s="94">
        <f>SUMIFS(DB!$AC:$AC,DB!$E:$E,'Detail Cab By Tgl'!$B51,DB!$AP:$AP,'Detail Cab By Tgl'!$D51,DB!$AT:$AT,"ALDA",DB!$AQ:$AQ,'Detail Cab By Tgl'!AG$29)</f>
        <v>0</v>
      </c>
      <c r="AH51" s="94">
        <f>SUMIFS(DB!$AC:$AC,DB!$E:$E,'Detail Cab By Tgl'!$B51,DB!$AP:$AP,'Detail Cab By Tgl'!$D51,DB!$AT:$AT,"ALDA",DB!$AQ:$AQ,'Detail Cab By Tgl'!AH$29)</f>
        <v>0</v>
      </c>
      <c r="AI51" s="95">
        <f>SUMIFS(DB!$AC:$AC,DB!$E:$E,'Detail Cab By Tgl'!$B51,DB!$AP:$AP,'Detail Cab By Tgl'!$D51,DB!$AT:$AT,"ALDA",DB!$AQ:$AQ,'Detail Cab By Tgl'!AI$29)</f>
        <v>0</v>
      </c>
      <c r="AJ51" s="176">
        <f t="shared" si="8"/>
        <v>0</v>
      </c>
    </row>
    <row r="52" spans="2:36" x14ac:dyDescent="0.3">
      <c r="B52" s="321" t="s">
        <v>45</v>
      </c>
      <c r="C52" s="322" t="s">
        <v>228</v>
      </c>
      <c r="D52" s="106" t="s">
        <v>8</v>
      </c>
      <c r="E52" s="93">
        <f>SUMIFS(DB!$AC:$AC,DB!$E:$E,'Detail Cab By Tgl'!$B52,DB!$AP:$AP,'Detail Cab By Tgl'!$D52,DB!$AT:$AT,"ALDA",DB!$AQ:$AQ,'Detail Cab By Tgl'!E$29)</f>
        <v>0</v>
      </c>
      <c r="F52" s="94">
        <f>SUMIFS(DB!$AC:$AC,DB!$E:$E,'Detail Cab By Tgl'!$B52,DB!$AP:$AP,'Detail Cab By Tgl'!$D52,DB!$AT:$AT,"ALDA",DB!$AQ:$AQ,'Detail Cab By Tgl'!F$29)</f>
        <v>0</v>
      </c>
      <c r="G52" s="94">
        <f>SUMIFS(DB!$AC:$AC,DB!$E:$E,'Detail Cab By Tgl'!$B52,DB!$AP:$AP,'Detail Cab By Tgl'!$D52,DB!$AT:$AT,"ALDA",DB!$AQ:$AQ,'Detail Cab By Tgl'!G$29)</f>
        <v>1510916</v>
      </c>
      <c r="H52" s="94">
        <f>SUMIFS(DB!$AC:$AC,DB!$E:$E,'Detail Cab By Tgl'!$B52,DB!$AP:$AP,'Detail Cab By Tgl'!$D52,DB!$AT:$AT,"ALDA",DB!$AQ:$AQ,'Detail Cab By Tgl'!H$29)</f>
        <v>0</v>
      </c>
      <c r="I52" s="94">
        <f>SUMIFS(DB!$AC:$AC,DB!$E:$E,'Detail Cab By Tgl'!$B52,DB!$AP:$AP,'Detail Cab By Tgl'!$D52,DB!$AT:$AT,"ALDA",DB!$AQ:$AQ,'Detail Cab By Tgl'!I$29)</f>
        <v>0</v>
      </c>
      <c r="J52" s="94">
        <f>SUMIFS(DB!$AC:$AC,DB!$E:$E,'Detail Cab By Tgl'!$B52,DB!$AP:$AP,'Detail Cab By Tgl'!$D52,DB!$AT:$AT,"ALDA",DB!$AQ:$AQ,'Detail Cab By Tgl'!J$29)</f>
        <v>0</v>
      </c>
      <c r="K52" s="94">
        <f>SUMIFS(DB!$AC:$AC,DB!$E:$E,'Detail Cab By Tgl'!$B52,DB!$AP:$AP,'Detail Cab By Tgl'!$D52,DB!$AT:$AT,"ALDA",DB!$AQ:$AQ,'Detail Cab By Tgl'!K$29)</f>
        <v>0</v>
      </c>
      <c r="L52" s="94">
        <f>SUMIFS(DB!$AC:$AC,DB!$E:$E,'Detail Cab By Tgl'!$B52,DB!$AP:$AP,'Detail Cab By Tgl'!$D52,DB!$AT:$AT,"ALDA",DB!$AQ:$AQ,'Detail Cab By Tgl'!L$29)</f>
        <v>0</v>
      </c>
      <c r="M52" s="94">
        <f>SUMIFS(DB!$AC:$AC,DB!$E:$E,'Detail Cab By Tgl'!$B52,DB!$AP:$AP,'Detail Cab By Tgl'!$D52,DB!$AT:$AT,"ALDA",DB!$AQ:$AQ,'Detail Cab By Tgl'!M$29)</f>
        <v>0</v>
      </c>
      <c r="N52" s="94">
        <f>SUMIFS(DB!$AC:$AC,DB!$E:$E,'Detail Cab By Tgl'!$B52,DB!$AP:$AP,'Detail Cab By Tgl'!$D52,DB!$AT:$AT,"ALDA",DB!$AQ:$AQ,'Detail Cab By Tgl'!N$29)</f>
        <v>0</v>
      </c>
      <c r="O52" s="94">
        <f>SUMIFS(DB!$AC:$AC,DB!$E:$E,'Detail Cab By Tgl'!$B52,DB!$AP:$AP,'Detail Cab By Tgl'!$D52,DB!$AT:$AT,"ALDA",DB!$AQ:$AQ,'Detail Cab By Tgl'!O$29)</f>
        <v>0</v>
      </c>
      <c r="P52" s="94">
        <f>SUMIFS(DB!$AC:$AC,DB!$E:$E,'Detail Cab By Tgl'!$B52,DB!$AP:$AP,'Detail Cab By Tgl'!$D52,DB!$AT:$AT,"ALDA",DB!$AQ:$AQ,'Detail Cab By Tgl'!P$29)</f>
        <v>0</v>
      </c>
      <c r="Q52" s="94">
        <f>SUMIFS(DB!$AC:$AC,DB!$E:$E,'Detail Cab By Tgl'!$B52,DB!$AP:$AP,'Detail Cab By Tgl'!$D52,DB!$AT:$AT,"ALDA",DB!$AQ:$AQ,'Detail Cab By Tgl'!Q$29)</f>
        <v>0</v>
      </c>
      <c r="R52" s="94">
        <f>SUMIFS(DB!$AC:$AC,DB!$E:$E,'Detail Cab By Tgl'!$B52,DB!$AP:$AP,'Detail Cab By Tgl'!$D52,DB!$AT:$AT,"ALDA",DB!$AQ:$AQ,'Detail Cab By Tgl'!R$29)</f>
        <v>0</v>
      </c>
      <c r="S52" s="94">
        <f>SUMIFS(DB!$AC:$AC,DB!$E:$E,'Detail Cab By Tgl'!$B52,DB!$AP:$AP,'Detail Cab By Tgl'!$D52,DB!$AT:$AT,"ALDA",DB!$AQ:$AQ,'Detail Cab By Tgl'!S$29)</f>
        <v>0</v>
      </c>
      <c r="T52" s="94">
        <f>SUMIFS(DB!$AC:$AC,DB!$E:$E,'Detail Cab By Tgl'!$B52,DB!$AP:$AP,'Detail Cab By Tgl'!$D52,DB!$AT:$AT,"ALDA",DB!$AQ:$AQ,'Detail Cab By Tgl'!T$29)</f>
        <v>0</v>
      </c>
      <c r="U52" s="94">
        <f>SUMIFS(DB!$AC:$AC,DB!$E:$E,'Detail Cab By Tgl'!$B52,DB!$AP:$AP,'Detail Cab By Tgl'!$D52,DB!$AT:$AT,"ALDA",DB!$AQ:$AQ,'Detail Cab By Tgl'!U$29)</f>
        <v>0</v>
      </c>
      <c r="V52" s="94">
        <f>SUMIFS(DB!$AC:$AC,DB!$E:$E,'Detail Cab By Tgl'!$B52,DB!$AP:$AP,'Detail Cab By Tgl'!$D52,DB!$AT:$AT,"ALDA",DB!$AQ:$AQ,'Detail Cab By Tgl'!V$29)</f>
        <v>0</v>
      </c>
      <c r="W52" s="94">
        <f>SUMIFS(DB!$AC:$AC,DB!$E:$E,'Detail Cab By Tgl'!$B52,DB!$AP:$AP,'Detail Cab By Tgl'!$D52,DB!$AT:$AT,"ALDA",DB!$AQ:$AQ,'Detail Cab By Tgl'!W$29)</f>
        <v>0</v>
      </c>
      <c r="X52" s="94">
        <f>SUMIFS(DB!$AC:$AC,DB!$E:$E,'Detail Cab By Tgl'!$B52,DB!$AP:$AP,'Detail Cab By Tgl'!$D52,DB!$AT:$AT,"ALDA",DB!$AQ:$AQ,'Detail Cab By Tgl'!X$29)</f>
        <v>0</v>
      </c>
      <c r="Y52" s="94">
        <f>SUMIFS(DB!$AC:$AC,DB!$E:$E,'Detail Cab By Tgl'!$B52,DB!$AP:$AP,'Detail Cab By Tgl'!$D52,DB!$AT:$AT,"ALDA",DB!$AQ:$AQ,'Detail Cab By Tgl'!Y$29)</f>
        <v>0</v>
      </c>
      <c r="Z52" s="94">
        <f>SUMIFS(DB!$AC:$AC,DB!$E:$E,'Detail Cab By Tgl'!$B52,DB!$AP:$AP,'Detail Cab By Tgl'!$D52,DB!$AT:$AT,"ALDA",DB!$AQ:$AQ,'Detail Cab By Tgl'!Z$29)</f>
        <v>0</v>
      </c>
      <c r="AA52" s="94">
        <f>SUMIFS(DB!$AC:$AC,DB!$E:$E,'Detail Cab By Tgl'!$B52,DB!$AP:$AP,'Detail Cab By Tgl'!$D52,DB!$AT:$AT,"ALDA",DB!$AQ:$AQ,'Detail Cab By Tgl'!AA$29)</f>
        <v>0</v>
      </c>
      <c r="AB52" s="94">
        <f>SUMIFS(DB!$AC:$AC,DB!$E:$E,'Detail Cab By Tgl'!$B52,DB!$AP:$AP,'Detail Cab By Tgl'!$D52,DB!$AT:$AT,"ALDA",DB!$AQ:$AQ,'Detail Cab By Tgl'!AB$29)</f>
        <v>0</v>
      </c>
      <c r="AC52" s="94">
        <f>SUMIFS(DB!$AC:$AC,DB!$E:$E,'Detail Cab By Tgl'!$B52,DB!$AP:$AP,'Detail Cab By Tgl'!$D52,DB!$AT:$AT,"ALDA",DB!$AQ:$AQ,'Detail Cab By Tgl'!AC$29)</f>
        <v>0</v>
      </c>
      <c r="AD52" s="94">
        <f>SUMIFS(DB!$AC:$AC,DB!$E:$E,'Detail Cab By Tgl'!$B52,DB!$AP:$AP,'Detail Cab By Tgl'!$D52,DB!$AT:$AT,"ALDA",DB!$AQ:$AQ,'Detail Cab By Tgl'!AD$29)</f>
        <v>0</v>
      </c>
      <c r="AE52" s="94">
        <f>SUMIFS(DB!$AC:$AC,DB!$E:$E,'Detail Cab By Tgl'!$B52,DB!$AP:$AP,'Detail Cab By Tgl'!$D52,DB!$AT:$AT,"ALDA",DB!$AQ:$AQ,'Detail Cab By Tgl'!AE$29)</f>
        <v>0</v>
      </c>
      <c r="AF52" s="94">
        <f>SUMIFS(DB!$AC:$AC,DB!$E:$E,'Detail Cab By Tgl'!$B52,DB!$AP:$AP,'Detail Cab By Tgl'!$D52,DB!$AT:$AT,"ALDA",DB!$AQ:$AQ,'Detail Cab By Tgl'!AF$29)</f>
        <v>0</v>
      </c>
      <c r="AG52" s="94">
        <f>SUMIFS(DB!$AC:$AC,DB!$E:$E,'Detail Cab By Tgl'!$B52,DB!$AP:$AP,'Detail Cab By Tgl'!$D52,DB!$AT:$AT,"ALDA",DB!$AQ:$AQ,'Detail Cab By Tgl'!AG$29)</f>
        <v>0</v>
      </c>
      <c r="AH52" s="94">
        <f>SUMIFS(DB!$AC:$AC,DB!$E:$E,'Detail Cab By Tgl'!$B52,DB!$AP:$AP,'Detail Cab By Tgl'!$D52,DB!$AT:$AT,"ALDA",DB!$AQ:$AQ,'Detail Cab By Tgl'!AH$29)</f>
        <v>0</v>
      </c>
      <c r="AI52" s="95">
        <f>SUMIFS(DB!$AC:$AC,DB!$E:$E,'Detail Cab By Tgl'!$B52,DB!$AP:$AP,'Detail Cab By Tgl'!$D52,DB!$AT:$AT,"ALDA",DB!$AQ:$AQ,'Detail Cab By Tgl'!AI$29)</f>
        <v>0</v>
      </c>
      <c r="AJ52" s="176">
        <f t="shared" si="8"/>
        <v>1510916</v>
      </c>
    </row>
    <row r="53" spans="2:36" x14ac:dyDescent="0.3">
      <c r="B53" s="321" t="s">
        <v>45</v>
      </c>
      <c r="C53" s="322" t="s">
        <v>228</v>
      </c>
      <c r="D53" s="106" t="s">
        <v>173</v>
      </c>
      <c r="E53" s="93">
        <f>SUMIFS(DB!$AC:$AC,DB!$E:$E,'Detail Cab By Tgl'!$B53,DB!$AP:$AP,'Detail Cab By Tgl'!$D53,DB!$AT:$AT,"ALDA",DB!$AQ:$AQ,'Detail Cab By Tgl'!E$29)</f>
        <v>0</v>
      </c>
      <c r="F53" s="94">
        <f>SUMIFS(DB!$AC:$AC,DB!$E:$E,'Detail Cab By Tgl'!$B53,DB!$AP:$AP,'Detail Cab By Tgl'!$D53,DB!$AT:$AT,"ALDA",DB!$AQ:$AQ,'Detail Cab By Tgl'!F$29)</f>
        <v>0</v>
      </c>
      <c r="G53" s="94">
        <f>SUMIFS(DB!$AC:$AC,DB!$E:$E,'Detail Cab By Tgl'!$B53,DB!$AP:$AP,'Detail Cab By Tgl'!$D53,DB!$AT:$AT,"ALDA",DB!$AQ:$AQ,'Detail Cab By Tgl'!G$29)</f>
        <v>0</v>
      </c>
      <c r="H53" s="94">
        <f>SUMIFS(DB!$AC:$AC,DB!$E:$E,'Detail Cab By Tgl'!$B53,DB!$AP:$AP,'Detail Cab By Tgl'!$D53,DB!$AT:$AT,"ALDA",DB!$AQ:$AQ,'Detail Cab By Tgl'!H$29)</f>
        <v>0</v>
      </c>
      <c r="I53" s="94">
        <f>SUMIFS(DB!$AC:$AC,DB!$E:$E,'Detail Cab By Tgl'!$B53,DB!$AP:$AP,'Detail Cab By Tgl'!$D53,DB!$AT:$AT,"ALDA",DB!$AQ:$AQ,'Detail Cab By Tgl'!I$29)</f>
        <v>0</v>
      </c>
      <c r="J53" s="94">
        <f>SUMIFS(DB!$AC:$AC,DB!$E:$E,'Detail Cab By Tgl'!$B53,DB!$AP:$AP,'Detail Cab By Tgl'!$D53,DB!$AT:$AT,"ALDA",DB!$AQ:$AQ,'Detail Cab By Tgl'!J$29)</f>
        <v>0</v>
      </c>
      <c r="K53" s="94">
        <f>SUMIFS(DB!$AC:$AC,DB!$E:$E,'Detail Cab By Tgl'!$B53,DB!$AP:$AP,'Detail Cab By Tgl'!$D53,DB!$AT:$AT,"ALDA",DB!$AQ:$AQ,'Detail Cab By Tgl'!K$29)</f>
        <v>0</v>
      </c>
      <c r="L53" s="94">
        <f>SUMIFS(DB!$AC:$AC,DB!$E:$E,'Detail Cab By Tgl'!$B53,DB!$AP:$AP,'Detail Cab By Tgl'!$D53,DB!$AT:$AT,"ALDA",DB!$AQ:$AQ,'Detail Cab By Tgl'!L$29)</f>
        <v>0</v>
      </c>
      <c r="M53" s="94">
        <f>SUMIFS(DB!$AC:$AC,DB!$E:$E,'Detail Cab By Tgl'!$B53,DB!$AP:$AP,'Detail Cab By Tgl'!$D53,DB!$AT:$AT,"ALDA",DB!$AQ:$AQ,'Detail Cab By Tgl'!M$29)</f>
        <v>0</v>
      </c>
      <c r="N53" s="94">
        <f>SUMIFS(DB!$AC:$AC,DB!$E:$E,'Detail Cab By Tgl'!$B53,DB!$AP:$AP,'Detail Cab By Tgl'!$D53,DB!$AT:$AT,"ALDA",DB!$AQ:$AQ,'Detail Cab By Tgl'!N$29)</f>
        <v>0</v>
      </c>
      <c r="O53" s="94">
        <f>SUMIFS(DB!$AC:$AC,DB!$E:$E,'Detail Cab By Tgl'!$B53,DB!$AP:$AP,'Detail Cab By Tgl'!$D53,DB!$AT:$AT,"ALDA",DB!$AQ:$AQ,'Detail Cab By Tgl'!O$29)</f>
        <v>0</v>
      </c>
      <c r="P53" s="94">
        <f>SUMIFS(DB!$AC:$AC,DB!$E:$E,'Detail Cab By Tgl'!$B53,DB!$AP:$AP,'Detail Cab By Tgl'!$D53,DB!$AT:$AT,"ALDA",DB!$AQ:$AQ,'Detail Cab By Tgl'!P$29)</f>
        <v>0</v>
      </c>
      <c r="Q53" s="94">
        <f>SUMIFS(DB!$AC:$AC,DB!$E:$E,'Detail Cab By Tgl'!$B53,DB!$AP:$AP,'Detail Cab By Tgl'!$D53,DB!$AT:$AT,"ALDA",DB!$AQ:$AQ,'Detail Cab By Tgl'!Q$29)</f>
        <v>0</v>
      </c>
      <c r="R53" s="94">
        <f>SUMIFS(DB!$AC:$AC,DB!$E:$E,'Detail Cab By Tgl'!$B53,DB!$AP:$AP,'Detail Cab By Tgl'!$D53,DB!$AT:$AT,"ALDA",DB!$AQ:$AQ,'Detail Cab By Tgl'!R$29)</f>
        <v>0</v>
      </c>
      <c r="S53" s="94">
        <f>SUMIFS(DB!$AC:$AC,DB!$E:$E,'Detail Cab By Tgl'!$B53,DB!$AP:$AP,'Detail Cab By Tgl'!$D53,DB!$AT:$AT,"ALDA",DB!$AQ:$AQ,'Detail Cab By Tgl'!S$29)</f>
        <v>0</v>
      </c>
      <c r="T53" s="94">
        <f>SUMIFS(DB!$AC:$AC,DB!$E:$E,'Detail Cab By Tgl'!$B53,DB!$AP:$AP,'Detail Cab By Tgl'!$D53,DB!$AT:$AT,"ALDA",DB!$AQ:$AQ,'Detail Cab By Tgl'!T$29)</f>
        <v>0</v>
      </c>
      <c r="U53" s="94">
        <f>SUMIFS(DB!$AC:$AC,DB!$E:$E,'Detail Cab By Tgl'!$B53,DB!$AP:$AP,'Detail Cab By Tgl'!$D53,DB!$AT:$AT,"ALDA",DB!$AQ:$AQ,'Detail Cab By Tgl'!U$29)</f>
        <v>0</v>
      </c>
      <c r="V53" s="94">
        <f>SUMIFS(DB!$AC:$AC,DB!$E:$E,'Detail Cab By Tgl'!$B53,DB!$AP:$AP,'Detail Cab By Tgl'!$D53,DB!$AT:$AT,"ALDA",DB!$AQ:$AQ,'Detail Cab By Tgl'!V$29)</f>
        <v>0</v>
      </c>
      <c r="W53" s="94">
        <f>SUMIFS(DB!$AC:$AC,DB!$E:$E,'Detail Cab By Tgl'!$B53,DB!$AP:$AP,'Detail Cab By Tgl'!$D53,DB!$AT:$AT,"ALDA",DB!$AQ:$AQ,'Detail Cab By Tgl'!W$29)</f>
        <v>0</v>
      </c>
      <c r="X53" s="94">
        <f>SUMIFS(DB!$AC:$AC,DB!$E:$E,'Detail Cab By Tgl'!$B53,DB!$AP:$AP,'Detail Cab By Tgl'!$D53,DB!$AT:$AT,"ALDA",DB!$AQ:$AQ,'Detail Cab By Tgl'!X$29)</f>
        <v>0</v>
      </c>
      <c r="Y53" s="94">
        <f>SUMIFS(DB!$AC:$AC,DB!$E:$E,'Detail Cab By Tgl'!$B53,DB!$AP:$AP,'Detail Cab By Tgl'!$D53,DB!$AT:$AT,"ALDA",DB!$AQ:$AQ,'Detail Cab By Tgl'!Y$29)</f>
        <v>0</v>
      </c>
      <c r="Z53" s="94">
        <f>SUMIFS(DB!$AC:$AC,DB!$E:$E,'Detail Cab By Tgl'!$B53,DB!$AP:$AP,'Detail Cab By Tgl'!$D53,DB!$AT:$AT,"ALDA",DB!$AQ:$AQ,'Detail Cab By Tgl'!Z$29)</f>
        <v>0</v>
      </c>
      <c r="AA53" s="94">
        <f>SUMIFS(DB!$AC:$AC,DB!$E:$E,'Detail Cab By Tgl'!$B53,DB!$AP:$AP,'Detail Cab By Tgl'!$D53,DB!$AT:$AT,"ALDA",DB!$AQ:$AQ,'Detail Cab By Tgl'!AA$29)</f>
        <v>0</v>
      </c>
      <c r="AB53" s="94">
        <f>SUMIFS(DB!$AC:$AC,DB!$E:$E,'Detail Cab By Tgl'!$B53,DB!$AP:$AP,'Detail Cab By Tgl'!$D53,DB!$AT:$AT,"ALDA",DB!$AQ:$AQ,'Detail Cab By Tgl'!AB$29)</f>
        <v>0</v>
      </c>
      <c r="AC53" s="94">
        <f>SUMIFS(DB!$AC:$AC,DB!$E:$E,'Detail Cab By Tgl'!$B53,DB!$AP:$AP,'Detail Cab By Tgl'!$D53,DB!$AT:$AT,"ALDA",DB!$AQ:$AQ,'Detail Cab By Tgl'!AC$29)</f>
        <v>0</v>
      </c>
      <c r="AD53" s="94">
        <f>SUMIFS(DB!$AC:$AC,DB!$E:$E,'Detail Cab By Tgl'!$B53,DB!$AP:$AP,'Detail Cab By Tgl'!$D53,DB!$AT:$AT,"ALDA",DB!$AQ:$AQ,'Detail Cab By Tgl'!AD$29)</f>
        <v>0</v>
      </c>
      <c r="AE53" s="94">
        <f>SUMIFS(DB!$AC:$AC,DB!$E:$E,'Detail Cab By Tgl'!$B53,DB!$AP:$AP,'Detail Cab By Tgl'!$D53,DB!$AT:$AT,"ALDA",DB!$AQ:$AQ,'Detail Cab By Tgl'!AE$29)</f>
        <v>0</v>
      </c>
      <c r="AF53" s="94">
        <f>SUMIFS(DB!$AC:$AC,DB!$E:$E,'Detail Cab By Tgl'!$B53,DB!$AP:$AP,'Detail Cab By Tgl'!$D53,DB!$AT:$AT,"ALDA",DB!$AQ:$AQ,'Detail Cab By Tgl'!AF$29)</f>
        <v>0</v>
      </c>
      <c r="AG53" s="94">
        <f>SUMIFS(DB!$AC:$AC,DB!$E:$E,'Detail Cab By Tgl'!$B53,DB!$AP:$AP,'Detail Cab By Tgl'!$D53,DB!$AT:$AT,"ALDA",DB!$AQ:$AQ,'Detail Cab By Tgl'!AG$29)</f>
        <v>0</v>
      </c>
      <c r="AH53" s="94">
        <f>SUMIFS(DB!$AC:$AC,DB!$E:$E,'Detail Cab By Tgl'!$B53,DB!$AP:$AP,'Detail Cab By Tgl'!$D53,DB!$AT:$AT,"ALDA",DB!$AQ:$AQ,'Detail Cab By Tgl'!AH$29)</f>
        <v>0</v>
      </c>
      <c r="AI53" s="95">
        <f>SUMIFS(DB!$AC:$AC,DB!$E:$E,'Detail Cab By Tgl'!$B53,DB!$AP:$AP,'Detail Cab By Tgl'!$D53,DB!$AT:$AT,"ALDA",DB!$AQ:$AQ,'Detail Cab By Tgl'!AI$29)</f>
        <v>0</v>
      </c>
      <c r="AJ53" s="176">
        <f t="shared" si="8"/>
        <v>0</v>
      </c>
    </row>
    <row r="54" spans="2:36" x14ac:dyDescent="0.3">
      <c r="B54" s="321" t="s">
        <v>45</v>
      </c>
      <c r="C54" s="322" t="s">
        <v>228</v>
      </c>
      <c r="D54" s="106" t="s">
        <v>176</v>
      </c>
      <c r="E54" s="93">
        <f>SUMIFS(DB!$AC:$AC,DB!$E:$E,'Detail Cab By Tgl'!$B54,DB!$AP:$AP,'Detail Cab By Tgl'!$D54,DB!$AT:$AT,"ALDA",DB!$AQ:$AQ,'Detail Cab By Tgl'!E$29)</f>
        <v>0</v>
      </c>
      <c r="F54" s="94">
        <f>SUMIFS(DB!$AC:$AC,DB!$E:$E,'Detail Cab By Tgl'!$B54,DB!$AP:$AP,'Detail Cab By Tgl'!$D54,DB!$AT:$AT,"ALDA",DB!$AQ:$AQ,'Detail Cab By Tgl'!F$29)</f>
        <v>0</v>
      </c>
      <c r="G54" s="94">
        <f>SUMIFS(DB!$AC:$AC,DB!$E:$E,'Detail Cab By Tgl'!$B54,DB!$AP:$AP,'Detail Cab By Tgl'!$D54,DB!$AT:$AT,"ALDA",DB!$AQ:$AQ,'Detail Cab By Tgl'!G$29)</f>
        <v>0</v>
      </c>
      <c r="H54" s="94">
        <f>SUMIFS(DB!$AC:$AC,DB!$E:$E,'Detail Cab By Tgl'!$B54,DB!$AP:$AP,'Detail Cab By Tgl'!$D54,DB!$AT:$AT,"ALDA",DB!$AQ:$AQ,'Detail Cab By Tgl'!H$29)</f>
        <v>0</v>
      </c>
      <c r="I54" s="94">
        <f>SUMIFS(DB!$AC:$AC,DB!$E:$E,'Detail Cab By Tgl'!$B54,DB!$AP:$AP,'Detail Cab By Tgl'!$D54,DB!$AT:$AT,"ALDA",DB!$AQ:$AQ,'Detail Cab By Tgl'!I$29)</f>
        <v>0</v>
      </c>
      <c r="J54" s="94">
        <f>SUMIFS(DB!$AC:$AC,DB!$E:$E,'Detail Cab By Tgl'!$B54,DB!$AP:$AP,'Detail Cab By Tgl'!$D54,DB!$AT:$AT,"ALDA",DB!$AQ:$AQ,'Detail Cab By Tgl'!J$29)</f>
        <v>0</v>
      </c>
      <c r="K54" s="94">
        <f>SUMIFS(DB!$AC:$AC,DB!$E:$E,'Detail Cab By Tgl'!$B54,DB!$AP:$AP,'Detail Cab By Tgl'!$D54,DB!$AT:$AT,"ALDA",DB!$AQ:$AQ,'Detail Cab By Tgl'!K$29)</f>
        <v>0</v>
      </c>
      <c r="L54" s="94">
        <f>SUMIFS(DB!$AC:$AC,DB!$E:$E,'Detail Cab By Tgl'!$B54,DB!$AP:$AP,'Detail Cab By Tgl'!$D54,DB!$AT:$AT,"ALDA",DB!$AQ:$AQ,'Detail Cab By Tgl'!L$29)</f>
        <v>0</v>
      </c>
      <c r="M54" s="94">
        <f>SUMIFS(DB!$AC:$AC,DB!$E:$E,'Detail Cab By Tgl'!$B54,DB!$AP:$AP,'Detail Cab By Tgl'!$D54,DB!$AT:$AT,"ALDA",DB!$AQ:$AQ,'Detail Cab By Tgl'!M$29)</f>
        <v>0</v>
      </c>
      <c r="N54" s="94">
        <f>SUMIFS(DB!$AC:$AC,DB!$E:$E,'Detail Cab By Tgl'!$B54,DB!$AP:$AP,'Detail Cab By Tgl'!$D54,DB!$AT:$AT,"ALDA",DB!$AQ:$AQ,'Detail Cab By Tgl'!N$29)</f>
        <v>0</v>
      </c>
      <c r="O54" s="94">
        <f>SUMIFS(DB!$AC:$AC,DB!$E:$E,'Detail Cab By Tgl'!$B54,DB!$AP:$AP,'Detail Cab By Tgl'!$D54,DB!$AT:$AT,"ALDA",DB!$AQ:$AQ,'Detail Cab By Tgl'!O$29)</f>
        <v>0</v>
      </c>
      <c r="P54" s="94">
        <f>SUMIFS(DB!$AC:$AC,DB!$E:$E,'Detail Cab By Tgl'!$B54,DB!$AP:$AP,'Detail Cab By Tgl'!$D54,DB!$AT:$AT,"ALDA",DB!$AQ:$AQ,'Detail Cab By Tgl'!P$29)</f>
        <v>0</v>
      </c>
      <c r="Q54" s="94">
        <f>SUMIFS(DB!$AC:$AC,DB!$E:$E,'Detail Cab By Tgl'!$B54,DB!$AP:$AP,'Detail Cab By Tgl'!$D54,DB!$AT:$AT,"ALDA",DB!$AQ:$AQ,'Detail Cab By Tgl'!Q$29)</f>
        <v>0</v>
      </c>
      <c r="R54" s="94">
        <f>SUMIFS(DB!$AC:$AC,DB!$E:$E,'Detail Cab By Tgl'!$B54,DB!$AP:$AP,'Detail Cab By Tgl'!$D54,DB!$AT:$AT,"ALDA",DB!$AQ:$AQ,'Detail Cab By Tgl'!R$29)</f>
        <v>0</v>
      </c>
      <c r="S54" s="94">
        <f>SUMIFS(DB!$AC:$AC,DB!$E:$E,'Detail Cab By Tgl'!$B54,DB!$AP:$AP,'Detail Cab By Tgl'!$D54,DB!$AT:$AT,"ALDA",DB!$AQ:$AQ,'Detail Cab By Tgl'!S$29)</f>
        <v>0</v>
      </c>
      <c r="T54" s="94">
        <f>SUMIFS(DB!$AC:$AC,DB!$E:$E,'Detail Cab By Tgl'!$B54,DB!$AP:$AP,'Detail Cab By Tgl'!$D54,DB!$AT:$AT,"ALDA",DB!$AQ:$AQ,'Detail Cab By Tgl'!T$29)</f>
        <v>0</v>
      </c>
      <c r="U54" s="94">
        <f>SUMIFS(DB!$AC:$AC,DB!$E:$E,'Detail Cab By Tgl'!$B54,DB!$AP:$AP,'Detail Cab By Tgl'!$D54,DB!$AT:$AT,"ALDA",DB!$AQ:$AQ,'Detail Cab By Tgl'!U$29)</f>
        <v>0</v>
      </c>
      <c r="V54" s="94">
        <f>SUMIFS(DB!$AC:$AC,DB!$E:$E,'Detail Cab By Tgl'!$B54,DB!$AP:$AP,'Detail Cab By Tgl'!$D54,DB!$AT:$AT,"ALDA",DB!$AQ:$AQ,'Detail Cab By Tgl'!V$29)</f>
        <v>0</v>
      </c>
      <c r="W54" s="94">
        <f>SUMIFS(DB!$AC:$AC,DB!$E:$E,'Detail Cab By Tgl'!$B54,DB!$AP:$AP,'Detail Cab By Tgl'!$D54,DB!$AT:$AT,"ALDA",DB!$AQ:$AQ,'Detail Cab By Tgl'!W$29)</f>
        <v>0</v>
      </c>
      <c r="X54" s="94">
        <f>SUMIFS(DB!$AC:$AC,DB!$E:$E,'Detail Cab By Tgl'!$B54,DB!$AP:$AP,'Detail Cab By Tgl'!$D54,DB!$AT:$AT,"ALDA",DB!$AQ:$AQ,'Detail Cab By Tgl'!X$29)</f>
        <v>0</v>
      </c>
      <c r="Y54" s="94">
        <f>SUMIFS(DB!$AC:$AC,DB!$E:$E,'Detail Cab By Tgl'!$B54,DB!$AP:$AP,'Detail Cab By Tgl'!$D54,DB!$AT:$AT,"ALDA",DB!$AQ:$AQ,'Detail Cab By Tgl'!Y$29)</f>
        <v>0</v>
      </c>
      <c r="Z54" s="94">
        <f>SUMIFS(DB!$AC:$AC,DB!$E:$E,'Detail Cab By Tgl'!$B54,DB!$AP:$AP,'Detail Cab By Tgl'!$D54,DB!$AT:$AT,"ALDA",DB!$AQ:$AQ,'Detail Cab By Tgl'!Z$29)</f>
        <v>0</v>
      </c>
      <c r="AA54" s="94">
        <f>SUMIFS(DB!$AC:$AC,DB!$E:$E,'Detail Cab By Tgl'!$B54,DB!$AP:$AP,'Detail Cab By Tgl'!$D54,DB!$AT:$AT,"ALDA",DB!$AQ:$AQ,'Detail Cab By Tgl'!AA$29)</f>
        <v>0</v>
      </c>
      <c r="AB54" s="94">
        <f>SUMIFS(DB!$AC:$AC,DB!$E:$E,'Detail Cab By Tgl'!$B54,DB!$AP:$AP,'Detail Cab By Tgl'!$D54,DB!$AT:$AT,"ALDA",DB!$AQ:$AQ,'Detail Cab By Tgl'!AB$29)</f>
        <v>0</v>
      </c>
      <c r="AC54" s="94">
        <f>SUMIFS(DB!$AC:$AC,DB!$E:$E,'Detail Cab By Tgl'!$B54,DB!$AP:$AP,'Detail Cab By Tgl'!$D54,DB!$AT:$AT,"ALDA",DB!$AQ:$AQ,'Detail Cab By Tgl'!AC$29)</f>
        <v>0</v>
      </c>
      <c r="AD54" s="94">
        <f>SUMIFS(DB!$AC:$AC,DB!$E:$E,'Detail Cab By Tgl'!$B54,DB!$AP:$AP,'Detail Cab By Tgl'!$D54,DB!$AT:$AT,"ALDA",DB!$AQ:$AQ,'Detail Cab By Tgl'!AD$29)</f>
        <v>0</v>
      </c>
      <c r="AE54" s="94">
        <f>SUMIFS(DB!$AC:$AC,DB!$E:$E,'Detail Cab By Tgl'!$B54,DB!$AP:$AP,'Detail Cab By Tgl'!$D54,DB!$AT:$AT,"ALDA",DB!$AQ:$AQ,'Detail Cab By Tgl'!AE$29)</f>
        <v>0</v>
      </c>
      <c r="AF54" s="94">
        <f>SUMIFS(DB!$AC:$AC,DB!$E:$E,'Detail Cab By Tgl'!$B54,DB!$AP:$AP,'Detail Cab By Tgl'!$D54,DB!$AT:$AT,"ALDA",DB!$AQ:$AQ,'Detail Cab By Tgl'!AF$29)</f>
        <v>0</v>
      </c>
      <c r="AG54" s="94">
        <f>SUMIFS(DB!$AC:$AC,DB!$E:$E,'Detail Cab By Tgl'!$B54,DB!$AP:$AP,'Detail Cab By Tgl'!$D54,DB!$AT:$AT,"ALDA",DB!$AQ:$AQ,'Detail Cab By Tgl'!AG$29)</f>
        <v>0</v>
      </c>
      <c r="AH54" s="94">
        <f>SUMIFS(DB!$AC:$AC,DB!$E:$E,'Detail Cab By Tgl'!$B54,DB!$AP:$AP,'Detail Cab By Tgl'!$D54,DB!$AT:$AT,"ALDA",DB!$AQ:$AQ,'Detail Cab By Tgl'!AH$29)</f>
        <v>0</v>
      </c>
      <c r="AI54" s="95">
        <f>SUMIFS(DB!$AC:$AC,DB!$E:$E,'Detail Cab By Tgl'!$B54,DB!$AP:$AP,'Detail Cab By Tgl'!$D54,DB!$AT:$AT,"ALDA",DB!$AQ:$AQ,'Detail Cab By Tgl'!AI$29)</f>
        <v>0</v>
      </c>
      <c r="AJ54" s="176">
        <f t="shared" si="8"/>
        <v>0</v>
      </c>
    </row>
    <row r="55" spans="2:36" x14ac:dyDescent="0.3">
      <c r="B55" s="321" t="s">
        <v>45</v>
      </c>
      <c r="C55" s="322" t="s">
        <v>228</v>
      </c>
      <c r="D55" s="106" t="s">
        <v>42</v>
      </c>
      <c r="E55" s="93">
        <f>SUMIFS(DB!$AC:$AC,DB!$E:$E,'Detail Cab By Tgl'!$B55,DB!$AP:$AP,'Detail Cab By Tgl'!$D55,DB!$AT:$AT,"ALDA",DB!$AQ:$AQ,'Detail Cab By Tgl'!E$29)</f>
        <v>0</v>
      </c>
      <c r="F55" s="94">
        <f>SUMIFS(DB!$AC:$AC,DB!$E:$E,'Detail Cab By Tgl'!$B55,DB!$AP:$AP,'Detail Cab By Tgl'!$D55,DB!$AT:$AT,"ALDA",DB!$AQ:$AQ,'Detail Cab By Tgl'!F$29)</f>
        <v>3363875</v>
      </c>
      <c r="G55" s="94">
        <f>SUMIFS(DB!$AC:$AC,DB!$E:$E,'Detail Cab By Tgl'!$B55,DB!$AP:$AP,'Detail Cab By Tgl'!$D55,DB!$AT:$AT,"ALDA",DB!$AQ:$AQ,'Detail Cab By Tgl'!G$29)</f>
        <v>0</v>
      </c>
      <c r="H55" s="94">
        <f>SUMIFS(DB!$AC:$AC,DB!$E:$E,'Detail Cab By Tgl'!$B55,DB!$AP:$AP,'Detail Cab By Tgl'!$D55,DB!$AT:$AT,"ALDA",DB!$AQ:$AQ,'Detail Cab By Tgl'!H$29)</f>
        <v>0</v>
      </c>
      <c r="I55" s="94">
        <f>SUMIFS(DB!$AC:$AC,DB!$E:$E,'Detail Cab By Tgl'!$B55,DB!$AP:$AP,'Detail Cab By Tgl'!$D55,DB!$AT:$AT,"ALDA",DB!$AQ:$AQ,'Detail Cab By Tgl'!I$29)</f>
        <v>0</v>
      </c>
      <c r="J55" s="94">
        <f>SUMIFS(DB!$AC:$AC,DB!$E:$E,'Detail Cab By Tgl'!$B55,DB!$AP:$AP,'Detail Cab By Tgl'!$D55,DB!$AT:$AT,"ALDA",DB!$AQ:$AQ,'Detail Cab By Tgl'!J$29)</f>
        <v>0</v>
      </c>
      <c r="K55" s="94">
        <f>SUMIFS(DB!$AC:$AC,DB!$E:$E,'Detail Cab By Tgl'!$B55,DB!$AP:$AP,'Detail Cab By Tgl'!$D55,DB!$AT:$AT,"ALDA",DB!$AQ:$AQ,'Detail Cab By Tgl'!K$29)</f>
        <v>0</v>
      </c>
      <c r="L55" s="94">
        <f>SUMIFS(DB!$AC:$AC,DB!$E:$E,'Detail Cab By Tgl'!$B55,DB!$AP:$AP,'Detail Cab By Tgl'!$D55,DB!$AT:$AT,"ALDA",DB!$AQ:$AQ,'Detail Cab By Tgl'!L$29)</f>
        <v>0</v>
      </c>
      <c r="M55" s="94">
        <f>SUMIFS(DB!$AC:$AC,DB!$E:$E,'Detail Cab By Tgl'!$B55,DB!$AP:$AP,'Detail Cab By Tgl'!$D55,DB!$AT:$AT,"ALDA",DB!$AQ:$AQ,'Detail Cab By Tgl'!M$29)</f>
        <v>0</v>
      </c>
      <c r="N55" s="94">
        <f>SUMIFS(DB!$AC:$AC,DB!$E:$E,'Detail Cab By Tgl'!$B55,DB!$AP:$AP,'Detail Cab By Tgl'!$D55,DB!$AT:$AT,"ALDA",DB!$AQ:$AQ,'Detail Cab By Tgl'!N$29)</f>
        <v>0</v>
      </c>
      <c r="O55" s="94">
        <f>SUMIFS(DB!$AC:$AC,DB!$E:$E,'Detail Cab By Tgl'!$B55,DB!$AP:$AP,'Detail Cab By Tgl'!$D55,DB!$AT:$AT,"ALDA",DB!$AQ:$AQ,'Detail Cab By Tgl'!O$29)</f>
        <v>0</v>
      </c>
      <c r="P55" s="94">
        <f>SUMIFS(DB!$AC:$AC,DB!$E:$E,'Detail Cab By Tgl'!$B55,DB!$AP:$AP,'Detail Cab By Tgl'!$D55,DB!$AT:$AT,"ALDA",DB!$AQ:$AQ,'Detail Cab By Tgl'!P$29)</f>
        <v>0</v>
      </c>
      <c r="Q55" s="94">
        <f>SUMIFS(DB!$AC:$AC,DB!$E:$E,'Detail Cab By Tgl'!$B55,DB!$AP:$AP,'Detail Cab By Tgl'!$D55,DB!$AT:$AT,"ALDA",DB!$AQ:$AQ,'Detail Cab By Tgl'!Q$29)</f>
        <v>0</v>
      </c>
      <c r="R55" s="94">
        <f>SUMIFS(DB!$AC:$AC,DB!$E:$E,'Detail Cab By Tgl'!$B55,DB!$AP:$AP,'Detail Cab By Tgl'!$D55,DB!$AT:$AT,"ALDA",DB!$AQ:$AQ,'Detail Cab By Tgl'!R$29)</f>
        <v>0</v>
      </c>
      <c r="S55" s="94">
        <f>SUMIFS(DB!$AC:$AC,DB!$E:$E,'Detail Cab By Tgl'!$B55,DB!$AP:$AP,'Detail Cab By Tgl'!$D55,DB!$AT:$AT,"ALDA",DB!$AQ:$AQ,'Detail Cab By Tgl'!S$29)</f>
        <v>0</v>
      </c>
      <c r="T55" s="94">
        <f>SUMIFS(DB!$AC:$AC,DB!$E:$E,'Detail Cab By Tgl'!$B55,DB!$AP:$AP,'Detail Cab By Tgl'!$D55,DB!$AT:$AT,"ALDA",DB!$AQ:$AQ,'Detail Cab By Tgl'!T$29)</f>
        <v>0</v>
      </c>
      <c r="U55" s="94">
        <f>SUMIFS(DB!$AC:$AC,DB!$E:$E,'Detail Cab By Tgl'!$B55,DB!$AP:$AP,'Detail Cab By Tgl'!$D55,DB!$AT:$AT,"ALDA",DB!$AQ:$AQ,'Detail Cab By Tgl'!U$29)</f>
        <v>0</v>
      </c>
      <c r="V55" s="94">
        <f>SUMIFS(DB!$AC:$AC,DB!$E:$E,'Detail Cab By Tgl'!$B55,DB!$AP:$AP,'Detail Cab By Tgl'!$D55,DB!$AT:$AT,"ALDA",DB!$AQ:$AQ,'Detail Cab By Tgl'!V$29)</f>
        <v>0</v>
      </c>
      <c r="W55" s="94">
        <f>SUMIFS(DB!$AC:$AC,DB!$E:$E,'Detail Cab By Tgl'!$B55,DB!$AP:$AP,'Detail Cab By Tgl'!$D55,DB!$AT:$AT,"ALDA",DB!$AQ:$AQ,'Detail Cab By Tgl'!W$29)</f>
        <v>0</v>
      </c>
      <c r="X55" s="94">
        <f>SUMIFS(DB!$AC:$AC,DB!$E:$E,'Detail Cab By Tgl'!$B55,DB!$AP:$AP,'Detail Cab By Tgl'!$D55,DB!$AT:$AT,"ALDA",DB!$AQ:$AQ,'Detail Cab By Tgl'!X$29)</f>
        <v>0</v>
      </c>
      <c r="Y55" s="94">
        <f>SUMIFS(DB!$AC:$AC,DB!$E:$E,'Detail Cab By Tgl'!$B55,DB!$AP:$AP,'Detail Cab By Tgl'!$D55,DB!$AT:$AT,"ALDA",DB!$AQ:$AQ,'Detail Cab By Tgl'!Y$29)</f>
        <v>0</v>
      </c>
      <c r="Z55" s="94">
        <f>SUMIFS(DB!$AC:$AC,DB!$E:$E,'Detail Cab By Tgl'!$B55,DB!$AP:$AP,'Detail Cab By Tgl'!$D55,DB!$AT:$AT,"ALDA",DB!$AQ:$AQ,'Detail Cab By Tgl'!Z$29)</f>
        <v>0</v>
      </c>
      <c r="AA55" s="94">
        <f>SUMIFS(DB!$AC:$AC,DB!$E:$E,'Detail Cab By Tgl'!$B55,DB!$AP:$AP,'Detail Cab By Tgl'!$D55,DB!$AT:$AT,"ALDA",DB!$AQ:$AQ,'Detail Cab By Tgl'!AA$29)</f>
        <v>0</v>
      </c>
      <c r="AB55" s="94">
        <f>SUMIFS(DB!$AC:$AC,DB!$E:$E,'Detail Cab By Tgl'!$B55,DB!$AP:$AP,'Detail Cab By Tgl'!$D55,DB!$AT:$AT,"ALDA",DB!$AQ:$AQ,'Detail Cab By Tgl'!AB$29)</f>
        <v>0</v>
      </c>
      <c r="AC55" s="94">
        <f>SUMIFS(DB!$AC:$AC,DB!$E:$E,'Detail Cab By Tgl'!$B55,DB!$AP:$AP,'Detail Cab By Tgl'!$D55,DB!$AT:$AT,"ALDA",DB!$AQ:$AQ,'Detail Cab By Tgl'!AC$29)</f>
        <v>0</v>
      </c>
      <c r="AD55" s="94">
        <f>SUMIFS(DB!$AC:$AC,DB!$E:$E,'Detail Cab By Tgl'!$B55,DB!$AP:$AP,'Detail Cab By Tgl'!$D55,DB!$AT:$AT,"ALDA",DB!$AQ:$AQ,'Detail Cab By Tgl'!AD$29)</f>
        <v>0</v>
      </c>
      <c r="AE55" s="94">
        <f>SUMIFS(DB!$AC:$AC,DB!$E:$E,'Detail Cab By Tgl'!$B55,DB!$AP:$AP,'Detail Cab By Tgl'!$D55,DB!$AT:$AT,"ALDA",DB!$AQ:$AQ,'Detail Cab By Tgl'!AE$29)</f>
        <v>0</v>
      </c>
      <c r="AF55" s="94">
        <f>SUMIFS(DB!$AC:$AC,DB!$E:$E,'Detail Cab By Tgl'!$B55,DB!$AP:$AP,'Detail Cab By Tgl'!$D55,DB!$AT:$AT,"ALDA",DB!$AQ:$AQ,'Detail Cab By Tgl'!AF$29)</f>
        <v>0</v>
      </c>
      <c r="AG55" s="94">
        <f>SUMIFS(DB!$AC:$AC,DB!$E:$E,'Detail Cab By Tgl'!$B55,DB!$AP:$AP,'Detail Cab By Tgl'!$D55,DB!$AT:$AT,"ALDA",DB!$AQ:$AQ,'Detail Cab By Tgl'!AG$29)</f>
        <v>0</v>
      </c>
      <c r="AH55" s="94">
        <f>SUMIFS(DB!$AC:$AC,DB!$E:$E,'Detail Cab By Tgl'!$B55,DB!$AP:$AP,'Detail Cab By Tgl'!$D55,DB!$AT:$AT,"ALDA",DB!$AQ:$AQ,'Detail Cab By Tgl'!AH$29)</f>
        <v>0</v>
      </c>
      <c r="AI55" s="95">
        <f>SUMIFS(DB!$AC:$AC,DB!$E:$E,'Detail Cab By Tgl'!$B55,DB!$AP:$AP,'Detail Cab By Tgl'!$D55,DB!$AT:$AT,"ALDA",DB!$AQ:$AQ,'Detail Cab By Tgl'!AI$29)</f>
        <v>0</v>
      </c>
      <c r="AJ55" s="176">
        <f t="shared" si="8"/>
        <v>3363875</v>
      </c>
    </row>
    <row r="56" spans="2:36" x14ac:dyDescent="0.3">
      <c r="B56" s="321" t="s">
        <v>45</v>
      </c>
      <c r="C56" s="322" t="s">
        <v>228</v>
      </c>
      <c r="D56" s="106" t="s">
        <v>19</v>
      </c>
      <c r="E56" s="93">
        <f>SUMIFS(DB!$AC:$AC,DB!$E:$E,'Detail Cab By Tgl'!$B56,DB!$AP:$AP,'Detail Cab By Tgl'!$D56,DB!$AT:$AT,"ALDA",DB!$AQ:$AQ,'Detail Cab By Tgl'!E$29)</f>
        <v>0</v>
      </c>
      <c r="F56" s="94">
        <f>SUMIFS(DB!$AC:$AC,DB!$E:$E,'Detail Cab By Tgl'!$B56,DB!$AP:$AP,'Detail Cab By Tgl'!$D56,DB!$AT:$AT,"ALDA",DB!$AQ:$AQ,'Detail Cab By Tgl'!F$29)</f>
        <v>0</v>
      </c>
      <c r="G56" s="94">
        <f>SUMIFS(DB!$AC:$AC,DB!$E:$E,'Detail Cab By Tgl'!$B56,DB!$AP:$AP,'Detail Cab By Tgl'!$D56,DB!$AT:$AT,"ALDA",DB!$AQ:$AQ,'Detail Cab By Tgl'!G$29)</f>
        <v>0</v>
      </c>
      <c r="H56" s="94">
        <f>SUMIFS(DB!$AC:$AC,DB!$E:$E,'Detail Cab By Tgl'!$B56,DB!$AP:$AP,'Detail Cab By Tgl'!$D56,DB!$AT:$AT,"ALDA",DB!$AQ:$AQ,'Detail Cab By Tgl'!H$29)</f>
        <v>0</v>
      </c>
      <c r="I56" s="94">
        <f>SUMIFS(DB!$AC:$AC,DB!$E:$E,'Detail Cab By Tgl'!$B56,DB!$AP:$AP,'Detail Cab By Tgl'!$D56,DB!$AT:$AT,"ALDA",DB!$AQ:$AQ,'Detail Cab By Tgl'!I$29)</f>
        <v>0</v>
      </c>
      <c r="J56" s="94">
        <f>SUMIFS(DB!$AC:$AC,DB!$E:$E,'Detail Cab By Tgl'!$B56,DB!$AP:$AP,'Detail Cab By Tgl'!$D56,DB!$AT:$AT,"ALDA",DB!$AQ:$AQ,'Detail Cab By Tgl'!J$29)</f>
        <v>0</v>
      </c>
      <c r="K56" s="94">
        <f>SUMIFS(DB!$AC:$AC,DB!$E:$E,'Detail Cab By Tgl'!$B56,DB!$AP:$AP,'Detail Cab By Tgl'!$D56,DB!$AT:$AT,"ALDA",DB!$AQ:$AQ,'Detail Cab By Tgl'!K$29)</f>
        <v>0</v>
      </c>
      <c r="L56" s="94">
        <f>SUMIFS(DB!$AC:$AC,DB!$E:$E,'Detail Cab By Tgl'!$B56,DB!$AP:$AP,'Detail Cab By Tgl'!$D56,DB!$AT:$AT,"ALDA",DB!$AQ:$AQ,'Detail Cab By Tgl'!L$29)</f>
        <v>0</v>
      </c>
      <c r="M56" s="94">
        <f>SUMIFS(DB!$AC:$AC,DB!$E:$E,'Detail Cab By Tgl'!$B56,DB!$AP:$AP,'Detail Cab By Tgl'!$D56,DB!$AT:$AT,"ALDA",DB!$AQ:$AQ,'Detail Cab By Tgl'!M$29)</f>
        <v>0</v>
      </c>
      <c r="N56" s="94">
        <f>SUMIFS(DB!$AC:$AC,DB!$E:$E,'Detail Cab By Tgl'!$B56,DB!$AP:$AP,'Detail Cab By Tgl'!$D56,DB!$AT:$AT,"ALDA",DB!$AQ:$AQ,'Detail Cab By Tgl'!N$29)</f>
        <v>0</v>
      </c>
      <c r="O56" s="94">
        <f>SUMIFS(DB!$AC:$AC,DB!$E:$E,'Detail Cab By Tgl'!$B56,DB!$AP:$AP,'Detail Cab By Tgl'!$D56,DB!$AT:$AT,"ALDA",DB!$AQ:$AQ,'Detail Cab By Tgl'!O$29)</f>
        <v>0</v>
      </c>
      <c r="P56" s="94">
        <f>SUMIFS(DB!$AC:$AC,DB!$E:$E,'Detail Cab By Tgl'!$B56,DB!$AP:$AP,'Detail Cab By Tgl'!$D56,DB!$AT:$AT,"ALDA",DB!$AQ:$AQ,'Detail Cab By Tgl'!P$29)</f>
        <v>0</v>
      </c>
      <c r="Q56" s="94">
        <f>SUMIFS(DB!$AC:$AC,DB!$E:$E,'Detail Cab By Tgl'!$B56,DB!$AP:$AP,'Detail Cab By Tgl'!$D56,DB!$AT:$AT,"ALDA",DB!$AQ:$AQ,'Detail Cab By Tgl'!Q$29)</f>
        <v>0</v>
      </c>
      <c r="R56" s="94">
        <f>SUMIFS(DB!$AC:$AC,DB!$E:$E,'Detail Cab By Tgl'!$B56,DB!$AP:$AP,'Detail Cab By Tgl'!$D56,DB!$AT:$AT,"ALDA",DB!$AQ:$AQ,'Detail Cab By Tgl'!R$29)</f>
        <v>0</v>
      </c>
      <c r="S56" s="94">
        <f>SUMIFS(DB!$AC:$AC,DB!$E:$E,'Detail Cab By Tgl'!$B56,DB!$AP:$AP,'Detail Cab By Tgl'!$D56,DB!$AT:$AT,"ALDA",DB!$AQ:$AQ,'Detail Cab By Tgl'!S$29)</f>
        <v>0</v>
      </c>
      <c r="T56" s="94">
        <f>SUMIFS(DB!$AC:$AC,DB!$E:$E,'Detail Cab By Tgl'!$B56,DB!$AP:$AP,'Detail Cab By Tgl'!$D56,DB!$AT:$AT,"ALDA",DB!$AQ:$AQ,'Detail Cab By Tgl'!T$29)</f>
        <v>0</v>
      </c>
      <c r="U56" s="94">
        <f>SUMIFS(DB!$AC:$AC,DB!$E:$E,'Detail Cab By Tgl'!$B56,DB!$AP:$AP,'Detail Cab By Tgl'!$D56,DB!$AT:$AT,"ALDA",DB!$AQ:$AQ,'Detail Cab By Tgl'!U$29)</f>
        <v>0</v>
      </c>
      <c r="V56" s="94">
        <f>SUMIFS(DB!$AC:$AC,DB!$E:$E,'Detail Cab By Tgl'!$B56,DB!$AP:$AP,'Detail Cab By Tgl'!$D56,DB!$AT:$AT,"ALDA",DB!$AQ:$AQ,'Detail Cab By Tgl'!V$29)</f>
        <v>0</v>
      </c>
      <c r="W56" s="94">
        <f>SUMIFS(DB!$AC:$AC,DB!$E:$E,'Detail Cab By Tgl'!$B56,DB!$AP:$AP,'Detail Cab By Tgl'!$D56,DB!$AT:$AT,"ALDA",DB!$AQ:$AQ,'Detail Cab By Tgl'!W$29)</f>
        <v>0</v>
      </c>
      <c r="X56" s="94">
        <f>SUMIFS(DB!$AC:$AC,DB!$E:$E,'Detail Cab By Tgl'!$B56,DB!$AP:$AP,'Detail Cab By Tgl'!$D56,DB!$AT:$AT,"ALDA",DB!$AQ:$AQ,'Detail Cab By Tgl'!X$29)</f>
        <v>0</v>
      </c>
      <c r="Y56" s="94">
        <f>SUMIFS(DB!$AC:$AC,DB!$E:$E,'Detail Cab By Tgl'!$B56,DB!$AP:$AP,'Detail Cab By Tgl'!$D56,DB!$AT:$AT,"ALDA",DB!$AQ:$AQ,'Detail Cab By Tgl'!Y$29)</f>
        <v>0</v>
      </c>
      <c r="Z56" s="94">
        <f>SUMIFS(DB!$AC:$AC,DB!$E:$E,'Detail Cab By Tgl'!$B56,DB!$AP:$AP,'Detail Cab By Tgl'!$D56,DB!$AT:$AT,"ALDA",DB!$AQ:$AQ,'Detail Cab By Tgl'!Z$29)</f>
        <v>0</v>
      </c>
      <c r="AA56" s="94">
        <f>SUMIFS(DB!$AC:$AC,DB!$E:$E,'Detail Cab By Tgl'!$B56,DB!$AP:$AP,'Detail Cab By Tgl'!$D56,DB!$AT:$AT,"ALDA",DB!$AQ:$AQ,'Detail Cab By Tgl'!AA$29)</f>
        <v>0</v>
      </c>
      <c r="AB56" s="94">
        <f>SUMIFS(DB!$AC:$AC,DB!$E:$E,'Detail Cab By Tgl'!$B56,DB!$AP:$AP,'Detail Cab By Tgl'!$D56,DB!$AT:$AT,"ALDA",DB!$AQ:$AQ,'Detail Cab By Tgl'!AB$29)</f>
        <v>0</v>
      </c>
      <c r="AC56" s="94">
        <f>SUMIFS(DB!$AC:$AC,DB!$E:$E,'Detail Cab By Tgl'!$B56,DB!$AP:$AP,'Detail Cab By Tgl'!$D56,DB!$AT:$AT,"ALDA",DB!$AQ:$AQ,'Detail Cab By Tgl'!AC$29)</f>
        <v>0</v>
      </c>
      <c r="AD56" s="94">
        <f>SUMIFS(DB!$AC:$AC,DB!$E:$E,'Detail Cab By Tgl'!$B56,DB!$AP:$AP,'Detail Cab By Tgl'!$D56,DB!$AT:$AT,"ALDA",DB!$AQ:$AQ,'Detail Cab By Tgl'!AD$29)</f>
        <v>0</v>
      </c>
      <c r="AE56" s="94">
        <f>SUMIFS(DB!$AC:$AC,DB!$E:$E,'Detail Cab By Tgl'!$B56,DB!$AP:$AP,'Detail Cab By Tgl'!$D56,DB!$AT:$AT,"ALDA",DB!$AQ:$AQ,'Detail Cab By Tgl'!AE$29)</f>
        <v>0</v>
      </c>
      <c r="AF56" s="94">
        <f>SUMIFS(DB!$AC:$AC,DB!$E:$E,'Detail Cab By Tgl'!$B56,DB!$AP:$AP,'Detail Cab By Tgl'!$D56,DB!$AT:$AT,"ALDA",DB!$AQ:$AQ,'Detail Cab By Tgl'!AF$29)</f>
        <v>0</v>
      </c>
      <c r="AG56" s="94">
        <f>SUMIFS(DB!$AC:$AC,DB!$E:$E,'Detail Cab By Tgl'!$B56,DB!$AP:$AP,'Detail Cab By Tgl'!$D56,DB!$AT:$AT,"ALDA",DB!$AQ:$AQ,'Detail Cab By Tgl'!AG$29)</f>
        <v>0</v>
      </c>
      <c r="AH56" s="94">
        <f>SUMIFS(DB!$AC:$AC,DB!$E:$E,'Detail Cab By Tgl'!$B56,DB!$AP:$AP,'Detail Cab By Tgl'!$D56,DB!$AT:$AT,"ALDA",DB!$AQ:$AQ,'Detail Cab By Tgl'!AH$29)</f>
        <v>0</v>
      </c>
      <c r="AI56" s="95">
        <f>SUMIFS(DB!$AC:$AC,DB!$E:$E,'Detail Cab By Tgl'!$B56,DB!$AP:$AP,'Detail Cab By Tgl'!$D56,DB!$AT:$AT,"ALDA",DB!$AQ:$AQ,'Detail Cab By Tgl'!AI$29)</f>
        <v>0</v>
      </c>
      <c r="AJ56" s="176">
        <f t="shared" si="8"/>
        <v>0</v>
      </c>
    </row>
    <row r="57" spans="2:36" x14ac:dyDescent="0.3">
      <c r="B57" s="321" t="s">
        <v>45</v>
      </c>
      <c r="C57" s="322" t="s">
        <v>228</v>
      </c>
      <c r="D57" s="106" t="s">
        <v>10</v>
      </c>
      <c r="E57" s="93">
        <f>SUMIFS(DB!$AC:$AC,DB!$E:$E,'Detail Cab By Tgl'!$B57,DB!$AP:$AP,'Detail Cab By Tgl'!$D57,DB!$AT:$AT,"ALDA",DB!$AQ:$AQ,'Detail Cab By Tgl'!E$29)</f>
        <v>1260992</v>
      </c>
      <c r="F57" s="94">
        <f>SUMIFS(DB!$AC:$AC,DB!$E:$E,'Detail Cab By Tgl'!$B57,DB!$AP:$AP,'Detail Cab By Tgl'!$D57,DB!$AT:$AT,"ALDA",DB!$AQ:$AQ,'Detail Cab By Tgl'!F$29)</f>
        <v>0</v>
      </c>
      <c r="G57" s="94">
        <f>SUMIFS(DB!$AC:$AC,DB!$E:$E,'Detail Cab By Tgl'!$B57,DB!$AP:$AP,'Detail Cab By Tgl'!$D57,DB!$AT:$AT,"ALDA",DB!$AQ:$AQ,'Detail Cab By Tgl'!G$29)</f>
        <v>1403050</v>
      </c>
      <c r="H57" s="94">
        <f>SUMIFS(DB!$AC:$AC,DB!$E:$E,'Detail Cab By Tgl'!$B57,DB!$AP:$AP,'Detail Cab By Tgl'!$D57,DB!$AT:$AT,"ALDA",DB!$AQ:$AQ,'Detail Cab By Tgl'!H$29)</f>
        <v>0</v>
      </c>
      <c r="I57" s="94">
        <f>SUMIFS(DB!$AC:$AC,DB!$E:$E,'Detail Cab By Tgl'!$B57,DB!$AP:$AP,'Detail Cab By Tgl'!$D57,DB!$AT:$AT,"ALDA",DB!$AQ:$AQ,'Detail Cab By Tgl'!I$29)</f>
        <v>0</v>
      </c>
      <c r="J57" s="94">
        <f>SUMIFS(DB!$AC:$AC,DB!$E:$E,'Detail Cab By Tgl'!$B57,DB!$AP:$AP,'Detail Cab By Tgl'!$D57,DB!$AT:$AT,"ALDA",DB!$AQ:$AQ,'Detail Cab By Tgl'!J$29)</f>
        <v>0</v>
      </c>
      <c r="K57" s="94">
        <f>SUMIFS(DB!$AC:$AC,DB!$E:$E,'Detail Cab By Tgl'!$B57,DB!$AP:$AP,'Detail Cab By Tgl'!$D57,DB!$AT:$AT,"ALDA",DB!$AQ:$AQ,'Detail Cab By Tgl'!K$29)</f>
        <v>0</v>
      </c>
      <c r="L57" s="94">
        <f>SUMIFS(DB!$AC:$AC,DB!$E:$E,'Detail Cab By Tgl'!$B57,DB!$AP:$AP,'Detail Cab By Tgl'!$D57,DB!$AT:$AT,"ALDA",DB!$AQ:$AQ,'Detail Cab By Tgl'!L$29)</f>
        <v>0</v>
      </c>
      <c r="M57" s="94">
        <f>SUMIFS(DB!$AC:$AC,DB!$E:$E,'Detail Cab By Tgl'!$B57,DB!$AP:$AP,'Detail Cab By Tgl'!$D57,DB!$AT:$AT,"ALDA",DB!$AQ:$AQ,'Detail Cab By Tgl'!M$29)</f>
        <v>0</v>
      </c>
      <c r="N57" s="94">
        <f>SUMIFS(DB!$AC:$AC,DB!$E:$E,'Detail Cab By Tgl'!$B57,DB!$AP:$AP,'Detail Cab By Tgl'!$D57,DB!$AT:$AT,"ALDA",DB!$AQ:$AQ,'Detail Cab By Tgl'!N$29)</f>
        <v>0</v>
      </c>
      <c r="O57" s="94">
        <f>SUMIFS(DB!$AC:$AC,DB!$E:$E,'Detail Cab By Tgl'!$B57,DB!$AP:$AP,'Detail Cab By Tgl'!$D57,DB!$AT:$AT,"ALDA",DB!$AQ:$AQ,'Detail Cab By Tgl'!O$29)</f>
        <v>0</v>
      </c>
      <c r="P57" s="94">
        <f>SUMIFS(DB!$AC:$AC,DB!$E:$E,'Detail Cab By Tgl'!$B57,DB!$AP:$AP,'Detail Cab By Tgl'!$D57,DB!$AT:$AT,"ALDA",DB!$AQ:$AQ,'Detail Cab By Tgl'!P$29)</f>
        <v>0</v>
      </c>
      <c r="Q57" s="94">
        <f>SUMIFS(DB!$AC:$AC,DB!$E:$E,'Detail Cab By Tgl'!$B57,DB!$AP:$AP,'Detail Cab By Tgl'!$D57,DB!$AT:$AT,"ALDA",DB!$AQ:$AQ,'Detail Cab By Tgl'!Q$29)</f>
        <v>0</v>
      </c>
      <c r="R57" s="94">
        <f>SUMIFS(DB!$AC:$AC,DB!$E:$E,'Detail Cab By Tgl'!$B57,DB!$AP:$AP,'Detail Cab By Tgl'!$D57,DB!$AT:$AT,"ALDA",DB!$AQ:$AQ,'Detail Cab By Tgl'!R$29)</f>
        <v>0</v>
      </c>
      <c r="S57" s="94">
        <f>SUMIFS(DB!$AC:$AC,DB!$E:$E,'Detail Cab By Tgl'!$B57,DB!$AP:$AP,'Detail Cab By Tgl'!$D57,DB!$AT:$AT,"ALDA",DB!$AQ:$AQ,'Detail Cab By Tgl'!S$29)</f>
        <v>0</v>
      </c>
      <c r="T57" s="94">
        <f>SUMIFS(DB!$AC:$AC,DB!$E:$E,'Detail Cab By Tgl'!$B57,DB!$AP:$AP,'Detail Cab By Tgl'!$D57,DB!$AT:$AT,"ALDA",DB!$AQ:$AQ,'Detail Cab By Tgl'!T$29)</f>
        <v>0</v>
      </c>
      <c r="U57" s="94">
        <f>SUMIFS(DB!$AC:$AC,DB!$E:$E,'Detail Cab By Tgl'!$B57,DB!$AP:$AP,'Detail Cab By Tgl'!$D57,DB!$AT:$AT,"ALDA",DB!$AQ:$AQ,'Detail Cab By Tgl'!U$29)</f>
        <v>0</v>
      </c>
      <c r="V57" s="94">
        <f>SUMIFS(DB!$AC:$AC,DB!$E:$E,'Detail Cab By Tgl'!$B57,DB!$AP:$AP,'Detail Cab By Tgl'!$D57,DB!$AT:$AT,"ALDA",DB!$AQ:$AQ,'Detail Cab By Tgl'!V$29)</f>
        <v>0</v>
      </c>
      <c r="W57" s="94">
        <f>SUMIFS(DB!$AC:$AC,DB!$E:$E,'Detail Cab By Tgl'!$B57,DB!$AP:$AP,'Detail Cab By Tgl'!$D57,DB!$AT:$AT,"ALDA",DB!$AQ:$AQ,'Detail Cab By Tgl'!W$29)</f>
        <v>0</v>
      </c>
      <c r="X57" s="94">
        <f>SUMIFS(DB!$AC:$AC,DB!$E:$E,'Detail Cab By Tgl'!$B57,DB!$AP:$AP,'Detail Cab By Tgl'!$D57,DB!$AT:$AT,"ALDA",DB!$AQ:$AQ,'Detail Cab By Tgl'!X$29)</f>
        <v>0</v>
      </c>
      <c r="Y57" s="94">
        <f>SUMIFS(DB!$AC:$AC,DB!$E:$E,'Detail Cab By Tgl'!$B57,DB!$AP:$AP,'Detail Cab By Tgl'!$D57,DB!$AT:$AT,"ALDA",DB!$AQ:$AQ,'Detail Cab By Tgl'!Y$29)</f>
        <v>0</v>
      </c>
      <c r="Z57" s="94">
        <f>SUMIFS(DB!$AC:$AC,DB!$E:$E,'Detail Cab By Tgl'!$B57,DB!$AP:$AP,'Detail Cab By Tgl'!$D57,DB!$AT:$AT,"ALDA",DB!$AQ:$AQ,'Detail Cab By Tgl'!Z$29)</f>
        <v>0</v>
      </c>
      <c r="AA57" s="94">
        <f>SUMIFS(DB!$AC:$AC,DB!$E:$E,'Detail Cab By Tgl'!$B57,DB!$AP:$AP,'Detail Cab By Tgl'!$D57,DB!$AT:$AT,"ALDA",DB!$AQ:$AQ,'Detail Cab By Tgl'!AA$29)</f>
        <v>0</v>
      </c>
      <c r="AB57" s="94">
        <f>SUMIFS(DB!$AC:$AC,DB!$E:$E,'Detail Cab By Tgl'!$B57,DB!$AP:$AP,'Detail Cab By Tgl'!$D57,DB!$AT:$AT,"ALDA",DB!$AQ:$AQ,'Detail Cab By Tgl'!AB$29)</f>
        <v>0</v>
      </c>
      <c r="AC57" s="94">
        <f>SUMIFS(DB!$AC:$AC,DB!$E:$E,'Detail Cab By Tgl'!$B57,DB!$AP:$AP,'Detail Cab By Tgl'!$D57,DB!$AT:$AT,"ALDA",DB!$AQ:$AQ,'Detail Cab By Tgl'!AC$29)</f>
        <v>0</v>
      </c>
      <c r="AD57" s="94">
        <f>SUMIFS(DB!$AC:$AC,DB!$E:$E,'Detail Cab By Tgl'!$B57,DB!$AP:$AP,'Detail Cab By Tgl'!$D57,DB!$AT:$AT,"ALDA",DB!$AQ:$AQ,'Detail Cab By Tgl'!AD$29)</f>
        <v>0</v>
      </c>
      <c r="AE57" s="94">
        <f>SUMIFS(DB!$AC:$AC,DB!$E:$E,'Detail Cab By Tgl'!$B57,DB!$AP:$AP,'Detail Cab By Tgl'!$D57,DB!$AT:$AT,"ALDA",DB!$AQ:$AQ,'Detail Cab By Tgl'!AE$29)</f>
        <v>0</v>
      </c>
      <c r="AF57" s="94">
        <f>SUMIFS(DB!$AC:$AC,DB!$E:$E,'Detail Cab By Tgl'!$B57,DB!$AP:$AP,'Detail Cab By Tgl'!$D57,DB!$AT:$AT,"ALDA",DB!$AQ:$AQ,'Detail Cab By Tgl'!AF$29)</f>
        <v>0</v>
      </c>
      <c r="AG57" s="94">
        <f>SUMIFS(DB!$AC:$AC,DB!$E:$E,'Detail Cab By Tgl'!$B57,DB!$AP:$AP,'Detail Cab By Tgl'!$D57,DB!$AT:$AT,"ALDA",DB!$AQ:$AQ,'Detail Cab By Tgl'!AG$29)</f>
        <v>0</v>
      </c>
      <c r="AH57" s="94">
        <f>SUMIFS(DB!$AC:$AC,DB!$E:$E,'Detail Cab By Tgl'!$B57,DB!$AP:$AP,'Detail Cab By Tgl'!$D57,DB!$AT:$AT,"ALDA",DB!$AQ:$AQ,'Detail Cab By Tgl'!AH$29)</f>
        <v>0</v>
      </c>
      <c r="AI57" s="95">
        <f>SUMIFS(DB!$AC:$AC,DB!$E:$E,'Detail Cab By Tgl'!$B57,DB!$AP:$AP,'Detail Cab By Tgl'!$D57,DB!$AT:$AT,"ALDA",DB!$AQ:$AQ,'Detail Cab By Tgl'!AI$29)</f>
        <v>0</v>
      </c>
      <c r="AJ57" s="176">
        <f t="shared" si="8"/>
        <v>2664042</v>
      </c>
    </row>
    <row r="58" spans="2:36" x14ac:dyDescent="0.3">
      <c r="B58" s="321" t="s">
        <v>45</v>
      </c>
      <c r="C58" s="322" t="s">
        <v>233</v>
      </c>
      <c r="D58" s="106" t="s">
        <v>346</v>
      </c>
      <c r="E58" s="93">
        <f>SUMIFS(DB!$AC:$AC,DB!$E:$E,'Detail Cab By Tgl'!$B58,DB!$AP:$AP,'Detail Cab By Tgl'!$D58,DB!$AT:$AT,"ALDA",DB!$AQ:$AQ,'Detail Cab By Tgl'!E$29)</f>
        <v>0</v>
      </c>
      <c r="F58" s="94">
        <f>SUMIFS(DB!$AC:$AC,DB!$E:$E,'Detail Cab By Tgl'!$B58,DB!$AP:$AP,'Detail Cab By Tgl'!$D58,DB!$AT:$AT,"ALDA",DB!$AQ:$AQ,'Detail Cab By Tgl'!F$29)</f>
        <v>0</v>
      </c>
      <c r="G58" s="94">
        <f>SUMIFS(DB!$AC:$AC,DB!$E:$E,'Detail Cab By Tgl'!$B58,DB!$AP:$AP,'Detail Cab By Tgl'!$D58,DB!$AT:$AT,"ALDA",DB!$AQ:$AQ,'Detail Cab By Tgl'!G$29)</f>
        <v>0</v>
      </c>
      <c r="H58" s="94">
        <f>SUMIFS(DB!$AC:$AC,DB!$E:$E,'Detail Cab By Tgl'!$B58,DB!$AP:$AP,'Detail Cab By Tgl'!$D58,DB!$AT:$AT,"ALDA",DB!$AQ:$AQ,'Detail Cab By Tgl'!H$29)</f>
        <v>0</v>
      </c>
      <c r="I58" s="94">
        <f>SUMIFS(DB!$AC:$AC,DB!$E:$E,'Detail Cab By Tgl'!$B58,DB!$AP:$AP,'Detail Cab By Tgl'!$D58,DB!$AT:$AT,"ALDA",DB!$AQ:$AQ,'Detail Cab By Tgl'!I$29)</f>
        <v>0</v>
      </c>
      <c r="J58" s="94">
        <f>SUMIFS(DB!$AC:$AC,DB!$E:$E,'Detail Cab By Tgl'!$B58,DB!$AP:$AP,'Detail Cab By Tgl'!$D58,DB!$AT:$AT,"ALDA",DB!$AQ:$AQ,'Detail Cab By Tgl'!J$29)</f>
        <v>0</v>
      </c>
      <c r="K58" s="94">
        <f>SUMIFS(DB!$AC:$AC,DB!$E:$E,'Detail Cab By Tgl'!$B58,DB!$AP:$AP,'Detail Cab By Tgl'!$D58,DB!$AT:$AT,"ALDA",DB!$AQ:$AQ,'Detail Cab By Tgl'!K$29)</f>
        <v>0</v>
      </c>
      <c r="L58" s="94">
        <f>SUMIFS(DB!$AC:$AC,DB!$E:$E,'Detail Cab By Tgl'!$B58,DB!$AP:$AP,'Detail Cab By Tgl'!$D58,DB!$AT:$AT,"ALDA",DB!$AQ:$AQ,'Detail Cab By Tgl'!L$29)</f>
        <v>0</v>
      </c>
      <c r="M58" s="94">
        <f>SUMIFS(DB!$AC:$AC,DB!$E:$E,'Detail Cab By Tgl'!$B58,DB!$AP:$AP,'Detail Cab By Tgl'!$D58,DB!$AT:$AT,"ALDA",DB!$AQ:$AQ,'Detail Cab By Tgl'!M$29)</f>
        <v>0</v>
      </c>
      <c r="N58" s="94">
        <f>SUMIFS(DB!$AC:$AC,DB!$E:$E,'Detail Cab By Tgl'!$B58,DB!$AP:$AP,'Detail Cab By Tgl'!$D58,DB!$AT:$AT,"ALDA",DB!$AQ:$AQ,'Detail Cab By Tgl'!N$29)</f>
        <v>0</v>
      </c>
      <c r="O58" s="94">
        <f>SUMIFS(DB!$AC:$AC,DB!$E:$E,'Detail Cab By Tgl'!$B58,DB!$AP:$AP,'Detail Cab By Tgl'!$D58,DB!$AT:$AT,"ALDA",DB!$AQ:$AQ,'Detail Cab By Tgl'!O$29)</f>
        <v>0</v>
      </c>
      <c r="P58" s="94">
        <f>SUMIFS(DB!$AC:$AC,DB!$E:$E,'Detail Cab By Tgl'!$B58,DB!$AP:$AP,'Detail Cab By Tgl'!$D58,DB!$AT:$AT,"ALDA",DB!$AQ:$AQ,'Detail Cab By Tgl'!P$29)</f>
        <v>0</v>
      </c>
      <c r="Q58" s="94">
        <f>SUMIFS(DB!$AC:$AC,DB!$E:$E,'Detail Cab By Tgl'!$B58,DB!$AP:$AP,'Detail Cab By Tgl'!$D58,DB!$AT:$AT,"ALDA",DB!$AQ:$AQ,'Detail Cab By Tgl'!Q$29)</f>
        <v>0</v>
      </c>
      <c r="R58" s="94">
        <f>SUMIFS(DB!$AC:$AC,DB!$E:$E,'Detail Cab By Tgl'!$B58,DB!$AP:$AP,'Detail Cab By Tgl'!$D58,DB!$AT:$AT,"ALDA",DB!$AQ:$AQ,'Detail Cab By Tgl'!R$29)</f>
        <v>0</v>
      </c>
      <c r="S58" s="94">
        <f>SUMIFS(DB!$AC:$AC,DB!$E:$E,'Detail Cab By Tgl'!$B58,DB!$AP:$AP,'Detail Cab By Tgl'!$D58,DB!$AT:$AT,"ALDA",DB!$AQ:$AQ,'Detail Cab By Tgl'!S$29)</f>
        <v>0</v>
      </c>
      <c r="T58" s="94">
        <f>SUMIFS(DB!$AC:$AC,DB!$E:$E,'Detail Cab By Tgl'!$B58,DB!$AP:$AP,'Detail Cab By Tgl'!$D58,DB!$AT:$AT,"ALDA",DB!$AQ:$AQ,'Detail Cab By Tgl'!T$29)</f>
        <v>0</v>
      </c>
      <c r="U58" s="94">
        <f>SUMIFS(DB!$AC:$AC,DB!$E:$E,'Detail Cab By Tgl'!$B58,DB!$AP:$AP,'Detail Cab By Tgl'!$D58,DB!$AT:$AT,"ALDA",DB!$AQ:$AQ,'Detail Cab By Tgl'!U$29)</f>
        <v>0</v>
      </c>
      <c r="V58" s="94">
        <f>SUMIFS(DB!$AC:$AC,DB!$E:$E,'Detail Cab By Tgl'!$B58,DB!$AP:$AP,'Detail Cab By Tgl'!$D58,DB!$AT:$AT,"ALDA",DB!$AQ:$AQ,'Detail Cab By Tgl'!V$29)</f>
        <v>0</v>
      </c>
      <c r="W58" s="94">
        <f>SUMIFS(DB!$AC:$AC,DB!$E:$E,'Detail Cab By Tgl'!$B58,DB!$AP:$AP,'Detail Cab By Tgl'!$D58,DB!$AT:$AT,"ALDA",DB!$AQ:$AQ,'Detail Cab By Tgl'!W$29)</f>
        <v>0</v>
      </c>
      <c r="X58" s="94">
        <f>SUMIFS(DB!$AC:$AC,DB!$E:$E,'Detail Cab By Tgl'!$B58,DB!$AP:$AP,'Detail Cab By Tgl'!$D58,DB!$AT:$AT,"ALDA",DB!$AQ:$AQ,'Detail Cab By Tgl'!X$29)</f>
        <v>0</v>
      </c>
      <c r="Y58" s="94">
        <f>SUMIFS(DB!$AC:$AC,DB!$E:$E,'Detail Cab By Tgl'!$B58,DB!$AP:$AP,'Detail Cab By Tgl'!$D58,DB!$AT:$AT,"ALDA",DB!$AQ:$AQ,'Detail Cab By Tgl'!Y$29)</f>
        <v>0</v>
      </c>
      <c r="Z58" s="94">
        <f>SUMIFS(DB!$AC:$AC,DB!$E:$E,'Detail Cab By Tgl'!$B58,DB!$AP:$AP,'Detail Cab By Tgl'!$D58,DB!$AT:$AT,"ALDA",DB!$AQ:$AQ,'Detail Cab By Tgl'!Z$29)</f>
        <v>0</v>
      </c>
      <c r="AA58" s="94">
        <f>SUMIFS(DB!$AC:$AC,DB!$E:$E,'Detail Cab By Tgl'!$B58,DB!$AP:$AP,'Detail Cab By Tgl'!$D58,DB!$AT:$AT,"ALDA",DB!$AQ:$AQ,'Detail Cab By Tgl'!AA$29)</f>
        <v>0</v>
      </c>
      <c r="AB58" s="94">
        <f>SUMIFS(DB!$AC:$AC,DB!$E:$E,'Detail Cab By Tgl'!$B58,DB!$AP:$AP,'Detail Cab By Tgl'!$D58,DB!$AT:$AT,"ALDA",DB!$AQ:$AQ,'Detail Cab By Tgl'!AB$29)</f>
        <v>0</v>
      </c>
      <c r="AC58" s="94">
        <f>SUMIFS(DB!$AC:$AC,DB!$E:$E,'Detail Cab By Tgl'!$B58,DB!$AP:$AP,'Detail Cab By Tgl'!$D58,DB!$AT:$AT,"ALDA",DB!$AQ:$AQ,'Detail Cab By Tgl'!AC$29)</f>
        <v>0</v>
      </c>
      <c r="AD58" s="94">
        <f>SUMIFS(DB!$AC:$AC,DB!$E:$E,'Detail Cab By Tgl'!$B58,DB!$AP:$AP,'Detail Cab By Tgl'!$D58,DB!$AT:$AT,"ALDA",DB!$AQ:$AQ,'Detail Cab By Tgl'!AD$29)</f>
        <v>0</v>
      </c>
      <c r="AE58" s="94">
        <f>SUMIFS(DB!$AC:$AC,DB!$E:$E,'Detail Cab By Tgl'!$B58,DB!$AP:$AP,'Detail Cab By Tgl'!$D58,DB!$AT:$AT,"ALDA",DB!$AQ:$AQ,'Detail Cab By Tgl'!AE$29)</f>
        <v>0</v>
      </c>
      <c r="AF58" s="94">
        <f>SUMIFS(DB!$AC:$AC,DB!$E:$E,'Detail Cab By Tgl'!$B58,DB!$AP:$AP,'Detail Cab By Tgl'!$D58,DB!$AT:$AT,"ALDA",DB!$AQ:$AQ,'Detail Cab By Tgl'!AF$29)</f>
        <v>0</v>
      </c>
      <c r="AG58" s="94">
        <f>SUMIFS(DB!$AC:$AC,DB!$E:$E,'Detail Cab By Tgl'!$B58,DB!$AP:$AP,'Detail Cab By Tgl'!$D58,DB!$AT:$AT,"ALDA",DB!$AQ:$AQ,'Detail Cab By Tgl'!AG$29)</f>
        <v>0</v>
      </c>
      <c r="AH58" s="94">
        <f>SUMIFS(DB!$AC:$AC,DB!$E:$E,'Detail Cab By Tgl'!$B58,DB!$AP:$AP,'Detail Cab By Tgl'!$D58,DB!$AT:$AT,"ALDA",DB!$AQ:$AQ,'Detail Cab By Tgl'!AH$29)</f>
        <v>0</v>
      </c>
      <c r="AI58" s="95">
        <f>SUMIFS(DB!$AC:$AC,DB!$E:$E,'Detail Cab By Tgl'!$B58,DB!$AP:$AP,'Detail Cab By Tgl'!$D58,DB!$AT:$AT,"ALDA",DB!$AQ:$AQ,'Detail Cab By Tgl'!AI$29)</f>
        <v>0</v>
      </c>
      <c r="AJ58" s="176">
        <f t="shared" si="8"/>
        <v>0</v>
      </c>
    </row>
    <row r="59" spans="2:36" x14ac:dyDescent="0.3">
      <c r="B59" s="321" t="s">
        <v>45</v>
      </c>
      <c r="C59" s="322" t="s">
        <v>233</v>
      </c>
      <c r="D59" s="106" t="s">
        <v>344</v>
      </c>
      <c r="E59" s="93">
        <f>SUMIFS(DB!$AC:$AC,DB!$E:$E,'Detail Cab By Tgl'!$B59,DB!$AP:$AP,'Detail Cab By Tgl'!$D59,DB!$AT:$AT,"ALDA",DB!$AQ:$AQ,'Detail Cab By Tgl'!E$29)</f>
        <v>0</v>
      </c>
      <c r="F59" s="94">
        <f>SUMIFS(DB!$AC:$AC,DB!$E:$E,'Detail Cab By Tgl'!$B59,DB!$AP:$AP,'Detail Cab By Tgl'!$D59,DB!$AT:$AT,"ALDA",DB!$AQ:$AQ,'Detail Cab By Tgl'!F$29)</f>
        <v>0</v>
      </c>
      <c r="G59" s="94">
        <f>SUMIFS(DB!$AC:$AC,DB!$E:$E,'Detail Cab By Tgl'!$B59,DB!$AP:$AP,'Detail Cab By Tgl'!$D59,DB!$AT:$AT,"ALDA",DB!$AQ:$AQ,'Detail Cab By Tgl'!G$29)</f>
        <v>0</v>
      </c>
      <c r="H59" s="94">
        <f>SUMIFS(DB!$AC:$AC,DB!$E:$E,'Detail Cab By Tgl'!$B59,DB!$AP:$AP,'Detail Cab By Tgl'!$D59,DB!$AT:$AT,"ALDA",DB!$AQ:$AQ,'Detail Cab By Tgl'!H$29)</f>
        <v>0</v>
      </c>
      <c r="I59" s="94">
        <f>SUMIFS(DB!$AC:$AC,DB!$E:$E,'Detail Cab By Tgl'!$B59,DB!$AP:$AP,'Detail Cab By Tgl'!$D59,DB!$AT:$AT,"ALDA",DB!$AQ:$AQ,'Detail Cab By Tgl'!I$29)</f>
        <v>0</v>
      </c>
      <c r="J59" s="94">
        <f>SUMIFS(DB!$AC:$AC,DB!$E:$E,'Detail Cab By Tgl'!$B59,DB!$AP:$AP,'Detail Cab By Tgl'!$D59,DB!$AT:$AT,"ALDA",DB!$AQ:$AQ,'Detail Cab By Tgl'!J$29)</f>
        <v>0</v>
      </c>
      <c r="K59" s="94">
        <f>SUMIFS(DB!$AC:$AC,DB!$E:$E,'Detail Cab By Tgl'!$B59,DB!$AP:$AP,'Detail Cab By Tgl'!$D59,DB!$AT:$AT,"ALDA",DB!$AQ:$AQ,'Detail Cab By Tgl'!K$29)</f>
        <v>0</v>
      </c>
      <c r="L59" s="94">
        <f>SUMIFS(DB!$AC:$AC,DB!$E:$E,'Detail Cab By Tgl'!$B59,DB!$AP:$AP,'Detail Cab By Tgl'!$D59,DB!$AT:$AT,"ALDA",DB!$AQ:$AQ,'Detail Cab By Tgl'!L$29)</f>
        <v>0</v>
      </c>
      <c r="M59" s="94">
        <f>SUMIFS(DB!$AC:$AC,DB!$E:$E,'Detail Cab By Tgl'!$B59,DB!$AP:$AP,'Detail Cab By Tgl'!$D59,DB!$AT:$AT,"ALDA",DB!$AQ:$AQ,'Detail Cab By Tgl'!M$29)</f>
        <v>0</v>
      </c>
      <c r="N59" s="94">
        <f>SUMIFS(DB!$AC:$AC,DB!$E:$E,'Detail Cab By Tgl'!$B59,DB!$AP:$AP,'Detail Cab By Tgl'!$D59,DB!$AT:$AT,"ALDA",DB!$AQ:$AQ,'Detail Cab By Tgl'!N$29)</f>
        <v>0</v>
      </c>
      <c r="O59" s="94">
        <f>SUMIFS(DB!$AC:$AC,DB!$E:$E,'Detail Cab By Tgl'!$B59,DB!$AP:$AP,'Detail Cab By Tgl'!$D59,DB!$AT:$AT,"ALDA",DB!$AQ:$AQ,'Detail Cab By Tgl'!O$29)</f>
        <v>0</v>
      </c>
      <c r="P59" s="94">
        <f>SUMIFS(DB!$AC:$AC,DB!$E:$E,'Detail Cab By Tgl'!$B59,DB!$AP:$AP,'Detail Cab By Tgl'!$D59,DB!$AT:$AT,"ALDA",DB!$AQ:$AQ,'Detail Cab By Tgl'!P$29)</f>
        <v>0</v>
      </c>
      <c r="Q59" s="94">
        <f>SUMIFS(DB!$AC:$AC,DB!$E:$E,'Detail Cab By Tgl'!$B59,DB!$AP:$AP,'Detail Cab By Tgl'!$D59,DB!$AT:$AT,"ALDA",DB!$AQ:$AQ,'Detail Cab By Tgl'!Q$29)</f>
        <v>0</v>
      </c>
      <c r="R59" s="94">
        <f>SUMIFS(DB!$AC:$AC,DB!$E:$E,'Detail Cab By Tgl'!$B59,DB!$AP:$AP,'Detail Cab By Tgl'!$D59,DB!$AT:$AT,"ALDA",DB!$AQ:$AQ,'Detail Cab By Tgl'!R$29)</f>
        <v>0</v>
      </c>
      <c r="S59" s="94">
        <f>SUMIFS(DB!$AC:$AC,DB!$E:$E,'Detail Cab By Tgl'!$B59,DB!$AP:$AP,'Detail Cab By Tgl'!$D59,DB!$AT:$AT,"ALDA",DB!$AQ:$AQ,'Detail Cab By Tgl'!S$29)</f>
        <v>0</v>
      </c>
      <c r="T59" s="94">
        <f>SUMIFS(DB!$AC:$AC,DB!$E:$E,'Detail Cab By Tgl'!$B59,DB!$AP:$AP,'Detail Cab By Tgl'!$D59,DB!$AT:$AT,"ALDA",DB!$AQ:$AQ,'Detail Cab By Tgl'!T$29)</f>
        <v>0</v>
      </c>
      <c r="U59" s="94">
        <f>SUMIFS(DB!$AC:$AC,DB!$E:$E,'Detail Cab By Tgl'!$B59,DB!$AP:$AP,'Detail Cab By Tgl'!$D59,DB!$AT:$AT,"ALDA",DB!$AQ:$AQ,'Detail Cab By Tgl'!U$29)</f>
        <v>0</v>
      </c>
      <c r="V59" s="94">
        <f>SUMIFS(DB!$AC:$AC,DB!$E:$E,'Detail Cab By Tgl'!$B59,DB!$AP:$AP,'Detail Cab By Tgl'!$D59,DB!$AT:$AT,"ALDA",DB!$AQ:$AQ,'Detail Cab By Tgl'!V$29)</f>
        <v>0</v>
      </c>
      <c r="W59" s="94">
        <f>SUMIFS(DB!$AC:$AC,DB!$E:$E,'Detail Cab By Tgl'!$B59,DB!$AP:$AP,'Detail Cab By Tgl'!$D59,DB!$AT:$AT,"ALDA",DB!$AQ:$AQ,'Detail Cab By Tgl'!W$29)</f>
        <v>0</v>
      </c>
      <c r="X59" s="94">
        <f>SUMIFS(DB!$AC:$AC,DB!$E:$E,'Detail Cab By Tgl'!$B59,DB!$AP:$AP,'Detail Cab By Tgl'!$D59,DB!$AT:$AT,"ALDA",DB!$AQ:$AQ,'Detail Cab By Tgl'!X$29)</f>
        <v>0</v>
      </c>
      <c r="Y59" s="94">
        <f>SUMIFS(DB!$AC:$AC,DB!$E:$E,'Detail Cab By Tgl'!$B59,DB!$AP:$AP,'Detail Cab By Tgl'!$D59,DB!$AT:$AT,"ALDA",DB!$AQ:$AQ,'Detail Cab By Tgl'!Y$29)</f>
        <v>0</v>
      </c>
      <c r="Z59" s="94">
        <f>SUMIFS(DB!$AC:$AC,DB!$E:$E,'Detail Cab By Tgl'!$B59,DB!$AP:$AP,'Detail Cab By Tgl'!$D59,DB!$AT:$AT,"ALDA",DB!$AQ:$AQ,'Detail Cab By Tgl'!Z$29)</f>
        <v>0</v>
      </c>
      <c r="AA59" s="94">
        <f>SUMIFS(DB!$AC:$AC,DB!$E:$E,'Detail Cab By Tgl'!$B59,DB!$AP:$AP,'Detail Cab By Tgl'!$D59,DB!$AT:$AT,"ALDA",DB!$AQ:$AQ,'Detail Cab By Tgl'!AA$29)</f>
        <v>0</v>
      </c>
      <c r="AB59" s="94">
        <f>SUMIFS(DB!$AC:$AC,DB!$E:$E,'Detail Cab By Tgl'!$B59,DB!$AP:$AP,'Detail Cab By Tgl'!$D59,DB!$AT:$AT,"ALDA",DB!$AQ:$AQ,'Detail Cab By Tgl'!AB$29)</f>
        <v>0</v>
      </c>
      <c r="AC59" s="94">
        <f>SUMIFS(DB!$AC:$AC,DB!$E:$E,'Detail Cab By Tgl'!$B59,DB!$AP:$AP,'Detail Cab By Tgl'!$D59,DB!$AT:$AT,"ALDA",DB!$AQ:$AQ,'Detail Cab By Tgl'!AC$29)</f>
        <v>0</v>
      </c>
      <c r="AD59" s="94">
        <f>SUMIFS(DB!$AC:$AC,DB!$E:$E,'Detail Cab By Tgl'!$B59,DB!$AP:$AP,'Detail Cab By Tgl'!$D59,DB!$AT:$AT,"ALDA",DB!$AQ:$AQ,'Detail Cab By Tgl'!AD$29)</f>
        <v>0</v>
      </c>
      <c r="AE59" s="94">
        <f>SUMIFS(DB!$AC:$AC,DB!$E:$E,'Detail Cab By Tgl'!$B59,DB!$AP:$AP,'Detail Cab By Tgl'!$D59,DB!$AT:$AT,"ALDA",DB!$AQ:$AQ,'Detail Cab By Tgl'!AE$29)</f>
        <v>0</v>
      </c>
      <c r="AF59" s="94">
        <f>SUMIFS(DB!$AC:$AC,DB!$E:$E,'Detail Cab By Tgl'!$B59,DB!$AP:$AP,'Detail Cab By Tgl'!$D59,DB!$AT:$AT,"ALDA",DB!$AQ:$AQ,'Detail Cab By Tgl'!AF$29)</f>
        <v>0</v>
      </c>
      <c r="AG59" s="94">
        <f>SUMIFS(DB!$AC:$AC,DB!$E:$E,'Detail Cab By Tgl'!$B59,DB!$AP:$AP,'Detail Cab By Tgl'!$D59,DB!$AT:$AT,"ALDA",DB!$AQ:$AQ,'Detail Cab By Tgl'!AG$29)</f>
        <v>0</v>
      </c>
      <c r="AH59" s="94">
        <f>SUMIFS(DB!$AC:$AC,DB!$E:$E,'Detail Cab By Tgl'!$B59,DB!$AP:$AP,'Detail Cab By Tgl'!$D59,DB!$AT:$AT,"ALDA",DB!$AQ:$AQ,'Detail Cab By Tgl'!AH$29)</f>
        <v>0</v>
      </c>
      <c r="AI59" s="95">
        <f>SUMIFS(DB!$AC:$AC,DB!$E:$E,'Detail Cab By Tgl'!$B59,DB!$AP:$AP,'Detail Cab By Tgl'!$D59,DB!$AT:$AT,"ALDA",DB!$AQ:$AQ,'Detail Cab By Tgl'!AI$29)</f>
        <v>0</v>
      </c>
      <c r="AJ59" s="176">
        <f t="shared" si="8"/>
        <v>0</v>
      </c>
    </row>
    <row r="60" spans="2:36" x14ac:dyDescent="0.3">
      <c r="B60" s="321" t="s">
        <v>45</v>
      </c>
      <c r="C60" s="322" t="s">
        <v>233</v>
      </c>
      <c r="D60" s="106" t="s">
        <v>234</v>
      </c>
      <c r="E60" s="93">
        <f>SUMIFS(DB!$AC:$AC,DB!$E:$E,'Detail Cab By Tgl'!$B60,DB!$AP:$AP,'Detail Cab By Tgl'!$D60,DB!$AT:$AT,"ALDA",DB!$AQ:$AQ,'Detail Cab By Tgl'!E$29)</f>
        <v>0</v>
      </c>
      <c r="F60" s="94">
        <f>SUMIFS(DB!$AC:$AC,DB!$E:$E,'Detail Cab By Tgl'!$B60,DB!$AP:$AP,'Detail Cab By Tgl'!$D60,DB!$AT:$AT,"ALDA",DB!$AQ:$AQ,'Detail Cab By Tgl'!F$29)</f>
        <v>0</v>
      </c>
      <c r="G60" s="94">
        <f>SUMIFS(DB!$AC:$AC,DB!$E:$E,'Detail Cab By Tgl'!$B60,DB!$AP:$AP,'Detail Cab By Tgl'!$D60,DB!$AT:$AT,"ALDA",DB!$AQ:$AQ,'Detail Cab By Tgl'!G$29)</f>
        <v>0</v>
      </c>
      <c r="H60" s="94">
        <f>SUMIFS(DB!$AC:$AC,DB!$E:$E,'Detail Cab By Tgl'!$B60,DB!$AP:$AP,'Detail Cab By Tgl'!$D60,DB!$AT:$AT,"ALDA",DB!$AQ:$AQ,'Detail Cab By Tgl'!H$29)</f>
        <v>0</v>
      </c>
      <c r="I60" s="94">
        <f>SUMIFS(DB!$AC:$AC,DB!$E:$E,'Detail Cab By Tgl'!$B60,DB!$AP:$AP,'Detail Cab By Tgl'!$D60,DB!$AT:$AT,"ALDA",DB!$AQ:$AQ,'Detail Cab By Tgl'!I$29)</f>
        <v>0</v>
      </c>
      <c r="J60" s="94">
        <f>SUMIFS(DB!$AC:$AC,DB!$E:$E,'Detail Cab By Tgl'!$B60,DB!$AP:$AP,'Detail Cab By Tgl'!$D60,DB!$AT:$AT,"ALDA",DB!$AQ:$AQ,'Detail Cab By Tgl'!J$29)</f>
        <v>0</v>
      </c>
      <c r="K60" s="94">
        <f>SUMIFS(DB!$AC:$AC,DB!$E:$E,'Detail Cab By Tgl'!$B60,DB!$AP:$AP,'Detail Cab By Tgl'!$D60,DB!$AT:$AT,"ALDA",DB!$AQ:$AQ,'Detail Cab By Tgl'!K$29)</f>
        <v>0</v>
      </c>
      <c r="L60" s="94">
        <f>SUMIFS(DB!$AC:$AC,DB!$E:$E,'Detail Cab By Tgl'!$B60,DB!$AP:$AP,'Detail Cab By Tgl'!$D60,DB!$AT:$AT,"ALDA",DB!$AQ:$AQ,'Detail Cab By Tgl'!L$29)</f>
        <v>0</v>
      </c>
      <c r="M60" s="94">
        <f>SUMIFS(DB!$AC:$AC,DB!$E:$E,'Detail Cab By Tgl'!$B60,DB!$AP:$AP,'Detail Cab By Tgl'!$D60,DB!$AT:$AT,"ALDA",DB!$AQ:$AQ,'Detail Cab By Tgl'!M$29)</f>
        <v>0</v>
      </c>
      <c r="N60" s="94">
        <f>SUMIFS(DB!$AC:$AC,DB!$E:$E,'Detail Cab By Tgl'!$B60,DB!$AP:$AP,'Detail Cab By Tgl'!$D60,DB!$AT:$AT,"ALDA",DB!$AQ:$AQ,'Detail Cab By Tgl'!N$29)</f>
        <v>0</v>
      </c>
      <c r="O60" s="94">
        <f>SUMIFS(DB!$AC:$AC,DB!$E:$E,'Detail Cab By Tgl'!$B60,DB!$AP:$AP,'Detail Cab By Tgl'!$D60,DB!$AT:$AT,"ALDA",DB!$AQ:$AQ,'Detail Cab By Tgl'!O$29)</f>
        <v>0</v>
      </c>
      <c r="P60" s="94">
        <f>SUMIFS(DB!$AC:$AC,DB!$E:$E,'Detail Cab By Tgl'!$B60,DB!$AP:$AP,'Detail Cab By Tgl'!$D60,DB!$AT:$AT,"ALDA",DB!$AQ:$AQ,'Detail Cab By Tgl'!P$29)</f>
        <v>0</v>
      </c>
      <c r="Q60" s="94">
        <f>SUMIFS(DB!$AC:$AC,DB!$E:$E,'Detail Cab By Tgl'!$B60,DB!$AP:$AP,'Detail Cab By Tgl'!$D60,DB!$AT:$AT,"ALDA",DB!$AQ:$AQ,'Detail Cab By Tgl'!Q$29)</f>
        <v>0</v>
      </c>
      <c r="R60" s="94">
        <f>SUMIFS(DB!$AC:$AC,DB!$E:$E,'Detail Cab By Tgl'!$B60,DB!$AP:$AP,'Detail Cab By Tgl'!$D60,DB!$AT:$AT,"ALDA",DB!$AQ:$AQ,'Detail Cab By Tgl'!R$29)</f>
        <v>0</v>
      </c>
      <c r="S60" s="94">
        <f>SUMIFS(DB!$AC:$AC,DB!$E:$E,'Detail Cab By Tgl'!$B60,DB!$AP:$AP,'Detail Cab By Tgl'!$D60,DB!$AT:$AT,"ALDA",DB!$AQ:$AQ,'Detail Cab By Tgl'!S$29)</f>
        <v>0</v>
      </c>
      <c r="T60" s="94">
        <f>SUMIFS(DB!$AC:$AC,DB!$E:$E,'Detail Cab By Tgl'!$B60,DB!$AP:$AP,'Detail Cab By Tgl'!$D60,DB!$AT:$AT,"ALDA",DB!$AQ:$AQ,'Detail Cab By Tgl'!T$29)</f>
        <v>0</v>
      </c>
      <c r="U60" s="94">
        <f>SUMIFS(DB!$AC:$AC,DB!$E:$E,'Detail Cab By Tgl'!$B60,DB!$AP:$AP,'Detail Cab By Tgl'!$D60,DB!$AT:$AT,"ALDA",DB!$AQ:$AQ,'Detail Cab By Tgl'!U$29)</f>
        <v>0</v>
      </c>
      <c r="V60" s="94">
        <f>SUMIFS(DB!$AC:$AC,DB!$E:$E,'Detail Cab By Tgl'!$B60,DB!$AP:$AP,'Detail Cab By Tgl'!$D60,DB!$AT:$AT,"ALDA",DB!$AQ:$AQ,'Detail Cab By Tgl'!V$29)</f>
        <v>0</v>
      </c>
      <c r="W60" s="94">
        <f>SUMIFS(DB!$AC:$AC,DB!$E:$E,'Detail Cab By Tgl'!$B60,DB!$AP:$AP,'Detail Cab By Tgl'!$D60,DB!$AT:$AT,"ALDA",DB!$AQ:$AQ,'Detail Cab By Tgl'!W$29)</f>
        <v>0</v>
      </c>
      <c r="X60" s="94">
        <f>SUMIFS(DB!$AC:$AC,DB!$E:$E,'Detail Cab By Tgl'!$B60,DB!$AP:$AP,'Detail Cab By Tgl'!$D60,DB!$AT:$AT,"ALDA",DB!$AQ:$AQ,'Detail Cab By Tgl'!X$29)</f>
        <v>0</v>
      </c>
      <c r="Y60" s="94">
        <f>SUMIFS(DB!$AC:$AC,DB!$E:$E,'Detail Cab By Tgl'!$B60,DB!$AP:$AP,'Detail Cab By Tgl'!$D60,DB!$AT:$AT,"ALDA",DB!$AQ:$AQ,'Detail Cab By Tgl'!Y$29)</f>
        <v>0</v>
      </c>
      <c r="Z60" s="94">
        <f>SUMIFS(DB!$AC:$AC,DB!$E:$E,'Detail Cab By Tgl'!$B60,DB!$AP:$AP,'Detail Cab By Tgl'!$D60,DB!$AT:$AT,"ALDA",DB!$AQ:$AQ,'Detail Cab By Tgl'!Z$29)</f>
        <v>0</v>
      </c>
      <c r="AA60" s="94">
        <f>SUMIFS(DB!$AC:$AC,DB!$E:$E,'Detail Cab By Tgl'!$B60,DB!$AP:$AP,'Detail Cab By Tgl'!$D60,DB!$AT:$AT,"ALDA",DB!$AQ:$AQ,'Detail Cab By Tgl'!AA$29)</f>
        <v>0</v>
      </c>
      <c r="AB60" s="94">
        <f>SUMIFS(DB!$AC:$AC,DB!$E:$E,'Detail Cab By Tgl'!$B60,DB!$AP:$AP,'Detail Cab By Tgl'!$D60,DB!$AT:$AT,"ALDA",DB!$AQ:$AQ,'Detail Cab By Tgl'!AB$29)</f>
        <v>0</v>
      </c>
      <c r="AC60" s="94">
        <f>SUMIFS(DB!$AC:$AC,DB!$E:$E,'Detail Cab By Tgl'!$B60,DB!$AP:$AP,'Detail Cab By Tgl'!$D60,DB!$AT:$AT,"ALDA",DB!$AQ:$AQ,'Detail Cab By Tgl'!AC$29)</f>
        <v>0</v>
      </c>
      <c r="AD60" s="94">
        <f>SUMIFS(DB!$AC:$AC,DB!$E:$E,'Detail Cab By Tgl'!$B60,DB!$AP:$AP,'Detail Cab By Tgl'!$D60,DB!$AT:$AT,"ALDA",DB!$AQ:$AQ,'Detail Cab By Tgl'!AD$29)</f>
        <v>0</v>
      </c>
      <c r="AE60" s="94">
        <f>SUMIFS(DB!$AC:$AC,DB!$E:$E,'Detail Cab By Tgl'!$B60,DB!$AP:$AP,'Detail Cab By Tgl'!$D60,DB!$AT:$AT,"ALDA",DB!$AQ:$AQ,'Detail Cab By Tgl'!AE$29)</f>
        <v>0</v>
      </c>
      <c r="AF60" s="94">
        <f>SUMIFS(DB!$AC:$AC,DB!$E:$E,'Detail Cab By Tgl'!$B60,DB!$AP:$AP,'Detail Cab By Tgl'!$D60,DB!$AT:$AT,"ALDA",DB!$AQ:$AQ,'Detail Cab By Tgl'!AF$29)</f>
        <v>0</v>
      </c>
      <c r="AG60" s="94">
        <f>SUMIFS(DB!$AC:$AC,DB!$E:$E,'Detail Cab By Tgl'!$B60,DB!$AP:$AP,'Detail Cab By Tgl'!$D60,DB!$AT:$AT,"ALDA",DB!$AQ:$AQ,'Detail Cab By Tgl'!AG$29)</f>
        <v>0</v>
      </c>
      <c r="AH60" s="94">
        <f>SUMIFS(DB!$AC:$AC,DB!$E:$E,'Detail Cab By Tgl'!$B60,DB!$AP:$AP,'Detail Cab By Tgl'!$D60,DB!$AT:$AT,"ALDA",DB!$AQ:$AQ,'Detail Cab By Tgl'!AH$29)</f>
        <v>0</v>
      </c>
      <c r="AI60" s="95">
        <f>SUMIFS(DB!$AC:$AC,DB!$E:$E,'Detail Cab By Tgl'!$B60,DB!$AP:$AP,'Detail Cab By Tgl'!$D60,DB!$AT:$AT,"ALDA",DB!$AQ:$AQ,'Detail Cab By Tgl'!AI$29)</f>
        <v>0</v>
      </c>
      <c r="AJ60" s="176">
        <f t="shared" si="8"/>
        <v>0</v>
      </c>
    </row>
    <row r="61" spans="2:36" x14ac:dyDescent="0.3">
      <c r="B61" s="321" t="s">
        <v>45</v>
      </c>
      <c r="C61" s="322" t="s">
        <v>233</v>
      </c>
      <c r="D61" s="106" t="s">
        <v>41</v>
      </c>
      <c r="E61" s="93">
        <f>SUMIFS(DB!$AC:$AC,DB!$E:$E,'Detail Cab By Tgl'!$B61,DB!$AP:$AP,'Detail Cab By Tgl'!$D61,DB!$AT:$AT,"ALDA",DB!$AQ:$AQ,'Detail Cab By Tgl'!E$29)</f>
        <v>0</v>
      </c>
      <c r="F61" s="94">
        <f>SUMIFS(DB!$AC:$AC,DB!$E:$E,'Detail Cab By Tgl'!$B61,DB!$AP:$AP,'Detail Cab By Tgl'!$D61,DB!$AT:$AT,"ALDA",DB!$AQ:$AQ,'Detail Cab By Tgl'!F$29)</f>
        <v>0</v>
      </c>
      <c r="G61" s="94">
        <f>SUMIFS(DB!$AC:$AC,DB!$E:$E,'Detail Cab By Tgl'!$B61,DB!$AP:$AP,'Detail Cab By Tgl'!$D61,DB!$AT:$AT,"ALDA",DB!$AQ:$AQ,'Detail Cab By Tgl'!G$29)</f>
        <v>0</v>
      </c>
      <c r="H61" s="94">
        <f>SUMIFS(DB!$AC:$AC,DB!$E:$E,'Detail Cab By Tgl'!$B61,DB!$AP:$AP,'Detail Cab By Tgl'!$D61,DB!$AT:$AT,"ALDA",DB!$AQ:$AQ,'Detail Cab By Tgl'!H$29)</f>
        <v>0</v>
      </c>
      <c r="I61" s="94">
        <f>SUMIFS(DB!$AC:$AC,DB!$E:$E,'Detail Cab By Tgl'!$B61,DB!$AP:$AP,'Detail Cab By Tgl'!$D61,DB!$AT:$AT,"ALDA",DB!$AQ:$AQ,'Detail Cab By Tgl'!I$29)</f>
        <v>0</v>
      </c>
      <c r="J61" s="94">
        <f>SUMIFS(DB!$AC:$AC,DB!$E:$E,'Detail Cab By Tgl'!$B61,DB!$AP:$AP,'Detail Cab By Tgl'!$D61,DB!$AT:$AT,"ALDA",DB!$AQ:$AQ,'Detail Cab By Tgl'!J$29)</f>
        <v>0</v>
      </c>
      <c r="K61" s="94">
        <f>SUMIFS(DB!$AC:$AC,DB!$E:$E,'Detail Cab By Tgl'!$B61,DB!$AP:$AP,'Detail Cab By Tgl'!$D61,DB!$AT:$AT,"ALDA",DB!$AQ:$AQ,'Detail Cab By Tgl'!K$29)</f>
        <v>0</v>
      </c>
      <c r="L61" s="94">
        <f>SUMIFS(DB!$AC:$AC,DB!$E:$E,'Detail Cab By Tgl'!$B61,DB!$AP:$AP,'Detail Cab By Tgl'!$D61,DB!$AT:$AT,"ALDA",DB!$AQ:$AQ,'Detail Cab By Tgl'!L$29)</f>
        <v>0</v>
      </c>
      <c r="M61" s="94">
        <f>SUMIFS(DB!$AC:$AC,DB!$E:$E,'Detail Cab By Tgl'!$B61,DB!$AP:$AP,'Detail Cab By Tgl'!$D61,DB!$AT:$AT,"ALDA",DB!$AQ:$AQ,'Detail Cab By Tgl'!M$29)</f>
        <v>0</v>
      </c>
      <c r="N61" s="94">
        <f>SUMIFS(DB!$AC:$AC,DB!$E:$E,'Detail Cab By Tgl'!$B61,DB!$AP:$AP,'Detail Cab By Tgl'!$D61,DB!$AT:$AT,"ALDA",DB!$AQ:$AQ,'Detail Cab By Tgl'!N$29)</f>
        <v>0</v>
      </c>
      <c r="O61" s="94">
        <f>SUMIFS(DB!$AC:$AC,DB!$E:$E,'Detail Cab By Tgl'!$B61,DB!$AP:$AP,'Detail Cab By Tgl'!$D61,DB!$AT:$AT,"ALDA",DB!$AQ:$AQ,'Detail Cab By Tgl'!O$29)</f>
        <v>0</v>
      </c>
      <c r="P61" s="94">
        <f>SUMIFS(DB!$AC:$AC,DB!$E:$E,'Detail Cab By Tgl'!$B61,DB!$AP:$AP,'Detail Cab By Tgl'!$D61,DB!$AT:$AT,"ALDA",DB!$AQ:$AQ,'Detail Cab By Tgl'!P$29)</f>
        <v>0</v>
      </c>
      <c r="Q61" s="94">
        <f>SUMIFS(DB!$AC:$AC,DB!$E:$E,'Detail Cab By Tgl'!$B61,DB!$AP:$AP,'Detail Cab By Tgl'!$D61,DB!$AT:$AT,"ALDA",DB!$AQ:$AQ,'Detail Cab By Tgl'!Q$29)</f>
        <v>0</v>
      </c>
      <c r="R61" s="94">
        <f>SUMIFS(DB!$AC:$AC,DB!$E:$E,'Detail Cab By Tgl'!$B61,DB!$AP:$AP,'Detail Cab By Tgl'!$D61,DB!$AT:$AT,"ALDA",DB!$AQ:$AQ,'Detail Cab By Tgl'!R$29)</f>
        <v>0</v>
      </c>
      <c r="S61" s="94">
        <f>SUMIFS(DB!$AC:$AC,DB!$E:$E,'Detail Cab By Tgl'!$B61,DB!$AP:$AP,'Detail Cab By Tgl'!$D61,DB!$AT:$AT,"ALDA",DB!$AQ:$AQ,'Detail Cab By Tgl'!S$29)</f>
        <v>0</v>
      </c>
      <c r="T61" s="94">
        <f>SUMIFS(DB!$AC:$AC,DB!$E:$E,'Detail Cab By Tgl'!$B61,DB!$AP:$AP,'Detail Cab By Tgl'!$D61,DB!$AT:$AT,"ALDA",DB!$AQ:$AQ,'Detail Cab By Tgl'!T$29)</f>
        <v>0</v>
      </c>
      <c r="U61" s="94">
        <f>SUMIFS(DB!$AC:$AC,DB!$E:$E,'Detail Cab By Tgl'!$B61,DB!$AP:$AP,'Detail Cab By Tgl'!$D61,DB!$AT:$AT,"ALDA",DB!$AQ:$AQ,'Detail Cab By Tgl'!U$29)</f>
        <v>0</v>
      </c>
      <c r="V61" s="94">
        <f>SUMIFS(DB!$AC:$AC,DB!$E:$E,'Detail Cab By Tgl'!$B61,DB!$AP:$AP,'Detail Cab By Tgl'!$D61,DB!$AT:$AT,"ALDA",DB!$AQ:$AQ,'Detail Cab By Tgl'!V$29)</f>
        <v>0</v>
      </c>
      <c r="W61" s="94">
        <f>SUMIFS(DB!$AC:$AC,DB!$E:$E,'Detail Cab By Tgl'!$B61,DB!$AP:$AP,'Detail Cab By Tgl'!$D61,DB!$AT:$AT,"ALDA",DB!$AQ:$AQ,'Detail Cab By Tgl'!W$29)</f>
        <v>0</v>
      </c>
      <c r="X61" s="94">
        <f>SUMIFS(DB!$AC:$AC,DB!$E:$E,'Detail Cab By Tgl'!$B61,DB!$AP:$AP,'Detail Cab By Tgl'!$D61,DB!$AT:$AT,"ALDA",DB!$AQ:$AQ,'Detail Cab By Tgl'!X$29)</f>
        <v>0</v>
      </c>
      <c r="Y61" s="94">
        <f>SUMIFS(DB!$AC:$AC,DB!$E:$E,'Detail Cab By Tgl'!$B61,DB!$AP:$AP,'Detail Cab By Tgl'!$D61,DB!$AT:$AT,"ALDA",DB!$AQ:$AQ,'Detail Cab By Tgl'!Y$29)</f>
        <v>0</v>
      </c>
      <c r="Z61" s="94">
        <f>SUMIFS(DB!$AC:$AC,DB!$E:$E,'Detail Cab By Tgl'!$B61,DB!$AP:$AP,'Detail Cab By Tgl'!$D61,DB!$AT:$AT,"ALDA",DB!$AQ:$AQ,'Detail Cab By Tgl'!Z$29)</f>
        <v>0</v>
      </c>
      <c r="AA61" s="94">
        <f>SUMIFS(DB!$AC:$AC,DB!$E:$E,'Detail Cab By Tgl'!$B61,DB!$AP:$AP,'Detail Cab By Tgl'!$D61,DB!$AT:$AT,"ALDA",DB!$AQ:$AQ,'Detail Cab By Tgl'!AA$29)</f>
        <v>0</v>
      </c>
      <c r="AB61" s="94">
        <f>SUMIFS(DB!$AC:$AC,DB!$E:$E,'Detail Cab By Tgl'!$B61,DB!$AP:$AP,'Detail Cab By Tgl'!$D61,DB!$AT:$AT,"ALDA",DB!$AQ:$AQ,'Detail Cab By Tgl'!AB$29)</f>
        <v>0</v>
      </c>
      <c r="AC61" s="94">
        <f>SUMIFS(DB!$AC:$AC,DB!$E:$E,'Detail Cab By Tgl'!$B61,DB!$AP:$AP,'Detail Cab By Tgl'!$D61,DB!$AT:$AT,"ALDA",DB!$AQ:$AQ,'Detail Cab By Tgl'!AC$29)</f>
        <v>0</v>
      </c>
      <c r="AD61" s="94">
        <f>SUMIFS(DB!$AC:$AC,DB!$E:$E,'Detail Cab By Tgl'!$B61,DB!$AP:$AP,'Detail Cab By Tgl'!$D61,DB!$AT:$AT,"ALDA",DB!$AQ:$AQ,'Detail Cab By Tgl'!AD$29)</f>
        <v>0</v>
      </c>
      <c r="AE61" s="94">
        <f>SUMIFS(DB!$AC:$AC,DB!$E:$E,'Detail Cab By Tgl'!$B61,DB!$AP:$AP,'Detail Cab By Tgl'!$D61,DB!$AT:$AT,"ALDA",DB!$AQ:$AQ,'Detail Cab By Tgl'!AE$29)</f>
        <v>0</v>
      </c>
      <c r="AF61" s="94">
        <f>SUMIFS(DB!$AC:$AC,DB!$E:$E,'Detail Cab By Tgl'!$B61,DB!$AP:$AP,'Detail Cab By Tgl'!$D61,DB!$AT:$AT,"ALDA",DB!$AQ:$AQ,'Detail Cab By Tgl'!AF$29)</f>
        <v>0</v>
      </c>
      <c r="AG61" s="94">
        <f>SUMIFS(DB!$AC:$AC,DB!$E:$E,'Detail Cab By Tgl'!$B61,DB!$AP:$AP,'Detail Cab By Tgl'!$D61,DB!$AT:$AT,"ALDA",DB!$AQ:$AQ,'Detail Cab By Tgl'!AG$29)</f>
        <v>0</v>
      </c>
      <c r="AH61" s="94">
        <f>SUMIFS(DB!$AC:$AC,DB!$E:$E,'Detail Cab By Tgl'!$B61,DB!$AP:$AP,'Detail Cab By Tgl'!$D61,DB!$AT:$AT,"ALDA",DB!$AQ:$AQ,'Detail Cab By Tgl'!AH$29)</f>
        <v>0</v>
      </c>
      <c r="AI61" s="95">
        <f>SUMIFS(DB!$AC:$AC,DB!$E:$E,'Detail Cab By Tgl'!$B61,DB!$AP:$AP,'Detail Cab By Tgl'!$D61,DB!$AT:$AT,"ALDA",DB!$AQ:$AQ,'Detail Cab By Tgl'!AI$29)</f>
        <v>0</v>
      </c>
      <c r="AJ61" s="176">
        <f t="shared" si="8"/>
        <v>0</v>
      </c>
    </row>
    <row r="62" spans="2:36" x14ac:dyDescent="0.3">
      <c r="B62" s="321" t="s">
        <v>45</v>
      </c>
      <c r="C62" s="322" t="s">
        <v>233</v>
      </c>
      <c r="D62" s="106" t="s">
        <v>388</v>
      </c>
      <c r="E62" s="93">
        <f>SUMIFS(DB!$AC:$AC,DB!$E:$E,'Detail Cab By Tgl'!$B62,DB!$AP:$AP,'Detail Cab By Tgl'!$D62,DB!$AT:$AT,"ALDA",DB!$AQ:$AQ,'Detail Cab By Tgl'!E$29)</f>
        <v>0</v>
      </c>
      <c r="F62" s="94">
        <f>SUMIFS(DB!$AC:$AC,DB!$E:$E,'Detail Cab By Tgl'!$B62,DB!$AP:$AP,'Detail Cab By Tgl'!$D62,DB!$AT:$AT,"ALDA",DB!$AQ:$AQ,'Detail Cab By Tgl'!F$29)</f>
        <v>0</v>
      </c>
      <c r="G62" s="94">
        <f>SUMIFS(DB!$AC:$AC,DB!$E:$E,'Detail Cab By Tgl'!$B62,DB!$AP:$AP,'Detail Cab By Tgl'!$D62,DB!$AT:$AT,"ALDA",DB!$AQ:$AQ,'Detail Cab By Tgl'!G$29)</f>
        <v>5350000</v>
      </c>
      <c r="H62" s="94">
        <f>SUMIFS(DB!$AC:$AC,DB!$E:$E,'Detail Cab By Tgl'!$B62,DB!$AP:$AP,'Detail Cab By Tgl'!$D62,DB!$AT:$AT,"ALDA",DB!$AQ:$AQ,'Detail Cab By Tgl'!H$29)</f>
        <v>0</v>
      </c>
      <c r="I62" s="94">
        <f>SUMIFS(DB!$AC:$AC,DB!$E:$E,'Detail Cab By Tgl'!$B62,DB!$AP:$AP,'Detail Cab By Tgl'!$D62,DB!$AT:$AT,"ALDA",DB!$AQ:$AQ,'Detail Cab By Tgl'!I$29)</f>
        <v>0</v>
      </c>
      <c r="J62" s="94">
        <f>SUMIFS(DB!$AC:$AC,DB!$E:$E,'Detail Cab By Tgl'!$B62,DB!$AP:$AP,'Detail Cab By Tgl'!$D62,DB!$AT:$AT,"ALDA",DB!$AQ:$AQ,'Detail Cab By Tgl'!J$29)</f>
        <v>0</v>
      </c>
      <c r="K62" s="94">
        <f>SUMIFS(DB!$AC:$AC,DB!$E:$E,'Detail Cab By Tgl'!$B62,DB!$AP:$AP,'Detail Cab By Tgl'!$D62,DB!$AT:$AT,"ALDA",DB!$AQ:$AQ,'Detail Cab By Tgl'!K$29)</f>
        <v>0</v>
      </c>
      <c r="L62" s="94">
        <f>SUMIFS(DB!$AC:$AC,DB!$E:$E,'Detail Cab By Tgl'!$B62,DB!$AP:$AP,'Detail Cab By Tgl'!$D62,DB!$AT:$AT,"ALDA",DB!$AQ:$AQ,'Detail Cab By Tgl'!L$29)</f>
        <v>0</v>
      </c>
      <c r="M62" s="94">
        <f>SUMIFS(DB!$AC:$AC,DB!$E:$E,'Detail Cab By Tgl'!$B62,DB!$AP:$AP,'Detail Cab By Tgl'!$D62,DB!$AT:$AT,"ALDA",DB!$AQ:$AQ,'Detail Cab By Tgl'!M$29)</f>
        <v>0</v>
      </c>
      <c r="N62" s="94">
        <f>SUMIFS(DB!$AC:$AC,DB!$E:$E,'Detail Cab By Tgl'!$B62,DB!$AP:$AP,'Detail Cab By Tgl'!$D62,DB!$AT:$AT,"ALDA",DB!$AQ:$AQ,'Detail Cab By Tgl'!N$29)</f>
        <v>0</v>
      </c>
      <c r="O62" s="94">
        <f>SUMIFS(DB!$AC:$AC,DB!$E:$E,'Detail Cab By Tgl'!$B62,DB!$AP:$AP,'Detail Cab By Tgl'!$D62,DB!$AT:$AT,"ALDA",DB!$AQ:$AQ,'Detail Cab By Tgl'!O$29)</f>
        <v>0</v>
      </c>
      <c r="P62" s="94">
        <f>SUMIFS(DB!$AC:$AC,DB!$E:$E,'Detail Cab By Tgl'!$B62,DB!$AP:$AP,'Detail Cab By Tgl'!$D62,DB!$AT:$AT,"ALDA",DB!$AQ:$AQ,'Detail Cab By Tgl'!P$29)</f>
        <v>0</v>
      </c>
      <c r="Q62" s="94">
        <f>SUMIFS(DB!$AC:$AC,DB!$E:$E,'Detail Cab By Tgl'!$B62,DB!$AP:$AP,'Detail Cab By Tgl'!$D62,DB!$AT:$AT,"ALDA",DB!$AQ:$AQ,'Detail Cab By Tgl'!Q$29)</f>
        <v>0</v>
      </c>
      <c r="R62" s="94">
        <f>SUMIFS(DB!$AC:$AC,DB!$E:$E,'Detail Cab By Tgl'!$B62,DB!$AP:$AP,'Detail Cab By Tgl'!$D62,DB!$AT:$AT,"ALDA",DB!$AQ:$AQ,'Detail Cab By Tgl'!R$29)</f>
        <v>0</v>
      </c>
      <c r="S62" s="94">
        <f>SUMIFS(DB!$AC:$AC,DB!$E:$E,'Detail Cab By Tgl'!$B62,DB!$AP:$AP,'Detail Cab By Tgl'!$D62,DB!$AT:$AT,"ALDA",DB!$AQ:$AQ,'Detail Cab By Tgl'!S$29)</f>
        <v>0</v>
      </c>
      <c r="T62" s="94">
        <f>SUMIFS(DB!$AC:$AC,DB!$E:$E,'Detail Cab By Tgl'!$B62,DB!$AP:$AP,'Detail Cab By Tgl'!$D62,DB!$AT:$AT,"ALDA",DB!$AQ:$AQ,'Detail Cab By Tgl'!T$29)</f>
        <v>0</v>
      </c>
      <c r="U62" s="94">
        <f>SUMIFS(DB!$AC:$AC,DB!$E:$E,'Detail Cab By Tgl'!$B62,DB!$AP:$AP,'Detail Cab By Tgl'!$D62,DB!$AT:$AT,"ALDA",DB!$AQ:$AQ,'Detail Cab By Tgl'!U$29)</f>
        <v>0</v>
      </c>
      <c r="V62" s="94">
        <f>SUMIFS(DB!$AC:$AC,DB!$E:$E,'Detail Cab By Tgl'!$B62,DB!$AP:$AP,'Detail Cab By Tgl'!$D62,DB!$AT:$AT,"ALDA",DB!$AQ:$AQ,'Detail Cab By Tgl'!V$29)</f>
        <v>0</v>
      </c>
      <c r="W62" s="94">
        <f>SUMIFS(DB!$AC:$AC,DB!$E:$E,'Detail Cab By Tgl'!$B62,DB!$AP:$AP,'Detail Cab By Tgl'!$D62,DB!$AT:$AT,"ALDA",DB!$AQ:$AQ,'Detail Cab By Tgl'!W$29)</f>
        <v>0</v>
      </c>
      <c r="X62" s="94">
        <f>SUMIFS(DB!$AC:$AC,DB!$E:$E,'Detail Cab By Tgl'!$B62,DB!$AP:$AP,'Detail Cab By Tgl'!$D62,DB!$AT:$AT,"ALDA",DB!$AQ:$AQ,'Detail Cab By Tgl'!X$29)</f>
        <v>0</v>
      </c>
      <c r="Y62" s="94">
        <f>SUMIFS(DB!$AC:$AC,DB!$E:$E,'Detail Cab By Tgl'!$B62,DB!$AP:$AP,'Detail Cab By Tgl'!$D62,DB!$AT:$AT,"ALDA",DB!$AQ:$AQ,'Detail Cab By Tgl'!Y$29)</f>
        <v>0</v>
      </c>
      <c r="Z62" s="94">
        <f>SUMIFS(DB!$AC:$AC,DB!$E:$E,'Detail Cab By Tgl'!$B62,DB!$AP:$AP,'Detail Cab By Tgl'!$D62,DB!$AT:$AT,"ALDA",DB!$AQ:$AQ,'Detail Cab By Tgl'!Z$29)</f>
        <v>0</v>
      </c>
      <c r="AA62" s="94">
        <f>SUMIFS(DB!$AC:$AC,DB!$E:$E,'Detail Cab By Tgl'!$B62,DB!$AP:$AP,'Detail Cab By Tgl'!$D62,DB!$AT:$AT,"ALDA",DB!$AQ:$AQ,'Detail Cab By Tgl'!AA$29)</f>
        <v>0</v>
      </c>
      <c r="AB62" s="94">
        <f>SUMIFS(DB!$AC:$AC,DB!$E:$E,'Detail Cab By Tgl'!$B62,DB!$AP:$AP,'Detail Cab By Tgl'!$D62,DB!$AT:$AT,"ALDA",DB!$AQ:$AQ,'Detail Cab By Tgl'!AB$29)</f>
        <v>0</v>
      </c>
      <c r="AC62" s="94">
        <f>SUMIFS(DB!$AC:$AC,DB!$E:$E,'Detail Cab By Tgl'!$B62,DB!$AP:$AP,'Detail Cab By Tgl'!$D62,DB!$AT:$AT,"ALDA",DB!$AQ:$AQ,'Detail Cab By Tgl'!AC$29)</f>
        <v>0</v>
      </c>
      <c r="AD62" s="94">
        <f>SUMIFS(DB!$AC:$AC,DB!$E:$E,'Detail Cab By Tgl'!$B62,DB!$AP:$AP,'Detail Cab By Tgl'!$D62,DB!$AT:$AT,"ALDA",DB!$AQ:$AQ,'Detail Cab By Tgl'!AD$29)</f>
        <v>0</v>
      </c>
      <c r="AE62" s="94">
        <f>SUMIFS(DB!$AC:$AC,DB!$E:$E,'Detail Cab By Tgl'!$B62,DB!$AP:$AP,'Detail Cab By Tgl'!$D62,DB!$AT:$AT,"ALDA",DB!$AQ:$AQ,'Detail Cab By Tgl'!AE$29)</f>
        <v>0</v>
      </c>
      <c r="AF62" s="94">
        <f>SUMIFS(DB!$AC:$AC,DB!$E:$E,'Detail Cab By Tgl'!$B62,DB!$AP:$AP,'Detail Cab By Tgl'!$D62,DB!$AT:$AT,"ALDA",DB!$AQ:$AQ,'Detail Cab By Tgl'!AF$29)</f>
        <v>0</v>
      </c>
      <c r="AG62" s="94">
        <f>SUMIFS(DB!$AC:$AC,DB!$E:$E,'Detail Cab By Tgl'!$B62,DB!$AP:$AP,'Detail Cab By Tgl'!$D62,DB!$AT:$AT,"ALDA",DB!$AQ:$AQ,'Detail Cab By Tgl'!AG$29)</f>
        <v>0</v>
      </c>
      <c r="AH62" s="94">
        <f>SUMIFS(DB!$AC:$AC,DB!$E:$E,'Detail Cab By Tgl'!$B62,DB!$AP:$AP,'Detail Cab By Tgl'!$D62,DB!$AT:$AT,"ALDA",DB!$AQ:$AQ,'Detail Cab By Tgl'!AH$29)</f>
        <v>0</v>
      </c>
      <c r="AI62" s="95">
        <f>SUMIFS(DB!$AC:$AC,DB!$E:$E,'Detail Cab By Tgl'!$B62,DB!$AP:$AP,'Detail Cab By Tgl'!$D62,DB!$AT:$AT,"ALDA",DB!$AQ:$AQ,'Detail Cab By Tgl'!AI$29)</f>
        <v>0</v>
      </c>
      <c r="AJ62" s="176">
        <f t="shared" si="8"/>
        <v>5350000</v>
      </c>
    </row>
    <row r="63" spans="2:36" x14ac:dyDescent="0.3">
      <c r="B63" s="321" t="s">
        <v>45</v>
      </c>
      <c r="C63" s="322" t="s">
        <v>233</v>
      </c>
      <c r="D63" s="106" t="s">
        <v>560</v>
      </c>
      <c r="E63" s="93">
        <f>SUMIFS(DB!$AC:$AC,DB!$E:$E,'Detail Cab By Tgl'!$B63,DB!$AP:$AP,'Detail Cab By Tgl'!$D63,DB!$AT:$AT,"ALDA",DB!$AQ:$AQ,'Detail Cab By Tgl'!E$29)</f>
        <v>0</v>
      </c>
      <c r="F63" s="94">
        <f>SUMIFS(DB!$AC:$AC,DB!$E:$E,'Detail Cab By Tgl'!$B63,DB!$AP:$AP,'Detail Cab By Tgl'!$D63,DB!$AT:$AT,"ALDA",DB!$AQ:$AQ,'Detail Cab By Tgl'!F$29)</f>
        <v>0</v>
      </c>
      <c r="G63" s="94">
        <f>SUMIFS(DB!$AC:$AC,DB!$E:$E,'Detail Cab By Tgl'!$B63,DB!$AP:$AP,'Detail Cab By Tgl'!$D63,DB!$AT:$AT,"ALDA",DB!$AQ:$AQ,'Detail Cab By Tgl'!G$29)</f>
        <v>0</v>
      </c>
      <c r="H63" s="94">
        <f>SUMIFS(DB!$AC:$AC,DB!$E:$E,'Detail Cab By Tgl'!$B63,DB!$AP:$AP,'Detail Cab By Tgl'!$D63,DB!$AT:$AT,"ALDA",DB!$AQ:$AQ,'Detail Cab By Tgl'!H$29)</f>
        <v>0</v>
      </c>
      <c r="I63" s="94">
        <f>SUMIFS(DB!$AC:$AC,DB!$E:$E,'Detail Cab By Tgl'!$B63,DB!$AP:$AP,'Detail Cab By Tgl'!$D63,DB!$AT:$AT,"ALDA",DB!$AQ:$AQ,'Detail Cab By Tgl'!I$29)</f>
        <v>0</v>
      </c>
      <c r="J63" s="94">
        <f>SUMIFS(DB!$AC:$AC,DB!$E:$E,'Detail Cab By Tgl'!$B63,DB!$AP:$AP,'Detail Cab By Tgl'!$D63,DB!$AT:$AT,"ALDA",DB!$AQ:$AQ,'Detail Cab By Tgl'!J$29)</f>
        <v>0</v>
      </c>
      <c r="K63" s="94">
        <f>SUMIFS(DB!$AC:$AC,DB!$E:$E,'Detail Cab By Tgl'!$B63,DB!$AP:$AP,'Detail Cab By Tgl'!$D63,DB!$AT:$AT,"ALDA",DB!$AQ:$AQ,'Detail Cab By Tgl'!K$29)</f>
        <v>0</v>
      </c>
      <c r="L63" s="94">
        <f>SUMIFS(DB!$AC:$AC,DB!$E:$E,'Detail Cab By Tgl'!$B63,DB!$AP:$AP,'Detail Cab By Tgl'!$D63,DB!$AT:$AT,"ALDA",DB!$AQ:$AQ,'Detail Cab By Tgl'!L$29)</f>
        <v>0</v>
      </c>
      <c r="M63" s="94">
        <f>SUMIFS(DB!$AC:$AC,DB!$E:$E,'Detail Cab By Tgl'!$B63,DB!$AP:$AP,'Detail Cab By Tgl'!$D63,DB!$AT:$AT,"ALDA",DB!$AQ:$AQ,'Detail Cab By Tgl'!M$29)</f>
        <v>0</v>
      </c>
      <c r="N63" s="94">
        <f>SUMIFS(DB!$AC:$AC,DB!$E:$E,'Detail Cab By Tgl'!$B63,DB!$AP:$AP,'Detail Cab By Tgl'!$D63,DB!$AT:$AT,"ALDA",DB!$AQ:$AQ,'Detail Cab By Tgl'!N$29)</f>
        <v>0</v>
      </c>
      <c r="O63" s="94">
        <f>SUMIFS(DB!$AC:$AC,DB!$E:$E,'Detail Cab By Tgl'!$B63,DB!$AP:$AP,'Detail Cab By Tgl'!$D63,DB!$AT:$AT,"ALDA",DB!$AQ:$AQ,'Detail Cab By Tgl'!O$29)</f>
        <v>0</v>
      </c>
      <c r="P63" s="94">
        <f>SUMIFS(DB!$AC:$AC,DB!$E:$E,'Detail Cab By Tgl'!$B63,DB!$AP:$AP,'Detail Cab By Tgl'!$D63,DB!$AT:$AT,"ALDA",DB!$AQ:$AQ,'Detail Cab By Tgl'!P$29)</f>
        <v>0</v>
      </c>
      <c r="Q63" s="94">
        <f>SUMIFS(DB!$AC:$AC,DB!$E:$E,'Detail Cab By Tgl'!$B63,DB!$AP:$AP,'Detail Cab By Tgl'!$D63,DB!$AT:$AT,"ALDA",DB!$AQ:$AQ,'Detail Cab By Tgl'!Q$29)</f>
        <v>0</v>
      </c>
      <c r="R63" s="94">
        <f>SUMIFS(DB!$AC:$AC,DB!$E:$E,'Detail Cab By Tgl'!$B63,DB!$AP:$AP,'Detail Cab By Tgl'!$D63,DB!$AT:$AT,"ALDA",DB!$AQ:$AQ,'Detail Cab By Tgl'!R$29)</f>
        <v>0</v>
      </c>
      <c r="S63" s="94">
        <f>SUMIFS(DB!$AC:$AC,DB!$E:$E,'Detail Cab By Tgl'!$B63,DB!$AP:$AP,'Detail Cab By Tgl'!$D63,DB!$AT:$AT,"ALDA",DB!$AQ:$AQ,'Detail Cab By Tgl'!S$29)</f>
        <v>0</v>
      </c>
      <c r="T63" s="94">
        <f>SUMIFS(DB!$AC:$AC,DB!$E:$E,'Detail Cab By Tgl'!$B63,DB!$AP:$AP,'Detail Cab By Tgl'!$D63,DB!$AT:$AT,"ALDA",DB!$AQ:$AQ,'Detail Cab By Tgl'!T$29)</f>
        <v>0</v>
      </c>
      <c r="U63" s="94">
        <f>SUMIFS(DB!$AC:$AC,DB!$E:$E,'Detail Cab By Tgl'!$B63,DB!$AP:$AP,'Detail Cab By Tgl'!$D63,DB!$AT:$AT,"ALDA",DB!$AQ:$AQ,'Detail Cab By Tgl'!U$29)</f>
        <v>0</v>
      </c>
      <c r="V63" s="94">
        <f>SUMIFS(DB!$AC:$AC,DB!$E:$E,'Detail Cab By Tgl'!$B63,DB!$AP:$AP,'Detail Cab By Tgl'!$D63,DB!$AT:$AT,"ALDA",DB!$AQ:$AQ,'Detail Cab By Tgl'!V$29)</f>
        <v>0</v>
      </c>
      <c r="W63" s="94">
        <f>SUMIFS(DB!$AC:$AC,DB!$E:$E,'Detail Cab By Tgl'!$B63,DB!$AP:$AP,'Detail Cab By Tgl'!$D63,DB!$AT:$AT,"ALDA",DB!$AQ:$AQ,'Detail Cab By Tgl'!W$29)</f>
        <v>0</v>
      </c>
      <c r="X63" s="94">
        <f>SUMIFS(DB!$AC:$AC,DB!$E:$E,'Detail Cab By Tgl'!$B63,DB!$AP:$AP,'Detail Cab By Tgl'!$D63,DB!$AT:$AT,"ALDA",DB!$AQ:$AQ,'Detail Cab By Tgl'!X$29)</f>
        <v>0</v>
      </c>
      <c r="Y63" s="94">
        <f>SUMIFS(DB!$AC:$AC,DB!$E:$E,'Detail Cab By Tgl'!$B63,DB!$AP:$AP,'Detail Cab By Tgl'!$D63,DB!$AT:$AT,"ALDA",DB!$AQ:$AQ,'Detail Cab By Tgl'!Y$29)</f>
        <v>0</v>
      </c>
      <c r="Z63" s="94">
        <f>SUMIFS(DB!$AC:$AC,DB!$E:$E,'Detail Cab By Tgl'!$B63,DB!$AP:$AP,'Detail Cab By Tgl'!$D63,DB!$AT:$AT,"ALDA",DB!$AQ:$AQ,'Detail Cab By Tgl'!Z$29)</f>
        <v>0</v>
      </c>
      <c r="AA63" s="94">
        <f>SUMIFS(DB!$AC:$AC,DB!$E:$E,'Detail Cab By Tgl'!$B63,DB!$AP:$AP,'Detail Cab By Tgl'!$D63,DB!$AT:$AT,"ALDA",DB!$AQ:$AQ,'Detail Cab By Tgl'!AA$29)</f>
        <v>0</v>
      </c>
      <c r="AB63" s="94">
        <f>SUMIFS(DB!$AC:$AC,DB!$E:$E,'Detail Cab By Tgl'!$B63,DB!$AP:$AP,'Detail Cab By Tgl'!$D63,DB!$AT:$AT,"ALDA",DB!$AQ:$AQ,'Detail Cab By Tgl'!AB$29)</f>
        <v>0</v>
      </c>
      <c r="AC63" s="94">
        <f>SUMIFS(DB!$AC:$AC,DB!$E:$E,'Detail Cab By Tgl'!$B63,DB!$AP:$AP,'Detail Cab By Tgl'!$D63,DB!$AT:$AT,"ALDA",DB!$AQ:$AQ,'Detail Cab By Tgl'!AC$29)</f>
        <v>0</v>
      </c>
      <c r="AD63" s="94">
        <f>SUMIFS(DB!$AC:$AC,DB!$E:$E,'Detail Cab By Tgl'!$B63,DB!$AP:$AP,'Detail Cab By Tgl'!$D63,DB!$AT:$AT,"ALDA",DB!$AQ:$AQ,'Detail Cab By Tgl'!AD$29)</f>
        <v>0</v>
      </c>
      <c r="AE63" s="94">
        <f>SUMIFS(DB!$AC:$AC,DB!$E:$E,'Detail Cab By Tgl'!$B63,DB!$AP:$AP,'Detail Cab By Tgl'!$D63,DB!$AT:$AT,"ALDA",DB!$AQ:$AQ,'Detail Cab By Tgl'!AE$29)</f>
        <v>0</v>
      </c>
      <c r="AF63" s="94">
        <f>SUMIFS(DB!$AC:$AC,DB!$E:$E,'Detail Cab By Tgl'!$B63,DB!$AP:$AP,'Detail Cab By Tgl'!$D63,DB!$AT:$AT,"ALDA",DB!$AQ:$AQ,'Detail Cab By Tgl'!AF$29)</f>
        <v>0</v>
      </c>
      <c r="AG63" s="94">
        <f>SUMIFS(DB!$AC:$AC,DB!$E:$E,'Detail Cab By Tgl'!$B63,DB!$AP:$AP,'Detail Cab By Tgl'!$D63,DB!$AT:$AT,"ALDA",DB!$AQ:$AQ,'Detail Cab By Tgl'!AG$29)</f>
        <v>0</v>
      </c>
      <c r="AH63" s="94">
        <f>SUMIFS(DB!$AC:$AC,DB!$E:$E,'Detail Cab By Tgl'!$B63,DB!$AP:$AP,'Detail Cab By Tgl'!$D63,DB!$AT:$AT,"ALDA",DB!$AQ:$AQ,'Detail Cab By Tgl'!AH$29)</f>
        <v>0</v>
      </c>
      <c r="AI63" s="95">
        <f>SUMIFS(DB!$AC:$AC,DB!$E:$E,'Detail Cab By Tgl'!$B63,DB!$AP:$AP,'Detail Cab By Tgl'!$D63,DB!$AT:$AT,"ALDA",DB!$AQ:$AQ,'Detail Cab By Tgl'!AI$29)</f>
        <v>0</v>
      </c>
      <c r="AJ63" s="176">
        <f t="shared" si="8"/>
        <v>0</v>
      </c>
    </row>
    <row r="64" spans="2:36" x14ac:dyDescent="0.3">
      <c r="B64" s="321" t="s">
        <v>45</v>
      </c>
      <c r="C64" s="322" t="s">
        <v>295</v>
      </c>
      <c r="D64" s="106" t="s">
        <v>199</v>
      </c>
      <c r="E64" s="93">
        <f>SUMIFS(DB!$AC:$AC,DB!$E:$E,'Detail Cab By Tgl'!$B64,DB!$AP:$AP,'Detail Cab By Tgl'!$D64,DB!$AT:$AT,"ALDA",DB!$AQ:$AQ,'Detail Cab By Tgl'!E$29)</f>
        <v>0</v>
      </c>
      <c r="F64" s="94">
        <f>SUMIFS(DB!$AC:$AC,DB!$E:$E,'Detail Cab By Tgl'!$B64,DB!$AP:$AP,'Detail Cab By Tgl'!$D64,DB!$AT:$AT,"ALDA",DB!$AQ:$AQ,'Detail Cab By Tgl'!F$29)</f>
        <v>0</v>
      </c>
      <c r="G64" s="94">
        <f>SUMIFS(DB!$AC:$AC,DB!$E:$E,'Detail Cab By Tgl'!$B64,DB!$AP:$AP,'Detail Cab By Tgl'!$D64,DB!$AT:$AT,"ALDA",DB!$AQ:$AQ,'Detail Cab By Tgl'!G$29)</f>
        <v>0</v>
      </c>
      <c r="H64" s="94">
        <f>SUMIFS(DB!$AC:$AC,DB!$E:$E,'Detail Cab By Tgl'!$B64,DB!$AP:$AP,'Detail Cab By Tgl'!$D64,DB!$AT:$AT,"ALDA",DB!$AQ:$AQ,'Detail Cab By Tgl'!H$29)</f>
        <v>0</v>
      </c>
      <c r="I64" s="94">
        <f>SUMIFS(DB!$AC:$AC,DB!$E:$E,'Detail Cab By Tgl'!$B64,DB!$AP:$AP,'Detail Cab By Tgl'!$D64,DB!$AT:$AT,"ALDA",DB!$AQ:$AQ,'Detail Cab By Tgl'!I$29)</f>
        <v>0</v>
      </c>
      <c r="J64" s="94">
        <f>SUMIFS(DB!$AC:$AC,DB!$E:$E,'Detail Cab By Tgl'!$B64,DB!$AP:$AP,'Detail Cab By Tgl'!$D64,DB!$AT:$AT,"ALDA",DB!$AQ:$AQ,'Detail Cab By Tgl'!J$29)</f>
        <v>0</v>
      </c>
      <c r="K64" s="94">
        <f>SUMIFS(DB!$AC:$AC,DB!$E:$E,'Detail Cab By Tgl'!$B64,DB!$AP:$AP,'Detail Cab By Tgl'!$D64,DB!$AT:$AT,"ALDA",DB!$AQ:$AQ,'Detail Cab By Tgl'!K$29)</f>
        <v>0</v>
      </c>
      <c r="L64" s="94">
        <f>SUMIFS(DB!$AC:$AC,DB!$E:$E,'Detail Cab By Tgl'!$B64,DB!$AP:$AP,'Detail Cab By Tgl'!$D64,DB!$AT:$AT,"ALDA",DB!$AQ:$AQ,'Detail Cab By Tgl'!L$29)</f>
        <v>0</v>
      </c>
      <c r="M64" s="94">
        <f>SUMIFS(DB!$AC:$AC,DB!$E:$E,'Detail Cab By Tgl'!$B64,DB!$AP:$AP,'Detail Cab By Tgl'!$D64,DB!$AT:$AT,"ALDA",DB!$AQ:$AQ,'Detail Cab By Tgl'!M$29)</f>
        <v>0</v>
      </c>
      <c r="N64" s="94">
        <f>SUMIFS(DB!$AC:$AC,DB!$E:$E,'Detail Cab By Tgl'!$B64,DB!$AP:$AP,'Detail Cab By Tgl'!$D64,DB!$AT:$AT,"ALDA",DB!$AQ:$AQ,'Detail Cab By Tgl'!N$29)</f>
        <v>0</v>
      </c>
      <c r="O64" s="94">
        <f>SUMIFS(DB!$AC:$AC,DB!$E:$E,'Detail Cab By Tgl'!$B64,DB!$AP:$AP,'Detail Cab By Tgl'!$D64,DB!$AT:$AT,"ALDA",DB!$AQ:$AQ,'Detail Cab By Tgl'!O$29)</f>
        <v>0</v>
      </c>
      <c r="P64" s="94">
        <f>SUMIFS(DB!$AC:$AC,DB!$E:$E,'Detail Cab By Tgl'!$B64,DB!$AP:$AP,'Detail Cab By Tgl'!$D64,DB!$AT:$AT,"ALDA",DB!$AQ:$AQ,'Detail Cab By Tgl'!P$29)</f>
        <v>0</v>
      </c>
      <c r="Q64" s="94">
        <f>SUMIFS(DB!$AC:$AC,DB!$E:$E,'Detail Cab By Tgl'!$B64,DB!$AP:$AP,'Detail Cab By Tgl'!$D64,DB!$AT:$AT,"ALDA",DB!$AQ:$AQ,'Detail Cab By Tgl'!Q$29)</f>
        <v>0</v>
      </c>
      <c r="R64" s="94">
        <f>SUMIFS(DB!$AC:$AC,DB!$E:$E,'Detail Cab By Tgl'!$B64,DB!$AP:$AP,'Detail Cab By Tgl'!$D64,DB!$AT:$AT,"ALDA",DB!$AQ:$AQ,'Detail Cab By Tgl'!R$29)</f>
        <v>0</v>
      </c>
      <c r="S64" s="94">
        <f>SUMIFS(DB!$AC:$AC,DB!$E:$E,'Detail Cab By Tgl'!$B64,DB!$AP:$AP,'Detail Cab By Tgl'!$D64,DB!$AT:$AT,"ALDA",DB!$AQ:$AQ,'Detail Cab By Tgl'!S$29)</f>
        <v>0</v>
      </c>
      <c r="T64" s="94">
        <f>SUMIFS(DB!$AC:$AC,DB!$E:$E,'Detail Cab By Tgl'!$B64,DB!$AP:$AP,'Detail Cab By Tgl'!$D64,DB!$AT:$AT,"ALDA",DB!$AQ:$AQ,'Detail Cab By Tgl'!T$29)</f>
        <v>0</v>
      </c>
      <c r="U64" s="94">
        <f>SUMIFS(DB!$AC:$AC,DB!$E:$E,'Detail Cab By Tgl'!$B64,DB!$AP:$AP,'Detail Cab By Tgl'!$D64,DB!$AT:$AT,"ALDA",DB!$AQ:$AQ,'Detail Cab By Tgl'!U$29)</f>
        <v>0</v>
      </c>
      <c r="V64" s="94">
        <f>SUMIFS(DB!$AC:$AC,DB!$E:$E,'Detail Cab By Tgl'!$B64,DB!$AP:$AP,'Detail Cab By Tgl'!$D64,DB!$AT:$AT,"ALDA",DB!$AQ:$AQ,'Detail Cab By Tgl'!V$29)</f>
        <v>0</v>
      </c>
      <c r="W64" s="94">
        <f>SUMIFS(DB!$AC:$AC,DB!$E:$E,'Detail Cab By Tgl'!$B64,DB!$AP:$AP,'Detail Cab By Tgl'!$D64,DB!$AT:$AT,"ALDA",DB!$AQ:$AQ,'Detail Cab By Tgl'!W$29)</f>
        <v>0</v>
      </c>
      <c r="X64" s="94">
        <f>SUMIFS(DB!$AC:$AC,DB!$E:$E,'Detail Cab By Tgl'!$B64,DB!$AP:$AP,'Detail Cab By Tgl'!$D64,DB!$AT:$AT,"ALDA",DB!$AQ:$AQ,'Detail Cab By Tgl'!X$29)</f>
        <v>0</v>
      </c>
      <c r="Y64" s="94">
        <f>SUMIFS(DB!$AC:$AC,DB!$E:$E,'Detail Cab By Tgl'!$B64,DB!$AP:$AP,'Detail Cab By Tgl'!$D64,DB!$AT:$AT,"ALDA",DB!$AQ:$AQ,'Detail Cab By Tgl'!Y$29)</f>
        <v>0</v>
      </c>
      <c r="Z64" s="94">
        <f>SUMIFS(DB!$AC:$AC,DB!$E:$E,'Detail Cab By Tgl'!$B64,DB!$AP:$AP,'Detail Cab By Tgl'!$D64,DB!$AT:$AT,"ALDA",DB!$AQ:$AQ,'Detail Cab By Tgl'!Z$29)</f>
        <v>0</v>
      </c>
      <c r="AA64" s="94">
        <f>SUMIFS(DB!$AC:$AC,DB!$E:$E,'Detail Cab By Tgl'!$B64,DB!$AP:$AP,'Detail Cab By Tgl'!$D64,DB!$AT:$AT,"ALDA",DB!$AQ:$AQ,'Detail Cab By Tgl'!AA$29)</f>
        <v>0</v>
      </c>
      <c r="AB64" s="94">
        <f>SUMIFS(DB!$AC:$AC,DB!$E:$E,'Detail Cab By Tgl'!$B64,DB!$AP:$AP,'Detail Cab By Tgl'!$D64,DB!$AT:$AT,"ALDA",DB!$AQ:$AQ,'Detail Cab By Tgl'!AB$29)</f>
        <v>0</v>
      </c>
      <c r="AC64" s="94">
        <f>SUMIFS(DB!$AC:$AC,DB!$E:$E,'Detail Cab By Tgl'!$B64,DB!$AP:$AP,'Detail Cab By Tgl'!$D64,DB!$AT:$AT,"ALDA",DB!$AQ:$AQ,'Detail Cab By Tgl'!AC$29)</f>
        <v>0</v>
      </c>
      <c r="AD64" s="94">
        <f>SUMIFS(DB!$AC:$AC,DB!$E:$E,'Detail Cab By Tgl'!$B64,DB!$AP:$AP,'Detail Cab By Tgl'!$D64,DB!$AT:$AT,"ALDA",DB!$AQ:$AQ,'Detail Cab By Tgl'!AD$29)</f>
        <v>0</v>
      </c>
      <c r="AE64" s="94">
        <f>SUMIFS(DB!$AC:$AC,DB!$E:$E,'Detail Cab By Tgl'!$B64,DB!$AP:$AP,'Detail Cab By Tgl'!$D64,DB!$AT:$AT,"ALDA",DB!$AQ:$AQ,'Detail Cab By Tgl'!AE$29)</f>
        <v>0</v>
      </c>
      <c r="AF64" s="94">
        <f>SUMIFS(DB!$AC:$AC,DB!$E:$E,'Detail Cab By Tgl'!$B64,DB!$AP:$AP,'Detail Cab By Tgl'!$D64,DB!$AT:$AT,"ALDA",DB!$AQ:$AQ,'Detail Cab By Tgl'!AF$29)</f>
        <v>0</v>
      </c>
      <c r="AG64" s="94">
        <f>SUMIFS(DB!$AC:$AC,DB!$E:$E,'Detail Cab By Tgl'!$B64,DB!$AP:$AP,'Detail Cab By Tgl'!$D64,DB!$AT:$AT,"ALDA",DB!$AQ:$AQ,'Detail Cab By Tgl'!AG$29)</f>
        <v>0</v>
      </c>
      <c r="AH64" s="94">
        <f>SUMIFS(DB!$AC:$AC,DB!$E:$E,'Detail Cab By Tgl'!$B64,DB!$AP:$AP,'Detail Cab By Tgl'!$D64,DB!$AT:$AT,"ALDA",DB!$AQ:$AQ,'Detail Cab By Tgl'!AH$29)</f>
        <v>0</v>
      </c>
      <c r="AI64" s="95">
        <f>SUMIFS(DB!$AC:$AC,DB!$E:$E,'Detail Cab By Tgl'!$B64,DB!$AP:$AP,'Detail Cab By Tgl'!$D64,DB!$AT:$AT,"ALDA",DB!$AQ:$AQ,'Detail Cab By Tgl'!AI$29)</f>
        <v>0</v>
      </c>
      <c r="AJ64" s="176">
        <f t="shared" si="8"/>
        <v>0</v>
      </c>
    </row>
    <row r="65" spans="2:36" x14ac:dyDescent="0.3">
      <c r="B65" s="321" t="s">
        <v>45</v>
      </c>
      <c r="C65" s="322" t="s">
        <v>295</v>
      </c>
      <c r="D65" s="106" t="s">
        <v>362</v>
      </c>
      <c r="E65" s="93">
        <f>SUMIFS(DB!$AC:$AC,DB!$E:$E,'Detail Cab By Tgl'!$B65,DB!$AP:$AP,'Detail Cab By Tgl'!$D65,DB!$AT:$AT,"ALDA",DB!$AQ:$AQ,'Detail Cab By Tgl'!E$29)</f>
        <v>0</v>
      </c>
      <c r="F65" s="94">
        <f>SUMIFS(DB!$AC:$AC,DB!$E:$E,'Detail Cab By Tgl'!$B65,DB!$AP:$AP,'Detail Cab By Tgl'!$D65,DB!$AT:$AT,"ALDA",DB!$AQ:$AQ,'Detail Cab By Tgl'!F$29)</f>
        <v>0</v>
      </c>
      <c r="G65" s="94">
        <f>SUMIFS(DB!$AC:$AC,DB!$E:$E,'Detail Cab By Tgl'!$B65,DB!$AP:$AP,'Detail Cab By Tgl'!$D65,DB!$AT:$AT,"ALDA",DB!$AQ:$AQ,'Detail Cab By Tgl'!G$29)</f>
        <v>0</v>
      </c>
      <c r="H65" s="94">
        <f>SUMIFS(DB!$AC:$AC,DB!$E:$E,'Detail Cab By Tgl'!$B65,DB!$AP:$AP,'Detail Cab By Tgl'!$D65,DB!$AT:$AT,"ALDA",DB!$AQ:$AQ,'Detail Cab By Tgl'!H$29)</f>
        <v>0</v>
      </c>
      <c r="I65" s="94">
        <f>SUMIFS(DB!$AC:$AC,DB!$E:$E,'Detail Cab By Tgl'!$B65,DB!$AP:$AP,'Detail Cab By Tgl'!$D65,DB!$AT:$AT,"ALDA",DB!$AQ:$AQ,'Detail Cab By Tgl'!I$29)</f>
        <v>0</v>
      </c>
      <c r="J65" s="94">
        <f>SUMIFS(DB!$AC:$AC,DB!$E:$E,'Detail Cab By Tgl'!$B65,DB!$AP:$AP,'Detail Cab By Tgl'!$D65,DB!$AT:$AT,"ALDA",DB!$AQ:$AQ,'Detail Cab By Tgl'!J$29)</f>
        <v>0</v>
      </c>
      <c r="K65" s="94">
        <f>SUMIFS(DB!$AC:$AC,DB!$E:$E,'Detail Cab By Tgl'!$B65,DB!$AP:$AP,'Detail Cab By Tgl'!$D65,DB!$AT:$AT,"ALDA",DB!$AQ:$AQ,'Detail Cab By Tgl'!K$29)</f>
        <v>0</v>
      </c>
      <c r="L65" s="94">
        <f>SUMIFS(DB!$AC:$AC,DB!$E:$E,'Detail Cab By Tgl'!$B65,DB!$AP:$AP,'Detail Cab By Tgl'!$D65,DB!$AT:$AT,"ALDA",DB!$AQ:$AQ,'Detail Cab By Tgl'!L$29)</f>
        <v>0</v>
      </c>
      <c r="M65" s="94">
        <f>SUMIFS(DB!$AC:$AC,DB!$E:$E,'Detail Cab By Tgl'!$B65,DB!$AP:$AP,'Detail Cab By Tgl'!$D65,DB!$AT:$AT,"ALDA",DB!$AQ:$AQ,'Detail Cab By Tgl'!M$29)</f>
        <v>0</v>
      </c>
      <c r="N65" s="94">
        <f>SUMIFS(DB!$AC:$AC,DB!$E:$E,'Detail Cab By Tgl'!$B65,DB!$AP:$AP,'Detail Cab By Tgl'!$D65,DB!$AT:$AT,"ALDA",DB!$AQ:$AQ,'Detail Cab By Tgl'!N$29)</f>
        <v>0</v>
      </c>
      <c r="O65" s="94">
        <f>SUMIFS(DB!$AC:$AC,DB!$E:$E,'Detail Cab By Tgl'!$B65,DB!$AP:$AP,'Detail Cab By Tgl'!$D65,DB!$AT:$AT,"ALDA",DB!$AQ:$AQ,'Detail Cab By Tgl'!O$29)</f>
        <v>0</v>
      </c>
      <c r="P65" s="94">
        <f>SUMIFS(DB!$AC:$AC,DB!$E:$E,'Detail Cab By Tgl'!$B65,DB!$AP:$AP,'Detail Cab By Tgl'!$D65,DB!$AT:$AT,"ALDA",DB!$AQ:$AQ,'Detail Cab By Tgl'!P$29)</f>
        <v>0</v>
      </c>
      <c r="Q65" s="94">
        <f>SUMIFS(DB!$AC:$AC,DB!$E:$E,'Detail Cab By Tgl'!$B65,DB!$AP:$AP,'Detail Cab By Tgl'!$D65,DB!$AT:$AT,"ALDA",DB!$AQ:$AQ,'Detail Cab By Tgl'!Q$29)</f>
        <v>0</v>
      </c>
      <c r="R65" s="94">
        <f>SUMIFS(DB!$AC:$AC,DB!$E:$E,'Detail Cab By Tgl'!$B65,DB!$AP:$AP,'Detail Cab By Tgl'!$D65,DB!$AT:$AT,"ALDA",DB!$AQ:$AQ,'Detail Cab By Tgl'!R$29)</f>
        <v>0</v>
      </c>
      <c r="S65" s="94">
        <f>SUMIFS(DB!$AC:$AC,DB!$E:$E,'Detail Cab By Tgl'!$B65,DB!$AP:$AP,'Detail Cab By Tgl'!$D65,DB!$AT:$AT,"ALDA",DB!$AQ:$AQ,'Detail Cab By Tgl'!S$29)</f>
        <v>0</v>
      </c>
      <c r="T65" s="94">
        <f>SUMIFS(DB!$AC:$AC,DB!$E:$E,'Detail Cab By Tgl'!$B65,DB!$AP:$AP,'Detail Cab By Tgl'!$D65,DB!$AT:$AT,"ALDA",DB!$AQ:$AQ,'Detail Cab By Tgl'!T$29)</f>
        <v>0</v>
      </c>
      <c r="U65" s="94">
        <f>SUMIFS(DB!$AC:$AC,DB!$E:$E,'Detail Cab By Tgl'!$B65,DB!$AP:$AP,'Detail Cab By Tgl'!$D65,DB!$AT:$AT,"ALDA",DB!$AQ:$AQ,'Detail Cab By Tgl'!U$29)</f>
        <v>0</v>
      </c>
      <c r="V65" s="94">
        <f>SUMIFS(DB!$AC:$AC,DB!$E:$E,'Detail Cab By Tgl'!$B65,DB!$AP:$AP,'Detail Cab By Tgl'!$D65,DB!$AT:$AT,"ALDA",DB!$AQ:$AQ,'Detail Cab By Tgl'!V$29)</f>
        <v>0</v>
      </c>
      <c r="W65" s="94">
        <f>SUMIFS(DB!$AC:$AC,DB!$E:$E,'Detail Cab By Tgl'!$B65,DB!$AP:$AP,'Detail Cab By Tgl'!$D65,DB!$AT:$AT,"ALDA",DB!$AQ:$AQ,'Detail Cab By Tgl'!W$29)</f>
        <v>0</v>
      </c>
      <c r="X65" s="94">
        <f>SUMIFS(DB!$AC:$AC,DB!$E:$E,'Detail Cab By Tgl'!$B65,DB!$AP:$AP,'Detail Cab By Tgl'!$D65,DB!$AT:$AT,"ALDA",DB!$AQ:$AQ,'Detail Cab By Tgl'!X$29)</f>
        <v>0</v>
      </c>
      <c r="Y65" s="94">
        <f>SUMIFS(DB!$AC:$AC,DB!$E:$E,'Detail Cab By Tgl'!$B65,DB!$AP:$AP,'Detail Cab By Tgl'!$D65,DB!$AT:$AT,"ALDA",DB!$AQ:$AQ,'Detail Cab By Tgl'!Y$29)</f>
        <v>0</v>
      </c>
      <c r="Z65" s="94">
        <f>SUMIFS(DB!$AC:$AC,DB!$E:$E,'Detail Cab By Tgl'!$B65,DB!$AP:$AP,'Detail Cab By Tgl'!$D65,DB!$AT:$AT,"ALDA",DB!$AQ:$AQ,'Detail Cab By Tgl'!Z$29)</f>
        <v>0</v>
      </c>
      <c r="AA65" s="94">
        <f>SUMIFS(DB!$AC:$AC,DB!$E:$E,'Detail Cab By Tgl'!$B65,DB!$AP:$AP,'Detail Cab By Tgl'!$D65,DB!$AT:$AT,"ALDA",DB!$AQ:$AQ,'Detail Cab By Tgl'!AA$29)</f>
        <v>0</v>
      </c>
      <c r="AB65" s="94">
        <f>SUMIFS(DB!$AC:$AC,DB!$E:$E,'Detail Cab By Tgl'!$B65,DB!$AP:$AP,'Detail Cab By Tgl'!$D65,DB!$AT:$AT,"ALDA",DB!$AQ:$AQ,'Detail Cab By Tgl'!AB$29)</f>
        <v>0</v>
      </c>
      <c r="AC65" s="94">
        <f>SUMIFS(DB!$AC:$AC,DB!$E:$E,'Detail Cab By Tgl'!$B65,DB!$AP:$AP,'Detail Cab By Tgl'!$D65,DB!$AT:$AT,"ALDA",DB!$AQ:$AQ,'Detail Cab By Tgl'!AC$29)</f>
        <v>0</v>
      </c>
      <c r="AD65" s="94">
        <f>SUMIFS(DB!$AC:$AC,DB!$E:$E,'Detail Cab By Tgl'!$B65,DB!$AP:$AP,'Detail Cab By Tgl'!$D65,DB!$AT:$AT,"ALDA",DB!$AQ:$AQ,'Detail Cab By Tgl'!AD$29)</f>
        <v>0</v>
      </c>
      <c r="AE65" s="94">
        <f>SUMIFS(DB!$AC:$AC,DB!$E:$E,'Detail Cab By Tgl'!$B65,DB!$AP:$AP,'Detail Cab By Tgl'!$D65,DB!$AT:$AT,"ALDA",DB!$AQ:$AQ,'Detail Cab By Tgl'!AE$29)</f>
        <v>0</v>
      </c>
      <c r="AF65" s="94">
        <f>SUMIFS(DB!$AC:$AC,DB!$E:$E,'Detail Cab By Tgl'!$B65,DB!$AP:$AP,'Detail Cab By Tgl'!$D65,DB!$AT:$AT,"ALDA",DB!$AQ:$AQ,'Detail Cab By Tgl'!AF$29)</f>
        <v>0</v>
      </c>
      <c r="AG65" s="94">
        <f>SUMIFS(DB!$AC:$AC,DB!$E:$E,'Detail Cab By Tgl'!$B65,DB!$AP:$AP,'Detail Cab By Tgl'!$D65,DB!$AT:$AT,"ALDA",DB!$AQ:$AQ,'Detail Cab By Tgl'!AG$29)</f>
        <v>0</v>
      </c>
      <c r="AH65" s="94">
        <f>SUMIFS(DB!$AC:$AC,DB!$E:$E,'Detail Cab By Tgl'!$B65,DB!$AP:$AP,'Detail Cab By Tgl'!$D65,DB!$AT:$AT,"ALDA",DB!$AQ:$AQ,'Detail Cab By Tgl'!AH$29)</f>
        <v>0</v>
      </c>
      <c r="AI65" s="95">
        <f>SUMIFS(DB!$AC:$AC,DB!$E:$E,'Detail Cab By Tgl'!$B65,DB!$AP:$AP,'Detail Cab By Tgl'!$D65,DB!$AT:$AT,"ALDA",DB!$AQ:$AQ,'Detail Cab By Tgl'!AI$29)</f>
        <v>0</v>
      </c>
      <c r="AJ65" s="176">
        <f t="shared" si="8"/>
        <v>0</v>
      </c>
    </row>
    <row r="66" spans="2:36" x14ac:dyDescent="0.3">
      <c r="B66" s="321" t="s">
        <v>45</v>
      </c>
      <c r="C66" s="322" t="s">
        <v>295</v>
      </c>
      <c r="D66" s="106" t="s">
        <v>37</v>
      </c>
      <c r="E66" s="93">
        <f>SUMIFS(DB!$AC:$AC,DB!$E:$E,'Detail Cab By Tgl'!$B66,DB!$AP:$AP,'Detail Cab By Tgl'!$D66,DB!$AT:$AT,"ALDA",DB!$AQ:$AQ,'Detail Cab By Tgl'!E$29)</f>
        <v>0</v>
      </c>
      <c r="F66" s="94">
        <f>SUMIFS(DB!$AC:$AC,DB!$E:$E,'Detail Cab By Tgl'!$B66,DB!$AP:$AP,'Detail Cab By Tgl'!$D66,DB!$AT:$AT,"ALDA",DB!$AQ:$AQ,'Detail Cab By Tgl'!F$29)</f>
        <v>21000</v>
      </c>
      <c r="G66" s="94">
        <f>SUMIFS(DB!$AC:$AC,DB!$E:$E,'Detail Cab By Tgl'!$B66,DB!$AP:$AP,'Detail Cab By Tgl'!$D66,DB!$AT:$AT,"ALDA",DB!$AQ:$AQ,'Detail Cab By Tgl'!G$29)</f>
        <v>0</v>
      </c>
      <c r="H66" s="94">
        <f>SUMIFS(DB!$AC:$AC,DB!$E:$E,'Detail Cab By Tgl'!$B66,DB!$AP:$AP,'Detail Cab By Tgl'!$D66,DB!$AT:$AT,"ALDA",DB!$AQ:$AQ,'Detail Cab By Tgl'!H$29)</f>
        <v>0</v>
      </c>
      <c r="I66" s="94">
        <f>SUMIFS(DB!$AC:$AC,DB!$E:$E,'Detail Cab By Tgl'!$B66,DB!$AP:$AP,'Detail Cab By Tgl'!$D66,DB!$AT:$AT,"ALDA",DB!$AQ:$AQ,'Detail Cab By Tgl'!I$29)</f>
        <v>0</v>
      </c>
      <c r="J66" s="94">
        <f>SUMIFS(DB!$AC:$AC,DB!$E:$E,'Detail Cab By Tgl'!$B66,DB!$AP:$AP,'Detail Cab By Tgl'!$D66,DB!$AT:$AT,"ALDA",DB!$AQ:$AQ,'Detail Cab By Tgl'!J$29)</f>
        <v>0</v>
      </c>
      <c r="K66" s="94">
        <f>SUMIFS(DB!$AC:$AC,DB!$E:$E,'Detail Cab By Tgl'!$B66,DB!$AP:$AP,'Detail Cab By Tgl'!$D66,DB!$AT:$AT,"ALDA",DB!$AQ:$AQ,'Detail Cab By Tgl'!K$29)</f>
        <v>0</v>
      </c>
      <c r="L66" s="94">
        <f>SUMIFS(DB!$AC:$AC,DB!$E:$E,'Detail Cab By Tgl'!$B66,DB!$AP:$AP,'Detail Cab By Tgl'!$D66,DB!$AT:$AT,"ALDA",DB!$AQ:$AQ,'Detail Cab By Tgl'!L$29)</f>
        <v>0</v>
      </c>
      <c r="M66" s="94">
        <f>SUMIFS(DB!$AC:$AC,DB!$E:$E,'Detail Cab By Tgl'!$B66,DB!$AP:$AP,'Detail Cab By Tgl'!$D66,DB!$AT:$AT,"ALDA",DB!$AQ:$AQ,'Detail Cab By Tgl'!M$29)</f>
        <v>0</v>
      </c>
      <c r="N66" s="94">
        <f>SUMIFS(DB!$AC:$AC,DB!$E:$E,'Detail Cab By Tgl'!$B66,DB!$AP:$AP,'Detail Cab By Tgl'!$D66,DB!$AT:$AT,"ALDA",DB!$AQ:$AQ,'Detail Cab By Tgl'!N$29)</f>
        <v>0</v>
      </c>
      <c r="O66" s="94">
        <f>SUMIFS(DB!$AC:$AC,DB!$E:$E,'Detail Cab By Tgl'!$B66,DB!$AP:$AP,'Detail Cab By Tgl'!$D66,DB!$AT:$AT,"ALDA",DB!$AQ:$AQ,'Detail Cab By Tgl'!O$29)</f>
        <v>0</v>
      </c>
      <c r="P66" s="94">
        <f>SUMIFS(DB!$AC:$AC,DB!$E:$E,'Detail Cab By Tgl'!$B66,DB!$AP:$AP,'Detail Cab By Tgl'!$D66,DB!$AT:$AT,"ALDA",DB!$AQ:$AQ,'Detail Cab By Tgl'!P$29)</f>
        <v>0</v>
      </c>
      <c r="Q66" s="94">
        <f>SUMIFS(DB!$AC:$AC,DB!$E:$E,'Detail Cab By Tgl'!$B66,DB!$AP:$AP,'Detail Cab By Tgl'!$D66,DB!$AT:$AT,"ALDA",DB!$AQ:$AQ,'Detail Cab By Tgl'!Q$29)</f>
        <v>0</v>
      </c>
      <c r="R66" s="94">
        <f>SUMIFS(DB!$AC:$AC,DB!$E:$E,'Detail Cab By Tgl'!$B66,DB!$AP:$AP,'Detail Cab By Tgl'!$D66,DB!$AT:$AT,"ALDA",DB!$AQ:$AQ,'Detail Cab By Tgl'!R$29)</f>
        <v>0</v>
      </c>
      <c r="S66" s="94">
        <f>SUMIFS(DB!$AC:$AC,DB!$E:$E,'Detail Cab By Tgl'!$B66,DB!$AP:$AP,'Detail Cab By Tgl'!$D66,DB!$AT:$AT,"ALDA",DB!$AQ:$AQ,'Detail Cab By Tgl'!S$29)</f>
        <v>0</v>
      </c>
      <c r="T66" s="94">
        <f>SUMIFS(DB!$AC:$AC,DB!$E:$E,'Detail Cab By Tgl'!$B66,DB!$AP:$AP,'Detail Cab By Tgl'!$D66,DB!$AT:$AT,"ALDA",DB!$AQ:$AQ,'Detail Cab By Tgl'!T$29)</f>
        <v>0</v>
      </c>
      <c r="U66" s="94">
        <f>SUMIFS(DB!$AC:$AC,DB!$E:$E,'Detail Cab By Tgl'!$B66,DB!$AP:$AP,'Detail Cab By Tgl'!$D66,DB!$AT:$AT,"ALDA",DB!$AQ:$AQ,'Detail Cab By Tgl'!U$29)</f>
        <v>0</v>
      </c>
      <c r="V66" s="94">
        <f>SUMIFS(DB!$AC:$AC,DB!$E:$E,'Detail Cab By Tgl'!$B66,DB!$AP:$AP,'Detail Cab By Tgl'!$D66,DB!$AT:$AT,"ALDA",DB!$AQ:$AQ,'Detail Cab By Tgl'!V$29)</f>
        <v>0</v>
      </c>
      <c r="W66" s="94">
        <f>SUMIFS(DB!$AC:$AC,DB!$E:$E,'Detail Cab By Tgl'!$B66,DB!$AP:$AP,'Detail Cab By Tgl'!$D66,DB!$AT:$AT,"ALDA",DB!$AQ:$AQ,'Detail Cab By Tgl'!W$29)</f>
        <v>0</v>
      </c>
      <c r="X66" s="94">
        <f>SUMIFS(DB!$AC:$AC,DB!$E:$E,'Detail Cab By Tgl'!$B66,DB!$AP:$AP,'Detail Cab By Tgl'!$D66,DB!$AT:$AT,"ALDA",DB!$AQ:$AQ,'Detail Cab By Tgl'!X$29)</f>
        <v>0</v>
      </c>
      <c r="Y66" s="94">
        <f>SUMIFS(DB!$AC:$AC,DB!$E:$E,'Detail Cab By Tgl'!$B66,DB!$AP:$AP,'Detail Cab By Tgl'!$D66,DB!$AT:$AT,"ALDA",DB!$AQ:$AQ,'Detail Cab By Tgl'!Y$29)</f>
        <v>0</v>
      </c>
      <c r="Z66" s="94">
        <f>SUMIFS(DB!$AC:$AC,DB!$E:$E,'Detail Cab By Tgl'!$B66,DB!$AP:$AP,'Detail Cab By Tgl'!$D66,DB!$AT:$AT,"ALDA",DB!$AQ:$AQ,'Detail Cab By Tgl'!Z$29)</f>
        <v>0</v>
      </c>
      <c r="AA66" s="94">
        <f>SUMIFS(DB!$AC:$AC,DB!$E:$E,'Detail Cab By Tgl'!$B66,DB!$AP:$AP,'Detail Cab By Tgl'!$D66,DB!$AT:$AT,"ALDA",DB!$AQ:$AQ,'Detail Cab By Tgl'!AA$29)</f>
        <v>0</v>
      </c>
      <c r="AB66" s="94">
        <f>SUMIFS(DB!$AC:$AC,DB!$E:$E,'Detail Cab By Tgl'!$B66,DB!$AP:$AP,'Detail Cab By Tgl'!$D66,DB!$AT:$AT,"ALDA",DB!$AQ:$AQ,'Detail Cab By Tgl'!AB$29)</f>
        <v>0</v>
      </c>
      <c r="AC66" s="94">
        <f>SUMIFS(DB!$AC:$AC,DB!$E:$E,'Detail Cab By Tgl'!$B66,DB!$AP:$AP,'Detail Cab By Tgl'!$D66,DB!$AT:$AT,"ALDA",DB!$AQ:$AQ,'Detail Cab By Tgl'!AC$29)</f>
        <v>0</v>
      </c>
      <c r="AD66" s="94">
        <f>SUMIFS(DB!$AC:$AC,DB!$E:$E,'Detail Cab By Tgl'!$B66,DB!$AP:$AP,'Detail Cab By Tgl'!$D66,DB!$AT:$AT,"ALDA",DB!$AQ:$AQ,'Detail Cab By Tgl'!AD$29)</f>
        <v>0</v>
      </c>
      <c r="AE66" s="94">
        <f>SUMIFS(DB!$AC:$AC,DB!$E:$E,'Detail Cab By Tgl'!$B66,DB!$AP:$AP,'Detail Cab By Tgl'!$D66,DB!$AT:$AT,"ALDA",DB!$AQ:$AQ,'Detail Cab By Tgl'!AE$29)</f>
        <v>0</v>
      </c>
      <c r="AF66" s="94">
        <f>SUMIFS(DB!$AC:$AC,DB!$E:$E,'Detail Cab By Tgl'!$B66,DB!$AP:$AP,'Detail Cab By Tgl'!$D66,DB!$AT:$AT,"ALDA",DB!$AQ:$AQ,'Detail Cab By Tgl'!AF$29)</f>
        <v>0</v>
      </c>
      <c r="AG66" s="94">
        <f>SUMIFS(DB!$AC:$AC,DB!$E:$E,'Detail Cab By Tgl'!$B66,DB!$AP:$AP,'Detail Cab By Tgl'!$D66,DB!$AT:$AT,"ALDA",DB!$AQ:$AQ,'Detail Cab By Tgl'!AG$29)</f>
        <v>0</v>
      </c>
      <c r="AH66" s="94">
        <f>SUMIFS(DB!$AC:$AC,DB!$E:$E,'Detail Cab By Tgl'!$B66,DB!$AP:$AP,'Detail Cab By Tgl'!$D66,DB!$AT:$AT,"ALDA",DB!$AQ:$AQ,'Detail Cab By Tgl'!AH$29)</f>
        <v>0</v>
      </c>
      <c r="AI66" s="95">
        <f>SUMIFS(DB!$AC:$AC,DB!$E:$E,'Detail Cab By Tgl'!$B66,DB!$AP:$AP,'Detail Cab By Tgl'!$D66,DB!$AT:$AT,"ALDA",DB!$AQ:$AQ,'Detail Cab By Tgl'!AI$29)</f>
        <v>0</v>
      </c>
      <c r="AJ66" s="176">
        <f t="shared" si="8"/>
        <v>21000</v>
      </c>
    </row>
    <row r="67" spans="2:36" x14ac:dyDescent="0.3">
      <c r="B67" s="321" t="s">
        <v>45</v>
      </c>
      <c r="C67" s="322" t="s">
        <v>295</v>
      </c>
      <c r="D67" s="106" t="s">
        <v>557</v>
      </c>
      <c r="E67" s="93">
        <f>SUMIFS(DB!$AC:$AC,DB!$E:$E,'Detail Cab By Tgl'!$B67,DB!$AP:$AP,'Detail Cab By Tgl'!$D67,DB!$AT:$AT,"ALDA",DB!$AQ:$AQ,'Detail Cab By Tgl'!E$29)</f>
        <v>0</v>
      </c>
      <c r="F67" s="94">
        <f>SUMIFS(DB!$AC:$AC,DB!$E:$E,'Detail Cab By Tgl'!$B67,DB!$AP:$AP,'Detail Cab By Tgl'!$D67,DB!$AT:$AT,"ALDA",DB!$AQ:$AQ,'Detail Cab By Tgl'!F$29)</f>
        <v>0</v>
      </c>
      <c r="G67" s="94">
        <f>SUMIFS(DB!$AC:$AC,DB!$E:$E,'Detail Cab By Tgl'!$B67,DB!$AP:$AP,'Detail Cab By Tgl'!$D67,DB!$AT:$AT,"ALDA",DB!$AQ:$AQ,'Detail Cab By Tgl'!G$29)</f>
        <v>0</v>
      </c>
      <c r="H67" s="94">
        <f>SUMIFS(DB!$AC:$AC,DB!$E:$E,'Detail Cab By Tgl'!$B67,DB!$AP:$AP,'Detail Cab By Tgl'!$D67,DB!$AT:$AT,"ALDA",DB!$AQ:$AQ,'Detail Cab By Tgl'!H$29)</f>
        <v>0</v>
      </c>
      <c r="I67" s="94">
        <f>SUMIFS(DB!$AC:$AC,DB!$E:$E,'Detail Cab By Tgl'!$B67,DB!$AP:$AP,'Detail Cab By Tgl'!$D67,DB!$AT:$AT,"ALDA",DB!$AQ:$AQ,'Detail Cab By Tgl'!I$29)</f>
        <v>0</v>
      </c>
      <c r="J67" s="94">
        <f>SUMIFS(DB!$AC:$AC,DB!$E:$E,'Detail Cab By Tgl'!$B67,DB!$AP:$AP,'Detail Cab By Tgl'!$D67,DB!$AT:$AT,"ALDA",DB!$AQ:$AQ,'Detail Cab By Tgl'!J$29)</f>
        <v>0</v>
      </c>
      <c r="K67" s="94">
        <f>SUMIFS(DB!$AC:$AC,DB!$E:$E,'Detail Cab By Tgl'!$B67,DB!$AP:$AP,'Detail Cab By Tgl'!$D67,DB!$AT:$AT,"ALDA",DB!$AQ:$AQ,'Detail Cab By Tgl'!K$29)</f>
        <v>0</v>
      </c>
      <c r="L67" s="94">
        <f>SUMIFS(DB!$AC:$AC,DB!$E:$E,'Detail Cab By Tgl'!$B67,DB!$AP:$AP,'Detail Cab By Tgl'!$D67,DB!$AT:$AT,"ALDA",DB!$AQ:$AQ,'Detail Cab By Tgl'!L$29)</f>
        <v>0</v>
      </c>
      <c r="M67" s="94">
        <f>SUMIFS(DB!$AC:$AC,DB!$E:$E,'Detail Cab By Tgl'!$B67,DB!$AP:$AP,'Detail Cab By Tgl'!$D67,DB!$AT:$AT,"ALDA",DB!$AQ:$AQ,'Detail Cab By Tgl'!M$29)</f>
        <v>0</v>
      </c>
      <c r="N67" s="94">
        <f>SUMIFS(DB!$AC:$AC,DB!$E:$E,'Detail Cab By Tgl'!$B67,DB!$AP:$AP,'Detail Cab By Tgl'!$D67,DB!$AT:$AT,"ALDA",DB!$AQ:$AQ,'Detail Cab By Tgl'!N$29)</f>
        <v>0</v>
      </c>
      <c r="O67" s="94">
        <f>SUMIFS(DB!$AC:$AC,DB!$E:$E,'Detail Cab By Tgl'!$B67,DB!$AP:$AP,'Detail Cab By Tgl'!$D67,DB!$AT:$AT,"ALDA",DB!$AQ:$AQ,'Detail Cab By Tgl'!O$29)</f>
        <v>0</v>
      </c>
      <c r="P67" s="94">
        <f>SUMIFS(DB!$AC:$AC,DB!$E:$E,'Detail Cab By Tgl'!$B67,DB!$AP:$AP,'Detail Cab By Tgl'!$D67,DB!$AT:$AT,"ALDA",DB!$AQ:$AQ,'Detail Cab By Tgl'!P$29)</f>
        <v>0</v>
      </c>
      <c r="Q67" s="94">
        <f>SUMIFS(DB!$AC:$AC,DB!$E:$E,'Detail Cab By Tgl'!$B67,DB!$AP:$AP,'Detail Cab By Tgl'!$D67,DB!$AT:$AT,"ALDA",DB!$AQ:$AQ,'Detail Cab By Tgl'!Q$29)</f>
        <v>0</v>
      </c>
      <c r="R67" s="94">
        <f>SUMIFS(DB!$AC:$AC,DB!$E:$E,'Detail Cab By Tgl'!$B67,DB!$AP:$AP,'Detail Cab By Tgl'!$D67,DB!$AT:$AT,"ALDA",DB!$AQ:$AQ,'Detail Cab By Tgl'!R$29)</f>
        <v>0</v>
      </c>
      <c r="S67" s="94">
        <f>SUMIFS(DB!$AC:$AC,DB!$E:$E,'Detail Cab By Tgl'!$B67,DB!$AP:$AP,'Detail Cab By Tgl'!$D67,DB!$AT:$AT,"ALDA",DB!$AQ:$AQ,'Detail Cab By Tgl'!S$29)</f>
        <v>0</v>
      </c>
      <c r="T67" s="94">
        <f>SUMIFS(DB!$AC:$AC,DB!$E:$E,'Detail Cab By Tgl'!$B67,DB!$AP:$AP,'Detail Cab By Tgl'!$D67,DB!$AT:$AT,"ALDA",DB!$AQ:$AQ,'Detail Cab By Tgl'!T$29)</f>
        <v>0</v>
      </c>
      <c r="U67" s="94">
        <f>SUMIFS(DB!$AC:$AC,DB!$E:$E,'Detail Cab By Tgl'!$B67,DB!$AP:$AP,'Detail Cab By Tgl'!$D67,DB!$AT:$AT,"ALDA",DB!$AQ:$AQ,'Detail Cab By Tgl'!U$29)</f>
        <v>0</v>
      </c>
      <c r="V67" s="94">
        <f>SUMIFS(DB!$AC:$AC,DB!$E:$E,'Detail Cab By Tgl'!$B67,DB!$AP:$AP,'Detail Cab By Tgl'!$D67,DB!$AT:$AT,"ALDA",DB!$AQ:$AQ,'Detail Cab By Tgl'!V$29)</f>
        <v>0</v>
      </c>
      <c r="W67" s="94">
        <f>SUMIFS(DB!$AC:$AC,DB!$E:$E,'Detail Cab By Tgl'!$B67,DB!$AP:$AP,'Detail Cab By Tgl'!$D67,DB!$AT:$AT,"ALDA",DB!$AQ:$AQ,'Detail Cab By Tgl'!W$29)</f>
        <v>0</v>
      </c>
      <c r="X67" s="94">
        <f>SUMIFS(DB!$AC:$AC,DB!$E:$E,'Detail Cab By Tgl'!$B67,DB!$AP:$AP,'Detail Cab By Tgl'!$D67,DB!$AT:$AT,"ALDA",DB!$AQ:$AQ,'Detail Cab By Tgl'!X$29)</f>
        <v>0</v>
      </c>
      <c r="Y67" s="94">
        <f>SUMIFS(DB!$AC:$AC,DB!$E:$E,'Detail Cab By Tgl'!$B67,DB!$AP:$AP,'Detail Cab By Tgl'!$D67,DB!$AT:$AT,"ALDA",DB!$AQ:$AQ,'Detail Cab By Tgl'!Y$29)</f>
        <v>0</v>
      </c>
      <c r="Z67" s="94">
        <f>SUMIFS(DB!$AC:$AC,DB!$E:$E,'Detail Cab By Tgl'!$B67,DB!$AP:$AP,'Detail Cab By Tgl'!$D67,DB!$AT:$AT,"ALDA",DB!$AQ:$AQ,'Detail Cab By Tgl'!Z$29)</f>
        <v>0</v>
      </c>
      <c r="AA67" s="94">
        <f>SUMIFS(DB!$AC:$AC,DB!$E:$E,'Detail Cab By Tgl'!$B67,DB!$AP:$AP,'Detail Cab By Tgl'!$D67,DB!$AT:$AT,"ALDA",DB!$AQ:$AQ,'Detail Cab By Tgl'!AA$29)</f>
        <v>0</v>
      </c>
      <c r="AB67" s="94">
        <f>SUMIFS(DB!$AC:$AC,DB!$E:$E,'Detail Cab By Tgl'!$B67,DB!$AP:$AP,'Detail Cab By Tgl'!$D67,DB!$AT:$AT,"ALDA",DB!$AQ:$AQ,'Detail Cab By Tgl'!AB$29)</f>
        <v>0</v>
      </c>
      <c r="AC67" s="94">
        <f>SUMIFS(DB!$AC:$AC,DB!$E:$E,'Detail Cab By Tgl'!$B67,DB!$AP:$AP,'Detail Cab By Tgl'!$D67,DB!$AT:$AT,"ALDA",DB!$AQ:$AQ,'Detail Cab By Tgl'!AC$29)</f>
        <v>0</v>
      </c>
      <c r="AD67" s="94">
        <f>SUMIFS(DB!$AC:$AC,DB!$E:$E,'Detail Cab By Tgl'!$B67,DB!$AP:$AP,'Detail Cab By Tgl'!$D67,DB!$AT:$AT,"ALDA",DB!$AQ:$AQ,'Detail Cab By Tgl'!AD$29)</f>
        <v>0</v>
      </c>
      <c r="AE67" s="94">
        <f>SUMIFS(DB!$AC:$AC,DB!$E:$E,'Detail Cab By Tgl'!$B67,DB!$AP:$AP,'Detail Cab By Tgl'!$D67,DB!$AT:$AT,"ALDA",DB!$AQ:$AQ,'Detail Cab By Tgl'!AE$29)</f>
        <v>0</v>
      </c>
      <c r="AF67" s="94">
        <f>SUMIFS(DB!$AC:$AC,DB!$E:$E,'Detail Cab By Tgl'!$B67,DB!$AP:$AP,'Detail Cab By Tgl'!$D67,DB!$AT:$AT,"ALDA",DB!$AQ:$AQ,'Detail Cab By Tgl'!AF$29)</f>
        <v>0</v>
      </c>
      <c r="AG67" s="94">
        <f>SUMIFS(DB!$AC:$AC,DB!$E:$E,'Detail Cab By Tgl'!$B67,DB!$AP:$AP,'Detail Cab By Tgl'!$D67,DB!$AT:$AT,"ALDA",DB!$AQ:$AQ,'Detail Cab By Tgl'!AG$29)</f>
        <v>0</v>
      </c>
      <c r="AH67" s="94">
        <f>SUMIFS(DB!$AC:$AC,DB!$E:$E,'Detail Cab By Tgl'!$B67,DB!$AP:$AP,'Detail Cab By Tgl'!$D67,DB!$AT:$AT,"ALDA",DB!$AQ:$AQ,'Detail Cab By Tgl'!AH$29)</f>
        <v>0</v>
      </c>
      <c r="AI67" s="95">
        <f>SUMIFS(DB!$AC:$AC,DB!$E:$E,'Detail Cab By Tgl'!$B67,DB!$AP:$AP,'Detail Cab By Tgl'!$D67,DB!$AT:$AT,"ALDA",DB!$AQ:$AQ,'Detail Cab By Tgl'!AI$29)</f>
        <v>0</v>
      </c>
      <c r="AJ67" s="176">
        <f t="shared" si="8"/>
        <v>0</v>
      </c>
    </row>
    <row r="68" spans="2:36" x14ac:dyDescent="0.3">
      <c r="B68" s="321" t="s">
        <v>45</v>
      </c>
      <c r="C68" s="322" t="s">
        <v>265</v>
      </c>
      <c r="D68" s="106" t="s">
        <v>43</v>
      </c>
      <c r="E68" s="93">
        <f>SUMIFS(DB!$AC:$AC,DB!$E:$E,'Detail Cab By Tgl'!$B68,DB!$AP:$AP,'Detail Cab By Tgl'!$D68,DB!$AT:$AT,"ALDA",DB!$AQ:$AQ,'Detail Cab By Tgl'!E$29)</f>
        <v>0</v>
      </c>
      <c r="F68" s="94">
        <f>SUMIFS(DB!$AC:$AC,DB!$E:$E,'Detail Cab By Tgl'!$B68,DB!$AP:$AP,'Detail Cab By Tgl'!$D68,DB!$AT:$AT,"ALDA",DB!$AQ:$AQ,'Detail Cab By Tgl'!F$29)</f>
        <v>0</v>
      </c>
      <c r="G68" s="94">
        <f>SUMIFS(DB!$AC:$AC,DB!$E:$E,'Detail Cab By Tgl'!$B68,DB!$AP:$AP,'Detail Cab By Tgl'!$D68,DB!$AT:$AT,"ALDA",DB!$AQ:$AQ,'Detail Cab By Tgl'!G$29)</f>
        <v>0</v>
      </c>
      <c r="H68" s="94">
        <f>SUMIFS(DB!$AC:$AC,DB!$E:$E,'Detail Cab By Tgl'!$B68,DB!$AP:$AP,'Detail Cab By Tgl'!$D68,DB!$AT:$AT,"ALDA",DB!$AQ:$AQ,'Detail Cab By Tgl'!H$29)</f>
        <v>0</v>
      </c>
      <c r="I68" s="94">
        <f>SUMIFS(DB!$AC:$AC,DB!$E:$E,'Detail Cab By Tgl'!$B68,DB!$AP:$AP,'Detail Cab By Tgl'!$D68,DB!$AT:$AT,"ALDA",DB!$AQ:$AQ,'Detail Cab By Tgl'!I$29)</f>
        <v>0</v>
      </c>
      <c r="J68" s="94">
        <f>SUMIFS(DB!$AC:$AC,DB!$E:$E,'Detail Cab By Tgl'!$B68,DB!$AP:$AP,'Detail Cab By Tgl'!$D68,DB!$AT:$AT,"ALDA",DB!$AQ:$AQ,'Detail Cab By Tgl'!J$29)</f>
        <v>0</v>
      </c>
      <c r="K68" s="94">
        <f>SUMIFS(DB!$AC:$AC,DB!$E:$E,'Detail Cab By Tgl'!$B68,DB!$AP:$AP,'Detail Cab By Tgl'!$D68,DB!$AT:$AT,"ALDA",DB!$AQ:$AQ,'Detail Cab By Tgl'!K$29)</f>
        <v>0</v>
      </c>
      <c r="L68" s="94">
        <f>SUMIFS(DB!$AC:$AC,DB!$E:$E,'Detail Cab By Tgl'!$B68,DB!$AP:$AP,'Detail Cab By Tgl'!$D68,DB!$AT:$AT,"ALDA",DB!$AQ:$AQ,'Detail Cab By Tgl'!L$29)</f>
        <v>0</v>
      </c>
      <c r="M68" s="94">
        <f>SUMIFS(DB!$AC:$AC,DB!$E:$E,'Detail Cab By Tgl'!$B68,DB!$AP:$AP,'Detail Cab By Tgl'!$D68,DB!$AT:$AT,"ALDA",DB!$AQ:$AQ,'Detail Cab By Tgl'!M$29)</f>
        <v>0</v>
      </c>
      <c r="N68" s="94">
        <f>SUMIFS(DB!$AC:$AC,DB!$E:$E,'Detail Cab By Tgl'!$B68,DB!$AP:$AP,'Detail Cab By Tgl'!$D68,DB!$AT:$AT,"ALDA",DB!$AQ:$AQ,'Detail Cab By Tgl'!N$29)</f>
        <v>0</v>
      </c>
      <c r="O68" s="94">
        <f>SUMIFS(DB!$AC:$AC,DB!$E:$E,'Detail Cab By Tgl'!$B68,DB!$AP:$AP,'Detail Cab By Tgl'!$D68,DB!$AT:$AT,"ALDA",DB!$AQ:$AQ,'Detail Cab By Tgl'!O$29)</f>
        <v>0</v>
      </c>
      <c r="P68" s="94">
        <f>SUMIFS(DB!$AC:$AC,DB!$E:$E,'Detail Cab By Tgl'!$B68,DB!$AP:$AP,'Detail Cab By Tgl'!$D68,DB!$AT:$AT,"ALDA",DB!$AQ:$AQ,'Detail Cab By Tgl'!P$29)</f>
        <v>0</v>
      </c>
      <c r="Q68" s="94">
        <f>SUMIFS(DB!$AC:$AC,DB!$E:$E,'Detail Cab By Tgl'!$B68,DB!$AP:$AP,'Detail Cab By Tgl'!$D68,DB!$AT:$AT,"ALDA",DB!$AQ:$AQ,'Detail Cab By Tgl'!Q$29)</f>
        <v>0</v>
      </c>
      <c r="R68" s="94">
        <f>SUMIFS(DB!$AC:$AC,DB!$E:$E,'Detail Cab By Tgl'!$B68,DB!$AP:$AP,'Detail Cab By Tgl'!$D68,DB!$AT:$AT,"ALDA",DB!$AQ:$AQ,'Detail Cab By Tgl'!R$29)</f>
        <v>0</v>
      </c>
      <c r="S68" s="94">
        <f>SUMIFS(DB!$AC:$AC,DB!$E:$E,'Detail Cab By Tgl'!$B68,DB!$AP:$AP,'Detail Cab By Tgl'!$D68,DB!$AT:$AT,"ALDA",DB!$AQ:$AQ,'Detail Cab By Tgl'!S$29)</f>
        <v>0</v>
      </c>
      <c r="T68" s="94">
        <f>SUMIFS(DB!$AC:$AC,DB!$E:$E,'Detail Cab By Tgl'!$B68,DB!$AP:$AP,'Detail Cab By Tgl'!$D68,DB!$AT:$AT,"ALDA",DB!$AQ:$AQ,'Detail Cab By Tgl'!T$29)</f>
        <v>0</v>
      </c>
      <c r="U68" s="94">
        <f>SUMIFS(DB!$AC:$AC,DB!$E:$E,'Detail Cab By Tgl'!$B68,DB!$AP:$AP,'Detail Cab By Tgl'!$D68,DB!$AT:$AT,"ALDA",DB!$AQ:$AQ,'Detail Cab By Tgl'!U$29)</f>
        <v>0</v>
      </c>
      <c r="V68" s="94">
        <f>SUMIFS(DB!$AC:$AC,DB!$E:$E,'Detail Cab By Tgl'!$B68,DB!$AP:$AP,'Detail Cab By Tgl'!$D68,DB!$AT:$AT,"ALDA",DB!$AQ:$AQ,'Detail Cab By Tgl'!V$29)</f>
        <v>0</v>
      </c>
      <c r="W68" s="94">
        <f>SUMIFS(DB!$AC:$AC,DB!$E:$E,'Detail Cab By Tgl'!$B68,DB!$AP:$AP,'Detail Cab By Tgl'!$D68,DB!$AT:$AT,"ALDA",DB!$AQ:$AQ,'Detail Cab By Tgl'!W$29)</f>
        <v>0</v>
      </c>
      <c r="X68" s="94">
        <f>SUMIFS(DB!$AC:$AC,DB!$E:$E,'Detail Cab By Tgl'!$B68,DB!$AP:$AP,'Detail Cab By Tgl'!$D68,DB!$AT:$AT,"ALDA",DB!$AQ:$AQ,'Detail Cab By Tgl'!X$29)</f>
        <v>0</v>
      </c>
      <c r="Y68" s="94">
        <f>SUMIFS(DB!$AC:$AC,DB!$E:$E,'Detail Cab By Tgl'!$B68,DB!$AP:$AP,'Detail Cab By Tgl'!$D68,DB!$AT:$AT,"ALDA",DB!$AQ:$AQ,'Detail Cab By Tgl'!Y$29)</f>
        <v>0</v>
      </c>
      <c r="Z68" s="94">
        <f>SUMIFS(DB!$AC:$AC,DB!$E:$E,'Detail Cab By Tgl'!$B68,DB!$AP:$AP,'Detail Cab By Tgl'!$D68,DB!$AT:$AT,"ALDA",DB!$AQ:$AQ,'Detail Cab By Tgl'!Z$29)</f>
        <v>0</v>
      </c>
      <c r="AA68" s="94">
        <f>SUMIFS(DB!$AC:$AC,DB!$E:$E,'Detail Cab By Tgl'!$B68,DB!$AP:$AP,'Detail Cab By Tgl'!$D68,DB!$AT:$AT,"ALDA",DB!$AQ:$AQ,'Detail Cab By Tgl'!AA$29)</f>
        <v>0</v>
      </c>
      <c r="AB68" s="94">
        <f>SUMIFS(DB!$AC:$AC,DB!$E:$E,'Detail Cab By Tgl'!$B68,DB!$AP:$AP,'Detail Cab By Tgl'!$D68,DB!$AT:$AT,"ALDA",DB!$AQ:$AQ,'Detail Cab By Tgl'!AB$29)</f>
        <v>0</v>
      </c>
      <c r="AC68" s="94">
        <f>SUMIFS(DB!$AC:$AC,DB!$E:$E,'Detail Cab By Tgl'!$B68,DB!$AP:$AP,'Detail Cab By Tgl'!$D68,DB!$AT:$AT,"ALDA",DB!$AQ:$AQ,'Detail Cab By Tgl'!AC$29)</f>
        <v>0</v>
      </c>
      <c r="AD68" s="94">
        <f>SUMIFS(DB!$AC:$AC,DB!$E:$E,'Detail Cab By Tgl'!$B68,DB!$AP:$AP,'Detail Cab By Tgl'!$D68,DB!$AT:$AT,"ALDA",DB!$AQ:$AQ,'Detail Cab By Tgl'!AD$29)</f>
        <v>0</v>
      </c>
      <c r="AE68" s="94">
        <f>SUMIFS(DB!$AC:$AC,DB!$E:$E,'Detail Cab By Tgl'!$B68,DB!$AP:$AP,'Detail Cab By Tgl'!$D68,DB!$AT:$AT,"ALDA",DB!$AQ:$AQ,'Detail Cab By Tgl'!AE$29)</f>
        <v>0</v>
      </c>
      <c r="AF68" s="94">
        <f>SUMIFS(DB!$AC:$AC,DB!$E:$E,'Detail Cab By Tgl'!$B68,DB!$AP:$AP,'Detail Cab By Tgl'!$D68,DB!$AT:$AT,"ALDA",DB!$AQ:$AQ,'Detail Cab By Tgl'!AF$29)</f>
        <v>0</v>
      </c>
      <c r="AG68" s="94">
        <f>SUMIFS(DB!$AC:$AC,DB!$E:$E,'Detail Cab By Tgl'!$B68,DB!$AP:$AP,'Detail Cab By Tgl'!$D68,DB!$AT:$AT,"ALDA",DB!$AQ:$AQ,'Detail Cab By Tgl'!AG$29)</f>
        <v>0</v>
      </c>
      <c r="AH68" s="94">
        <f>SUMIFS(DB!$AC:$AC,DB!$E:$E,'Detail Cab By Tgl'!$B68,DB!$AP:$AP,'Detail Cab By Tgl'!$D68,DB!$AT:$AT,"ALDA",DB!$AQ:$AQ,'Detail Cab By Tgl'!AH$29)</f>
        <v>0</v>
      </c>
      <c r="AI68" s="95">
        <f>SUMIFS(DB!$AC:$AC,DB!$E:$E,'Detail Cab By Tgl'!$B68,DB!$AP:$AP,'Detail Cab By Tgl'!$D68,DB!$AT:$AT,"ALDA",DB!$AQ:$AQ,'Detail Cab By Tgl'!AI$29)</f>
        <v>0</v>
      </c>
      <c r="AJ68" s="176">
        <f t="shared" si="8"/>
        <v>0</v>
      </c>
    </row>
    <row r="69" spans="2:36" x14ac:dyDescent="0.3">
      <c r="B69" s="321" t="s">
        <v>45</v>
      </c>
      <c r="C69" s="322" t="s">
        <v>265</v>
      </c>
      <c r="D69" s="106" t="s">
        <v>263</v>
      </c>
      <c r="E69" s="93">
        <f>SUMIFS(DB!$AC:$AC,DB!$E:$E,'Detail Cab By Tgl'!$B69,DB!$AP:$AP,'Detail Cab By Tgl'!$D69,DB!$AT:$AT,"ALDA",DB!$AQ:$AQ,'Detail Cab By Tgl'!E$29)</f>
        <v>0</v>
      </c>
      <c r="F69" s="94">
        <f>SUMIFS(DB!$AC:$AC,DB!$E:$E,'Detail Cab By Tgl'!$B69,DB!$AP:$AP,'Detail Cab By Tgl'!$D69,DB!$AT:$AT,"ALDA",DB!$AQ:$AQ,'Detail Cab By Tgl'!F$29)</f>
        <v>0</v>
      </c>
      <c r="G69" s="94">
        <f>SUMIFS(DB!$AC:$AC,DB!$E:$E,'Detail Cab By Tgl'!$B69,DB!$AP:$AP,'Detail Cab By Tgl'!$D69,DB!$AT:$AT,"ALDA",DB!$AQ:$AQ,'Detail Cab By Tgl'!G$29)</f>
        <v>0</v>
      </c>
      <c r="H69" s="94">
        <f>SUMIFS(DB!$AC:$AC,DB!$E:$E,'Detail Cab By Tgl'!$B69,DB!$AP:$AP,'Detail Cab By Tgl'!$D69,DB!$AT:$AT,"ALDA",DB!$AQ:$AQ,'Detail Cab By Tgl'!H$29)</f>
        <v>0</v>
      </c>
      <c r="I69" s="94">
        <f>SUMIFS(DB!$AC:$AC,DB!$E:$E,'Detail Cab By Tgl'!$B69,DB!$AP:$AP,'Detail Cab By Tgl'!$D69,DB!$AT:$AT,"ALDA",DB!$AQ:$AQ,'Detail Cab By Tgl'!I$29)</f>
        <v>0</v>
      </c>
      <c r="J69" s="94">
        <f>SUMIFS(DB!$AC:$AC,DB!$E:$E,'Detail Cab By Tgl'!$B69,DB!$AP:$AP,'Detail Cab By Tgl'!$D69,DB!$AT:$AT,"ALDA",DB!$AQ:$AQ,'Detail Cab By Tgl'!J$29)</f>
        <v>0</v>
      </c>
      <c r="K69" s="94">
        <f>SUMIFS(DB!$AC:$AC,DB!$E:$E,'Detail Cab By Tgl'!$B69,DB!$AP:$AP,'Detail Cab By Tgl'!$D69,DB!$AT:$AT,"ALDA",DB!$AQ:$AQ,'Detail Cab By Tgl'!K$29)</f>
        <v>0</v>
      </c>
      <c r="L69" s="94">
        <f>SUMIFS(DB!$AC:$AC,DB!$E:$E,'Detail Cab By Tgl'!$B69,DB!$AP:$AP,'Detail Cab By Tgl'!$D69,DB!$AT:$AT,"ALDA",DB!$AQ:$AQ,'Detail Cab By Tgl'!L$29)</f>
        <v>0</v>
      </c>
      <c r="M69" s="94">
        <f>SUMIFS(DB!$AC:$AC,DB!$E:$E,'Detail Cab By Tgl'!$B69,DB!$AP:$AP,'Detail Cab By Tgl'!$D69,DB!$AT:$AT,"ALDA",DB!$AQ:$AQ,'Detail Cab By Tgl'!M$29)</f>
        <v>0</v>
      </c>
      <c r="N69" s="94">
        <f>SUMIFS(DB!$AC:$AC,DB!$E:$E,'Detail Cab By Tgl'!$B69,DB!$AP:$AP,'Detail Cab By Tgl'!$D69,DB!$AT:$AT,"ALDA",DB!$AQ:$AQ,'Detail Cab By Tgl'!N$29)</f>
        <v>0</v>
      </c>
      <c r="O69" s="94">
        <f>SUMIFS(DB!$AC:$AC,DB!$E:$E,'Detail Cab By Tgl'!$B69,DB!$AP:$AP,'Detail Cab By Tgl'!$D69,DB!$AT:$AT,"ALDA",DB!$AQ:$AQ,'Detail Cab By Tgl'!O$29)</f>
        <v>0</v>
      </c>
      <c r="P69" s="94">
        <f>SUMIFS(DB!$AC:$AC,DB!$E:$E,'Detail Cab By Tgl'!$B69,DB!$AP:$AP,'Detail Cab By Tgl'!$D69,DB!$AT:$AT,"ALDA",DB!$AQ:$AQ,'Detail Cab By Tgl'!P$29)</f>
        <v>0</v>
      </c>
      <c r="Q69" s="94">
        <f>SUMIFS(DB!$AC:$AC,DB!$E:$E,'Detail Cab By Tgl'!$B69,DB!$AP:$AP,'Detail Cab By Tgl'!$D69,DB!$AT:$AT,"ALDA",DB!$AQ:$AQ,'Detail Cab By Tgl'!Q$29)</f>
        <v>0</v>
      </c>
      <c r="R69" s="94">
        <f>SUMIFS(DB!$AC:$AC,DB!$E:$E,'Detail Cab By Tgl'!$B69,DB!$AP:$AP,'Detail Cab By Tgl'!$D69,DB!$AT:$AT,"ALDA",DB!$AQ:$AQ,'Detail Cab By Tgl'!R$29)</f>
        <v>0</v>
      </c>
      <c r="S69" s="94">
        <f>SUMIFS(DB!$AC:$AC,DB!$E:$E,'Detail Cab By Tgl'!$B69,DB!$AP:$AP,'Detail Cab By Tgl'!$D69,DB!$AT:$AT,"ALDA",DB!$AQ:$AQ,'Detail Cab By Tgl'!S$29)</f>
        <v>0</v>
      </c>
      <c r="T69" s="94">
        <f>SUMIFS(DB!$AC:$AC,DB!$E:$E,'Detail Cab By Tgl'!$B69,DB!$AP:$AP,'Detail Cab By Tgl'!$D69,DB!$AT:$AT,"ALDA",DB!$AQ:$AQ,'Detail Cab By Tgl'!T$29)</f>
        <v>0</v>
      </c>
      <c r="U69" s="94">
        <f>SUMIFS(DB!$AC:$AC,DB!$E:$E,'Detail Cab By Tgl'!$B69,DB!$AP:$AP,'Detail Cab By Tgl'!$D69,DB!$AT:$AT,"ALDA",DB!$AQ:$AQ,'Detail Cab By Tgl'!U$29)</f>
        <v>0</v>
      </c>
      <c r="V69" s="94">
        <f>SUMIFS(DB!$AC:$AC,DB!$E:$E,'Detail Cab By Tgl'!$B69,DB!$AP:$AP,'Detail Cab By Tgl'!$D69,DB!$AT:$AT,"ALDA",DB!$AQ:$AQ,'Detail Cab By Tgl'!V$29)</f>
        <v>0</v>
      </c>
      <c r="W69" s="94">
        <f>SUMIFS(DB!$AC:$AC,DB!$E:$E,'Detail Cab By Tgl'!$B69,DB!$AP:$AP,'Detail Cab By Tgl'!$D69,DB!$AT:$AT,"ALDA",DB!$AQ:$AQ,'Detail Cab By Tgl'!W$29)</f>
        <v>0</v>
      </c>
      <c r="X69" s="94">
        <f>SUMIFS(DB!$AC:$AC,DB!$E:$E,'Detail Cab By Tgl'!$B69,DB!$AP:$AP,'Detail Cab By Tgl'!$D69,DB!$AT:$AT,"ALDA",DB!$AQ:$AQ,'Detail Cab By Tgl'!X$29)</f>
        <v>0</v>
      </c>
      <c r="Y69" s="94">
        <f>SUMIFS(DB!$AC:$AC,DB!$E:$E,'Detail Cab By Tgl'!$B69,DB!$AP:$AP,'Detail Cab By Tgl'!$D69,DB!$AT:$AT,"ALDA",DB!$AQ:$AQ,'Detail Cab By Tgl'!Y$29)</f>
        <v>0</v>
      </c>
      <c r="Z69" s="94">
        <f>SUMIFS(DB!$AC:$AC,DB!$E:$E,'Detail Cab By Tgl'!$B69,DB!$AP:$AP,'Detail Cab By Tgl'!$D69,DB!$AT:$AT,"ALDA",DB!$AQ:$AQ,'Detail Cab By Tgl'!Z$29)</f>
        <v>0</v>
      </c>
      <c r="AA69" s="94">
        <f>SUMIFS(DB!$AC:$AC,DB!$E:$E,'Detail Cab By Tgl'!$B69,DB!$AP:$AP,'Detail Cab By Tgl'!$D69,DB!$AT:$AT,"ALDA",DB!$AQ:$AQ,'Detail Cab By Tgl'!AA$29)</f>
        <v>0</v>
      </c>
      <c r="AB69" s="94">
        <f>SUMIFS(DB!$AC:$AC,DB!$E:$E,'Detail Cab By Tgl'!$B69,DB!$AP:$AP,'Detail Cab By Tgl'!$D69,DB!$AT:$AT,"ALDA",DB!$AQ:$AQ,'Detail Cab By Tgl'!AB$29)</f>
        <v>0</v>
      </c>
      <c r="AC69" s="94">
        <f>SUMIFS(DB!$AC:$AC,DB!$E:$E,'Detail Cab By Tgl'!$B69,DB!$AP:$AP,'Detail Cab By Tgl'!$D69,DB!$AT:$AT,"ALDA",DB!$AQ:$AQ,'Detail Cab By Tgl'!AC$29)</f>
        <v>0</v>
      </c>
      <c r="AD69" s="94">
        <f>SUMIFS(DB!$AC:$AC,DB!$E:$E,'Detail Cab By Tgl'!$B69,DB!$AP:$AP,'Detail Cab By Tgl'!$D69,DB!$AT:$AT,"ALDA",DB!$AQ:$AQ,'Detail Cab By Tgl'!AD$29)</f>
        <v>0</v>
      </c>
      <c r="AE69" s="94">
        <f>SUMIFS(DB!$AC:$AC,DB!$E:$E,'Detail Cab By Tgl'!$B69,DB!$AP:$AP,'Detail Cab By Tgl'!$D69,DB!$AT:$AT,"ALDA",DB!$AQ:$AQ,'Detail Cab By Tgl'!AE$29)</f>
        <v>0</v>
      </c>
      <c r="AF69" s="94">
        <f>SUMIFS(DB!$AC:$AC,DB!$E:$E,'Detail Cab By Tgl'!$B69,DB!$AP:$AP,'Detail Cab By Tgl'!$D69,DB!$AT:$AT,"ALDA",DB!$AQ:$AQ,'Detail Cab By Tgl'!AF$29)</f>
        <v>0</v>
      </c>
      <c r="AG69" s="94">
        <f>SUMIFS(DB!$AC:$AC,DB!$E:$E,'Detail Cab By Tgl'!$B69,DB!$AP:$AP,'Detail Cab By Tgl'!$D69,DB!$AT:$AT,"ALDA",DB!$AQ:$AQ,'Detail Cab By Tgl'!AG$29)</f>
        <v>0</v>
      </c>
      <c r="AH69" s="94">
        <f>SUMIFS(DB!$AC:$AC,DB!$E:$E,'Detail Cab By Tgl'!$B69,DB!$AP:$AP,'Detail Cab By Tgl'!$D69,DB!$AT:$AT,"ALDA",DB!$AQ:$AQ,'Detail Cab By Tgl'!AH$29)</f>
        <v>0</v>
      </c>
      <c r="AI69" s="95">
        <f>SUMIFS(DB!$AC:$AC,DB!$E:$E,'Detail Cab By Tgl'!$B69,DB!$AP:$AP,'Detail Cab By Tgl'!$D69,DB!$AT:$AT,"ALDA",DB!$AQ:$AQ,'Detail Cab By Tgl'!AI$29)</f>
        <v>0</v>
      </c>
      <c r="AJ69" s="176">
        <f t="shared" si="8"/>
        <v>0</v>
      </c>
    </row>
    <row r="70" spans="2:36" x14ac:dyDescent="0.3">
      <c r="B70" s="321" t="s">
        <v>45</v>
      </c>
      <c r="C70" s="322" t="s">
        <v>265</v>
      </c>
      <c r="D70" s="106" t="s">
        <v>290</v>
      </c>
      <c r="E70" s="93">
        <f>SUMIFS(DB!$AC:$AC,DB!$E:$E,'Detail Cab By Tgl'!$B70,DB!$AP:$AP,'Detail Cab By Tgl'!$D70,DB!$AT:$AT,"ALDA",DB!$AQ:$AQ,'Detail Cab By Tgl'!E$29)</f>
        <v>0</v>
      </c>
      <c r="F70" s="94">
        <f>SUMIFS(DB!$AC:$AC,DB!$E:$E,'Detail Cab By Tgl'!$B70,DB!$AP:$AP,'Detail Cab By Tgl'!$D70,DB!$AT:$AT,"ALDA",DB!$AQ:$AQ,'Detail Cab By Tgl'!F$29)</f>
        <v>0</v>
      </c>
      <c r="G70" s="94">
        <f>SUMIFS(DB!$AC:$AC,DB!$E:$E,'Detail Cab By Tgl'!$B70,DB!$AP:$AP,'Detail Cab By Tgl'!$D70,DB!$AT:$AT,"ALDA",DB!$AQ:$AQ,'Detail Cab By Tgl'!G$29)</f>
        <v>0</v>
      </c>
      <c r="H70" s="94">
        <f>SUMIFS(DB!$AC:$AC,DB!$E:$E,'Detail Cab By Tgl'!$B70,DB!$AP:$AP,'Detail Cab By Tgl'!$D70,DB!$AT:$AT,"ALDA",DB!$AQ:$AQ,'Detail Cab By Tgl'!H$29)</f>
        <v>0</v>
      </c>
      <c r="I70" s="94">
        <f>SUMIFS(DB!$AC:$AC,DB!$E:$E,'Detail Cab By Tgl'!$B70,DB!$AP:$AP,'Detail Cab By Tgl'!$D70,DB!$AT:$AT,"ALDA",DB!$AQ:$AQ,'Detail Cab By Tgl'!I$29)</f>
        <v>0</v>
      </c>
      <c r="J70" s="94">
        <f>SUMIFS(DB!$AC:$AC,DB!$E:$E,'Detail Cab By Tgl'!$B70,DB!$AP:$AP,'Detail Cab By Tgl'!$D70,DB!$AT:$AT,"ALDA",DB!$AQ:$AQ,'Detail Cab By Tgl'!J$29)</f>
        <v>0</v>
      </c>
      <c r="K70" s="94">
        <f>SUMIFS(DB!$AC:$AC,DB!$E:$E,'Detail Cab By Tgl'!$B70,DB!$AP:$AP,'Detail Cab By Tgl'!$D70,DB!$AT:$AT,"ALDA",DB!$AQ:$AQ,'Detail Cab By Tgl'!K$29)</f>
        <v>0</v>
      </c>
      <c r="L70" s="94">
        <f>SUMIFS(DB!$AC:$AC,DB!$E:$E,'Detail Cab By Tgl'!$B70,DB!$AP:$AP,'Detail Cab By Tgl'!$D70,DB!$AT:$AT,"ALDA",DB!$AQ:$AQ,'Detail Cab By Tgl'!L$29)</f>
        <v>0</v>
      </c>
      <c r="M70" s="94">
        <f>SUMIFS(DB!$AC:$AC,DB!$E:$E,'Detail Cab By Tgl'!$B70,DB!$AP:$AP,'Detail Cab By Tgl'!$D70,DB!$AT:$AT,"ALDA",DB!$AQ:$AQ,'Detail Cab By Tgl'!M$29)</f>
        <v>0</v>
      </c>
      <c r="N70" s="94">
        <f>SUMIFS(DB!$AC:$AC,DB!$E:$E,'Detail Cab By Tgl'!$B70,DB!$AP:$AP,'Detail Cab By Tgl'!$D70,DB!$AT:$AT,"ALDA",DB!$AQ:$AQ,'Detail Cab By Tgl'!N$29)</f>
        <v>0</v>
      </c>
      <c r="O70" s="94">
        <f>SUMIFS(DB!$AC:$AC,DB!$E:$E,'Detail Cab By Tgl'!$B70,DB!$AP:$AP,'Detail Cab By Tgl'!$D70,DB!$AT:$AT,"ALDA",DB!$AQ:$AQ,'Detail Cab By Tgl'!O$29)</f>
        <v>0</v>
      </c>
      <c r="P70" s="94">
        <f>SUMIFS(DB!$AC:$AC,DB!$E:$E,'Detail Cab By Tgl'!$B70,DB!$AP:$AP,'Detail Cab By Tgl'!$D70,DB!$AT:$AT,"ALDA",DB!$AQ:$AQ,'Detail Cab By Tgl'!P$29)</f>
        <v>0</v>
      </c>
      <c r="Q70" s="94">
        <f>SUMIFS(DB!$AC:$AC,DB!$E:$E,'Detail Cab By Tgl'!$B70,DB!$AP:$AP,'Detail Cab By Tgl'!$D70,DB!$AT:$AT,"ALDA",DB!$AQ:$AQ,'Detail Cab By Tgl'!Q$29)</f>
        <v>0</v>
      </c>
      <c r="R70" s="94">
        <f>SUMIFS(DB!$AC:$AC,DB!$E:$E,'Detail Cab By Tgl'!$B70,DB!$AP:$AP,'Detail Cab By Tgl'!$D70,DB!$AT:$AT,"ALDA",DB!$AQ:$AQ,'Detail Cab By Tgl'!R$29)</f>
        <v>0</v>
      </c>
      <c r="S70" s="94">
        <f>SUMIFS(DB!$AC:$AC,DB!$E:$E,'Detail Cab By Tgl'!$B70,DB!$AP:$AP,'Detail Cab By Tgl'!$D70,DB!$AT:$AT,"ALDA",DB!$AQ:$AQ,'Detail Cab By Tgl'!S$29)</f>
        <v>0</v>
      </c>
      <c r="T70" s="94">
        <f>SUMIFS(DB!$AC:$AC,DB!$E:$E,'Detail Cab By Tgl'!$B70,DB!$AP:$AP,'Detail Cab By Tgl'!$D70,DB!$AT:$AT,"ALDA",DB!$AQ:$AQ,'Detail Cab By Tgl'!T$29)</f>
        <v>0</v>
      </c>
      <c r="U70" s="94">
        <f>SUMIFS(DB!$AC:$AC,DB!$E:$E,'Detail Cab By Tgl'!$B70,DB!$AP:$AP,'Detail Cab By Tgl'!$D70,DB!$AT:$AT,"ALDA",DB!$AQ:$AQ,'Detail Cab By Tgl'!U$29)</f>
        <v>0</v>
      </c>
      <c r="V70" s="94">
        <f>SUMIFS(DB!$AC:$AC,DB!$E:$E,'Detail Cab By Tgl'!$B70,DB!$AP:$AP,'Detail Cab By Tgl'!$D70,DB!$AT:$AT,"ALDA",DB!$AQ:$AQ,'Detail Cab By Tgl'!V$29)</f>
        <v>0</v>
      </c>
      <c r="W70" s="94">
        <f>SUMIFS(DB!$AC:$AC,DB!$E:$E,'Detail Cab By Tgl'!$B70,DB!$AP:$AP,'Detail Cab By Tgl'!$D70,DB!$AT:$AT,"ALDA",DB!$AQ:$AQ,'Detail Cab By Tgl'!W$29)</f>
        <v>0</v>
      </c>
      <c r="X70" s="94">
        <f>SUMIFS(DB!$AC:$AC,DB!$E:$E,'Detail Cab By Tgl'!$B70,DB!$AP:$AP,'Detail Cab By Tgl'!$D70,DB!$AT:$AT,"ALDA",DB!$AQ:$AQ,'Detail Cab By Tgl'!X$29)</f>
        <v>0</v>
      </c>
      <c r="Y70" s="94">
        <f>SUMIFS(DB!$AC:$AC,DB!$E:$E,'Detail Cab By Tgl'!$B70,DB!$AP:$AP,'Detail Cab By Tgl'!$D70,DB!$AT:$AT,"ALDA",DB!$AQ:$AQ,'Detail Cab By Tgl'!Y$29)</f>
        <v>0</v>
      </c>
      <c r="Z70" s="94">
        <f>SUMIFS(DB!$AC:$AC,DB!$E:$E,'Detail Cab By Tgl'!$B70,DB!$AP:$AP,'Detail Cab By Tgl'!$D70,DB!$AT:$AT,"ALDA",DB!$AQ:$AQ,'Detail Cab By Tgl'!Z$29)</f>
        <v>0</v>
      </c>
      <c r="AA70" s="94">
        <f>SUMIFS(DB!$AC:$AC,DB!$E:$E,'Detail Cab By Tgl'!$B70,DB!$AP:$AP,'Detail Cab By Tgl'!$D70,DB!$AT:$AT,"ALDA",DB!$AQ:$AQ,'Detail Cab By Tgl'!AA$29)</f>
        <v>0</v>
      </c>
      <c r="AB70" s="94">
        <f>SUMIFS(DB!$AC:$AC,DB!$E:$E,'Detail Cab By Tgl'!$B70,DB!$AP:$AP,'Detail Cab By Tgl'!$D70,DB!$AT:$AT,"ALDA",DB!$AQ:$AQ,'Detail Cab By Tgl'!AB$29)</f>
        <v>0</v>
      </c>
      <c r="AC70" s="94">
        <f>SUMIFS(DB!$AC:$AC,DB!$E:$E,'Detail Cab By Tgl'!$B70,DB!$AP:$AP,'Detail Cab By Tgl'!$D70,DB!$AT:$AT,"ALDA",DB!$AQ:$AQ,'Detail Cab By Tgl'!AC$29)</f>
        <v>0</v>
      </c>
      <c r="AD70" s="94">
        <f>SUMIFS(DB!$AC:$AC,DB!$E:$E,'Detail Cab By Tgl'!$B70,DB!$AP:$AP,'Detail Cab By Tgl'!$D70,DB!$AT:$AT,"ALDA",DB!$AQ:$AQ,'Detail Cab By Tgl'!AD$29)</f>
        <v>0</v>
      </c>
      <c r="AE70" s="94">
        <f>SUMIFS(DB!$AC:$AC,DB!$E:$E,'Detail Cab By Tgl'!$B70,DB!$AP:$AP,'Detail Cab By Tgl'!$D70,DB!$AT:$AT,"ALDA",DB!$AQ:$AQ,'Detail Cab By Tgl'!AE$29)</f>
        <v>0</v>
      </c>
      <c r="AF70" s="94">
        <f>SUMIFS(DB!$AC:$AC,DB!$E:$E,'Detail Cab By Tgl'!$B70,DB!$AP:$AP,'Detail Cab By Tgl'!$D70,DB!$AT:$AT,"ALDA",DB!$AQ:$AQ,'Detail Cab By Tgl'!AF$29)</f>
        <v>0</v>
      </c>
      <c r="AG70" s="94">
        <f>SUMIFS(DB!$AC:$AC,DB!$E:$E,'Detail Cab By Tgl'!$B70,DB!$AP:$AP,'Detail Cab By Tgl'!$D70,DB!$AT:$AT,"ALDA",DB!$AQ:$AQ,'Detail Cab By Tgl'!AG$29)</f>
        <v>0</v>
      </c>
      <c r="AH70" s="94">
        <f>SUMIFS(DB!$AC:$AC,DB!$E:$E,'Detail Cab By Tgl'!$B70,DB!$AP:$AP,'Detail Cab By Tgl'!$D70,DB!$AT:$AT,"ALDA",DB!$AQ:$AQ,'Detail Cab By Tgl'!AH$29)</f>
        <v>0</v>
      </c>
      <c r="AI70" s="95">
        <f>SUMIFS(DB!$AC:$AC,DB!$E:$E,'Detail Cab By Tgl'!$B70,DB!$AP:$AP,'Detail Cab By Tgl'!$D70,DB!$AT:$AT,"ALDA",DB!$AQ:$AQ,'Detail Cab By Tgl'!AI$29)</f>
        <v>0</v>
      </c>
      <c r="AJ70" s="176">
        <f t="shared" si="8"/>
        <v>0</v>
      </c>
    </row>
    <row r="71" spans="2:36" x14ac:dyDescent="0.3">
      <c r="B71" s="321" t="s">
        <v>45</v>
      </c>
      <c r="C71" s="322" t="s">
        <v>265</v>
      </c>
      <c r="D71" s="106" t="s">
        <v>288</v>
      </c>
      <c r="E71" s="93">
        <f>SUMIFS(DB!$AC:$AC,DB!$E:$E,'Detail Cab By Tgl'!$B71,DB!$AP:$AP,'Detail Cab By Tgl'!$D71,DB!$AT:$AT,"ALDA",DB!$AQ:$AQ,'Detail Cab By Tgl'!E$29)</f>
        <v>50000</v>
      </c>
      <c r="F71" s="94">
        <f>SUMIFS(DB!$AC:$AC,DB!$E:$E,'Detail Cab By Tgl'!$B71,DB!$AP:$AP,'Detail Cab By Tgl'!$D71,DB!$AT:$AT,"ALDA",DB!$AQ:$AQ,'Detail Cab By Tgl'!F$29)</f>
        <v>0</v>
      </c>
      <c r="G71" s="94">
        <f>SUMIFS(DB!$AC:$AC,DB!$E:$E,'Detail Cab By Tgl'!$B71,DB!$AP:$AP,'Detail Cab By Tgl'!$D71,DB!$AT:$AT,"ALDA",DB!$AQ:$AQ,'Detail Cab By Tgl'!G$29)</f>
        <v>0</v>
      </c>
      <c r="H71" s="94">
        <f>SUMIFS(DB!$AC:$AC,DB!$E:$E,'Detail Cab By Tgl'!$B71,DB!$AP:$AP,'Detail Cab By Tgl'!$D71,DB!$AT:$AT,"ALDA",DB!$AQ:$AQ,'Detail Cab By Tgl'!H$29)</f>
        <v>0</v>
      </c>
      <c r="I71" s="94">
        <f>SUMIFS(DB!$AC:$AC,DB!$E:$E,'Detail Cab By Tgl'!$B71,DB!$AP:$AP,'Detail Cab By Tgl'!$D71,DB!$AT:$AT,"ALDA",DB!$AQ:$AQ,'Detail Cab By Tgl'!I$29)</f>
        <v>0</v>
      </c>
      <c r="J71" s="94">
        <f>SUMIFS(DB!$AC:$AC,DB!$E:$E,'Detail Cab By Tgl'!$B71,DB!$AP:$AP,'Detail Cab By Tgl'!$D71,DB!$AT:$AT,"ALDA",DB!$AQ:$AQ,'Detail Cab By Tgl'!J$29)</f>
        <v>0</v>
      </c>
      <c r="K71" s="94">
        <f>SUMIFS(DB!$AC:$AC,DB!$E:$E,'Detail Cab By Tgl'!$B71,DB!$AP:$AP,'Detail Cab By Tgl'!$D71,DB!$AT:$AT,"ALDA",DB!$AQ:$AQ,'Detail Cab By Tgl'!K$29)</f>
        <v>0</v>
      </c>
      <c r="L71" s="94">
        <f>SUMIFS(DB!$AC:$AC,DB!$E:$E,'Detail Cab By Tgl'!$B71,DB!$AP:$AP,'Detail Cab By Tgl'!$D71,DB!$AT:$AT,"ALDA",DB!$AQ:$AQ,'Detail Cab By Tgl'!L$29)</f>
        <v>0</v>
      </c>
      <c r="M71" s="94">
        <f>SUMIFS(DB!$AC:$AC,DB!$E:$E,'Detail Cab By Tgl'!$B71,DB!$AP:$AP,'Detail Cab By Tgl'!$D71,DB!$AT:$AT,"ALDA",DB!$AQ:$AQ,'Detail Cab By Tgl'!M$29)</f>
        <v>0</v>
      </c>
      <c r="N71" s="94">
        <f>SUMIFS(DB!$AC:$AC,DB!$E:$E,'Detail Cab By Tgl'!$B71,DB!$AP:$AP,'Detail Cab By Tgl'!$D71,DB!$AT:$AT,"ALDA",DB!$AQ:$AQ,'Detail Cab By Tgl'!N$29)</f>
        <v>0</v>
      </c>
      <c r="O71" s="94">
        <f>SUMIFS(DB!$AC:$AC,DB!$E:$E,'Detail Cab By Tgl'!$B71,DB!$AP:$AP,'Detail Cab By Tgl'!$D71,DB!$AT:$AT,"ALDA",DB!$AQ:$AQ,'Detail Cab By Tgl'!O$29)</f>
        <v>0</v>
      </c>
      <c r="P71" s="94">
        <f>SUMIFS(DB!$AC:$AC,DB!$E:$E,'Detail Cab By Tgl'!$B71,DB!$AP:$AP,'Detail Cab By Tgl'!$D71,DB!$AT:$AT,"ALDA",DB!$AQ:$AQ,'Detail Cab By Tgl'!P$29)</f>
        <v>0</v>
      </c>
      <c r="Q71" s="94">
        <f>SUMIFS(DB!$AC:$AC,DB!$E:$E,'Detail Cab By Tgl'!$B71,DB!$AP:$AP,'Detail Cab By Tgl'!$D71,DB!$AT:$AT,"ALDA",DB!$AQ:$AQ,'Detail Cab By Tgl'!Q$29)</f>
        <v>0</v>
      </c>
      <c r="R71" s="94">
        <f>SUMIFS(DB!$AC:$AC,DB!$E:$E,'Detail Cab By Tgl'!$B71,DB!$AP:$AP,'Detail Cab By Tgl'!$D71,DB!$AT:$AT,"ALDA",DB!$AQ:$AQ,'Detail Cab By Tgl'!R$29)</f>
        <v>0</v>
      </c>
      <c r="S71" s="94">
        <f>SUMIFS(DB!$AC:$AC,DB!$E:$E,'Detail Cab By Tgl'!$B71,DB!$AP:$AP,'Detail Cab By Tgl'!$D71,DB!$AT:$AT,"ALDA",DB!$AQ:$AQ,'Detail Cab By Tgl'!S$29)</f>
        <v>0</v>
      </c>
      <c r="T71" s="94">
        <f>SUMIFS(DB!$AC:$AC,DB!$E:$E,'Detail Cab By Tgl'!$B71,DB!$AP:$AP,'Detail Cab By Tgl'!$D71,DB!$AT:$AT,"ALDA",DB!$AQ:$AQ,'Detail Cab By Tgl'!T$29)</f>
        <v>0</v>
      </c>
      <c r="U71" s="94">
        <f>SUMIFS(DB!$AC:$AC,DB!$E:$E,'Detail Cab By Tgl'!$B71,DB!$AP:$AP,'Detail Cab By Tgl'!$D71,DB!$AT:$AT,"ALDA",DB!$AQ:$AQ,'Detail Cab By Tgl'!U$29)</f>
        <v>0</v>
      </c>
      <c r="V71" s="94">
        <f>SUMIFS(DB!$AC:$AC,DB!$E:$E,'Detail Cab By Tgl'!$B71,DB!$AP:$AP,'Detail Cab By Tgl'!$D71,DB!$AT:$AT,"ALDA",DB!$AQ:$AQ,'Detail Cab By Tgl'!V$29)</f>
        <v>0</v>
      </c>
      <c r="W71" s="94">
        <f>SUMIFS(DB!$AC:$AC,DB!$E:$E,'Detail Cab By Tgl'!$B71,DB!$AP:$AP,'Detail Cab By Tgl'!$D71,DB!$AT:$AT,"ALDA",DB!$AQ:$AQ,'Detail Cab By Tgl'!W$29)</f>
        <v>0</v>
      </c>
      <c r="X71" s="94">
        <f>SUMIFS(DB!$AC:$AC,DB!$E:$E,'Detail Cab By Tgl'!$B71,DB!$AP:$AP,'Detail Cab By Tgl'!$D71,DB!$AT:$AT,"ALDA",DB!$AQ:$AQ,'Detail Cab By Tgl'!X$29)</f>
        <v>0</v>
      </c>
      <c r="Y71" s="94">
        <f>SUMIFS(DB!$AC:$AC,DB!$E:$E,'Detail Cab By Tgl'!$B71,DB!$AP:$AP,'Detail Cab By Tgl'!$D71,DB!$AT:$AT,"ALDA",DB!$AQ:$AQ,'Detail Cab By Tgl'!Y$29)</f>
        <v>0</v>
      </c>
      <c r="Z71" s="94">
        <f>SUMIFS(DB!$AC:$AC,DB!$E:$E,'Detail Cab By Tgl'!$B71,DB!$AP:$AP,'Detail Cab By Tgl'!$D71,DB!$AT:$AT,"ALDA",DB!$AQ:$AQ,'Detail Cab By Tgl'!Z$29)</f>
        <v>0</v>
      </c>
      <c r="AA71" s="94">
        <f>SUMIFS(DB!$AC:$AC,DB!$E:$E,'Detail Cab By Tgl'!$B71,DB!$AP:$AP,'Detail Cab By Tgl'!$D71,DB!$AT:$AT,"ALDA",DB!$AQ:$AQ,'Detail Cab By Tgl'!AA$29)</f>
        <v>0</v>
      </c>
      <c r="AB71" s="94">
        <f>SUMIFS(DB!$AC:$AC,DB!$E:$E,'Detail Cab By Tgl'!$B71,DB!$AP:$AP,'Detail Cab By Tgl'!$D71,DB!$AT:$AT,"ALDA",DB!$AQ:$AQ,'Detail Cab By Tgl'!AB$29)</f>
        <v>0</v>
      </c>
      <c r="AC71" s="94">
        <f>SUMIFS(DB!$AC:$AC,DB!$E:$E,'Detail Cab By Tgl'!$B71,DB!$AP:$AP,'Detail Cab By Tgl'!$D71,DB!$AT:$AT,"ALDA",DB!$AQ:$AQ,'Detail Cab By Tgl'!AC$29)</f>
        <v>0</v>
      </c>
      <c r="AD71" s="94">
        <f>SUMIFS(DB!$AC:$AC,DB!$E:$E,'Detail Cab By Tgl'!$B71,DB!$AP:$AP,'Detail Cab By Tgl'!$D71,DB!$AT:$AT,"ALDA",DB!$AQ:$AQ,'Detail Cab By Tgl'!AD$29)</f>
        <v>0</v>
      </c>
      <c r="AE71" s="94">
        <f>SUMIFS(DB!$AC:$AC,DB!$E:$E,'Detail Cab By Tgl'!$B71,DB!$AP:$AP,'Detail Cab By Tgl'!$D71,DB!$AT:$AT,"ALDA",DB!$AQ:$AQ,'Detail Cab By Tgl'!AE$29)</f>
        <v>0</v>
      </c>
      <c r="AF71" s="94">
        <f>SUMIFS(DB!$AC:$AC,DB!$E:$E,'Detail Cab By Tgl'!$B71,DB!$AP:$AP,'Detail Cab By Tgl'!$D71,DB!$AT:$AT,"ALDA",DB!$AQ:$AQ,'Detail Cab By Tgl'!AF$29)</f>
        <v>0</v>
      </c>
      <c r="AG71" s="94">
        <f>SUMIFS(DB!$AC:$AC,DB!$E:$E,'Detail Cab By Tgl'!$B71,DB!$AP:$AP,'Detail Cab By Tgl'!$D71,DB!$AT:$AT,"ALDA",DB!$AQ:$AQ,'Detail Cab By Tgl'!AG$29)</f>
        <v>0</v>
      </c>
      <c r="AH71" s="94">
        <f>SUMIFS(DB!$AC:$AC,DB!$E:$E,'Detail Cab By Tgl'!$B71,DB!$AP:$AP,'Detail Cab By Tgl'!$D71,DB!$AT:$AT,"ALDA",DB!$AQ:$AQ,'Detail Cab By Tgl'!AH$29)</f>
        <v>0</v>
      </c>
      <c r="AI71" s="95">
        <f>SUMIFS(DB!$AC:$AC,DB!$E:$E,'Detail Cab By Tgl'!$B71,DB!$AP:$AP,'Detail Cab By Tgl'!$D71,DB!$AT:$AT,"ALDA",DB!$AQ:$AQ,'Detail Cab By Tgl'!AI$29)</f>
        <v>0</v>
      </c>
      <c r="AJ71" s="176">
        <f t="shared" si="8"/>
        <v>50000</v>
      </c>
    </row>
    <row r="72" spans="2:36" x14ac:dyDescent="0.3">
      <c r="B72" s="321" t="s">
        <v>45</v>
      </c>
      <c r="C72" s="322" t="s">
        <v>385</v>
      </c>
      <c r="D72" s="106" t="s">
        <v>383</v>
      </c>
      <c r="E72" s="93">
        <f>SUMIFS(DB!$AC:$AC,DB!$E:$E,'Detail Cab By Tgl'!$B72,DB!$AP:$AP,'Detail Cab By Tgl'!$D72,DB!$AT:$AT,"ALDA",DB!$AQ:$AQ,'Detail Cab By Tgl'!E$29)</f>
        <v>0</v>
      </c>
      <c r="F72" s="94">
        <f>SUMIFS(DB!$AC:$AC,DB!$E:$E,'Detail Cab By Tgl'!$B72,DB!$AP:$AP,'Detail Cab By Tgl'!$D72,DB!$AT:$AT,"ALDA",DB!$AQ:$AQ,'Detail Cab By Tgl'!F$29)</f>
        <v>0</v>
      </c>
      <c r="G72" s="94">
        <f>SUMIFS(DB!$AC:$AC,DB!$E:$E,'Detail Cab By Tgl'!$B72,DB!$AP:$AP,'Detail Cab By Tgl'!$D72,DB!$AT:$AT,"ALDA",DB!$AQ:$AQ,'Detail Cab By Tgl'!G$29)</f>
        <v>0</v>
      </c>
      <c r="H72" s="94">
        <f>SUMIFS(DB!$AC:$AC,DB!$E:$E,'Detail Cab By Tgl'!$B72,DB!$AP:$AP,'Detail Cab By Tgl'!$D72,DB!$AT:$AT,"ALDA",DB!$AQ:$AQ,'Detail Cab By Tgl'!H$29)</f>
        <v>0</v>
      </c>
      <c r="I72" s="94">
        <f>SUMIFS(DB!$AC:$AC,DB!$E:$E,'Detail Cab By Tgl'!$B72,DB!$AP:$AP,'Detail Cab By Tgl'!$D72,DB!$AT:$AT,"ALDA",DB!$AQ:$AQ,'Detail Cab By Tgl'!I$29)</f>
        <v>0</v>
      </c>
      <c r="J72" s="94">
        <f>SUMIFS(DB!$AC:$AC,DB!$E:$E,'Detail Cab By Tgl'!$B72,DB!$AP:$AP,'Detail Cab By Tgl'!$D72,DB!$AT:$AT,"ALDA",DB!$AQ:$AQ,'Detail Cab By Tgl'!J$29)</f>
        <v>0</v>
      </c>
      <c r="K72" s="94">
        <f>SUMIFS(DB!$AC:$AC,DB!$E:$E,'Detail Cab By Tgl'!$B72,DB!$AP:$AP,'Detail Cab By Tgl'!$D72,DB!$AT:$AT,"ALDA",DB!$AQ:$AQ,'Detail Cab By Tgl'!K$29)</f>
        <v>0</v>
      </c>
      <c r="L72" s="94">
        <f>SUMIFS(DB!$AC:$AC,DB!$E:$E,'Detail Cab By Tgl'!$B72,DB!$AP:$AP,'Detail Cab By Tgl'!$D72,DB!$AT:$AT,"ALDA",DB!$AQ:$AQ,'Detail Cab By Tgl'!L$29)</f>
        <v>0</v>
      </c>
      <c r="M72" s="94">
        <f>SUMIFS(DB!$AC:$AC,DB!$E:$E,'Detail Cab By Tgl'!$B72,DB!$AP:$AP,'Detail Cab By Tgl'!$D72,DB!$AT:$AT,"ALDA",DB!$AQ:$AQ,'Detail Cab By Tgl'!M$29)</f>
        <v>0</v>
      </c>
      <c r="N72" s="94">
        <f>SUMIFS(DB!$AC:$AC,DB!$E:$E,'Detail Cab By Tgl'!$B72,DB!$AP:$AP,'Detail Cab By Tgl'!$D72,DB!$AT:$AT,"ALDA",DB!$AQ:$AQ,'Detail Cab By Tgl'!N$29)</f>
        <v>0</v>
      </c>
      <c r="O72" s="94">
        <f>SUMIFS(DB!$AC:$AC,DB!$E:$E,'Detail Cab By Tgl'!$B72,DB!$AP:$AP,'Detail Cab By Tgl'!$D72,DB!$AT:$AT,"ALDA",DB!$AQ:$AQ,'Detail Cab By Tgl'!O$29)</f>
        <v>0</v>
      </c>
      <c r="P72" s="94">
        <f>SUMIFS(DB!$AC:$AC,DB!$E:$E,'Detail Cab By Tgl'!$B72,DB!$AP:$AP,'Detail Cab By Tgl'!$D72,DB!$AT:$AT,"ALDA",DB!$AQ:$AQ,'Detail Cab By Tgl'!P$29)</f>
        <v>0</v>
      </c>
      <c r="Q72" s="94">
        <f>SUMIFS(DB!$AC:$AC,DB!$E:$E,'Detail Cab By Tgl'!$B72,DB!$AP:$AP,'Detail Cab By Tgl'!$D72,DB!$AT:$AT,"ALDA",DB!$AQ:$AQ,'Detail Cab By Tgl'!Q$29)</f>
        <v>0</v>
      </c>
      <c r="R72" s="94">
        <f>SUMIFS(DB!$AC:$AC,DB!$E:$E,'Detail Cab By Tgl'!$B72,DB!$AP:$AP,'Detail Cab By Tgl'!$D72,DB!$AT:$AT,"ALDA",DB!$AQ:$AQ,'Detail Cab By Tgl'!R$29)</f>
        <v>0</v>
      </c>
      <c r="S72" s="94">
        <f>SUMIFS(DB!$AC:$AC,DB!$E:$E,'Detail Cab By Tgl'!$B72,DB!$AP:$AP,'Detail Cab By Tgl'!$D72,DB!$AT:$AT,"ALDA",DB!$AQ:$AQ,'Detail Cab By Tgl'!S$29)</f>
        <v>0</v>
      </c>
      <c r="T72" s="94">
        <f>SUMIFS(DB!$AC:$AC,DB!$E:$E,'Detail Cab By Tgl'!$B72,DB!$AP:$AP,'Detail Cab By Tgl'!$D72,DB!$AT:$AT,"ALDA",DB!$AQ:$AQ,'Detail Cab By Tgl'!T$29)</f>
        <v>0</v>
      </c>
      <c r="U72" s="94">
        <f>SUMIFS(DB!$AC:$AC,DB!$E:$E,'Detail Cab By Tgl'!$B72,DB!$AP:$AP,'Detail Cab By Tgl'!$D72,DB!$AT:$AT,"ALDA",DB!$AQ:$AQ,'Detail Cab By Tgl'!U$29)</f>
        <v>0</v>
      </c>
      <c r="V72" s="94">
        <f>SUMIFS(DB!$AC:$AC,DB!$E:$E,'Detail Cab By Tgl'!$B72,DB!$AP:$AP,'Detail Cab By Tgl'!$D72,DB!$AT:$AT,"ALDA",DB!$AQ:$AQ,'Detail Cab By Tgl'!V$29)</f>
        <v>0</v>
      </c>
      <c r="W72" s="94">
        <f>SUMIFS(DB!$AC:$AC,DB!$E:$E,'Detail Cab By Tgl'!$B72,DB!$AP:$AP,'Detail Cab By Tgl'!$D72,DB!$AT:$AT,"ALDA",DB!$AQ:$AQ,'Detail Cab By Tgl'!W$29)</f>
        <v>0</v>
      </c>
      <c r="X72" s="94">
        <f>SUMIFS(DB!$AC:$AC,DB!$E:$E,'Detail Cab By Tgl'!$B72,DB!$AP:$AP,'Detail Cab By Tgl'!$D72,DB!$AT:$AT,"ALDA",DB!$AQ:$AQ,'Detail Cab By Tgl'!X$29)</f>
        <v>0</v>
      </c>
      <c r="Y72" s="94">
        <f>SUMIFS(DB!$AC:$AC,DB!$E:$E,'Detail Cab By Tgl'!$B72,DB!$AP:$AP,'Detail Cab By Tgl'!$D72,DB!$AT:$AT,"ALDA",DB!$AQ:$AQ,'Detail Cab By Tgl'!Y$29)</f>
        <v>0</v>
      </c>
      <c r="Z72" s="94">
        <f>SUMIFS(DB!$AC:$AC,DB!$E:$E,'Detail Cab By Tgl'!$B72,DB!$AP:$AP,'Detail Cab By Tgl'!$D72,DB!$AT:$AT,"ALDA",DB!$AQ:$AQ,'Detail Cab By Tgl'!Z$29)</f>
        <v>0</v>
      </c>
      <c r="AA72" s="94">
        <f>SUMIFS(DB!$AC:$AC,DB!$E:$E,'Detail Cab By Tgl'!$B72,DB!$AP:$AP,'Detail Cab By Tgl'!$D72,DB!$AT:$AT,"ALDA",DB!$AQ:$AQ,'Detail Cab By Tgl'!AA$29)</f>
        <v>0</v>
      </c>
      <c r="AB72" s="94">
        <f>SUMIFS(DB!$AC:$AC,DB!$E:$E,'Detail Cab By Tgl'!$B72,DB!$AP:$AP,'Detail Cab By Tgl'!$D72,DB!$AT:$AT,"ALDA",DB!$AQ:$AQ,'Detail Cab By Tgl'!AB$29)</f>
        <v>0</v>
      </c>
      <c r="AC72" s="94">
        <f>SUMIFS(DB!$AC:$AC,DB!$E:$E,'Detail Cab By Tgl'!$B72,DB!$AP:$AP,'Detail Cab By Tgl'!$D72,DB!$AT:$AT,"ALDA",DB!$AQ:$AQ,'Detail Cab By Tgl'!AC$29)</f>
        <v>0</v>
      </c>
      <c r="AD72" s="94">
        <f>SUMIFS(DB!$AC:$AC,DB!$E:$E,'Detail Cab By Tgl'!$B72,DB!$AP:$AP,'Detail Cab By Tgl'!$D72,DB!$AT:$AT,"ALDA",DB!$AQ:$AQ,'Detail Cab By Tgl'!AD$29)</f>
        <v>0</v>
      </c>
      <c r="AE72" s="94">
        <f>SUMIFS(DB!$AC:$AC,DB!$E:$E,'Detail Cab By Tgl'!$B72,DB!$AP:$AP,'Detail Cab By Tgl'!$D72,DB!$AT:$AT,"ALDA",DB!$AQ:$AQ,'Detail Cab By Tgl'!AE$29)</f>
        <v>0</v>
      </c>
      <c r="AF72" s="94">
        <f>SUMIFS(DB!$AC:$AC,DB!$E:$E,'Detail Cab By Tgl'!$B72,DB!$AP:$AP,'Detail Cab By Tgl'!$D72,DB!$AT:$AT,"ALDA",DB!$AQ:$AQ,'Detail Cab By Tgl'!AF$29)</f>
        <v>0</v>
      </c>
      <c r="AG72" s="94">
        <f>SUMIFS(DB!$AC:$AC,DB!$E:$E,'Detail Cab By Tgl'!$B72,DB!$AP:$AP,'Detail Cab By Tgl'!$D72,DB!$AT:$AT,"ALDA",DB!$AQ:$AQ,'Detail Cab By Tgl'!AG$29)</f>
        <v>0</v>
      </c>
      <c r="AH72" s="94">
        <f>SUMIFS(DB!$AC:$AC,DB!$E:$E,'Detail Cab By Tgl'!$B72,DB!$AP:$AP,'Detail Cab By Tgl'!$D72,DB!$AT:$AT,"ALDA",DB!$AQ:$AQ,'Detail Cab By Tgl'!AH$29)</f>
        <v>0</v>
      </c>
      <c r="AI72" s="95">
        <f>SUMIFS(DB!$AC:$AC,DB!$E:$E,'Detail Cab By Tgl'!$B72,DB!$AP:$AP,'Detail Cab By Tgl'!$D72,DB!$AT:$AT,"ALDA",DB!$AQ:$AQ,'Detail Cab By Tgl'!AI$29)</f>
        <v>0</v>
      </c>
      <c r="AJ72" s="176">
        <f t="shared" si="8"/>
        <v>0</v>
      </c>
    </row>
    <row r="73" spans="2:36" x14ac:dyDescent="0.3">
      <c r="B73" s="321" t="s">
        <v>45</v>
      </c>
      <c r="C73" s="322" t="s">
        <v>385</v>
      </c>
      <c r="D73" s="106" t="s">
        <v>408</v>
      </c>
      <c r="E73" s="93">
        <f>SUMIFS(DB!$AC:$AC,DB!$E:$E,'Detail Cab By Tgl'!$B73,DB!$AP:$AP,'Detail Cab By Tgl'!$D73,DB!$AT:$AT,"ALDA",DB!$AQ:$AQ,'Detail Cab By Tgl'!E$29)</f>
        <v>0</v>
      </c>
      <c r="F73" s="94">
        <f>SUMIFS(DB!$AC:$AC,DB!$E:$E,'Detail Cab By Tgl'!$B73,DB!$AP:$AP,'Detail Cab By Tgl'!$D73,DB!$AT:$AT,"ALDA",DB!$AQ:$AQ,'Detail Cab By Tgl'!F$29)</f>
        <v>0</v>
      </c>
      <c r="G73" s="94">
        <f>SUMIFS(DB!$AC:$AC,DB!$E:$E,'Detail Cab By Tgl'!$B73,DB!$AP:$AP,'Detail Cab By Tgl'!$D73,DB!$AT:$AT,"ALDA",DB!$AQ:$AQ,'Detail Cab By Tgl'!G$29)</f>
        <v>0</v>
      </c>
      <c r="H73" s="94">
        <f>SUMIFS(DB!$AC:$AC,DB!$E:$E,'Detail Cab By Tgl'!$B73,DB!$AP:$AP,'Detail Cab By Tgl'!$D73,DB!$AT:$AT,"ALDA",DB!$AQ:$AQ,'Detail Cab By Tgl'!H$29)</f>
        <v>0</v>
      </c>
      <c r="I73" s="94">
        <f>SUMIFS(DB!$AC:$AC,DB!$E:$E,'Detail Cab By Tgl'!$B73,DB!$AP:$AP,'Detail Cab By Tgl'!$D73,DB!$AT:$AT,"ALDA",DB!$AQ:$AQ,'Detail Cab By Tgl'!I$29)</f>
        <v>0</v>
      </c>
      <c r="J73" s="94">
        <f>SUMIFS(DB!$AC:$AC,DB!$E:$E,'Detail Cab By Tgl'!$B73,DB!$AP:$AP,'Detail Cab By Tgl'!$D73,DB!$AT:$AT,"ALDA",DB!$AQ:$AQ,'Detail Cab By Tgl'!J$29)</f>
        <v>0</v>
      </c>
      <c r="K73" s="94">
        <f>SUMIFS(DB!$AC:$AC,DB!$E:$E,'Detail Cab By Tgl'!$B73,DB!$AP:$AP,'Detail Cab By Tgl'!$D73,DB!$AT:$AT,"ALDA",DB!$AQ:$AQ,'Detail Cab By Tgl'!K$29)</f>
        <v>0</v>
      </c>
      <c r="L73" s="94">
        <f>SUMIFS(DB!$AC:$AC,DB!$E:$E,'Detail Cab By Tgl'!$B73,DB!$AP:$AP,'Detail Cab By Tgl'!$D73,DB!$AT:$AT,"ALDA",DB!$AQ:$AQ,'Detail Cab By Tgl'!L$29)</f>
        <v>0</v>
      </c>
      <c r="M73" s="94">
        <f>SUMIFS(DB!$AC:$AC,DB!$E:$E,'Detail Cab By Tgl'!$B73,DB!$AP:$AP,'Detail Cab By Tgl'!$D73,DB!$AT:$AT,"ALDA",DB!$AQ:$AQ,'Detail Cab By Tgl'!M$29)</f>
        <v>0</v>
      </c>
      <c r="N73" s="94">
        <f>SUMIFS(DB!$AC:$AC,DB!$E:$E,'Detail Cab By Tgl'!$B73,DB!$AP:$AP,'Detail Cab By Tgl'!$D73,DB!$AT:$AT,"ALDA",DB!$AQ:$AQ,'Detail Cab By Tgl'!N$29)</f>
        <v>0</v>
      </c>
      <c r="O73" s="94">
        <f>SUMIFS(DB!$AC:$AC,DB!$E:$E,'Detail Cab By Tgl'!$B73,DB!$AP:$AP,'Detail Cab By Tgl'!$D73,DB!$AT:$AT,"ALDA",DB!$AQ:$AQ,'Detail Cab By Tgl'!O$29)</f>
        <v>0</v>
      </c>
      <c r="P73" s="94">
        <f>SUMIFS(DB!$AC:$AC,DB!$E:$E,'Detail Cab By Tgl'!$B73,DB!$AP:$AP,'Detail Cab By Tgl'!$D73,DB!$AT:$AT,"ALDA",DB!$AQ:$AQ,'Detail Cab By Tgl'!P$29)</f>
        <v>0</v>
      </c>
      <c r="Q73" s="94">
        <f>SUMIFS(DB!$AC:$AC,DB!$E:$E,'Detail Cab By Tgl'!$B73,DB!$AP:$AP,'Detail Cab By Tgl'!$D73,DB!$AT:$AT,"ALDA",DB!$AQ:$AQ,'Detail Cab By Tgl'!Q$29)</f>
        <v>0</v>
      </c>
      <c r="R73" s="94">
        <f>SUMIFS(DB!$AC:$AC,DB!$E:$E,'Detail Cab By Tgl'!$B73,DB!$AP:$AP,'Detail Cab By Tgl'!$D73,DB!$AT:$AT,"ALDA",DB!$AQ:$AQ,'Detail Cab By Tgl'!R$29)</f>
        <v>0</v>
      </c>
      <c r="S73" s="94">
        <f>SUMIFS(DB!$AC:$AC,DB!$E:$E,'Detail Cab By Tgl'!$B73,DB!$AP:$AP,'Detail Cab By Tgl'!$D73,DB!$AT:$AT,"ALDA",DB!$AQ:$AQ,'Detail Cab By Tgl'!S$29)</f>
        <v>0</v>
      </c>
      <c r="T73" s="94">
        <f>SUMIFS(DB!$AC:$AC,DB!$E:$E,'Detail Cab By Tgl'!$B73,DB!$AP:$AP,'Detail Cab By Tgl'!$D73,DB!$AT:$AT,"ALDA",DB!$AQ:$AQ,'Detail Cab By Tgl'!T$29)</f>
        <v>0</v>
      </c>
      <c r="U73" s="94">
        <f>SUMIFS(DB!$AC:$AC,DB!$E:$E,'Detail Cab By Tgl'!$B73,DB!$AP:$AP,'Detail Cab By Tgl'!$D73,DB!$AT:$AT,"ALDA",DB!$AQ:$AQ,'Detail Cab By Tgl'!U$29)</f>
        <v>0</v>
      </c>
      <c r="V73" s="94">
        <f>SUMIFS(DB!$AC:$AC,DB!$E:$E,'Detail Cab By Tgl'!$B73,DB!$AP:$AP,'Detail Cab By Tgl'!$D73,DB!$AT:$AT,"ALDA",DB!$AQ:$AQ,'Detail Cab By Tgl'!V$29)</f>
        <v>0</v>
      </c>
      <c r="W73" s="94">
        <f>SUMIFS(DB!$AC:$AC,DB!$E:$E,'Detail Cab By Tgl'!$B73,DB!$AP:$AP,'Detail Cab By Tgl'!$D73,DB!$AT:$AT,"ALDA",DB!$AQ:$AQ,'Detail Cab By Tgl'!W$29)</f>
        <v>0</v>
      </c>
      <c r="X73" s="94">
        <f>SUMIFS(DB!$AC:$AC,DB!$E:$E,'Detail Cab By Tgl'!$B73,DB!$AP:$AP,'Detail Cab By Tgl'!$D73,DB!$AT:$AT,"ALDA",DB!$AQ:$AQ,'Detail Cab By Tgl'!X$29)</f>
        <v>0</v>
      </c>
      <c r="Y73" s="94">
        <f>SUMIFS(DB!$AC:$AC,DB!$E:$E,'Detail Cab By Tgl'!$B73,DB!$AP:$AP,'Detail Cab By Tgl'!$D73,DB!$AT:$AT,"ALDA",DB!$AQ:$AQ,'Detail Cab By Tgl'!Y$29)</f>
        <v>0</v>
      </c>
      <c r="Z73" s="94">
        <f>SUMIFS(DB!$AC:$AC,DB!$E:$E,'Detail Cab By Tgl'!$B73,DB!$AP:$AP,'Detail Cab By Tgl'!$D73,DB!$AT:$AT,"ALDA",DB!$AQ:$AQ,'Detail Cab By Tgl'!Z$29)</f>
        <v>0</v>
      </c>
      <c r="AA73" s="94">
        <f>SUMIFS(DB!$AC:$AC,DB!$E:$E,'Detail Cab By Tgl'!$B73,DB!$AP:$AP,'Detail Cab By Tgl'!$D73,DB!$AT:$AT,"ALDA",DB!$AQ:$AQ,'Detail Cab By Tgl'!AA$29)</f>
        <v>0</v>
      </c>
      <c r="AB73" s="94">
        <f>SUMIFS(DB!$AC:$AC,DB!$E:$E,'Detail Cab By Tgl'!$B73,DB!$AP:$AP,'Detail Cab By Tgl'!$D73,DB!$AT:$AT,"ALDA",DB!$AQ:$AQ,'Detail Cab By Tgl'!AB$29)</f>
        <v>0</v>
      </c>
      <c r="AC73" s="94">
        <f>SUMIFS(DB!$AC:$AC,DB!$E:$E,'Detail Cab By Tgl'!$B73,DB!$AP:$AP,'Detail Cab By Tgl'!$D73,DB!$AT:$AT,"ALDA",DB!$AQ:$AQ,'Detail Cab By Tgl'!AC$29)</f>
        <v>0</v>
      </c>
      <c r="AD73" s="94">
        <f>SUMIFS(DB!$AC:$AC,DB!$E:$E,'Detail Cab By Tgl'!$B73,DB!$AP:$AP,'Detail Cab By Tgl'!$D73,DB!$AT:$AT,"ALDA",DB!$AQ:$AQ,'Detail Cab By Tgl'!AD$29)</f>
        <v>0</v>
      </c>
      <c r="AE73" s="94">
        <f>SUMIFS(DB!$AC:$AC,DB!$E:$E,'Detail Cab By Tgl'!$B73,DB!$AP:$AP,'Detail Cab By Tgl'!$D73,DB!$AT:$AT,"ALDA",DB!$AQ:$AQ,'Detail Cab By Tgl'!AE$29)</f>
        <v>0</v>
      </c>
      <c r="AF73" s="94">
        <f>SUMIFS(DB!$AC:$AC,DB!$E:$E,'Detail Cab By Tgl'!$B73,DB!$AP:$AP,'Detail Cab By Tgl'!$D73,DB!$AT:$AT,"ALDA",DB!$AQ:$AQ,'Detail Cab By Tgl'!AF$29)</f>
        <v>0</v>
      </c>
      <c r="AG73" s="94">
        <f>SUMIFS(DB!$AC:$AC,DB!$E:$E,'Detail Cab By Tgl'!$B73,DB!$AP:$AP,'Detail Cab By Tgl'!$D73,DB!$AT:$AT,"ALDA",DB!$AQ:$AQ,'Detail Cab By Tgl'!AG$29)</f>
        <v>0</v>
      </c>
      <c r="AH73" s="94">
        <f>SUMIFS(DB!$AC:$AC,DB!$E:$E,'Detail Cab By Tgl'!$B73,DB!$AP:$AP,'Detail Cab By Tgl'!$D73,DB!$AT:$AT,"ALDA",DB!$AQ:$AQ,'Detail Cab By Tgl'!AH$29)</f>
        <v>0</v>
      </c>
      <c r="AI73" s="95">
        <f>SUMIFS(DB!$AC:$AC,DB!$E:$E,'Detail Cab By Tgl'!$B73,DB!$AP:$AP,'Detail Cab By Tgl'!$D73,DB!$AT:$AT,"ALDA",DB!$AQ:$AQ,'Detail Cab By Tgl'!AI$29)</f>
        <v>0</v>
      </c>
      <c r="AJ73" s="176">
        <f t="shared" si="8"/>
        <v>0</v>
      </c>
    </row>
    <row r="74" spans="2:36" ht="16.8" thickBot="1" x14ac:dyDescent="0.35">
      <c r="B74" s="323" t="s">
        <v>45</v>
      </c>
      <c r="C74" s="324" t="s">
        <v>385</v>
      </c>
      <c r="D74" s="107" t="s">
        <v>554</v>
      </c>
      <c r="E74" s="108">
        <f>SUMIFS(DB!$AC:$AC,DB!$E:$E,'Detail Cab By Tgl'!$B74,DB!$AP:$AP,'Detail Cab By Tgl'!$D74,DB!$AT:$AT,"ALDA",DB!$AQ:$AQ,'Detail Cab By Tgl'!E$29)</f>
        <v>0</v>
      </c>
      <c r="F74" s="109">
        <f>SUMIFS(DB!$AC:$AC,DB!$E:$E,'Detail Cab By Tgl'!$B74,DB!$AP:$AP,'Detail Cab By Tgl'!$D74,DB!$AT:$AT,"ALDA",DB!$AQ:$AQ,'Detail Cab By Tgl'!F$29)</f>
        <v>0</v>
      </c>
      <c r="G74" s="109">
        <f>SUMIFS(DB!$AC:$AC,DB!$E:$E,'Detail Cab By Tgl'!$B74,DB!$AP:$AP,'Detail Cab By Tgl'!$D74,DB!$AT:$AT,"ALDA",DB!$AQ:$AQ,'Detail Cab By Tgl'!G$29)</f>
        <v>0</v>
      </c>
      <c r="H74" s="109">
        <f>SUMIFS(DB!$AC:$AC,DB!$E:$E,'Detail Cab By Tgl'!$B74,DB!$AP:$AP,'Detail Cab By Tgl'!$D74,DB!$AT:$AT,"ALDA",DB!$AQ:$AQ,'Detail Cab By Tgl'!H$29)</f>
        <v>0</v>
      </c>
      <c r="I74" s="109">
        <f>SUMIFS(DB!$AC:$AC,DB!$E:$E,'Detail Cab By Tgl'!$B74,DB!$AP:$AP,'Detail Cab By Tgl'!$D74,DB!$AT:$AT,"ALDA",DB!$AQ:$AQ,'Detail Cab By Tgl'!I$29)</f>
        <v>0</v>
      </c>
      <c r="J74" s="109">
        <f>SUMIFS(DB!$AC:$AC,DB!$E:$E,'Detail Cab By Tgl'!$B74,DB!$AP:$AP,'Detail Cab By Tgl'!$D74,DB!$AT:$AT,"ALDA",DB!$AQ:$AQ,'Detail Cab By Tgl'!J$29)</f>
        <v>0</v>
      </c>
      <c r="K74" s="109">
        <f>SUMIFS(DB!$AC:$AC,DB!$E:$E,'Detail Cab By Tgl'!$B74,DB!$AP:$AP,'Detail Cab By Tgl'!$D74,DB!$AT:$AT,"ALDA",DB!$AQ:$AQ,'Detail Cab By Tgl'!K$29)</f>
        <v>0</v>
      </c>
      <c r="L74" s="109">
        <f>SUMIFS(DB!$AC:$AC,DB!$E:$E,'Detail Cab By Tgl'!$B74,DB!$AP:$AP,'Detail Cab By Tgl'!$D74,DB!$AT:$AT,"ALDA",DB!$AQ:$AQ,'Detail Cab By Tgl'!L$29)</f>
        <v>0</v>
      </c>
      <c r="M74" s="109">
        <f>SUMIFS(DB!$AC:$AC,DB!$E:$E,'Detail Cab By Tgl'!$B74,DB!$AP:$AP,'Detail Cab By Tgl'!$D74,DB!$AT:$AT,"ALDA",DB!$AQ:$AQ,'Detail Cab By Tgl'!M$29)</f>
        <v>0</v>
      </c>
      <c r="N74" s="109">
        <f>SUMIFS(DB!$AC:$AC,DB!$E:$E,'Detail Cab By Tgl'!$B74,DB!$AP:$AP,'Detail Cab By Tgl'!$D74,DB!$AT:$AT,"ALDA",DB!$AQ:$AQ,'Detail Cab By Tgl'!N$29)</f>
        <v>0</v>
      </c>
      <c r="O74" s="109">
        <f>SUMIFS(DB!$AC:$AC,DB!$E:$E,'Detail Cab By Tgl'!$B74,DB!$AP:$AP,'Detail Cab By Tgl'!$D74,DB!$AT:$AT,"ALDA",DB!$AQ:$AQ,'Detail Cab By Tgl'!O$29)</f>
        <v>0</v>
      </c>
      <c r="P74" s="109">
        <f>SUMIFS(DB!$AC:$AC,DB!$E:$E,'Detail Cab By Tgl'!$B74,DB!$AP:$AP,'Detail Cab By Tgl'!$D74,DB!$AT:$AT,"ALDA",DB!$AQ:$AQ,'Detail Cab By Tgl'!P$29)</f>
        <v>0</v>
      </c>
      <c r="Q74" s="109">
        <f>SUMIFS(DB!$AC:$AC,DB!$E:$E,'Detail Cab By Tgl'!$B74,DB!$AP:$AP,'Detail Cab By Tgl'!$D74,DB!$AT:$AT,"ALDA",DB!$AQ:$AQ,'Detail Cab By Tgl'!Q$29)</f>
        <v>0</v>
      </c>
      <c r="R74" s="109">
        <f>SUMIFS(DB!$AC:$AC,DB!$E:$E,'Detail Cab By Tgl'!$B74,DB!$AP:$AP,'Detail Cab By Tgl'!$D74,DB!$AT:$AT,"ALDA",DB!$AQ:$AQ,'Detail Cab By Tgl'!R$29)</f>
        <v>0</v>
      </c>
      <c r="S74" s="109">
        <f>SUMIFS(DB!$AC:$AC,DB!$E:$E,'Detail Cab By Tgl'!$B74,DB!$AP:$AP,'Detail Cab By Tgl'!$D74,DB!$AT:$AT,"ALDA",DB!$AQ:$AQ,'Detail Cab By Tgl'!S$29)</f>
        <v>0</v>
      </c>
      <c r="T74" s="109">
        <f>SUMIFS(DB!$AC:$AC,DB!$E:$E,'Detail Cab By Tgl'!$B74,DB!$AP:$AP,'Detail Cab By Tgl'!$D74,DB!$AT:$AT,"ALDA",DB!$AQ:$AQ,'Detail Cab By Tgl'!T$29)</f>
        <v>0</v>
      </c>
      <c r="U74" s="109">
        <f>SUMIFS(DB!$AC:$AC,DB!$E:$E,'Detail Cab By Tgl'!$B74,DB!$AP:$AP,'Detail Cab By Tgl'!$D74,DB!$AT:$AT,"ALDA",DB!$AQ:$AQ,'Detail Cab By Tgl'!U$29)</f>
        <v>0</v>
      </c>
      <c r="V74" s="109">
        <f>SUMIFS(DB!$AC:$AC,DB!$E:$E,'Detail Cab By Tgl'!$B74,DB!$AP:$AP,'Detail Cab By Tgl'!$D74,DB!$AT:$AT,"ALDA",DB!$AQ:$AQ,'Detail Cab By Tgl'!V$29)</f>
        <v>0</v>
      </c>
      <c r="W74" s="109">
        <f>SUMIFS(DB!$AC:$AC,DB!$E:$E,'Detail Cab By Tgl'!$B74,DB!$AP:$AP,'Detail Cab By Tgl'!$D74,DB!$AT:$AT,"ALDA",DB!$AQ:$AQ,'Detail Cab By Tgl'!W$29)</f>
        <v>0</v>
      </c>
      <c r="X74" s="109">
        <f>SUMIFS(DB!$AC:$AC,DB!$E:$E,'Detail Cab By Tgl'!$B74,DB!$AP:$AP,'Detail Cab By Tgl'!$D74,DB!$AT:$AT,"ALDA",DB!$AQ:$AQ,'Detail Cab By Tgl'!X$29)</f>
        <v>0</v>
      </c>
      <c r="Y74" s="109">
        <f>SUMIFS(DB!$AC:$AC,DB!$E:$E,'Detail Cab By Tgl'!$B74,DB!$AP:$AP,'Detail Cab By Tgl'!$D74,DB!$AT:$AT,"ALDA",DB!$AQ:$AQ,'Detail Cab By Tgl'!Y$29)</f>
        <v>0</v>
      </c>
      <c r="Z74" s="109">
        <f>SUMIFS(DB!$AC:$AC,DB!$E:$E,'Detail Cab By Tgl'!$B74,DB!$AP:$AP,'Detail Cab By Tgl'!$D74,DB!$AT:$AT,"ALDA",DB!$AQ:$AQ,'Detail Cab By Tgl'!Z$29)</f>
        <v>0</v>
      </c>
      <c r="AA74" s="109">
        <f>SUMIFS(DB!$AC:$AC,DB!$E:$E,'Detail Cab By Tgl'!$B74,DB!$AP:$AP,'Detail Cab By Tgl'!$D74,DB!$AT:$AT,"ALDA",DB!$AQ:$AQ,'Detail Cab By Tgl'!AA$29)</f>
        <v>0</v>
      </c>
      <c r="AB74" s="109">
        <f>SUMIFS(DB!$AC:$AC,DB!$E:$E,'Detail Cab By Tgl'!$B74,DB!$AP:$AP,'Detail Cab By Tgl'!$D74,DB!$AT:$AT,"ALDA",DB!$AQ:$AQ,'Detail Cab By Tgl'!AB$29)</f>
        <v>0</v>
      </c>
      <c r="AC74" s="109">
        <f>SUMIFS(DB!$AC:$AC,DB!$E:$E,'Detail Cab By Tgl'!$B74,DB!$AP:$AP,'Detail Cab By Tgl'!$D74,DB!$AT:$AT,"ALDA",DB!$AQ:$AQ,'Detail Cab By Tgl'!AC$29)</f>
        <v>0</v>
      </c>
      <c r="AD74" s="109">
        <f>SUMIFS(DB!$AC:$AC,DB!$E:$E,'Detail Cab By Tgl'!$B74,DB!$AP:$AP,'Detail Cab By Tgl'!$D74,DB!$AT:$AT,"ALDA",DB!$AQ:$AQ,'Detail Cab By Tgl'!AD$29)</f>
        <v>0</v>
      </c>
      <c r="AE74" s="109">
        <f>SUMIFS(DB!$AC:$AC,DB!$E:$E,'Detail Cab By Tgl'!$B74,DB!$AP:$AP,'Detail Cab By Tgl'!$D74,DB!$AT:$AT,"ALDA",DB!$AQ:$AQ,'Detail Cab By Tgl'!AE$29)</f>
        <v>0</v>
      </c>
      <c r="AF74" s="109">
        <f>SUMIFS(DB!$AC:$AC,DB!$E:$E,'Detail Cab By Tgl'!$B74,DB!$AP:$AP,'Detail Cab By Tgl'!$D74,DB!$AT:$AT,"ALDA",DB!$AQ:$AQ,'Detail Cab By Tgl'!AF$29)</f>
        <v>0</v>
      </c>
      <c r="AG74" s="109">
        <f>SUMIFS(DB!$AC:$AC,DB!$E:$E,'Detail Cab By Tgl'!$B74,DB!$AP:$AP,'Detail Cab By Tgl'!$D74,DB!$AT:$AT,"ALDA",DB!$AQ:$AQ,'Detail Cab By Tgl'!AG$29)</f>
        <v>0</v>
      </c>
      <c r="AH74" s="109">
        <f>SUMIFS(DB!$AC:$AC,DB!$E:$E,'Detail Cab By Tgl'!$B74,DB!$AP:$AP,'Detail Cab By Tgl'!$D74,DB!$AT:$AT,"ALDA",DB!$AQ:$AQ,'Detail Cab By Tgl'!AH$29)</f>
        <v>0</v>
      </c>
      <c r="AI74" s="110">
        <f>SUMIFS(DB!$AC:$AC,DB!$E:$E,'Detail Cab By Tgl'!$B74,DB!$AP:$AP,'Detail Cab By Tgl'!$D74,DB!$AT:$AT,"ALDA",DB!$AQ:$AQ,'Detail Cab By Tgl'!AI$29)</f>
        <v>0</v>
      </c>
      <c r="AJ74" s="177">
        <f t="shared" si="8"/>
        <v>0</v>
      </c>
    </row>
    <row r="75" spans="2:36" x14ac:dyDescent="0.3">
      <c r="B75" s="319" t="s">
        <v>5</v>
      </c>
      <c r="C75" s="320" t="s">
        <v>246</v>
      </c>
      <c r="D75" s="102" t="s">
        <v>23</v>
      </c>
      <c r="E75" s="103">
        <f>SUMIFS(DB!$AC:$AC,DB!$E:$E,'Detail Cab By Tgl'!$B75,DB!$AP:$AP,'Detail Cab By Tgl'!$D75,DB!$AT:$AT,"ALDA",DB!$AQ:$AQ,'Detail Cab By Tgl'!E$29)</f>
        <v>0</v>
      </c>
      <c r="F75" s="104">
        <f>SUMIFS(DB!$AC:$AC,DB!$E:$E,'Detail Cab By Tgl'!$B75,DB!$AP:$AP,'Detail Cab By Tgl'!$D75,DB!$AT:$AT,"ALDA",DB!$AQ:$AQ,'Detail Cab By Tgl'!F$29)</f>
        <v>0</v>
      </c>
      <c r="G75" s="104">
        <f>SUMIFS(DB!$AC:$AC,DB!$E:$E,'Detail Cab By Tgl'!$B75,DB!$AP:$AP,'Detail Cab By Tgl'!$D75,DB!$AT:$AT,"ALDA",DB!$AQ:$AQ,'Detail Cab By Tgl'!G$29)</f>
        <v>0</v>
      </c>
      <c r="H75" s="104">
        <f>SUMIFS(DB!$AC:$AC,DB!$E:$E,'Detail Cab By Tgl'!$B75,DB!$AP:$AP,'Detail Cab By Tgl'!$D75,DB!$AT:$AT,"ALDA",DB!$AQ:$AQ,'Detail Cab By Tgl'!H$29)</f>
        <v>0</v>
      </c>
      <c r="I75" s="104">
        <f>SUMIFS(DB!$AC:$AC,DB!$E:$E,'Detail Cab By Tgl'!$B75,DB!$AP:$AP,'Detail Cab By Tgl'!$D75,DB!$AT:$AT,"ALDA",DB!$AQ:$AQ,'Detail Cab By Tgl'!I$29)</f>
        <v>0</v>
      </c>
      <c r="J75" s="104">
        <f>SUMIFS(DB!$AC:$AC,DB!$E:$E,'Detail Cab By Tgl'!$B75,DB!$AP:$AP,'Detail Cab By Tgl'!$D75,DB!$AT:$AT,"ALDA",DB!$AQ:$AQ,'Detail Cab By Tgl'!J$29)</f>
        <v>0</v>
      </c>
      <c r="K75" s="104">
        <f>SUMIFS(DB!$AC:$AC,DB!$E:$E,'Detail Cab By Tgl'!$B75,DB!$AP:$AP,'Detail Cab By Tgl'!$D75,DB!$AT:$AT,"ALDA",DB!$AQ:$AQ,'Detail Cab By Tgl'!K$29)</f>
        <v>0</v>
      </c>
      <c r="L75" s="104">
        <f>SUMIFS(DB!$AC:$AC,DB!$E:$E,'Detail Cab By Tgl'!$B75,DB!$AP:$AP,'Detail Cab By Tgl'!$D75,DB!$AT:$AT,"ALDA",DB!$AQ:$AQ,'Detail Cab By Tgl'!L$29)</f>
        <v>0</v>
      </c>
      <c r="M75" s="104">
        <f>SUMIFS(DB!$AC:$AC,DB!$E:$E,'Detail Cab By Tgl'!$B75,DB!$AP:$AP,'Detail Cab By Tgl'!$D75,DB!$AT:$AT,"ALDA",DB!$AQ:$AQ,'Detail Cab By Tgl'!M$29)</f>
        <v>0</v>
      </c>
      <c r="N75" s="104">
        <f>SUMIFS(DB!$AC:$AC,DB!$E:$E,'Detail Cab By Tgl'!$B75,DB!$AP:$AP,'Detail Cab By Tgl'!$D75,DB!$AT:$AT,"ALDA",DB!$AQ:$AQ,'Detail Cab By Tgl'!N$29)</f>
        <v>0</v>
      </c>
      <c r="O75" s="104">
        <f>SUMIFS(DB!$AC:$AC,DB!$E:$E,'Detail Cab By Tgl'!$B75,DB!$AP:$AP,'Detail Cab By Tgl'!$D75,DB!$AT:$AT,"ALDA",DB!$AQ:$AQ,'Detail Cab By Tgl'!O$29)</f>
        <v>0</v>
      </c>
      <c r="P75" s="104">
        <f>SUMIFS(DB!$AC:$AC,DB!$E:$E,'Detail Cab By Tgl'!$B75,DB!$AP:$AP,'Detail Cab By Tgl'!$D75,DB!$AT:$AT,"ALDA",DB!$AQ:$AQ,'Detail Cab By Tgl'!P$29)</f>
        <v>0</v>
      </c>
      <c r="Q75" s="104">
        <f>SUMIFS(DB!$AC:$AC,DB!$E:$E,'Detail Cab By Tgl'!$B75,DB!$AP:$AP,'Detail Cab By Tgl'!$D75,DB!$AT:$AT,"ALDA",DB!$AQ:$AQ,'Detail Cab By Tgl'!Q$29)</f>
        <v>0</v>
      </c>
      <c r="R75" s="104">
        <f>SUMIFS(DB!$AC:$AC,DB!$E:$E,'Detail Cab By Tgl'!$B75,DB!$AP:$AP,'Detail Cab By Tgl'!$D75,DB!$AT:$AT,"ALDA",DB!$AQ:$AQ,'Detail Cab By Tgl'!R$29)</f>
        <v>0</v>
      </c>
      <c r="S75" s="104">
        <f>SUMIFS(DB!$AC:$AC,DB!$E:$E,'Detail Cab By Tgl'!$B75,DB!$AP:$AP,'Detail Cab By Tgl'!$D75,DB!$AT:$AT,"ALDA",DB!$AQ:$AQ,'Detail Cab By Tgl'!S$29)</f>
        <v>0</v>
      </c>
      <c r="T75" s="104">
        <f>SUMIFS(DB!$AC:$AC,DB!$E:$E,'Detail Cab By Tgl'!$B75,DB!$AP:$AP,'Detail Cab By Tgl'!$D75,DB!$AT:$AT,"ALDA",DB!$AQ:$AQ,'Detail Cab By Tgl'!T$29)</f>
        <v>0</v>
      </c>
      <c r="U75" s="104">
        <f>SUMIFS(DB!$AC:$AC,DB!$E:$E,'Detail Cab By Tgl'!$B75,DB!$AP:$AP,'Detail Cab By Tgl'!$D75,DB!$AT:$AT,"ALDA",DB!$AQ:$AQ,'Detail Cab By Tgl'!U$29)</f>
        <v>0</v>
      </c>
      <c r="V75" s="104">
        <f>SUMIFS(DB!$AC:$AC,DB!$E:$E,'Detail Cab By Tgl'!$B75,DB!$AP:$AP,'Detail Cab By Tgl'!$D75,DB!$AT:$AT,"ALDA",DB!$AQ:$AQ,'Detail Cab By Tgl'!V$29)</f>
        <v>0</v>
      </c>
      <c r="W75" s="104">
        <f>SUMIFS(DB!$AC:$AC,DB!$E:$E,'Detail Cab By Tgl'!$B75,DB!$AP:$AP,'Detail Cab By Tgl'!$D75,DB!$AT:$AT,"ALDA",DB!$AQ:$AQ,'Detail Cab By Tgl'!W$29)</f>
        <v>0</v>
      </c>
      <c r="X75" s="104">
        <f>SUMIFS(DB!$AC:$AC,DB!$E:$E,'Detail Cab By Tgl'!$B75,DB!$AP:$AP,'Detail Cab By Tgl'!$D75,DB!$AT:$AT,"ALDA",DB!$AQ:$AQ,'Detail Cab By Tgl'!X$29)</f>
        <v>0</v>
      </c>
      <c r="Y75" s="104">
        <f>SUMIFS(DB!$AC:$AC,DB!$E:$E,'Detail Cab By Tgl'!$B75,DB!$AP:$AP,'Detail Cab By Tgl'!$D75,DB!$AT:$AT,"ALDA",DB!$AQ:$AQ,'Detail Cab By Tgl'!Y$29)</f>
        <v>0</v>
      </c>
      <c r="Z75" s="104">
        <f>SUMIFS(DB!$AC:$AC,DB!$E:$E,'Detail Cab By Tgl'!$B75,DB!$AP:$AP,'Detail Cab By Tgl'!$D75,DB!$AT:$AT,"ALDA",DB!$AQ:$AQ,'Detail Cab By Tgl'!Z$29)</f>
        <v>0</v>
      </c>
      <c r="AA75" s="104">
        <f>SUMIFS(DB!$AC:$AC,DB!$E:$E,'Detail Cab By Tgl'!$B75,DB!$AP:$AP,'Detail Cab By Tgl'!$D75,DB!$AT:$AT,"ALDA",DB!$AQ:$AQ,'Detail Cab By Tgl'!AA$29)</f>
        <v>0</v>
      </c>
      <c r="AB75" s="104">
        <f>SUMIFS(DB!$AC:$AC,DB!$E:$E,'Detail Cab By Tgl'!$B75,DB!$AP:$AP,'Detail Cab By Tgl'!$D75,DB!$AT:$AT,"ALDA",DB!$AQ:$AQ,'Detail Cab By Tgl'!AB$29)</f>
        <v>0</v>
      </c>
      <c r="AC75" s="104">
        <f>SUMIFS(DB!$AC:$AC,DB!$E:$E,'Detail Cab By Tgl'!$B75,DB!$AP:$AP,'Detail Cab By Tgl'!$D75,DB!$AT:$AT,"ALDA",DB!$AQ:$AQ,'Detail Cab By Tgl'!AC$29)</f>
        <v>0</v>
      </c>
      <c r="AD75" s="104">
        <f>SUMIFS(DB!$AC:$AC,DB!$E:$E,'Detail Cab By Tgl'!$B75,DB!$AP:$AP,'Detail Cab By Tgl'!$D75,DB!$AT:$AT,"ALDA",DB!$AQ:$AQ,'Detail Cab By Tgl'!AD$29)</f>
        <v>0</v>
      </c>
      <c r="AE75" s="104">
        <f>SUMIFS(DB!$AC:$AC,DB!$E:$E,'Detail Cab By Tgl'!$B75,DB!$AP:$AP,'Detail Cab By Tgl'!$D75,DB!$AT:$AT,"ALDA",DB!$AQ:$AQ,'Detail Cab By Tgl'!AE$29)</f>
        <v>0</v>
      </c>
      <c r="AF75" s="104">
        <f>SUMIFS(DB!$AC:$AC,DB!$E:$E,'Detail Cab By Tgl'!$B75,DB!$AP:$AP,'Detail Cab By Tgl'!$D75,DB!$AT:$AT,"ALDA",DB!$AQ:$AQ,'Detail Cab By Tgl'!AF$29)</f>
        <v>0</v>
      </c>
      <c r="AG75" s="104">
        <f>SUMIFS(DB!$AC:$AC,DB!$E:$E,'Detail Cab By Tgl'!$B75,DB!$AP:$AP,'Detail Cab By Tgl'!$D75,DB!$AT:$AT,"ALDA",DB!$AQ:$AQ,'Detail Cab By Tgl'!AG$29)</f>
        <v>0</v>
      </c>
      <c r="AH75" s="104">
        <f>SUMIFS(DB!$AC:$AC,DB!$E:$E,'Detail Cab By Tgl'!$B75,DB!$AP:$AP,'Detail Cab By Tgl'!$D75,DB!$AT:$AT,"ALDA",DB!$AQ:$AQ,'Detail Cab By Tgl'!AH$29)</f>
        <v>0</v>
      </c>
      <c r="AI75" s="105">
        <f>SUMIFS(DB!$AC:$AC,DB!$E:$E,'Detail Cab By Tgl'!$B75,DB!$AP:$AP,'Detail Cab By Tgl'!$D75,DB!$AT:$AT,"ALDA",DB!$AQ:$AQ,'Detail Cab By Tgl'!AI$29)</f>
        <v>0</v>
      </c>
      <c r="AJ75" s="175">
        <f t="shared" si="8"/>
        <v>0</v>
      </c>
    </row>
    <row r="76" spans="2:36" x14ac:dyDescent="0.3">
      <c r="B76" s="321" t="s">
        <v>5</v>
      </c>
      <c r="C76" s="322" t="s">
        <v>246</v>
      </c>
      <c r="D76" s="106" t="s">
        <v>244</v>
      </c>
      <c r="E76" s="93">
        <f>SUMIFS(DB!$AC:$AC,DB!$E:$E,'Detail Cab By Tgl'!$B76,DB!$AP:$AP,'Detail Cab By Tgl'!$D76,DB!$AT:$AT,"ALDA",DB!$AQ:$AQ,'Detail Cab By Tgl'!E$29)</f>
        <v>0</v>
      </c>
      <c r="F76" s="94">
        <f>SUMIFS(DB!$AC:$AC,DB!$E:$E,'Detail Cab By Tgl'!$B76,DB!$AP:$AP,'Detail Cab By Tgl'!$D76,DB!$AT:$AT,"ALDA",DB!$AQ:$AQ,'Detail Cab By Tgl'!F$29)</f>
        <v>0</v>
      </c>
      <c r="G76" s="94">
        <f>SUMIFS(DB!$AC:$AC,DB!$E:$E,'Detail Cab By Tgl'!$B76,DB!$AP:$AP,'Detail Cab By Tgl'!$D76,DB!$AT:$AT,"ALDA",DB!$AQ:$AQ,'Detail Cab By Tgl'!G$29)</f>
        <v>0</v>
      </c>
      <c r="H76" s="94">
        <f>SUMIFS(DB!$AC:$AC,DB!$E:$E,'Detail Cab By Tgl'!$B76,DB!$AP:$AP,'Detail Cab By Tgl'!$D76,DB!$AT:$AT,"ALDA",DB!$AQ:$AQ,'Detail Cab By Tgl'!H$29)</f>
        <v>0</v>
      </c>
      <c r="I76" s="94">
        <f>SUMIFS(DB!$AC:$AC,DB!$E:$E,'Detail Cab By Tgl'!$B76,DB!$AP:$AP,'Detail Cab By Tgl'!$D76,DB!$AT:$AT,"ALDA",DB!$AQ:$AQ,'Detail Cab By Tgl'!I$29)</f>
        <v>0</v>
      </c>
      <c r="J76" s="94">
        <f>SUMIFS(DB!$AC:$AC,DB!$E:$E,'Detail Cab By Tgl'!$B76,DB!$AP:$AP,'Detail Cab By Tgl'!$D76,DB!$AT:$AT,"ALDA",DB!$AQ:$AQ,'Detail Cab By Tgl'!J$29)</f>
        <v>0</v>
      </c>
      <c r="K76" s="94">
        <f>SUMIFS(DB!$AC:$AC,DB!$E:$E,'Detail Cab By Tgl'!$B76,DB!$AP:$AP,'Detail Cab By Tgl'!$D76,DB!$AT:$AT,"ALDA",DB!$AQ:$AQ,'Detail Cab By Tgl'!K$29)</f>
        <v>0</v>
      </c>
      <c r="L76" s="94">
        <f>SUMIFS(DB!$AC:$AC,DB!$E:$E,'Detail Cab By Tgl'!$B76,DB!$AP:$AP,'Detail Cab By Tgl'!$D76,DB!$AT:$AT,"ALDA",DB!$AQ:$AQ,'Detail Cab By Tgl'!L$29)</f>
        <v>0</v>
      </c>
      <c r="M76" s="94">
        <f>SUMIFS(DB!$AC:$AC,DB!$E:$E,'Detail Cab By Tgl'!$B76,DB!$AP:$AP,'Detail Cab By Tgl'!$D76,DB!$AT:$AT,"ALDA",DB!$AQ:$AQ,'Detail Cab By Tgl'!M$29)</f>
        <v>0</v>
      </c>
      <c r="N76" s="94">
        <f>SUMIFS(DB!$AC:$AC,DB!$E:$E,'Detail Cab By Tgl'!$B76,DB!$AP:$AP,'Detail Cab By Tgl'!$D76,DB!$AT:$AT,"ALDA",DB!$AQ:$AQ,'Detail Cab By Tgl'!N$29)</f>
        <v>0</v>
      </c>
      <c r="O76" s="94">
        <f>SUMIFS(DB!$AC:$AC,DB!$E:$E,'Detail Cab By Tgl'!$B76,DB!$AP:$AP,'Detail Cab By Tgl'!$D76,DB!$AT:$AT,"ALDA",DB!$AQ:$AQ,'Detail Cab By Tgl'!O$29)</f>
        <v>0</v>
      </c>
      <c r="P76" s="94">
        <f>SUMIFS(DB!$AC:$AC,DB!$E:$E,'Detail Cab By Tgl'!$B76,DB!$AP:$AP,'Detail Cab By Tgl'!$D76,DB!$AT:$AT,"ALDA",DB!$AQ:$AQ,'Detail Cab By Tgl'!P$29)</f>
        <v>0</v>
      </c>
      <c r="Q76" s="94">
        <f>SUMIFS(DB!$AC:$AC,DB!$E:$E,'Detail Cab By Tgl'!$B76,DB!$AP:$AP,'Detail Cab By Tgl'!$D76,DB!$AT:$AT,"ALDA",DB!$AQ:$AQ,'Detail Cab By Tgl'!Q$29)</f>
        <v>0</v>
      </c>
      <c r="R76" s="94">
        <f>SUMIFS(DB!$AC:$AC,DB!$E:$E,'Detail Cab By Tgl'!$B76,DB!$AP:$AP,'Detail Cab By Tgl'!$D76,DB!$AT:$AT,"ALDA",DB!$AQ:$AQ,'Detail Cab By Tgl'!R$29)</f>
        <v>0</v>
      </c>
      <c r="S76" s="94">
        <f>SUMIFS(DB!$AC:$AC,DB!$E:$E,'Detail Cab By Tgl'!$B76,DB!$AP:$AP,'Detail Cab By Tgl'!$D76,DB!$AT:$AT,"ALDA",DB!$AQ:$AQ,'Detail Cab By Tgl'!S$29)</f>
        <v>0</v>
      </c>
      <c r="T76" s="94">
        <f>SUMIFS(DB!$AC:$AC,DB!$E:$E,'Detail Cab By Tgl'!$B76,DB!$AP:$AP,'Detail Cab By Tgl'!$D76,DB!$AT:$AT,"ALDA",DB!$AQ:$AQ,'Detail Cab By Tgl'!T$29)</f>
        <v>0</v>
      </c>
      <c r="U76" s="94">
        <f>SUMIFS(DB!$AC:$AC,DB!$E:$E,'Detail Cab By Tgl'!$B76,DB!$AP:$AP,'Detail Cab By Tgl'!$D76,DB!$AT:$AT,"ALDA",DB!$AQ:$AQ,'Detail Cab By Tgl'!U$29)</f>
        <v>0</v>
      </c>
      <c r="V76" s="94">
        <f>SUMIFS(DB!$AC:$AC,DB!$E:$E,'Detail Cab By Tgl'!$B76,DB!$AP:$AP,'Detail Cab By Tgl'!$D76,DB!$AT:$AT,"ALDA",DB!$AQ:$AQ,'Detail Cab By Tgl'!V$29)</f>
        <v>0</v>
      </c>
      <c r="W76" s="94">
        <f>SUMIFS(DB!$AC:$AC,DB!$E:$E,'Detail Cab By Tgl'!$B76,DB!$AP:$AP,'Detail Cab By Tgl'!$D76,DB!$AT:$AT,"ALDA",DB!$AQ:$AQ,'Detail Cab By Tgl'!W$29)</f>
        <v>0</v>
      </c>
      <c r="X76" s="94">
        <f>SUMIFS(DB!$AC:$AC,DB!$E:$E,'Detail Cab By Tgl'!$B76,DB!$AP:$AP,'Detail Cab By Tgl'!$D76,DB!$AT:$AT,"ALDA",DB!$AQ:$AQ,'Detail Cab By Tgl'!X$29)</f>
        <v>0</v>
      </c>
      <c r="Y76" s="94">
        <f>SUMIFS(DB!$AC:$AC,DB!$E:$E,'Detail Cab By Tgl'!$B76,DB!$AP:$AP,'Detail Cab By Tgl'!$D76,DB!$AT:$AT,"ALDA",DB!$AQ:$AQ,'Detail Cab By Tgl'!Y$29)</f>
        <v>0</v>
      </c>
      <c r="Z76" s="94">
        <f>SUMIFS(DB!$AC:$AC,DB!$E:$E,'Detail Cab By Tgl'!$B76,DB!$AP:$AP,'Detail Cab By Tgl'!$D76,DB!$AT:$AT,"ALDA",DB!$AQ:$AQ,'Detail Cab By Tgl'!Z$29)</f>
        <v>0</v>
      </c>
      <c r="AA76" s="94">
        <f>SUMIFS(DB!$AC:$AC,DB!$E:$E,'Detail Cab By Tgl'!$B76,DB!$AP:$AP,'Detail Cab By Tgl'!$D76,DB!$AT:$AT,"ALDA",DB!$AQ:$AQ,'Detail Cab By Tgl'!AA$29)</f>
        <v>0</v>
      </c>
      <c r="AB76" s="94">
        <f>SUMIFS(DB!$AC:$AC,DB!$E:$E,'Detail Cab By Tgl'!$B76,DB!$AP:$AP,'Detail Cab By Tgl'!$D76,DB!$AT:$AT,"ALDA",DB!$AQ:$AQ,'Detail Cab By Tgl'!AB$29)</f>
        <v>0</v>
      </c>
      <c r="AC76" s="94">
        <f>SUMIFS(DB!$AC:$AC,DB!$E:$E,'Detail Cab By Tgl'!$B76,DB!$AP:$AP,'Detail Cab By Tgl'!$D76,DB!$AT:$AT,"ALDA",DB!$AQ:$AQ,'Detail Cab By Tgl'!AC$29)</f>
        <v>0</v>
      </c>
      <c r="AD76" s="94">
        <f>SUMIFS(DB!$AC:$AC,DB!$E:$E,'Detail Cab By Tgl'!$B76,DB!$AP:$AP,'Detail Cab By Tgl'!$D76,DB!$AT:$AT,"ALDA",DB!$AQ:$AQ,'Detail Cab By Tgl'!AD$29)</f>
        <v>0</v>
      </c>
      <c r="AE76" s="94">
        <f>SUMIFS(DB!$AC:$AC,DB!$E:$E,'Detail Cab By Tgl'!$B76,DB!$AP:$AP,'Detail Cab By Tgl'!$D76,DB!$AT:$AT,"ALDA",DB!$AQ:$AQ,'Detail Cab By Tgl'!AE$29)</f>
        <v>0</v>
      </c>
      <c r="AF76" s="94">
        <f>SUMIFS(DB!$AC:$AC,DB!$E:$E,'Detail Cab By Tgl'!$B76,DB!$AP:$AP,'Detail Cab By Tgl'!$D76,DB!$AT:$AT,"ALDA",DB!$AQ:$AQ,'Detail Cab By Tgl'!AF$29)</f>
        <v>0</v>
      </c>
      <c r="AG76" s="94">
        <f>SUMIFS(DB!$AC:$AC,DB!$E:$E,'Detail Cab By Tgl'!$B76,DB!$AP:$AP,'Detail Cab By Tgl'!$D76,DB!$AT:$AT,"ALDA",DB!$AQ:$AQ,'Detail Cab By Tgl'!AG$29)</f>
        <v>0</v>
      </c>
      <c r="AH76" s="94">
        <f>SUMIFS(DB!$AC:$AC,DB!$E:$E,'Detail Cab By Tgl'!$B76,DB!$AP:$AP,'Detail Cab By Tgl'!$D76,DB!$AT:$AT,"ALDA",DB!$AQ:$AQ,'Detail Cab By Tgl'!AH$29)</f>
        <v>0</v>
      </c>
      <c r="AI76" s="95">
        <f>SUMIFS(DB!$AC:$AC,DB!$E:$E,'Detail Cab By Tgl'!$B76,DB!$AP:$AP,'Detail Cab By Tgl'!$D76,DB!$AT:$AT,"ALDA",DB!$AQ:$AQ,'Detail Cab By Tgl'!AI$29)</f>
        <v>0</v>
      </c>
      <c r="AJ76" s="176">
        <f t="shared" si="8"/>
        <v>0</v>
      </c>
    </row>
    <row r="77" spans="2:36" x14ac:dyDescent="0.3">
      <c r="B77" s="321" t="s">
        <v>5</v>
      </c>
      <c r="C77" s="322" t="s">
        <v>246</v>
      </c>
      <c r="D77" s="106" t="s">
        <v>22</v>
      </c>
      <c r="E77" s="93">
        <f>SUMIFS(DB!$AC:$AC,DB!$E:$E,'Detail Cab By Tgl'!$B77,DB!$AP:$AP,'Detail Cab By Tgl'!$D77,DB!$AT:$AT,"ALDA",DB!$AQ:$AQ,'Detail Cab By Tgl'!E$29)</f>
        <v>0</v>
      </c>
      <c r="F77" s="94">
        <f>SUMIFS(DB!$AC:$AC,DB!$E:$E,'Detail Cab By Tgl'!$B77,DB!$AP:$AP,'Detail Cab By Tgl'!$D77,DB!$AT:$AT,"ALDA",DB!$AQ:$AQ,'Detail Cab By Tgl'!F$29)</f>
        <v>0</v>
      </c>
      <c r="G77" s="94">
        <f>SUMIFS(DB!$AC:$AC,DB!$E:$E,'Detail Cab By Tgl'!$B77,DB!$AP:$AP,'Detail Cab By Tgl'!$D77,DB!$AT:$AT,"ALDA",DB!$AQ:$AQ,'Detail Cab By Tgl'!G$29)</f>
        <v>0</v>
      </c>
      <c r="H77" s="94">
        <f>SUMIFS(DB!$AC:$AC,DB!$E:$E,'Detail Cab By Tgl'!$B77,DB!$AP:$AP,'Detail Cab By Tgl'!$D77,DB!$AT:$AT,"ALDA",DB!$AQ:$AQ,'Detail Cab By Tgl'!H$29)</f>
        <v>0</v>
      </c>
      <c r="I77" s="94">
        <f>SUMIFS(DB!$AC:$AC,DB!$E:$E,'Detail Cab By Tgl'!$B77,DB!$AP:$AP,'Detail Cab By Tgl'!$D77,DB!$AT:$AT,"ALDA",DB!$AQ:$AQ,'Detail Cab By Tgl'!I$29)</f>
        <v>0</v>
      </c>
      <c r="J77" s="94">
        <f>SUMIFS(DB!$AC:$AC,DB!$E:$E,'Detail Cab By Tgl'!$B77,DB!$AP:$AP,'Detail Cab By Tgl'!$D77,DB!$AT:$AT,"ALDA",DB!$AQ:$AQ,'Detail Cab By Tgl'!J$29)</f>
        <v>0</v>
      </c>
      <c r="K77" s="94">
        <f>SUMIFS(DB!$AC:$AC,DB!$E:$E,'Detail Cab By Tgl'!$B77,DB!$AP:$AP,'Detail Cab By Tgl'!$D77,DB!$AT:$AT,"ALDA",DB!$AQ:$AQ,'Detail Cab By Tgl'!K$29)</f>
        <v>0</v>
      </c>
      <c r="L77" s="94">
        <f>SUMIFS(DB!$AC:$AC,DB!$E:$E,'Detail Cab By Tgl'!$B77,DB!$AP:$AP,'Detail Cab By Tgl'!$D77,DB!$AT:$AT,"ALDA",DB!$AQ:$AQ,'Detail Cab By Tgl'!L$29)</f>
        <v>0</v>
      </c>
      <c r="M77" s="94">
        <f>SUMIFS(DB!$AC:$AC,DB!$E:$E,'Detail Cab By Tgl'!$B77,DB!$AP:$AP,'Detail Cab By Tgl'!$D77,DB!$AT:$AT,"ALDA",DB!$AQ:$AQ,'Detail Cab By Tgl'!M$29)</f>
        <v>0</v>
      </c>
      <c r="N77" s="94">
        <f>SUMIFS(DB!$AC:$AC,DB!$E:$E,'Detail Cab By Tgl'!$B77,DB!$AP:$AP,'Detail Cab By Tgl'!$D77,DB!$AT:$AT,"ALDA",DB!$AQ:$AQ,'Detail Cab By Tgl'!N$29)</f>
        <v>0</v>
      </c>
      <c r="O77" s="94">
        <f>SUMIFS(DB!$AC:$AC,DB!$E:$E,'Detail Cab By Tgl'!$B77,DB!$AP:$AP,'Detail Cab By Tgl'!$D77,DB!$AT:$AT,"ALDA",DB!$AQ:$AQ,'Detail Cab By Tgl'!O$29)</f>
        <v>0</v>
      </c>
      <c r="P77" s="94">
        <f>SUMIFS(DB!$AC:$AC,DB!$E:$E,'Detail Cab By Tgl'!$B77,DB!$AP:$AP,'Detail Cab By Tgl'!$D77,DB!$AT:$AT,"ALDA",DB!$AQ:$AQ,'Detail Cab By Tgl'!P$29)</f>
        <v>0</v>
      </c>
      <c r="Q77" s="94">
        <f>SUMIFS(DB!$AC:$AC,DB!$E:$E,'Detail Cab By Tgl'!$B77,DB!$AP:$AP,'Detail Cab By Tgl'!$D77,DB!$AT:$AT,"ALDA",DB!$AQ:$AQ,'Detail Cab By Tgl'!Q$29)</f>
        <v>0</v>
      </c>
      <c r="R77" s="94">
        <f>SUMIFS(DB!$AC:$AC,DB!$E:$E,'Detail Cab By Tgl'!$B77,DB!$AP:$AP,'Detail Cab By Tgl'!$D77,DB!$AT:$AT,"ALDA",DB!$AQ:$AQ,'Detail Cab By Tgl'!R$29)</f>
        <v>0</v>
      </c>
      <c r="S77" s="94">
        <f>SUMIFS(DB!$AC:$AC,DB!$E:$E,'Detail Cab By Tgl'!$B77,DB!$AP:$AP,'Detail Cab By Tgl'!$D77,DB!$AT:$AT,"ALDA",DB!$AQ:$AQ,'Detail Cab By Tgl'!S$29)</f>
        <v>0</v>
      </c>
      <c r="T77" s="94">
        <f>SUMIFS(DB!$AC:$AC,DB!$E:$E,'Detail Cab By Tgl'!$B77,DB!$AP:$AP,'Detail Cab By Tgl'!$D77,DB!$AT:$AT,"ALDA",DB!$AQ:$AQ,'Detail Cab By Tgl'!T$29)</f>
        <v>0</v>
      </c>
      <c r="U77" s="94">
        <f>SUMIFS(DB!$AC:$AC,DB!$E:$E,'Detail Cab By Tgl'!$B77,DB!$AP:$AP,'Detail Cab By Tgl'!$D77,DB!$AT:$AT,"ALDA",DB!$AQ:$AQ,'Detail Cab By Tgl'!U$29)</f>
        <v>0</v>
      </c>
      <c r="V77" s="94">
        <f>SUMIFS(DB!$AC:$AC,DB!$E:$E,'Detail Cab By Tgl'!$B77,DB!$AP:$AP,'Detail Cab By Tgl'!$D77,DB!$AT:$AT,"ALDA",DB!$AQ:$AQ,'Detail Cab By Tgl'!V$29)</f>
        <v>0</v>
      </c>
      <c r="W77" s="94">
        <f>SUMIFS(DB!$AC:$AC,DB!$E:$E,'Detail Cab By Tgl'!$B77,DB!$AP:$AP,'Detail Cab By Tgl'!$D77,DB!$AT:$AT,"ALDA",DB!$AQ:$AQ,'Detail Cab By Tgl'!W$29)</f>
        <v>0</v>
      </c>
      <c r="X77" s="94">
        <f>SUMIFS(DB!$AC:$AC,DB!$E:$E,'Detail Cab By Tgl'!$B77,DB!$AP:$AP,'Detail Cab By Tgl'!$D77,DB!$AT:$AT,"ALDA",DB!$AQ:$AQ,'Detail Cab By Tgl'!X$29)</f>
        <v>0</v>
      </c>
      <c r="Y77" s="94">
        <f>SUMIFS(DB!$AC:$AC,DB!$E:$E,'Detail Cab By Tgl'!$B77,DB!$AP:$AP,'Detail Cab By Tgl'!$D77,DB!$AT:$AT,"ALDA",DB!$AQ:$AQ,'Detail Cab By Tgl'!Y$29)</f>
        <v>0</v>
      </c>
      <c r="Z77" s="94">
        <f>SUMIFS(DB!$AC:$AC,DB!$E:$E,'Detail Cab By Tgl'!$B77,DB!$AP:$AP,'Detail Cab By Tgl'!$D77,DB!$AT:$AT,"ALDA",DB!$AQ:$AQ,'Detail Cab By Tgl'!Z$29)</f>
        <v>0</v>
      </c>
      <c r="AA77" s="94">
        <f>SUMIFS(DB!$AC:$AC,DB!$E:$E,'Detail Cab By Tgl'!$B77,DB!$AP:$AP,'Detail Cab By Tgl'!$D77,DB!$AT:$AT,"ALDA",DB!$AQ:$AQ,'Detail Cab By Tgl'!AA$29)</f>
        <v>0</v>
      </c>
      <c r="AB77" s="94">
        <f>SUMIFS(DB!$AC:$AC,DB!$E:$E,'Detail Cab By Tgl'!$B77,DB!$AP:$AP,'Detail Cab By Tgl'!$D77,DB!$AT:$AT,"ALDA",DB!$AQ:$AQ,'Detail Cab By Tgl'!AB$29)</f>
        <v>0</v>
      </c>
      <c r="AC77" s="94">
        <f>SUMIFS(DB!$AC:$AC,DB!$E:$E,'Detail Cab By Tgl'!$B77,DB!$AP:$AP,'Detail Cab By Tgl'!$D77,DB!$AT:$AT,"ALDA",DB!$AQ:$AQ,'Detail Cab By Tgl'!AC$29)</f>
        <v>0</v>
      </c>
      <c r="AD77" s="94">
        <f>SUMIFS(DB!$AC:$AC,DB!$E:$E,'Detail Cab By Tgl'!$B77,DB!$AP:$AP,'Detail Cab By Tgl'!$D77,DB!$AT:$AT,"ALDA",DB!$AQ:$AQ,'Detail Cab By Tgl'!AD$29)</f>
        <v>0</v>
      </c>
      <c r="AE77" s="94">
        <f>SUMIFS(DB!$AC:$AC,DB!$E:$E,'Detail Cab By Tgl'!$B77,DB!$AP:$AP,'Detail Cab By Tgl'!$D77,DB!$AT:$AT,"ALDA",DB!$AQ:$AQ,'Detail Cab By Tgl'!AE$29)</f>
        <v>0</v>
      </c>
      <c r="AF77" s="94">
        <f>SUMIFS(DB!$AC:$AC,DB!$E:$E,'Detail Cab By Tgl'!$B77,DB!$AP:$AP,'Detail Cab By Tgl'!$D77,DB!$AT:$AT,"ALDA",DB!$AQ:$AQ,'Detail Cab By Tgl'!AF$29)</f>
        <v>0</v>
      </c>
      <c r="AG77" s="94">
        <f>SUMIFS(DB!$AC:$AC,DB!$E:$E,'Detail Cab By Tgl'!$B77,DB!$AP:$AP,'Detail Cab By Tgl'!$D77,DB!$AT:$AT,"ALDA",DB!$AQ:$AQ,'Detail Cab By Tgl'!AG$29)</f>
        <v>0</v>
      </c>
      <c r="AH77" s="94">
        <f>SUMIFS(DB!$AC:$AC,DB!$E:$E,'Detail Cab By Tgl'!$B77,DB!$AP:$AP,'Detail Cab By Tgl'!$D77,DB!$AT:$AT,"ALDA",DB!$AQ:$AQ,'Detail Cab By Tgl'!AH$29)</f>
        <v>0</v>
      </c>
      <c r="AI77" s="95">
        <f>SUMIFS(DB!$AC:$AC,DB!$E:$E,'Detail Cab By Tgl'!$B77,DB!$AP:$AP,'Detail Cab By Tgl'!$D77,DB!$AT:$AT,"ALDA",DB!$AQ:$AQ,'Detail Cab By Tgl'!AI$29)</f>
        <v>0</v>
      </c>
      <c r="AJ77" s="176">
        <f t="shared" si="8"/>
        <v>0</v>
      </c>
    </row>
    <row r="78" spans="2:36" x14ac:dyDescent="0.3">
      <c r="B78" s="321" t="s">
        <v>5</v>
      </c>
      <c r="C78" s="322" t="s">
        <v>246</v>
      </c>
      <c r="D78" s="106" t="s">
        <v>590</v>
      </c>
      <c r="E78" s="93">
        <f>SUMIFS(DB!$AC:$AC,DB!$E:$E,'Detail Cab By Tgl'!$B78,DB!$AP:$AP,'Detail Cab By Tgl'!$D78,DB!$AT:$AT,"ALDA",DB!$AQ:$AQ,'Detail Cab By Tgl'!E$29)</f>
        <v>0</v>
      </c>
      <c r="F78" s="94">
        <f>SUMIFS(DB!$AC:$AC,DB!$E:$E,'Detail Cab By Tgl'!$B78,DB!$AP:$AP,'Detail Cab By Tgl'!$D78,DB!$AT:$AT,"ALDA",DB!$AQ:$AQ,'Detail Cab By Tgl'!F$29)</f>
        <v>0</v>
      </c>
      <c r="G78" s="94">
        <f>SUMIFS(DB!$AC:$AC,DB!$E:$E,'Detail Cab By Tgl'!$B78,DB!$AP:$AP,'Detail Cab By Tgl'!$D78,DB!$AT:$AT,"ALDA",DB!$AQ:$AQ,'Detail Cab By Tgl'!G$29)</f>
        <v>0</v>
      </c>
      <c r="H78" s="94">
        <f>SUMIFS(DB!$AC:$AC,DB!$E:$E,'Detail Cab By Tgl'!$B78,DB!$AP:$AP,'Detail Cab By Tgl'!$D78,DB!$AT:$AT,"ALDA",DB!$AQ:$AQ,'Detail Cab By Tgl'!H$29)</f>
        <v>0</v>
      </c>
      <c r="I78" s="94">
        <f>SUMIFS(DB!$AC:$AC,DB!$E:$E,'Detail Cab By Tgl'!$B78,DB!$AP:$AP,'Detail Cab By Tgl'!$D78,DB!$AT:$AT,"ALDA",DB!$AQ:$AQ,'Detail Cab By Tgl'!I$29)</f>
        <v>0</v>
      </c>
      <c r="J78" s="94">
        <f>SUMIFS(DB!$AC:$AC,DB!$E:$E,'Detail Cab By Tgl'!$B78,DB!$AP:$AP,'Detail Cab By Tgl'!$D78,DB!$AT:$AT,"ALDA",DB!$AQ:$AQ,'Detail Cab By Tgl'!J$29)</f>
        <v>0</v>
      </c>
      <c r="K78" s="94">
        <f>SUMIFS(DB!$AC:$AC,DB!$E:$E,'Detail Cab By Tgl'!$B78,DB!$AP:$AP,'Detail Cab By Tgl'!$D78,DB!$AT:$AT,"ALDA",DB!$AQ:$AQ,'Detail Cab By Tgl'!K$29)</f>
        <v>0</v>
      </c>
      <c r="L78" s="94">
        <f>SUMIFS(DB!$AC:$AC,DB!$E:$E,'Detail Cab By Tgl'!$B78,DB!$AP:$AP,'Detail Cab By Tgl'!$D78,DB!$AT:$AT,"ALDA",DB!$AQ:$AQ,'Detail Cab By Tgl'!L$29)</f>
        <v>0</v>
      </c>
      <c r="M78" s="94">
        <f>SUMIFS(DB!$AC:$AC,DB!$E:$E,'Detail Cab By Tgl'!$B78,DB!$AP:$AP,'Detail Cab By Tgl'!$D78,DB!$AT:$AT,"ALDA",DB!$AQ:$AQ,'Detail Cab By Tgl'!M$29)</f>
        <v>0</v>
      </c>
      <c r="N78" s="94">
        <f>SUMIFS(DB!$AC:$AC,DB!$E:$E,'Detail Cab By Tgl'!$B78,DB!$AP:$AP,'Detail Cab By Tgl'!$D78,DB!$AT:$AT,"ALDA",DB!$AQ:$AQ,'Detail Cab By Tgl'!N$29)</f>
        <v>0</v>
      </c>
      <c r="O78" s="94">
        <f>SUMIFS(DB!$AC:$AC,DB!$E:$E,'Detail Cab By Tgl'!$B78,DB!$AP:$AP,'Detail Cab By Tgl'!$D78,DB!$AT:$AT,"ALDA",DB!$AQ:$AQ,'Detail Cab By Tgl'!O$29)</f>
        <v>0</v>
      </c>
      <c r="P78" s="94">
        <f>SUMIFS(DB!$AC:$AC,DB!$E:$E,'Detail Cab By Tgl'!$B78,DB!$AP:$AP,'Detail Cab By Tgl'!$D78,DB!$AT:$AT,"ALDA",DB!$AQ:$AQ,'Detail Cab By Tgl'!P$29)</f>
        <v>0</v>
      </c>
      <c r="Q78" s="94">
        <f>SUMIFS(DB!$AC:$AC,DB!$E:$E,'Detail Cab By Tgl'!$B78,DB!$AP:$AP,'Detail Cab By Tgl'!$D78,DB!$AT:$AT,"ALDA",DB!$AQ:$AQ,'Detail Cab By Tgl'!Q$29)</f>
        <v>0</v>
      </c>
      <c r="R78" s="94">
        <f>SUMIFS(DB!$AC:$AC,DB!$E:$E,'Detail Cab By Tgl'!$B78,DB!$AP:$AP,'Detail Cab By Tgl'!$D78,DB!$AT:$AT,"ALDA",DB!$AQ:$AQ,'Detail Cab By Tgl'!R$29)</f>
        <v>0</v>
      </c>
      <c r="S78" s="94">
        <f>SUMIFS(DB!$AC:$AC,DB!$E:$E,'Detail Cab By Tgl'!$B78,DB!$AP:$AP,'Detail Cab By Tgl'!$D78,DB!$AT:$AT,"ALDA",DB!$AQ:$AQ,'Detail Cab By Tgl'!S$29)</f>
        <v>0</v>
      </c>
      <c r="T78" s="94">
        <f>SUMIFS(DB!$AC:$AC,DB!$E:$E,'Detail Cab By Tgl'!$B78,DB!$AP:$AP,'Detail Cab By Tgl'!$D78,DB!$AT:$AT,"ALDA",DB!$AQ:$AQ,'Detail Cab By Tgl'!T$29)</f>
        <v>0</v>
      </c>
      <c r="U78" s="94">
        <f>SUMIFS(DB!$AC:$AC,DB!$E:$E,'Detail Cab By Tgl'!$B78,DB!$AP:$AP,'Detail Cab By Tgl'!$D78,DB!$AT:$AT,"ALDA",DB!$AQ:$AQ,'Detail Cab By Tgl'!U$29)</f>
        <v>0</v>
      </c>
      <c r="V78" s="94">
        <f>SUMIFS(DB!$AC:$AC,DB!$E:$E,'Detail Cab By Tgl'!$B78,DB!$AP:$AP,'Detail Cab By Tgl'!$D78,DB!$AT:$AT,"ALDA",DB!$AQ:$AQ,'Detail Cab By Tgl'!V$29)</f>
        <v>0</v>
      </c>
      <c r="W78" s="94">
        <f>SUMIFS(DB!$AC:$AC,DB!$E:$E,'Detail Cab By Tgl'!$B78,DB!$AP:$AP,'Detail Cab By Tgl'!$D78,DB!$AT:$AT,"ALDA",DB!$AQ:$AQ,'Detail Cab By Tgl'!W$29)</f>
        <v>0</v>
      </c>
      <c r="X78" s="94">
        <f>SUMIFS(DB!$AC:$AC,DB!$E:$E,'Detail Cab By Tgl'!$B78,DB!$AP:$AP,'Detail Cab By Tgl'!$D78,DB!$AT:$AT,"ALDA",DB!$AQ:$AQ,'Detail Cab By Tgl'!X$29)</f>
        <v>0</v>
      </c>
      <c r="Y78" s="94">
        <f>SUMIFS(DB!$AC:$AC,DB!$E:$E,'Detail Cab By Tgl'!$B78,DB!$AP:$AP,'Detail Cab By Tgl'!$D78,DB!$AT:$AT,"ALDA",DB!$AQ:$AQ,'Detail Cab By Tgl'!Y$29)</f>
        <v>0</v>
      </c>
      <c r="Z78" s="94">
        <f>SUMIFS(DB!$AC:$AC,DB!$E:$E,'Detail Cab By Tgl'!$B78,DB!$AP:$AP,'Detail Cab By Tgl'!$D78,DB!$AT:$AT,"ALDA",DB!$AQ:$AQ,'Detail Cab By Tgl'!Z$29)</f>
        <v>0</v>
      </c>
      <c r="AA78" s="94">
        <f>SUMIFS(DB!$AC:$AC,DB!$E:$E,'Detail Cab By Tgl'!$B78,DB!$AP:$AP,'Detail Cab By Tgl'!$D78,DB!$AT:$AT,"ALDA",DB!$AQ:$AQ,'Detail Cab By Tgl'!AA$29)</f>
        <v>0</v>
      </c>
      <c r="AB78" s="94">
        <f>SUMIFS(DB!$AC:$AC,DB!$E:$E,'Detail Cab By Tgl'!$B78,DB!$AP:$AP,'Detail Cab By Tgl'!$D78,DB!$AT:$AT,"ALDA",DB!$AQ:$AQ,'Detail Cab By Tgl'!AB$29)</f>
        <v>0</v>
      </c>
      <c r="AC78" s="94">
        <f>SUMIFS(DB!$AC:$AC,DB!$E:$E,'Detail Cab By Tgl'!$B78,DB!$AP:$AP,'Detail Cab By Tgl'!$D78,DB!$AT:$AT,"ALDA",DB!$AQ:$AQ,'Detail Cab By Tgl'!AC$29)</f>
        <v>0</v>
      </c>
      <c r="AD78" s="94">
        <f>SUMIFS(DB!$AC:$AC,DB!$E:$E,'Detail Cab By Tgl'!$B78,DB!$AP:$AP,'Detail Cab By Tgl'!$D78,DB!$AT:$AT,"ALDA",DB!$AQ:$AQ,'Detail Cab By Tgl'!AD$29)</f>
        <v>0</v>
      </c>
      <c r="AE78" s="94">
        <f>SUMIFS(DB!$AC:$AC,DB!$E:$E,'Detail Cab By Tgl'!$B78,DB!$AP:$AP,'Detail Cab By Tgl'!$D78,DB!$AT:$AT,"ALDA",DB!$AQ:$AQ,'Detail Cab By Tgl'!AE$29)</f>
        <v>0</v>
      </c>
      <c r="AF78" s="94">
        <f>SUMIFS(DB!$AC:$AC,DB!$E:$E,'Detail Cab By Tgl'!$B78,DB!$AP:$AP,'Detail Cab By Tgl'!$D78,DB!$AT:$AT,"ALDA",DB!$AQ:$AQ,'Detail Cab By Tgl'!AF$29)</f>
        <v>0</v>
      </c>
      <c r="AG78" s="94">
        <f>SUMIFS(DB!$AC:$AC,DB!$E:$E,'Detail Cab By Tgl'!$B78,DB!$AP:$AP,'Detail Cab By Tgl'!$D78,DB!$AT:$AT,"ALDA",DB!$AQ:$AQ,'Detail Cab By Tgl'!AG$29)</f>
        <v>0</v>
      </c>
      <c r="AH78" s="94">
        <f>SUMIFS(DB!$AC:$AC,DB!$E:$E,'Detail Cab By Tgl'!$B78,DB!$AP:$AP,'Detail Cab By Tgl'!$D78,DB!$AT:$AT,"ALDA",DB!$AQ:$AQ,'Detail Cab By Tgl'!AH$29)</f>
        <v>0</v>
      </c>
      <c r="AI78" s="95">
        <f>SUMIFS(DB!$AC:$AC,DB!$E:$E,'Detail Cab By Tgl'!$B78,DB!$AP:$AP,'Detail Cab By Tgl'!$D78,DB!$AT:$AT,"ALDA",DB!$AQ:$AQ,'Detail Cab By Tgl'!AI$29)</f>
        <v>0</v>
      </c>
      <c r="AJ78" s="176">
        <f t="shared" si="8"/>
        <v>0</v>
      </c>
    </row>
    <row r="79" spans="2:36" x14ac:dyDescent="0.3">
      <c r="B79" s="321" t="s">
        <v>5</v>
      </c>
      <c r="C79" s="322" t="s">
        <v>246</v>
      </c>
      <c r="D79" s="106" t="s">
        <v>331</v>
      </c>
      <c r="E79" s="93">
        <f>SUMIFS(DB!$AC:$AC,DB!$E:$E,'Detail Cab By Tgl'!$B79,DB!$AP:$AP,'Detail Cab By Tgl'!$D79,DB!$AT:$AT,"ALDA",DB!$AQ:$AQ,'Detail Cab By Tgl'!E$29)</f>
        <v>0</v>
      </c>
      <c r="F79" s="94">
        <f>SUMIFS(DB!$AC:$AC,DB!$E:$E,'Detail Cab By Tgl'!$B79,DB!$AP:$AP,'Detail Cab By Tgl'!$D79,DB!$AT:$AT,"ALDA",DB!$AQ:$AQ,'Detail Cab By Tgl'!F$29)</f>
        <v>0</v>
      </c>
      <c r="G79" s="94">
        <f>SUMIFS(DB!$AC:$AC,DB!$E:$E,'Detail Cab By Tgl'!$B79,DB!$AP:$AP,'Detail Cab By Tgl'!$D79,DB!$AT:$AT,"ALDA",DB!$AQ:$AQ,'Detail Cab By Tgl'!G$29)</f>
        <v>0</v>
      </c>
      <c r="H79" s="94">
        <f>SUMIFS(DB!$AC:$AC,DB!$E:$E,'Detail Cab By Tgl'!$B79,DB!$AP:$AP,'Detail Cab By Tgl'!$D79,DB!$AT:$AT,"ALDA",DB!$AQ:$AQ,'Detail Cab By Tgl'!H$29)</f>
        <v>0</v>
      </c>
      <c r="I79" s="94">
        <f>SUMIFS(DB!$AC:$AC,DB!$E:$E,'Detail Cab By Tgl'!$B79,DB!$AP:$AP,'Detail Cab By Tgl'!$D79,DB!$AT:$AT,"ALDA",DB!$AQ:$AQ,'Detail Cab By Tgl'!I$29)</f>
        <v>0</v>
      </c>
      <c r="J79" s="94">
        <f>SUMIFS(DB!$AC:$AC,DB!$E:$E,'Detail Cab By Tgl'!$B79,DB!$AP:$AP,'Detail Cab By Tgl'!$D79,DB!$AT:$AT,"ALDA",DB!$AQ:$AQ,'Detail Cab By Tgl'!J$29)</f>
        <v>0</v>
      </c>
      <c r="K79" s="94">
        <f>SUMIFS(DB!$AC:$AC,DB!$E:$E,'Detail Cab By Tgl'!$B79,DB!$AP:$AP,'Detail Cab By Tgl'!$D79,DB!$AT:$AT,"ALDA",DB!$AQ:$AQ,'Detail Cab By Tgl'!K$29)</f>
        <v>0</v>
      </c>
      <c r="L79" s="94">
        <f>SUMIFS(DB!$AC:$AC,DB!$E:$E,'Detail Cab By Tgl'!$B79,DB!$AP:$AP,'Detail Cab By Tgl'!$D79,DB!$AT:$AT,"ALDA",DB!$AQ:$AQ,'Detail Cab By Tgl'!L$29)</f>
        <v>0</v>
      </c>
      <c r="M79" s="94">
        <f>SUMIFS(DB!$AC:$AC,DB!$E:$E,'Detail Cab By Tgl'!$B79,DB!$AP:$AP,'Detail Cab By Tgl'!$D79,DB!$AT:$AT,"ALDA",DB!$AQ:$AQ,'Detail Cab By Tgl'!M$29)</f>
        <v>0</v>
      </c>
      <c r="N79" s="94">
        <f>SUMIFS(DB!$AC:$AC,DB!$E:$E,'Detail Cab By Tgl'!$B79,DB!$AP:$AP,'Detail Cab By Tgl'!$D79,DB!$AT:$AT,"ALDA",DB!$AQ:$AQ,'Detail Cab By Tgl'!N$29)</f>
        <v>0</v>
      </c>
      <c r="O79" s="94">
        <f>SUMIFS(DB!$AC:$AC,DB!$E:$E,'Detail Cab By Tgl'!$B79,DB!$AP:$AP,'Detail Cab By Tgl'!$D79,DB!$AT:$AT,"ALDA",DB!$AQ:$AQ,'Detail Cab By Tgl'!O$29)</f>
        <v>0</v>
      </c>
      <c r="P79" s="94">
        <f>SUMIFS(DB!$AC:$AC,DB!$E:$E,'Detail Cab By Tgl'!$B79,DB!$AP:$AP,'Detail Cab By Tgl'!$D79,DB!$AT:$AT,"ALDA",DB!$AQ:$AQ,'Detail Cab By Tgl'!P$29)</f>
        <v>0</v>
      </c>
      <c r="Q79" s="94">
        <f>SUMIFS(DB!$AC:$AC,DB!$E:$E,'Detail Cab By Tgl'!$B79,DB!$AP:$AP,'Detail Cab By Tgl'!$D79,DB!$AT:$AT,"ALDA",DB!$AQ:$AQ,'Detail Cab By Tgl'!Q$29)</f>
        <v>0</v>
      </c>
      <c r="R79" s="94">
        <f>SUMIFS(DB!$AC:$AC,DB!$E:$E,'Detail Cab By Tgl'!$B79,DB!$AP:$AP,'Detail Cab By Tgl'!$D79,DB!$AT:$AT,"ALDA",DB!$AQ:$AQ,'Detail Cab By Tgl'!R$29)</f>
        <v>0</v>
      </c>
      <c r="S79" s="94">
        <f>SUMIFS(DB!$AC:$AC,DB!$E:$E,'Detail Cab By Tgl'!$B79,DB!$AP:$AP,'Detail Cab By Tgl'!$D79,DB!$AT:$AT,"ALDA",DB!$AQ:$AQ,'Detail Cab By Tgl'!S$29)</f>
        <v>0</v>
      </c>
      <c r="T79" s="94">
        <f>SUMIFS(DB!$AC:$AC,DB!$E:$E,'Detail Cab By Tgl'!$B79,DB!$AP:$AP,'Detail Cab By Tgl'!$D79,DB!$AT:$AT,"ALDA",DB!$AQ:$AQ,'Detail Cab By Tgl'!T$29)</f>
        <v>0</v>
      </c>
      <c r="U79" s="94">
        <f>SUMIFS(DB!$AC:$AC,DB!$E:$E,'Detail Cab By Tgl'!$B79,DB!$AP:$AP,'Detail Cab By Tgl'!$D79,DB!$AT:$AT,"ALDA",DB!$AQ:$AQ,'Detail Cab By Tgl'!U$29)</f>
        <v>0</v>
      </c>
      <c r="V79" s="94">
        <f>SUMIFS(DB!$AC:$AC,DB!$E:$E,'Detail Cab By Tgl'!$B79,DB!$AP:$AP,'Detail Cab By Tgl'!$D79,DB!$AT:$AT,"ALDA",DB!$AQ:$AQ,'Detail Cab By Tgl'!V$29)</f>
        <v>0</v>
      </c>
      <c r="W79" s="94">
        <f>SUMIFS(DB!$AC:$AC,DB!$E:$E,'Detail Cab By Tgl'!$B79,DB!$AP:$AP,'Detail Cab By Tgl'!$D79,DB!$AT:$AT,"ALDA",DB!$AQ:$AQ,'Detail Cab By Tgl'!W$29)</f>
        <v>0</v>
      </c>
      <c r="X79" s="94">
        <f>SUMIFS(DB!$AC:$AC,DB!$E:$E,'Detail Cab By Tgl'!$B79,DB!$AP:$AP,'Detail Cab By Tgl'!$D79,DB!$AT:$AT,"ALDA",DB!$AQ:$AQ,'Detail Cab By Tgl'!X$29)</f>
        <v>0</v>
      </c>
      <c r="Y79" s="94">
        <f>SUMIFS(DB!$AC:$AC,DB!$E:$E,'Detail Cab By Tgl'!$B79,DB!$AP:$AP,'Detail Cab By Tgl'!$D79,DB!$AT:$AT,"ALDA",DB!$AQ:$AQ,'Detail Cab By Tgl'!Y$29)</f>
        <v>0</v>
      </c>
      <c r="Z79" s="94">
        <f>SUMIFS(DB!$AC:$AC,DB!$E:$E,'Detail Cab By Tgl'!$B79,DB!$AP:$AP,'Detail Cab By Tgl'!$D79,DB!$AT:$AT,"ALDA",DB!$AQ:$AQ,'Detail Cab By Tgl'!Z$29)</f>
        <v>0</v>
      </c>
      <c r="AA79" s="94">
        <f>SUMIFS(DB!$AC:$AC,DB!$E:$E,'Detail Cab By Tgl'!$B79,DB!$AP:$AP,'Detail Cab By Tgl'!$D79,DB!$AT:$AT,"ALDA",DB!$AQ:$AQ,'Detail Cab By Tgl'!AA$29)</f>
        <v>0</v>
      </c>
      <c r="AB79" s="94">
        <f>SUMIFS(DB!$AC:$AC,DB!$E:$E,'Detail Cab By Tgl'!$B79,DB!$AP:$AP,'Detail Cab By Tgl'!$D79,DB!$AT:$AT,"ALDA",DB!$AQ:$AQ,'Detail Cab By Tgl'!AB$29)</f>
        <v>0</v>
      </c>
      <c r="AC79" s="94">
        <f>SUMIFS(DB!$AC:$AC,DB!$E:$E,'Detail Cab By Tgl'!$B79,DB!$AP:$AP,'Detail Cab By Tgl'!$D79,DB!$AT:$AT,"ALDA",DB!$AQ:$AQ,'Detail Cab By Tgl'!AC$29)</f>
        <v>0</v>
      </c>
      <c r="AD79" s="94">
        <f>SUMIFS(DB!$AC:$AC,DB!$E:$E,'Detail Cab By Tgl'!$B79,DB!$AP:$AP,'Detail Cab By Tgl'!$D79,DB!$AT:$AT,"ALDA",DB!$AQ:$AQ,'Detail Cab By Tgl'!AD$29)</f>
        <v>0</v>
      </c>
      <c r="AE79" s="94">
        <f>SUMIFS(DB!$AC:$AC,DB!$E:$E,'Detail Cab By Tgl'!$B79,DB!$AP:$AP,'Detail Cab By Tgl'!$D79,DB!$AT:$AT,"ALDA",DB!$AQ:$AQ,'Detail Cab By Tgl'!AE$29)</f>
        <v>0</v>
      </c>
      <c r="AF79" s="94">
        <f>SUMIFS(DB!$AC:$AC,DB!$E:$E,'Detail Cab By Tgl'!$B79,DB!$AP:$AP,'Detail Cab By Tgl'!$D79,DB!$AT:$AT,"ALDA",DB!$AQ:$AQ,'Detail Cab By Tgl'!AF$29)</f>
        <v>0</v>
      </c>
      <c r="AG79" s="94">
        <f>SUMIFS(DB!$AC:$AC,DB!$E:$E,'Detail Cab By Tgl'!$B79,DB!$AP:$AP,'Detail Cab By Tgl'!$D79,DB!$AT:$AT,"ALDA",DB!$AQ:$AQ,'Detail Cab By Tgl'!AG$29)</f>
        <v>0</v>
      </c>
      <c r="AH79" s="94">
        <f>SUMIFS(DB!$AC:$AC,DB!$E:$E,'Detail Cab By Tgl'!$B79,DB!$AP:$AP,'Detail Cab By Tgl'!$D79,DB!$AT:$AT,"ALDA",DB!$AQ:$AQ,'Detail Cab By Tgl'!AH$29)</f>
        <v>0</v>
      </c>
      <c r="AI79" s="95">
        <f>SUMIFS(DB!$AC:$AC,DB!$E:$E,'Detail Cab By Tgl'!$B79,DB!$AP:$AP,'Detail Cab By Tgl'!$D79,DB!$AT:$AT,"ALDA",DB!$AQ:$AQ,'Detail Cab By Tgl'!AI$29)</f>
        <v>0</v>
      </c>
      <c r="AJ79" s="176">
        <f t="shared" si="8"/>
        <v>0</v>
      </c>
    </row>
    <row r="80" spans="2:36" x14ac:dyDescent="0.3">
      <c r="B80" s="321" t="s">
        <v>5</v>
      </c>
      <c r="C80" s="322" t="s">
        <v>246</v>
      </c>
      <c r="D80" s="106" t="s">
        <v>29</v>
      </c>
      <c r="E80" s="93">
        <f>SUMIFS(DB!$AC:$AC,DB!$E:$E,'Detail Cab By Tgl'!$B80,DB!$AP:$AP,'Detail Cab By Tgl'!$D80,DB!$AT:$AT,"ALDA",DB!$AQ:$AQ,'Detail Cab By Tgl'!E$29)</f>
        <v>0</v>
      </c>
      <c r="F80" s="94">
        <f>SUMIFS(DB!$AC:$AC,DB!$E:$E,'Detail Cab By Tgl'!$B80,DB!$AP:$AP,'Detail Cab By Tgl'!$D80,DB!$AT:$AT,"ALDA",DB!$AQ:$AQ,'Detail Cab By Tgl'!F$29)</f>
        <v>0</v>
      </c>
      <c r="G80" s="94">
        <f>SUMIFS(DB!$AC:$AC,DB!$E:$E,'Detail Cab By Tgl'!$B80,DB!$AP:$AP,'Detail Cab By Tgl'!$D80,DB!$AT:$AT,"ALDA",DB!$AQ:$AQ,'Detail Cab By Tgl'!G$29)</f>
        <v>0</v>
      </c>
      <c r="H80" s="94">
        <f>SUMIFS(DB!$AC:$AC,DB!$E:$E,'Detail Cab By Tgl'!$B80,DB!$AP:$AP,'Detail Cab By Tgl'!$D80,DB!$AT:$AT,"ALDA",DB!$AQ:$AQ,'Detail Cab By Tgl'!H$29)</f>
        <v>0</v>
      </c>
      <c r="I80" s="94">
        <f>SUMIFS(DB!$AC:$AC,DB!$E:$E,'Detail Cab By Tgl'!$B80,DB!$AP:$AP,'Detail Cab By Tgl'!$D80,DB!$AT:$AT,"ALDA",DB!$AQ:$AQ,'Detail Cab By Tgl'!I$29)</f>
        <v>0</v>
      </c>
      <c r="J80" s="94">
        <f>SUMIFS(DB!$AC:$AC,DB!$E:$E,'Detail Cab By Tgl'!$B80,DB!$AP:$AP,'Detail Cab By Tgl'!$D80,DB!$AT:$AT,"ALDA",DB!$AQ:$AQ,'Detail Cab By Tgl'!J$29)</f>
        <v>0</v>
      </c>
      <c r="K80" s="94">
        <f>SUMIFS(DB!$AC:$AC,DB!$E:$E,'Detail Cab By Tgl'!$B80,DB!$AP:$AP,'Detail Cab By Tgl'!$D80,DB!$AT:$AT,"ALDA",DB!$AQ:$AQ,'Detail Cab By Tgl'!K$29)</f>
        <v>0</v>
      </c>
      <c r="L80" s="94">
        <f>SUMIFS(DB!$AC:$AC,DB!$E:$E,'Detail Cab By Tgl'!$B80,DB!$AP:$AP,'Detail Cab By Tgl'!$D80,DB!$AT:$AT,"ALDA",DB!$AQ:$AQ,'Detail Cab By Tgl'!L$29)</f>
        <v>0</v>
      </c>
      <c r="M80" s="94">
        <f>SUMIFS(DB!$AC:$AC,DB!$E:$E,'Detail Cab By Tgl'!$B80,DB!$AP:$AP,'Detail Cab By Tgl'!$D80,DB!$AT:$AT,"ALDA",DB!$AQ:$AQ,'Detail Cab By Tgl'!M$29)</f>
        <v>0</v>
      </c>
      <c r="N80" s="94">
        <f>SUMIFS(DB!$AC:$AC,DB!$E:$E,'Detail Cab By Tgl'!$B80,DB!$AP:$AP,'Detail Cab By Tgl'!$D80,DB!$AT:$AT,"ALDA",DB!$AQ:$AQ,'Detail Cab By Tgl'!N$29)</f>
        <v>0</v>
      </c>
      <c r="O80" s="94">
        <f>SUMIFS(DB!$AC:$AC,DB!$E:$E,'Detail Cab By Tgl'!$B80,DB!$AP:$AP,'Detail Cab By Tgl'!$D80,DB!$AT:$AT,"ALDA",DB!$AQ:$AQ,'Detail Cab By Tgl'!O$29)</f>
        <v>0</v>
      </c>
      <c r="P80" s="94">
        <f>SUMIFS(DB!$AC:$AC,DB!$E:$E,'Detail Cab By Tgl'!$B80,DB!$AP:$AP,'Detail Cab By Tgl'!$D80,DB!$AT:$AT,"ALDA",DB!$AQ:$AQ,'Detail Cab By Tgl'!P$29)</f>
        <v>0</v>
      </c>
      <c r="Q80" s="94">
        <f>SUMIFS(DB!$AC:$AC,DB!$E:$E,'Detail Cab By Tgl'!$B80,DB!$AP:$AP,'Detail Cab By Tgl'!$D80,DB!$AT:$AT,"ALDA",DB!$AQ:$AQ,'Detail Cab By Tgl'!Q$29)</f>
        <v>0</v>
      </c>
      <c r="R80" s="94">
        <f>SUMIFS(DB!$AC:$AC,DB!$E:$E,'Detail Cab By Tgl'!$B80,DB!$AP:$AP,'Detail Cab By Tgl'!$D80,DB!$AT:$AT,"ALDA",DB!$AQ:$AQ,'Detail Cab By Tgl'!R$29)</f>
        <v>0</v>
      </c>
      <c r="S80" s="94">
        <f>SUMIFS(DB!$AC:$AC,DB!$E:$E,'Detail Cab By Tgl'!$B80,DB!$AP:$AP,'Detail Cab By Tgl'!$D80,DB!$AT:$AT,"ALDA",DB!$AQ:$AQ,'Detail Cab By Tgl'!S$29)</f>
        <v>0</v>
      </c>
      <c r="T80" s="94">
        <f>SUMIFS(DB!$AC:$AC,DB!$E:$E,'Detail Cab By Tgl'!$B80,DB!$AP:$AP,'Detail Cab By Tgl'!$D80,DB!$AT:$AT,"ALDA",DB!$AQ:$AQ,'Detail Cab By Tgl'!T$29)</f>
        <v>0</v>
      </c>
      <c r="U80" s="94">
        <f>SUMIFS(DB!$AC:$AC,DB!$E:$E,'Detail Cab By Tgl'!$B80,DB!$AP:$AP,'Detail Cab By Tgl'!$D80,DB!$AT:$AT,"ALDA",DB!$AQ:$AQ,'Detail Cab By Tgl'!U$29)</f>
        <v>0</v>
      </c>
      <c r="V80" s="94">
        <f>SUMIFS(DB!$AC:$AC,DB!$E:$E,'Detail Cab By Tgl'!$B80,DB!$AP:$AP,'Detail Cab By Tgl'!$D80,DB!$AT:$AT,"ALDA",DB!$AQ:$AQ,'Detail Cab By Tgl'!V$29)</f>
        <v>0</v>
      </c>
      <c r="W80" s="94">
        <f>SUMIFS(DB!$AC:$AC,DB!$E:$E,'Detail Cab By Tgl'!$B80,DB!$AP:$AP,'Detail Cab By Tgl'!$D80,DB!$AT:$AT,"ALDA",DB!$AQ:$AQ,'Detail Cab By Tgl'!W$29)</f>
        <v>0</v>
      </c>
      <c r="X80" s="94">
        <f>SUMIFS(DB!$AC:$AC,DB!$E:$E,'Detail Cab By Tgl'!$B80,DB!$AP:$AP,'Detail Cab By Tgl'!$D80,DB!$AT:$AT,"ALDA",DB!$AQ:$AQ,'Detail Cab By Tgl'!X$29)</f>
        <v>0</v>
      </c>
      <c r="Y80" s="94">
        <f>SUMIFS(DB!$AC:$AC,DB!$E:$E,'Detail Cab By Tgl'!$B80,DB!$AP:$AP,'Detail Cab By Tgl'!$D80,DB!$AT:$AT,"ALDA",DB!$AQ:$AQ,'Detail Cab By Tgl'!Y$29)</f>
        <v>0</v>
      </c>
      <c r="Z80" s="94">
        <f>SUMIFS(DB!$AC:$AC,DB!$E:$E,'Detail Cab By Tgl'!$B80,DB!$AP:$AP,'Detail Cab By Tgl'!$D80,DB!$AT:$AT,"ALDA",DB!$AQ:$AQ,'Detail Cab By Tgl'!Z$29)</f>
        <v>0</v>
      </c>
      <c r="AA80" s="94">
        <f>SUMIFS(DB!$AC:$AC,DB!$E:$E,'Detail Cab By Tgl'!$B80,DB!$AP:$AP,'Detail Cab By Tgl'!$D80,DB!$AT:$AT,"ALDA",DB!$AQ:$AQ,'Detail Cab By Tgl'!AA$29)</f>
        <v>0</v>
      </c>
      <c r="AB80" s="94">
        <f>SUMIFS(DB!$AC:$AC,DB!$E:$E,'Detail Cab By Tgl'!$B80,DB!$AP:$AP,'Detail Cab By Tgl'!$D80,DB!$AT:$AT,"ALDA",DB!$AQ:$AQ,'Detail Cab By Tgl'!AB$29)</f>
        <v>0</v>
      </c>
      <c r="AC80" s="94">
        <f>SUMIFS(DB!$AC:$AC,DB!$E:$E,'Detail Cab By Tgl'!$B80,DB!$AP:$AP,'Detail Cab By Tgl'!$D80,DB!$AT:$AT,"ALDA",DB!$AQ:$AQ,'Detail Cab By Tgl'!AC$29)</f>
        <v>0</v>
      </c>
      <c r="AD80" s="94">
        <f>SUMIFS(DB!$AC:$AC,DB!$E:$E,'Detail Cab By Tgl'!$B80,DB!$AP:$AP,'Detail Cab By Tgl'!$D80,DB!$AT:$AT,"ALDA",DB!$AQ:$AQ,'Detail Cab By Tgl'!AD$29)</f>
        <v>0</v>
      </c>
      <c r="AE80" s="94">
        <f>SUMIFS(DB!$AC:$AC,DB!$E:$E,'Detail Cab By Tgl'!$B80,DB!$AP:$AP,'Detail Cab By Tgl'!$D80,DB!$AT:$AT,"ALDA",DB!$AQ:$AQ,'Detail Cab By Tgl'!AE$29)</f>
        <v>0</v>
      </c>
      <c r="AF80" s="94">
        <f>SUMIFS(DB!$AC:$AC,DB!$E:$E,'Detail Cab By Tgl'!$B80,DB!$AP:$AP,'Detail Cab By Tgl'!$D80,DB!$AT:$AT,"ALDA",DB!$AQ:$AQ,'Detail Cab By Tgl'!AF$29)</f>
        <v>0</v>
      </c>
      <c r="AG80" s="94">
        <f>SUMIFS(DB!$AC:$AC,DB!$E:$E,'Detail Cab By Tgl'!$B80,DB!$AP:$AP,'Detail Cab By Tgl'!$D80,DB!$AT:$AT,"ALDA",DB!$AQ:$AQ,'Detail Cab By Tgl'!AG$29)</f>
        <v>0</v>
      </c>
      <c r="AH80" s="94">
        <f>SUMIFS(DB!$AC:$AC,DB!$E:$E,'Detail Cab By Tgl'!$B80,DB!$AP:$AP,'Detail Cab By Tgl'!$D80,DB!$AT:$AT,"ALDA",DB!$AQ:$AQ,'Detail Cab By Tgl'!AH$29)</f>
        <v>0</v>
      </c>
      <c r="AI80" s="95">
        <f>SUMIFS(DB!$AC:$AC,DB!$E:$E,'Detail Cab By Tgl'!$B80,DB!$AP:$AP,'Detail Cab By Tgl'!$D80,DB!$AT:$AT,"ALDA",DB!$AQ:$AQ,'Detail Cab By Tgl'!AI$29)</f>
        <v>0</v>
      </c>
      <c r="AJ80" s="176">
        <f t="shared" si="8"/>
        <v>0</v>
      </c>
    </row>
    <row r="81" spans="2:36" x14ac:dyDescent="0.3">
      <c r="B81" s="321" t="s">
        <v>5</v>
      </c>
      <c r="C81" s="322" t="s">
        <v>246</v>
      </c>
      <c r="D81" s="106" t="s">
        <v>269</v>
      </c>
      <c r="E81" s="93">
        <f>SUMIFS(DB!$AC:$AC,DB!$E:$E,'Detail Cab By Tgl'!$B81,DB!$AP:$AP,'Detail Cab By Tgl'!$D81,DB!$AT:$AT,"ALDA",DB!$AQ:$AQ,'Detail Cab By Tgl'!E$29)</f>
        <v>0</v>
      </c>
      <c r="F81" s="94">
        <f>SUMIFS(DB!$AC:$AC,DB!$E:$E,'Detail Cab By Tgl'!$B81,DB!$AP:$AP,'Detail Cab By Tgl'!$D81,DB!$AT:$AT,"ALDA",DB!$AQ:$AQ,'Detail Cab By Tgl'!F$29)</f>
        <v>0</v>
      </c>
      <c r="G81" s="94">
        <f>SUMIFS(DB!$AC:$AC,DB!$E:$E,'Detail Cab By Tgl'!$B81,DB!$AP:$AP,'Detail Cab By Tgl'!$D81,DB!$AT:$AT,"ALDA",DB!$AQ:$AQ,'Detail Cab By Tgl'!G$29)</f>
        <v>0</v>
      </c>
      <c r="H81" s="94">
        <f>SUMIFS(DB!$AC:$AC,DB!$E:$E,'Detail Cab By Tgl'!$B81,DB!$AP:$AP,'Detail Cab By Tgl'!$D81,DB!$AT:$AT,"ALDA",DB!$AQ:$AQ,'Detail Cab By Tgl'!H$29)</f>
        <v>0</v>
      </c>
      <c r="I81" s="94">
        <f>SUMIFS(DB!$AC:$AC,DB!$E:$E,'Detail Cab By Tgl'!$B81,DB!$AP:$AP,'Detail Cab By Tgl'!$D81,DB!$AT:$AT,"ALDA",DB!$AQ:$AQ,'Detail Cab By Tgl'!I$29)</f>
        <v>0</v>
      </c>
      <c r="J81" s="94">
        <f>SUMIFS(DB!$AC:$AC,DB!$E:$E,'Detail Cab By Tgl'!$B81,DB!$AP:$AP,'Detail Cab By Tgl'!$D81,DB!$AT:$AT,"ALDA",DB!$AQ:$AQ,'Detail Cab By Tgl'!J$29)</f>
        <v>0</v>
      </c>
      <c r="K81" s="94">
        <f>SUMIFS(DB!$AC:$AC,DB!$E:$E,'Detail Cab By Tgl'!$B81,DB!$AP:$AP,'Detail Cab By Tgl'!$D81,DB!$AT:$AT,"ALDA",DB!$AQ:$AQ,'Detail Cab By Tgl'!K$29)</f>
        <v>0</v>
      </c>
      <c r="L81" s="94">
        <f>SUMIFS(DB!$AC:$AC,DB!$E:$E,'Detail Cab By Tgl'!$B81,DB!$AP:$AP,'Detail Cab By Tgl'!$D81,DB!$AT:$AT,"ALDA",DB!$AQ:$AQ,'Detail Cab By Tgl'!L$29)</f>
        <v>0</v>
      </c>
      <c r="M81" s="94">
        <f>SUMIFS(DB!$AC:$AC,DB!$E:$E,'Detail Cab By Tgl'!$B81,DB!$AP:$AP,'Detail Cab By Tgl'!$D81,DB!$AT:$AT,"ALDA",DB!$AQ:$AQ,'Detail Cab By Tgl'!M$29)</f>
        <v>0</v>
      </c>
      <c r="N81" s="94">
        <f>SUMIFS(DB!$AC:$AC,DB!$E:$E,'Detail Cab By Tgl'!$B81,DB!$AP:$AP,'Detail Cab By Tgl'!$D81,DB!$AT:$AT,"ALDA",DB!$AQ:$AQ,'Detail Cab By Tgl'!N$29)</f>
        <v>0</v>
      </c>
      <c r="O81" s="94">
        <f>SUMIFS(DB!$AC:$AC,DB!$E:$E,'Detail Cab By Tgl'!$B81,DB!$AP:$AP,'Detail Cab By Tgl'!$D81,DB!$AT:$AT,"ALDA",DB!$AQ:$AQ,'Detail Cab By Tgl'!O$29)</f>
        <v>0</v>
      </c>
      <c r="P81" s="94">
        <f>SUMIFS(DB!$AC:$AC,DB!$E:$E,'Detail Cab By Tgl'!$B81,DB!$AP:$AP,'Detail Cab By Tgl'!$D81,DB!$AT:$AT,"ALDA",DB!$AQ:$AQ,'Detail Cab By Tgl'!P$29)</f>
        <v>0</v>
      </c>
      <c r="Q81" s="94">
        <f>SUMIFS(DB!$AC:$AC,DB!$E:$E,'Detail Cab By Tgl'!$B81,DB!$AP:$AP,'Detail Cab By Tgl'!$D81,DB!$AT:$AT,"ALDA",DB!$AQ:$AQ,'Detail Cab By Tgl'!Q$29)</f>
        <v>0</v>
      </c>
      <c r="R81" s="94">
        <f>SUMIFS(DB!$AC:$AC,DB!$E:$E,'Detail Cab By Tgl'!$B81,DB!$AP:$AP,'Detail Cab By Tgl'!$D81,DB!$AT:$AT,"ALDA",DB!$AQ:$AQ,'Detail Cab By Tgl'!R$29)</f>
        <v>0</v>
      </c>
      <c r="S81" s="94">
        <f>SUMIFS(DB!$AC:$AC,DB!$E:$E,'Detail Cab By Tgl'!$B81,DB!$AP:$AP,'Detail Cab By Tgl'!$D81,DB!$AT:$AT,"ALDA",DB!$AQ:$AQ,'Detail Cab By Tgl'!S$29)</f>
        <v>0</v>
      </c>
      <c r="T81" s="94">
        <f>SUMIFS(DB!$AC:$AC,DB!$E:$E,'Detail Cab By Tgl'!$B81,DB!$AP:$AP,'Detail Cab By Tgl'!$D81,DB!$AT:$AT,"ALDA",DB!$AQ:$AQ,'Detail Cab By Tgl'!T$29)</f>
        <v>0</v>
      </c>
      <c r="U81" s="94">
        <f>SUMIFS(DB!$AC:$AC,DB!$E:$E,'Detail Cab By Tgl'!$B81,DB!$AP:$AP,'Detail Cab By Tgl'!$D81,DB!$AT:$AT,"ALDA",DB!$AQ:$AQ,'Detail Cab By Tgl'!U$29)</f>
        <v>0</v>
      </c>
      <c r="V81" s="94">
        <f>SUMIFS(DB!$AC:$AC,DB!$E:$E,'Detail Cab By Tgl'!$B81,DB!$AP:$AP,'Detail Cab By Tgl'!$D81,DB!$AT:$AT,"ALDA",DB!$AQ:$AQ,'Detail Cab By Tgl'!V$29)</f>
        <v>0</v>
      </c>
      <c r="W81" s="94">
        <f>SUMIFS(DB!$AC:$AC,DB!$E:$E,'Detail Cab By Tgl'!$B81,DB!$AP:$AP,'Detail Cab By Tgl'!$D81,DB!$AT:$AT,"ALDA",DB!$AQ:$AQ,'Detail Cab By Tgl'!W$29)</f>
        <v>0</v>
      </c>
      <c r="X81" s="94">
        <f>SUMIFS(DB!$AC:$AC,DB!$E:$E,'Detail Cab By Tgl'!$B81,DB!$AP:$AP,'Detail Cab By Tgl'!$D81,DB!$AT:$AT,"ALDA",DB!$AQ:$AQ,'Detail Cab By Tgl'!X$29)</f>
        <v>0</v>
      </c>
      <c r="Y81" s="94">
        <f>SUMIFS(DB!$AC:$AC,DB!$E:$E,'Detail Cab By Tgl'!$B81,DB!$AP:$AP,'Detail Cab By Tgl'!$D81,DB!$AT:$AT,"ALDA",DB!$AQ:$AQ,'Detail Cab By Tgl'!Y$29)</f>
        <v>0</v>
      </c>
      <c r="Z81" s="94">
        <f>SUMIFS(DB!$AC:$AC,DB!$E:$E,'Detail Cab By Tgl'!$B81,DB!$AP:$AP,'Detail Cab By Tgl'!$D81,DB!$AT:$AT,"ALDA",DB!$AQ:$AQ,'Detail Cab By Tgl'!Z$29)</f>
        <v>0</v>
      </c>
      <c r="AA81" s="94">
        <f>SUMIFS(DB!$AC:$AC,DB!$E:$E,'Detail Cab By Tgl'!$B81,DB!$AP:$AP,'Detail Cab By Tgl'!$D81,DB!$AT:$AT,"ALDA",DB!$AQ:$AQ,'Detail Cab By Tgl'!AA$29)</f>
        <v>0</v>
      </c>
      <c r="AB81" s="94">
        <f>SUMIFS(DB!$AC:$AC,DB!$E:$E,'Detail Cab By Tgl'!$B81,DB!$AP:$AP,'Detail Cab By Tgl'!$D81,DB!$AT:$AT,"ALDA",DB!$AQ:$AQ,'Detail Cab By Tgl'!AB$29)</f>
        <v>0</v>
      </c>
      <c r="AC81" s="94">
        <f>SUMIFS(DB!$AC:$AC,DB!$E:$E,'Detail Cab By Tgl'!$B81,DB!$AP:$AP,'Detail Cab By Tgl'!$D81,DB!$AT:$AT,"ALDA",DB!$AQ:$AQ,'Detail Cab By Tgl'!AC$29)</f>
        <v>0</v>
      </c>
      <c r="AD81" s="94">
        <f>SUMIFS(DB!$AC:$AC,DB!$E:$E,'Detail Cab By Tgl'!$B81,DB!$AP:$AP,'Detail Cab By Tgl'!$D81,DB!$AT:$AT,"ALDA",DB!$AQ:$AQ,'Detail Cab By Tgl'!AD$29)</f>
        <v>0</v>
      </c>
      <c r="AE81" s="94">
        <f>SUMIFS(DB!$AC:$AC,DB!$E:$E,'Detail Cab By Tgl'!$B81,DB!$AP:$AP,'Detail Cab By Tgl'!$D81,DB!$AT:$AT,"ALDA",DB!$AQ:$AQ,'Detail Cab By Tgl'!AE$29)</f>
        <v>0</v>
      </c>
      <c r="AF81" s="94">
        <f>SUMIFS(DB!$AC:$AC,DB!$E:$E,'Detail Cab By Tgl'!$B81,DB!$AP:$AP,'Detail Cab By Tgl'!$D81,DB!$AT:$AT,"ALDA",DB!$AQ:$AQ,'Detail Cab By Tgl'!AF$29)</f>
        <v>0</v>
      </c>
      <c r="AG81" s="94">
        <f>SUMIFS(DB!$AC:$AC,DB!$E:$E,'Detail Cab By Tgl'!$B81,DB!$AP:$AP,'Detail Cab By Tgl'!$D81,DB!$AT:$AT,"ALDA",DB!$AQ:$AQ,'Detail Cab By Tgl'!AG$29)</f>
        <v>0</v>
      </c>
      <c r="AH81" s="94">
        <f>SUMIFS(DB!$AC:$AC,DB!$E:$E,'Detail Cab By Tgl'!$B81,DB!$AP:$AP,'Detail Cab By Tgl'!$D81,DB!$AT:$AT,"ALDA",DB!$AQ:$AQ,'Detail Cab By Tgl'!AH$29)</f>
        <v>0</v>
      </c>
      <c r="AI81" s="95">
        <f>SUMIFS(DB!$AC:$AC,DB!$E:$E,'Detail Cab By Tgl'!$B81,DB!$AP:$AP,'Detail Cab By Tgl'!$D81,DB!$AT:$AT,"ALDA",DB!$AQ:$AQ,'Detail Cab By Tgl'!AI$29)</f>
        <v>0</v>
      </c>
      <c r="AJ81" s="176">
        <f t="shared" si="8"/>
        <v>0</v>
      </c>
    </row>
    <row r="82" spans="2:36" x14ac:dyDescent="0.3">
      <c r="B82" s="321" t="s">
        <v>5</v>
      </c>
      <c r="C82" s="322" t="s">
        <v>246</v>
      </c>
      <c r="D82" s="106" t="s">
        <v>28</v>
      </c>
      <c r="E82" s="93">
        <f>SUMIFS(DB!$AC:$AC,DB!$E:$E,'Detail Cab By Tgl'!$B82,DB!$AP:$AP,'Detail Cab By Tgl'!$D82,DB!$AT:$AT,"ALDA",DB!$AQ:$AQ,'Detail Cab By Tgl'!E$29)</f>
        <v>0</v>
      </c>
      <c r="F82" s="94">
        <f>SUMIFS(DB!$AC:$AC,DB!$E:$E,'Detail Cab By Tgl'!$B82,DB!$AP:$AP,'Detail Cab By Tgl'!$D82,DB!$AT:$AT,"ALDA",DB!$AQ:$AQ,'Detail Cab By Tgl'!F$29)</f>
        <v>0</v>
      </c>
      <c r="G82" s="94">
        <f>SUMIFS(DB!$AC:$AC,DB!$E:$E,'Detail Cab By Tgl'!$B82,DB!$AP:$AP,'Detail Cab By Tgl'!$D82,DB!$AT:$AT,"ALDA",DB!$AQ:$AQ,'Detail Cab By Tgl'!G$29)</f>
        <v>0</v>
      </c>
      <c r="H82" s="94">
        <f>SUMIFS(DB!$AC:$AC,DB!$E:$E,'Detail Cab By Tgl'!$B82,DB!$AP:$AP,'Detail Cab By Tgl'!$D82,DB!$AT:$AT,"ALDA",DB!$AQ:$AQ,'Detail Cab By Tgl'!H$29)</f>
        <v>0</v>
      </c>
      <c r="I82" s="94">
        <f>SUMIFS(DB!$AC:$AC,DB!$E:$E,'Detail Cab By Tgl'!$B82,DB!$AP:$AP,'Detail Cab By Tgl'!$D82,DB!$AT:$AT,"ALDA",DB!$AQ:$AQ,'Detail Cab By Tgl'!I$29)</f>
        <v>0</v>
      </c>
      <c r="J82" s="94">
        <f>SUMIFS(DB!$AC:$AC,DB!$E:$E,'Detail Cab By Tgl'!$B82,DB!$AP:$AP,'Detail Cab By Tgl'!$D82,DB!$AT:$AT,"ALDA",DB!$AQ:$AQ,'Detail Cab By Tgl'!J$29)</f>
        <v>0</v>
      </c>
      <c r="K82" s="94">
        <f>SUMIFS(DB!$AC:$AC,DB!$E:$E,'Detail Cab By Tgl'!$B82,DB!$AP:$AP,'Detail Cab By Tgl'!$D82,DB!$AT:$AT,"ALDA",DB!$AQ:$AQ,'Detail Cab By Tgl'!K$29)</f>
        <v>0</v>
      </c>
      <c r="L82" s="94">
        <f>SUMIFS(DB!$AC:$AC,DB!$E:$E,'Detail Cab By Tgl'!$B82,DB!$AP:$AP,'Detail Cab By Tgl'!$D82,DB!$AT:$AT,"ALDA",DB!$AQ:$AQ,'Detail Cab By Tgl'!L$29)</f>
        <v>0</v>
      </c>
      <c r="M82" s="94">
        <f>SUMIFS(DB!$AC:$AC,DB!$E:$E,'Detail Cab By Tgl'!$B82,DB!$AP:$AP,'Detail Cab By Tgl'!$D82,DB!$AT:$AT,"ALDA",DB!$AQ:$AQ,'Detail Cab By Tgl'!M$29)</f>
        <v>0</v>
      </c>
      <c r="N82" s="94">
        <f>SUMIFS(DB!$AC:$AC,DB!$E:$E,'Detail Cab By Tgl'!$B82,DB!$AP:$AP,'Detail Cab By Tgl'!$D82,DB!$AT:$AT,"ALDA",DB!$AQ:$AQ,'Detail Cab By Tgl'!N$29)</f>
        <v>0</v>
      </c>
      <c r="O82" s="94">
        <f>SUMIFS(DB!$AC:$AC,DB!$E:$E,'Detail Cab By Tgl'!$B82,DB!$AP:$AP,'Detail Cab By Tgl'!$D82,DB!$AT:$AT,"ALDA",DB!$AQ:$AQ,'Detail Cab By Tgl'!O$29)</f>
        <v>0</v>
      </c>
      <c r="P82" s="94">
        <f>SUMIFS(DB!$AC:$AC,DB!$E:$E,'Detail Cab By Tgl'!$B82,DB!$AP:$AP,'Detail Cab By Tgl'!$D82,DB!$AT:$AT,"ALDA",DB!$AQ:$AQ,'Detail Cab By Tgl'!P$29)</f>
        <v>0</v>
      </c>
      <c r="Q82" s="94">
        <f>SUMIFS(DB!$AC:$AC,DB!$E:$E,'Detail Cab By Tgl'!$B82,DB!$AP:$AP,'Detail Cab By Tgl'!$D82,DB!$AT:$AT,"ALDA",DB!$AQ:$AQ,'Detail Cab By Tgl'!Q$29)</f>
        <v>0</v>
      </c>
      <c r="R82" s="94">
        <f>SUMIFS(DB!$AC:$AC,DB!$E:$E,'Detail Cab By Tgl'!$B82,DB!$AP:$AP,'Detail Cab By Tgl'!$D82,DB!$AT:$AT,"ALDA",DB!$AQ:$AQ,'Detail Cab By Tgl'!R$29)</f>
        <v>0</v>
      </c>
      <c r="S82" s="94">
        <f>SUMIFS(DB!$AC:$AC,DB!$E:$E,'Detail Cab By Tgl'!$B82,DB!$AP:$AP,'Detail Cab By Tgl'!$D82,DB!$AT:$AT,"ALDA",DB!$AQ:$AQ,'Detail Cab By Tgl'!S$29)</f>
        <v>0</v>
      </c>
      <c r="T82" s="94">
        <f>SUMIFS(DB!$AC:$AC,DB!$E:$E,'Detail Cab By Tgl'!$B82,DB!$AP:$AP,'Detail Cab By Tgl'!$D82,DB!$AT:$AT,"ALDA",DB!$AQ:$AQ,'Detail Cab By Tgl'!T$29)</f>
        <v>0</v>
      </c>
      <c r="U82" s="94">
        <f>SUMIFS(DB!$AC:$AC,DB!$E:$E,'Detail Cab By Tgl'!$B82,DB!$AP:$AP,'Detail Cab By Tgl'!$D82,DB!$AT:$AT,"ALDA",DB!$AQ:$AQ,'Detail Cab By Tgl'!U$29)</f>
        <v>0</v>
      </c>
      <c r="V82" s="94">
        <f>SUMIFS(DB!$AC:$AC,DB!$E:$E,'Detail Cab By Tgl'!$B82,DB!$AP:$AP,'Detail Cab By Tgl'!$D82,DB!$AT:$AT,"ALDA",DB!$AQ:$AQ,'Detail Cab By Tgl'!V$29)</f>
        <v>0</v>
      </c>
      <c r="W82" s="94">
        <f>SUMIFS(DB!$AC:$AC,DB!$E:$E,'Detail Cab By Tgl'!$B82,DB!$AP:$AP,'Detail Cab By Tgl'!$D82,DB!$AT:$AT,"ALDA",DB!$AQ:$AQ,'Detail Cab By Tgl'!W$29)</f>
        <v>0</v>
      </c>
      <c r="X82" s="94">
        <f>SUMIFS(DB!$AC:$AC,DB!$E:$E,'Detail Cab By Tgl'!$B82,DB!$AP:$AP,'Detail Cab By Tgl'!$D82,DB!$AT:$AT,"ALDA",DB!$AQ:$AQ,'Detail Cab By Tgl'!X$29)</f>
        <v>0</v>
      </c>
      <c r="Y82" s="94">
        <f>SUMIFS(DB!$AC:$AC,DB!$E:$E,'Detail Cab By Tgl'!$B82,DB!$AP:$AP,'Detail Cab By Tgl'!$D82,DB!$AT:$AT,"ALDA",DB!$AQ:$AQ,'Detail Cab By Tgl'!Y$29)</f>
        <v>0</v>
      </c>
      <c r="Z82" s="94">
        <f>SUMIFS(DB!$AC:$AC,DB!$E:$E,'Detail Cab By Tgl'!$B82,DB!$AP:$AP,'Detail Cab By Tgl'!$D82,DB!$AT:$AT,"ALDA",DB!$AQ:$AQ,'Detail Cab By Tgl'!Z$29)</f>
        <v>0</v>
      </c>
      <c r="AA82" s="94">
        <f>SUMIFS(DB!$AC:$AC,DB!$E:$E,'Detail Cab By Tgl'!$B82,DB!$AP:$AP,'Detail Cab By Tgl'!$D82,DB!$AT:$AT,"ALDA",DB!$AQ:$AQ,'Detail Cab By Tgl'!AA$29)</f>
        <v>0</v>
      </c>
      <c r="AB82" s="94">
        <f>SUMIFS(DB!$AC:$AC,DB!$E:$E,'Detail Cab By Tgl'!$B82,DB!$AP:$AP,'Detail Cab By Tgl'!$D82,DB!$AT:$AT,"ALDA",DB!$AQ:$AQ,'Detail Cab By Tgl'!AB$29)</f>
        <v>0</v>
      </c>
      <c r="AC82" s="94">
        <f>SUMIFS(DB!$AC:$AC,DB!$E:$E,'Detail Cab By Tgl'!$B82,DB!$AP:$AP,'Detail Cab By Tgl'!$D82,DB!$AT:$AT,"ALDA",DB!$AQ:$AQ,'Detail Cab By Tgl'!AC$29)</f>
        <v>0</v>
      </c>
      <c r="AD82" s="94">
        <f>SUMIFS(DB!$AC:$AC,DB!$E:$E,'Detail Cab By Tgl'!$B82,DB!$AP:$AP,'Detail Cab By Tgl'!$D82,DB!$AT:$AT,"ALDA",DB!$AQ:$AQ,'Detail Cab By Tgl'!AD$29)</f>
        <v>0</v>
      </c>
      <c r="AE82" s="94">
        <f>SUMIFS(DB!$AC:$AC,DB!$E:$E,'Detail Cab By Tgl'!$B82,DB!$AP:$AP,'Detail Cab By Tgl'!$D82,DB!$AT:$AT,"ALDA",DB!$AQ:$AQ,'Detail Cab By Tgl'!AE$29)</f>
        <v>0</v>
      </c>
      <c r="AF82" s="94">
        <f>SUMIFS(DB!$AC:$AC,DB!$E:$E,'Detail Cab By Tgl'!$B82,DB!$AP:$AP,'Detail Cab By Tgl'!$D82,DB!$AT:$AT,"ALDA",DB!$AQ:$AQ,'Detail Cab By Tgl'!AF$29)</f>
        <v>0</v>
      </c>
      <c r="AG82" s="94">
        <f>SUMIFS(DB!$AC:$AC,DB!$E:$E,'Detail Cab By Tgl'!$B82,DB!$AP:$AP,'Detail Cab By Tgl'!$D82,DB!$AT:$AT,"ALDA",DB!$AQ:$AQ,'Detail Cab By Tgl'!AG$29)</f>
        <v>0</v>
      </c>
      <c r="AH82" s="94">
        <f>SUMIFS(DB!$AC:$AC,DB!$E:$E,'Detail Cab By Tgl'!$B82,DB!$AP:$AP,'Detail Cab By Tgl'!$D82,DB!$AT:$AT,"ALDA",DB!$AQ:$AQ,'Detail Cab By Tgl'!AH$29)</f>
        <v>0</v>
      </c>
      <c r="AI82" s="95">
        <f>SUMIFS(DB!$AC:$AC,DB!$E:$E,'Detail Cab By Tgl'!$B82,DB!$AP:$AP,'Detail Cab By Tgl'!$D82,DB!$AT:$AT,"ALDA",DB!$AQ:$AQ,'Detail Cab By Tgl'!AI$29)</f>
        <v>0</v>
      </c>
      <c r="AJ82" s="176">
        <f t="shared" si="8"/>
        <v>0</v>
      </c>
    </row>
    <row r="83" spans="2:36" x14ac:dyDescent="0.3">
      <c r="B83" s="321" t="s">
        <v>5</v>
      </c>
      <c r="C83" s="322" t="s">
        <v>257</v>
      </c>
      <c r="D83" s="106" t="s">
        <v>30</v>
      </c>
      <c r="E83" s="93">
        <f>SUMIFS(DB!$AC:$AC,DB!$E:$E,'Detail Cab By Tgl'!$B83,DB!$AP:$AP,'Detail Cab By Tgl'!$D83,DB!$AT:$AT,"ALDA",DB!$AQ:$AQ,'Detail Cab By Tgl'!E$29)</f>
        <v>0</v>
      </c>
      <c r="F83" s="94">
        <f>SUMIFS(DB!$AC:$AC,DB!$E:$E,'Detail Cab By Tgl'!$B83,DB!$AP:$AP,'Detail Cab By Tgl'!$D83,DB!$AT:$AT,"ALDA",DB!$AQ:$AQ,'Detail Cab By Tgl'!F$29)</f>
        <v>0</v>
      </c>
      <c r="G83" s="94">
        <f>SUMIFS(DB!$AC:$AC,DB!$E:$E,'Detail Cab By Tgl'!$B83,DB!$AP:$AP,'Detail Cab By Tgl'!$D83,DB!$AT:$AT,"ALDA",DB!$AQ:$AQ,'Detail Cab By Tgl'!G$29)</f>
        <v>0</v>
      </c>
      <c r="H83" s="94">
        <f>SUMIFS(DB!$AC:$AC,DB!$E:$E,'Detail Cab By Tgl'!$B83,DB!$AP:$AP,'Detail Cab By Tgl'!$D83,DB!$AT:$AT,"ALDA",DB!$AQ:$AQ,'Detail Cab By Tgl'!H$29)</f>
        <v>0</v>
      </c>
      <c r="I83" s="94">
        <f>SUMIFS(DB!$AC:$AC,DB!$E:$E,'Detail Cab By Tgl'!$B83,DB!$AP:$AP,'Detail Cab By Tgl'!$D83,DB!$AT:$AT,"ALDA",DB!$AQ:$AQ,'Detail Cab By Tgl'!I$29)</f>
        <v>0</v>
      </c>
      <c r="J83" s="94">
        <f>SUMIFS(DB!$AC:$AC,DB!$E:$E,'Detail Cab By Tgl'!$B83,DB!$AP:$AP,'Detail Cab By Tgl'!$D83,DB!$AT:$AT,"ALDA",DB!$AQ:$AQ,'Detail Cab By Tgl'!J$29)</f>
        <v>0</v>
      </c>
      <c r="K83" s="94">
        <f>SUMIFS(DB!$AC:$AC,DB!$E:$E,'Detail Cab By Tgl'!$B83,DB!$AP:$AP,'Detail Cab By Tgl'!$D83,DB!$AT:$AT,"ALDA",DB!$AQ:$AQ,'Detail Cab By Tgl'!K$29)</f>
        <v>0</v>
      </c>
      <c r="L83" s="94">
        <f>SUMIFS(DB!$AC:$AC,DB!$E:$E,'Detail Cab By Tgl'!$B83,DB!$AP:$AP,'Detail Cab By Tgl'!$D83,DB!$AT:$AT,"ALDA",DB!$AQ:$AQ,'Detail Cab By Tgl'!L$29)</f>
        <v>0</v>
      </c>
      <c r="M83" s="94">
        <f>SUMIFS(DB!$AC:$AC,DB!$E:$E,'Detail Cab By Tgl'!$B83,DB!$AP:$AP,'Detail Cab By Tgl'!$D83,DB!$AT:$AT,"ALDA",DB!$AQ:$AQ,'Detail Cab By Tgl'!M$29)</f>
        <v>0</v>
      </c>
      <c r="N83" s="94">
        <f>SUMIFS(DB!$AC:$AC,DB!$E:$E,'Detail Cab By Tgl'!$B83,DB!$AP:$AP,'Detail Cab By Tgl'!$D83,DB!$AT:$AT,"ALDA",DB!$AQ:$AQ,'Detail Cab By Tgl'!N$29)</f>
        <v>0</v>
      </c>
      <c r="O83" s="94">
        <f>SUMIFS(DB!$AC:$AC,DB!$E:$E,'Detail Cab By Tgl'!$B83,DB!$AP:$AP,'Detail Cab By Tgl'!$D83,DB!$AT:$AT,"ALDA",DB!$AQ:$AQ,'Detail Cab By Tgl'!O$29)</f>
        <v>0</v>
      </c>
      <c r="P83" s="94">
        <f>SUMIFS(DB!$AC:$AC,DB!$E:$E,'Detail Cab By Tgl'!$B83,DB!$AP:$AP,'Detail Cab By Tgl'!$D83,DB!$AT:$AT,"ALDA",DB!$AQ:$AQ,'Detail Cab By Tgl'!P$29)</f>
        <v>0</v>
      </c>
      <c r="Q83" s="94">
        <f>SUMIFS(DB!$AC:$AC,DB!$E:$E,'Detail Cab By Tgl'!$B83,DB!$AP:$AP,'Detail Cab By Tgl'!$D83,DB!$AT:$AT,"ALDA",DB!$AQ:$AQ,'Detail Cab By Tgl'!Q$29)</f>
        <v>0</v>
      </c>
      <c r="R83" s="94">
        <f>SUMIFS(DB!$AC:$AC,DB!$E:$E,'Detail Cab By Tgl'!$B83,DB!$AP:$AP,'Detail Cab By Tgl'!$D83,DB!$AT:$AT,"ALDA",DB!$AQ:$AQ,'Detail Cab By Tgl'!R$29)</f>
        <v>0</v>
      </c>
      <c r="S83" s="94">
        <f>SUMIFS(DB!$AC:$AC,DB!$E:$E,'Detail Cab By Tgl'!$B83,DB!$AP:$AP,'Detail Cab By Tgl'!$D83,DB!$AT:$AT,"ALDA",DB!$AQ:$AQ,'Detail Cab By Tgl'!S$29)</f>
        <v>0</v>
      </c>
      <c r="T83" s="94">
        <f>SUMIFS(DB!$AC:$AC,DB!$E:$E,'Detail Cab By Tgl'!$B83,DB!$AP:$AP,'Detail Cab By Tgl'!$D83,DB!$AT:$AT,"ALDA",DB!$AQ:$AQ,'Detail Cab By Tgl'!T$29)</f>
        <v>0</v>
      </c>
      <c r="U83" s="94">
        <f>SUMIFS(DB!$AC:$AC,DB!$E:$E,'Detail Cab By Tgl'!$B83,DB!$AP:$AP,'Detail Cab By Tgl'!$D83,DB!$AT:$AT,"ALDA",DB!$AQ:$AQ,'Detail Cab By Tgl'!U$29)</f>
        <v>0</v>
      </c>
      <c r="V83" s="94">
        <f>SUMIFS(DB!$AC:$AC,DB!$E:$E,'Detail Cab By Tgl'!$B83,DB!$AP:$AP,'Detail Cab By Tgl'!$D83,DB!$AT:$AT,"ALDA",DB!$AQ:$AQ,'Detail Cab By Tgl'!V$29)</f>
        <v>0</v>
      </c>
      <c r="W83" s="94">
        <f>SUMIFS(DB!$AC:$AC,DB!$E:$E,'Detail Cab By Tgl'!$B83,DB!$AP:$AP,'Detail Cab By Tgl'!$D83,DB!$AT:$AT,"ALDA",DB!$AQ:$AQ,'Detail Cab By Tgl'!W$29)</f>
        <v>0</v>
      </c>
      <c r="X83" s="94">
        <f>SUMIFS(DB!$AC:$AC,DB!$E:$E,'Detail Cab By Tgl'!$B83,DB!$AP:$AP,'Detail Cab By Tgl'!$D83,DB!$AT:$AT,"ALDA",DB!$AQ:$AQ,'Detail Cab By Tgl'!X$29)</f>
        <v>0</v>
      </c>
      <c r="Y83" s="94">
        <f>SUMIFS(DB!$AC:$AC,DB!$E:$E,'Detail Cab By Tgl'!$B83,DB!$AP:$AP,'Detail Cab By Tgl'!$D83,DB!$AT:$AT,"ALDA",DB!$AQ:$AQ,'Detail Cab By Tgl'!Y$29)</f>
        <v>0</v>
      </c>
      <c r="Z83" s="94">
        <f>SUMIFS(DB!$AC:$AC,DB!$E:$E,'Detail Cab By Tgl'!$B83,DB!$AP:$AP,'Detail Cab By Tgl'!$D83,DB!$AT:$AT,"ALDA",DB!$AQ:$AQ,'Detail Cab By Tgl'!Z$29)</f>
        <v>0</v>
      </c>
      <c r="AA83" s="94">
        <f>SUMIFS(DB!$AC:$AC,DB!$E:$E,'Detail Cab By Tgl'!$B83,DB!$AP:$AP,'Detail Cab By Tgl'!$D83,DB!$AT:$AT,"ALDA",DB!$AQ:$AQ,'Detail Cab By Tgl'!AA$29)</f>
        <v>0</v>
      </c>
      <c r="AB83" s="94">
        <f>SUMIFS(DB!$AC:$AC,DB!$E:$E,'Detail Cab By Tgl'!$B83,DB!$AP:$AP,'Detail Cab By Tgl'!$D83,DB!$AT:$AT,"ALDA",DB!$AQ:$AQ,'Detail Cab By Tgl'!AB$29)</f>
        <v>0</v>
      </c>
      <c r="AC83" s="94">
        <f>SUMIFS(DB!$AC:$AC,DB!$E:$E,'Detail Cab By Tgl'!$B83,DB!$AP:$AP,'Detail Cab By Tgl'!$D83,DB!$AT:$AT,"ALDA",DB!$AQ:$AQ,'Detail Cab By Tgl'!AC$29)</f>
        <v>0</v>
      </c>
      <c r="AD83" s="94">
        <f>SUMIFS(DB!$AC:$AC,DB!$E:$E,'Detail Cab By Tgl'!$B83,DB!$AP:$AP,'Detail Cab By Tgl'!$D83,DB!$AT:$AT,"ALDA",DB!$AQ:$AQ,'Detail Cab By Tgl'!AD$29)</f>
        <v>0</v>
      </c>
      <c r="AE83" s="94">
        <f>SUMIFS(DB!$AC:$AC,DB!$E:$E,'Detail Cab By Tgl'!$B83,DB!$AP:$AP,'Detail Cab By Tgl'!$D83,DB!$AT:$AT,"ALDA",DB!$AQ:$AQ,'Detail Cab By Tgl'!AE$29)</f>
        <v>0</v>
      </c>
      <c r="AF83" s="94">
        <f>SUMIFS(DB!$AC:$AC,DB!$E:$E,'Detail Cab By Tgl'!$B83,DB!$AP:$AP,'Detail Cab By Tgl'!$D83,DB!$AT:$AT,"ALDA",DB!$AQ:$AQ,'Detail Cab By Tgl'!AF$29)</f>
        <v>0</v>
      </c>
      <c r="AG83" s="94">
        <f>SUMIFS(DB!$AC:$AC,DB!$E:$E,'Detail Cab By Tgl'!$B83,DB!$AP:$AP,'Detail Cab By Tgl'!$D83,DB!$AT:$AT,"ALDA",DB!$AQ:$AQ,'Detail Cab By Tgl'!AG$29)</f>
        <v>0</v>
      </c>
      <c r="AH83" s="94">
        <f>SUMIFS(DB!$AC:$AC,DB!$E:$E,'Detail Cab By Tgl'!$B83,DB!$AP:$AP,'Detail Cab By Tgl'!$D83,DB!$AT:$AT,"ALDA",DB!$AQ:$AQ,'Detail Cab By Tgl'!AH$29)</f>
        <v>0</v>
      </c>
      <c r="AI83" s="95">
        <f>SUMIFS(DB!$AC:$AC,DB!$E:$E,'Detail Cab By Tgl'!$B83,DB!$AP:$AP,'Detail Cab By Tgl'!$D83,DB!$AT:$AT,"ALDA",DB!$AQ:$AQ,'Detail Cab By Tgl'!AI$29)</f>
        <v>0</v>
      </c>
      <c r="AJ83" s="176">
        <f t="shared" si="8"/>
        <v>0</v>
      </c>
    </row>
    <row r="84" spans="2:36" x14ac:dyDescent="0.3">
      <c r="B84" s="321" t="s">
        <v>5</v>
      </c>
      <c r="C84" s="322" t="s">
        <v>257</v>
      </c>
      <c r="D84" s="106" t="s">
        <v>309</v>
      </c>
      <c r="E84" s="93">
        <f>SUMIFS(DB!$AC:$AC,DB!$E:$E,'Detail Cab By Tgl'!$B84,DB!$AP:$AP,'Detail Cab By Tgl'!$D84,DB!$AT:$AT,"ALDA",DB!$AQ:$AQ,'Detail Cab By Tgl'!E$29)</f>
        <v>0</v>
      </c>
      <c r="F84" s="94">
        <f>SUMIFS(DB!$AC:$AC,DB!$E:$E,'Detail Cab By Tgl'!$B84,DB!$AP:$AP,'Detail Cab By Tgl'!$D84,DB!$AT:$AT,"ALDA",DB!$AQ:$AQ,'Detail Cab By Tgl'!F$29)</f>
        <v>0</v>
      </c>
      <c r="G84" s="94">
        <f>SUMIFS(DB!$AC:$AC,DB!$E:$E,'Detail Cab By Tgl'!$B84,DB!$AP:$AP,'Detail Cab By Tgl'!$D84,DB!$AT:$AT,"ALDA",DB!$AQ:$AQ,'Detail Cab By Tgl'!G$29)</f>
        <v>0</v>
      </c>
      <c r="H84" s="94">
        <f>SUMIFS(DB!$AC:$AC,DB!$E:$E,'Detail Cab By Tgl'!$B84,DB!$AP:$AP,'Detail Cab By Tgl'!$D84,DB!$AT:$AT,"ALDA",DB!$AQ:$AQ,'Detail Cab By Tgl'!H$29)</f>
        <v>0</v>
      </c>
      <c r="I84" s="94">
        <f>SUMIFS(DB!$AC:$AC,DB!$E:$E,'Detail Cab By Tgl'!$B84,DB!$AP:$AP,'Detail Cab By Tgl'!$D84,DB!$AT:$AT,"ALDA",DB!$AQ:$AQ,'Detail Cab By Tgl'!I$29)</f>
        <v>0</v>
      </c>
      <c r="J84" s="94">
        <f>SUMIFS(DB!$AC:$AC,DB!$E:$E,'Detail Cab By Tgl'!$B84,DB!$AP:$AP,'Detail Cab By Tgl'!$D84,DB!$AT:$AT,"ALDA",DB!$AQ:$AQ,'Detail Cab By Tgl'!J$29)</f>
        <v>0</v>
      </c>
      <c r="K84" s="94">
        <f>SUMIFS(DB!$AC:$AC,DB!$E:$E,'Detail Cab By Tgl'!$B84,DB!$AP:$AP,'Detail Cab By Tgl'!$D84,DB!$AT:$AT,"ALDA",DB!$AQ:$AQ,'Detail Cab By Tgl'!K$29)</f>
        <v>0</v>
      </c>
      <c r="L84" s="94">
        <f>SUMIFS(DB!$AC:$AC,DB!$E:$E,'Detail Cab By Tgl'!$B84,DB!$AP:$AP,'Detail Cab By Tgl'!$D84,DB!$AT:$AT,"ALDA",DB!$AQ:$AQ,'Detail Cab By Tgl'!L$29)</f>
        <v>0</v>
      </c>
      <c r="M84" s="94">
        <f>SUMIFS(DB!$AC:$AC,DB!$E:$E,'Detail Cab By Tgl'!$B84,DB!$AP:$AP,'Detail Cab By Tgl'!$D84,DB!$AT:$AT,"ALDA",DB!$AQ:$AQ,'Detail Cab By Tgl'!M$29)</f>
        <v>0</v>
      </c>
      <c r="N84" s="94">
        <f>SUMIFS(DB!$AC:$AC,DB!$E:$E,'Detail Cab By Tgl'!$B84,DB!$AP:$AP,'Detail Cab By Tgl'!$D84,DB!$AT:$AT,"ALDA",DB!$AQ:$AQ,'Detail Cab By Tgl'!N$29)</f>
        <v>0</v>
      </c>
      <c r="O84" s="94">
        <f>SUMIFS(DB!$AC:$AC,DB!$E:$E,'Detail Cab By Tgl'!$B84,DB!$AP:$AP,'Detail Cab By Tgl'!$D84,DB!$AT:$AT,"ALDA",DB!$AQ:$AQ,'Detail Cab By Tgl'!O$29)</f>
        <v>0</v>
      </c>
      <c r="P84" s="94">
        <f>SUMIFS(DB!$AC:$AC,DB!$E:$E,'Detail Cab By Tgl'!$B84,DB!$AP:$AP,'Detail Cab By Tgl'!$D84,DB!$AT:$AT,"ALDA",DB!$AQ:$AQ,'Detail Cab By Tgl'!P$29)</f>
        <v>0</v>
      </c>
      <c r="Q84" s="94">
        <f>SUMIFS(DB!$AC:$AC,DB!$E:$E,'Detail Cab By Tgl'!$B84,DB!$AP:$AP,'Detail Cab By Tgl'!$D84,DB!$AT:$AT,"ALDA",DB!$AQ:$AQ,'Detail Cab By Tgl'!Q$29)</f>
        <v>0</v>
      </c>
      <c r="R84" s="94">
        <f>SUMIFS(DB!$AC:$AC,DB!$E:$E,'Detail Cab By Tgl'!$B84,DB!$AP:$AP,'Detail Cab By Tgl'!$D84,DB!$AT:$AT,"ALDA",DB!$AQ:$AQ,'Detail Cab By Tgl'!R$29)</f>
        <v>0</v>
      </c>
      <c r="S84" s="94">
        <f>SUMIFS(DB!$AC:$AC,DB!$E:$E,'Detail Cab By Tgl'!$B84,DB!$AP:$AP,'Detail Cab By Tgl'!$D84,DB!$AT:$AT,"ALDA",DB!$AQ:$AQ,'Detail Cab By Tgl'!S$29)</f>
        <v>0</v>
      </c>
      <c r="T84" s="94">
        <f>SUMIFS(DB!$AC:$AC,DB!$E:$E,'Detail Cab By Tgl'!$B84,DB!$AP:$AP,'Detail Cab By Tgl'!$D84,DB!$AT:$AT,"ALDA",DB!$AQ:$AQ,'Detail Cab By Tgl'!T$29)</f>
        <v>0</v>
      </c>
      <c r="U84" s="94">
        <f>SUMIFS(DB!$AC:$AC,DB!$E:$E,'Detail Cab By Tgl'!$B84,DB!$AP:$AP,'Detail Cab By Tgl'!$D84,DB!$AT:$AT,"ALDA",DB!$AQ:$AQ,'Detail Cab By Tgl'!U$29)</f>
        <v>0</v>
      </c>
      <c r="V84" s="94">
        <f>SUMIFS(DB!$AC:$AC,DB!$E:$E,'Detail Cab By Tgl'!$B84,DB!$AP:$AP,'Detail Cab By Tgl'!$D84,DB!$AT:$AT,"ALDA",DB!$AQ:$AQ,'Detail Cab By Tgl'!V$29)</f>
        <v>0</v>
      </c>
      <c r="W84" s="94">
        <f>SUMIFS(DB!$AC:$AC,DB!$E:$E,'Detail Cab By Tgl'!$B84,DB!$AP:$AP,'Detail Cab By Tgl'!$D84,DB!$AT:$AT,"ALDA",DB!$AQ:$AQ,'Detail Cab By Tgl'!W$29)</f>
        <v>0</v>
      </c>
      <c r="X84" s="94">
        <f>SUMIFS(DB!$AC:$AC,DB!$E:$E,'Detail Cab By Tgl'!$B84,DB!$AP:$AP,'Detail Cab By Tgl'!$D84,DB!$AT:$AT,"ALDA",DB!$AQ:$AQ,'Detail Cab By Tgl'!X$29)</f>
        <v>0</v>
      </c>
      <c r="Y84" s="94">
        <f>SUMIFS(DB!$AC:$AC,DB!$E:$E,'Detail Cab By Tgl'!$B84,DB!$AP:$AP,'Detail Cab By Tgl'!$D84,DB!$AT:$AT,"ALDA",DB!$AQ:$AQ,'Detail Cab By Tgl'!Y$29)</f>
        <v>0</v>
      </c>
      <c r="Z84" s="94">
        <f>SUMIFS(DB!$AC:$AC,DB!$E:$E,'Detail Cab By Tgl'!$B84,DB!$AP:$AP,'Detail Cab By Tgl'!$D84,DB!$AT:$AT,"ALDA",DB!$AQ:$AQ,'Detail Cab By Tgl'!Z$29)</f>
        <v>0</v>
      </c>
      <c r="AA84" s="94">
        <f>SUMIFS(DB!$AC:$AC,DB!$E:$E,'Detail Cab By Tgl'!$B84,DB!$AP:$AP,'Detail Cab By Tgl'!$D84,DB!$AT:$AT,"ALDA",DB!$AQ:$AQ,'Detail Cab By Tgl'!AA$29)</f>
        <v>0</v>
      </c>
      <c r="AB84" s="94">
        <f>SUMIFS(DB!$AC:$AC,DB!$E:$E,'Detail Cab By Tgl'!$B84,DB!$AP:$AP,'Detail Cab By Tgl'!$D84,DB!$AT:$AT,"ALDA",DB!$AQ:$AQ,'Detail Cab By Tgl'!AB$29)</f>
        <v>0</v>
      </c>
      <c r="AC84" s="94">
        <f>SUMIFS(DB!$AC:$AC,DB!$E:$E,'Detail Cab By Tgl'!$B84,DB!$AP:$AP,'Detail Cab By Tgl'!$D84,DB!$AT:$AT,"ALDA",DB!$AQ:$AQ,'Detail Cab By Tgl'!AC$29)</f>
        <v>0</v>
      </c>
      <c r="AD84" s="94">
        <f>SUMIFS(DB!$AC:$AC,DB!$E:$E,'Detail Cab By Tgl'!$B84,DB!$AP:$AP,'Detail Cab By Tgl'!$D84,DB!$AT:$AT,"ALDA",DB!$AQ:$AQ,'Detail Cab By Tgl'!AD$29)</f>
        <v>0</v>
      </c>
      <c r="AE84" s="94">
        <f>SUMIFS(DB!$AC:$AC,DB!$E:$E,'Detail Cab By Tgl'!$B84,DB!$AP:$AP,'Detail Cab By Tgl'!$D84,DB!$AT:$AT,"ALDA",DB!$AQ:$AQ,'Detail Cab By Tgl'!AE$29)</f>
        <v>0</v>
      </c>
      <c r="AF84" s="94">
        <f>SUMIFS(DB!$AC:$AC,DB!$E:$E,'Detail Cab By Tgl'!$B84,DB!$AP:$AP,'Detail Cab By Tgl'!$D84,DB!$AT:$AT,"ALDA",DB!$AQ:$AQ,'Detail Cab By Tgl'!AF$29)</f>
        <v>0</v>
      </c>
      <c r="AG84" s="94">
        <f>SUMIFS(DB!$AC:$AC,DB!$E:$E,'Detail Cab By Tgl'!$B84,DB!$AP:$AP,'Detail Cab By Tgl'!$D84,DB!$AT:$AT,"ALDA",DB!$AQ:$AQ,'Detail Cab By Tgl'!AG$29)</f>
        <v>0</v>
      </c>
      <c r="AH84" s="94">
        <f>SUMIFS(DB!$AC:$AC,DB!$E:$E,'Detail Cab By Tgl'!$B84,DB!$AP:$AP,'Detail Cab By Tgl'!$D84,DB!$AT:$AT,"ALDA",DB!$AQ:$AQ,'Detail Cab By Tgl'!AH$29)</f>
        <v>0</v>
      </c>
      <c r="AI84" s="95">
        <f>SUMIFS(DB!$AC:$AC,DB!$E:$E,'Detail Cab By Tgl'!$B84,DB!$AP:$AP,'Detail Cab By Tgl'!$D84,DB!$AT:$AT,"ALDA",DB!$AQ:$AQ,'Detail Cab By Tgl'!AI$29)</f>
        <v>0</v>
      </c>
      <c r="AJ84" s="176">
        <f t="shared" si="8"/>
        <v>0</v>
      </c>
    </row>
    <row r="85" spans="2:36" x14ac:dyDescent="0.3">
      <c r="B85" s="321" t="s">
        <v>5</v>
      </c>
      <c r="C85" s="322" t="s">
        <v>257</v>
      </c>
      <c r="D85" s="106" t="s">
        <v>25</v>
      </c>
      <c r="E85" s="93">
        <f>SUMIFS(DB!$AC:$AC,DB!$E:$E,'Detail Cab By Tgl'!$B85,DB!$AP:$AP,'Detail Cab By Tgl'!$D85,DB!$AT:$AT,"ALDA",DB!$AQ:$AQ,'Detail Cab By Tgl'!E$29)</f>
        <v>0</v>
      </c>
      <c r="F85" s="94">
        <f>SUMIFS(DB!$AC:$AC,DB!$E:$E,'Detail Cab By Tgl'!$B85,DB!$AP:$AP,'Detail Cab By Tgl'!$D85,DB!$AT:$AT,"ALDA",DB!$AQ:$AQ,'Detail Cab By Tgl'!F$29)</f>
        <v>0</v>
      </c>
      <c r="G85" s="94">
        <f>SUMIFS(DB!$AC:$AC,DB!$E:$E,'Detail Cab By Tgl'!$B85,DB!$AP:$AP,'Detail Cab By Tgl'!$D85,DB!$AT:$AT,"ALDA",DB!$AQ:$AQ,'Detail Cab By Tgl'!G$29)</f>
        <v>0</v>
      </c>
      <c r="H85" s="94">
        <f>SUMIFS(DB!$AC:$AC,DB!$E:$E,'Detail Cab By Tgl'!$B85,DB!$AP:$AP,'Detail Cab By Tgl'!$D85,DB!$AT:$AT,"ALDA",DB!$AQ:$AQ,'Detail Cab By Tgl'!H$29)</f>
        <v>0</v>
      </c>
      <c r="I85" s="94">
        <f>SUMIFS(DB!$AC:$AC,DB!$E:$E,'Detail Cab By Tgl'!$B85,DB!$AP:$AP,'Detail Cab By Tgl'!$D85,DB!$AT:$AT,"ALDA",DB!$AQ:$AQ,'Detail Cab By Tgl'!I$29)</f>
        <v>0</v>
      </c>
      <c r="J85" s="94">
        <f>SUMIFS(DB!$AC:$AC,DB!$E:$E,'Detail Cab By Tgl'!$B85,DB!$AP:$AP,'Detail Cab By Tgl'!$D85,DB!$AT:$AT,"ALDA",DB!$AQ:$AQ,'Detail Cab By Tgl'!J$29)</f>
        <v>0</v>
      </c>
      <c r="K85" s="94">
        <f>SUMIFS(DB!$AC:$AC,DB!$E:$E,'Detail Cab By Tgl'!$B85,DB!$AP:$AP,'Detail Cab By Tgl'!$D85,DB!$AT:$AT,"ALDA",DB!$AQ:$AQ,'Detail Cab By Tgl'!K$29)</f>
        <v>0</v>
      </c>
      <c r="L85" s="94">
        <f>SUMIFS(DB!$AC:$AC,DB!$E:$E,'Detail Cab By Tgl'!$B85,DB!$AP:$AP,'Detail Cab By Tgl'!$D85,DB!$AT:$AT,"ALDA",DB!$AQ:$AQ,'Detail Cab By Tgl'!L$29)</f>
        <v>0</v>
      </c>
      <c r="M85" s="94">
        <f>SUMIFS(DB!$AC:$AC,DB!$E:$E,'Detail Cab By Tgl'!$B85,DB!$AP:$AP,'Detail Cab By Tgl'!$D85,DB!$AT:$AT,"ALDA",DB!$AQ:$AQ,'Detail Cab By Tgl'!M$29)</f>
        <v>0</v>
      </c>
      <c r="N85" s="94">
        <f>SUMIFS(DB!$AC:$AC,DB!$E:$E,'Detail Cab By Tgl'!$B85,DB!$AP:$AP,'Detail Cab By Tgl'!$D85,DB!$AT:$AT,"ALDA",DB!$AQ:$AQ,'Detail Cab By Tgl'!N$29)</f>
        <v>0</v>
      </c>
      <c r="O85" s="94">
        <f>SUMIFS(DB!$AC:$AC,DB!$E:$E,'Detail Cab By Tgl'!$B85,DB!$AP:$AP,'Detail Cab By Tgl'!$D85,DB!$AT:$AT,"ALDA",DB!$AQ:$AQ,'Detail Cab By Tgl'!O$29)</f>
        <v>0</v>
      </c>
      <c r="P85" s="94">
        <f>SUMIFS(DB!$AC:$AC,DB!$E:$E,'Detail Cab By Tgl'!$B85,DB!$AP:$AP,'Detail Cab By Tgl'!$D85,DB!$AT:$AT,"ALDA",DB!$AQ:$AQ,'Detail Cab By Tgl'!P$29)</f>
        <v>0</v>
      </c>
      <c r="Q85" s="94">
        <f>SUMIFS(DB!$AC:$AC,DB!$E:$E,'Detail Cab By Tgl'!$B85,DB!$AP:$AP,'Detail Cab By Tgl'!$D85,DB!$AT:$AT,"ALDA",DB!$AQ:$AQ,'Detail Cab By Tgl'!Q$29)</f>
        <v>0</v>
      </c>
      <c r="R85" s="94">
        <f>SUMIFS(DB!$AC:$AC,DB!$E:$E,'Detail Cab By Tgl'!$B85,DB!$AP:$AP,'Detail Cab By Tgl'!$D85,DB!$AT:$AT,"ALDA",DB!$AQ:$AQ,'Detail Cab By Tgl'!R$29)</f>
        <v>0</v>
      </c>
      <c r="S85" s="94">
        <f>SUMIFS(DB!$AC:$AC,DB!$E:$E,'Detail Cab By Tgl'!$B85,DB!$AP:$AP,'Detail Cab By Tgl'!$D85,DB!$AT:$AT,"ALDA",DB!$AQ:$AQ,'Detail Cab By Tgl'!S$29)</f>
        <v>0</v>
      </c>
      <c r="T85" s="94">
        <f>SUMIFS(DB!$AC:$AC,DB!$E:$E,'Detail Cab By Tgl'!$B85,DB!$AP:$AP,'Detail Cab By Tgl'!$D85,DB!$AT:$AT,"ALDA",DB!$AQ:$AQ,'Detail Cab By Tgl'!T$29)</f>
        <v>0</v>
      </c>
      <c r="U85" s="94">
        <f>SUMIFS(DB!$AC:$AC,DB!$E:$E,'Detail Cab By Tgl'!$B85,DB!$AP:$AP,'Detail Cab By Tgl'!$D85,DB!$AT:$AT,"ALDA",DB!$AQ:$AQ,'Detail Cab By Tgl'!U$29)</f>
        <v>0</v>
      </c>
      <c r="V85" s="94">
        <f>SUMIFS(DB!$AC:$AC,DB!$E:$E,'Detail Cab By Tgl'!$B85,DB!$AP:$AP,'Detail Cab By Tgl'!$D85,DB!$AT:$AT,"ALDA",DB!$AQ:$AQ,'Detail Cab By Tgl'!V$29)</f>
        <v>0</v>
      </c>
      <c r="W85" s="94">
        <f>SUMIFS(DB!$AC:$AC,DB!$E:$E,'Detail Cab By Tgl'!$B85,DB!$AP:$AP,'Detail Cab By Tgl'!$D85,DB!$AT:$AT,"ALDA",DB!$AQ:$AQ,'Detail Cab By Tgl'!W$29)</f>
        <v>0</v>
      </c>
      <c r="X85" s="94">
        <f>SUMIFS(DB!$AC:$AC,DB!$E:$E,'Detail Cab By Tgl'!$B85,DB!$AP:$AP,'Detail Cab By Tgl'!$D85,DB!$AT:$AT,"ALDA",DB!$AQ:$AQ,'Detail Cab By Tgl'!X$29)</f>
        <v>0</v>
      </c>
      <c r="Y85" s="94">
        <f>SUMIFS(DB!$AC:$AC,DB!$E:$E,'Detail Cab By Tgl'!$B85,DB!$AP:$AP,'Detail Cab By Tgl'!$D85,DB!$AT:$AT,"ALDA",DB!$AQ:$AQ,'Detail Cab By Tgl'!Y$29)</f>
        <v>0</v>
      </c>
      <c r="Z85" s="94">
        <f>SUMIFS(DB!$AC:$AC,DB!$E:$E,'Detail Cab By Tgl'!$B85,DB!$AP:$AP,'Detail Cab By Tgl'!$D85,DB!$AT:$AT,"ALDA",DB!$AQ:$AQ,'Detail Cab By Tgl'!Z$29)</f>
        <v>0</v>
      </c>
      <c r="AA85" s="94">
        <f>SUMIFS(DB!$AC:$AC,DB!$E:$E,'Detail Cab By Tgl'!$B85,DB!$AP:$AP,'Detail Cab By Tgl'!$D85,DB!$AT:$AT,"ALDA",DB!$AQ:$AQ,'Detail Cab By Tgl'!AA$29)</f>
        <v>0</v>
      </c>
      <c r="AB85" s="94">
        <f>SUMIFS(DB!$AC:$AC,DB!$E:$E,'Detail Cab By Tgl'!$B85,DB!$AP:$AP,'Detail Cab By Tgl'!$D85,DB!$AT:$AT,"ALDA",DB!$AQ:$AQ,'Detail Cab By Tgl'!AB$29)</f>
        <v>0</v>
      </c>
      <c r="AC85" s="94">
        <f>SUMIFS(DB!$AC:$AC,DB!$E:$E,'Detail Cab By Tgl'!$B85,DB!$AP:$AP,'Detail Cab By Tgl'!$D85,DB!$AT:$AT,"ALDA",DB!$AQ:$AQ,'Detail Cab By Tgl'!AC$29)</f>
        <v>0</v>
      </c>
      <c r="AD85" s="94">
        <f>SUMIFS(DB!$AC:$AC,DB!$E:$E,'Detail Cab By Tgl'!$B85,DB!$AP:$AP,'Detail Cab By Tgl'!$D85,DB!$AT:$AT,"ALDA",DB!$AQ:$AQ,'Detail Cab By Tgl'!AD$29)</f>
        <v>0</v>
      </c>
      <c r="AE85" s="94">
        <f>SUMIFS(DB!$AC:$AC,DB!$E:$E,'Detail Cab By Tgl'!$B85,DB!$AP:$AP,'Detail Cab By Tgl'!$D85,DB!$AT:$AT,"ALDA",DB!$AQ:$AQ,'Detail Cab By Tgl'!AE$29)</f>
        <v>0</v>
      </c>
      <c r="AF85" s="94">
        <f>SUMIFS(DB!$AC:$AC,DB!$E:$E,'Detail Cab By Tgl'!$B85,DB!$AP:$AP,'Detail Cab By Tgl'!$D85,DB!$AT:$AT,"ALDA",DB!$AQ:$AQ,'Detail Cab By Tgl'!AF$29)</f>
        <v>0</v>
      </c>
      <c r="AG85" s="94">
        <f>SUMIFS(DB!$AC:$AC,DB!$E:$E,'Detail Cab By Tgl'!$B85,DB!$AP:$AP,'Detail Cab By Tgl'!$D85,DB!$AT:$AT,"ALDA",DB!$AQ:$AQ,'Detail Cab By Tgl'!AG$29)</f>
        <v>0</v>
      </c>
      <c r="AH85" s="94">
        <f>SUMIFS(DB!$AC:$AC,DB!$E:$E,'Detail Cab By Tgl'!$B85,DB!$AP:$AP,'Detail Cab By Tgl'!$D85,DB!$AT:$AT,"ALDA",DB!$AQ:$AQ,'Detail Cab By Tgl'!AH$29)</f>
        <v>0</v>
      </c>
      <c r="AI85" s="95">
        <f>SUMIFS(DB!$AC:$AC,DB!$E:$E,'Detail Cab By Tgl'!$B85,DB!$AP:$AP,'Detail Cab By Tgl'!$D85,DB!$AT:$AT,"ALDA",DB!$AQ:$AQ,'Detail Cab By Tgl'!AI$29)</f>
        <v>0</v>
      </c>
      <c r="AJ85" s="176">
        <f t="shared" si="8"/>
        <v>0</v>
      </c>
    </row>
    <row r="86" spans="2:36" x14ac:dyDescent="0.3">
      <c r="B86" s="321" t="s">
        <v>5</v>
      </c>
      <c r="C86" s="322" t="s">
        <v>273</v>
      </c>
      <c r="D86" s="106" t="s">
        <v>38</v>
      </c>
      <c r="E86" s="93">
        <f>SUMIFS(DB!$AC:$AC,DB!$E:$E,'Detail Cab By Tgl'!$B86,DB!$AP:$AP,'Detail Cab By Tgl'!$D86,DB!$AT:$AT,"ALDA",DB!$AQ:$AQ,'Detail Cab By Tgl'!E$29)</f>
        <v>0</v>
      </c>
      <c r="F86" s="94">
        <f>SUMIFS(DB!$AC:$AC,DB!$E:$E,'Detail Cab By Tgl'!$B86,DB!$AP:$AP,'Detail Cab By Tgl'!$D86,DB!$AT:$AT,"ALDA",DB!$AQ:$AQ,'Detail Cab By Tgl'!F$29)</f>
        <v>0</v>
      </c>
      <c r="G86" s="94">
        <f>SUMIFS(DB!$AC:$AC,DB!$E:$E,'Detail Cab By Tgl'!$B86,DB!$AP:$AP,'Detail Cab By Tgl'!$D86,DB!$AT:$AT,"ALDA",DB!$AQ:$AQ,'Detail Cab By Tgl'!G$29)</f>
        <v>0</v>
      </c>
      <c r="H86" s="94">
        <f>SUMIFS(DB!$AC:$AC,DB!$E:$E,'Detail Cab By Tgl'!$B86,DB!$AP:$AP,'Detail Cab By Tgl'!$D86,DB!$AT:$AT,"ALDA",DB!$AQ:$AQ,'Detail Cab By Tgl'!H$29)</f>
        <v>0</v>
      </c>
      <c r="I86" s="94">
        <f>SUMIFS(DB!$AC:$AC,DB!$E:$E,'Detail Cab By Tgl'!$B86,DB!$AP:$AP,'Detail Cab By Tgl'!$D86,DB!$AT:$AT,"ALDA",DB!$AQ:$AQ,'Detail Cab By Tgl'!I$29)</f>
        <v>0</v>
      </c>
      <c r="J86" s="94">
        <f>SUMIFS(DB!$AC:$AC,DB!$E:$E,'Detail Cab By Tgl'!$B86,DB!$AP:$AP,'Detail Cab By Tgl'!$D86,DB!$AT:$AT,"ALDA",DB!$AQ:$AQ,'Detail Cab By Tgl'!J$29)</f>
        <v>0</v>
      </c>
      <c r="K86" s="94">
        <f>SUMIFS(DB!$AC:$AC,DB!$E:$E,'Detail Cab By Tgl'!$B86,DB!$AP:$AP,'Detail Cab By Tgl'!$D86,DB!$AT:$AT,"ALDA",DB!$AQ:$AQ,'Detail Cab By Tgl'!K$29)</f>
        <v>0</v>
      </c>
      <c r="L86" s="94">
        <f>SUMIFS(DB!$AC:$AC,DB!$E:$E,'Detail Cab By Tgl'!$B86,DB!$AP:$AP,'Detail Cab By Tgl'!$D86,DB!$AT:$AT,"ALDA",DB!$AQ:$AQ,'Detail Cab By Tgl'!L$29)</f>
        <v>0</v>
      </c>
      <c r="M86" s="94">
        <f>SUMIFS(DB!$AC:$AC,DB!$E:$E,'Detail Cab By Tgl'!$B86,DB!$AP:$AP,'Detail Cab By Tgl'!$D86,DB!$AT:$AT,"ALDA",DB!$AQ:$AQ,'Detail Cab By Tgl'!M$29)</f>
        <v>0</v>
      </c>
      <c r="N86" s="94">
        <f>SUMIFS(DB!$AC:$AC,DB!$E:$E,'Detail Cab By Tgl'!$B86,DB!$AP:$AP,'Detail Cab By Tgl'!$D86,DB!$AT:$AT,"ALDA",DB!$AQ:$AQ,'Detail Cab By Tgl'!N$29)</f>
        <v>0</v>
      </c>
      <c r="O86" s="94">
        <f>SUMIFS(DB!$AC:$AC,DB!$E:$E,'Detail Cab By Tgl'!$B86,DB!$AP:$AP,'Detail Cab By Tgl'!$D86,DB!$AT:$AT,"ALDA",DB!$AQ:$AQ,'Detail Cab By Tgl'!O$29)</f>
        <v>0</v>
      </c>
      <c r="P86" s="94">
        <f>SUMIFS(DB!$AC:$AC,DB!$E:$E,'Detail Cab By Tgl'!$B86,DB!$AP:$AP,'Detail Cab By Tgl'!$D86,DB!$AT:$AT,"ALDA",DB!$AQ:$AQ,'Detail Cab By Tgl'!P$29)</f>
        <v>0</v>
      </c>
      <c r="Q86" s="94">
        <f>SUMIFS(DB!$AC:$AC,DB!$E:$E,'Detail Cab By Tgl'!$B86,DB!$AP:$AP,'Detail Cab By Tgl'!$D86,DB!$AT:$AT,"ALDA",DB!$AQ:$AQ,'Detail Cab By Tgl'!Q$29)</f>
        <v>0</v>
      </c>
      <c r="R86" s="94">
        <f>SUMIFS(DB!$AC:$AC,DB!$E:$E,'Detail Cab By Tgl'!$B86,DB!$AP:$AP,'Detail Cab By Tgl'!$D86,DB!$AT:$AT,"ALDA",DB!$AQ:$AQ,'Detail Cab By Tgl'!R$29)</f>
        <v>0</v>
      </c>
      <c r="S86" s="94">
        <f>SUMIFS(DB!$AC:$AC,DB!$E:$E,'Detail Cab By Tgl'!$B86,DB!$AP:$AP,'Detail Cab By Tgl'!$D86,DB!$AT:$AT,"ALDA",DB!$AQ:$AQ,'Detail Cab By Tgl'!S$29)</f>
        <v>0</v>
      </c>
      <c r="T86" s="94">
        <f>SUMIFS(DB!$AC:$AC,DB!$E:$E,'Detail Cab By Tgl'!$B86,DB!$AP:$AP,'Detail Cab By Tgl'!$D86,DB!$AT:$AT,"ALDA",DB!$AQ:$AQ,'Detail Cab By Tgl'!T$29)</f>
        <v>0</v>
      </c>
      <c r="U86" s="94">
        <f>SUMIFS(DB!$AC:$AC,DB!$E:$E,'Detail Cab By Tgl'!$B86,DB!$AP:$AP,'Detail Cab By Tgl'!$D86,DB!$AT:$AT,"ALDA",DB!$AQ:$AQ,'Detail Cab By Tgl'!U$29)</f>
        <v>0</v>
      </c>
      <c r="V86" s="94">
        <f>SUMIFS(DB!$AC:$AC,DB!$E:$E,'Detail Cab By Tgl'!$B86,DB!$AP:$AP,'Detail Cab By Tgl'!$D86,DB!$AT:$AT,"ALDA",DB!$AQ:$AQ,'Detail Cab By Tgl'!V$29)</f>
        <v>0</v>
      </c>
      <c r="W86" s="94">
        <f>SUMIFS(DB!$AC:$AC,DB!$E:$E,'Detail Cab By Tgl'!$B86,DB!$AP:$AP,'Detail Cab By Tgl'!$D86,DB!$AT:$AT,"ALDA",DB!$AQ:$AQ,'Detail Cab By Tgl'!W$29)</f>
        <v>0</v>
      </c>
      <c r="X86" s="94">
        <f>SUMIFS(DB!$AC:$AC,DB!$E:$E,'Detail Cab By Tgl'!$B86,DB!$AP:$AP,'Detail Cab By Tgl'!$D86,DB!$AT:$AT,"ALDA",DB!$AQ:$AQ,'Detail Cab By Tgl'!X$29)</f>
        <v>0</v>
      </c>
      <c r="Y86" s="94">
        <f>SUMIFS(DB!$AC:$AC,DB!$E:$E,'Detail Cab By Tgl'!$B86,DB!$AP:$AP,'Detail Cab By Tgl'!$D86,DB!$AT:$AT,"ALDA",DB!$AQ:$AQ,'Detail Cab By Tgl'!Y$29)</f>
        <v>0</v>
      </c>
      <c r="Z86" s="94">
        <f>SUMIFS(DB!$AC:$AC,DB!$E:$E,'Detail Cab By Tgl'!$B86,DB!$AP:$AP,'Detail Cab By Tgl'!$D86,DB!$AT:$AT,"ALDA",DB!$AQ:$AQ,'Detail Cab By Tgl'!Z$29)</f>
        <v>0</v>
      </c>
      <c r="AA86" s="94">
        <f>SUMIFS(DB!$AC:$AC,DB!$E:$E,'Detail Cab By Tgl'!$B86,DB!$AP:$AP,'Detail Cab By Tgl'!$D86,DB!$AT:$AT,"ALDA",DB!$AQ:$AQ,'Detail Cab By Tgl'!AA$29)</f>
        <v>0</v>
      </c>
      <c r="AB86" s="94">
        <f>SUMIFS(DB!$AC:$AC,DB!$E:$E,'Detail Cab By Tgl'!$B86,DB!$AP:$AP,'Detail Cab By Tgl'!$D86,DB!$AT:$AT,"ALDA",DB!$AQ:$AQ,'Detail Cab By Tgl'!AB$29)</f>
        <v>0</v>
      </c>
      <c r="AC86" s="94">
        <f>SUMIFS(DB!$AC:$AC,DB!$E:$E,'Detail Cab By Tgl'!$B86,DB!$AP:$AP,'Detail Cab By Tgl'!$D86,DB!$AT:$AT,"ALDA",DB!$AQ:$AQ,'Detail Cab By Tgl'!AC$29)</f>
        <v>0</v>
      </c>
      <c r="AD86" s="94">
        <f>SUMIFS(DB!$AC:$AC,DB!$E:$E,'Detail Cab By Tgl'!$B86,DB!$AP:$AP,'Detail Cab By Tgl'!$D86,DB!$AT:$AT,"ALDA",DB!$AQ:$AQ,'Detail Cab By Tgl'!AD$29)</f>
        <v>0</v>
      </c>
      <c r="AE86" s="94">
        <f>SUMIFS(DB!$AC:$AC,DB!$E:$E,'Detail Cab By Tgl'!$B86,DB!$AP:$AP,'Detail Cab By Tgl'!$D86,DB!$AT:$AT,"ALDA",DB!$AQ:$AQ,'Detail Cab By Tgl'!AE$29)</f>
        <v>0</v>
      </c>
      <c r="AF86" s="94">
        <f>SUMIFS(DB!$AC:$AC,DB!$E:$E,'Detail Cab By Tgl'!$B86,DB!$AP:$AP,'Detail Cab By Tgl'!$D86,DB!$AT:$AT,"ALDA",DB!$AQ:$AQ,'Detail Cab By Tgl'!AF$29)</f>
        <v>0</v>
      </c>
      <c r="AG86" s="94">
        <f>SUMIFS(DB!$AC:$AC,DB!$E:$E,'Detail Cab By Tgl'!$B86,DB!$AP:$AP,'Detail Cab By Tgl'!$D86,DB!$AT:$AT,"ALDA",DB!$AQ:$AQ,'Detail Cab By Tgl'!AG$29)</f>
        <v>0</v>
      </c>
      <c r="AH86" s="94">
        <f>SUMIFS(DB!$AC:$AC,DB!$E:$E,'Detail Cab By Tgl'!$B86,DB!$AP:$AP,'Detail Cab By Tgl'!$D86,DB!$AT:$AT,"ALDA",DB!$AQ:$AQ,'Detail Cab By Tgl'!AH$29)</f>
        <v>0</v>
      </c>
      <c r="AI86" s="95">
        <f>SUMIFS(DB!$AC:$AC,DB!$E:$E,'Detail Cab By Tgl'!$B86,DB!$AP:$AP,'Detail Cab By Tgl'!$D86,DB!$AT:$AT,"ALDA",DB!$AQ:$AQ,'Detail Cab By Tgl'!AI$29)</f>
        <v>0</v>
      </c>
      <c r="AJ86" s="176">
        <f t="shared" si="8"/>
        <v>0</v>
      </c>
    </row>
    <row r="87" spans="2:36" x14ac:dyDescent="0.3">
      <c r="B87" s="321" t="s">
        <v>5</v>
      </c>
      <c r="C87" s="322" t="s">
        <v>273</v>
      </c>
      <c r="D87" s="106" t="s">
        <v>27</v>
      </c>
      <c r="E87" s="93">
        <f>SUMIFS(DB!$AC:$AC,DB!$E:$E,'Detail Cab By Tgl'!$B87,DB!$AP:$AP,'Detail Cab By Tgl'!$D87,DB!$AT:$AT,"ALDA",DB!$AQ:$AQ,'Detail Cab By Tgl'!E$29)</f>
        <v>0</v>
      </c>
      <c r="F87" s="94">
        <f>SUMIFS(DB!$AC:$AC,DB!$E:$E,'Detail Cab By Tgl'!$B87,DB!$AP:$AP,'Detail Cab By Tgl'!$D87,DB!$AT:$AT,"ALDA",DB!$AQ:$AQ,'Detail Cab By Tgl'!F$29)</f>
        <v>0</v>
      </c>
      <c r="G87" s="94">
        <f>SUMIFS(DB!$AC:$AC,DB!$E:$E,'Detail Cab By Tgl'!$B87,DB!$AP:$AP,'Detail Cab By Tgl'!$D87,DB!$AT:$AT,"ALDA",DB!$AQ:$AQ,'Detail Cab By Tgl'!G$29)</f>
        <v>0</v>
      </c>
      <c r="H87" s="94">
        <f>SUMIFS(DB!$AC:$AC,DB!$E:$E,'Detail Cab By Tgl'!$B87,DB!$AP:$AP,'Detail Cab By Tgl'!$D87,DB!$AT:$AT,"ALDA",DB!$AQ:$AQ,'Detail Cab By Tgl'!H$29)</f>
        <v>0</v>
      </c>
      <c r="I87" s="94">
        <f>SUMIFS(DB!$AC:$AC,DB!$E:$E,'Detail Cab By Tgl'!$B87,DB!$AP:$AP,'Detail Cab By Tgl'!$D87,DB!$AT:$AT,"ALDA",DB!$AQ:$AQ,'Detail Cab By Tgl'!I$29)</f>
        <v>0</v>
      </c>
      <c r="J87" s="94">
        <f>SUMIFS(DB!$AC:$AC,DB!$E:$E,'Detail Cab By Tgl'!$B87,DB!$AP:$AP,'Detail Cab By Tgl'!$D87,DB!$AT:$AT,"ALDA",DB!$AQ:$AQ,'Detail Cab By Tgl'!J$29)</f>
        <v>0</v>
      </c>
      <c r="K87" s="94">
        <f>SUMIFS(DB!$AC:$AC,DB!$E:$E,'Detail Cab By Tgl'!$B87,DB!$AP:$AP,'Detail Cab By Tgl'!$D87,DB!$AT:$AT,"ALDA",DB!$AQ:$AQ,'Detail Cab By Tgl'!K$29)</f>
        <v>0</v>
      </c>
      <c r="L87" s="94">
        <f>SUMIFS(DB!$AC:$AC,DB!$E:$E,'Detail Cab By Tgl'!$B87,DB!$AP:$AP,'Detail Cab By Tgl'!$D87,DB!$AT:$AT,"ALDA",DB!$AQ:$AQ,'Detail Cab By Tgl'!L$29)</f>
        <v>0</v>
      </c>
      <c r="M87" s="94">
        <f>SUMIFS(DB!$AC:$AC,DB!$E:$E,'Detail Cab By Tgl'!$B87,DB!$AP:$AP,'Detail Cab By Tgl'!$D87,DB!$AT:$AT,"ALDA",DB!$AQ:$AQ,'Detail Cab By Tgl'!M$29)</f>
        <v>0</v>
      </c>
      <c r="N87" s="94">
        <f>SUMIFS(DB!$AC:$AC,DB!$E:$E,'Detail Cab By Tgl'!$B87,DB!$AP:$AP,'Detail Cab By Tgl'!$D87,DB!$AT:$AT,"ALDA",DB!$AQ:$AQ,'Detail Cab By Tgl'!N$29)</f>
        <v>0</v>
      </c>
      <c r="O87" s="94">
        <f>SUMIFS(DB!$AC:$AC,DB!$E:$E,'Detail Cab By Tgl'!$B87,DB!$AP:$AP,'Detail Cab By Tgl'!$D87,DB!$AT:$AT,"ALDA",DB!$AQ:$AQ,'Detail Cab By Tgl'!O$29)</f>
        <v>0</v>
      </c>
      <c r="P87" s="94">
        <f>SUMIFS(DB!$AC:$AC,DB!$E:$E,'Detail Cab By Tgl'!$B87,DB!$AP:$AP,'Detail Cab By Tgl'!$D87,DB!$AT:$AT,"ALDA",DB!$AQ:$AQ,'Detail Cab By Tgl'!P$29)</f>
        <v>0</v>
      </c>
      <c r="Q87" s="94">
        <f>SUMIFS(DB!$AC:$AC,DB!$E:$E,'Detail Cab By Tgl'!$B87,DB!$AP:$AP,'Detail Cab By Tgl'!$D87,DB!$AT:$AT,"ALDA",DB!$AQ:$AQ,'Detail Cab By Tgl'!Q$29)</f>
        <v>0</v>
      </c>
      <c r="R87" s="94">
        <f>SUMIFS(DB!$AC:$AC,DB!$E:$E,'Detail Cab By Tgl'!$B87,DB!$AP:$AP,'Detail Cab By Tgl'!$D87,DB!$AT:$AT,"ALDA",DB!$AQ:$AQ,'Detail Cab By Tgl'!R$29)</f>
        <v>0</v>
      </c>
      <c r="S87" s="94">
        <f>SUMIFS(DB!$AC:$AC,DB!$E:$E,'Detail Cab By Tgl'!$B87,DB!$AP:$AP,'Detail Cab By Tgl'!$D87,DB!$AT:$AT,"ALDA",DB!$AQ:$AQ,'Detail Cab By Tgl'!S$29)</f>
        <v>0</v>
      </c>
      <c r="T87" s="94">
        <f>SUMIFS(DB!$AC:$AC,DB!$E:$E,'Detail Cab By Tgl'!$B87,DB!$AP:$AP,'Detail Cab By Tgl'!$D87,DB!$AT:$AT,"ALDA",DB!$AQ:$AQ,'Detail Cab By Tgl'!T$29)</f>
        <v>0</v>
      </c>
      <c r="U87" s="94">
        <f>SUMIFS(DB!$AC:$AC,DB!$E:$E,'Detail Cab By Tgl'!$B87,DB!$AP:$AP,'Detail Cab By Tgl'!$D87,DB!$AT:$AT,"ALDA",DB!$AQ:$AQ,'Detail Cab By Tgl'!U$29)</f>
        <v>0</v>
      </c>
      <c r="V87" s="94">
        <f>SUMIFS(DB!$AC:$AC,DB!$E:$E,'Detail Cab By Tgl'!$B87,DB!$AP:$AP,'Detail Cab By Tgl'!$D87,DB!$AT:$AT,"ALDA",DB!$AQ:$AQ,'Detail Cab By Tgl'!V$29)</f>
        <v>0</v>
      </c>
      <c r="W87" s="94">
        <f>SUMIFS(DB!$AC:$AC,DB!$E:$E,'Detail Cab By Tgl'!$B87,DB!$AP:$AP,'Detail Cab By Tgl'!$D87,DB!$AT:$AT,"ALDA",DB!$AQ:$AQ,'Detail Cab By Tgl'!W$29)</f>
        <v>0</v>
      </c>
      <c r="X87" s="94">
        <f>SUMIFS(DB!$AC:$AC,DB!$E:$E,'Detail Cab By Tgl'!$B87,DB!$AP:$AP,'Detail Cab By Tgl'!$D87,DB!$AT:$AT,"ALDA",DB!$AQ:$AQ,'Detail Cab By Tgl'!X$29)</f>
        <v>0</v>
      </c>
      <c r="Y87" s="94">
        <f>SUMIFS(DB!$AC:$AC,DB!$E:$E,'Detail Cab By Tgl'!$B87,DB!$AP:$AP,'Detail Cab By Tgl'!$D87,DB!$AT:$AT,"ALDA",DB!$AQ:$AQ,'Detail Cab By Tgl'!Y$29)</f>
        <v>0</v>
      </c>
      <c r="Z87" s="94">
        <f>SUMIFS(DB!$AC:$AC,DB!$E:$E,'Detail Cab By Tgl'!$B87,DB!$AP:$AP,'Detail Cab By Tgl'!$D87,DB!$AT:$AT,"ALDA",DB!$AQ:$AQ,'Detail Cab By Tgl'!Z$29)</f>
        <v>0</v>
      </c>
      <c r="AA87" s="94">
        <f>SUMIFS(DB!$AC:$AC,DB!$E:$E,'Detail Cab By Tgl'!$B87,DB!$AP:$AP,'Detail Cab By Tgl'!$D87,DB!$AT:$AT,"ALDA",DB!$AQ:$AQ,'Detail Cab By Tgl'!AA$29)</f>
        <v>0</v>
      </c>
      <c r="AB87" s="94">
        <f>SUMIFS(DB!$AC:$AC,DB!$E:$E,'Detail Cab By Tgl'!$B87,DB!$AP:$AP,'Detail Cab By Tgl'!$D87,DB!$AT:$AT,"ALDA",DB!$AQ:$AQ,'Detail Cab By Tgl'!AB$29)</f>
        <v>0</v>
      </c>
      <c r="AC87" s="94">
        <f>SUMIFS(DB!$AC:$AC,DB!$E:$E,'Detail Cab By Tgl'!$B87,DB!$AP:$AP,'Detail Cab By Tgl'!$D87,DB!$AT:$AT,"ALDA",DB!$AQ:$AQ,'Detail Cab By Tgl'!AC$29)</f>
        <v>0</v>
      </c>
      <c r="AD87" s="94">
        <f>SUMIFS(DB!$AC:$AC,DB!$E:$E,'Detail Cab By Tgl'!$B87,DB!$AP:$AP,'Detail Cab By Tgl'!$D87,DB!$AT:$AT,"ALDA",DB!$AQ:$AQ,'Detail Cab By Tgl'!AD$29)</f>
        <v>0</v>
      </c>
      <c r="AE87" s="94">
        <f>SUMIFS(DB!$AC:$AC,DB!$E:$E,'Detail Cab By Tgl'!$B87,DB!$AP:$AP,'Detail Cab By Tgl'!$D87,DB!$AT:$AT,"ALDA",DB!$AQ:$AQ,'Detail Cab By Tgl'!AE$29)</f>
        <v>0</v>
      </c>
      <c r="AF87" s="94">
        <f>SUMIFS(DB!$AC:$AC,DB!$E:$E,'Detail Cab By Tgl'!$B87,DB!$AP:$AP,'Detail Cab By Tgl'!$D87,DB!$AT:$AT,"ALDA",DB!$AQ:$AQ,'Detail Cab By Tgl'!AF$29)</f>
        <v>0</v>
      </c>
      <c r="AG87" s="94">
        <f>SUMIFS(DB!$AC:$AC,DB!$E:$E,'Detail Cab By Tgl'!$B87,DB!$AP:$AP,'Detail Cab By Tgl'!$D87,DB!$AT:$AT,"ALDA",DB!$AQ:$AQ,'Detail Cab By Tgl'!AG$29)</f>
        <v>0</v>
      </c>
      <c r="AH87" s="94">
        <f>SUMIFS(DB!$AC:$AC,DB!$E:$E,'Detail Cab By Tgl'!$B87,DB!$AP:$AP,'Detail Cab By Tgl'!$D87,DB!$AT:$AT,"ALDA",DB!$AQ:$AQ,'Detail Cab By Tgl'!AH$29)</f>
        <v>0</v>
      </c>
      <c r="AI87" s="95">
        <f>SUMIFS(DB!$AC:$AC,DB!$E:$E,'Detail Cab By Tgl'!$B87,DB!$AP:$AP,'Detail Cab By Tgl'!$D87,DB!$AT:$AT,"ALDA",DB!$AQ:$AQ,'Detail Cab By Tgl'!AI$29)</f>
        <v>0</v>
      </c>
      <c r="AJ87" s="176">
        <f t="shared" si="8"/>
        <v>0</v>
      </c>
    </row>
    <row r="88" spans="2:36" x14ac:dyDescent="0.3">
      <c r="B88" s="321" t="s">
        <v>5</v>
      </c>
      <c r="C88" s="322" t="s">
        <v>273</v>
      </c>
      <c r="D88" s="106" t="s">
        <v>33</v>
      </c>
      <c r="E88" s="93">
        <f>SUMIFS(DB!$AC:$AC,DB!$E:$E,'Detail Cab By Tgl'!$B88,DB!$AP:$AP,'Detail Cab By Tgl'!$D88,DB!$AT:$AT,"ALDA",DB!$AQ:$AQ,'Detail Cab By Tgl'!E$29)</f>
        <v>0</v>
      </c>
      <c r="F88" s="94">
        <f>SUMIFS(DB!$AC:$AC,DB!$E:$E,'Detail Cab By Tgl'!$B88,DB!$AP:$AP,'Detail Cab By Tgl'!$D88,DB!$AT:$AT,"ALDA",DB!$AQ:$AQ,'Detail Cab By Tgl'!F$29)</f>
        <v>0</v>
      </c>
      <c r="G88" s="94">
        <f>SUMIFS(DB!$AC:$AC,DB!$E:$E,'Detail Cab By Tgl'!$B88,DB!$AP:$AP,'Detail Cab By Tgl'!$D88,DB!$AT:$AT,"ALDA",DB!$AQ:$AQ,'Detail Cab By Tgl'!G$29)</f>
        <v>0</v>
      </c>
      <c r="H88" s="94">
        <f>SUMIFS(DB!$AC:$AC,DB!$E:$E,'Detail Cab By Tgl'!$B88,DB!$AP:$AP,'Detail Cab By Tgl'!$D88,DB!$AT:$AT,"ALDA",DB!$AQ:$AQ,'Detail Cab By Tgl'!H$29)</f>
        <v>0</v>
      </c>
      <c r="I88" s="94">
        <f>SUMIFS(DB!$AC:$AC,DB!$E:$E,'Detail Cab By Tgl'!$B88,DB!$AP:$AP,'Detail Cab By Tgl'!$D88,DB!$AT:$AT,"ALDA",DB!$AQ:$AQ,'Detail Cab By Tgl'!I$29)</f>
        <v>0</v>
      </c>
      <c r="J88" s="94">
        <f>SUMIFS(DB!$AC:$AC,DB!$E:$E,'Detail Cab By Tgl'!$B88,DB!$AP:$AP,'Detail Cab By Tgl'!$D88,DB!$AT:$AT,"ALDA",DB!$AQ:$AQ,'Detail Cab By Tgl'!J$29)</f>
        <v>0</v>
      </c>
      <c r="K88" s="94">
        <f>SUMIFS(DB!$AC:$AC,DB!$E:$E,'Detail Cab By Tgl'!$B88,DB!$AP:$AP,'Detail Cab By Tgl'!$D88,DB!$AT:$AT,"ALDA",DB!$AQ:$AQ,'Detail Cab By Tgl'!K$29)</f>
        <v>0</v>
      </c>
      <c r="L88" s="94">
        <f>SUMIFS(DB!$AC:$AC,DB!$E:$E,'Detail Cab By Tgl'!$B88,DB!$AP:$AP,'Detail Cab By Tgl'!$D88,DB!$AT:$AT,"ALDA",DB!$AQ:$AQ,'Detail Cab By Tgl'!L$29)</f>
        <v>0</v>
      </c>
      <c r="M88" s="94">
        <f>SUMIFS(DB!$AC:$AC,DB!$E:$E,'Detail Cab By Tgl'!$B88,DB!$AP:$AP,'Detail Cab By Tgl'!$D88,DB!$AT:$AT,"ALDA",DB!$AQ:$AQ,'Detail Cab By Tgl'!M$29)</f>
        <v>0</v>
      </c>
      <c r="N88" s="94">
        <f>SUMIFS(DB!$AC:$AC,DB!$E:$E,'Detail Cab By Tgl'!$B88,DB!$AP:$AP,'Detail Cab By Tgl'!$D88,DB!$AT:$AT,"ALDA",DB!$AQ:$AQ,'Detail Cab By Tgl'!N$29)</f>
        <v>0</v>
      </c>
      <c r="O88" s="94">
        <f>SUMIFS(DB!$AC:$AC,DB!$E:$E,'Detail Cab By Tgl'!$B88,DB!$AP:$AP,'Detail Cab By Tgl'!$D88,DB!$AT:$AT,"ALDA",DB!$AQ:$AQ,'Detail Cab By Tgl'!O$29)</f>
        <v>0</v>
      </c>
      <c r="P88" s="94">
        <f>SUMIFS(DB!$AC:$AC,DB!$E:$E,'Detail Cab By Tgl'!$B88,DB!$AP:$AP,'Detail Cab By Tgl'!$D88,DB!$AT:$AT,"ALDA",DB!$AQ:$AQ,'Detail Cab By Tgl'!P$29)</f>
        <v>0</v>
      </c>
      <c r="Q88" s="94">
        <f>SUMIFS(DB!$AC:$AC,DB!$E:$E,'Detail Cab By Tgl'!$B88,DB!$AP:$AP,'Detail Cab By Tgl'!$D88,DB!$AT:$AT,"ALDA",DB!$AQ:$AQ,'Detail Cab By Tgl'!Q$29)</f>
        <v>0</v>
      </c>
      <c r="R88" s="94">
        <f>SUMIFS(DB!$AC:$AC,DB!$E:$E,'Detail Cab By Tgl'!$B88,DB!$AP:$AP,'Detail Cab By Tgl'!$D88,DB!$AT:$AT,"ALDA",DB!$AQ:$AQ,'Detail Cab By Tgl'!R$29)</f>
        <v>0</v>
      </c>
      <c r="S88" s="94">
        <f>SUMIFS(DB!$AC:$AC,DB!$E:$E,'Detail Cab By Tgl'!$B88,DB!$AP:$AP,'Detail Cab By Tgl'!$D88,DB!$AT:$AT,"ALDA",DB!$AQ:$AQ,'Detail Cab By Tgl'!S$29)</f>
        <v>0</v>
      </c>
      <c r="T88" s="94">
        <f>SUMIFS(DB!$AC:$AC,DB!$E:$E,'Detail Cab By Tgl'!$B88,DB!$AP:$AP,'Detail Cab By Tgl'!$D88,DB!$AT:$AT,"ALDA",DB!$AQ:$AQ,'Detail Cab By Tgl'!T$29)</f>
        <v>0</v>
      </c>
      <c r="U88" s="94">
        <f>SUMIFS(DB!$AC:$AC,DB!$E:$E,'Detail Cab By Tgl'!$B88,DB!$AP:$AP,'Detail Cab By Tgl'!$D88,DB!$AT:$AT,"ALDA",DB!$AQ:$AQ,'Detail Cab By Tgl'!U$29)</f>
        <v>0</v>
      </c>
      <c r="V88" s="94">
        <f>SUMIFS(DB!$AC:$AC,DB!$E:$E,'Detail Cab By Tgl'!$B88,DB!$AP:$AP,'Detail Cab By Tgl'!$D88,DB!$AT:$AT,"ALDA",DB!$AQ:$AQ,'Detail Cab By Tgl'!V$29)</f>
        <v>0</v>
      </c>
      <c r="W88" s="94">
        <f>SUMIFS(DB!$AC:$AC,DB!$E:$E,'Detail Cab By Tgl'!$B88,DB!$AP:$AP,'Detail Cab By Tgl'!$D88,DB!$AT:$AT,"ALDA",DB!$AQ:$AQ,'Detail Cab By Tgl'!W$29)</f>
        <v>0</v>
      </c>
      <c r="X88" s="94">
        <f>SUMIFS(DB!$AC:$AC,DB!$E:$E,'Detail Cab By Tgl'!$B88,DB!$AP:$AP,'Detail Cab By Tgl'!$D88,DB!$AT:$AT,"ALDA",DB!$AQ:$AQ,'Detail Cab By Tgl'!X$29)</f>
        <v>0</v>
      </c>
      <c r="Y88" s="94">
        <f>SUMIFS(DB!$AC:$AC,DB!$E:$E,'Detail Cab By Tgl'!$B88,DB!$AP:$AP,'Detail Cab By Tgl'!$D88,DB!$AT:$AT,"ALDA",DB!$AQ:$AQ,'Detail Cab By Tgl'!Y$29)</f>
        <v>0</v>
      </c>
      <c r="Z88" s="94">
        <f>SUMIFS(DB!$AC:$AC,DB!$E:$E,'Detail Cab By Tgl'!$B88,DB!$AP:$AP,'Detail Cab By Tgl'!$D88,DB!$AT:$AT,"ALDA",DB!$AQ:$AQ,'Detail Cab By Tgl'!Z$29)</f>
        <v>0</v>
      </c>
      <c r="AA88" s="94">
        <f>SUMIFS(DB!$AC:$AC,DB!$E:$E,'Detail Cab By Tgl'!$B88,DB!$AP:$AP,'Detail Cab By Tgl'!$D88,DB!$AT:$AT,"ALDA",DB!$AQ:$AQ,'Detail Cab By Tgl'!AA$29)</f>
        <v>0</v>
      </c>
      <c r="AB88" s="94">
        <f>SUMIFS(DB!$AC:$AC,DB!$E:$E,'Detail Cab By Tgl'!$B88,DB!$AP:$AP,'Detail Cab By Tgl'!$D88,DB!$AT:$AT,"ALDA",DB!$AQ:$AQ,'Detail Cab By Tgl'!AB$29)</f>
        <v>0</v>
      </c>
      <c r="AC88" s="94">
        <f>SUMIFS(DB!$AC:$AC,DB!$E:$E,'Detail Cab By Tgl'!$B88,DB!$AP:$AP,'Detail Cab By Tgl'!$D88,DB!$AT:$AT,"ALDA",DB!$AQ:$AQ,'Detail Cab By Tgl'!AC$29)</f>
        <v>0</v>
      </c>
      <c r="AD88" s="94">
        <f>SUMIFS(DB!$AC:$AC,DB!$E:$E,'Detail Cab By Tgl'!$B88,DB!$AP:$AP,'Detail Cab By Tgl'!$D88,DB!$AT:$AT,"ALDA",DB!$AQ:$AQ,'Detail Cab By Tgl'!AD$29)</f>
        <v>0</v>
      </c>
      <c r="AE88" s="94">
        <f>SUMIFS(DB!$AC:$AC,DB!$E:$E,'Detail Cab By Tgl'!$B88,DB!$AP:$AP,'Detail Cab By Tgl'!$D88,DB!$AT:$AT,"ALDA",DB!$AQ:$AQ,'Detail Cab By Tgl'!AE$29)</f>
        <v>0</v>
      </c>
      <c r="AF88" s="94">
        <f>SUMIFS(DB!$AC:$AC,DB!$E:$E,'Detail Cab By Tgl'!$B88,DB!$AP:$AP,'Detail Cab By Tgl'!$D88,DB!$AT:$AT,"ALDA",DB!$AQ:$AQ,'Detail Cab By Tgl'!AF$29)</f>
        <v>0</v>
      </c>
      <c r="AG88" s="94">
        <f>SUMIFS(DB!$AC:$AC,DB!$E:$E,'Detail Cab By Tgl'!$B88,DB!$AP:$AP,'Detail Cab By Tgl'!$D88,DB!$AT:$AT,"ALDA",DB!$AQ:$AQ,'Detail Cab By Tgl'!AG$29)</f>
        <v>0</v>
      </c>
      <c r="AH88" s="94">
        <f>SUMIFS(DB!$AC:$AC,DB!$E:$E,'Detail Cab By Tgl'!$B88,DB!$AP:$AP,'Detail Cab By Tgl'!$D88,DB!$AT:$AT,"ALDA",DB!$AQ:$AQ,'Detail Cab By Tgl'!AH$29)</f>
        <v>0</v>
      </c>
      <c r="AI88" s="95">
        <f>SUMIFS(DB!$AC:$AC,DB!$E:$E,'Detail Cab By Tgl'!$B88,DB!$AP:$AP,'Detail Cab By Tgl'!$D88,DB!$AT:$AT,"ALDA",DB!$AQ:$AQ,'Detail Cab By Tgl'!AI$29)</f>
        <v>0</v>
      </c>
      <c r="AJ88" s="176">
        <f t="shared" si="8"/>
        <v>0</v>
      </c>
    </row>
    <row r="89" spans="2:36" x14ac:dyDescent="0.3">
      <c r="B89" s="321" t="s">
        <v>5</v>
      </c>
      <c r="C89" s="322" t="s">
        <v>273</v>
      </c>
      <c r="D89" s="106" t="s">
        <v>32</v>
      </c>
      <c r="E89" s="93">
        <f>SUMIFS(DB!$AC:$AC,DB!$E:$E,'Detail Cab By Tgl'!$B89,DB!$AP:$AP,'Detail Cab By Tgl'!$D89,DB!$AT:$AT,"ALDA",DB!$AQ:$AQ,'Detail Cab By Tgl'!E$29)</f>
        <v>0</v>
      </c>
      <c r="F89" s="94">
        <f>SUMIFS(DB!$AC:$AC,DB!$E:$E,'Detail Cab By Tgl'!$B89,DB!$AP:$AP,'Detail Cab By Tgl'!$D89,DB!$AT:$AT,"ALDA",DB!$AQ:$AQ,'Detail Cab By Tgl'!F$29)</f>
        <v>3580</v>
      </c>
      <c r="G89" s="94">
        <f>SUMIFS(DB!$AC:$AC,DB!$E:$E,'Detail Cab By Tgl'!$B89,DB!$AP:$AP,'Detail Cab By Tgl'!$D89,DB!$AT:$AT,"ALDA",DB!$AQ:$AQ,'Detail Cab By Tgl'!G$29)</f>
        <v>0</v>
      </c>
      <c r="H89" s="94">
        <f>SUMIFS(DB!$AC:$AC,DB!$E:$E,'Detail Cab By Tgl'!$B89,DB!$AP:$AP,'Detail Cab By Tgl'!$D89,DB!$AT:$AT,"ALDA",DB!$AQ:$AQ,'Detail Cab By Tgl'!H$29)</f>
        <v>0</v>
      </c>
      <c r="I89" s="94">
        <f>SUMIFS(DB!$AC:$AC,DB!$E:$E,'Detail Cab By Tgl'!$B89,DB!$AP:$AP,'Detail Cab By Tgl'!$D89,DB!$AT:$AT,"ALDA",DB!$AQ:$AQ,'Detail Cab By Tgl'!I$29)</f>
        <v>0</v>
      </c>
      <c r="J89" s="94">
        <f>SUMIFS(DB!$AC:$AC,DB!$E:$E,'Detail Cab By Tgl'!$B89,DB!$AP:$AP,'Detail Cab By Tgl'!$D89,DB!$AT:$AT,"ALDA",DB!$AQ:$AQ,'Detail Cab By Tgl'!J$29)</f>
        <v>0</v>
      </c>
      <c r="K89" s="94">
        <f>SUMIFS(DB!$AC:$AC,DB!$E:$E,'Detail Cab By Tgl'!$B89,DB!$AP:$AP,'Detail Cab By Tgl'!$D89,DB!$AT:$AT,"ALDA",DB!$AQ:$AQ,'Detail Cab By Tgl'!K$29)</f>
        <v>0</v>
      </c>
      <c r="L89" s="94">
        <f>SUMIFS(DB!$AC:$AC,DB!$E:$E,'Detail Cab By Tgl'!$B89,DB!$AP:$AP,'Detail Cab By Tgl'!$D89,DB!$AT:$AT,"ALDA",DB!$AQ:$AQ,'Detail Cab By Tgl'!L$29)</f>
        <v>0</v>
      </c>
      <c r="M89" s="94">
        <f>SUMIFS(DB!$AC:$AC,DB!$E:$E,'Detail Cab By Tgl'!$B89,DB!$AP:$AP,'Detail Cab By Tgl'!$D89,DB!$AT:$AT,"ALDA",DB!$AQ:$AQ,'Detail Cab By Tgl'!M$29)</f>
        <v>0</v>
      </c>
      <c r="N89" s="94">
        <f>SUMIFS(DB!$AC:$AC,DB!$E:$E,'Detail Cab By Tgl'!$B89,DB!$AP:$AP,'Detail Cab By Tgl'!$D89,DB!$AT:$AT,"ALDA",DB!$AQ:$AQ,'Detail Cab By Tgl'!N$29)</f>
        <v>0</v>
      </c>
      <c r="O89" s="94">
        <f>SUMIFS(DB!$AC:$AC,DB!$E:$E,'Detail Cab By Tgl'!$B89,DB!$AP:$AP,'Detail Cab By Tgl'!$D89,DB!$AT:$AT,"ALDA",DB!$AQ:$AQ,'Detail Cab By Tgl'!O$29)</f>
        <v>0</v>
      </c>
      <c r="P89" s="94">
        <f>SUMIFS(DB!$AC:$AC,DB!$E:$E,'Detail Cab By Tgl'!$B89,DB!$AP:$AP,'Detail Cab By Tgl'!$D89,DB!$AT:$AT,"ALDA",DB!$AQ:$AQ,'Detail Cab By Tgl'!P$29)</f>
        <v>0</v>
      </c>
      <c r="Q89" s="94">
        <f>SUMIFS(DB!$AC:$AC,DB!$E:$E,'Detail Cab By Tgl'!$B89,DB!$AP:$AP,'Detail Cab By Tgl'!$D89,DB!$AT:$AT,"ALDA",DB!$AQ:$AQ,'Detail Cab By Tgl'!Q$29)</f>
        <v>0</v>
      </c>
      <c r="R89" s="94">
        <f>SUMIFS(DB!$AC:$AC,DB!$E:$E,'Detail Cab By Tgl'!$B89,DB!$AP:$AP,'Detail Cab By Tgl'!$D89,DB!$AT:$AT,"ALDA",DB!$AQ:$AQ,'Detail Cab By Tgl'!R$29)</f>
        <v>0</v>
      </c>
      <c r="S89" s="94">
        <f>SUMIFS(DB!$AC:$AC,DB!$E:$E,'Detail Cab By Tgl'!$B89,DB!$AP:$AP,'Detail Cab By Tgl'!$D89,DB!$AT:$AT,"ALDA",DB!$AQ:$AQ,'Detail Cab By Tgl'!S$29)</f>
        <v>0</v>
      </c>
      <c r="T89" s="94">
        <f>SUMIFS(DB!$AC:$AC,DB!$E:$E,'Detail Cab By Tgl'!$B89,DB!$AP:$AP,'Detail Cab By Tgl'!$D89,DB!$AT:$AT,"ALDA",DB!$AQ:$AQ,'Detail Cab By Tgl'!T$29)</f>
        <v>0</v>
      </c>
      <c r="U89" s="94">
        <f>SUMIFS(DB!$AC:$AC,DB!$E:$E,'Detail Cab By Tgl'!$B89,DB!$AP:$AP,'Detail Cab By Tgl'!$D89,DB!$AT:$AT,"ALDA",DB!$AQ:$AQ,'Detail Cab By Tgl'!U$29)</f>
        <v>0</v>
      </c>
      <c r="V89" s="94">
        <f>SUMIFS(DB!$AC:$AC,DB!$E:$E,'Detail Cab By Tgl'!$B89,DB!$AP:$AP,'Detail Cab By Tgl'!$D89,DB!$AT:$AT,"ALDA",DB!$AQ:$AQ,'Detail Cab By Tgl'!V$29)</f>
        <v>0</v>
      </c>
      <c r="W89" s="94">
        <f>SUMIFS(DB!$AC:$AC,DB!$E:$E,'Detail Cab By Tgl'!$B89,DB!$AP:$AP,'Detail Cab By Tgl'!$D89,DB!$AT:$AT,"ALDA",DB!$AQ:$AQ,'Detail Cab By Tgl'!W$29)</f>
        <v>0</v>
      </c>
      <c r="X89" s="94">
        <f>SUMIFS(DB!$AC:$AC,DB!$E:$E,'Detail Cab By Tgl'!$B89,DB!$AP:$AP,'Detail Cab By Tgl'!$D89,DB!$AT:$AT,"ALDA",DB!$AQ:$AQ,'Detail Cab By Tgl'!X$29)</f>
        <v>0</v>
      </c>
      <c r="Y89" s="94">
        <f>SUMIFS(DB!$AC:$AC,DB!$E:$E,'Detail Cab By Tgl'!$B89,DB!$AP:$AP,'Detail Cab By Tgl'!$D89,DB!$AT:$AT,"ALDA",DB!$AQ:$AQ,'Detail Cab By Tgl'!Y$29)</f>
        <v>0</v>
      </c>
      <c r="Z89" s="94">
        <f>SUMIFS(DB!$AC:$AC,DB!$E:$E,'Detail Cab By Tgl'!$B89,DB!$AP:$AP,'Detail Cab By Tgl'!$D89,DB!$AT:$AT,"ALDA",DB!$AQ:$AQ,'Detail Cab By Tgl'!Z$29)</f>
        <v>0</v>
      </c>
      <c r="AA89" s="94">
        <f>SUMIFS(DB!$AC:$AC,DB!$E:$E,'Detail Cab By Tgl'!$B89,DB!$AP:$AP,'Detail Cab By Tgl'!$D89,DB!$AT:$AT,"ALDA",DB!$AQ:$AQ,'Detail Cab By Tgl'!AA$29)</f>
        <v>0</v>
      </c>
      <c r="AB89" s="94">
        <f>SUMIFS(DB!$AC:$AC,DB!$E:$E,'Detail Cab By Tgl'!$B89,DB!$AP:$AP,'Detail Cab By Tgl'!$D89,DB!$AT:$AT,"ALDA",DB!$AQ:$AQ,'Detail Cab By Tgl'!AB$29)</f>
        <v>0</v>
      </c>
      <c r="AC89" s="94">
        <f>SUMIFS(DB!$AC:$AC,DB!$E:$E,'Detail Cab By Tgl'!$B89,DB!$AP:$AP,'Detail Cab By Tgl'!$D89,DB!$AT:$AT,"ALDA",DB!$AQ:$AQ,'Detail Cab By Tgl'!AC$29)</f>
        <v>0</v>
      </c>
      <c r="AD89" s="94">
        <f>SUMIFS(DB!$AC:$AC,DB!$E:$E,'Detail Cab By Tgl'!$B89,DB!$AP:$AP,'Detail Cab By Tgl'!$D89,DB!$AT:$AT,"ALDA",DB!$AQ:$AQ,'Detail Cab By Tgl'!AD$29)</f>
        <v>0</v>
      </c>
      <c r="AE89" s="94">
        <f>SUMIFS(DB!$AC:$AC,DB!$E:$E,'Detail Cab By Tgl'!$B89,DB!$AP:$AP,'Detail Cab By Tgl'!$D89,DB!$AT:$AT,"ALDA",DB!$AQ:$AQ,'Detail Cab By Tgl'!AE$29)</f>
        <v>0</v>
      </c>
      <c r="AF89" s="94">
        <f>SUMIFS(DB!$AC:$AC,DB!$E:$E,'Detail Cab By Tgl'!$B89,DB!$AP:$AP,'Detail Cab By Tgl'!$D89,DB!$AT:$AT,"ALDA",DB!$AQ:$AQ,'Detail Cab By Tgl'!AF$29)</f>
        <v>0</v>
      </c>
      <c r="AG89" s="94">
        <f>SUMIFS(DB!$AC:$AC,DB!$E:$E,'Detail Cab By Tgl'!$B89,DB!$AP:$AP,'Detail Cab By Tgl'!$D89,DB!$AT:$AT,"ALDA",DB!$AQ:$AQ,'Detail Cab By Tgl'!AG$29)</f>
        <v>0</v>
      </c>
      <c r="AH89" s="94">
        <f>SUMIFS(DB!$AC:$AC,DB!$E:$E,'Detail Cab By Tgl'!$B89,DB!$AP:$AP,'Detail Cab By Tgl'!$D89,DB!$AT:$AT,"ALDA",DB!$AQ:$AQ,'Detail Cab By Tgl'!AH$29)</f>
        <v>0</v>
      </c>
      <c r="AI89" s="95">
        <f>SUMIFS(DB!$AC:$AC,DB!$E:$E,'Detail Cab By Tgl'!$B89,DB!$AP:$AP,'Detail Cab By Tgl'!$D89,DB!$AT:$AT,"ALDA",DB!$AQ:$AQ,'Detail Cab By Tgl'!AI$29)</f>
        <v>0</v>
      </c>
      <c r="AJ89" s="176">
        <f t="shared" si="8"/>
        <v>3580</v>
      </c>
    </row>
    <row r="90" spans="2:36" x14ac:dyDescent="0.3">
      <c r="B90" s="321" t="s">
        <v>5</v>
      </c>
      <c r="C90" s="322" t="s">
        <v>273</v>
      </c>
      <c r="D90" s="106" t="s">
        <v>307</v>
      </c>
      <c r="E90" s="93">
        <f>SUMIFS(DB!$AC:$AC,DB!$E:$E,'Detail Cab By Tgl'!$B90,DB!$AP:$AP,'Detail Cab By Tgl'!$D90,DB!$AT:$AT,"ALDA",DB!$AQ:$AQ,'Detail Cab By Tgl'!E$29)</f>
        <v>0</v>
      </c>
      <c r="F90" s="94">
        <f>SUMIFS(DB!$AC:$AC,DB!$E:$E,'Detail Cab By Tgl'!$B90,DB!$AP:$AP,'Detail Cab By Tgl'!$D90,DB!$AT:$AT,"ALDA",DB!$AQ:$AQ,'Detail Cab By Tgl'!F$29)</f>
        <v>0</v>
      </c>
      <c r="G90" s="94">
        <f>SUMIFS(DB!$AC:$AC,DB!$E:$E,'Detail Cab By Tgl'!$B90,DB!$AP:$AP,'Detail Cab By Tgl'!$D90,DB!$AT:$AT,"ALDA",DB!$AQ:$AQ,'Detail Cab By Tgl'!G$29)</f>
        <v>0</v>
      </c>
      <c r="H90" s="94">
        <f>SUMIFS(DB!$AC:$AC,DB!$E:$E,'Detail Cab By Tgl'!$B90,DB!$AP:$AP,'Detail Cab By Tgl'!$D90,DB!$AT:$AT,"ALDA",DB!$AQ:$AQ,'Detail Cab By Tgl'!H$29)</f>
        <v>0</v>
      </c>
      <c r="I90" s="94">
        <f>SUMIFS(DB!$AC:$AC,DB!$E:$E,'Detail Cab By Tgl'!$B90,DB!$AP:$AP,'Detail Cab By Tgl'!$D90,DB!$AT:$AT,"ALDA",DB!$AQ:$AQ,'Detail Cab By Tgl'!I$29)</f>
        <v>0</v>
      </c>
      <c r="J90" s="94">
        <f>SUMIFS(DB!$AC:$AC,DB!$E:$E,'Detail Cab By Tgl'!$B90,DB!$AP:$AP,'Detail Cab By Tgl'!$D90,DB!$AT:$AT,"ALDA",DB!$AQ:$AQ,'Detail Cab By Tgl'!J$29)</f>
        <v>0</v>
      </c>
      <c r="K90" s="94">
        <f>SUMIFS(DB!$AC:$AC,DB!$E:$E,'Detail Cab By Tgl'!$B90,DB!$AP:$AP,'Detail Cab By Tgl'!$D90,DB!$AT:$AT,"ALDA",DB!$AQ:$AQ,'Detail Cab By Tgl'!K$29)</f>
        <v>0</v>
      </c>
      <c r="L90" s="94">
        <f>SUMIFS(DB!$AC:$AC,DB!$E:$E,'Detail Cab By Tgl'!$B90,DB!$AP:$AP,'Detail Cab By Tgl'!$D90,DB!$AT:$AT,"ALDA",DB!$AQ:$AQ,'Detail Cab By Tgl'!L$29)</f>
        <v>0</v>
      </c>
      <c r="M90" s="94">
        <f>SUMIFS(DB!$AC:$AC,DB!$E:$E,'Detail Cab By Tgl'!$B90,DB!$AP:$AP,'Detail Cab By Tgl'!$D90,DB!$AT:$AT,"ALDA",DB!$AQ:$AQ,'Detail Cab By Tgl'!M$29)</f>
        <v>0</v>
      </c>
      <c r="N90" s="94">
        <f>SUMIFS(DB!$AC:$AC,DB!$E:$E,'Detail Cab By Tgl'!$B90,DB!$AP:$AP,'Detail Cab By Tgl'!$D90,DB!$AT:$AT,"ALDA",DB!$AQ:$AQ,'Detail Cab By Tgl'!N$29)</f>
        <v>0</v>
      </c>
      <c r="O90" s="94">
        <f>SUMIFS(DB!$AC:$AC,DB!$E:$E,'Detail Cab By Tgl'!$B90,DB!$AP:$AP,'Detail Cab By Tgl'!$D90,DB!$AT:$AT,"ALDA",DB!$AQ:$AQ,'Detail Cab By Tgl'!O$29)</f>
        <v>0</v>
      </c>
      <c r="P90" s="94">
        <f>SUMIFS(DB!$AC:$AC,DB!$E:$E,'Detail Cab By Tgl'!$B90,DB!$AP:$AP,'Detail Cab By Tgl'!$D90,DB!$AT:$AT,"ALDA",DB!$AQ:$AQ,'Detail Cab By Tgl'!P$29)</f>
        <v>0</v>
      </c>
      <c r="Q90" s="94">
        <f>SUMIFS(DB!$AC:$AC,DB!$E:$E,'Detail Cab By Tgl'!$B90,DB!$AP:$AP,'Detail Cab By Tgl'!$D90,DB!$AT:$AT,"ALDA",DB!$AQ:$AQ,'Detail Cab By Tgl'!Q$29)</f>
        <v>0</v>
      </c>
      <c r="R90" s="94">
        <f>SUMIFS(DB!$AC:$AC,DB!$E:$E,'Detail Cab By Tgl'!$B90,DB!$AP:$AP,'Detail Cab By Tgl'!$D90,DB!$AT:$AT,"ALDA",DB!$AQ:$AQ,'Detail Cab By Tgl'!R$29)</f>
        <v>0</v>
      </c>
      <c r="S90" s="94">
        <f>SUMIFS(DB!$AC:$AC,DB!$E:$E,'Detail Cab By Tgl'!$B90,DB!$AP:$AP,'Detail Cab By Tgl'!$D90,DB!$AT:$AT,"ALDA",DB!$AQ:$AQ,'Detail Cab By Tgl'!S$29)</f>
        <v>0</v>
      </c>
      <c r="T90" s="94">
        <f>SUMIFS(DB!$AC:$AC,DB!$E:$E,'Detail Cab By Tgl'!$B90,DB!$AP:$AP,'Detail Cab By Tgl'!$D90,DB!$AT:$AT,"ALDA",DB!$AQ:$AQ,'Detail Cab By Tgl'!T$29)</f>
        <v>0</v>
      </c>
      <c r="U90" s="94">
        <f>SUMIFS(DB!$AC:$AC,DB!$E:$E,'Detail Cab By Tgl'!$B90,DB!$AP:$AP,'Detail Cab By Tgl'!$D90,DB!$AT:$AT,"ALDA",DB!$AQ:$AQ,'Detail Cab By Tgl'!U$29)</f>
        <v>0</v>
      </c>
      <c r="V90" s="94">
        <f>SUMIFS(DB!$AC:$AC,DB!$E:$E,'Detail Cab By Tgl'!$B90,DB!$AP:$AP,'Detail Cab By Tgl'!$D90,DB!$AT:$AT,"ALDA",DB!$AQ:$AQ,'Detail Cab By Tgl'!V$29)</f>
        <v>0</v>
      </c>
      <c r="W90" s="94">
        <f>SUMIFS(DB!$AC:$AC,DB!$E:$E,'Detail Cab By Tgl'!$B90,DB!$AP:$AP,'Detail Cab By Tgl'!$D90,DB!$AT:$AT,"ALDA",DB!$AQ:$AQ,'Detail Cab By Tgl'!W$29)</f>
        <v>0</v>
      </c>
      <c r="X90" s="94">
        <f>SUMIFS(DB!$AC:$AC,DB!$E:$E,'Detail Cab By Tgl'!$B90,DB!$AP:$AP,'Detail Cab By Tgl'!$D90,DB!$AT:$AT,"ALDA",DB!$AQ:$AQ,'Detail Cab By Tgl'!X$29)</f>
        <v>0</v>
      </c>
      <c r="Y90" s="94">
        <f>SUMIFS(DB!$AC:$AC,DB!$E:$E,'Detail Cab By Tgl'!$B90,DB!$AP:$AP,'Detail Cab By Tgl'!$D90,DB!$AT:$AT,"ALDA",DB!$AQ:$AQ,'Detail Cab By Tgl'!Y$29)</f>
        <v>0</v>
      </c>
      <c r="Z90" s="94">
        <f>SUMIFS(DB!$AC:$AC,DB!$E:$E,'Detail Cab By Tgl'!$B90,DB!$AP:$AP,'Detail Cab By Tgl'!$D90,DB!$AT:$AT,"ALDA",DB!$AQ:$AQ,'Detail Cab By Tgl'!Z$29)</f>
        <v>0</v>
      </c>
      <c r="AA90" s="94">
        <f>SUMIFS(DB!$AC:$AC,DB!$E:$E,'Detail Cab By Tgl'!$B90,DB!$AP:$AP,'Detail Cab By Tgl'!$D90,DB!$AT:$AT,"ALDA",DB!$AQ:$AQ,'Detail Cab By Tgl'!AA$29)</f>
        <v>0</v>
      </c>
      <c r="AB90" s="94">
        <f>SUMIFS(DB!$AC:$AC,DB!$E:$E,'Detail Cab By Tgl'!$B90,DB!$AP:$AP,'Detail Cab By Tgl'!$D90,DB!$AT:$AT,"ALDA",DB!$AQ:$AQ,'Detail Cab By Tgl'!AB$29)</f>
        <v>0</v>
      </c>
      <c r="AC90" s="94">
        <f>SUMIFS(DB!$AC:$AC,DB!$E:$E,'Detail Cab By Tgl'!$B90,DB!$AP:$AP,'Detail Cab By Tgl'!$D90,DB!$AT:$AT,"ALDA",DB!$AQ:$AQ,'Detail Cab By Tgl'!AC$29)</f>
        <v>0</v>
      </c>
      <c r="AD90" s="94">
        <f>SUMIFS(DB!$AC:$AC,DB!$E:$E,'Detail Cab By Tgl'!$B90,DB!$AP:$AP,'Detail Cab By Tgl'!$D90,DB!$AT:$AT,"ALDA",DB!$AQ:$AQ,'Detail Cab By Tgl'!AD$29)</f>
        <v>0</v>
      </c>
      <c r="AE90" s="94">
        <f>SUMIFS(DB!$AC:$AC,DB!$E:$E,'Detail Cab By Tgl'!$B90,DB!$AP:$AP,'Detail Cab By Tgl'!$D90,DB!$AT:$AT,"ALDA",DB!$AQ:$AQ,'Detail Cab By Tgl'!AE$29)</f>
        <v>0</v>
      </c>
      <c r="AF90" s="94">
        <f>SUMIFS(DB!$AC:$AC,DB!$E:$E,'Detail Cab By Tgl'!$B90,DB!$AP:$AP,'Detail Cab By Tgl'!$D90,DB!$AT:$AT,"ALDA",DB!$AQ:$AQ,'Detail Cab By Tgl'!AF$29)</f>
        <v>0</v>
      </c>
      <c r="AG90" s="94">
        <f>SUMIFS(DB!$AC:$AC,DB!$E:$E,'Detail Cab By Tgl'!$B90,DB!$AP:$AP,'Detail Cab By Tgl'!$D90,DB!$AT:$AT,"ALDA",DB!$AQ:$AQ,'Detail Cab By Tgl'!AG$29)</f>
        <v>0</v>
      </c>
      <c r="AH90" s="94">
        <f>SUMIFS(DB!$AC:$AC,DB!$E:$E,'Detail Cab By Tgl'!$B90,DB!$AP:$AP,'Detail Cab By Tgl'!$D90,DB!$AT:$AT,"ALDA",DB!$AQ:$AQ,'Detail Cab By Tgl'!AH$29)</f>
        <v>0</v>
      </c>
      <c r="AI90" s="95">
        <f>SUMIFS(DB!$AC:$AC,DB!$E:$E,'Detail Cab By Tgl'!$B90,DB!$AP:$AP,'Detail Cab By Tgl'!$D90,DB!$AT:$AT,"ALDA",DB!$AQ:$AQ,'Detail Cab By Tgl'!AI$29)</f>
        <v>0</v>
      </c>
      <c r="AJ90" s="176">
        <f t="shared" si="8"/>
        <v>0</v>
      </c>
    </row>
    <row r="91" spans="2:36" x14ac:dyDescent="0.3">
      <c r="B91" s="321" t="s">
        <v>5</v>
      </c>
      <c r="C91" s="322" t="s">
        <v>273</v>
      </c>
      <c r="D91" s="106" t="s">
        <v>274</v>
      </c>
      <c r="E91" s="93">
        <f>SUMIFS(DB!$AC:$AC,DB!$E:$E,'Detail Cab By Tgl'!$B91,DB!$AP:$AP,'Detail Cab By Tgl'!$D91,DB!$AT:$AT,"ALDA",DB!$AQ:$AQ,'Detail Cab By Tgl'!E$29)</f>
        <v>0</v>
      </c>
      <c r="F91" s="94">
        <f>SUMIFS(DB!$AC:$AC,DB!$E:$E,'Detail Cab By Tgl'!$B91,DB!$AP:$AP,'Detail Cab By Tgl'!$D91,DB!$AT:$AT,"ALDA",DB!$AQ:$AQ,'Detail Cab By Tgl'!F$29)</f>
        <v>0</v>
      </c>
      <c r="G91" s="94">
        <f>SUMIFS(DB!$AC:$AC,DB!$E:$E,'Detail Cab By Tgl'!$B91,DB!$AP:$AP,'Detail Cab By Tgl'!$D91,DB!$AT:$AT,"ALDA",DB!$AQ:$AQ,'Detail Cab By Tgl'!G$29)</f>
        <v>0</v>
      </c>
      <c r="H91" s="94">
        <f>SUMIFS(DB!$AC:$AC,DB!$E:$E,'Detail Cab By Tgl'!$B91,DB!$AP:$AP,'Detail Cab By Tgl'!$D91,DB!$AT:$AT,"ALDA",DB!$AQ:$AQ,'Detail Cab By Tgl'!H$29)</f>
        <v>0</v>
      </c>
      <c r="I91" s="94">
        <f>SUMIFS(DB!$AC:$AC,DB!$E:$E,'Detail Cab By Tgl'!$B91,DB!$AP:$AP,'Detail Cab By Tgl'!$D91,DB!$AT:$AT,"ALDA",DB!$AQ:$AQ,'Detail Cab By Tgl'!I$29)</f>
        <v>0</v>
      </c>
      <c r="J91" s="94">
        <f>SUMIFS(DB!$AC:$AC,DB!$E:$E,'Detail Cab By Tgl'!$B91,DB!$AP:$AP,'Detail Cab By Tgl'!$D91,DB!$AT:$AT,"ALDA",DB!$AQ:$AQ,'Detail Cab By Tgl'!J$29)</f>
        <v>0</v>
      </c>
      <c r="K91" s="94">
        <f>SUMIFS(DB!$AC:$AC,DB!$E:$E,'Detail Cab By Tgl'!$B91,DB!$AP:$AP,'Detail Cab By Tgl'!$D91,DB!$AT:$AT,"ALDA",DB!$AQ:$AQ,'Detail Cab By Tgl'!K$29)</f>
        <v>0</v>
      </c>
      <c r="L91" s="94">
        <f>SUMIFS(DB!$AC:$AC,DB!$E:$E,'Detail Cab By Tgl'!$B91,DB!$AP:$AP,'Detail Cab By Tgl'!$D91,DB!$AT:$AT,"ALDA",DB!$AQ:$AQ,'Detail Cab By Tgl'!L$29)</f>
        <v>0</v>
      </c>
      <c r="M91" s="94">
        <f>SUMIFS(DB!$AC:$AC,DB!$E:$E,'Detail Cab By Tgl'!$B91,DB!$AP:$AP,'Detail Cab By Tgl'!$D91,DB!$AT:$AT,"ALDA",DB!$AQ:$AQ,'Detail Cab By Tgl'!M$29)</f>
        <v>0</v>
      </c>
      <c r="N91" s="94">
        <f>SUMIFS(DB!$AC:$AC,DB!$E:$E,'Detail Cab By Tgl'!$B91,DB!$AP:$AP,'Detail Cab By Tgl'!$D91,DB!$AT:$AT,"ALDA",DB!$AQ:$AQ,'Detail Cab By Tgl'!N$29)</f>
        <v>0</v>
      </c>
      <c r="O91" s="94">
        <f>SUMIFS(DB!$AC:$AC,DB!$E:$E,'Detail Cab By Tgl'!$B91,DB!$AP:$AP,'Detail Cab By Tgl'!$D91,DB!$AT:$AT,"ALDA",DB!$AQ:$AQ,'Detail Cab By Tgl'!O$29)</f>
        <v>0</v>
      </c>
      <c r="P91" s="94">
        <f>SUMIFS(DB!$AC:$AC,DB!$E:$E,'Detail Cab By Tgl'!$B91,DB!$AP:$AP,'Detail Cab By Tgl'!$D91,DB!$AT:$AT,"ALDA",DB!$AQ:$AQ,'Detail Cab By Tgl'!P$29)</f>
        <v>0</v>
      </c>
      <c r="Q91" s="94">
        <f>SUMIFS(DB!$AC:$AC,DB!$E:$E,'Detail Cab By Tgl'!$B91,DB!$AP:$AP,'Detail Cab By Tgl'!$D91,DB!$AT:$AT,"ALDA",DB!$AQ:$AQ,'Detail Cab By Tgl'!Q$29)</f>
        <v>0</v>
      </c>
      <c r="R91" s="94">
        <f>SUMIFS(DB!$AC:$AC,DB!$E:$E,'Detail Cab By Tgl'!$B91,DB!$AP:$AP,'Detail Cab By Tgl'!$D91,DB!$AT:$AT,"ALDA",DB!$AQ:$AQ,'Detail Cab By Tgl'!R$29)</f>
        <v>0</v>
      </c>
      <c r="S91" s="94">
        <f>SUMIFS(DB!$AC:$AC,DB!$E:$E,'Detail Cab By Tgl'!$B91,DB!$AP:$AP,'Detail Cab By Tgl'!$D91,DB!$AT:$AT,"ALDA",DB!$AQ:$AQ,'Detail Cab By Tgl'!S$29)</f>
        <v>0</v>
      </c>
      <c r="T91" s="94">
        <f>SUMIFS(DB!$AC:$AC,DB!$E:$E,'Detail Cab By Tgl'!$B91,DB!$AP:$AP,'Detail Cab By Tgl'!$D91,DB!$AT:$AT,"ALDA",DB!$AQ:$AQ,'Detail Cab By Tgl'!T$29)</f>
        <v>0</v>
      </c>
      <c r="U91" s="94">
        <f>SUMIFS(DB!$AC:$AC,DB!$E:$E,'Detail Cab By Tgl'!$B91,DB!$AP:$AP,'Detail Cab By Tgl'!$D91,DB!$AT:$AT,"ALDA",DB!$AQ:$AQ,'Detail Cab By Tgl'!U$29)</f>
        <v>0</v>
      </c>
      <c r="V91" s="94">
        <f>SUMIFS(DB!$AC:$AC,DB!$E:$E,'Detail Cab By Tgl'!$B91,DB!$AP:$AP,'Detail Cab By Tgl'!$D91,DB!$AT:$AT,"ALDA",DB!$AQ:$AQ,'Detail Cab By Tgl'!V$29)</f>
        <v>0</v>
      </c>
      <c r="W91" s="94">
        <f>SUMIFS(DB!$AC:$AC,DB!$E:$E,'Detail Cab By Tgl'!$B91,DB!$AP:$AP,'Detail Cab By Tgl'!$D91,DB!$AT:$AT,"ALDA",DB!$AQ:$AQ,'Detail Cab By Tgl'!W$29)</f>
        <v>0</v>
      </c>
      <c r="X91" s="94">
        <f>SUMIFS(DB!$AC:$AC,DB!$E:$E,'Detail Cab By Tgl'!$B91,DB!$AP:$AP,'Detail Cab By Tgl'!$D91,DB!$AT:$AT,"ALDA",DB!$AQ:$AQ,'Detail Cab By Tgl'!X$29)</f>
        <v>0</v>
      </c>
      <c r="Y91" s="94">
        <f>SUMIFS(DB!$AC:$AC,DB!$E:$E,'Detail Cab By Tgl'!$B91,DB!$AP:$AP,'Detail Cab By Tgl'!$D91,DB!$AT:$AT,"ALDA",DB!$AQ:$AQ,'Detail Cab By Tgl'!Y$29)</f>
        <v>0</v>
      </c>
      <c r="Z91" s="94">
        <f>SUMIFS(DB!$AC:$AC,DB!$E:$E,'Detail Cab By Tgl'!$B91,DB!$AP:$AP,'Detail Cab By Tgl'!$D91,DB!$AT:$AT,"ALDA",DB!$AQ:$AQ,'Detail Cab By Tgl'!Z$29)</f>
        <v>0</v>
      </c>
      <c r="AA91" s="94">
        <f>SUMIFS(DB!$AC:$AC,DB!$E:$E,'Detail Cab By Tgl'!$B91,DB!$AP:$AP,'Detail Cab By Tgl'!$D91,DB!$AT:$AT,"ALDA",DB!$AQ:$AQ,'Detail Cab By Tgl'!AA$29)</f>
        <v>0</v>
      </c>
      <c r="AB91" s="94">
        <f>SUMIFS(DB!$AC:$AC,DB!$E:$E,'Detail Cab By Tgl'!$B91,DB!$AP:$AP,'Detail Cab By Tgl'!$D91,DB!$AT:$AT,"ALDA",DB!$AQ:$AQ,'Detail Cab By Tgl'!AB$29)</f>
        <v>0</v>
      </c>
      <c r="AC91" s="94">
        <f>SUMIFS(DB!$AC:$AC,DB!$E:$E,'Detail Cab By Tgl'!$B91,DB!$AP:$AP,'Detail Cab By Tgl'!$D91,DB!$AT:$AT,"ALDA",DB!$AQ:$AQ,'Detail Cab By Tgl'!AC$29)</f>
        <v>0</v>
      </c>
      <c r="AD91" s="94">
        <f>SUMIFS(DB!$AC:$AC,DB!$E:$E,'Detail Cab By Tgl'!$B91,DB!$AP:$AP,'Detail Cab By Tgl'!$D91,DB!$AT:$AT,"ALDA",DB!$AQ:$AQ,'Detail Cab By Tgl'!AD$29)</f>
        <v>0</v>
      </c>
      <c r="AE91" s="94">
        <f>SUMIFS(DB!$AC:$AC,DB!$E:$E,'Detail Cab By Tgl'!$B91,DB!$AP:$AP,'Detail Cab By Tgl'!$D91,DB!$AT:$AT,"ALDA",DB!$AQ:$AQ,'Detail Cab By Tgl'!AE$29)</f>
        <v>0</v>
      </c>
      <c r="AF91" s="94">
        <f>SUMIFS(DB!$AC:$AC,DB!$E:$E,'Detail Cab By Tgl'!$B91,DB!$AP:$AP,'Detail Cab By Tgl'!$D91,DB!$AT:$AT,"ALDA",DB!$AQ:$AQ,'Detail Cab By Tgl'!AF$29)</f>
        <v>0</v>
      </c>
      <c r="AG91" s="94">
        <f>SUMIFS(DB!$AC:$AC,DB!$E:$E,'Detail Cab By Tgl'!$B91,DB!$AP:$AP,'Detail Cab By Tgl'!$D91,DB!$AT:$AT,"ALDA",DB!$AQ:$AQ,'Detail Cab By Tgl'!AG$29)</f>
        <v>0</v>
      </c>
      <c r="AH91" s="94">
        <f>SUMIFS(DB!$AC:$AC,DB!$E:$E,'Detail Cab By Tgl'!$B91,DB!$AP:$AP,'Detail Cab By Tgl'!$D91,DB!$AT:$AT,"ALDA",DB!$AQ:$AQ,'Detail Cab By Tgl'!AH$29)</f>
        <v>0</v>
      </c>
      <c r="AI91" s="95">
        <f>SUMIFS(DB!$AC:$AC,DB!$E:$E,'Detail Cab By Tgl'!$B91,DB!$AP:$AP,'Detail Cab By Tgl'!$D91,DB!$AT:$AT,"ALDA",DB!$AQ:$AQ,'Detail Cab By Tgl'!AI$29)</f>
        <v>0</v>
      </c>
      <c r="AJ91" s="176">
        <f t="shared" si="8"/>
        <v>0</v>
      </c>
    </row>
    <row r="92" spans="2:36" x14ac:dyDescent="0.3">
      <c r="B92" s="321" t="s">
        <v>5</v>
      </c>
      <c r="C92" s="322" t="s">
        <v>252</v>
      </c>
      <c r="D92" s="106" t="s">
        <v>36</v>
      </c>
      <c r="E92" s="93">
        <f>SUMIFS(DB!$AC:$AC,DB!$E:$E,'Detail Cab By Tgl'!$B92,DB!$AP:$AP,'Detail Cab By Tgl'!$D92,DB!$AT:$AT,"ALDA",DB!$AQ:$AQ,'Detail Cab By Tgl'!E$29)</f>
        <v>0</v>
      </c>
      <c r="F92" s="94">
        <f>SUMIFS(DB!$AC:$AC,DB!$E:$E,'Detail Cab By Tgl'!$B92,DB!$AP:$AP,'Detail Cab By Tgl'!$D92,DB!$AT:$AT,"ALDA",DB!$AQ:$AQ,'Detail Cab By Tgl'!F$29)</f>
        <v>89400</v>
      </c>
      <c r="G92" s="94">
        <f>SUMIFS(DB!$AC:$AC,DB!$E:$E,'Detail Cab By Tgl'!$B92,DB!$AP:$AP,'Detail Cab By Tgl'!$D92,DB!$AT:$AT,"ALDA",DB!$AQ:$AQ,'Detail Cab By Tgl'!G$29)</f>
        <v>0</v>
      </c>
      <c r="H92" s="94">
        <f>SUMIFS(DB!$AC:$AC,DB!$E:$E,'Detail Cab By Tgl'!$B92,DB!$AP:$AP,'Detail Cab By Tgl'!$D92,DB!$AT:$AT,"ALDA",DB!$AQ:$AQ,'Detail Cab By Tgl'!H$29)</f>
        <v>0</v>
      </c>
      <c r="I92" s="94">
        <f>SUMIFS(DB!$AC:$AC,DB!$E:$E,'Detail Cab By Tgl'!$B92,DB!$AP:$AP,'Detail Cab By Tgl'!$D92,DB!$AT:$AT,"ALDA",DB!$AQ:$AQ,'Detail Cab By Tgl'!I$29)</f>
        <v>0</v>
      </c>
      <c r="J92" s="94">
        <f>SUMIFS(DB!$AC:$AC,DB!$E:$E,'Detail Cab By Tgl'!$B92,DB!$AP:$AP,'Detail Cab By Tgl'!$D92,DB!$AT:$AT,"ALDA",DB!$AQ:$AQ,'Detail Cab By Tgl'!J$29)</f>
        <v>0</v>
      </c>
      <c r="K92" s="94">
        <f>SUMIFS(DB!$AC:$AC,DB!$E:$E,'Detail Cab By Tgl'!$B92,DB!$AP:$AP,'Detail Cab By Tgl'!$D92,DB!$AT:$AT,"ALDA",DB!$AQ:$AQ,'Detail Cab By Tgl'!K$29)</f>
        <v>0</v>
      </c>
      <c r="L92" s="94">
        <f>SUMIFS(DB!$AC:$AC,DB!$E:$E,'Detail Cab By Tgl'!$B92,DB!$AP:$AP,'Detail Cab By Tgl'!$D92,DB!$AT:$AT,"ALDA",DB!$AQ:$AQ,'Detail Cab By Tgl'!L$29)</f>
        <v>0</v>
      </c>
      <c r="M92" s="94">
        <f>SUMIFS(DB!$AC:$AC,DB!$E:$E,'Detail Cab By Tgl'!$B92,DB!$AP:$AP,'Detail Cab By Tgl'!$D92,DB!$AT:$AT,"ALDA",DB!$AQ:$AQ,'Detail Cab By Tgl'!M$29)</f>
        <v>0</v>
      </c>
      <c r="N92" s="94">
        <f>SUMIFS(DB!$AC:$AC,DB!$E:$E,'Detail Cab By Tgl'!$B92,DB!$AP:$AP,'Detail Cab By Tgl'!$D92,DB!$AT:$AT,"ALDA",DB!$AQ:$AQ,'Detail Cab By Tgl'!N$29)</f>
        <v>0</v>
      </c>
      <c r="O92" s="94">
        <f>SUMIFS(DB!$AC:$AC,DB!$E:$E,'Detail Cab By Tgl'!$B92,DB!$AP:$AP,'Detail Cab By Tgl'!$D92,DB!$AT:$AT,"ALDA",DB!$AQ:$AQ,'Detail Cab By Tgl'!O$29)</f>
        <v>0</v>
      </c>
      <c r="P92" s="94">
        <f>SUMIFS(DB!$AC:$AC,DB!$E:$E,'Detail Cab By Tgl'!$B92,DB!$AP:$AP,'Detail Cab By Tgl'!$D92,DB!$AT:$AT,"ALDA",DB!$AQ:$AQ,'Detail Cab By Tgl'!P$29)</f>
        <v>0</v>
      </c>
      <c r="Q92" s="94">
        <f>SUMIFS(DB!$AC:$AC,DB!$E:$E,'Detail Cab By Tgl'!$B92,DB!$AP:$AP,'Detail Cab By Tgl'!$D92,DB!$AT:$AT,"ALDA",DB!$AQ:$AQ,'Detail Cab By Tgl'!Q$29)</f>
        <v>0</v>
      </c>
      <c r="R92" s="94">
        <f>SUMIFS(DB!$AC:$AC,DB!$E:$E,'Detail Cab By Tgl'!$B92,DB!$AP:$AP,'Detail Cab By Tgl'!$D92,DB!$AT:$AT,"ALDA",DB!$AQ:$AQ,'Detail Cab By Tgl'!R$29)</f>
        <v>0</v>
      </c>
      <c r="S92" s="94">
        <f>SUMIFS(DB!$AC:$AC,DB!$E:$E,'Detail Cab By Tgl'!$B92,DB!$AP:$AP,'Detail Cab By Tgl'!$D92,DB!$AT:$AT,"ALDA",DB!$AQ:$AQ,'Detail Cab By Tgl'!S$29)</f>
        <v>0</v>
      </c>
      <c r="T92" s="94">
        <f>SUMIFS(DB!$AC:$AC,DB!$E:$E,'Detail Cab By Tgl'!$B92,DB!$AP:$AP,'Detail Cab By Tgl'!$D92,DB!$AT:$AT,"ALDA",DB!$AQ:$AQ,'Detail Cab By Tgl'!T$29)</f>
        <v>0</v>
      </c>
      <c r="U92" s="94">
        <f>SUMIFS(DB!$AC:$AC,DB!$E:$E,'Detail Cab By Tgl'!$B92,DB!$AP:$AP,'Detail Cab By Tgl'!$D92,DB!$AT:$AT,"ALDA",DB!$AQ:$AQ,'Detail Cab By Tgl'!U$29)</f>
        <v>0</v>
      </c>
      <c r="V92" s="94">
        <f>SUMIFS(DB!$AC:$AC,DB!$E:$E,'Detail Cab By Tgl'!$B92,DB!$AP:$AP,'Detail Cab By Tgl'!$D92,DB!$AT:$AT,"ALDA",DB!$AQ:$AQ,'Detail Cab By Tgl'!V$29)</f>
        <v>0</v>
      </c>
      <c r="W92" s="94">
        <f>SUMIFS(DB!$AC:$AC,DB!$E:$E,'Detail Cab By Tgl'!$B92,DB!$AP:$AP,'Detail Cab By Tgl'!$D92,DB!$AT:$AT,"ALDA",DB!$AQ:$AQ,'Detail Cab By Tgl'!W$29)</f>
        <v>0</v>
      </c>
      <c r="X92" s="94">
        <f>SUMIFS(DB!$AC:$AC,DB!$E:$E,'Detail Cab By Tgl'!$B92,DB!$AP:$AP,'Detail Cab By Tgl'!$D92,DB!$AT:$AT,"ALDA",DB!$AQ:$AQ,'Detail Cab By Tgl'!X$29)</f>
        <v>0</v>
      </c>
      <c r="Y92" s="94">
        <f>SUMIFS(DB!$AC:$AC,DB!$E:$E,'Detail Cab By Tgl'!$B92,DB!$AP:$AP,'Detail Cab By Tgl'!$D92,DB!$AT:$AT,"ALDA",DB!$AQ:$AQ,'Detail Cab By Tgl'!Y$29)</f>
        <v>0</v>
      </c>
      <c r="Z92" s="94">
        <f>SUMIFS(DB!$AC:$AC,DB!$E:$E,'Detail Cab By Tgl'!$B92,DB!$AP:$AP,'Detail Cab By Tgl'!$D92,DB!$AT:$AT,"ALDA",DB!$AQ:$AQ,'Detail Cab By Tgl'!Z$29)</f>
        <v>0</v>
      </c>
      <c r="AA92" s="94">
        <f>SUMIFS(DB!$AC:$AC,DB!$E:$E,'Detail Cab By Tgl'!$B92,DB!$AP:$AP,'Detail Cab By Tgl'!$D92,DB!$AT:$AT,"ALDA",DB!$AQ:$AQ,'Detail Cab By Tgl'!AA$29)</f>
        <v>0</v>
      </c>
      <c r="AB92" s="94">
        <f>SUMIFS(DB!$AC:$AC,DB!$E:$E,'Detail Cab By Tgl'!$B92,DB!$AP:$AP,'Detail Cab By Tgl'!$D92,DB!$AT:$AT,"ALDA",DB!$AQ:$AQ,'Detail Cab By Tgl'!AB$29)</f>
        <v>0</v>
      </c>
      <c r="AC92" s="94">
        <f>SUMIFS(DB!$AC:$AC,DB!$E:$E,'Detail Cab By Tgl'!$B92,DB!$AP:$AP,'Detail Cab By Tgl'!$D92,DB!$AT:$AT,"ALDA",DB!$AQ:$AQ,'Detail Cab By Tgl'!AC$29)</f>
        <v>0</v>
      </c>
      <c r="AD92" s="94">
        <f>SUMIFS(DB!$AC:$AC,DB!$E:$E,'Detail Cab By Tgl'!$B92,DB!$AP:$AP,'Detail Cab By Tgl'!$D92,DB!$AT:$AT,"ALDA",DB!$AQ:$AQ,'Detail Cab By Tgl'!AD$29)</f>
        <v>0</v>
      </c>
      <c r="AE92" s="94">
        <f>SUMIFS(DB!$AC:$AC,DB!$E:$E,'Detail Cab By Tgl'!$B92,DB!$AP:$AP,'Detail Cab By Tgl'!$D92,DB!$AT:$AT,"ALDA",DB!$AQ:$AQ,'Detail Cab By Tgl'!AE$29)</f>
        <v>0</v>
      </c>
      <c r="AF92" s="94">
        <f>SUMIFS(DB!$AC:$AC,DB!$E:$E,'Detail Cab By Tgl'!$B92,DB!$AP:$AP,'Detail Cab By Tgl'!$D92,DB!$AT:$AT,"ALDA",DB!$AQ:$AQ,'Detail Cab By Tgl'!AF$29)</f>
        <v>0</v>
      </c>
      <c r="AG92" s="94">
        <f>SUMIFS(DB!$AC:$AC,DB!$E:$E,'Detail Cab By Tgl'!$B92,DB!$AP:$AP,'Detail Cab By Tgl'!$D92,DB!$AT:$AT,"ALDA",DB!$AQ:$AQ,'Detail Cab By Tgl'!AG$29)</f>
        <v>0</v>
      </c>
      <c r="AH92" s="94">
        <f>SUMIFS(DB!$AC:$AC,DB!$E:$E,'Detail Cab By Tgl'!$B92,DB!$AP:$AP,'Detail Cab By Tgl'!$D92,DB!$AT:$AT,"ALDA",DB!$AQ:$AQ,'Detail Cab By Tgl'!AH$29)</f>
        <v>0</v>
      </c>
      <c r="AI92" s="95">
        <f>SUMIFS(DB!$AC:$AC,DB!$E:$E,'Detail Cab By Tgl'!$B92,DB!$AP:$AP,'Detail Cab By Tgl'!$D92,DB!$AT:$AT,"ALDA",DB!$AQ:$AQ,'Detail Cab By Tgl'!AI$29)</f>
        <v>0</v>
      </c>
      <c r="AJ92" s="176">
        <f t="shared" si="8"/>
        <v>89400</v>
      </c>
    </row>
    <row r="93" spans="2:36" x14ac:dyDescent="0.3">
      <c r="B93" s="321" t="s">
        <v>5</v>
      </c>
      <c r="C93" s="322" t="s">
        <v>252</v>
      </c>
      <c r="D93" s="106" t="s">
        <v>24</v>
      </c>
      <c r="E93" s="93">
        <f>SUMIFS(DB!$AC:$AC,DB!$E:$E,'Detail Cab By Tgl'!$B93,DB!$AP:$AP,'Detail Cab By Tgl'!$D93,DB!$AT:$AT,"ALDA",DB!$AQ:$AQ,'Detail Cab By Tgl'!E$29)</f>
        <v>0</v>
      </c>
      <c r="F93" s="94">
        <f>SUMIFS(DB!$AC:$AC,DB!$E:$E,'Detail Cab By Tgl'!$B93,DB!$AP:$AP,'Detail Cab By Tgl'!$D93,DB!$AT:$AT,"ALDA",DB!$AQ:$AQ,'Detail Cab By Tgl'!F$29)</f>
        <v>0</v>
      </c>
      <c r="G93" s="94">
        <f>SUMIFS(DB!$AC:$AC,DB!$E:$E,'Detail Cab By Tgl'!$B93,DB!$AP:$AP,'Detail Cab By Tgl'!$D93,DB!$AT:$AT,"ALDA",DB!$AQ:$AQ,'Detail Cab By Tgl'!G$29)</f>
        <v>0</v>
      </c>
      <c r="H93" s="94">
        <f>SUMIFS(DB!$AC:$AC,DB!$E:$E,'Detail Cab By Tgl'!$B93,DB!$AP:$AP,'Detail Cab By Tgl'!$D93,DB!$AT:$AT,"ALDA",DB!$AQ:$AQ,'Detail Cab By Tgl'!H$29)</f>
        <v>0</v>
      </c>
      <c r="I93" s="94">
        <f>SUMIFS(DB!$AC:$AC,DB!$E:$E,'Detail Cab By Tgl'!$B93,DB!$AP:$AP,'Detail Cab By Tgl'!$D93,DB!$AT:$AT,"ALDA",DB!$AQ:$AQ,'Detail Cab By Tgl'!I$29)</f>
        <v>0</v>
      </c>
      <c r="J93" s="94">
        <f>SUMIFS(DB!$AC:$AC,DB!$E:$E,'Detail Cab By Tgl'!$B93,DB!$AP:$AP,'Detail Cab By Tgl'!$D93,DB!$AT:$AT,"ALDA",DB!$AQ:$AQ,'Detail Cab By Tgl'!J$29)</f>
        <v>0</v>
      </c>
      <c r="K93" s="94">
        <f>SUMIFS(DB!$AC:$AC,DB!$E:$E,'Detail Cab By Tgl'!$B93,DB!$AP:$AP,'Detail Cab By Tgl'!$D93,DB!$AT:$AT,"ALDA",DB!$AQ:$AQ,'Detail Cab By Tgl'!K$29)</f>
        <v>0</v>
      </c>
      <c r="L93" s="94">
        <f>SUMIFS(DB!$AC:$AC,DB!$E:$E,'Detail Cab By Tgl'!$B93,DB!$AP:$AP,'Detail Cab By Tgl'!$D93,DB!$AT:$AT,"ALDA",DB!$AQ:$AQ,'Detail Cab By Tgl'!L$29)</f>
        <v>0</v>
      </c>
      <c r="M93" s="94">
        <f>SUMIFS(DB!$AC:$AC,DB!$E:$E,'Detail Cab By Tgl'!$B93,DB!$AP:$AP,'Detail Cab By Tgl'!$D93,DB!$AT:$AT,"ALDA",DB!$AQ:$AQ,'Detail Cab By Tgl'!M$29)</f>
        <v>0</v>
      </c>
      <c r="N93" s="94">
        <f>SUMIFS(DB!$AC:$AC,DB!$E:$E,'Detail Cab By Tgl'!$B93,DB!$AP:$AP,'Detail Cab By Tgl'!$D93,DB!$AT:$AT,"ALDA",DB!$AQ:$AQ,'Detail Cab By Tgl'!N$29)</f>
        <v>0</v>
      </c>
      <c r="O93" s="94">
        <f>SUMIFS(DB!$AC:$AC,DB!$E:$E,'Detail Cab By Tgl'!$B93,DB!$AP:$AP,'Detail Cab By Tgl'!$D93,DB!$AT:$AT,"ALDA",DB!$AQ:$AQ,'Detail Cab By Tgl'!O$29)</f>
        <v>0</v>
      </c>
      <c r="P93" s="94">
        <f>SUMIFS(DB!$AC:$AC,DB!$E:$E,'Detail Cab By Tgl'!$B93,DB!$AP:$AP,'Detail Cab By Tgl'!$D93,DB!$AT:$AT,"ALDA",DB!$AQ:$AQ,'Detail Cab By Tgl'!P$29)</f>
        <v>0</v>
      </c>
      <c r="Q93" s="94">
        <f>SUMIFS(DB!$AC:$AC,DB!$E:$E,'Detail Cab By Tgl'!$B93,DB!$AP:$AP,'Detail Cab By Tgl'!$D93,DB!$AT:$AT,"ALDA",DB!$AQ:$AQ,'Detail Cab By Tgl'!Q$29)</f>
        <v>0</v>
      </c>
      <c r="R93" s="94">
        <f>SUMIFS(DB!$AC:$AC,DB!$E:$E,'Detail Cab By Tgl'!$B93,DB!$AP:$AP,'Detail Cab By Tgl'!$D93,DB!$AT:$AT,"ALDA",DB!$AQ:$AQ,'Detail Cab By Tgl'!R$29)</f>
        <v>0</v>
      </c>
      <c r="S93" s="94">
        <f>SUMIFS(DB!$AC:$AC,DB!$E:$E,'Detail Cab By Tgl'!$B93,DB!$AP:$AP,'Detail Cab By Tgl'!$D93,DB!$AT:$AT,"ALDA",DB!$AQ:$AQ,'Detail Cab By Tgl'!S$29)</f>
        <v>0</v>
      </c>
      <c r="T93" s="94">
        <f>SUMIFS(DB!$AC:$AC,DB!$E:$E,'Detail Cab By Tgl'!$B93,DB!$AP:$AP,'Detail Cab By Tgl'!$D93,DB!$AT:$AT,"ALDA",DB!$AQ:$AQ,'Detail Cab By Tgl'!T$29)</f>
        <v>0</v>
      </c>
      <c r="U93" s="94">
        <f>SUMIFS(DB!$AC:$AC,DB!$E:$E,'Detail Cab By Tgl'!$B93,DB!$AP:$AP,'Detail Cab By Tgl'!$D93,DB!$AT:$AT,"ALDA",DB!$AQ:$AQ,'Detail Cab By Tgl'!U$29)</f>
        <v>0</v>
      </c>
      <c r="V93" s="94">
        <f>SUMIFS(DB!$AC:$AC,DB!$E:$E,'Detail Cab By Tgl'!$B93,DB!$AP:$AP,'Detail Cab By Tgl'!$D93,DB!$AT:$AT,"ALDA",DB!$AQ:$AQ,'Detail Cab By Tgl'!V$29)</f>
        <v>0</v>
      </c>
      <c r="W93" s="94">
        <f>SUMIFS(DB!$AC:$AC,DB!$E:$E,'Detail Cab By Tgl'!$B93,DB!$AP:$AP,'Detail Cab By Tgl'!$D93,DB!$AT:$AT,"ALDA",DB!$AQ:$AQ,'Detail Cab By Tgl'!W$29)</f>
        <v>0</v>
      </c>
      <c r="X93" s="94">
        <f>SUMIFS(DB!$AC:$AC,DB!$E:$E,'Detail Cab By Tgl'!$B93,DB!$AP:$AP,'Detail Cab By Tgl'!$D93,DB!$AT:$AT,"ALDA",DB!$AQ:$AQ,'Detail Cab By Tgl'!X$29)</f>
        <v>0</v>
      </c>
      <c r="Y93" s="94">
        <f>SUMIFS(DB!$AC:$AC,DB!$E:$E,'Detail Cab By Tgl'!$B93,DB!$AP:$AP,'Detail Cab By Tgl'!$D93,DB!$AT:$AT,"ALDA",DB!$AQ:$AQ,'Detail Cab By Tgl'!Y$29)</f>
        <v>0</v>
      </c>
      <c r="Z93" s="94">
        <f>SUMIFS(DB!$AC:$AC,DB!$E:$E,'Detail Cab By Tgl'!$B93,DB!$AP:$AP,'Detail Cab By Tgl'!$D93,DB!$AT:$AT,"ALDA",DB!$AQ:$AQ,'Detail Cab By Tgl'!Z$29)</f>
        <v>0</v>
      </c>
      <c r="AA93" s="94">
        <f>SUMIFS(DB!$AC:$AC,DB!$E:$E,'Detail Cab By Tgl'!$B93,DB!$AP:$AP,'Detail Cab By Tgl'!$D93,DB!$AT:$AT,"ALDA",DB!$AQ:$AQ,'Detail Cab By Tgl'!AA$29)</f>
        <v>0</v>
      </c>
      <c r="AB93" s="94">
        <f>SUMIFS(DB!$AC:$AC,DB!$E:$E,'Detail Cab By Tgl'!$B93,DB!$AP:$AP,'Detail Cab By Tgl'!$D93,DB!$AT:$AT,"ALDA",DB!$AQ:$AQ,'Detail Cab By Tgl'!AB$29)</f>
        <v>0</v>
      </c>
      <c r="AC93" s="94">
        <f>SUMIFS(DB!$AC:$AC,DB!$E:$E,'Detail Cab By Tgl'!$B93,DB!$AP:$AP,'Detail Cab By Tgl'!$D93,DB!$AT:$AT,"ALDA",DB!$AQ:$AQ,'Detail Cab By Tgl'!AC$29)</f>
        <v>0</v>
      </c>
      <c r="AD93" s="94">
        <f>SUMIFS(DB!$AC:$AC,DB!$E:$E,'Detail Cab By Tgl'!$B93,DB!$AP:$AP,'Detail Cab By Tgl'!$D93,DB!$AT:$AT,"ALDA",DB!$AQ:$AQ,'Detail Cab By Tgl'!AD$29)</f>
        <v>0</v>
      </c>
      <c r="AE93" s="94">
        <f>SUMIFS(DB!$AC:$AC,DB!$E:$E,'Detail Cab By Tgl'!$B93,DB!$AP:$AP,'Detail Cab By Tgl'!$D93,DB!$AT:$AT,"ALDA",DB!$AQ:$AQ,'Detail Cab By Tgl'!AE$29)</f>
        <v>0</v>
      </c>
      <c r="AF93" s="94">
        <f>SUMIFS(DB!$AC:$AC,DB!$E:$E,'Detail Cab By Tgl'!$B93,DB!$AP:$AP,'Detail Cab By Tgl'!$D93,DB!$AT:$AT,"ALDA",DB!$AQ:$AQ,'Detail Cab By Tgl'!AF$29)</f>
        <v>0</v>
      </c>
      <c r="AG93" s="94">
        <f>SUMIFS(DB!$AC:$AC,DB!$E:$E,'Detail Cab By Tgl'!$B93,DB!$AP:$AP,'Detail Cab By Tgl'!$D93,DB!$AT:$AT,"ALDA",DB!$AQ:$AQ,'Detail Cab By Tgl'!AG$29)</f>
        <v>0</v>
      </c>
      <c r="AH93" s="94">
        <f>SUMIFS(DB!$AC:$AC,DB!$E:$E,'Detail Cab By Tgl'!$B93,DB!$AP:$AP,'Detail Cab By Tgl'!$D93,DB!$AT:$AT,"ALDA",DB!$AQ:$AQ,'Detail Cab By Tgl'!AH$29)</f>
        <v>0</v>
      </c>
      <c r="AI93" s="95">
        <f>SUMIFS(DB!$AC:$AC,DB!$E:$E,'Detail Cab By Tgl'!$B93,DB!$AP:$AP,'Detail Cab By Tgl'!$D93,DB!$AT:$AT,"ALDA",DB!$AQ:$AQ,'Detail Cab By Tgl'!AI$29)</f>
        <v>0</v>
      </c>
      <c r="AJ93" s="176">
        <f t="shared" si="8"/>
        <v>0</v>
      </c>
    </row>
    <row r="94" spans="2:36" x14ac:dyDescent="0.3">
      <c r="B94" s="321" t="s">
        <v>5</v>
      </c>
      <c r="C94" s="322" t="s">
        <v>252</v>
      </c>
      <c r="D94" s="106" t="s">
        <v>31</v>
      </c>
      <c r="E94" s="93">
        <f>SUMIFS(DB!$AC:$AC,DB!$E:$E,'Detail Cab By Tgl'!$B94,DB!$AP:$AP,'Detail Cab By Tgl'!$D94,DB!$AT:$AT,"ALDA",DB!$AQ:$AQ,'Detail Cab By Tgl'!E$29)</f>
        <v>0</v>
      </c>
      <c r="F94" s="94">
        <f>SUMIFS(DB!$AC:$AC,DB!$E:$E,'Detail Cab By Tgl'!$B94,DB!$AP:$AP,'Detail Cab By Tgl'!$D94,DB!$AT:$AT,"ALDA",DB!$AQ:$AQ,'Detail Cab By Tgl'!F$29)</f>
        <v>189000</v>
      </c>
      <c r="G94" s="94">
        <f>SUMIFS(DB!$AC:$AC,DB!$E:$E,'Detail Cab By Tgl'!$B94,DB!$AP:$AP,'Detail Cab By Tgl'!$D94,DB!$AT:$AT,"ALDA",DB!$AQ:$AQ,'Detail Cab By Tgl'!G$29)</f>
        <v>0</v>
      </c>
      <c r="H94" s="94">
        <f>SUMIFS(DB!$AC:$AC,DB!$E:$E,'Detail Cab By Tgl'!$B94,DB!$AP:$AP,'Detail Cab By Tgl'!$D94,DB!$AT:$AT,"ALDA",DB!$AQ:$AQ,'Detail Cab By Tgl'!H$29)</f>
        <v>0</v>
      </c>
      <c r="I94" s="94">
        <f>SUMIFS(DB!$AC:$AC,DB!$E:$E,'Detail Cab By Tgl'!$B94,DB!$AP:$AP,'Detail Cab By Tgl'!$D94,DB!$AT:$AT,"ALDA",DB!$AQ:$AQ,'Detail Cab By Tgl'!I$29)</f>
        <v>0</v>
      </c>
      <c r="J94" s="94">
        <f>SUMIFS(DB!$AC:$AC,DB!$E:$E,'Detail Cab By Tgl'!$B94,DB!$AP:$AP,'Detail Cab By Tgl'!$D94,DB!$AT:$AT,"ALDA",DB!$AQ:$AQ,'Detail Cab By Tgl'!J$29)</f>
        <v>0</v>
      </c>
      <c r="K94" s="94">
        <f>SUMIFS(DB!$AC:$AC,DB!$E:$E,'Detail Cab By Tgl'!$B94,DB!$AP:$AP,'Detail Cab By Tgl'!$D94,DB!$AT:$AT,"ALDA",DB!$AQ:$AQ,'Detail Cab By Tgl'!K$29)</f>
        <v>0</v>
      </c>
      <c r="L94" s="94">
        <f>SUMIFS(DB!$AC:$AC,DB!$E:$E,'Detail Cab By Tgl'!$B94,DB!$AP:$AP,'Detail Cab By Tgl'!$D94,DB!$AT:$AT,"ALDA",DB!$AQ:$AQ,'Detail Cab By Tgl'!L$29)</f>
        <v>0</v>
      </c>
      <c r="M94" s="94">
        <f>SUMIFS(DB!$AC:$AC,DB!$E:$E,'Detail Cab By Tgl'!$B94,DB!$AP:$AP,'Detail Cab By Tgl'!$D94,DB!$AT:$AT,"ALDA",DB!$AQ:$AQ,'Detail Cab By Tgl'!M$29)</f>
        <v>0</v>
      </c>
      <c r="N94" s="94">
        <f>SUMIFS(DB!$AC:$AC,DB!$E:$E,'Detail Cab By Tgl'!$B94,DB!$AP:$AP,'Detail Cab By Tgl'!$D94,DB!$AT:$AT,"ALDA",DB!$AQ:$AQ,'Detail Cab By Tgl'!N$29)</f>
        <v>0</v>
      </c>
      <c r="O94" s="94">
        <f>SUMIFS(DB!$AC:$AC,DB!$E:$E,'Detail Cab By Tgl'!$B94,DB!$AP:$AP,'Detail Cab By Tgl'!$D94,DB!$AT:$AT,"ALDA",DB!$AQ:$AQ,'Detail Cab By Tgl'!O$29)</f>
        <v>0</v>
      </c>
      <c r="P94" s="94">
        <f>SUMIFS(DB!$AC:$AC,DB!$E:$E,'Detail Cab By Tgl'!$B94,DB!$AP:$AP,'Detail Cab By Tgl'!$D94,DB!$AT:$AT,"ALDA",DB!$AQ:$AQ,'Detail Cab By Tgl'!P$29)</f>
        <v>0</v>
      </c>
      <c r="Q94" s="94">
        <f>SUMIFS(DB!$AC:$AC,DB!$E:$E,'Detail Cab By Tgl'!$B94,DB!$AP:$AP,'Detail Cab By Tgl'!$D94,DB!$AT:$AT,"ALDA",DB!$AQ:$AQ,'Detail Cab By Tgl'!Q$29)</f>
        <v>0</v>
      </c>
      <c r="R94" s="94">
        <f>SUMIFS(DB!$AC:$AC,DB!$E:$E,'Detail Cab By Tgl'!$B94,DB!$AP:$AP,'Detail Cab By Tgl'!$D94,DB!$AT:$AT,"ALDA",DB!$AQ:$AQ,'Detail Cab By Tgl'!R$29)</f>
        <v>0</v>
      </c>
      <c r="S94" s="94">
        <f>SUMIFS(DB!$AC:$AC,DB!$E:$E,'Detail Cab By Tgl'!$B94,DB!$AP:$AP,'Detail Cab By Tgl'!$D94,DB!$AT:$AT,"ALDA",DB!$AQ:$AQ,'Detail Cab By Tgl'!S$29)</f>
        <v>0</v>
      </c>
      <c r="T94" s="94">
        <f>SUMIFS(DB!$AC:$AC,DB!$E:$E,'Detail Cab By Tgl'!$B94,DB!$AP:$AP,'Detail Cab By Tgl'!$D94,DB!$AT:$AT,"ALDA",DB!$AQ:$AQ,'Detail Cab By Tgl'!T$29)</f>
        <v>0</v>
      </c>
      <c r="U94" s="94">
        <f>SUMIFS(DB!$AC:$AC,DB!$E:$E,'Detail Cab By Tgl'!$B94,DB!$AP:$AP,'Detail Cab By Tgl'!$D94,DB!$AT:$AT,"ALDA",DB!$AQ:$AQ,'Detail Cab By Tgl'!U$29)</f>
        <v>0</v>
      </c>
      <c r="V94" s="94">
        <f>SUMIFS(DB!$AC:$AC,DB!$E:$E,'Detail Cab By Tgl'!$B94,DB!$AP:$AP,'Detail Cab By Tgl'!$D94,DB!$AT:$AT,"ALDA",DB!$AQ:$AQ,'Detail Cab By Tgl'!V$29)</f>
        <v>0</v>
      </c>
      <c r="W94" s="94">
        <f>SUMIFS(DB!$AC:$AC,DB!$E:$E,'Detail Cab By Tgl'!$B94,DB!$AP:$AP,'Detail Cab By Tgl'!$D94,DB!$AT:$AT,"ALDA",DB!$AQ:$AQ,'Detail Cab By Tgl'!W$29)</f>
        <v>0</v>
      </c>
      <c r="X94" s="94">
        <f>SUMIFS(DB!$AC:$AC,DB!$E:$E,'Detail Cab By Tgl'!$B94,DB!$AP:$AP,'Detail Cab By Tgl'!$D94,DB!$AT:$AT,"ALDA",DB!$AQ:$AQ,'Detail Cab By Tgl'!X$29)</f>
        <v>0</v>
      </c>
      <c r="Y94" s="94">
        <f>SUMIFS(DB!$AC:$AC,DB!$E:$E,'Detail Cab By Tgl'!$B94,DB!$AP:$AP,'Detail Cab By Tgl'!$D94,DB!$AT:$AT,"ALDA",DB!$AQ:$AQ,'Detail Cab By Tgl'!Y$29)</f>
        <v>0</v>
      </c>
      <c r="Z94" s="94">
        <f>SUMIFS(DB!$AC:$AC,DB!$E:$E,'Detail Cab By Tgl'!$B94,DB!$AP:$AP,'Detail Cab By Tgl'!$D94,DB!$AT:$AT,"ALDA",DB!$AQ:$AQ,'Detail Cab By Tgl'!Z$29)</f>
        <v>0</v>
      </c>
      <c r="AA94" s="94">
        <f>SUMIFS(DB!$AC:$AC,DB!$E:$E,'Detail Cab By Tgl'!$B94,DB!$AP:$AP,'Detail Cab By Tgl'!$D94,DB!$AT:$AT,"ALDA",DB!$AQ:$AQ,'Detail Cab By Tgl'!AA$29)</f>
        <v>0</v>
      </c>
      <c r="AB94" s="94">
        <f>SUMIFS(DB!$AC:$AC,DB!$E:$E,'Detail Cab By Tgl'!$B94,DB!$AP:$AP,'Detail Cab By Tgl'!$D94,DB!$AT:$AT,"ALDA",DB!$AQ:$AQ,'Detail Cab By Tgl'!AB$29)</f>
        <v>0</v>
      </c>
      <c r="AC94" s="94">
        <f>SUMIFS(DB!$AC:$AC,DB!$E:$E,'Detail Cab By Tgl'!$B94,DB!$AP:$AP,'Detail Cab By Tgl'!$D94,DB!$AT:$AT,"ALDA",DB!$AQ:$AQ,'Detail Cab By Tgl'!AC$29)</f>
        <v>0</v>
      </c>
      <c r="AD94" s="94">
        <f>SUMIFS(DB!$AC:$AC,DB!$E:$E,'Detail Cab By Tgl'!$B94,DB!$AP:$AP,'Detail Cab By Tgl'!$D94,DB!$AT:$AT,"ALDA",DB!$AQ:$AQ,'Detail Cab By Tgl'!AD$29)</f>
        <v>0</v>
      </c>
      <c r="AE94" s="94">
        <f>SUMIFS(DB!$AC:$AC,DB!$E:$E,'Detail Cab By Tgl'!$B94,DB!$AP:$AP,'Detail Cab By Tgl'!$D94,DB!$AT:$AT,"ALDA",DB!$AQ:$AQ,'Detail Cab By Tgl'!AE$29)</f>
        <v>0</v>
      </c>
      <c r="AF94" s="94">
        <f>SUMIFS(DB!$AC:$AC,DB!$E:$E,'Detail Cab By Tgl'!$B94,DB!$AP:$AP,'Detail Cab By Tgl'!$D94,DB!$AT:$AT,"ALDA",DB!$AQ:$AQ,'Detail Cab By Tgl'!AF$29)</f>
        <v>0</v>
      </c>
      <c r="AG94" s="94">
        <f>SUMIFS(DB!$AC:$AC,DB!$E:$E,'Detail Cab By Tgl'!$B94,DB!$AP:$AP,'Detail Cab By Tgl'!$D94,DB!$AT:$AT,"ALDA",DB!$AQ:$AQ,'Detail Cab By Tgl'!AG$29)</f>
        <v>0</v>
      </c>
      <c r="AH94" s="94">
        <f>SUMIFS(DB!$AC:$AC,DB!$E:$E,'Detail Cab By Tgl'!$B94,DB!$AP:$AP,'Detail Cab By Tgl'!$D94,DB!$AT:$AT,"ALDA",DB!$AQ:$AQ,'Detail Cab By Tgl'!AH$29)</f>
        <v>0</v>
      </c>
      <c r="AI94" s="95">
        <f>SUMIFS(DB!$AC:$AC,DB!$E:$E,'Detail Cab By Tgl'!$B94,DB!$AP:$AP,'Detail Cab By Tgl'!$D94,DB!$AT:$AT,"ALDA",DB!$AQ:$AQ,'Detail Cab By Tgl'!AI$29)</f>
        <v>0</v>
      </c>
      <c r="AJ94" s="176">
        <f t="shared" si="8"/>
        <v>189000</v>
      </c>
    </row>
    <row r="95" spans="2:36" x14ac:dyDescent="0.3">
      <c r="B95" s="321" t="s">
        <v>5</v>
      </c>
      <c r="C95" s="322" t="s">
        <v>252</v>
      </c>
      <c r="D95" s="106" t="s">
        <v>34</v>
      </c>
      <c r="E95" s="93">
        <f>SUMIFS(DB!$AC:$AC,DB!$E:$E,'Detail Cab By Tgl'!$B95,DB!$AP:$AP,'Detail Cab By Tgl'!$D95,DB!$AT:$AT,"ALDA",DB!$AQ:$AQ,'Detail Cab By Tgl'!E$29)</f>
        <v>0</v>
      </c>
      <c r="F95" s="94">
        <f>SUMIFS(DB!$AC:$AC,DB!$E:$E,'Detail Cab By Tgl'!$B95,DB!$AP:$AP,'Detail Cab By Tgl'!$D95,DB!$AT:$AT,"ALDA",DB!$AQ:$AQ,'Detail Cab By Tgl'!F$29)</f>
        <v>0</v>
      </c>
      <c r="G95" s="94">
        <f>SUMIFS(DB!$AC:$AC,DB!$E:$E,'Detail Cab By Tgl'!$B95,DB!$AP:$AP,'Detail Cab By Tgl'!$D95,DB!$AT:$AT,"ALDA",DB!$AQ:$AQ,'Detail Cab By Tgl'!G$29)</f>
        <v>0</v>
      </c>
      <c r="H95" s="94">
        <f>SUMIFS(DB!$AC:$AC,DB!$E:$E,'Detail Cab By Tgl'!$B95,DB!$AP:$AP,'Detail Cab By Tgl'!$D95,DB!$AT:$AT,"ALDA",DB!$AQ:$AQ,'Detail Cab By Tgl'!H$29)</f>
        <v>0</v>
      </c>
      <c r="I95" s="94">
        <f>SUMIFS(DB!$AC:$AC,DB!$E:$E,'Detail Cab By Tgl'!$B95,DB!$AP:$AP,'Detail Cab By Tgl'!$D95,DB!$AT:$AT,"ALDA",DB!$AQ:$AQ,'Detail Cab By Tgl'!I$29)</f>
        <v>0</v>
      </c>
      <c r="J95" s="94">
        <f>SUMIFS(DB!$AC:$AC,DB!$E:$E,'Detail Cab By Tgl'!$B95,DB!$AP:$AP,'Detail Cab By Tgl'!$D95,DB!$AT:$AT,"ALDA",DB!$AQ:$AQ,'Detail Cab By Tgl'!J$29)</f>
        <v>0</v>
      </c>
      <c r="K95" s="94">
        <f>SUMIFS(DB!$AC:$AC,DB!$E:$E,'Detail Cab By Tgl'!$B95,DB!$AP:$AP,'Detail Cab By Tgl'!$D95,DB!$AT:$AT,"ALDA",DB!$AQ:$AQ,'Detail Cab By Tgl'!K$29)</f>
        <v>0</v>
      </c>
      <c r="L95" s="94">
        <f>SUMIFS(DB!$AC:$AC,DB!$E:$E,'Detail Cab By Tgl'!$B95,DB!$AP:$AP,'Detail Cab By Tgl'!$D95,DB!$AT:$AT,"ALDA",DB!$AQ:$AQ,'Detail Cab By Tgl'!L$29)</f>
        <v>0</v>
      </c>
      <c r="M95" s="94">
        <f>SUMIFS(DB!$AC:$AC,DB!$E:$E,'Detail Cab By Tgl'!$B95,DB!$AP:$AP,'Detail Cab By Tgl'!$D95,DB!$AT:$AT,"ALDA",DB!$AQ:$AQ,'Detail Cab By Tgl'!M$29)</f>
        <v>0</v>
      </c>
      <c r="N95" s="94">
        <f>SUMIFS(DB!$AC:$AC,DB!$E:$E,'Detail Cab By Tgl'!$B95,DB!$AP:$AP,'Detail Cab By Tgl'!$D95,DB!$AT:$AT,"ALDA",DB!$AQ:$AQ,'Detail Cab By Tgl'!N$29)</f>
        <v>0</v>
      </c>
      <c r="O95" s="94">
        <f>SUMIFS(DB!$AC:$AC,DB!$E:$E,'Detail Cab By Tgl'!$B95,DB!$AP:$AP,'Detail Cab By Tgl'!$D95,DB!$AT:$AT,"ALDA",DB!$AQ:$AQ,'Detail Cab By Tgl'!O$29)</f>
        <v>0</v>
      </c>
      <c r="P95" s="94">
        <f>SUMIFS(DB!$AC:$AC,DB!$E:$E,'Detail Cab By Tgl'!$B95,DB!$AP:$AP,'Detail Cab By Tgl'!$D95,DB!$AT:$AT,"ALDA",DB!$AQ:$AQ,'Detail Cab By Tgl'!P$29)</f>
        <v>0</v>
      </c>
      <c r="Q95" s="94">
        <f>SUMIFS(DB!$AC:$AC,DB!$E:$E,'Detail Cab By Tgl'!$B95,DB!$AP:$AP,'Detail Cab By Tgl'!$D95,DB!$AT:$AT,"ALDA",DB!$AQ:$AQ,'Detail Cab By Tgl'!Q$29)</f>
        <v>0</v>
      </c>
      <c r="R95" s="94">
        <f>SUMIFS(DB!$AC:$AC,DB!$E:$E,'Detail Cab By Tgl'!$B95,DB!$AP:$AP,'Detail Cab By Tgl'!$D95,DB!$AT:$AT,"ALDA",DB!$AQ:$AQ,'Detail Cab By Tgl'!R$29)</f>
        <v>0</v>
      </c>
      <c r="S95" s="94">
        <f>SUMIFS(DB!$AC:$AC,DB!$E:$E,'Detail Cab By Tgl'!$B95,DB!$AP:$AP,'Detail Cab By Tgl'!$D95,DB!$AT:$AT,"ALDA",DB!$AQ:$AQ,'Detail Cab By Tgl'!S$29)</f>
        <v>0</v>
      </c>
      <c r="T95" s="94">
        <f>SUMIFS(DB!$AC:$AC,DB!$E:$E,'Detail Cab By Tgl'!$B95,DB!$AP:$AP,'Detail Cab By Tgl'!$D95,DB!$AT:$AT,"ALDA",DB!$AQ:$AQ,'Detail Cab By Tgl'!T$29)</f>
        <v>0</v>
      </c>
      <c r="U95" s="94">
        <f>SUMIFS(DB!$AC:$AC,DB!$E:$E,'Detail Cab By Tgl'!$B95,DB!$AP:$AP,'Detail Cab By Tgl'!$D95,DB!$AT:$AT,"ALDA",DB!$AQ:$AQ,'Detail Cab By Tgl'!U$29)</f>
        <v>0</v>
      </c>
      <c r="V95" s="94">
        <f>SUMIFS(DB!$AC:$AC,DB!$E:$E,'Detail Cab By Tgl'!$B95,DB!$AP:$AP,'Detail Cab By Tgl'!$D95,DB!$AT:$AT,"ALDA",DB!$AQ:$AQ,'Detail Cab By Tgl'!V$29)</f>
        <v>0</v>
      </c>
      <c r="W95" s="94">
        <f>SUMIFS(DB!$AC:$AC,DB!$E:$E,'Detail Cab By Tgl'!$B95,DB!$AP:$AP,'Detail Cab By Tgl'!$D95,DB!$AT:$AT,"ALDA",DB!$AQ:$AQ,'Detail Cab By Tgl'!W$29)</f>
        <v>0</v>
      </c>
      <c r="X95" s="94">
        <f>SUMIFS(DB!$AC:$AC,DB!$E:$E,'Detail Cab By Tgl'!$B95,DB!$AP:$AP,'Detail Cab By Tgl'!$D95,DB!$AT:$AT,"ALDA",DB!$AQ:$AQ,'Detail Cab By Tgl'!X$29)</f>
        <v>0</v>
      </c>
      <c r="Y95" s="94">
        <f>SUMIFS(DB!$AC:$AC,DB!$E:$E,'Detail Cab By Tgl'!$B95,DB!$AP:$AP,'Detail Cab By Tgl'!$D95,DB!$AT:$AT,"ALDA",DB!$AQ:$AQ,'Detail Cab By Tgl'!Y$29)</f>
        <v>0</v>
      </c>
      <c r="Z95" s="94">
        <f>SUMIFS(DB!$AC:$AC,DB!$E:$E,'Detail Cab By Tgl'!$B95,DB!$AP:$AP,'Detail Cab By Tgl'!$D95,DB!$AT:$AT,"ALDA",DB!$AQ:$AQ,'Detail Cab By Tgl'!Z$29)</f>
        <v>0</v>
      </c>
      <c r="AA95" s="94">
        <f>SUMIFS(DB!$AC:$AC,DB!$E:$E,'Detail Cab By Tgl'!$B95,DB!$AP:$AP,'Detail Cab By Tgl'!$D95,DB!$AT:$AT,"ALDA",DB!$AQ:$AQ,'Detail Cab By Tgl'!AA$29)</f>
        <v>0</v>
      </c>
      <c r="AB95" s="94">
        <f>SUMIFS(DB!$AC:$AC,DB!$E:$E,'Detail Cab By Tgl'!$B95,DB!$AP:$AP,'Detail Cab By Tgl'!$D95,DB!$AT:$AT,"ALDA",DB!$AQ:$AQ,'Detail Cab By Tgl'!AB$29)</f>
        <v>0</v>
      </c>
      <c r="AC95" s="94">
        <f>SUMIFS(DB!$AC:$AC,DB!$E:$E,'Detail Cab By Tgl'!$B95,DB!$AP:$AP,'Detail Cab By Tgl'!$D95,DB!$AT:$AT,"ALDA",DB!$AQ:$AQ,'Detail Cab By Tgl'!AC$29)</f>
        <v>0</v>
      </c>
      <c r="AD95" s="94">
        <f>SUMIFS(DB!$AC:$AC,DB!$E:$E,'Detail Cab By Tgl'!$B95,DB!$AP:$AP,'Detail Cab By Tgl'!$D95,DB!$AT:$AT,"ALDA",DB!$AQ:$AQ,'Detail Cab By Tgl'!AD$29)</f>
        <v>0</v>
      </c>
      <c r="AE95" s="94">
        <f>SUMIFS(DB!$AC:$AC,DB!$E:$E,'Detail Cab By Tgl'!$B95,DB!$AP:$AP,'Detail Cab By Tgl'!$D95,DB!$AT:$AT,"ALDA",DB!$AQ:$AQ,'Detail Cab By Tgl'!AE$29)</f>
        <v>0</v>
      </c>
      <c r="AF95" s="94">
        <f>SUMIFS(DB!$AC:$AC,DB!$E:$E,'Detail Cab By Tgl'!$B95,DB!$AP:$AP,'Detail Cab By Tgl'!$D95,DB!$AT:$AT,"ALDA",DB!$AQ:$AQ,'Detail Cab By Tgl'!AF$29)</f>
        <v>0</v>
      </c>
      <c r="AG95" s="94">
        <f>SUMIFS(DB!$AC:$AC,DB!$E:$E,'Detail Cab By Tgl'!$B95,DB!$AP:$AP,'Detail Cab By Tgl'!$D95,DB!$AT:$AT,"ALDA",DB!$AQ:$AQ,'Detail Cab By Tgl'!AG$29)</f>
        <v>0</v>
      </c>
      <c r="AH95" s="94">
        <f>SUMIFS(DB!$AC:$AC,DB!$E:$E,'Detail Cab By Tgl'!$B95,DB!$AP:$AP,'Detail Cab By Tgl'!$D95,DB!$AT:$AT,"ALDA",DB!$AQ:$AQ,'Detail Cab By Tgl'!AH$29)</f>
        <v>0</v>
      </c>
      <c r="AI95" s="95">
        <f>SUMIFS(DB!$AC:$AC,DB!$E:$E,'Detail Cab By Tgl'!$B95,DB!$AP:$AP,'Detail Cab By Tgl'!$D95,DB!$AT:$AT,"ALDA",DB!$AQ:$AQ,'Detail Cab By Tgl'!AI$29)</f>
        <v>0</v>
      </c>
      <c r="AJ95" s="176">
        <f t="shared" ref="AJ95:AJ120" si="9">SUM(E95:AI95)</f>
        <v>0</v>
      </c>
    </row>
    <row r="96" spans="2:36" x14ac:dyDescent="0.3">
      <c r="B96" s="321" t="s">
        <v>5</v>
      </c>
      <c r="C96" s="322" t="s">
        <v>228</v>
      </c>
      <c r="D96" s="106" t="s">
        <v>18</v>
      </c>
      <c r="E96" s="93">
        <f>SUMIFS(DB!$AC:$AC,DB!$E:$E,'Detail Cab By Tgl'!$B96,DB!$AP:$AP,'Detail Cab By Tgl'!$D96,DB!$AT:$AT,"ALDA",DB!$AQ:$AQ,'Detail Cab By Tgl'!E$29)</f>
        <v>0</v>
      </c>
      <c r="F96" s="94">
        <f>SUMIFS(DB!$AC:$AC,DB!$E:$E,'Detail Cab By Tgl'!$B96,DB!$AP:$AP,'Detail Cab By Tgl'!$D96,DB!$AT:$AT,"ALDA",DB!$AQ:$AQ,'Detail Cab By Tgl'!F$29)</f>
        <v>0</v>
      </c>
      <c r="G96" s="94">
        <f>SUMIFS(DB!$AC:$AC,DB!$E:$E,'Detail Cab By Tgl'!$B96,DB!$AP:$AP,'Detail Cab By Tgl'!$D96,DB!$AT:$AT,"ALDA",DB!$AQ:$AQ,'Detail Cab By Tgl'!G$29)</f>
        <v>0</v>
      </c>
      <c r="H96" s="94">
        <f>SUMIFS(DB!$AC:$AC,DB!$E:$E,'Detail Cab By Tgl'!$B96,DB!$AP:$AP,'Detail Cab By Tgl'!$D96,DB!$AT:$AT,"ALDA",DB!$AQ:$AQ,'Detail Cab By Tgl'!H$29)</f>
        <v>0</v>
      </c>
      <c r="I96" s="94">
        <f>SUMIFS(DB!$AC:$AC,DB!$E:$E,'Detail Cab By Tgl'!$B96,DB!$AP:$AP,'Detail Cab By Tgl'!$D96,DB!$AT:$AT,"ALDA",DB!$AQ:$AQ,'Detail Cab By Tgl'!I$29)</f>
        <v>0</v>
      </c>
      <c r="J96" s="94">
        <f>SUMIFS(DB!$AC:$AC,DB!$E:$E,'Detail Cab By Tgl'!$B96,DB!$AP:$AP,'Detail Cab By Tgl'!$D96,DB!$AT:$AT,"ALDA",DB!$AQ:$AQ,'Detail Cab By Tgl'!J$29)</f>
        <v>0</v>
      </c>
      <c r="K96" s="94">
        <f>SUMIFS(DB!$AC:$AC,DB!$E:$E,'Detail Cab By Tgl'!$B96,DB!$AP:$AP,'Detail Cab By Tgl'!$D96,DB!$AT:$AT,"ALDA",DB!$AQ:$AQ,'Detail Cab By Tgl'!K$29)</f>
        <v>0</v>
      </c>
      <c r="L96" s="94">
        <f>SUMIFS(DB!$AC:$AC,DB!$E:$E,'Detail Cab By Tgl'!$B96,DB!$AP:$AP,'Detail Cab By Tgl'!$D96,DB!$AT:$AT,"ALDA",DB!$AQ:$AQ,'Detail Cab By Tgl'!L$29)</f>
        <v>0</v>
      </c>
      <c r="M96" s="94">
        <f>SUMIFS(DB!$AC:$AC,DB!$E:$E,'Detail Cab By Tgl'!$B96,DB!$AP:$AP,'Detail Cab By Tgl'!$D96,DB!$AT:$AT,"ALDA",DB!$AQ:$AQ,'Detail Cab By Tgl'!M$29)</f>
        <v>0</v>
      </c>
      <c r="N96" s="94">
        <f>SUMIFS(DB!$AC:$AC,DB!$E:$E,'Detail Cab By Tgl'!$B96,DB!$AP:$AP,'Detail Cab By Tgl'!$D96,DB!$AT:$AT,"ALDA",DB!$AQ:$AQ,'Detail Cab By Tgl'!N$29)</f>
        <v>0</v>
      </c>
      <c r="O96" s="94">
        <f>SUMIFS(DB!$AC:$AC,DB!$E:$E,'Detail Cab By Tgl'!$B96,DB!$AP:$AP,'Detail Cab By Tgl'!$D96,DB!$AT:$AT,"ALDA",DB!$AQ:$AQ,'Detail Cab By Tgl'!O$29)</f>
        <v>0</v>
      </c>
      <c r="P96" s="94">
        <f>SUMIFS(DB!$AC:$AC,DB!$E:$E,'Detail Cab By Tgl'!$B96,DB!$AP:$AP,'Detail Cab By Tgl'!$D96,DB!$AT:$AT,"ALDA",DB!$AQ:$AQ,'Detail Cab By Tgl'!P$29)</f>
        <v>0</v>
      </c>
      <c r="Q96" s="94">
        <f>SUMIFS(DB!$AC:$AC,DB!$E:$E,'Detail Cab By Tgl'!$B96,DB!$AP:$AP,'Detail Cab By Tgl'!$D96,DB!$AT:$AT,"ALDA",DB!$AQ:$AQ,'Detail Cab By Tgl'!Q$29)</f>
        <v>0</v>
      </c>
      <c r="R96" s="94">
        <f>SUMIFS(DB!$AC:$AC,DB!$E:$E,'Detail Cab By Tgl'!$B96,DB!$AP:$AP,'Detail Cab By Tgl'!$D96,DB!$AT:$AT,"ALDA",DB!$AQ:$AQ,'Detail Cab By Tgl'!R$29)</f>
        <v>0</v>
      </c>
      <c r="S96" s="94">
        <f>SUMIFS(DB!$AC:$AC,DB!$E:$E,'Detail Cab By Tgl'!$B96,DB!$AP:$AP,'Detail Cab By Tgl'!$D96,DB!$AT:$AT,"ALDA",DB!$AQ:$AQ,'Detail Cab By Tgl'!S$29)</f>
        <v>0</v>
      </c>
      <c r="T96" s="94">
        <f>SUMIFS(DB!$AC:$AC,DB!$E:$E,'Detail Cab By Tgl'!$B96,DB!$AP:$AP,'Detail Cab By Tgl'!$D96,DB!$AT:$AT,"ALDA",DB!$AQ:$AQ,'Detail Cab By Tgl'!T$29)</f>
        <v>0</v>
      </c>
      <c r="U96" s="94">
        <f>SUMIFS(DB!$AC:$AC,DB!$E:$E,'Detail Cab By Tgl'!$B96,DB!$AP:$AP,'Detail Cab By Tgl'!$D96,DB!$AT:$AT,"ALDA",DB!$AQ:$AQ,'Detail Cab By Tgl'!U$29)</f>
        <v>0</v>
      </c>
      <c r="V96" s="94">
        <f>SUMIFS(DB!$AC:$AC,DB!$E:$E,'Detail Cab By Tgl'!$B96,DB!$AP:$AP,'Detail Cab By Tgl'!$D96,DB!$AT:$AT,"ALDA",DB!$AQ:$AQ,'Detail Cab By Tgl'!V$29)</f>
        <v>0</v>
      </c>
      <c r="W96" s="94">
        <f>SUMIFS(DB!$AC:$AC,DB!$E:$E,'Detail Cab By Tgl'!$B96,DB!$AP:$AP,'Detail Cab By Tgl'!$D96,DB!$AT:$AT,"ALDA",DB!$AQ:$AQ,'Detail Cab By Tgl'!W$29)</f>
        <v>0</v>
      </c>
      <c r="X96" s="94">
        <f>SUMIFS(DB!$AC:$AC,DB!$E:$E,'Detail Cab By Tgl'!$B96,DB!$AP:$AP,'Detail Cab By Tgl'!$D96,DB!$AT:$AT,"ALDA",DB!$AQ:$AQ,'Detail Cab By Tgl'!X$29)</f>
        <v>0</v>
      </c>
      <c r="Y96" s="94">
        <f>SUMIFS(DB!$AC:$AC,DB!$E:$E,'Detail Cab By Tgl'!$B96,DB!$AP:$AP,'Detail Cab By Tgl'!$D96,DB!$AT:$AT,"ALDA",DB!$AQ:$AQ,'Detail Cab By Tgl'!Y$29)</f>
        <v>0</v>
      </c>
      <c r="Z96" s="94">
        <f>SUMIFS(DB!$AC:$AC,DB!$E:$E,'Detail Cab By Tgl'!$B96,DB!$AP:$AP,'Detail Cab By Tgl'!$D96,DB!$AT:$AT,"ALDA",DB!$AQ:$AQ,'Detail Cab By Tgl'!Z$29)</f>
        <v>0</v>
      </c>
      <c r="AA96" s="94">
        <f>SUMIFS(DB!$AC:$AC,DB!$E:$E,'Detail Cab By Tgl'!$B96,DB!$AP:$AP,'Detail Cab By Tgl'!$D96,DB!$AT:$AT,"ALDA",DB!$AQ:$AQ,'Detail Cab By Tgl'!AA$29)</f>
        <v>0</v>
      </c>
      <c r="AB96" s="94">
        <f>SUMIFS(DB!$AC:$AC,DB!$E:$E,'Detail Cab By Tgl'!$B96,DB!$AP:$AP,'Detail Cab By Tgl'!$D96,DB!$AT:$AT,"ALDA",DB!$AQ:$AQ,'Detail Cab By Tgl'!AB$29)</f>
        <v>0</v>
      </c>
      <c r="AC96" s="94">
        <f>SUMIFS(DB!$AC:$AC,DB!$E:$E,'Detail Cab By Tgl'!$B96,DB!$AP:$AP,'Detail Cab By Tgl'!$D96,DB!$AT:$AT,"ALDA",DB!$AQ:$AQ,'Detail Cab By Tgl'!AC$29)</f>
        <v>0</v>
      </c>
      <c r="AD96" s="94">
        <f>SUMIFS(DB!$AC:$AC,DB!$E:$E,'Detail Cab By Tgl'!$B96,DB!$AP:$AP,'Detail Cab By Tgl'!$D96,DB!$AT:$AT,"ALDA",DB!$AQ:$AQ,'Detail Cab By Tgl'!AD$29)</f>
        <v>0</v>
      </c>
      <c r="AE96" s="94">
        <f>SUMIFS(DB!$AC:$AC,DB!$E:$E,'Detail Cab By Tgl'!$B96,DB!$AP:$AP,'Detail Cab By Tgl'!$D96,DB!$AT:$AT,"ALDA",DB!$AQ:$AQ,'Detail Cab By Tgl'!AE$29)</f>
        <v>0</v>
      </c>
      <c r="AF96" s="94">
        <f>SUMIFS(DB!$AC:$AC,DB!$E:$E,'Detail Cab By Tgl'!$B96,DB!$AP:$AP,'Detail Cab By Tgl'!$D96,DB!$AT:$AT,"ALDA",DB!$AQ:$AQ,'Detail Cab By Tgl'!AF$29)</f>
        <v>0</v>
      </c>
      <c r="AG96" s="94">
        <f>SUMIFS(DB!$AC:$AC,DB!$E:$E,'Detail Cab By Tgl'!$B96,DB!$AP:$AP,'Detail Cab By Tgl'!$D96,DB!$AT:$AT,"ALDA",DB!$AQ:$AQ,'Detail Cab By Tgl'!AG$29)</f>
        <v>0</v>
      </c>
      <c r="AH96" s="94">
        <f>SUMIFS(DB!$AC:$AC,DB!$E:$E,'Detail Cab By Tgl'!$B96,DB!$AP:$AP,'Detail Cab By Tgl'!$D96,DB!$AT:$AT,"ALDA",DB!$AQ:$AQ,'Detail Cab By Tgl'!AH$29)</f>
        <v>0</v>
      </c>
      <c r="AI96" s="95">
        <f>SUMIFS(DB!$AC:$AC,DB!$E:$E,'Detail Cab By Tgl'!$B96,DB!$AP:$AP,'Detail Cab By Tgl'!$D96,DB!$AT:$AT,"ALDA",DB!$AQ:$AQ,'Detail Cab By Tgl'!AI$29)</f>
        <v>0</v>
      </c>
      <c r="AJ96" s="176">
        <f t="shared" si="9"/>
        <v>0</v>
      </c>
    </row>
    <row r="97" spans="2:36" x14ac:dyDescent="0.3">
      <c r="B97" s="321" t="s">
        <v>5</v>
      </c>
      <c r="C97" s="322" t="s">
        <v>228</v>
      </c>
      <c r="D97" s="106" t="s">
        <v>8</v>
      </c>
      <c r="E97" s="93">
        <f>SUMIFS(DB!$AC:$AC,DB!$E:$E,'Detail Cab By Tgl'!$B97,DB!$AP:$AP,'Detail Cab By Tgl'!$D97,DB!$AT:$AT,"ALDA",DB!$AQ:$AQ,'Detail Cab By Tgl'!E$29)</f>
        <v>0</v>
      </c>
      <c r="F97" s="94">
        <f>SUMIFS(DB!$AC:$AC,DB!$E:$E,'Detail Cab By Tgl'!$B97,DB!$AP:$AP,'Detail Cab By Tgl'!$D97,DB!$AT:$AT,"ALDA",DB!$AQ:$AQ,'Detail Cab By Tgl'!F$29)</f>
        <v>0</v>
      </c>
      <c r="G97" s="94">
        <f>SUMIFS(DB!$AC:$AC,DB!$E:$E,'Detail Cab By Tgl'!$B97,DB!$AP:$AP,'Detail Cab By Tgl'!$D97,DB!$AT:$AT,"ALDA",DB!$AQ:$AQ,'Detail Cab By Tgl'!G$29)</f>
        <v>0</v>
      </c>
      <c r="H97" s="94">
        <f>SUMIFS(DB!$AC:$AC,DB!$E:$E,'Detail Cab By Tgl'!$B97,DB!$AP:$AP,'Detail Cab By Tgl'!$D97,DB!$AT:$AT,"ALDA",DB!$AQ:$AQ,'Detail Cab By Tgl'!H$29)</f>
        <v>0</v>
      </c>
      <c r="I97" s="94">
        <f>SUMIFS(DB!$AC:$AC,DB!$E:$E,'Detail Cab By Tgl'!$B97,DB!$AP:$AP,'Detail Cab By Tgl'!$D97,DB!$AT:$AT,"ALDA",DB!$AQ:$AQ,'Detail Cab By Tgl'!I$29)</f>
        <v>0</v>
      </c>
      <c r="J97" s="94">
        <f>SUMIFS(DB!$AC:$AC,DB!$E:$E,'Detail Cab By Tgl'!$B97,DB!$AP:$AP,'Detail Cab By Tgl'!$D97,DB!$AT:$AT,"ALDA",DB!$AQ:$AQ,'Detail Cab By Tgl'!J$29)</f>
        <v>0</v>
      </c>
      <c r="K97" s="94">
        <f>SUMIFS(DB!$AC:$AC,DB!$E:$E,'Detail Cab By Tgl'!$B97,DB!$AP:$AP,'Detail Cab By Tgl'!$D97,DB!$AT:$AT,"ALDA",DB!$AQ:$AQ,'Detail Cab By Tgl'!K$29)</f>
        <v>0</v>
      </c>
      <c r="L97" s="94">
        <f>SUMIFS(DB!$AC:$AC,DB!$E:$E,'Detail Cab By Tgl'!$B97,DB!$AP:$AP,'Detail Cab By Tgl'!$D97,DB!$AT:$AT,"ALDA",DB!$AQ:$AQ,'Detail Cab By Tgl'!L$29)</f>
        <v>0</v>
      </c>
      <c r="M97" s="94">
        <f>SUMIFS(DB!$AC:$AC,DB!$E:$E,'Detail Cab By Tgl'!$B97,DB!$AP:$AP,'Detail Cab By Tgl'!$D97,DB!$AT:$AT,"ALDA",DB!$AQ:$AQ,'Detail Cab By Tgl'!M$29)</f>
        <v>0</v>
      </c>
      <c r="N97" s="94">
        <f>SUMIFS(DB!$AC:$AC,DB!$E:$E,'Detail Cab By Tgl'!$B97,DB!$AP:$AP,'Detail Cab By Tgl'!$D97,DB!$AT:$AT,"ALDA",DB!$AQ:$AQ,'Detail Cab By Tgl'!N$29)</f>
        <v>0</v>
      </c>
      <c r="O97" s="94">
        <f>SUMIFS(DB!$AC:$AC,DB!$E:$E,'Detail Cab By Tgl'!$B97,DB!$AP:$AP,'Detail Cab By Tgl'!$D97,DB!$AT:$AT,"ALDA",DB!$AQ:$AQ,'Detail Cab By Tgl'!O$29)</f>
        <v>0</v>
      </c>
      <c r="P97" s="94">
        <f>SUMIFS(DB!$AC:$AC,DB!$E:$E,'Detail Cab By Tgl'!$B97,DB!$AP:$AP,'Detail Cab By Tgl'!$D97,DB!$AT:$AT,"ALDA",DB!$AQ:$AQ,'Detail Cab By Tgl'!P$29)</f>
        <v>0</v>
      </c>
      <c r="Q97" s="94">
        <f>SUMIFS(DB!$AC:$AC,DB!$E:$E,'Detail Cab By Tgl'!$B97,DB!$AP:$AP,'Detail Cab By Tgl'!$D97,DB!$AT:$AT,"ALDA",DB!$AQ:$AQ,'Detail Cab By Tgl'!Q$29)</f>
        <v>0</v>
      </c>
      <c r="R97" s="94">
        <f>SUMIFS(DB!$AC:$AC,DB!$E:$E,'Detail Cab By Tgl'!$B97,DB!$AP:$AP,'Detail Cab By Tgl'!$D97,DB!$AT:$AT,"ALDA",DB!$AQ:$AQ,'Detail Cab By Tgl'!R$29)</f>
        <v>0</v>
      </c>
      <c r="S97" s="94">
        <f>SUMIFS(DB!$AC:$AC,DB!$E:$E,'Detail Cab By Tgl'!$B97,DB!$AP:$AP,'Detail Cab By Tgl'!$D97,DB!$AT:$AT,"ALDA",DB!$AQ:$AQ,'Detail Cab By Tgl'!S$29)</f>
        <v>0</v>
      </c>
      <c r="T97" s="94">
        <f>SUMIFS(DB!$AC:$AC,DB!$E:$E,'Detail Cab By Tgl'!$B97,DB!$AP:$AP,'Detail Cab By Tgl'!$D97,DB!$AT:$AT,"ALDA",DB!$AQ:$AQ,'Detail Cab By Tgl'!T$29)</f>
        <v>0</v>
      </c>
      <c r="U97" s="94">
        <f>SUMIFS(DB!$AC:$AC,DB!$E:$E,'Detail Cab By Tgl'!$B97,DB!$AP:$AP,'Detail Cab By Tgl'!$D97,DB!$AT:$AT,"ALDA",DB!$AQ:$AQ,'Detail Cab By Tgl'!U$29)</f>
        <v>0</v>
      </c>
      <c r="V97" s="94">
        <f>SUMIFS(DB!$AC:$AC,DB!$E:$E,'Detail Cab By Tgl'!$B97,DB!$AP:$AP,'Detail Cab By Tgl'!$D97,DB!$AT:$AT,"ALDA",DB!$AQ:$AQ,'Detail Cab By Tgl'!V$29)</f>
        <v>0</v>
      </c>
      <c r="W97" s="94">
        <f>SUMIFS(DB!$AC:$AC,DB!$E:$E,'Detail Cab By Tgl'!$B97,DB!$AP:$AP,'Detail Cab By Tgl'!$D97,DB!$AT:$AT,"ALDA",DB!$AQ:$AQ,'Detail Cab By Tgl'!W$29)</f>
        <v>0</v>
      </c>
      <c r="X97" s="94">
        <f>SUMIFS(DB!$AC:$AC,DB!$E:$E,'Detail Cab By Tgl'!$B97,DB!$AP:$AP,'Detail Cab By Tgl'!$D97,DB!$AT:$AT,"ALDA",DB!$AQ:$AQ,'Detail Cab By Tgl'!X$29)</f>
        <v>0</v>
      </c>
      <c r="Y97" s="94">
        <f>SUMIFS(DB!$AC:$AC,DB!$E:$E,'Detail Cab By Tgl'!$B97,DB!$AP:$AP,'Detail Cab By Tgl'!$D97,DB!$AT:$AT,"ALDA",DB!$AQ:$AQ,'Detail Cab By Tgl'!Y$29)</f>
        <v>0</v>
      </c>
      <c r="Z97" s="94">
        <f>SUMIFS(DB!$AC:$AC,DB!$E:$E,'Detail Cab By Tgl'!$B97,DB!$AP:$AP,'Detail Cab By Tgl'!$D97,DB!$AT:$AT,"ALDA",DB!$AQ:$AQ,'Detail Cab By Tgl'!Z$29)</f>
        <v>0</v>
      </c>
      <c r="AA97" s="94">
        <f>SUMIFS(DB!$AC:$AC,DB!$E:$E,'Detail Cab By Tgl'!$B97,DB!$AP:$AP,'Detail Cab By Tgl'!$D97,DB!$AT:$AT,"ALDA",DB!$AQ:$AQ,'Detail Cab By Tgl'!AA$29)</f>
        <v>0</v>
      </c>
      <c r="AB97" s="94">
        <f>SUMIFS(DB!$AC:$AC,DB!$E:$E,'Detail Cab By Tgl'!$B97,DB!$AP:$AP,'Detail Cab By Tgl'!$D97,DB!$AT:$AT,"ALDA",DB!$AQ:$AQ,'Detail Cab By Tgl'!AB$29)</f>
        <v>0</v>
      </c>
      <c r="AC97" s="94">
        <f>SUMIFS(DB!$AC:$AC,DB!$E:$E,'Detail Cab By Tgl'!$B97,DB!$AP:$AP,'Detail Cab By Tgl'!$D97,DB!$AT:$AT,"ALDA",DB!$AQ:$AQ,'Detail Cab By Tgl'!AC$29)</f>
        <v>0</v>
      </c>
      <c r="AD97" s="94">
        <f>SUMIFS(DB!$AC:$AC,DB!$E:$E,'Detail Cab By Tgl'!$B97,DB!$AP:$AP,'Detail Cab By Tgl'!$D97,DB!$AT:$AT,"ALDA",DB!$AQ:$AQ,'Detail Cab By Tgl'!AD$29)</f>
        <v>0</v>
      </c>
      <c r="AE97" s="94">
        <f>SUMIFS(DB!$AC:$AC,DB!$E:$E,'Detail Cab By Tgl'!$B97,DB!$AP:$AP,'Detail Cab By Tgl'!$D97,DB!$AT:$AT,"ALDA",DB!$AQ:$AQ,'Detail Cab By Tgl'!AE$29)</f>
        <v>0</v>
      </c>
      <c r="AF97" s="94">
        <f>SUMIFS(DB!$AC:$AC,DB!$E:$E,'Detail Cab By Tgl'!$B97,DB!$AP:$AP,'Detail Cab By Tgl'!$D97,DB!$AT:$AT,"ALDA",DB!$AQ:$AQ,'Detail Cab By Tgl'!AF$29)</f>
        <v>0</v>
      </c>
      <c r="AG97" s="94">
        <f>SUMIFS(DB!$AC:$AC,DB!$E:$E,'Detail Cab By Tgl'!$B97,DB!$AP:$AP,'Detail Cab By Tgl'!$D97,DB!$AT:$AT,"ALDA",DB!$AQ:$AQ,'Detail Cab By Tgl'!AG$29)</f>
        <v>0</v>
      </c>
      <c r="AH97" s="94">
        <f>SUMIFS(DB!$AC:$AC,DB!$E:$E,'Detail Cab By Tgl'!$B97,DB!$AP:$AP,'Detail Cab By Tgl'!$D97,DB!$AT:$AT,"ALDA",DB!$AQ:$AQ,'Detail Cab By Tgl'!AH$29)</f>
        <v>0</v>
      </c>
      <c r="AI97" s="95">
        <f>SUMIFS(DB!$AC:$AC,DB!$E:$E,'Detail Cab By Tgl'!$B97,DB!$AP:$AP,'Detail Cab By Tgl'!$D97,DB!$AT:$AT,"ALDA",DB!$AQ:$AQ,'Detail Cab By Tgl'!AI$29)</f>
        <v>0</v>
      </c>
      <c r="AJ97" s="176">
        <f t="shared" si="9"/>
        <v>0</v>
      </c>
    </row>
    <row r="98" spans="2:36" x14ac:dyDescent="0.3">
      <c r="B98" s="321" t="s">
        <v>5</v>
      </c>
      <c r="C98" s="322" t="s">
        <v>228</v>
      </c>
      <c r="D98" s="106" t="s">
        <v>173</v>
      </c>
      <c r="E98" s="93">
        <f>SUMIFS(DB!$AC:$AC,DB!$E:$E,'Detail Cab By Tgl'!$B98,DB!$AP:$AP,'Detail Cab By Tgl'!$D98,DB!$AT:$AT,"ALDA",DB!$AQ:$AQ,'Detail Cab By Tgl'!E$29)</f>
        <v>0</v>
      </c>
      <c r="F98" s="94">
        <f>SUMIFS(DB!$AC:$AC,DB!$E:$E,'Detail Cab By Tgl'!$B98,DB!$AP:$AP,'Detail Cab By Tgl'!$D98,DB!$AT:$AT,"ALDA",DB!$AQ:$AQ,'Detail Cab By Tgl'!F$29)</f>
        <v>0</v>
      </c>
      <c r="G98" s="94">
        <f>SUMIFS(DB!$AC:$AC,DB!$E:$E,'Detail Cab By Tgl'!$B98,DB!$AP:$AP,'Detail Cab By Tgl'!$D98,DB!$AT:$AT,"ALDA",DB!$AQ:$AQ,'Detail Cab By Tgl'!G$29)</f>
        <v>0</v>
      </c>
      <c r="H98" s="94">
        <f>SUMIFS(DB!$AC:$AC,DB!$E:$E,'Detail Cab By Tgl'!$B98,DB!$AP:$AP,'Detail Cab By Tgl'!$D98,DB!$AT:$AT,"ALDA",DB!$AQ:$AQ,'Detail Cab By Tgl'!H$29)</f>
        <v>0</v>
      </c>
      <c r="I98" s="94">
        <f>SUMIFS(DB!$AC:$AC,DB!$E:$E,'Detail Cab By Tgl'!$B98,DB!$AP:$AP,'Detail Cab By Tgl'!$D98,DB!$AT:$AT,"ALDA",DB!$AQ:$AQ,'Detail Cab By Tgl'!I$29)</f>
        <v>0</v>
      </c>
      <c r="J98" s="94">
        <f>SUMIFS(DB!$AC:$AC,DB!$E:$E,'Detail Cab By Tgl'!$B98,DB!$AP:$AP,'Detail Cab By Tgl'!$D98,DB!$AT:$AT,"ALDA",DB!$AQ:$AQ,'Detail Cab By Tgl'!J$29)</f>
        <v>0</v>
      </c>
      <c r="K98" s="94">
        <f>SUMIFS(DB!$AC:$AC,DB!$E:$E,'Detail Cab By Tgl'!$B98,DB!$AP:$AP,'Detail Cab By Tgl'!$D98,DB!$AT:$AT,"ALDA",DB!$AQ:$AQ,'Detail Cab By Tgl'!K$29)</f>
        <v>0</v>
      </c>
      <c r="L98" s="94">
        <f>SUMIFS(DB!$AC:$AC,DB!$E:$E,'Detail Cab By Tgl'!$B98,DB!$AP:$AP,'Detail Cab By Tgl'!$D98,DB!$AT:$AT,"ALDA",DB!$AQ:$AQ,'Detail Cab By Tgl'!L$29)</f>
        <v>0</v>
      </c>
      <c r="M98" s="94">
        <f>SUMIFS(DB!$AC:$AC,DB!$E:$E,'Detail Cab By Tgl'!$B98,DB!$AP:$AP,'Detail Cab By Tgl'!$D98,DB!$AT:$AT,"ALDA",DB!$AQ:$AQ,'Detail Cab By Tgl'!M$29)</f>
        <v>0</v>
      </c>
      <c r="N98" s="94">
        <f>SUMIFS(DB!$AC:$AC,DB!$E:$E,'Detail Cab By Tgl'!$B98,DB!$AP:$AP,'Detail Cab By Tgl'!$D98,DB!$AT:$AT,"ALDA",DB!$AQ:$AQ,'Detail Cab By Tgl'!N$29)</f>
        <v>0</v>
      </c>
      <c r="O98" s="94">
        <f>SUMIFS(DB!$AC:$AC,DB!$E:$E,'Detail Cab By Tgl'!$B98,DB!$AP:$AP,'Detail Cab By Tgl'!$D98,DB!$AT:$AT,"ALDA",DB!$AQ:$AQ,'Detail Cab By Tgl'!O$29)</f>
        <v>0</v>
      </c>
      <c r="P98" s="94">
        <f>SUMIFS(DB!$AC:$AC,DB!$E:$E,'Detail Cab By Tgl'!$B98,DB!$AP:$AP,'Detail Cab By Tgl'!$D98,DB!$AT:$AT,"ALDA",DB!$AQ:$AQ,'Detail Cab By Tgl'!P$29)</f>
        <v>0</v>
      </c>
      <c r="Q98" s="94">
        <f>SUMIFS(DB!$AC:$AC,DB!$E:$E,'Detail Cab By Tgl'!$B98,DB!$AP:$AP,'Detail Cab By Tgl'!$D98,DB!$AT:$AT,"ALDA",DB!$AQ:$AQ,'Detail Cab By Tgl'!Q$29)</f>
        <v>0</v>
      </c>
      <c r="R98" s="94">
        <f>SUMIFS(DB!$AC:$AC,DB!$E:$E,'Detail Cab By Tgl'!$B98,DB!$AP:$AP,'Detail Cab By Tgl'!$D98,DB!$AT:$AT,"ALDA",DB!$AQ:$AQ,'Detail Cab By Tgl'!R$29)</f>
        <v>0</v>
      </c>
      <c r="S98" s="94">
        <f>SUMIFS(DB!$AC:$AC,DB!$E:$E,'Detail Cab By Tgl'!$B98,DB!$AP:$AP,'Detail Cab By Tgl'!$D98,DB!$AT:$AT,"ALDA",DB!$AQ:$AQ,'Detail Cab By Tgl'!S$29)</f>
        <v>0</v>
      </c>
      <c r="T98" s="94">
        <f>SUMIFS(DB!$AC:$AC,DB!$E:$E,'Detail Cab By Tgl'!$B98,DB!$AP:$AP,'Detail Cab By Tgl'!$D98,DB!$AT:$AT,"ALDA",DB!$AQ:$AQ,'Detail Cab By Tgl'!T$29)</f>
        <v>0</v>
      </c>
      <c r="U98" s="94">
        <f>SUMIFS(DB!$AC:$AC,DB!$E:$E,'Detail Cab By Tgl'!$B98,DB!$AP:$AP,'Detail Cab By Tgl'!$D98,DB!$AT:$AT,"ALDA",DB!$AQ:$AQ,'Detail Cab By Tgl'!U$29)</f>
        <v>0</v>
      </c>
      <c r="V98" s="94">
        <f>SUMIFS(DB!$AC:$AC,DB!$E:$E,'Detail Cab By Tgl'!$B98,DB!$AP:$AP,'Detail Cab By Tgl'!$D98,DB!$AT:$AT,"ALDA",DB!$AQ:$AQ,'Detail Cab By Tgl'!V$29)</f>
        <v>0</v>
      </c>
      <c r="W98" s="94">
        <f>SUMIFS(DB!$AC:$AC,DB!$E:$E,'Detail Cab By Tgl'!$B98,DB!$AP:$AP,'Detail Cab By Tgl'!$D98,DB!$AT:$AT,"ALDA",DB!$AQ:$AQ,'Detail Cab By Tgl'!W$29)</f>
        <v>0</v>
      </c>
      <c r="X98" s="94">
        <f>SUMIFS(DB!$AC:$AC,DB!$E:$E,'Detail Cab By Tgl'!$B98,DB!$AP:$AP,'Detail Cab By Tgl'!$D98,DB!$AT:$AT,"ALDA",DB!$AQ:$AQ,'Detail Cab By Tgl'!X$29)</f>
        <v>0</v>
      </c>
      <c r="Y98" s="94">
        <f>SUMIFS(DB!$AC:$AC,DB!$E:$E,'Detail Cab By Tgl'!$B98,DB!$AP:$AP,'Detail Cab By Tgl'!$D98,DB!$AT:$AT,"ALDA",DB!$AQ:$AQ,'Detail Cab By Tgl'!Y$29)</f>
        <v>0</v>
      </c>
      <c r="Z98" s="94">
        <f>SUMIFS(DB!$AC:$AC,DB!$E:$E,'Detail Cab By Tgl'!$B98,DB!$AP:$AP,'Detail Cab By Tgl'!$D98,DB!$AT:$AT,"ALDA",DB!$AQ:$AQ,'Detail Cab By Tgl'!Z$29)</f>
        <v>0</v>
      </c>
      <c r="AA98" s="94">
        <f>SUMIFS(DB!$AC:$AC,DB!$E:$E,'Detail Cab By Tgl'!$B98,DB!$AP:$AP,'Detail Cab By Tgl'!$D98,DB!$AT:$AT,"ALDA",DB!$AQ:$AQ,'Detail Cab By Tgl'!AA$29)</f>
        <v>0</v>
      </c>
      <c r="AB98" s="94">
        <f>SUMIFS(DB!$AC:$AC,DB!$E:$E,'Detail Cab By Tgl'!$B98,DB!$AP:$AP,'Detail Cab By Tgl'!$D98,DB!$AT:$AT,"ALDA",DB!$AQ:$AQ,'Detail Cab By Tgl'!AB$29)</f>
        <v>0</v>
      </c>
      <c r="AC98" s="94">
        <f>SUMIFS(DB!$AC:$AC,DB!$E:$E,'Detail Cab By Tgl'!$B98,DB!$AP:$AP,'Detail Cab By Tgl'!$D98,DB!$AT:$AT,"ALDA",DB!$AQ:$AQ,'Detail Cab By Tgl'!AC$29)</f>
        <v>0</v>
      </c>
      <c r="AD98" s="94">
        <f>SUMIFS(DB!$AC:$AC,DB!$E:$E,'Detail Cab By Tgl'!$B98,DB!$AP:$AP,'Detail Cab By Tgl'!$D98,DB!$AT:$AT,"ALDA",DB!$AQ:$AQ,'Detail Cab By Tgl'!AD$29)</f>
        <v>0</v>
      </c>
      <c r="AE98" s="94">
        <f>SUMIFS(DB!$AC:$AC,DB!$E:$E,'Detail Cab By Tgl'!$B98,DB!$AP:$AP,'Detail Cab By Tgl'!$D98,DB!$AT:$AT,"ALDA",DB!$AQ:$AQ,'Detail Cab By Tgl'!AE$29)</f>
        <v>0</v>
      </c>
      <c r="AF98" s="94">
        <f>SUMIFS(DB!$AC:$AC,DB!$E:$E,'Detail Cab By Tgl'!$B98,DB!$AP:$AP,'Detail Cab By Tgl'!$D98,DB!$AT:$AT,"ALDA",DB!$AQ:$AQ,'Detail Cab By Tgl'!AF$29)</f>
        <v>0</v>
      </c>
      <c r="AG98" s="94">
        <f>SUMIFS(DB!$AC:$AC,DB!$E:$E,'Detail Cab By Tgl'!$B98,DB!$AP:$AP,'Detail Cab By Tgl'!$D98,DB!$AT:$AT,"ALDA",DB!$AQ:$AQ,'Detail Cab By Tgl'!AG$29)</f>
        <v>0</v>
      </c>
      <c r="AH98" s="94">
        <f>SUMIFS(DB!$AC:$AC,DB!$E:$E,'Detail Cab By Tgl'!$B98,DB!$AP:$AP,'Detail Cab By Tgl'!$D98,DB!$AT:$AT,"ALDA",DB!$AQ:$AQ,'Detail Cab By Tgl'!AH$29)</f>
        <v>0</v>
      </c>
      <c r="AI98" s="95">
        <f>SUMIFS(DB!$AC:$AC,DB!$E:$E,'Detail Cab By Tgl'!$B98,DB!$AP:$AP,'Detail Cab By Tgl'!$D98,DB!$AT:$AT,"ALDA",DB!$AQ:$AQ,'Detail Cab By Tgl'!AI$29)</f>
        <v>0</v>
      </c>
      <c r="AJ98" s="176">
        <f t="shared" si="9"/>
        <v>0</v>
      </c>
    </row>
    <row r="99" spans="2:36" x14ac:dyDescent="0.3">
      <c r="B99" s="321" t="s">
        <v>5</v>
      </c>
      <c r="C99" s="322" t="s">
        <v>228</v>
      </c>
      <c r="D99" s="106" t="s">
        <v>176</v>
      </c>
      <c r="E99" s="93">
        <f>SUMIFS(DB!$AC:$AC,DB!$E:$E,'Detail Cab By Tgl'!$B99,DB!$AP:$AP,'Detail Cab By Tgl'!$D99,DB!$AT:$AT,"ALDA",DB!$AQ:$AQ,'Detail Cab By Tgl'!E$29)</f>
        <v>0</v>
      </c>
      <c r="F99" s="94">
        <f>SUMIFS(DB!$AC:$AC,DB!$E:$E,'Detail Cab By Tgl'!$B99,DB!$AP:$AP,'Detail Cab By Tgl'!$D99,DB!$AT:$AT,"ALDA",DB!$AQ:$AQ,'Detail Cab By Tgl'!F$29)</f>
        <v>0</v>
      </c>
      <c r="G99" s="94">
        <f>SUMIFS(DB!$AC:$AC,DB!$E:$E,'Detail Cab By Tgl'!$B99,DB!$AP:$AP,'Detail Cab By Tgl'!$D99,DB!$AT:$AT,"ALDA",DB!$AQ:$AQ,'Detail Cab By Tgl'!G$29)</f>
        <v>0</v>
      </c>
      <c r="H99" s="94">
        <f>SUMIFS(DB!$AC:$AC,DB!$E:$E,'Detail Cab By Tgl'!$B99,DB!$AP:$AP,'Detail Cab By Tgl'!$D99,DB!$AT:$AT,"ALDA",DB!$AQ:$AQ,'Detail Cab By Tgl'!H$29)</f>
        <v>0</v>
      </c>
      <c r="I99" s="94">
        <f>SUMIFS(DB!$AC:$AC,DB!$E:$E,'Detail Cab By Tgl'!$B99,DB!$AP:$AP,'Detail Cab By Tgl'!$D99,DB!$AT:$AT,"ALDA",DB!$AQ:$AQ,'Detail Cab By Tgl'!I$29)</f>
        <v>0</v>
      </c>
      <c r="J99" s="94">
        <f>SUMIFS(DB!$AC:$AC,DB!$E:$E,'Detail Cab By Tgl'!$B99,DB!$AP:$AP,'Detail Cab By Tgl'!$D99,DB!$AT:$AT,"ALDA",DB!$AQ:$AQ,'Detail Cab By Tgl'!J$29)</f>
        <v>0</v>
      </c>
      <c r="K99" s="94">
        <f>SUMIFS(DB!$AC:$AC,DB!$E:$E,'Detail Cab By Tgl'!$B99,DB!$AP:$AP,'Detail Cab By Tgl'!$D99,DB!$AT:$AT,"ALDA",DB!$AQ:$AQ,'Detail Cab By Tgl'!K$29)</f>
        <v>0</v>
      </c>
      <c r="L99" s="94">
        <f>SUMIFS(DB!$AC:$AC,DB!$E:$E,'Detail Cab By Tgl'!$B99,DB!$AP:$AP,'Detail Cab By Tgl'!$D99,DB!$AT:$AT,"ALDA",DB!$AQ:$AQ,'Detail Cab By Tgl'!L$29)</f>
        <v>0</v>
      </c>
      <c r="M99" s="94">
        <f>SUMIFS(DB!$AC:$AC,DB!$E:$E,'Detail Cab By Tgl'!$B99,DB!$AP:$AP,'Detail Cab By Tgl'!$D99,DB!$AT:$AT,"ALDA",DB!$AQ:$AQ,'Detail Cab By Tgl'!M$29)</f>
        <v>0</v>
      </c>
      <c r="N99" s="94">
        <f>SUMIFS(DB!$AC:$AC,DB!$E:$E,'Detail Cab By Tgl'!$B99,DB!$AP:$AP,'Detail Cab By Tgl'!$D99,DB!$AT:$AT,"ALDA",DB!$AQ:$AQ,'Detail Cab By Tgl'!N$29)</f>
        <v>0</v>
      </c>
      <c r="O99" s="94">
        <f>SUMIFS(DB!$AC:$AC,DB!$E:$E,'Detail Cab By Tgl'!$B99,DB!$AP:$AP,'Detail Cab By Tgl'!$D99,DB!$AT:$AT,"ALDA",DB!$AQ:$AQ,'Detail Cab By Tgl'!O$29)</f>
        <v>0</v>
      </c>
      <c r="P99" s="94">
        <f>SUMIFS(DB!$AC:$AC,DB!$E:$E,'Detail Cab By Tgl'!$B99,DB!$AP:$AP,'Detail Cab By Tgl'!$D99,DB!$AT:$AT,"ALDA",DB!$AQ:$AQ,'Detail Cab By Tgl'!P$29)</f>
        <v>0</v>
      </c>
      <c r="Q99" s="94">
        <f>SUMIFS(DB!$AC:$AC,DB!$E:$E,'Detail Cab By Tgl'!$B99,DB!$AP:$AP,'Detail Cab By Tgl'!$D99,DB!$AT:$AT,"ALDA",DB!$AQ:$AQ,'Detail Cab By Tgl'!Q$29)</f>
        <v>0</v>
      </c>
      <c r="R99" s="94">
        <f>SUMIFS(DB!$AC:$AC,DB!$E:$E,'Detail Cab By Tgl'!$B99,DB!$AP:$AP,'Detail Cab By Tgl'!$D99,DB!$AT:$AT,"ALDA",DB!$AQ:$AQ,'Detail Cab By Tgl'!R$29)</f>
        <v>0</v>
      </c>
      <c r="S99" s="94">
        <f>SUMIFS(DB!$AC:$AC,DB!$E:$E,'Detail Cab By Tgl'!$B99,DB!$AP:$AP,'Detail Cab By Tgl'!$D99,DB!$AT:$AT,"ALDA",DB!$AQ:$AQ,'Detail Cab By Tgl'!S$29)</f>
        <v>0</v>
      </c>
      <c r="T99" s="94">
        <f>SUMIFS(DB!$AC:$AC,DB!$E:$E,'Detail Cab By Tgl'!$B99,DB!$AP:$AP,'Detail Cab By Tgl'!$D99,DB!$AT:$AT,"ALDA",DB!$AQ:$AQ,'Detail Cab By Tgl'!T$29)</f>
        <v>0</v>
      </c>
      <c r="U99" s="94">
        <f>SUMIFS(DB!$AC:$AC,DB!$E:$E,'Detail Cab By Tgl'!$B99,DB!$AP:$AP,'Detail Cab By Tgl'!$D99,DB!$AT:$AT,"ALDA",DB!$AQ:$AQ,'Detail Cab By Tgl'!U$29)</f>
        <v>0</v>
      </c>
      <c r="V99" s="94">
        <f>SUMIFS(DB!$AC:$AC,DB!$E:$E,'Detail Cab By Tgl'!$B99,DB!$AP:$AP,'Detail Cab By Tgl'!$D99,DB!$AT:$AT,"ALDA",DB!$AQ:$AQ,'Detail Cab By Tgl'!V$29)</f>
        <v>0</v>
      </c>
      <c r="W99" s="94">
        <f>SUMIFS(DB!$AC:$AC,DB!$E:$E,'Detail Cab By Tgl'!$B99,DB!$AP:$AP,'Detail Cab By Tgl'!$D99,DB!$AT:$AT,"ALDA",DB!$AQ:$AQ,'Detail Cab By Tgl'!W$29)</f>
        <v>0</v>
      </c>
      <c r="X99" s="94">
        <f>SUMIFS(DB!$AC:$AC,DB!$E:$E,'Detail Cab By Tgl'!$B99,DB!$AP:$AP,'Detail Cab By Tgl'!$D99,DB!$AT:$AT,"ALDA",DB!$AQ:$AQ,'Detail Cab By Tgl'!X$29)</f>
        <v>0</v>
      </c>
      <c r="Y99" s="94">
        <f>SUMIFS(DB!$AC:$AC,DB!$E:$E,'Detail Cab By Tgl'!$B99,DB!$AP:$AP,'Detail Cab By Tgl'!$D99,DB!$AT:$AT,"ALDA",DB!$AQ:$AQ,'Detail Cab By Tgl'!Y$29)</f>
        <v>0</v>
      </c>
      <c r="Z99" s="94">
        <f>SUMIFS(DB!$AC:$AC,DB!$E:$E,'Detail Cab By Tgl'!$B99,DB!$AP:$AP,'Detail Cab By Tgl'!$D99,DB!$AT:$AT,"ALDA",DB!$AQ:$AQ,'Detail Cab By Tgl'!Z$29)</f>
        <v>0</v>
      </c>
      <c r="AA99" s="94">
        <f>SUMIFS(DB!$AC:$AC,DB!$E:$E,'Detail Cab By Tgl'!$B99,DB!$AP:$AP,'Detail Cab By Tgl'!$D99,DB!$AT:$AT,"ALDA",DB!$AQ:$AQ,'Detail Cab By Tgl'!AA$29)</f>
        <v>0</v>
      </c>
      <c r="AB99" s="94">
        <f>SUMIFS(DB!$AC:$AC,DB!$E:$E,'Detail Cab By Tgl'!$B99,DB!$AP:$AP,'Detail Cab By Tgl'!$D99,DB!$AT:$AT,"ALDA",DB!$AQ:$AQ,'Detail Cab By Tgl'!AB$29)</f>
        <v>0</v>
      </c>
      <c r="AC99" s="94">
        <f>SUMIFS(DB!$AC:$AC,DB!$E:$E,'Detail Cab By Tgl'!$B99,DB!$AP:$AP,'Detail Cab By Tgl'!$D99,DB!$AT:$AT,"ALDA",DB!$AQ:$AQ,'Detail Cab By Tgl'!AC$29)</f>
        <v>0</v>
      </c>
      <c r="AD99" s="94">
        <f>SUMIFS(DB!$AC:$AC,DB!$E:$E,'Detail Cab By Tgl'!$B99,DB!$AP:$AP,'Detail Cab By Tgl'!$D99,DB!$AT:$AT,"ALDA",DB!$AQ:$AQ,'Detail Cab By Tgl'!AD$29)</f>
        <v>0</v>
      </c>
      <c r="AE99" s="94">
        <f>SUMIFS(DB!$AC:$AC,DB!$E:$E,'Detail Cab By Tgl'!$B99,DB!$AP:$AP,'Detail Cab By Tgl'!$D99,DB!$AT:$AT,"ALDA",DB!$AQ:$AQ,'Detail Cab By Tgl'!AE$29)</f>
        <v>0</v>
      </c>
      <c r="AF99" s="94">
        <f>SUMIFS(DB!$AC:$AC,DB!$E:$E,'Detail Cab By Tgl'!$B99,DB!$AP:$AP,'Detail Cab By Tgl'!$D99,DB!$AT:$AT,"ALDA",DB!$AQ:$AQ,'Detail Cab By Tgl'!AF$29)</f>
        <v>0</v>
      </c>
      <c r="AG99" s="94">
        <f>SUMIFS(DB!$AC:$AC,DB!$E:$E,'Detail Cab By Tgl'!$B99,DB!$AP:$AP,'Detail Cab By Tgl'!$D99,DB!$AT:$AT,"ALDA",DB!$AQ:$AQ,'Detail Cab By Tgl'!AG$29)</f>
        <v>0</v>
      </c>
      <c r="AH99" s="94">
        <f>SUMIFS(DB!$AC:$AC,DB!$E:$E,'Detail Cab By Tgl'!$B99,DB!$AP:$AP,'Detail Cab By Tgl'!$D99,DB!$AT:$AT,"ALDA",DB!$AQ:$AQ,'Detail Cab By Tgl'!AH$29)</f>
        <v>0</v>
      </c>
      <c r="AI99" s="95">
        <f>SUMIFS(DB!$AC:$AC,DB!$E:$E,'Detail Cab By Tgl'!$B99,DB!$AP:$AP,'Detail Cab By Tgl'!$D99,DB!$AT:$AT,"ALDA",DB!$AQ:$AQ,'Detail Cab By Tgl'!AI$29)</f>
        <v>0</v>
      </c>
      <c r="AJ99" s="176">
        <f t="shared" si="9"/>
        <v>0</v>
      </c>
    </row>
    <row r="100" spans="2:36" x14ac:dyDescent="0.3">
      <c r="B100" s="321" t="s">
        <v>5</v>
      </c>
      <c r="C100" s="322" t="s">
        <v>228</v>
      </c>
      <c r="D100" s="106" t="s">
        <v>42</v>
      </c>
      <c r="E100" s="93">
        <f>SUMIFS(DB!$AC:$AC,DB!$E:$E,'Detail Cab By Tgl'!$B100,DB!$AP:$AP,'Detail Cab By Tgl'!$D100,DB!$AT:$AT,"ALDA",DB!$AQ:$AQ,'Detail Cab By Tgl'!E$29)</f>
        <v>0</v>
      </c>
      <c r="F100" s="94">
        <f>SUMIFS(DB!$AC:$AC,DB!$E:$E,'Detail Cab By Tgl'!$B100,DB!$AP:$AP,'Detail Cab By Tgl'!$D100,DB!$AT:$AT,"ALDA",DB!$AQ:$AQ,'Detail Cab By Tgl'!F$29)</f>
        <v>0</v>
      </c>
      <c r="G100" s="94">
        <f>SUMIFS(DB!$AC:$AC,DB!$E:$E,'Detail Cab By Tgl'!$B100,DB!$AP:$AP,'Detail Cab By Tgl'!$D100,DB!$AT:$AT,"ALDA",DB!$AQ:$AQ,'Detail Cab By Tgl'!G$29)</f>
        <v>0</v>
      </c>
      <c r="H100" s="94">
        <f>SUMIFS(DB!$AC:$AC,DB!$E:$E,'Detail Cab By Tgl'!$B100,DB!$AP:$AP,'Detail Cab By Tgl'!$D100,DB!$AT:$AT,"ALDA",DB!$AQ:$AQ,'Detail Cab By Tgl'!H$29)</f>
        <v>0</v>
      </c>
      <c r="I100" s="94">
        <f>SUMIFS(DB!$AC:$AC,DB!$E:$E,'Detail Cab By Tgl'!$B100,DB!$AP:$AP,'Detail Cab By Tgl'!$D100,DB!$AT:$AT,"ALDA",DB!$AQ:$AQ,'Detail Cab By Tgl'!I$29)</f>
        <v>0</v>
      </c>
      <c r="J100" s="94">
        <f>SUMIFS(DB!$AC:$AC,DB!$E:$E,'Detail Cab By Tgl'!$B100,DB!$AP:$AP,'Detail Cab By Tgl'!$D100,DB!$AT:$AT,"ALDA",DB!$AQ:$AQ,'Detail Cab By Tgl'!J$29)</f>
        <v>0</v>
      </c>
      <c r="K100" s="94">
        <f>SUMIFS(DB!$AC:$AC,DB!$E:$E,'Detail Cab By Tgl'!$B100,DB!$AP:$AP,'Detail Cab By Tgl'!$D100,DB!$AT:$AT,"ALDA",DB!$AQ:$AQ,'Detail Cab By Tgl'!K$29)</f>
        <v>0</v>
      </c>
      <c r="L100" s="94">
        <f>SUMIFS(DB!$AC:$AC,DB!$E:$E,'Detail Cab By Tgl'!$B100,DB!$AP:$AP,'Detail Cab By Tgl'!$D100,DB!$AT:$AT,"ALDA",DB!$AQ:$AQ,'Detail Cab By Tgl'!L$29)</f>
        <v>0</v>
      </c>
      <c r="M100" s="94">
        <f>SUMIFS(DB!$AC:$AC,DB!$E:$E,'Detail Cab By Tgl'!$B100,DB!$AP:$AP,'Detail Cab By Tgl'!$D100,DB!$AT:$AT,"ALDA",DB!$AQ:$AQ,'Detail Cab By Tgl'!M$29)</f>
        <v>0</v>
      </c>
      <c r="N100" s="94">
        <f>SUMIFS(DB!$AC:$AC,DB!$E:$E,'Detail Cab By Tgl'!$B100,DB!$AP:$AP,'Detail Cab By Tgl'!$D100,DB!$AT:$AT,"ALDA",DB!$AQ:$AQ,'Detail Cab By Tgl'!N$29)</f>
        <v>0</v>
      </c>
      <c r="O100" s="94">
        <f>SUMIFS(DB!$AC:$AC,DB!$E:$E,'Detail Cab By Tgl'!$B100,DB!$AP:$AP,'Detail Cab By Tgl'!$D100,DB!$AT:$AT,"ALDA",DB!$AQ:$AQ,'Detail Cab By Tgl'!O$29)</f>
        <v>0</v>
      </c>
      <c r="P100" s="94">
        <f>SUMIFS(DB!$AC:$AC,DB!$E:$E,'Detail Cab By Tgl'!$B100,DB!$AP:$AP,'Detail Cab By Tgl'!$D100,DB!$AT:$AT,"ALDA",DB!$AQ:$AQ,'Detail Cab By Tgl'!P$29)</f>
        <v>0</v>
      </c>
      <c r="Q100" s="94">
        <f>SUMIFS(DB!$AC:$AC,DB!$E:$E,'Detail Cab By Tgl'!$B100,DB!$AP:$AP,'Detail Cab By Tgl'!$D100,DB!$AT:$AT,"ALDA",DB!$AQ:$AQ,'Detail Cab By Tgl'!Q$29)</f>
        <v>0</v>
      </c>
      <c r="R100" s="94">
        <f>SUMIFS(DB!$AC:$AC,DB!$E:$E,'Detail Cab By Tgl'!$B100,DB!$AP:$AP,'Detail Cab By Tgl'!$D100,DB!$AT:$AT,"ALDA",DB!$AQ:$AQ,'Detail Cab By Tgl'!R$29)</f>
        <v>0</v>
      </c>
      <c r="S100" s="94">
        <f>SUMIFS(DB!$AC:$AC,DB!$E:$E,'Detail Cab By Tgl'!$B100,DB!$AP:$AP,'Detail Cab By Tgl'!$D100,DB!$AT:$AT,"ALDA",DB!$AQ:$AQ,'Detail Cab By Tgl'!S$29)</f>
        <v>0</v>
      </c>
      <c r="T100" s="94">
        <f>SUMIFS(DB!$AC:$AC,DB!$E:$E,'Detail Cab By Tgl'!$B100,DB!$AP:$AP,'Detail Cab By Tgl'!$D100,DB!$AT:$AT,"ALDA",DB!$AQ:$AQ,'Detail Cab By Tgl'!T$29)</f>
        <v>0</v>
      </c>
      <c r="U100" s="94">
        <f>SUMIFS(DB!$AC:$AC,DB!$E:$E,'Detail Cab By Tgl'!$B100,DB!$AP:$AP,'Detail Cab By Tgl'!$D100,DB!$AT:$AT,"ALDA",DB!$AQ:$AQ,'Detail Cab By Tgl'!U$29)</f>
        <v>0</v>
      </c>
      <c r="V100" s="94">
        <f>SUMIFS(DB!$AC:$AC,DB!$E:$E,'Detail Cab By Tgl'!$B100,DB!$AP:$AP,'Detail Cab By Tgl'!$D100,DB!$AT:$AT,"ALDA",DB!$AQ:$AQ,'Detail Cab By Tgl'!V$29)</f>
        <v>0</v>
      </c>
      <c r="W100" s="94">
        <f>SUMIFS(DB!$AC:$AC,DB!$E:$E,'Detail Cab By Tgl'!$B100,DB!$AP:$AP,'Detail Cab By Tgl'!$D100,DB!$AT:$AT,"ALDA",DB!$AQ:$AQ,'Detail Cab By Tgl'!W$29)</f>
        <v>0</v>
      </c>
      <c r="X100" s="94">
        <f>SUMIFS(DB!$AC:$AC,DB!$E:$E,'Detail Cab By Tgl'!$B100,DB!$AP:$AP,'Detail Cab By Tgl'!$D100,DB!$AT:$AT,"ALDA",DB!$AQ:$AQ,'Detail Cab By Tgl'!X$29)</f>
        <v>0</v>
      </c>
      <c r="Y100" s="94">
        <f>SUMIFS(DB!$AC:$AC,DB!$E:$E,'Detail Cab By Tgl'!$B100,DB!$AP:$AP,'Detail Cab By Tgl'!$D100,DB!$AT:$AT,"ALDA",DB!$AQ:$AQ,'Detail Cab By Tgl'!Y$29)</f>
        <v>0</v>
      </c>
      <c r="Z100" s="94">
        <f>SUMIFS(DB!$AC:$AC,DB!$E:$E,'Detail Cab By Tgl'!$B100,DB!$AP:$AP,'Detail Cab By Tgl'!$D100,DB!$AT:$AT,"ALDA",DB!$AQ:$AQ,'Detail Cab By Tgl'!Z$29)</f>
        <v>0</v>
      </c>
      <c r="AA100" s="94">
        <f>SUMIFS(DB!$AC:$AC,DB!$E:$E,'Detail Cab By Tgl'!$B100,DB!$AP:$AP,'Detail Cab By Tgl'!$D100,DB!$AT:$AT,"ALDA",DB!$AQ:$AQ,'Detail Cab By Tgl'!AA$29)</f>
        <v>0</v>
      </c>
      <c r="AB100" s="94">
        <f>SUMIFS(DB!$AC:$AC,DB!$E:$E,'Detail Cab By Tgl'!$B100,DB!$AP:$AP,'Detail Cab By Tgl'!$D100,DB!$AT:$AT,"ALDA",DB!$AQ:$AQ,'Detail Cab By Tgl'!AB$29)</f>
        <v>0</v>
      </c>
      <c r="AC100" s="94">
        <f>SUMIFS(DB!$AC:$AC,DB!$E:$E,'Detail Cab By Tgl'!$B100,DB!$AP:$AP,'Detail Cab By Tgl'!$D100,DB!$AT:$AT,"ALDA",DB!$AQ:$AQ,'Detail Cab By Tgl'!AC$29)</f>
        <v>0</v>
      </c>
      <c r="AD100" s="94">
        <f>SUMIFS(DB!$AC:$AC,DB!$E:$E,'Detail Cab By Tgl'!$B100,DB!$AP:$AP,'Detail Cab By Tgl'!$D100,DB!$AT:$AT,"ALDA",DB!$AQ:$AQ,'Detail Cab By Tgl'!AD$29)</f>
        <v>0</v>
      </c>
      <c r="AE100" s="94">
        <f>SUMIFS(DB!$AC:$AC,DB!$E:$E,'Detail Cab By Tgl'!$B100,DB!$AP:$AP,'Detail Cab By Tgl'!$D100,DB!$AT:$AT,"ALDA",DB!$AQ:$AQ,'Detail Cab By Tgl'!AE$29)</f>
        <v>0</v>
      </c>
      <c r="AF100" s="94">
        <f>SUMIFS(DB!$AC:$AC,DB!$E:$E,'Detail Cab By Tgl'!$B100,DB!$AP:$AP,'Detail Cab By Tgl'!$D100,DB!$AT:$AT,"ALDA",DB!$AQ:$AQ,'Detail Cab By Tgl'!AF$29)</f>
        <v>0</v>
      </c>
      <c r="AG100" s="94">
        <f>SUMIFS(DB!$AC:$AC,DB!$E:$E,'Detail Cab By Tgl'!$B100,DB!$AP:$AP,'Detail Cab By Tgl'!$D100,DB!$AT:$AT,"ALDA",DB!$AQ:$AQ,'Detail Cab By Tgl'!AG$29)</f>
        <v>0</v>
      </c>
      <c r="AH100" s="94">
        <f>SUMIFS(DB!$AC:$AC,DB!$E:$E,'Detail Cab By Tgl'!$B100,DB!$AP:$AP,'Detail Cab By Tgl'!$D100,DB!$AT:$AT,"ALDA",DB!$AQ:$AQ,'Detail Cab By Tgl'!AH$29)</f>
        <v>0</v>
      </c>
      <c r="AI100" s="95">
        <f>SUMIFS(DB!$AC:$AC,DB!$E:$E,'Detail Cab By Tgl'!$B100,DB!$AP:$AP,'Detail Cab By Tgl'!$D100,DB!$AT:$AT,"ALDA",DB!$AQ:$AQ,'Detail Cab By Tgl'!AI$29)</f>
        <v>0</v>
      </c>
      <c r="AJ100" s="176">
        <f t="shared" si="9"/>
        <v>0</v>
      </c>
    </row>
    <row r="101" spans="2:36" x14ac:dyDescent="0.3">
      <c r="B101" s="321" t="s">
        <v>5</v>
      </c>
      <c r="C101" s="322" t="s">
        <v>228</v>
      </c>
      <c r="D101" s="106" t="s">
        <v>19</v>
      </c>
      <c r="E101" s="93">
        <f>SUMIFS(DB!$AC:$AC,DB!$E:$E,'Detail Cab By Tgl'!$B101,DB!$AP:$AP,'Detail Cab By Tgl'!$D101,DB!$AT:$AT,"ALDA",DB!$AQ:$AQ,'Detail Cab By Tgl'!E$29)</f>
        <v>0</v>
      </c>
      <c r="F101" s="94">
        <f>SUMIFS(DB!$AC:$AC,DB!$E:$E,'Detail Cab By Tgl'!$B101,DB!$AP:$AP,'Detail Cab By Tgl'!$D101,DB!$AT:$AT,"ALDA",DB!$AQ:$AQ,'Detail Cab By Tgl'!F$29)</f>
        <v>0</v>
      </c>
      <c r="G101" s="94">
        <f>SUMIFS(DB!$AC:$AC,DB!$E:$E,'Detail Cab By Tgl'!$B101,DB!$AP:$AP,'Detail Cab By Tgl'!$D101,DB!$AT:$AT,"ALDA",DB!$AQ:$AQ,'Detail Cab By Tgl'!G$29)</f>
        <v>307000</v>
      </c>
      <c r="H101" s="94">
        <f>SUMIFS(DB!$AC:$AC,DB!$E:$E,'Detail Cab By Tgl'!$B101,DB!$AP:$AP,'Detail Cab By Tgl'!$D101,DB!$AT:$AT,"ALDA",DB!$AQ:$AQ,'Detail Cab By Tgl'!H$29)</f>
        <v>0</v>
      </c>
      <c r="I101" s="94">
        <f>SUMIFS(DB!$AC:$AC,DB!$E:$E,'Detail Cab By Tgl'!$B101,DB!$AP:$AP,'Detail Cab By Tgl'!$D101,DB!$AT:$AT,"ALDA",DB!$AQ:$AQ,'Detail Cab By Tgl'!I$29)</f>
        <v>0</v>
      </c>
      <c r="J101" s="94">
        <f>SUMIFS(DB!$AC:$AC,DB!$E:$E,'Detail Cab By Tgl'!$B101,DB!$AP:$AP,'Detail Cab By Tgl'!$D101,DB!$AT:$AT,"ALDA",DB!$AQ:$AQ,'Detail Cab By Tgl'!J$29)</f>
        <v>0</v>
      </c>
      <c r="K101" s="94">
        <f>SUMIFS(DB!$AC:$AC,DB!$E:$E,'Detail Cab By Tgl'!$B101,DB!$AP:$AP,'Detail Cab By Tgl'!$D101,DB!$AT:$AT,"ALDA",DB!$AQ:$AQ,'Detail Cab By Tgl'!K$29)</f>
        <v>0</v>
      </c>
      <c r="L101" s="94">
        <f>SUMIFS(DB!$AC:$AC,DB!$E:$E,'Detail Cab By Tgl'!$B101,DB!$AP:$AP,'Detail Cab By Tgl'!$D101,DB!$AT:$AT,"ALDA",DB!$AQ:$AQ,'Detail Cab By Tgl'!L$29)</f>
        <v>0</v>
      </c>
      <c r="M101" s="94">
        <f>SUMIFS(DB!$AC:$AC,DB!$E:$E,'Detail Cab By Tgl'!$B101,DB!$AP:$AP,'Detail Cab By Tgl'!$D101,DB!$AT:$AT,"ALDA",DB!$AQ:$AQ,'Detail Cab By Tgl'!M$29)</f>
        <v>0</v>
      </c>
      <c r="N101" s="94">
        <f>SUMIFS(DB!$AC:$AC,DB!$E:$E,'Detail Cab By Tgl'!$B101,DB!$AP:$AP,'Detail Cab By Tgl'!$D101,DB!$AT:$AT,"ALDA",DB!$AQ:$AQ,'Detail Cab By Tgl'!N$29)</f>
        <v>0</v>
      </c>
      <c r="O101" s="94">
        <f>SUMIFS(DB!$AC:$AC,DB!$E:$E,'Detail Cab By Tgl'!$B101,DB!$AP:$AP,'Detail Cab By Tgl'!$D101,DB!$AT:$AT,"ALDA",DB!$AQ:$AQ,'Detail Cab By Tgl'!O$29)</f>
        <v>0</v>
      </c>
      <c r="P101" s="94">
        <f>SUMIFS(DB!$AC:$AC,DB!$E:$E,'Detail Cab By Tgl'!$B101,DB!$AP:$AP,'Detail Cab By Tgl'!$D101,DB!$AT:$AT,"ALDA",DB!$AQ:$AQ,'Detail Cab By Tgl'!P$29)</f>
        <v>0</v>
      </c>
      <c r="Q101" s="94">
        <f>SUMIFS(DB!$AC:$AC,DB!$E:$E,'Detail Cab By Tgl'!$B101,DB!$AP:$AP,'Detail Cab By Tgl'!$D101,DB!$AT:$AT,"ALDA",DB!$AQ:$AQ,'Detail Cab By Tgl'!Q$29)</f>
        <v>0</v>
      </c>
      <c r="R101" s="94">
        <f>SUMIFS(DB!$AC:$AC,DB!$E:$E,'Detail Cab By Tgl'!$B101,DB!$AP:$AP,'Detail Cab By Tgl'!$D101,DB!$AT:$AT,"ALDA",DB!$AQ:$AQ,'Detail Cab By Tgl'!R$29)</f>
        <v>0</v>
      </c>
      <c r="S101" s="94">
        <f>SUMIFS(DB!$AC:$AC,DB!$E:$E,'Detail Cab By Tgl'!$B101,DB!$AP:$AP,'Detail Cab By Tgl'!$D101,DB!$AT:$AT,"ALDA",DB!$AQ:$AQ,'Detail Cab By Tgl'!S$29)</f>
        <v>0</v>
      </c>
      <c r="T101" s="94">
        <f>SUMIFS(DB!$AC:$AC,DB!$E:$E,'Detail Cab By Tgl'!$B101,DB!$AP:$AP,'Detail Cab By Tgl'!$D101,DB!$AT:$AT,"ALDA",DB!$AQ:$AQ,'Detail Cab By Tgl'!T$29)</f>
        <v>0</v>
      </c>
      <c r="U101" s="94">
        <f>SUMIFS(DB!$AC:$AC,DB!$E:$E,'Detail Cab By Tgl'!$B101,DB!$AP:$AP,'Detail Cab By Tgl'!$D101,DB!$AT:$AT,"ALDA",DB!$AQ:$AQ,'Detail Cab By Tgl'!U$29)</f>
        <v>0</v>
      </c>
      <c r="V101" s="94">
        <f>SUMIFS(DB!$AC:$AC,DB!$E:$E,'Detail Cab By Tgl'!$B101,DB!$AP:$AP,'Detail Cab By Tgl'!$D101,DB!$AT:$AT,"ALDA",DB!$AQ:$AQ,'Detail Cab By Tgl'!V$29)</f>
        <v>0</v>
      </c>
      <c r="W101" s="94">
        <f>SUMIFS(DB!$AC:$AC,DB!$E:$E,'Detail Cab By Tgl'!$B101,DB!$AP:$AP,'Detail Cab By Tgl'!$D101,DB!$AT:$AT,"ALDA",DB!$AQ:$AQ,'Detail Cab By Tgl'!W$29)</f>
        <v>0</v>
      </c>
      <c r="X101" s="94">
        <f>SUMIFS(DB!$AC:$AC,DB!$E:$E,'Detail Cab By Tgl'!$B101,DB!$AP:$AP,'Detail Cab By Tgl'!$D101,DB!$AT:$AT,"ALDA",DB!$AQ:$AQ,'Detail Cab By Tgl'!X$29)</f>
        <v>0</v>
      </c>
      <c r="Y101" s="94">
        <f>SUMIFS(DB!$AC:$AC,DB!$E:$E,'Detail Cab By Tgl'!$B101,DB!$AP:$AP,'Detail Cab By Tgl'!$D101,DB!$AT:$AT,"ALDA",DB!$AQ:$AQ,'Detail Cab By Tgl'!Y$29)</f>
        <v>0</v>
      </c>
      <c r="Z101" s="94">
        <f>SUMIFS(DB!$AC:$AC,DB!$E:$E,'Detail Cab By Tgl'!$B101,DB!$AP:$AP,'Detail Cab By Tgl'!$D101,DB!$AT:$AT,"ALDA",DB!$AQ:$AQ,'Detail Cab By Tgl'!Z$29)</f>
        <v>0</v>
      </c>
      <c r="AA101" s="94">
        <f>SUMIFS(DB!$AC:$AC,DB!$E:$E,'Detail Cab By Tgl'!$B101,DB!$AP:$AP,'Detail Cab By Tgl'!$D101,DB!$AT:$AT,"ALDA",DB!$AQ:$AQ,'Detail Cab By Tgl'!AA$29)</f>
        <v>0</v>
      </c>
      <c r="AB101" s="94">
        <f>SUMIFS(DB!$AC:$AC,DB!$E:$E,'Detail Cab By Tgl'!$B101,DB!$AP:$AP,'Detail Cab By Tgl'!$D101,DB!$AT:$AT,"ALDA",DB!$AQ:$AQ,'Detail Cab By Tgl'!AB$29)</f>
        <v>0</v>
      </c>
      <c r="AC101" s="94">
        <f>SUMIFS(DB!$AC:$AC,DB!$E:$E,'Detail Cab By Tgl'!$B101,DB!$AP:$AP,'Detail Cab By Tgl'!$D101,DB!$AT:$AT,"ALDA",DB!$AQ:$AQ,'Detail Cab By Tgl'!AC$29)</f>
        <v>0</v>
      </c>
      <c r="AD101" s="94">
        <f>SUMIFS(DB!$AC:$AC,DB!$E:$E,'Detail Cab By Tgl'!$B101,DB!$AP:$AP,'Detail Cab By Tgl'!$D101,DB!$AT:$AT,"ALDA",DB!$AQ:$AQ,'Detail Cab By Tgl'!AD$29)</f>
        <v>0</v>
      </c>
      <c r="AE101" s="94">
        <f>SUMIFS(DB!$AC:$AC,DB!$E:$E,'Detail Cab By Tgl'!$B101,DB!$AP:$AP,'Detail Cab By Tgl'!$D101,DB!$AT:$AT,"ALDA",DB!$AQ:$AQ,'Detail Cab By Tgl'!AE$29)</f>
        <v>0</v>
      </c>
      <c r="AF101" s="94">
        <f>SUMIFS(DB!$AC:$AC,DB!$E:$E,'Detail Cab By Tgl'!$B101,DB!$AP:$AP,'Detail Cab By Tgl'!$D101,DB!$AT:$AT,"ALDA",DB!$AQ:$AQ,'Detail Cab By Tgl'!AF$29)</f>
        <v>0</v>
      </c>
      <c r="AG101" s="94">
        <f>SUMIFS(DB!$AC:$AC,DB!$E:$E,'Detail Cab By Tgl'!$B101,DB!$AP:$AP,'Detail Cab By Tgl'!$D101,DB!$AT:$AT,"ALDA",DB!$AQ:$AQ,'Detail Cab By Tgl'!AG$29)</f>
        <v>0</v>
      </c>
      <c r="AH101" s="94">
        <f>SUMIFS(DB!$AC:$AC,DB!$E:$E,'Detail Cab By Tgl'!$B101,DB!$AP:$AP,'Detail Cab By Tgl'!$D101,DB!$AT:$AT,"ALDA",DB!$AQ:$AQ,'Detail Cab By Tgl'!AH$29)</f>
        <v>0</v>
      </c>
      <c r="AI101" s="95">
        <f>SUMIFS(DB!$AC:$AC,DB!$E:$E,'Detail Cab By Tgl'!$B101,DB!$AP:$AP,'Detail Cab By Tgl'!$D101,DB!$AT:$AT,"ALDA",DB!$AQ:$AQ,'Detail Cab By Tgl'!AI$29)</f>
        <v>0</v>
      </c>
      <c r="AJ101" s="176">
        <f t="shared" si="9"/>
        <v>307000</v>
      </c>
    </row>
    <row r="102" spans="2:36" x14ac:dyDescent="0.3">
      <c r="B102" s="321" t="s">
        <v>5</v>
      </c>
      <c r="C102" s="322" t="s">
        <v>228</v>
      </c>
      <c r="D102" s="106" t="s">
        <v>10</v>
      </c>
      <c r="E102" s="93">
        <f>SUMIFS(DB!$AC:$AC,DB!$E:$E,'Detail Cab By Tgl'!$B102,DB!$AP:$AP,'Detail Cab By Tgl'!$D102,DB!$AT:$AT,"ALDA",DB!$AQ:$AQ,'Detail Cab By Tgl'!E$29)</f>
        <v>0</v>
      </c>
      <c r="F102" s="94">
        <f>SUMIFS(DB!$AC:$AC,DB!$E:$E,'Detail Cab By Tgl'!$B102,DB!$AP:$AP,'Detail Cab By Tgl'!$D102,DB!$AT:$AT,"ALDA",DB!$AQ:$AQ,'Detail Cab By Tgl'!F$29)</f>
        <v>0</v>
      </c>
      <c r="G102" s="94">
        <f>SUMIFS(DB!$AC:$AC,DB!$E:$E,'Detail Cab By Tgl'!$B102,DB!$AP:$AP,'Detail Cab By Tgl'!$D102,DB!$AT:$AT,"ALDA",DB!$AQ:$AQ,'Detail Cab By Tgl'!G$29)</f>
        <v>0</v>
      </c>
      <c r="H102" s="94">
        <f>SUMIFS(DB!$AC:$AC,DB!$E:$E,'Detail Cab By Tgl'!$B102,DB!$AP:$AP,'Detail Cab By Tgl'!$D102,DB!$AT:$AT,"ALDA",DB!$AQ:$AQ,'Detail Cab By Tgl'!H$29)</f>
        <v>0</v>
      </c>
      <c r="I102" s="94">
        <f>SUMIFS(DB!$AC:$AC,DB!$E:$E,'Detail Cab By Tgl'!$B102,DB!$AP:$AP,'Detail Cab By Tgl'!$D102,DB!$AT:$AT,"ALDA",DB!$AQ:$AQ,'Detail Cab By Tgl'!I$29)</f>
        <v>0</v>
      </c>
      <c r="J102" s="94">
        <f>SUMIFS(DB!$AC:$AC,DB!$E:$E,'Detail Cab By Tgl'!$B102,DB!$AP:$AP,'Detail Cab By Tgl'!$D102,DB!$AT:$AT,"ALDA",DB!$AQ:$AQ,'Detail Cab By Tgl'!J$29)</f>
        <v>0</v>
      </c>
      <c r="K102" s="94">
        <f>SUMIFS(DB!$AC:$AC,DB!$E:$E,'Detail Cab By Tgl'!$B102,DB!$AP:$AP,'Detail Cab By Tgl'!$D102,DB!$AT:$AT,"ALDA",DB!$AQ:$AQ,'Detail Cab By Tgl'!K$29)</f>
        <v>0</v>
      </c>
      <c r="L102" s="94">
        <f>SUMIFS(DB!$AC:$AC,DB!$E:$E,'Detail Cab By Tgl'!$B102,DB!$AP:$AP,'Detail Cab By Tgl'!$D102,DB!$AT:$AT,"ALDA",DB!$AQ:$AQ,'Detail Cab By Tgl'!L$29)</f>
        <v>0</v>
      </c>
      <c r="M102" s="94">
        <f>SUMIFS(DB!$AC:$AC,DB!$E:$E,'Detail Cab By Tgl'!$B102,DB!$AP:$AP,'Detail Cab By Tgl'!$D102,DB!$AT:$AT,"ALDA",DB!$AQ:$AQ,'Detail Cab By Tgl'!M$29)</f>
        <v>0</v>
      </c>
      <c r="N102" s="94">
        <f>SUMIFS(DB!$AC:$AC,DB!$E:$E,'Detail Cab By Tgl'!$B102,DB!$AP:$AP,'Detail Cab By Tgl'!$D102,DB!$AT:$AT,"ALDA",DB!$AQ:$AQ,'Detail Cab By Tgl'!N$29)</f>
        <v>0</v>
      </c>
      <c r="O102" s="94">
        <f>SUMIFS(DB!$AC:$AC,DB!$E:$E,'Detail Cab By Tgl'!$B102,DB!$AP:$AP,'Detail Cab By Tgl'!$D102,DB!$AT:$AT,"ALDA",DB!$AQ:$AQ,'Detail Cab By Tgl'!O$29)</f>
        <v>0</v>
      </c>
      <c r="P102" s="94">
        <f>SUMIFS(DB!$AC:$AC,DB!$E:$E,'Detail Cab By Tgl'!$B102,DB!$AP:$AP,'Detail Cab By Tgl'!$D102,DB!$AT:$AT,"ALDA",DB!$AQ:$AQ,'Detail Cab By Tgl'!P$29)</f>
        <v>0</v>
      </c>
      <c r="Q102" s="94">
        <f>SUMIFS(DB!$AC:$AC,DB!$E:$E,'Detail Cab By Tgl'!$B102,DB!$AP:$AP,'Detail Cab By Tgl'!$D102,DB!$AT:$AT,"ALDA",DB!$AQ:$AQ,'Detail Cab By Tgl'!Q$29)</f>
        <v>0</v>
      </c>
      <c r="R102" s="94">
        <f>SUMIFS(DB!$AC:$AC,DB!$E:$E,'Detail Cab By Tgl'!$B102,DB!$AP:$AP,'Detail Cab By Tgl'!$D102,DB!$AT:$AT,"ALDA",DB!$AQ:$AQ,'Detail Cab By Tgl'!R$29)</f>
        <v>0</v>
      </c>
      <c r="S102" s="94">
        <f>SUMIFS(DB!$AC:$AC,DB!$E:$E,'Detail Cab By Tgl'!$B102,DB!$AP:$AP,'Detail Cab By Tgl'!$D102,DB!$AT:$AT,"ALDA",DB!$AQ:$AQ,'Detail Cab By Tgl'!S$29)</f>
        <v>0</v>
      </c>
      <c r="T102" s="94">
        <f>SUMIFS(DB!$AC:$AC,DB!$E:$E,'Detail Cab By Tgl'!$B102,DB!$AP:$AP,'Detail Cab By Tgl'!$D102,DB!$AT:$AT,"ALDA",DB!$AQ:$AQ,'Detail Cab By Tgl'!T$29)</f>
        <v>0</v>
      </c>
      <c r="U102" s="94">
        <f>SUMIFS(DB!$AC:$AC,DB!$E:$E,'Detail Cab By Tgl'!$B102,DB!$AP:$AP,'Detail Cab By Tgl'!$D102,DB!$AT:$AT,"ALDA",DB!$AQ:$AQ,'Detail Cab By Tgl'!U$29)</f>
        <v>0</v>
      </c>
      <c r="V102" s="94">
        <f>SUMIFS(DB!$AC:$AC,DB!$E:$E,'Detail Cab By Tgl'!$B102,DB!$AP:$AP,'Detail Cab By Tgl'!$D102,DB!$AT:$AT,"ALDA",DB!$AQ:$AQ,'Detail Cab By Tgl'!V$29)</f>
        <v>0</v>
      </c>
      <c r="W102" s="94">
        <f>SUMIFS(DB!$AC:$AC,DB!$E:$E,'Detail Cab By Tgl'!$B102,DB!$AP:$AP,'Detail Cab By Tgl'!$D102,DB!$AT:$AT,"ALDA",DB!$AQ:$AQ,'Detail Cab By Tgl'!W$29)</f>
        <v>0</v>
      </c>
      <c r="X102" s="94">
        <f>SUMIFS(DB!$AC:$AC,DB!$E:$E,'Detail Cab By Tgl'!$B102,DB!$AP:$AP,'Detail Cab By Tgl'!$D102,DB!$AT:$AT,"ALDA",DB!$AQ:$AQ,'Detail Cab By Tgl'!X$29)</f>
        <v>0</v>
      </c>
      <c r="Y102" s="94">
        <f>SUMIFS(DB!$AC:$AC,DB!$E:$E,'Detail Cab By Tgl'!$B102,DB!$AP:$AP,'Detail Cab By Tgl'!$D102,DB!$AT:$AT,"ALDA",DB!$AQ:$AQ,'Detail Cab By Tgl'!Y$29)</f>
        <v>0</v>
      </c>
      <c r="Z102" s="94">
        <f>SUMIFS(DB!$AC:$AC,DB!$E:$E,'Detail Cab By Tgl'!$B102,DB!$AP:$AP,'Detail Cab By Tgl'!$D102,DB!$AT:$AT,"ALDA",DB!$AQ:$AQ,'Detail Cab By Tgl'!Z$29)</f>
        <v>0</v>
      </c>
      <c r="AA102" s="94">
        <f>SUMIFS(DB!$AC:$AC,DB!$E:$E,'Detail Cab By Tgl'!$B102,DB!$AP:$AP,'Detail Cab By Tgl'!$D102,DB!$AT:$AT,"ALDA",DB!$AQ:$AQ,'Detail Cab By Tgl'!AA$29)</f>
        <v>0</v>
      </c>
      <c r="AB102" s="94">
        <f>SUMIFS(DB!$AC:$AC,DB!$E:$E,'Detail Cab By Tgl'!$B102,DB!$AP:$AP,'Detail Cab By Tgl'!$D102,DB!$AT:$AT,"ALDA",DB!$AQ:$AQ,'Detail Cab By Tgl'!AB$29)</f>
        <v>0</v>
      </c>
      <c r="AC102" s="94">
        <f>SUMIFS(DB!$AC:$AC,DB!$E:$E,'Detail Cab By Tgl'!$B102,DB!$AP:$AP,'Detail Cab By Tgl'!$D102,DB!$AT:$AT,"ALDA",DB!$AQ:$AQ,'Detail Cab By Tgl'!AC$29)</f>
        <v>0</v>
      </c>
      <c r="AD102" s="94">
        <f>SUMIFS(DB!$AC:$AC,DB!$E:$E,'Detail Cab By Tgl'!$B102,DB!$AP:$AP,'Detail Cab By Tgl'!$D102,DB!$AT:$AT,"ALDA",DB!$AQ:$AQ,'Detail Cab By Tgl'!AD$29)</f>
        <v>0</v>
      </c>
      <c r="AE102" s="94">
        <f>SUMIFS(DB!$AC:$AC,DB!$E:$E,'Detail Cab By Tgl'!$B102,DB!$AP:$AP,'Detail Cab By Tgl'!$D102,DB!$AT:$AT,"ALDA",DB!$AQ:$AQ,'Detail Cab By Tgl'!AE$29)</f>
        <v>0</v>
      </c>
      <c r="AF102" s="94">
        <f>SUMIFS(DB!$AC:$AC,DB!$E:$E,'Detail Cab By Tgl'!$B102,DB!$AP:$AP,'Detail Cab By Tgl'!$D102,DB!$AT:$AT,"ALDA",DB!$AQ:$AQ,'Detail Cab By Tgl'!AF$29)</f>
        <v>0</v>
      </c>
      <c r="AG102" s="94">
        <f>SUMIFS(DB!$AC:$AC,DB!$E:$E,'Detail Cab By Tgl'!$B102,DB!$AP:$AP,'Detail Cab By Tgl'!$D102,DB!$AT:$AT,"ALDA",DB!$AQ:$AQ,'Detail Cab By Tgl'!AG$29)</f>
        <v>0</v>
      </c>
      <c r="AH102" s="94">
        <f>SUMIFS(DB!$AC:$AC,DB!$E:$E,'Detail Cab By Tgl'!$B102,DB!$AP:$AP,'Detail Cab By Tgl'!$D102,DB!$AT:$AT,"ALDA",DB!$AQ:$AQ,'Detail Cab By Tgl'!AH$29)</f>
        <v>0</v>
      </c>
      <c r="AI102" s="95">
        <f>SUMIFS(DB!$AC:$AC,DB!$E:$E,'Detail Cab By Tgl'!$B102,DB!$AP:$AP,'Detail Cab By Tgl'!$D102,DB!$AT:$AT,"ALDA",DB!$AQ:$AQ,'Detail Cab By Tgl'!AI$29)</f>
        <v>0</v>
      </c>
      <c r="AJ102" s="176">
        <f t="shared" si="9"/>
        <v>0</v>
      </c>
    </row>
    <row r="103" spans="2:36" x14ac:dyDescent="0.3">
      <c r="B103" s="321" t="s">
        <v>5</v>
      </c>
      <c r="C103" s="322" t="s">
        <v>233</v>
      </c>
      <c r="D103" s="106" t="s">
        <v>346</v>
      </c>
      <c r="E103" s="93">
        <f>SUMIFS(DB!$AC:$AC,DB!$E:$E,'Detail Cab By Tgl'!$B103,DB!$AP:$AP,'Detail Cab By Tgl'!$D103,DB!$AT:$AT,"ALDA",DB!$AQ:$AQ,'Detail Cab By Tgl'!E$29)</f>
        <v>0</v>
      </c>
      <c r="F103" s="94">
        <f>SUMIFS(DB!$AC:$AC,DB!$E:$E,'Detail Cab By Tgl'!$B103,DB!$AP:$AP,'Detail Cab By Tgl'!$D103,DB!$AT:$AT,"ALDA",DB!$AQ:$AQ,'Detail Cab By Tgl'!F$29)</f>
        <v>0</v>
      </c>
      <c r="G103" s="94">
        <f>SUMIFS(DB!$AC:$AC,DB!$E:$E,'Detail Cab By Tgl'!$B103,DB!$AP:$AP,'Detail Cab By Tgl'!$D103,DB!$AT:$AT,"ALDA",DB!$AQ:$AQ,'Detail Cab By Tgl'!G$29)</f>
        <v>0</v>
      </c>
      <c r="H103" s="94">
        <f>SUMIFS(DB!$AC:$AC,DB!$E:$E,'Detail Cab By Tgl'!$B103,DB!$AP:$AP,'Detail Cab By Tgl'!$D103,DB!$AT:$AT,"ALDA",DB!$AQ:$AQ,'Detail Cab By Tgl'!H$29)</f>
        <v>0</v>
      </c>
      <c r="I103" s="94">
        <f>SUMIFS(DB!$AC:$AC,DB!$E:$E,'Detail Cab By Tgl'!$B103,DB!$AP:$AP,'Detail Cab By Tgl'!$D103,DB!$AT:$AT,"ALDA",DB!$AQ:$AQ,'Detail Cab By Tgl'!I$29)</f>
        <v>0</v>
      </c>
      <c r="J103" s="94">
        <f>SUMIFS(DB!$AC:$AC,DB!$E:$E,'Detail Cab By Tgl'!$B103,DB!$AP:$AP,'Detail Cab By Tgl'!$D103,DB!$AT:$AT,"ALDA",DB!$AQ:$AQ,'Detail Cab By Tgl'!J$29)</f>
        <v>0</v>
      </c>
      <c r="K103" s="94">
        <f>SUMIFS(DB!$AC:$AC,DB!$E:$E,'Detail Cab By Tgl'!$B103,DB!$AP:$AP,'Detail Cab By Tgl'!$D103,DB!$AT:$AT,"ALDA",DB!$AQ:$AQ,'Detail Cab By Tgl'!K$29)</f>
        <v>0</v>
      </c>
      <c r="L103" s="94">
        <f>SUMIFS(DB!$AC:$AC,DB!$E:$E,'Detail Cab By Tgl'!$B103,DB!$AP:$AP,'Detail Cab By Tgl'!$D103,DB!$AT:$AT,"ALDA",DB!$AQ:$AQ,'Detail Cab By Tgl'!L$29)</f>
        <v>0</v>
      </c>
      <c r="M103" s="94">
        <f>SUMIFS(DB!$AC:$AC,DB!$E:$E,'Detail Cab By Tgl'!$B103,DB!$AP:$AP,'Detail Cab By Tgl'!$D103,DB!$AT:$AT,"ALDA",DB!$AQ:$AQ,'Detail Cab By Tgl'!M$29)</f>
        <v>0</v>
      </c>
      <c r="N103" s="94">
        <f>SUMIFS(DB!$AC:$AC,DB!$E:$E,'Detail Cab By Tgl'!$B103,DB!$AP:$AP,'Detail Cab By Tgl'!$D103,DB!$AT:$AT,"ALDA",DB!$AQ:$AQ,'Detail Cab By Tgl'!N$29)</f>
        <v>0</v>
      </c>
      <c r="O103" s="94">
        <f>SUMIFS(DB!$AC:$AC,DB!$E:$E,'Detail Cab By Tgl'!$B103,DB!$AP:$AP,'Detail Cab By Tgl'!$D103,DB!$AT:$AT,"ALDA",DB!$AQ:$AQ,'Detail Cab By Tgl'!O$29)</f>
        <v>0</v>
      </c>
      <c r="P103" s="94">
        <f>SUMIFS(DB!$AC:$AC,DB!$E:$E,'Detail Cab By Tgl'!$B103,DB!$AP:$AP,'Detail Cab By Tgl'!$D103,DB!$AT:$AT,"ALDA",DB!$AQ:$AQ,'Detail Cab By Tgl'!P$29)</f>
        <v>0</v>
      </c>
      <c r="Q103" s="94">
        <f>SUMIFS(DB!$AC:$AC,DB!$E:$E,'Detail Cab By Tgl'!$B103,DB!$AP:$AP,'Detail Cab By Tgl'!$D103,DB!$AT:$AT,"ALDA",DB!$AQ:$AQ,'Detail Cab By Tgl'!Q$29)</f>
        <v>0</v>
      </c>
      <c r="R103" s="94">
        <f>SUMIFS(DB!$AC:$AC,DB!$E:$E,'Detail Cab By Tgl'!$B103,DB!$AP:$AP,'Detail Cab By Tgl'!$D103,DB!$AT:$AT,"ALDA",DB!$AQ:$AQ,'Detail Cab By Tgl'!R$29)</f>
        <v>0</v>
      </c>
      <c r="S103" s="94">
        <f>SUMIFS(DB!$AC:$AC,DB!$E:$E,'Detail Cab By Tgl'!$B103,DB!$AP:$AP,'Detail Cab By Tgl'!$D103,DB!$AT:$AT,"ALDA",DB!$AQ:$AQ,'Detail Cab By Tgl'!S$29)</f>
        <v>0</v>
      </c>
      <c r="T103" s="94">
        <f>SUMIFS(DB!$AC:$AC,DB!$E:$E,'Detail Cab By Tgl'!$B103,DB!$AP:$AP,'Detail Cab By Tgl'!$D103,DB!$AT:$AT,"ALDA",DB!$AQ:$AQ,'Detail Cab By Tgl'!T$29)</f>
        <v>0</v>
      </c>
      <c r="U103" s="94">
        <f>SUMIFS(DB!$AC:$AC,DB!$E:$E,'Detail Cab By Tgl'!$B103,DB!$AP:$AP,'Detail Cab By Tgl'!$D103,DB!$AT:$AT,"ALDA",DB!$AQ:$AQ,'Detail Cab By Tgl'!U$29)</f>
        <v>0</v>
      </c>
      <c r="V103" s="94">
        <f>SUMIFS(DB!$AC:$AC,DB!$E:$E,'Detail Cab By Tgl'!$B103,DB!$AP:$AP,'Detail Cab By Tgl'!$D103,DB!$AT:$AT,"ALDA",DB!$AQ:$AQ,'Detail Cab By Tgl'!V$29)</f>
        <v>0</v>
      </c>
      <c r="W103" s="94">
        <f>SUMIFS(DB!$AC:$AC,DB!$E:$E,'Detail Cab By Tgl'!$B103,DB!$AP:$AP,'Detail Cab By Tgl'!$D103,DB!$AT:$AT,"ALDA",DB!$AQ:$AQ,'Detail Cab By Tgl'!W$29)</f>
        <v>0</v>
      </c>
      <c r="X103" s="94">
        <f>SUMIFS(DB!$AC:$AC,DB!$E:$E,'Detail Cab By Tgl'!$B103,DB!$AP:$AP,'Detail Cab By Tgl'!$D103,DB!$AT:$AT,"ALDA",DB!$AQ:$AQ,'Detail Cab By Tgl'!X$29)</f>
        <v>0</v>
      </c>
      <c r="Y103" s="94">
        <f>SUMIFS(DB!$AC:$AC,DB!$E:$E,'Detail Cab By Tgl'!$B103,DB!$AP:$AP,'Detail Cab By Tgl'!$D103,DB!$AT:$AT,"ALDA",DB!$AQ:$AQ,'Detail Cab By Tgl'!Y$29)</f>
        <v>0</v>
      </c>
      <c r="Z103" s="94">
        <f>SUMIFS(DB!$AC:$AC,DB!$E:$E,'Detail Cab By Tgl'!$B103,DB!$AP:$AP,'Detail Cab By Tgl'!$D103,DB!$AT:$AT,"ALDA",DB!$AQ:$AQ,'Detail Cab By Tgl'!Z$29)</f>
        <v>0</v>
      </c>
      <c r="AA103" s="94">
        <f>SUMIFS(DB!$AC:$AC,DB!$E:$E,'Detail Cab By Tgl'!$B103,DB!$AP:$AP,'Detail Cab By Tgl'!$D103,DB!$AT:$AT,"ALDA",DB!$AQ:$AQ,'Detail Cab By Tgl'!AA$29)</f>
        <v>0</v>
      </c>
      <c r="AB103" s="94">
        <f>SUMIFS(DB!$AC:$AC,DB!$E:$E,'Detail Cab By Tgl'!$B103,DB!$AP:$AP,'Detail Cab By Tgl'!$D103,DB!$AT:$AT,"ALDA",DB!$AQ:$AQ,'Detail Cab By Tgl'!AB$29)</f>
        <v>0</v>
      </c>
      <c r="AC103" s="94">
        <f>SUMIFS(DB!$AC:$AC,DB!$E:$E,'Detail Cab By Tgl'!$B103,DB!$AP:$AP,'Detail Cab By Tgl'!$D103,DB!$AT:$AT,"ALDA",DB!$AQ:$AQ,'Detail Cab By Tgl'!AC$29)</f>
        <v>0</v>
      </c>
      <c r="AD103" s="94">
        <f>SUMIFS(DB!$AC:$AC,DB!$E:$E,'Detail Cab By Tgl'!$B103,DB!$AP:$AP,'Detail Cab By Tgl'!$D103,DB!$AT:$AT,"ALDA",DB!$AQ:$AQ,'Detail Cab By Tgl'!AD$29)</f>
        <v>0</v>
      </c>
      <c r="AE103" s="94">
        <f>SUMIFS(DB!$AC:$AC,DB!$E:$E,'Detail Cab By Tgl'!$B103,DB!$AP:$AP,'Detail Cab By Tgl'!$D103,DB!$AT:$AT,"ALDA",DB!$AQ:$AQ,'Detail Cab By Tgl'!AE$29)</f>
        <v>0</v>
      </c>
      <c r="AF103" s="94">
        <f>SUMIFS(DB!$AC:$AC,DB!$E:$E,'Detail Cab By Tgl'!$B103,DB!$AP:$AP,'Detail Cab By Tgl'!$D103,DB!$AT:$AT,"ALDA",DB!$AQ:$AQ,'Detail Cab By Tgl'!AF$29)</f>
        <v>0</v>
      </c>
      <c r="AG103" s="94">
        <f>SUMIFS(DB!$AC:$AC,DB!$E:$E,'Detail Cab By Tgl'!$B103,DB!$AP:$AP,'Detail Cab By Tgl'!$D103,DB!$AT:$AT,"ALDA",DB!$AQ:$AQ,'Detail Cab By Tgl'!AG$29)</f>
        <v>0</v>
      </c>
      <c r="AH103" s="94">
        <f>SUMIFS(DB!$AC:$AC,DB!$E:$E,'Detail Cab By Tgl'!$B103,DB!$AP:$AP,'Detail Cab By Tgl'!$D103,DB!$AT:$AT,"ALDA",DB!$AQ:$AQ,'Detail Cab By Tgl'!AH$29)</f>
        <v>0</v>
      </c>
      <c r="AI103" s="95">
        <f>SUMIFS(DB!$AC:$AC,DB!$E:$E,'Detail Cab By Tgl'!$B103,DB!$AP:$AP,'Detail Cab By Tgl'!$D103,DB!$AT:$AT,"ALDA",DB!$AQ:$AQ,'Detail Cab By Tgl'!AI$29)</f>
        <v>0</v>
      </c>
      <c r="AJ103" s="176">
        <f t="shared" si="9"/>
        <v>0</v>
      </c>
    </row>
    <row r="104" spans="2:36" x14ac:dyDescent="0.3">
      <c r="B104" s="321" t="s">
        <v>5</v>
      </c>
      <c r="C104" s="322" t="s">
        <v>233</v>
      </c>
      <c r="D104" s="106" t="s">
        <v>344</v>
      </c>
      <c r="E104" s="93">
        <f>SUMIFS(DB!$AC:$AC,DB!$E:$E,'Detail Cab By Tgl'!$B104,DB!$AP:$AP,'Detail Cab By Tgl'!$D104,DB!$AT:$AT,"ALDA",DB!$AQ:$AQ,'Detail Cab By Tgl'!E$29)</f>
        <v>0</v>
      </c>
      <c r="F104" s="94">
        <f>SUMIFS(DB!$AC:$AC,DB!$E:$E,'Detail Cab By Tgl'!$B104,DB!$AP:$AP,'Detail Cab By Tgl'!$D104,DB!$AT:$AT,"ALDA",DB!$AQ:$AQ,'Detail Cab By Tgl'!F$29)</f>
        <v>0</v>
      </c>
      <c r="G104" s="94">
        <f>SUMIFS(DB!$AC:$AC,DB!$E:$E,'Detail Cab By Tgl'!$B104,DB!$AP:$AP,'Detail Cab By Tgl'!$D104,DB!$AT:$AT,"ALDA",DB!$AQ:$AQ,'Detail Cab By Tgl'!G$29)</f>
        <v>1394780</v>
      </c>
      <c r="H104" s="94">
        <f>SUMIFS(DB!$AC:$AC,DB!$E:$E,'Detail Cab By Tgl'!$B104,DB!$AP:$AP,'Detail Cab By Tgl'!$D104,DB!$AT:$AT,"ALDA",DB!$AQ:$AQ,'Detail Cab By Tgl'!H$29)</f>
        <v>0</v>
      </c>
      <c r="I104" s="94">
        <f>SUMIFS(DB!$AC:$AC,DB!$E:$E,'Detail Cab By Tgl'!$B104,DB!$AP:$AP,'Detail Cab By Tgl'!$D104,DB!$AT:$AT,"ALDA",DB!$AQ:$AQ,'Detail Cab By Tgl'!I$29)</f>
        <v>0</v>
      </c>
      <c r="J104" s="94">
        <f>SUMIFS(DB!$AC:$AC,DB!$E:$E,'Detail Cab By Tgl'!$B104,DB!$AP:$AP,'Detail Cab By Tgl'!$D104,DB!$AT:$AT,"ALDA",DB!$AQ:$AQ,'Detail Cab By Tgl'!J$29)</f>
        <v>0</v>
      </c>
      <c r="K104" s="94">
        <f>SUMIFS(DB!$AC:$AC,DB!$E:$E,'Detail Cab By Tgl'!$B104,DB!$AP:$AP,'Detail Cab By Tgl'!$D104,DB!$AT:$AT,"ALDA",DB!$AQ:$AQ,'Detail Cab By Tgl'!K$29)</f>
        <v>0</v>
      </c>
      <c r="L104" s="94">
        <f>SUMIFS(DB!$AC:$AC,DB!$E:$E,'Detail Cab By Tgl'!$B104,DB!$AP:$AP,'Detail Cab By Tgl'!$D104,DB!$AT:$AT,"ALDA",DB!$AQ:$AQ,'Detail Cab By Tgl'!L$29)</f>
        <v>0</v>
      </c>
      <c r="M104" s="94">
        <f>SUMIFS(DB!$AC:$AC,DB!$E:$E,'Detail Cab By Tgl'!$B104,DB!$AP:$AP,'Detail Cab By Tgl'!$D104,DB!$AT:$AT,"ALDA",DB!$AQ:$AQ,'Detail Cab By Tgl'!M$29)</f>
        <v>0</v>
      </c>
      <c r="N104" s="94">
        <f>SUMIFS(DB!$AC:$AC,DB!$E:$E,'Detail Cab By Tgl'!$B104,DB!$AP:$AP,'Detail Cab By Tgl'!$D104,DB!$AT:$AT,"ALDA",DB!$AQ:$AQ,'Detail Cab By Tgl'!N$29)</f>
        <v>0</v>
      </c>
      <c r="O104" s="94">
        <f>SUMIFS(DB!$AC:$AC,DB!$E:$E,'Detail Cab By Tgl'!$B104,DB!$AP:$AP,'Detail Cab By Tgl'!$D104,DB!$AT:$AT,"ALDA",DB!$AQ:$AQ,'Detail Cab By Tgl'!O$29)</f>
        <v>0</v>
      </c>
      <c r="P104" s="94">
        <f>SUMIFS(DB!$AC:$AC,DB!$E:$E,'Detail Cab By Tgl'!$B104,DB!$AP:$AP,'Detail Cab By Tgl'!$D104,DB!$AT:$AT,"ALDA",DB!$AQ:$AQ,'Detail Cab By Tgl'!P$29)</f>
        <v>0</v>
      </c>
      <c r="Q104" s="94">
        <f>SUMIFS(DB!$AC:$AC,DB!$E:$E,'Detail Cab By Tgl'!$B104,DB!$AP:$AP,'Detail Cab By Tgl'!$D104,DB!$AT:$AT,"ALDA",DB!$AQ:$AQ,'Detail Cab By Tgl'!Q$29)</f>
        <v>0</v>
      </c>
      <c r="R104" s="94">
        <f>SUMIFS(DB!$AC:$AC,DB!$E:$E,'Detail Cab By Tgl'!$B104,DB!$AP:$AP,'Detail Cab By Tgl'!$D104,DB!$AT:$AT,"ALDA",DB!$AQ:$AQ,'Detail Cab By Tgl'!R$29)</f>
        <v>0</v>
      </c>
      <c r="S104" s="94">
        <f>SUMIFS(DB!$AC:$AC,DB!$E:$E,'Detail Cab By Tgl'!$B104,DB!$AP:$AP,'Detail Cab By Tgl'!$D104,DB!$AT:$AT,"ALDA",DB!$AQ:$AQ,'Detail Cab By Tgl'!S$29)</f>
        <v>0</v>
      </c>
      <c r="T104" s="94">
        <f>SUMIFS(DB!$AC:$AC,DB!$E:$E,'Detail Cab By Tgl'!$B104,DB!$AP:$AP,'Detail Cab By Tgl'!$D104,DB!$AT:$AT,"ALDA",DB!$AQ:$AQ,'Detail Cab By Tgl'!T$29)</f>
        <v>0</v>
      </c>
      <c r="U104" s="94">
        <f>SUMIFS(DB!$AC:$AC,DB!$E:$E,'Detail Cab By Tgl'!$B104,DB!$AP:$AP,'Detail Cab By Tgl'!$D104,DB!$AT:$AT,"ALDA",DB!$AQ:$AQ,'Detail Cab By Tgl'!U$29)</f>
        <v>0</v>
      </c>
      <c r="V104" s="94">
        <f>SUMIFS(DB!$AC:$AC,DB!$E:$E,'Detail Cab By Tgl'!$B104,DB!$AP:$AP,'Detail Cab By Tgl'!$D104,DB!$AT:$AT,"ALDA",DB!$AQ:$AQ,'Detail Cab By Tgl'!V$29)</f>
        <v>0</v>
      </c>
      <c r="W104" s="94">
        <f>SUMIFS(DB!$AC:$AC,DB!$E:$E,'Detail Cab By Tgl'!$B104,DB!$AP:$AP,'Detail Cab By Tgl'!$D104,DB!$AT:$AT,"ALDA",DB!$AQ:$AQ,'Detail Cab By Tgl'!W$29)</f>
        <v>0</v>
      </c>
      <c r="X104" s="94">
        <f>SUMIFS(DB!$AC:$AC,DB!$E:$E,'Detail Cab By Tgl'!$B104,DB!$AP:$AP,'Detail Cab By Tgl'!$D104,DB!$AT:$AT,"ALDA",DB!$AQ:$AQ,'Detail Cab By Tgl'!X$29)</f>
        <v>0</v>
      </c>
      <c r="Y104" s="94">
        <f>SUMIFS(DB!$AC:$AC,DB!$E:$E,'Detail Cab By Tgl'!$B104,DB!$AP:$AP,'Detail Cab By Tgl'!$D104,DB!$AT:$AT,"ALDA",DB!$AQ:$AQ,'Detail Cab By Tgl'!Y$29)</f>
        <v>0</v>
      </c>
      <c r="Z104" s="94">
        <f>SUMIFS(DB!$AC:$AC,DB!$E:$E,'Detail Cab By Tgl'!$B104,DB!$AP:$AP,'Detail Cab By Tgl'!$D104,DB!$AT:$AT,"ALDA",DB!$AQ:$AQ,'Detail Cab By Tgl'!Z$29)</f>
        <v>0</v>
      </c>
      <c r="AA104" s="94">
        <f>SUMIFS(DB!$AC:$AC,DB!$E:$E,'Detail Cab By Tgl'!$B104,DB!$AP:$AP,'Detail Cab By Tgl'!$D104,DB!$AT:$AT,"ALDA",DB!$AQ:$AQ,'Detail Cab By Tgl'!AA$29)</f>
        <v>0</v>
      </c>
      <c r="AB104" s="94">
        <f>SUMIFS(DB!$AC:$AC,DB!$E:$E,'Detail Cab By Tgl'!$B104,DB!$AP:$AP,'Detail Cab By Tgl'!$D104,DB!$AT:$AT,"ALDA",DB!$AQ:$AQ,'Detail Cab By Tgl'!AB$29)</f>
        <v>0</v>
      </c>
      <c r="AC104" s="94">
        <f>SUMIFS(DB!$AC:$AC,DB!$E:$E,'Detail Cab By Tgl'!$B104,DB!$AP:$AP,'Detail Cab By Tgl'!$D104,DB!$AT:$AT,"ALDA",DB!$AQ:$AQ,'Detail Cab By Tgl'!AC$29)</f>
        <v>0</v>
      </c>
      <c r="AD104" s="94">
        <f>SUMIFS(DB!$AC:$AC,DB!$E:$E,'Detail Cab By Tgl'!$B104,DB!$AP:$AP,'Detail Cab By Tgl'!$D104,DB!$AT:$AT,"ALDA",DB!$AQ:$AQ,'Detail Cab By Tgl'!AD$29)</f>
        <v>0</v>
      </c>
      <c r="AE104" s="94">
        <f>SUMIFS(DB!$AC:$AC,DB!$E:$E,'Detail Cab By Tgl'!$B104,DB!$AP:$AP,'Detail Cab By Tgl'!$D104,DB!$AT:$AT,"ALDA",DB!$AQ:$AQ,'Detail Cab By Tgl'!AE$29)</f>
        <v>0</v>
      </c>
      <c r="AF104" s="94">
        <f>SUMIFS(DB!$AC:$AC,DB!$E:$E,'Detail Cab By Tgl'!$B104,DB!$AP:$AP,'Detail Cab By Tgl'!$D104,DB!$AT:$AT,"ALDA",DB!$AQ:$AQ,'Detail Cab By Tgl'!AF$29)</f>
        <v>0</v>
      </c>
      <c r="AG104" s="94">
        <f>SUMIFS(DB!$AC:$AC,DB!$E:$E,'Detail Cab By Tgl'!$B104,DB!$AP:$AP,'Detail Cab By Tgl'!$D104,DB!$AT:$AT,"ALDA",DB!$AQ:$AQ,'Detail Cab By Tgl'!AG$29)</f>
        <v>0</v>
      </c>
      <c r="AH104" s="94">
        <f>SUMIFS(DB!$AC:$AC,DB!$E:$E,'Detail Cab By Tgl'!$B104,DB!$AP:$AP,'Detail Cab By Tgl'!$D104,DB!$AT:$AT,"ALDA",DB!$AQ:$AQ,'Detail Cab By Tgl'!AH$29)</f>
        <v>0</v>
      </c>
      <c r="AI104" s="95">
        <f>SUMIFS(DB!$AC:$AC,DB!$E:$E,'Detail Cab By Tgl'!$B104,DB!$AP:$AP,'Detail Cab By Tgl'!$D104,DB!$AT:$AT,"ALDA",DB!$AQ:$AQ,'Detail Cab By Tgl'!AI$29)</f>
        <v>0</v>
      </c>
      <c r="AJ104" s="176">
        <f t="shared" si="9"/>
        <v>1394780</v>
      </c>
    </row>
    <row r="105" spans="2:36" x14ac:dyDescent="0.3">
      <c r="B105" s="321" t="s">
        <v>5</v>
      </c>
      <c r="C105" s="322" t="s">
        <v>233</v>
      </c>
      <c r="D105" s="106" t="s">
        <v>234</v>
      </c>
      <c r="E105" s="93">
        <f>SUMIFS(DB!$AC:$AC,DB!$E:$E,'Detail Cab By Tgl'!$B105,DB!$AP:$AP,'Detail Cab By Tgl'!$D105,DB!$AT:$AT,"ALDA",DB!$AQ:$AQ,'Detail Cab By Tgl'!E$29)</f>
        <v>0</v>
      </c>
      <c r="F105" s="94">
        <f>SUMIFS(DB!$AC:$AC,DB!$E:$E,'Detail Cab By Tgl'!$B105,DB!$AP:$AP,'Detail Cab By Tgl'!$D105,DB!$AT:$AT,"ALDA",DB!$AQ:$AQ,'Detail Cab By Tgl'!F$29)</f>
        <v>0</v>
      </c>
      <c r="G105" s="94">
        <f>SUMIFS(DB!$AC:$AC,DB!$E:$E,'Detail Cab By Tgl'!$B105,DB!$AP:$AP,'Detail Cab By Tgl'!$D105,DB!$AT:$AT,"ALDA",DB!$AQ:$AQ,'Detail Cab By Tgl'!G$29)</f>
        <v>0</v>
      </c>
      <c r="H105" s="94">
        <f>SUMIFS(DB!$AC:$AC,DB!$E:$E,'Detail Cab By Tgl'!$B105,DB!$AP:$AP,'Detail Cab By Tgl'!$D105,DB!$AT:$AT,"ALDA",DB!$AQ:$AQ,'Detail Cab By Tgl'!H$29)</f>
        <v>0</v>
      </c>
      <c r="I105" s="94">
        <f>SUMIFS(DB!$AC:$AC,DB!$E:$E,'Detail Cab By Tgl'!$B105,DB!$AP:$AP,'Detail Cab By Tgl'!$D105,DB!$AT:$AT,"ALDA",DB!$AQ:$AQ,'Detail Cab By Tgl'!I$29)</f>
        <v>0</v>
      </c>
      <c r="J105" s="94">
        <f>SUMIFS(DB!$AC:$AC,DB!$E:$E,'Detail Cab By Tgl'!$B105,DB!$AP:$AP,'Detail Cab By Tgl'!$D105,DB!$AT:$AT,"ALDA",DB!$AQ:$AQ,'Detail Cab By Tgl'!J$29)</f>
        <v>0</v>
      </c>
      <c r="K105" s="94">
        <f>SUMIFS(DB!$AC:$AC,DB!$E:$E,'Detail Cab By Tgl'!$B105,DB!$AP:$AP,'Detail Cab By Tgl'!$D105,DB!$AT:$AT,"ALDA",DB!$AQ:$AQ,'Detail Cab By Tgl'!K$29)</f>
        <v>0</v>
      </c>
      <c r="L105" s="94">
        <f>SUMIFS(DB!$AC:$AC,DB!$E:$E,'Detail Cab By Tgl'!$B105,DB!$AP:$AP,'Detail Cab By Tgl'!$D105,DB!$AT:$AT,"ALDA",DB!$AQ:$AQ,'Detail Cab By Tgl'!L$29)</f>
        <v>0</v>
      </c>
      <c r="M105" s="94">
        <f>SUMIFS(DB!$AC:$AC,DB!$E:$E,'Detail Cab By Tgl'!$B105,DB!$AP:$AP,'Detail Cab By Tgl'!$D105,DB!$AT:$AT,"ALDA",DB!$AQ:$AQ,'Detail Cab By Tgl'!M$29)</f>
        <v>0</v>
      </c>
      <c r="N105" s="94">
        <f>SUMIFS(DB!$AC:$AC,DB!$E:$E,'Detail Cab By Tgl'!$B105,DB!$AP:$AP,'Detail Cab By Tgl'!$D105,DB!$AT:$AT,"ALDA",DB!$AQ:$AQ,'Detail Cab By Tgl'!N$29)</f>
        <v>0</v>
      </c>
      <c r="O105" s="94">
        <f>SUMIFS(DB!$AC:$AC,DB!$E:$E,'Detail Cab By Tgl'!$B105,DB!$AP:$AP,'Detail Cab By Tgl'!$D105,DB!$AT:$AT,"ALDA",DB!$AQ:$AQ,'Detail Cab By Tgl'!O$29)</f>
        <v>0</v>
      </c>
      <c r="P105" s="94">
        <f>SUMIFS(DB!$AC:$AC,DB!$E:$E,'Detail Cab By Tgl'!$B105,DB!$AP:$AP,'Detail Cab By Tgl'!$D105,DB!$AT:$AT,"ALDA",DB!$AQ:$AQ,'Detail Cab By Tgl'!P$29)</f>
        <v>0</v>
      </c>
      <c r="Q105" s="94">
        <f>SUMIFS(DB!$AC:$AC,DB!$E:$E,'Detail Cab By Tgl'!$B105,DB!$AP:$AP,'Detail Cab By Tgl'!$D105,DB!$AT:$AT,"ALDA",DB!$AQ:$AQ,'Detail Cab By Tgl'!Q$29)</f>
        <v>0</v>
      </c>
      <c r="R105" s="94">
        <f>SUMIFS(DB!$AC:$AC,DB!$E:$E,'Detail Cab By Tgl'!$B105,DB!$AP:$AP,'Detail Cab By Tgl'!$D105,DB!$AT:$AT,"ALDA",DB!$AQ:$AQ,'Detail Cab By Tgl'!R$29)</f>
        <v>0</v>
      </c>
      <c r="S105" s="94">
        <f>SUMIFS(DB!$AC:$AC,DB!$E:$E,'Detail Cab By Tgl'!$B105,DB!$AP:$AP,'Detail Cab By Tgl'!$D105,DB!$AT:$AT,"ALDA",DB!$AQ:$AQ,'Detail Cab By Tgl'!S$29)</f>
        <v>0</v>
      </c>
      <c r="T105" s="94">
        <f>SUMIFS(DB!$AC:$AC,DB!$E:$E,'Detail Cab By Tgl'!$B105,DB!$AP:$AP,'Detail Cab By Tgl'!$D105,DB!$AT:$AT,"ALDA",DB!$AQ:$AQ,'Detail Cab By Tgl'!T$29)</f>
        <v>0</v>
      </c>
      <c r="U105" s="94">
        <f>SUMIFS(DB!$AC:$AC,DB!$E:$E,'Detail Cab By Tgl'!$B105,DB!$AP:$AP,'Detail Cab By Tgl'!$D105,DB!$AT:$AT,"ALDA",DB!$AQ:$AQ,'Detail Cab By Tgl'!U$29)</f>
        <v>0</v>
      </c>
      <c r="V105" s="94">
        <f>SUMIFS(DB!$AC:$AC,DB!$E:$E,'Detail Cab By Tgl'!$B105,DB!$AP:$AP,'Detail Cab By Tgl'!$D105,DB!$AT:$AT,"ALDA",DB!$AQ:$AQ,'Detail Cab By Tgl'!V$29)</f>
        <v>0</v>
      </c>
      <c r="W105" s="94">
        <f>SUMIFS(DB!$AC:$AC,DB!$E:$E,'Detail Cab By Tgl'!$B105,DB!$AP:$AP,'Detail Cab By Tgl'!$D105,DB!$AT:$AT,"ALDA",DB!$AQ:$AQ,'Detail Cab By Tgl'!W$29)</f>
        <v>0</v>
      </c>
      <c r="X105" s="94">
        <f>SUMIFS(DB!$AC:$AC,DB!$E:$E,'Detail Cab By Tgl'!$B105,DB!$AP:$AP,'Detail Cab By Tgl'!$D105,DB!$AT:$AT,"ALDA",DB!$AQ:$AQ,'Detail Cab By Tgl'!X$29)</f>
        <v>0</v>
      </c>
      <c r="Y105" s="94">
        <f>SUMIFS(DB!$AC:$AC,DB!$E:$E,'Detail Cab By Tgl'!$B105,DB!$AP:$AP,'Detail Cab By Tgl'!$D105,DB!$AT:$AT,"ALDA",DB!$AQ:$AQ,'Detail Cab By Tgl'!Y$29)</f>
        <v>0</v>
      </c>
      <c r="Z105" s="94">
        <f>SUMIFS(DB!$AC:$AC,DB!$E:$E,'Detail Cab By Tgl'!$B105,DB!$AP:$AP,'Detail Cab By Tgl'!$D105,DB!$AT:$AT,"ALDA",DB!$AQ:$AQ,'Detail Cab By Tgl'!Z$29)</f>
        <v>0</v>
      </c>
      <c r="AA105" s="94">
        <f>SUMIFS(DB!$AC:$AC,DB!$E:$E,'Detail Cab By Tgl'!$B105,DB!$AP:$AP,'Detail Cab By Tgl'!$D105,DB!$AT:$AT,"ALDA",DB!$AQ:$AQ,'Detail Cab By Tgl'!AA$29)</f>
        <v>0</v>
      </c>
      <c r="AB105" s="94">
        <f>SUMIFS(DB!$AC:$AC,DB!$E:$E,'Detail Cab By Tgl'!$B105,DB!$AP:$AP,'Detail Cab By Tgl'!$D105,DB!$AT:$AT,"ALDA",DB!$AQ:$AQ,'Detail Cab By Tgl'!AB$29)</f>
        <v>0</v>
      </c>
      <c r="AC105" s="94">
        <f>SUMIFS(DB!$AC:$AC,DB!$E:$E,'Detail Cab By Tgl'!$B105,DB!$AP:$AP,'Detail Cab By Tgl'!$D105,DB!$AT:$AT,"ALDA",DB!$AQ:$AQ,'Detail Cab By Tgl'!AC$29)</f>
        <v>0</v>
      </c>
      <c r="AD105" s="94">
        <f>SUMIFS(DB!$AC:$AC,DB!$E:$E,'Detail Cab By Tgl'!$B105,DB!$AP:$AP,'Detail Cab By Tgl'!$D105,DB!$AT:$AT,"ALDA",DB!$AQ:$AQ,'Detail Cab By Tgl'!AD$29)</f>
        <v>0</v>
      </c>
      <c r="AE105" s="94">
        <f>SUMIFS(DB!$AC:$AC,DB!$E:$E,'Detail Cab By Tgl'!$B105,DB!$AP:$AP,'Detail Cab By Tgl'!$D105,DB!$AT:$AT,"ALDA",DB!$AQ:$AQ,'Detail Cab By Tgl'!AE$29)</f>
        <v>0</v>
      </c>
      <c r="AF105" s="94">
        <f>SUMIFS(DB!$AC:$AC,DB!$E:$E,'Detail Cab By Tgl'!$B105,DB!$AP:$AP,'Detail Cab By Tgl'!$D105,DB!$AT:$AT,"ALDA",DB!$AQ:$AQ,'Detail Cab By Tgl'!AF$29)</f>
        <v>0</v>
      </c>
      <c r="AG105" s="94">
        <f>SUMIFS(DB!$AC:$AC,DB!$E:$E,'Detail Cab By Tgl'!$B105,DB!$AP:$AP,'Detail Cab By Tgl'!$D105,DB!$AT:$AT,"ALDA",DB!$AQ:$AQ,'Detail Cab By Tgl'!AG$29)</f>
        <v>0</v>
      </c>
      <c r="AH105" s="94">
        <f>SUMIFS(DB!$AC:$AC,DB!$E:$E,'Detail Cab By Tgl'!$B105,DB!$AP:$AP,'Detail Cab By Tgl'!$D105,DB!$AT:$AT,"ALDA",DB!$AQ:$AQ,'Detail Cab By Tgl'!AH$29)</f>
        <v>0</v>
      </c>
      <c r="AI105" s="95">
        <f>SUMIFS(DB!$AC:$AC,DB!$E:$E,'Detail Cab By Tgl'!$B105,DB!$AP:$AP,'Detail Cab By Tgl'!$D105,DB!$AT:$AT,"ALDA",DB!$AQ:$AQ,'Detail Cab By Tgl'!AI$29)</f>
        <v>0</v>
      </c>
      <c r="AJ105" s="176">
        <f t="shared" si="9"/>
        <v>0</v>
      </c>
    </row>
    <row r="106" spans="2:36" x14ac:dyDescent="0.3">
      <c r="B106" s="321" t="s">
        <v>5</v>
      </c>
      <c r="C106" s="322" t="s">
        <v>233</v>
      </c>
      <c r="D106" s="106" t="s">
        <v>41</v>
      </c>
      <c r="E106" s="93">
        <f>SUMIFS(DB!$AC:$AC,DB!$E:$E,'Detail Cab By Tgl'!$B106,DB!$AP:$AP,'Detail Cab By Tgl'!$D106,DB!$AT:$AT,"ALDA",DB!$AQ:$AQ,'Detail Cab By Tgl'!E$29)</f>
        <v>0</v>
      </c>
      <c r="F106" s="94">
        <f>SUMIFS(DB!$AC:$AC,DB!$E:$E,'Detail Cab By Tgl'!$B106,DB!$AP:$AP,'Detail Cab By Tgl'!$D106,DB!$AT:$AT,"ALDA",DB!$AQ:$AQ,'Detail Cab By Tgl'!F$29)</f>
        <v>0</v>
      </c>
      <c r="G106" s="94">
        <f>SUMIFS(DB!$AC:$AC,DB!$E:$E,'Detail Cab By Tgl'!$B106,DB!$AP:$AP,'Detail Cab By Tgl'!$D106,DB!$AT:$AT,"ALDA",DB!$AQ:$AQ,'Detail Cab By Tgl'!G$29)</f>
        <v>0</v>
      </c>
      <c r="H106" s="94">
        <f>SUMIFS(DB!$AC:$AC,DB!$E:$E,'Detail Cab By Tgl'!$B106,DB!$AP:$AP,'Detail Cab By Tgl'!$D106,DB!$AT:$AT,"ALDA",DB!$AQ:$AQ,'Detail Cab By Tgl'!H$29)</f>
        <v>0</v>
      </c>
      <c r="I106" s="94">
        <f>SUMIFS(DB!$AC:$AC,DB!$E:$E,'Detail Cab By Tgl'!$B106,DB!$AP:$AP,'Detail Cab By Tgl'!$D106,DB!$AT:$AT,"ALDA",DB!$AQ:$AQ,'Detail Cab By Tgl'!I$29)</f>
        <v>0</v>
      </c>
      <c r="J106" s="94">
        <f>SUMIFS(DB!$AC:$AC,DB!$E:$E,'Detail Cab By Tgl'!$B106,DB!$AP:$AP,'Detail Cab By Tgl'!$D106,DB!$AT:$AT,"ALDA",DB!$AQ:$AQ,'Detail Cab By Tgl'!J$29)</f>
        <v>0</v>
      </c>
      <c r="K106" s="94">
        <f>SUMIFS(DB!$AC:$AC,DB!$E:$E,'Detail Cab By Tgl'!$B106,DB!$AP:$AP,'Detail Cab By Tgl'!$D106,DB!$AT:$AT,"ALDA",DB!$AQ:$AQ,'Detail Cab By Tgl'!K$29)</f>
        <v>0</v>
      </c>
      <c r="L106" s="94">
        <f>SUMIFS(DB!$AC:$AC,DB!$E:$E,'Detail Cab By Tgl'!$B106,DB!$AP:$AP,'Detail Cab By Tgl'!$D106,DB!$AT:$AT,"ALDA",DB!$AQ:$AQ,'Detail Cab By Tgl'!L$29)</f>
        <v>0</v>
      </c>
      <c r="M106" s="94">
        <f>SUMIFS(DB!$AC:$AC,DB!$E:$E,'Detail Cab By Tgl'!$B106,DB!$AP:$AP,'Detail Cab By Tgl'!$D106,DB!$AT:$AT,"ALDA",DB!$AQ:$AQ,'Detail Cab By Tgl'!M$29)</f>
        <v>0</v>
      </c>
      <c r="N106" s="94">
        <f>SUMIFS(DB!$AC:$AC,DB!$E:$E,'Detail Cab By Tgl'!$B106,DB!$AP:$AP,'Detail Cab By Tgl'!$D106,DB!$AT:$AT,"ALDA",DB!$AQ:$AQ,'Detail Cab By Tgl'!N$29)</f>
        <v>0</v>
      </c>
      <c r="O106" s="94">
        <f>SUMIFS(DB!$AC:$AC,DB!$E:$E,'Detail Cab By Tgl'!$B106,DB!$AP:$AP,'Detail Cab By Tgl'!$D106,DB!$AT:$AT,"ALDA",DB!$AQ:$AQ,'Detail Cab By Tgl'!O$29)</f>
        <v>0</v>
      </c>
      <c r="P106" s="94">
        <f>SUMIFS(DB!$AC:$AC,DB!$E:$E,'Detail Cab By Tgl'!$B106,DB!$AP:$AP,'Detail Cab By Tgl'!$D106,DB!$AT:$AT,"ALDA",DB!$AQ:$AQ,'Detail Cab By Tgl'!P$29)</f>
        <v>0</v>
      </c>
      <c r="Q106" s="94">
        <f>SUMIFS(DB!$AC:$AC,DB!$E:$E,'Detail Cab By Tgl'!$B106,DB!$AP:$AP,'Detail Cab By Tgl'!$D106,DB!$AT:$AT,"ALDA",DB!$AQ:$AQ,'Detail Cab By Tgl'!Q$29)</f>
        <v>0</v>
      </c>
      <c r="R106" s="94">
        <f>SUMIFS(DB!$AC:$AC,DB!$E:$E,'Detail Cab By Tgl'!$B106,DB!$AP:$AP,'Detail Cab By Tgl'!$D106,DB!$AT:$AT,"ALDA",DB!$AQ:$AQ,'Detail Cab By Tgl'!R$29)</f>
        <v>0</v>
      </c>
      <c r="S106" s="94">
        <f>SUMIFS(DB!$AC:$AC,DB!$E:$E,'Detail Cab By Tgl'!$B106,DB!$AP:$AP,'Detail Cab By Tgl'!$D106,DB!$AT:$AT,"ALDA",DB!$AQ:$AQ,'Detail Cab By Tgl'!S$29)</f>
        <v>0</v>
      </c>
      <c r="T106" s="94">
        <f>SUMIFS(DB!$AC:$AC,DB!$E:$E,'Detail Cab By Tgl'!$B106,DB!$AP:$AP,'Detail Cab By Tgl'!$D106,DB!$AT:$AT,"ALDA",DB!$AQ:$AQ,'Detail Cab By Tgl'!T$29)</f>
        <v>0</v>
      </c>
      <c r="U106" s="94">
        <f>SUMIFS(DB!$AC:$AC,DB!$E:$E,'Detail Cab By Tgl'!$B106,DB!$AP:$AP,'Detail Cab By Tgl'!$D106,DB!$AT:$AT,"ALDA",DB!$AQ:$AQ,'Detail Cab By Tgl'!U$29)</f>
        <v>0</v>
      </c>
      <c r="V106" s="94">
        <f>SUMIFS(DB!$AC:$AC,DB!$E:$E,'Detail Cab By Tgl'!$B106,DB!$AP:$AP,'Detail Cab By Tgl'!$D106,DB!$AT:$AT,"ALDA",DB!$AQ:$AQ,'Detail Cab By Tgl'!V$29)</f>
        <v>0</v>
      </c>
      <c r="W106" s="94">
        <f>SUMIFS(DB!$AC:$AC,DB!$E:$E,'Detail Cab By Tgl'!$B106,DB!$AP:$AP,'Detail Cab By Tgl'!$D106,DB!$AT:$AT,"ALDA",DB!$AQ:$AQ,'Detail Cab By Tgl'!W$29)</f>
        <v>0</v>
      </c>
      <c r="X106" s="94">
        <f>SUMIFS(DB!$AC:$AC,DB!$E:$E,'Detail Cab By Tgl'!$B106,DB!$AP:$AP,'Detail Cab By Tgl'!$D106,DB!$AT:$AT,"ALDA",DB!$AQ:$AQ,'Detail Cab By Tgl'!X$29)</f>
        <v>0</v>
      </c>
      <c r="Y106" s="94">
        <f>SUMIFS(DB!$AC:$AC,DB!$E:$E,'Detail Cab By Tgl'!$B106,DB!$AP:$AP,'Detail Cab By Tgl'!$D106,DB!$AT:$AT,"ALDA",DB!$AQ:$AQ,'Detail Cab By Tgl'!Y$29)</f>
        <v>0</v>
      </c>
      <c r="Z106" s="94">
        <f>SUMIFS(DB!$AC:$AC,DB!$E:$E,'Detail Cab By Tgl'!$B106,DB!$AP:$AP,'Detail Cab By Tgl'!$D106,DB!$AT:$AT,"ALDA",DB!$AQ:$AQ,'Detail Cab By Tgl'!Z$29)</f>
        <v>0</v>
      </c>
      <c r="AA106" s="94">
        <f>SUMIFS(DB!$AC:$AC,DB!$E:$E,'Detail Cab By Tgl'!$B106,DB!$AP:$AP,'Detail Cab By Tgl'!$D106,DB!$AT:$AT,"ALDA",DB!$AQ:$AQ,'Detail Cab By Tgl'!AA$29)</f>
        <v>0</v>
      </c>
      <c r="AB106" s="94">
        <f>SUMIFS(DB!$AC:$AC,DB!$E:$E,'Detail Cab By Tgl'!$B106,DB!$AP:$AP,'Detail Cab By Tgl'!$D106,DB!$AT:$AT,"ALDA",DB!$AQ:$AQ,'Detail Cab By Tgl'!AB$29)</f>
        <v>0</v>
      </c>
      <c r="AC106" s="94">
        <f>SUMIFS(DB!$AC:$AC,DB!$E:$E,'Detail Cab By Tgl'!$B106,DB!$AP:$AP,'Detail Cab By Tgl'!$D106,DB!$AT:$AT,"ALDA",DB!$AQ:$AQ,'Detail Cab By Tgl'!AC$29)</f>
        <v>0</v>
      </c>
      <c r="AD106" s="94">
        <f>SUMIFS(DB!$AC:$AC,DB!$E:$E,'Detail Cab By Tgl'!$B106,DB!$AP:$AP,'Detail Cab By Tgl'!$D106,DB!$AT:$AT,"ALDA",DB!$AQ:$AQ,'Detail Cab By Tgl'!AD$29)</f>
        <v>0</v>
      </c>
      <c r="AE106" s="94">
        <f>SUMIFS(DB!$AC:$AC,DB!$E:$E,'Detail Cab By Tgl'!$B106,DB!$AP:$AP,'Detail Cab By Tgl'!$D106,DB!$AT:$AT,"ALDA",DB!$AQ:$AQ,'Detail Cab By Tgl'!AE$29)</f>
        <v>0</v>
      </c>
      <c r="AF106" s="94">
        <f>SUMIFS(DB!$AC:$AC,DB!$E:$E,'Detail Cab By Tgl'!$B106,DB!$AP:$AP,'Detail Cab By Tgl'!$D106,DB!$AT:$AT,"ALDA",DB!$AQ:$AQ,'Detail Cab By Tgl'!AF$29)</f>
        <v>0</v>
      </c>
      <c r="AG106" s="94">
        <f>SUMIFS(DB!$AC:$AC,DB!$E:$E,'Detail Cab By Tgl'!$B106,DB!$AP:$AP,'Detail Cab By Tgl'!$D106,DB!$AT:$AT,"ALDA",DB!$AQ:$AQ,'Detail Cab By Tgl'!AG$29)</f>
        <v>0</v>
      </c>
      <c r="AH106" s="94">
        <f>SUMIFS(DB!$AC:$AC,DB!$E:$E,'Detail Cab By Tgl'!$B106,DB!$AP:$AP,'Detail Cab By Tgl'!$D106,DB!$AT:$AT,"ALDA",DB!$AQ:$AQ,'Detail Cab By Tgl'!AH$29)</f>
        <v>0</v>
      </c>
      <c r="AI106" s="95">
        <f>SUMIFS(DB!$AC:$AC,DB!$E:$E,'Detail Cab By Tgl'!$B106,DB!$AP:$AP,'Detail Cab By Tgl'!$D106,DB!$AT:$AT,"ALDA",DB!$AQ:$AQ,'Detail Cab By Tgl'!AI$29)</f>
        <v>0</v>
      </c>
      <c r="AJ106" s="176">
        <f t="shared" si="9"/>
        <v>0</v>
      </c>
    </row>
    <row r="107" spans="2:36" x14ac:dyDescent="0.3">
      <c r="B107" s="321" t="s">
        <v>5</v>
      </c>
      <c r="C107" s="322" t="s">
        <v>233</v>
      </c>
      <c r="D107" s="106" t="s">
        <v>388</v>
      </c>
      <c r="E107" s="93">
        <f>SUMIFS(DB!$AC:$AC,DB!$E:$E,'Detail Cab By Tgl'!$B107,DB!$AP:$AP,'Detail Cab By Tgl'!$D107,DB!$AT:$AT,"ALDA",DB!$AQ:$AQ,'Detail Cab By Tgl'!E$29)</f>
        <v>0</v>
      </c>
      <c r="F107" s="94">
        <f>SUMIFS(DB!$AC:$AC,DB!$E:$E,'Detail Cab By Tgl'!$B107,DB!$AP:$AP,'Detail Cab By Tgl'!$D107,DB!$AT:$AT,"ALDA",DB!$AQ:$AQ,'Detail Cab By Tgl'!F$29)</f>
        <v>0</v>
      </c>
      <c r="G107" s="94">
        <f>SUMIFS(DB!$AC:$AC,DB!$E:$E,'Detail Cab By Tgl'!$B107,DB!$AP:$AP,'Detail Cab By Tgl'!$D107,DB!$AT:$AT,"ALDA",DB!$AQ:$AQ,'Detail Cab By Tgl'!G$29)</f>
        <v>0</v>
      </c>
      <c r="H107" s="94">
        <f>SUMIFS(DB!$AC:$AC,DB!$E:$E,'Detail Cab By Tgl'!$B107,DB!$AP:$AP,'Detail Cab By Tgl'!$D107,DB!$AT:$AT,"ALDA",DB!$AQ:$AQ,'Detail Cab By Tgl'!H$29)</f>
        <v>0</v>
      </c>
      <c r="I107" s="94">
        <f>SUMIFS(DB!$AC:$AC,DB!$E:$E,'Detail Cab By Tgl'!$B107,DB!$AP:$AP,'Detail Cab By Tgl'!$D107,DB!$AT:$AT,"ALDA",DB!$AQ:$AQ,'Detail Cab By Tgl'!I$29)</f>
        <v>0</v>
      </c>
      <c r="J107" s="94">
        <f>SUMIFS(DB!$AC:$AC,DB!$E:$E,'Detail Cab By Tgl'!$B107,DB!$AP:$AP,'Detail Cab By Tgl'!$D107,DB!$AT:$AT,"ALDA",DB!$AQ:$AQ,'Detail Cab By Tgl'!J$29)</f>
        <v>0</v>
      </c>
      <c r="K107" s="94">
        <f>SUMIFS(DB!$AC:$AC,DB!$E:$E,'Detail Cab By Tgl'!$B107,DB!$AP:$AP,'Detail Cab By Tgl'!$D107,DB!$AT:$AT,"ALDA",DB!$AQ:$AQ,'Detail Cab By Tgl'!K$29)</f>
        <v>0</v>
      </c>
      <c r="L107" s="94">
        <f>SUMIFS(DB!$AC:$AC,DB!$E:$E,'Detail Cab By Tgl'!$B107,DB!$AP:$AP,'Detail Cab By Tgl'!$D107,DB!$AT:$AT,"ALDA",DB!$AQ:$AQ,'Detail Cab By Tgl'!L$29)</f>
        <v>0</v>
      </c>
      <c r="M107" s="94">
        <f>SUMIFS(DB!$AC:$AC,DB!$E:$E,'Detail Cab By Tgl'!$B107,DB!$AP:$AP,'Detail Cab By Tgl'!$D107,DB!$AT:$AT,"ALDA",DB!$AQ:$AQ,'Detail Cab By Tgl'!M$29)</f>
        <v>0</v>
      </c>
      <c r="N107" s="94">
        <f>SUMIFS(DB!$AC:$AC,DB!$E:$E,'Detail Cab By Tgl'!$B107,DB!$AP:$AP,'Detail Cab By Tgl'!$D107,DB!$AT:$AT,"ALDA",DB!$AQ:$AQ,'Detail Cab By Tgl'!N$29)</f>
        <v>0</v>
      </c>
      <c r="O107" s="94">
        <f>SUMIFS(DB!$AC:$AC,DB!$E:$E,'Detail Cab By Tgl'!$B107,DB!$AP:$AP,'Detail Cab By Tgl'!$D107,DB!$AT:$AT,"ALDA",DB!$AQ:$AQ,'Detail Cab By Tgl'!O$29)</f>
        <v>0</v>
      </c>
      <c r="P107" s="94">
        <f>SUMIFS(DB!$AC:$AC,DB!$E:$E,'Detail Cab By Tgl'!$B107,DB!$AP:$AP,'Detail Cab By Tgl'!$D107,DB!$AT:$AT,"ALDA",DB!$AQ:$AQ,'Detail Cab By Tgl'!P$29)</f>
        <v>0</v>
      </c>
      <c r="Q107" s="94">
        <f>SUMIFS(DB!$AC:$AC,DB!$E:$E,'Detail Cab By Tgl'!$B107,DB!$AP:$AP,'Detail Cab By Tgl'!$D107,DB!$AT:$AT,"ALDA",DB!$AQ:$AQ,'Detail Cab By Tgl'!Q$29)</f>
        <v>0</v>
      </c>
      <c r="R107" s="94">
        <f>SUMIFS(DB!$AC:$AC,DB!$E:$E,'Detail Cab By Tgl'!$B107,DB!$AP:$AP,'Detail Cab By Tgl'!$D107,DB!$AT:$AT,"ALDA",DB!$AQ:$AQ,'Detail Cab By Tgl'!R$29)</f>
        <v>0</v>
      </c>
      <c r="S107" s="94">
        <f>SUMIFS(DB!$AC:$AC,DB!$E:$E,'Detail Cab By Tgl'!$B107,DB!$AP:$AP,'Detail Cab By Tgl'!$D107,DB!$AT:$AT,"ALDA",DB!$AQ:$AQ,'Detail Cab By Tgl'!S$29)</f>
        <v>0</v>
      </c>
      <c r="T107" s="94">
        <f>SUMIFS(DB!$AC:$AC,DB!$E:$E,'Detail Cab By Tgl'!$B107,DB!$AP:$AP,'Detail Cab By Tgl'!$D107,DB!$AT:$AT,"ALDA",DB!$AQ:$AQ,'Detail Cab By Tgl'!T$29)</f>
        <v>0</v>
      </c>
      <c r="U107" s="94">
        <f>SUMIFS(DB!$AC:$AC,DB!$E:$E,'Detail Cab By Tgl'!$B107,DB!$AP:$AP,'Detail Cab By Tgl'!$D107,DB!$AT:$AT,"ALDA",DB!$AQ:$AQ,'Detail Cab By Tgl'!U$29)</f>
        <v>0</v>
      </c>
      <c r="V107" s="94">
        <f>SUMIFS(DB!$AC:$AC,DB!$E:$E,'Detail Cab By Tgl'!$B107,DB!$AP:$AP,'Detail Cab By Tgl'!$D107,DB!$AT:$AT,"ALDA",DB!$AQ:$AQ,'Detail Cab By Tgl'!V$29)</f>
        <v>0</v>
      </c>
      <c r="W107" s="94">
        <f>SUMIFS(DB!$AC:$AC,DB!$E:$E,'Detail Cab By Tgl'!$B107,DB!$AP:$AP,'Detail Cab By Tgl'!$D107,DB!$AT:$AT,"ALDA",DB!$AQ:$AQ,'Detail Cab By Tgl'!W$29)</f>
        <v>0</v>
      </c>
      <c r="X107" s="94">
        <f>SUMIFS(DB!$AC:$AC,DB!$E:$E,'Detail Cab By Tgl'!$B107,DB!$AP:$AP,'Detail Cab By Tgl'!$D107,DB!$AT:$AT,"ALDA",DB!$AQ:$AQ,'Detail Cab By Tgl'!X$29)</f>
        <v>0</v>
      </c>
      <c r="Y107" s="94">
        <f>SUMIFS(DB!$AC:$AC,DB!$E:$E,'Detail Cab By Tgl'!$B107,DB!$AP:$AP,'Detail Cab By Tgl'!$D107,DB!$AT:$AT,"ALDA",DB!$AQ:$AQ,'Detail Cab By Tgl'!Y$29)</f>
        <v>0</v>
      </c>
      <c r="Z107" s="94">
        <f>SUMIFS(DB!$AC:$AC,DB!$E:$E,'Detail Cab By Tgl'!$B107,DB!$AP:$AP,'Detail Cab By Tgl'!$D107,DB!$AT:$AT,"ALDA",DB!$AQ:$AQ,'Detail Cab By Tgl'!Z$29)</f>
        <v>0</v>
      </c>
      <c r="AA107" s="94">
        <f>SUMIFS(DB!$AC:$AC,DB!$E:$E,'Detail Cab By Tgl'!$B107,DB!$AP:$AP,'Detail Cab By Tgl'!$D107,DB!$AT:$AT,"ALDA",DB!$AQ:$AQ,'Detail Cab By Tgl'!AA$29)</f>
        <v>0</v>
      </c>
      <c r="AB107" s="94">
        <f>SUMIFS(DB!$AC:$AC,DB!$E:$E,'Detail Cab By Tgl'!$B107,DB!$AP:$AP,'Detail Cab By Tgl'!$D107,DB!$AT:$AT,"ALDA",DB!$AQ:$AQ,'Detail Cab By Tgl'!AB$29)</f>
        <v>0</v>
      </c>
      <c r="AC107" s="94">
        <f>SUMIFS(DB!$AC:$AC,DB!$E:$E,'Detail Cab By Tgl'!$B107,DB!$AP:$AP,'Detail Cab By Tgl'!$D107,DB!$AT:$AT,"ALDA",DB!$AQ:$AQ,'Detail Cab By Tgl'!AC$29)</f>
        <v>0</v>
      </c>
      <c r="AD107" s="94">
        <f>SUMIFS(DB!$AC:$AC,DB!$E:$E,'Detail Cab By Tgl'!$B107,DB!$AP:$AP,'Detail Cab By Tgl'!$D107,DB!$AT:$AT,"ALDA",DB!$AQ:$AQ,'Detail Cab By Tgl'!AD$29)</f>
        <v>0</v>
      </c>
      <c r="AE107" s="94">
        <f>SUMIFS(DB!$AC:$AC,DB!$E:$E,'Detail Cab By Tgl'!$B107,DB!$AP:$AP,'Detail Cab By Tgl'!$D107,DB!$AT:$AT,"ALDA",DB!$AQ:$AQ,'Detail Cab By Tgl'!AE$29)</f>
        <v>0</v>
      </c>
      <c r="AF107" s="94">
        <f>SUMIFS(DB!$AC:$AC,DB!$E:$E,'Detail Cab By Tgl'!$B107,DB!$AP:$AP,'Detail Cab By Tgl'!$D107,DB!$AT:$AT,"ALDA",DB!$AQ:$AQ,'Detail Cab By Tgl'!AF$29)</f>
        <v>0</v>
      </c>
      <c r="AG107" s="94">
        <f>SUMIFS(DB!$AC:$AC,DB!$E:$E,'Detail Cab By Tgl'!$B107,DB!$AP:$AP,'Detail Cab By Tgl'!$D107,DB!$AT:$AT,"ALDA",DB!$AQ:$AQ,'Detail Cab By Tgl'!AG$29)</f>
        <v>0</v>
      </c>
      <c r="AH107" s="94">
        <f>SUMIFS(DB!$AC:$AC,DB!$E:$E,'Detail Cab By Tgl'!$B107,DB!$AP:$AP,'Detail Cab By Tgl'!$D107,DB!$AT:$AT,"ALDA",DB!$AQ:$AQ,'Detail Cab By Tgl'!AH$29)</f>
        <v>0</v>
      </c>
      <c r="AI107" s="95">
        <f>SUMIFS(DB!$AC:$AC,DB!$E:$E,'Detail Cab By Tgl'!$B107,DB!$AP:$AP,'Detail Cab By Tgl'!$D107,DB!$AT:$AT,"ALDA",DB!$AQ:$AQ,'Detail Cab By Tgl'!AI$29)</f>
        <v>0</v>
      </c>
      <c r="AJ107" s="176">
        <f t="shared" si="9"/>
        <v>0</v>
      </c>
    </row>
    <row r="108" spans="2:36" x14ac:dyDescent="0.3">
      <c r="B108" s="321" t="s">
        <v>5</v>
      </c>
      <c r="C108" s="322" t="s">
        <v>233</v>
      </c>
      <c r="D108" s="106" t="s">
        <v>560</v>
      </c>
      <c r="E108" s="93">
        <f>SUMIFS(DB!$AC:$AC,DB!$E:$E,'Detail Cab By Tgl'!$B108,DB!$AP:$AP,'Detail Cab By Tgl'!$D108,DB!$AT:$AT,"ALDA",DB!$AQ:$AQ,'Detail Cab By Tgl'!E$29)</f>
        <v>0</v>
      </c>
      <c r="F108" s="94">
        <f>SUMIFS(DB!$AC:$AC,DB!$E:$E,'Detail Cab By Tgl'!$B108,DB!$AP:$AP,'Detail Cab By Tgl'!$D108,DB!$AT:$AT,"ALDA",DB!$AQ:$AQ,'Detail Cab By Tgl'!F$29)</f>
        <v>0</v>
      </c>
      <c r="G108" s="94">
        <f>SUMIFS(DB!$AC:$AC,DB!$E:$E,'Detail Cab By Tgl'!$B108,DB!$AP:$AP,'Detail Cab By Tgl'!$D108,DB!$AT:$AT,"ALDA",DB!$AQ:$AQ,'Detail Cab By Tgl'!G$29)</f>
        <v>0</v>
      </c>
      <c r="H108" s="94">
        <f>SUMIFS(DB!$AC:$AC,DB!$E:$E,'Detail Cab By Tgl'!$B108,DB!$AP:$AP,'Detail Cab By Tgl'!$D108,DB!$AT:$AT,"ALDA",DB!$AQ:$AQ,'Detail Cab By Tgl'!H$29)</f>
        <v>0</v>
      </c>
      <c r="I108" s="94">
        <f>SUMIFS(DB!$AC:$AC,DB!$E:$E,'Detail Cab By Tgl'!$B108,DB!$AP:$AP,'Detail Cab By Tgl'!$D108,DB!$AT:$AT,"ALDA",DB!$AQ:$AQ,'Detail Cab By Tgl'!I$29)</f>
        <v>0</v>
      </c>
      <c r="J108" s="94">
        <f>SUMIFS(DB!$AC:$AC,DB!$E:$E,'Detail Cab By Tgl'!$B108,DB!$AP:$AP,'Detail Cab By Tgl'!$D108,DB!$AT:$AT,"ALDA",DB!$AQ:$AQ,'Detail Cab By Tgl'!J$29)</f>
        <v>0</v>
      </c>
      <c r="K108" s="94">
        <f>SUMIFS(DB!$AC:$AC,DB!$E:$E,'Detail Cab By Tgl'!$B108,DB!$AP:$AP,'Detail Cab By Tgl'!$D108,DB!$AT:$AT,"ALDA",DB!$AQ:$AQ,'Detail Cab By Tgl'!K$29)</f>
        <v>0</v>
      </c>
      <c r="L108" s="94">
        <f>SUMIFS(DB!$AC:$AC,DB!$E:$E,'Detail Cab By Tgl'!$B108,DB!$AP:$AP,'Detail Cab By Tgl'!$D108,DB!$AT:$AT,"ALDA",DB!$AQ:$AQ,'Detail Cab By Tgl'!L$29)</f>
        <v>0</v>
      </c>
      <c r="M108" s="94">
        <f>SUMIFS(DB!$AC:$AC,DB!$E:$E,'Detail Cab By Tgl'!$B108,DB!$AP:$AP,'Detail Cab By Tgl'!$D108,DB!$AT:$AT,"ALDA",DB!$AQ:$AQ,'Detail Cab By Tgl'!M$29)</f>
        <v>0</v>
      </c>
      <c r="N108" s="94">
        <f>SUMIFS(DB!$AC:$AC,DB!$E:$E,'Detail Cab By Tgl'!$B108,DB!$AP:$AP,'Detail Cab By Tgl'!$D108,DB!$AT:$AT,"ALDA",DB!$AQ:$AQ,'Detail Cab By Tgl'!N$29)</f>
        <v>0</v>
      </c>
      <c r="O108" s="94">
        <f>SUMIFS(DB!$AC:$AC,DB!$E:$E,'Detail Cab By Tgl'!$B108,DB!$AP:$AP,'Detail Cab By Tgl'!$D108,DB!$AT:$AT,"ALDA",DB!$AQ:$AQ,'Detail Cab By Tgl'!O$29)</f>
        <v>0</v>
      </c>
      <c r="P108" s="94">
        <f>SUMIFS(DB!$AC:$AC,DB!$E:$E,'Detail Cab By Tgl'!$B108,DB!$AP:$AP,'Detail Cab By Tgl'!$D108,DB!$AT:$AT,"ALDA",DB!$AQ:$AQ,'Detail Cab By Tgl'!P$29)</f>
        <v>0</v>
      </c>
      <c r="Q108" s="94">
        <f>SUMIFS(DB!$AC:$AC,DB!$E:$E,'Detail Cab By Tgl'!$B108,DB!$AP:$AP,'Detail Cab By Tgl'!$D108,DB!$AT:$AT,"ALDA",DB!$AQ:$AQ,'Detail Cab By Tgl'!Q$29)</f>
        <v>0</v>
      </c>
      <c r="R108" s="94">
        <f>SUMIFS(DB!$AC:$AC,DB!$E:$E,'Detail Cab By Tgl'!$B108,DB!$AP:$AP,'Detail Cab By Tgl'!$D108,DB!$AT:$AT,"ALDA",DB!$AQ:$AQ,'Detail Cab By Tgl'!R$29)</f>
        <v>0</v>
      </c>
      <c r="S108" s="94">
        <f>SUMIFS(DB!$AC:$AC,DB!$E:$E,'Detail Cab By Tgl'!$B108,DB!$AP:$AP,'Detail Cab By Tgl'!$D108,DB!$AT:$AT,"ALDA",DB!$AQ:$AQ,'Detail Cab By Tgl'!S$29)</f>
        <v>0</v>
      </c>
      <c r="T108" s="94">
        <f>SUMIFS(DB!$AC:$AC,DB!$E:$E,'Detail Cab By Tgl'!$B108,DB!$AP:$AP,'Detail Cab By Tgl'!$D108,DB!$AT:$AT,"ALDA",DB!$AQ:$AQ,'Detail Cab By Tgl'!T$29)</f>
        <v>0</v>
      </c>
      <c r="U108" s="94">
        <f>SUMIFS(DB!$AC:$AC,DB!$E:$E,'Detail Cab By Tgl'!$B108,DB!$AP:$AP,'Detail Cab By Tgl'!$D108,DB!$AT:$AT,"ALDA",DB!$AQ:$AQ,'Detail Cab By Tgl'!U$29)</f>
        <v>0</v>
      </c>
      <c r="V108" s="94">
        <f>SUMIFS(DB!$AC:$AC,DB!$E:$E,'Detail Cab By Tgl'!$B108,DB!$AP:$AP,'Detail Cab By Tgl'!$D108,DB!$AT:$AT,"ALDA",DB!$AQ:$AQ,'Detail Cab By Tgl'!V$29)</f>
        <v>0</v>
      </c>
      <c r="W108" s="94">
        <f>SUMIFS(DB!$AC:$AC,DB!$E:$E,'Detail Cab By Tgl'!$B108,DB!$AP:$AP,'Detail Cab By Tgl'!$D108,DB!$AT:$AT,"ALDA",DB!$AQ:$AQ,'Detail Cab By Tgl'!W$29)</f>
        <v>0</v>
      </c>
      <c r="X108" s="94">
        <f>SUMIFS(DB!$AC:$AC,DB!$E:$E,'Detail Cab By Tgl'!$B108,DB!$AP:$AP,'Detail Cab By Tgl'!$D108,DB!$AT:$AT,"ALDA",DB!$AQ:$AQ,'Detail Cab By Tgl'!X$29)</f>
        <v>0</v>
      </c>
      <c r="Y108" s="94">
        <f>SUMIFS(DB!$AC:$AC,DB!$E:$E,'Detail Cab By Tgl'!$B108,DB!$AP:$AP,'Detail Cab By Tgl'!$D108,DB!$AT:$AT,"ALDA",DB!$AQ:$AQ,'Detail Cab By Tgl'!Y$29)</f>
        <v>0</v>
      </c>
      <c r="Z108" s="94">
        <f>SUMIFS(DB!$AC:$AC,DB!$E:$E,'Detail Cab By Tgl'!$B108,DB!$AP:$AP,'Detail Cab By Tgl'!$D108,DB!$AT:$AT,"ALDA",DB!$AQ:$AQ,'Detail Cab By Tgl'!Z$29)</f>
        <v>0</v>
      </c>
      <c r="AA108" s="94">
        <f>SUMIFS(DB!$AC:$AC,DB!$E:$E,'Detail Cab By Tgl'!$B108,DB!$AP:$AP,'Detail Cab By Tgl'!$D108,DB!$AT:$AT,"ALDA",DB!$AQ:$AQ,'Detail Cab By Tgl'!AA$29)</f>
        <v>0</v>
      </c>
      <c r="AB108" s="94">
        <f>SUMIFS(DB!$AC:$AC,DB!$E:$E,'Detail Cab By Tgl'!$B108,DB!$AP:$AP,'Detail Cab By Tgl'!$D108,DB!$AT:$AT,"ALDA",DB!$AQ:$AQ,'Detail Cab By Tgl'!AB$29)</f>
        <v>0</v>
      </c>
      <c r="AC108" s="94">
        <f>SUMIFS(DB!$AC:$AC,DB!$E:$E,'Detail Cab By Tgl'!$B108,DB!$AP:$AP,'Detail Cab By Tgl'!$D108,DB!$AT:$AT,"ALDA",DB!$AQ:$AQ,'Detail Cab By Tgl'!AC$29)</f>
        <v>0</v>
      </c>
      <c r="AD108" s="94">
        <f>SUMIFS(DB!$AC:$AC,DB!$E:$E,'Detail Cab By Tgl'!$B108,DB!$AP:$AP,'Detail Cab By Tgl'!$D108,DB!$AT:$AT,"ALDA",DB!$AQ:$AQ,'Detail Cab By Tgl'!AD$29)</f>
        <v>0</v>
      </c>
      <c r="AE108" s="94">
        <f>SUMIFS(DB!$AC:$AC,DB!$E:$E,'Detail Cab By Tgl'!$B108,DB!$AP:$AP,'Detail Cab By Tgl'!$D108,DB!$AT:$AT,"ALDA",DB!$AQ:$AQ,'Detail Cab By Tgl'!AE$29)</f>
        <v>0</v>
      </c>
      <c r="AF108" s="94">
        <f>SUMIFS(DB!$AC:$AC,DB!$E:$E,'Detail Cab By Tgl'!$B108,DB!$AP:$AP,'Detail Cab By Tgl'!$D108,DB!$AT:$AT,"ALDA",DB!$AQ:$AQ,'Detail Cab By Tgl'!AF$29)</f>
        <v>0</v>
      </c>
      <c r="AG108" s="94">
        <f>SUMIFS(DB!$AC:$AC,DB!$E:$E,'Detail Cab By Tgl'!$B108,DB!$AP:$AP,'Detail Cab By Tgl'!$D108,DB!$AT:$AT,"ALDA",DB!$AQ:$AQ,'Detail Cab By Tgl'!AG$29)</f>
        <v>0</v>
      </c>
      <c r="AH108" s="94">
        <f>SUMIFS(DB!$AC:$AC,DB!$E:$E,'Detail Cab By Tgl'!$B108,DB!$AP:$AP,'Detail Cab By Tgl'!$D108,DB!$AT:$AT,"ALDA",DB!$AQ:$AQ,'Detail Cab By Tgl'!AH$29)</f>
        <v>0</v>
      </c>
      <c r="AI108" s="95">
        <f>SUMIFS(DB!$AC:$AC,DB!$E:$E,'Detail Cab By Tgl'!$B108,DB!$AP:$AP,'Detail Cab By Tgl'!$D108,DB!$AT:$AT,"ALDA",DB!$AQ:$AQ,'Detail Cab By Tgl'!AI$29)</f>
        <v>0</v>
      </c>
      <c r="AJ108" s="176">
        <f t="shared" si="9"/>
        <v>0</v>
      </c>
    </row>
    <row r="109" spans="2:36" x14ac:dyDescent="0.3">
      <c r="B109" s="321" t="s">
        <v>5</v>
      </c>
      <c r="C109" s="322" t="s">
        <v>295</v>
      </c>
      <c r="D109" s="106" t="s">
        <v>199</v>
      </c>
      <c r="E109" s="93">
        <f>SUMIFS(DB!$AC:$AC,DB!$E:$E,'Detail Cab By Tgl'!$B109,DB!$AP:$AP,'Detail Cab By Tgl'!$D109,DB!$AT:$AT,"ALDA",DB!$AQ:$AQ,'Detail Cab By Tgl'!E$29)</f>
        <v>0</v>
      </c>
      <c r="F109" s="94">
        <f>SUMIFS(DB!$AC:$AC,DB!$E:$E,'Detail Cab By Tgl'!$B109,DB!$AP:$AP,'Detail Cab By Tgl'!$D109,DB!$AT:$AT,"ALDA",DB!$AQ:$AQ,'Detail Cab By Tgl'!F$29)</f>
        <v>0</v>
      </c>
      <c r="G109" s="94">
        <f>SUMIFS(DB!$AC:$AC,DB!$E:$E,'Detail Cab By Tgl'!$B109,DB!$AP:$AP,'Detail Cab By Tgl'!$D109,DB!$AT:$AT,"ALDA",DB!$AQ:$AQ,'Detail Cab By Tgl'!G$29)</f>
        <v>0</v>
      </c>
      <c r="H109" s="94">
        <f>SUMIFS(DB!$AC:$AC,DB!$E:$E,'Detail Cab By Tgl'!$B109,DB!$AP:$AP,'Detail Cab By Tgl'!$D109,DB!$AT:$AT,"ALDA",DB!$AQ:$AQ,'Detail Cab By Tgl'!H$29)</f>
        <v>0</v>
      </c>
      <c r="I109" s="94">
        <f>SUMIFS(DB!$AC:$AC,DB!$E:$E,'Detail Cab By Tgl'!$B109,DB!$AP:$AP,'Detail Cab By Tgl'!$D109,DB!$AT:$AT,"ALDA",DB!$AQ:$AQ,'Detail Cab By Tgl'!I$29)</f>
        <v>0</v>
      </c>
      <c r="J109" s="94">
        <f>SUMIFS(DB!$AC:$AC,DB!$E:$E,'Detail Cab By Tgl'!$B109,DB!$AP:$AP,'Detail Cab By Tgl'!$D109,DB!$AT:$AT,"ALDA",DB!$AQ:$AQ,'Detail Cab By Tgl'!J$29)</f>
        <v>0</v>
      </c>
      <c r="K109" s="94">
        <f>SUMIFS(DB!$AC:$AC,DB!$E:$E,'Detail Cab By Tgl'!$B109,DB!$AP:$AP,'Detail Cab By Tgl'!$D109,DB!$AT:$AT,"ALDA",DB!$AQ:$AQ,'Detail Cab By Tgl'!K$29)</f>
        <v>0</v>
      </c>
      <c r="L109" s="94">
        <f>SUMIFS(DB!$AC:$AC,DB!$E:$E,'Detail Cab By Tgl'!$B109,DB!$AP:$AP,'Detail Cab By Tgl'!$D109,DB!$AT:$AT,"ALDA",DB!$AQ:$AQ,'Detail Cab By Tgl'!L$29)</f>
        <v>0</v>
      </c>
      <c r="M109" s="94">
        <f>SUMIFS(DB!$AC:$AC,DB!$E:$E,'Detail Cab By Tgl'!$B109,DB!$AP:$AP,'Detail Cab By Tgl'!$D109,DB!$AT:$AT,"ALDA",DB!$AQ:$AQ,'Detail Cab By Tgl'!M$29)</f>
        <v>0</v>
      </c>
      <c r="N109" s="94">
        <f>SUMIFS(DB!$AC:$AC,DB!$E:$E,'Detail Cab By Tgl'!$B109,DB!$AP:$AP,'Detail Cab By Tgl'!$D109,DB!$AT:$AT,"ALDA",DB!$AQ:$AQ,'Detail Cab By Tgl'!N$29)</f>
        <v>0</v>
      </c>
      <c r="O109" s="94">
        <f>SUMIFS(DB!$AC:$AC,DB!$E:$E,'Detail Cab By Tgl'!$B109,DB!$AP:$AP,'Detail Cab By Tgl'!$D109,DB!$AT:$AT,"ALDA",DB!$AQ:$AQ,'Detail Cab By Tgl'!O$29)</f>
        <v>0</v>
      </c>
      <c r="P109" s="94">
        <f>SUMIFS(DB!$AC:$AC,DB!$E:$E,'Detail Cab By Tgl'!$B109,DB!$AP:$AP,'Detail Cab By Tgl'!$D109,DB!$AT:$AT,"ALDA",DB!$AQ:$AQ,'Detail Cab By Tgl'!P$29)</f>
        <v>0</v>
      </c>
      <c r="Q109" s="94">
        <f>SUMIFS(DB!$AC:$AC,DB!$E:$E,'Detail Cab By Tgl'!$B109,DB!$AP:$AP,'Detail Cab By Tgl'!$D109,DB!$AT:$AT,"ALDA",DB!$AQ:$AQ,'Detail Cab By Tgl'!Q$29)</f>
        <v>0</v>
      </c>
      <c r="R109" s="94">
        <f>SUMIFS(DB!$AC:$AC,DB!$E:$E,'Detail Cab By Tgl'!$B109,DB!$AP:$AP,'Detail Cab By Tgl'!$D109,DB!$AT:$AT,"ALDA",DB!$AQ:$AQ,'Detail Cab By Tgl'!R$29)</f>
        <v>0</v>
      </c>
      <c r="S109" s="94">
        <f>SUMIFS(DB!$AC:$AC,DB!$E:$E,'Detail Cab By Tgl'!$B109,DB!$AP:$AP,'Detail Cab By Tgl'!$D109,DB!$AT:$AT,"ALDA",DB!$AQ:$AQ,'Detail Cab By Tgl'!S$29)</f>
        <v>0</v>
      </c>
      <c r="T109" s="94">
        <f>SUMIFS(DB!$AC:$AC,DB!$E:$E,'Detail Cab By Tgl'!$B109,DB!$AP:$AP,'Detail Cab By Tgl'!$D109,DB!$AT:$AT,"ALDA",DB!$AQ:$AQ,'Detail Cab By Tgl'!T$29)</f>
        <v>0</v>
      </c>
      <c r="U109" s="94">
        <f>SUMIFS(DB!$AC:$AC,DB!$E:$E,'Detail Cab By Tgl'!$B109,DB!$AP:$AP,'Detail Cab By Tgl'!$D109,DB!$AT:$AT,"ALDA",DB!$AQ:$AQ,'Detail Cab By Tgl'!U$29)</f>
        <v>0</v>
      </c>
      <c r="V109" s="94">
        <f>SUMIFS(DB!$AC:$AC,DB!$E:$E,'Detail Cab By Tgl'!$B109,DB!$AP:$AP,'Detail Cab By Tgl'!$D109,DB!$AT:$AT,"ALDA",DB!$AQ:$AQ,'Detail Cab By Tgl'!V$29)</f>
        <v>0</v>
      </c>
      <c r="W109" s="94">
        <f>SUMIFS(DB!$AC:$AC,DB!$E:$E,'Detail Cab By Tgl'!$B109,DB!$AP:$AP,'Detail Cab By Tgl'!$D109,DB!$AT:$AT,"ALDA",DB!$AQ:$AQ,'Detail Cab By Tgl'!W$29)</f>
        <v>0</v>
      </c>
      <c r="X109" s="94">
        <f>SUMIFS(DB!$AC:$AC,DB!$E:$E,'Detail Cab By Tgl'!$B109,DB!$AP:$AP,'Detail Cab By Tgl'!$D109,DB!$AT:$AT,"ALDA",DB!$AQ:$AQ,'Detail Cab By Tgl'!X$29)</f>
        <v>0</v>
      </c>
      <c r="Y109" s="94">
        <f>SUMIFS(DB!$AC:$AC,DB!$E:$E,'Detail Cab By Tgl'!$B109,DB!$AP:$AP,'Detail Cab By Tgl'!$D109,DB!$AT:$AT,"ALDA",DB!$AQ:$AQ,'Detail Cab By Tgl'!Y$29)</f>
        <v>0</v>
      </c>
      <c r="Z109" s="94">
        <f>SUMIFS(DB!$AC:$AC,DB!$E:$E,'Detail Cab By Tgl'!$B109,DB!$AP:$AP,'Detail Cab By Tgl'!$D109,DB!$AT:$AT,"ALDA",DB!$AQ:$AQ,'Detail Cab By Tgl'!Z$29)</f>
        <v>0</v>
      </c>
      <c r="AA109" s="94">
        <f>SUMIFS(DB!$AC:$AC,DB!$E:$E,'Detail Cab By Tgl'!$B109,DB!$AP:$AP,'Detail Cab By Tgl'!$D109,DB!$AT:$AT,"ALDA",DB!$AQ:$AQ,'Detail Cab By Tgl'!AA$29)</f>
        <v>0</v>
      </c>
      <c r="AB109" s="94">
        <f>SUMIFS(DB!$AC:$AC,DB!$E:$E,'Detail Cab By Tgl'!$B109,DB!$AP:$AP,'Detail Cab By Tgl'!$D109,DB!$AT:$AT,"ALDA",DB!$AQ:$AQ,'Detail Cab By Tgl'!AB$29)</f>
        <v>0</v>
      </c>
      <c r="AC109" s="94">
        <f>SUMIFS(DB!$AC:$AC,DB!$E:$E,'Detail Cab By Tgl'!$B109,DB!$AP:$AP,'Detail Cab By Tgl'!$D109,DB!$AT:$AT,"ALDA",DB!$AQ:$AQ,'Detail Cab By Tgl'!AC$29)</f>
        <v>0</v>
      </c>
      <c r="AD109" s="94">
        <f>SUMIFS(DB!$AC:$AC,DB!$E:$E,'Detail Cab By Tgl'!$B109,DB!$AP:$AP,'Detail Cab By Tgl'!$D109,DB!$AT:$AT,"ALDA",DB!$AQ:$AQ,'Detail Cab By Tgl'!AD$29)</f>
        <v>0</v>
      </c>
      <c r="AE109" s="94">
        <f>SUMIFS(DB!$AC:$AC,DB!$E:$E,'Detail Cab By Tgl'!$B109,DB!$AP:$AP,'Detail Cab By Tgl'!$D109,DB!$AT:$AT,"ALDA",DB!$AQ:$AQ,'Detail Cab By Tgl'!AE$29)</f>
        <v>0</v>
      </c>
      <c r="AF109" s="94">
        <f>SUMIFS(DB!$AC:$AC,DB!$E:$E,'Detail Cab By Tgl'!$B109,DB!$AP:$AP,'Detail Cab By Tgl'!$D109,DB!$AT:$AT,"ALDA",DB!$AQ:$AQ,'Detail Cab By Tgl'!AF$29)</f>
        <v>0</v>
      </c>
      <c r="AG109" s="94">
        <f>SUMIFS(DB!$AC:$AC,DB!$E:$E,'Detail Cab By Tgl'!$B109,DB!$AP:$AP,'Detail Cab By Tgl'!$D109,DB!$AT:$AT,"ALDA",DB!$AQ:$AQ,'Detail Cab By Tgl'!AG$29)</f>
        <v>0</v>
      </c>
      <c r="AH109" s="94">
        <f>SUMIFS(DB!$AC:$AC,DB!$E:$E,'Detail Cab By Tgl'!$B109,DB!$AP:$AP,'Detail Cab By Tgl'!$D109,DB!$AT:$AT,"ALDA",DB!$AQ:$AQ,'Detail Cab By Tgl'!AH$29)</f>
        <v>0</v>
      </c>
      <c r="AI109" s="95">
        <f>SUMIFS(DB!$AC:$AC,DB!$E:$E,'Detail Cab By Tgl'!$B109,DB!$AP:$AP,'Detail Cab By Tgl'!$D109,DB!$AT:$AT,"ALDA",DB!$AQ:$AQ,'Detail Cab By Tgl'!AI$29)</f>
        <v>0</v>
      </c>
      <c r="AJ109" s="176">
        <f t="shared" si="9"/>
        <v>0</v>
      </c>
    </row>
    <row r="110" spans="2:36" x14ac:dyDescent="0.3">
      <c r="B110" s="321" t="s">
        <v>5</v>
      </c>
      <c r="C110" s="322" t="s">
        <v>295</v>
      </c>
      <c r="D110" s="106" t="s">
        <v>362</v>
      </c>
      <c r="E110" s="93">
        <f>SUMIFS(DB!$AC:$AC,DB!$E:$E,'Detail Cab By Tgl'!$B110,DB!$AP:$AP,'Detail Cab By Tgl'!$D110,DB!$AT:$AT,"ALDA",DB!$AQ:$AQ,'Detail Cab By Tgl'!E$29)</f>
        <v>0</v>
      </c>
      <c r="F110" s="94">
        <f>SUMIFS(DB!$AC:$AC,DB!$E:$E,'Detail Cab By Tgl'!$B110,DB!$AP:$AP,'Detail Cab By Tgl'!$D110,DB!$AT:$AT,"ALDA",DB!$AQ:$AQ,'Detail Cab By Tgl'!F$29)</f>
        <v>0</v>
      </c>
      <c r="G110" s="94">
        <f>SUMIFS(DB!$AC:$AC,DB!$E:$E,'Detail Cab By Tgl'!$B110,DB!$AP:$AP,'Detail Cab By Tgl'!$D110,DB!$AT:$AT,"ALDA",DB!$AQ:$AQ,'Detail Cab By Tgl'!G$29)</f>
        <v>0</v>
      </c>
      <c r="H110" s="94">
        <f>SUMIFS(DB!$AC:$AC,DB!$E:$E,'Detail Cab By Tgl'!$B110,DB!$AP:$AP,'Detail Cab By Tgl'!$D110,DB!$AT:$AT,"ALDA",DB!$AQ:$AQ,'Detail Cab By Tgl'!H$29)</f>
        <v>0</v>
      </c>
      <c r="I110" s="94">
        <f>SUMIFS(DB!$AC:$AC,DB!$E:$E,'Detail Cab By Tgl'!$B110,DB!$AP:$AP,'Detail Cab By Tgl'!$D110,DB!$AT:$AT,"ALDA",DB!$AQ:$AQ,'Detail Cab By Tgl'!I$29)</f>
        <v>0</v>
      </c>
      <c r="J110" s="94">
        <f>SUMIFS(DB!$AC:$AC,DB!$E:$E,'Detail Cab By Tgl'!$B110,DB!$AP:$AP,'Detail Cab By Tgl'!$D110,DB!$AT:$AT,"ALDA",DB!$AQ:$AQ,'Detail Cab By Tgl'!J$29)</f>
        <v>0</v>
      </c>
      <c r="K110" s="94">
        <f>SUMIFS(DB!$AC:$AC,DB!$E:$E,'Detail Cab By Tgl'!$B110,DB!$AP:$AP,'Detail Cab By Tgl'!$D110,DB!$AT:$AT,"ALDA",DB!$AQ:$AQ,'Detail Cab By Tgl'!K$29)</f>
        <v>0</v>
      </c>
      <c r="L110" s="94">
        <f>SUMIFS(DB!$AC:$AC,DB!$E:$E,'Detail Cab By Tgl'!$B110,DB!$AP:$AP,'Detail Cab By Tgl'!$D110,DB!$AT:$AT,"ALDA",DB!$AQ:$AQ,'Detail Cab By Tgl'!L$29)</f>
        <v>0</v>
      </c>
      <c r="M110" s="94">
        <f>SUMIFS(DB!$AC:$AC,DB!$E:$E,'Detail Cab By Tgl'!$B110,DB!$AP:$AP,'Detail Cab By Tgl'!$D110,DB!$AT:$AT,"ALDA",DB!$AQ:$AQ,'Detail Cab By Tgl'!M$29)</f>
        <v>0</v>
      </c>
      <c r="N110" s="94">
        <f>SUMIFS(DB!$AC:$AC,DB!$E:$E,'Detail Cab By Tgl'!$B110,DB!$AP:$AP,'Detail Cab By Tgl'!$D110,DB!$AT:$AT,"ALDA",DB!$AQ:$AQ,'Detail Cab By Tgl'!N$29)</f>
        <v>0</v>
      </c>
      <c r="O110" s="94">
        <f>SUMIFS(DB!$AC:$AC,DB!$E:$E,'Detail Cab By Tgl'!$B110,DB!$AP:$AP,'Detail Cab By Tgl'!$D110,DB!$AT:$AT,"ALDA",DB!$AQ:$AQ,'Detail Cab By Tgl'!O$29)</f>
        <v>0</v>
      </c>
      <c r="P110" s="94">
        <f>SUMIFS(DB!$AC:$AC,DB!$E:$E,'Detail Cab By Tgl'!$B110,DB!$AP:$AP,'Detail Cab By Tgl'!$D110,DB!$AT:$AT,"ALDA",DB!$AQ:$AQ,'Detail Cab By Tgl'!P$29)</f>
        <v>0</v>
      </c>
      <c r="Q110" s="94">
        <f>SUMIFS(DB!$AC:$AC,DB!$E:$E,'Detail Cab By Tgl'!$B110,DB!$AP:$AP,'Detail Cab By Tgl'!$D110,DB!$AT:$AT,"ALDA",DB!$AQ:$AQ,'Detail Cab By Tgl'!Q$29)</f>
        <v>0</v>
      </c>
      <c r="R110" s="94">
        <f>SUMIFS(DB!$AC:$AC,DB!$E:$E,'Detail Cab By Tgl'!$B110,DB!$AP:$AP,'Detail Cab By Tgl'!$D110,DB!$AT:$AT,"ALDA",DB!$AQ:$AQ,'Detail Cab By Tgl'!R$29)</f>
        <v>0</v>
      </c>
      <c r="S110" s="94">
        <f>SUMIFS(DB!$AC:$AC,DB!$E:$E,'Detail Cab By Tgl'!$B110,DB!$AP:$AP,'Detail Cab By Tgl'!$D110,DB!$AT:$AT,"ALDA",DB!$AQ:$AQ,'Detail Cab By Tgl'!S$29)</f>
        <v>0</v>
      </c>
      <c r="T110" s="94">
        <f>SUMIFS(DB!$AC:$AC,DB!$E:$E,'Detail Cab By Tgl'!$B110,DB!$AP:$AP,'Detail Cab By Tgl'!$D110,DB!$AT:$AT,"ALDA",DB!$AQ:$AQ,'Detail Cab By Tgl'!T$29)</f>
        <v>0</v>
      </c>
      <c r="U110" s="94">
        <f>SUMIFS(DB!$AC:$AC,DB!$E:$E,'Detail Cab By Tgl'!$B110,DB!$AP:$AP,'Detail Cab By Tgl'!$D110,DB!$AT:$AT,"ALDA",DB!$AQ:$AQ,'Detail Cab By Tgl'!U$29)</f>
        <v>0</v>
      </c>
      <c r="V110" s="94">
        <f>SUMIFS(DB!$AC:$AC,DB!$E:$E,'Detail Cab By Tgl'!$B110,DB!$AP:$AP,'Detail Cab By Tgl'!$D110,DB!$AT:$AT,"ALDA",DB!$AQ:$AQ,'Detail Cab By Tgl'!V$29)</f>
        <v>0</v>
      </c>
      <c r="W110" s="94">
        <f>SUMIFS(DB!$AC:$AC,DB!$E:$E,'Detail Cab By Tgl'!$B110,DB!$AP:$AP,'Detail Cab By Tgl'!$D110,DB!$AT:$AT,"ALDA",DB!$AQ:$AQ,'Detail Cab By Tgl'!W$29)</f>
        <v>0</v>
      </c>
      <c r="X110" s="94">
        <f>SUMIFS(DB!$AC:$AC,DB!$E:$E,'Detail Cab By Tgl'!$B110,DB!$AP:$AP,'Detail Cab By Tgl'!$D110,DB!$AT:$AT,"ALDA",DB!$AQ:$AQ,'Detail Cab By Tgl'!X$29)</f>
        <v>0</v>
      </c>
      <c r="Y110" s="94">
        <f>SUMIFS(DB!$AC:$AC,DB!$E:$E,'Detail Cab By Tgl'!$B110,DB!$AP:$AP,'Detail Cab By Tgl'!$D110,DB!$AT:$AT,"ALDA",DB!$AQ:$AQ,'Detail Cab By Tgl'!Y$29)</f>
        <v>0</v>
      </c>
      <c r="Z110" s="94">
        <f>SUMIFS(DB!$AC:$AC,DB!$E:$E,'Detail Cab By Tgl'!$B110,DB!$AP:$AP,'Detail Cab By Tgl'!$D110,DB!$AT:$AT,"ALDA",DB!$AQ:$AQ,'Detail Cab By Tgl'!Z$29)</f>
        <v>0</v>
      </c>
      <c r="AA110" s="94">
        <f>SUMIFS(DB!$AC:$AC,DB!$E:$E,'Detail Cab By Tgl'!$B110,DB!$AP:$AP,'Detail Cab By Tgl'!$D110,DB!$AT:$AT,"ALDA",DB!$AQ:$AQ,'Detail Cab By Tgl'!AA$29)</f>
        <v>0</v>
      </c>
      <c r="AB110" s="94">
        <f>SUMIFS(DB!$AC:$AC,DB!$E:$E,'Detail Cab By Tgl'!$B110,DB!$AP:$AP,'Detail Cab By Tgl'!$D110,DB!$AT:$AT,"ALDA",DB!$AQ:$AQ,'Detail Cab By Tgl'!AB$29)</f>
        <v>0</v>
      </c>
      <c r="AC110" s="94">
        <f>SUMIFS(DB!$AC:$AC,DB!$E:$E,'Detail Cab By Tgl'!$B110,DB!$AP:$AP,'Detail Cab By Tgl'!$D110,DB!$AT:$AT,"ALDA",DB!$AQ:$AQ,'Detail Cab By Tgl'!AC$29)</f>
        <v>0</v>
      </c>
      <c r="AD110" s="94">
        <f>SUMIFS(DB!$AC:$AC,DB!$E:$E,'Detail Cab By Tgl'!$B110,DB!$AP:$AP,'Detail Cab By Tgl'!$D110,DB!$AT:$AT,"ALDA",DB!$AQ:$AQ,'Detail Cab By Tgl'!AD$29)</f>
        <v>0</v>
      </c>
      <c r="AE110" s="94">
        <f>SUMIFS(DB!$AC:$AC,DB!$E:$E,'Detail Cab By Tgl'!$B110,DB!$AP:$AP,'Detail Cab By Tgl'!$D110,DB!$AT:$AT,"ALDA",DB!$AQ:$AQ,'Detail Cab By Tgl'!AE$29)</f>
        <v>0</v>
      </c>
      <c r="AF110" s="94">
        <f>SUMIFS(DB!$AC:$AC,DB!$E:$E,'Detail Cab By Tgl'!$B110,DB!$AP:$AP,'Detail Cab By Tgl'!$D110,DB!$AT:$AT,"ALDA",DB!$AQ:$AQ,'Detail Cab By Tgl'!AF$29)</f>
        <v>0</v>
      </c>
      <c r="AG110" s="94">
        <f>SUMIFS(DB!$AC:$AC,DB!$E:$E,'Detail Cab By Tgl'!$B110,DB!$AP:$AP,'Detail Cab By Tgl'!$D110,DB!$AT:$AT,"ALDA",DB!$AQ:$AQ,'Detail Cab By Tgl'!AG$29)</f>
        <v>0</v>
      </c>
      <c r="AH110" s="94">
        <f>SUMIFS(DB!$AC:$AC,DB!$E:$E,'Detail Cab By Tgl'!$B110,DB!$AP:$AP,'Detail Cab By Tgl'!$D110,DB!$AT:$AT,"ALDA",DB!$AQ:$AQ,'Detail Cab By Tgl'!AH$29)</f>
        <v>0</v>
      </c>
      <c r="AI110" s="95">
        <f>SUMIFS(DB!$AC:$AC,DB!$E:$E,'Detail Cab By Tgl'!$B110,DB!$AP:$AP,'Detail Cab By Tgl'!$D110,DB!$AT:$AT,"ALDA",DB!$AQ:$AQ,'Detail Cab By Tgl'!AI$29)</f>
        <v>0</v>
      </c>
      <c r="AJ110" s="176">
        <f t="shared" si="9"/>
        <v>0</v>
      </c>
    </row>
    <row r="111" spans="2:36" x14ac:dyDescent="0.3">
      <c r="B111" s="321" t="s">
        <v>5</v>
      </c>
      <c r="C111" s="322" t="s">
        <v>295</v>
      </c>
      <c r="D111" s="106" t="s">
        <v>37</v>
      </c>
      <c r="E111" s="93">
        <f>SUMIFS(DB!$AC:$AC,DB!$E:$E,'Detail Cab By Tgl'!$B111,DB!$AP:$AP,'Detail Cab By Tgl'!$D111,DB!$AT:$AT,"ALDA",DB!$AQ:$AQ,'Detail Cab By Tgl'!E$29)</f>
        <v>0</v>
      </c>
      <c r="F111" s="94">
        <f>SUMIFS(DB!$AC:$AC,DB!$E:$E,'Detail Cab By Tgl'!$B111,DB!$AP:$AP,'Detail Cab By Tgl'!$D111,DB!$AT:$AT,"ALDA",DB!$AQ:$AQ,'Detail Cab By Tgl'!F$29)</f>
        <v>0</v>
      </c>
      <c r="G111" s="94">
        <f>SUMIFS(DB!$AC:$AC,DB!$E:$E,'Detail Cab By Tgl'!$B111,DB!$AP:$AP,'Detail Cab By Tgl'!$D111,DB!$AT:$AT,"ALDA",DB!$AQ:$AQ,'Detail Cab By Tgl'!G$29)</f>
        <v>0</v>
      </c>
      <c r="H111" s="94">
        <f>SUMIFS(DB!$AC:$AC,DB!$E:$E,'Detail Cab By Tgl'!$B111,DB!$AP:$AP,'Detail Cab By Tgl'!$D111,DB!$AT:$AT,"ALDA",DB!$AQ:$AQ,'Detail Cab By Tgl'!H$29)</f>
        <v>0</v>
      </c>
      <c r="I111" s="94">
        <f>SUMIFS(DB!$AC:$AC,DB!$E:$E,'Detail Cab By Tgl'!$B111,DB!$AP:$AP,'Detail Cab By Tgl'!$D111,DB!$AT:$AT,"ALDA",DB!$AQ:$AQ,'Detail Cab By Tgl'!I$29)</f>
        <v>0</v>
      </c>
      <c r="J111" s="94">
        <f>SUMIFS(DB!$AC:$AC,DB!$E:$E,'Detail Cab By Tgl'!$B111,DB!$AP:$AP,'Detail Cab By Tgl'!$D111,DB!$AT:$AT,"ALDA",DB!$AQ:$AQ,'Detail Cab By Tgl'!J$29)</f>
        <v>0</v>
      </c>
      <c r="K111" s="94">
        <f>SUMIFS(DB!$AC:$AC,DB!$E:$E,'Detail Cab By Tgl'!$B111,DB!$AP:$AP,'Detail Cab By Tgl'!$D111,DB!$AT:$AT,"ALDA",DB!$AQ:$AQ,'Detail Cab By Tgl'!K$29)</f>
        <v>0</v>
      </c>
      <c r="L111" s="94">
        <f>SUMIFS(DB!$AC:$AC,DB!$E:$E,'Detail Cab By Tgl'!$B111,DB!$AP:$AP,'Detail Cab By Tgl'!$D111,DB!$AT:$AT,"ALDA",DB!$AQ:$AQ,'Detail Cab By Tgl'!L$29)</f>
        <v>0</v>
      </c>
      <c r="M111" s="94">
        <f>SUMIFS(DB!$AC:$AC,DB!$E:$E,'Detail Cab By Tgl'!$B111,DB!$AP:$AP,'Detail Cab By Tgl'!$D111,DB!$AT:$AT,"ALDA",DB!$AQ:$AQ,'Detail Cab By Tgl'!M$29)</f>
        <v>0</v>
      </c>
      <c r="N111" s="94">
        <f>SUMIFS(DB!$AC:$AC,DB!$E:$E,'Detail Cab By Tgl'!$B111,DB!$AP:$AP,'Detail Cab By Tgl'!$D111,DB!$AT:$AT,"ALDA",DB!$AQ:$AQ,'Detail Cab By Tgl'!N$29)</f>
        <v>0</v>
      </c>
      <c r="O111" s="94">
        <f>SUMIFS(DB!$AC:$AC,DB!$E:$E,'Detail Cab By Tgl'!$B111,DB!$AP:$AP,'Detail Cab By Tgl'!$D111,DB!$AT:$AT,"ALDA",DB!$AQ:$AQ,'Detail Cab By Tgl'!O$29)</f>
        <v>0</v>
      </c>
      <c r="P111" s="94">
        <f>SUMIFS(DB!$AC:$AC,DB!$E:$E,'Detail Cab By Tgl'!$B111,DB!$AP:$AP,'Detail Cab By Tgl'!$D111,DB!$AT:$AT,"ALDA",DB!$AQ:$AQ,'Detail Cab By Tgl'!P$29)</f>
        <v>0</v>
      </c>
      <c r="Q111" s="94">
        <f>SUMIFS(DB!$AC:$AC,DB!$E:$E,'Detail Cab By Tgl'!$B111,DB!$AP:$AP,'Detail Cab By Tgl'!$D111,DB!$AT:$AT,"ALDA",DB!$AQ:$AQ,'Detail Cab By Tgl'!Q$29)</f>
        <v>0</v>
      </c>
      <c r="R111" s="94">
        <f>SUMIFS(DB!$AC:$AC,DB!$E:$E,'Detail Cab By Tgl'!$B111,DB!$AP:$AP,'Detail Cab By Tgl'!$D111,DB!$AT:$AT,"ALDA",DB!$AQ:$AQ,'Detail Cab By Tgl'!R$29)</f>
        <v>0</v>
      </c>
      <c r="S111" s="94">
        <f>SUMIFS(DB!$AC:$AC,DB!$E:$E,'Detail Cab By Tgl'!$B111,DB!$AP:$AP,'Detail Cab By Tgl'!$D111,DB!$AT:$AT,"ALDA",DB!$AQ:$AQ,'Detail Cab By Tgl'!S$29)</f>
        <v>0</v>
      </c>
      <c r="T111" s="94">
        <f>SUMIFS(DB!$AC:$AC,DB!$E:$E,'Detail Cab By Tgl'!$B111,DB!$AP:$AP,'Detail Cab By Tgl'!$D111,DB!$AT:$AT,"ALDA",DB!$AQ:$AQ,'Detail Cab By Tgl'!T$29)</f>
        <v>0</v>
      </c>
      <c r="U111" s="94">
        <f>SUMIFS(DB!$AC:$AC,DB!$E:$E,'Detail Cab By Tgl'!$B111,DB!$AP:$AP,'Detail Cab By Tgl'!$D111,DB!$AT:$AT,"ALDA",DB!$AQ:$AQ,'Detail Cab By Tgl'!U$29)</f>
        <v>0</v>
      </c>
      <c r="V111" s="94">
        <f>SUMIFS(DB!$AC:$AC,DB!$E:$E,'Detail Cab By Tgl'!$B111,DB!$AP:$AP,'Detail Cab By Tgl'!$D111,DB!$AT:$AT,"ALDA",DB!$AQ:$AQ,'Detail Cab By Tgl'!V$29)</f>
        <v>0</v>
      </c>
      <c r="W111" s="94">
        <f>SUMIFS(DB!$AC:$AC,DB!$E:$E,'Detail Cab By Tgl'!$B111,DB!$AP:$AP,'Detail Cab By Tgl'!$D111,DB!$AT:$AT,"ALDA",DB!$AQ:$AQ,'Detail Cab By Tgl'!W$29)</f>
        <v>0</v>
      </c>
      <c r="X111" s="94">
        <f>SUMIFS(DB!$AC:$AC,DB!$E:$E,'Detail Cab By Tgl'!$B111,DB!$AP:$AP,'Detail Cab By Tgl'!$D111,DB!$AT:$AT,"ALDA",DB!$AQ:$AQ,'Detail Cab By Tgl'!X$29)</f>
        <v>0</v>
      </c>
      <c r="Y111" s="94">
        <f>SUMIFS(DB!$AC:$AC,DB!$E:$E,'Detail Cab By Tgl'!$B111,DB!$AP:$AP,'Detail Cab By Tgl'!$D111,DB!$AT:$AT,"ALDA",DB!$AQ:$AQ,'Detail Cab By Tgl'!Y$29)</f>
        <v>0</v>
      </c>
      <c r="Z111" s="94">
        <f>SUMIFS(DB!$AC:$AC,DB!$E:$E,'Detail Cab By Tgl'!$B111,DB!$AP:$AP,'Detail Cab By Tgl'!$D111,DB!$AT:$AT,"ALDA",DB!$AQ:$AQ,'Detail Cab By Tgl'!Z$29)</f>
        <v>0</v>
      </c>
      <c r="AA111" s="94">
        <f>SUMIFS(DB!$AC:$AC,DB!$E:$E,'Detail Cab By Tgl'!$B111,DB!$AP:$AP,'Detail Cab By Tgl'!$D111,DB!$AT:$AT,"ALDA",DB!$AQ:$AQ,'Detail Cab By Tgl'!AA$29)</f>
        <v>0</v>
      </c>
      <c r="AB111" s="94">
        <f>SUMIFS(DB!$AC:$AC,DB!$E:$E,'Detail Cab By Tgl'!$B111,DB!$AP:$AP,'Detail Cab By Tgl'!$D111,DB!$AT:$AT,"ALDA",DB!$AQ:$AQ,'Detail Cab By Tgl'!AB$29)</f>
        <v>0</v>
      </c>
      <c r="AC111" s="94">
        <f>SUMIFS(DB!$AC:$AC,DB!$E:$E,'Detail Cab By Tgl'!$B111,DB!$AP:$AP,'Detail Cab By Tgl'!$D111,DB!$AT:$AT,"ALDA",DB!$AQ:$AQ,'Detail Cab By Tgl'!AC$29)</f>
        <v>0</v>
      </c>
      <c r="AD111" s="94">
        <f>SUMIFS(DB!$AC:$AC,DB!$E:$E,'Detail Cab By Tgl'!$B111,DB!$AP:$AP,'Detail Cab By Tgl'!$D111,DB!$AT:$AT,"ALDA",DB!$AQ:$AQ,'Detail Cab By Tgl'!AD$29)</f>
        <v>0</v>
      </c>
      <c r="AE111" s="94">
        <f>SUMIFS(DB!$AC:$AC,DB!$E:$E,'Detail Cab By Tgl'!$B111,DB!$AP:$AP,'Detail Cab By Tgl'!$D111,DB!$AT:$AT,"ALDA",DB!$AQ:$AQ,'Detail Cab By Tgl'!AE$29)</f>
        <v>0</v>
      </c>
      <c r="AF111" s="94">
        <f>SUMIFS(DB!$AC:$AC,DB!$E:$E,'Detail Cab By Tgl'!$B111,DB!$AP:$AP,'Detail Cab By Tgl'!$D111,DB!$AT:$AT,"ALDA",DB!$AQ:$AQ,'Detail Cab By Tgl'!AF$29)</f>
        <v>0</v>
      </c>
      <c r="AG111" s="94">
        <f>SUMIFS(DB!$AC:$AC,DB!$E:$E,'Detail Cab By Tgl'!$B111,DB!$AP:$AP,'Detail Cab By Tgl'!$D111,DB!$AT:$AT,"ALDA",DB!$AQ:$AQ,'Detail Cab By Tgl'!AG$29)</f>
        <v>0</v>
      </c>
      <c r="AH111" s="94">
        <f>SUMIFS(DB!$AC:$AC,DB!$E:$E,'Detail Cab By Tgl'!$B111,DB!$AP:$AP,'Detail Cab By Tgl'!$D111,DB!$AT:$AT,"ALDA",DB!$AQ:$AQ,'Detail Cab By Tgl'!AH$29)</f>
        <v>0</v>
      </c>
      <c r="AI111" s="95">
        <f>SUMIFS(DB!$AC:$AC,DB!$E:$E,'Detail Cab By Tgl'!$B111,DB!$AP:$AP,'Detail Cab By Tgl'!$D111,DB!$AT:$AT,"ALDA",DB!$AQ:$AQ,'Detail Cab By Tgl'!AI$29)</f>
        <v>0</v>
      </c>
      <c r="AJ111" s="176">
        <f t="shared" si="9"/>
        <v>0</v>
      </c>
    </row>
    <row r="112" spans="2:36" x14ac:dyDescent="0.3">
      <c r="B112" s="321" t="s">
        <v>5</v>
      </c>
      <c r="C112" s="322" t="s">
        <v>295</v>
      </c>
      <c r="D112" s="106" t="s">
        <v>557</v>
      </c>
      <c r="E112" s="93">
        <f>SUMIFS(DB!$AC:$AC,DB!$E:$E,'Detail Cab By Tgl'!$B112,DB!$AP:$AP,'Detail Cab By Tgl'!$D112,DB!$AT:$AT,"ALDA",DB!$AQ:$AQ,'Detail Cab By Tgl'!E$29)</f>
        <v>0</v>
      </c>
      <c r="F112" s="94">
        <f>SUMIFS(DB!$AC:$AC,DB!$E:$E,'Detail Cab By Tgl'!$B112,DB!$AP:$AP,'Detail Cab By Tgl'!$D112,DB!$AT:$AT,"ALDA",DB!$AQ:$AQ,'Detail Cab By Tgl'!F$29)</f>
        <v>0</v>
      </c>
      <c r="G112" s="94">
        <f>SUMIFS(DB!$AC:$AC,DB!$E:$E,'Detail Cab By Tgl'!$B112,DB!$AP:$AP,'Detail Cab By Tgl'!$D112,DB!$AT:$AT,"ALDA",DB!$AQ:$AQ,'Detail Cab By Tgl'!G$29)</f>
        <v>0</v>
      </c>
      <c r="H112" s="94">
        <f>SUMIFS(DB!$AC:$AC,DB!$E:$E,'Detail Cab By Tgl'!$B112,DB!$AP:$AP,'Detail Cab By Tgl'!$D112,DB!$AT:$AT,"ALDA",DB!$AQ:$AQ,'Detail Cab By Tgl'!H$29)</f>
        <v>0</v>
      </c>
      <c r="I112" s="94">
        <f>SUMIFS(DB!$AC:$AC,DB!$E:$E,'Detail Cab By Tgl'!$B112,DB!$AP:$AP,'Detail Cab By Tgl'!$D112,DB!$AT:$AT,"ALDA",DB!$AQ:$AQ,'Detail Cab By Tgl'!I$29)</f>
        <v>0</v>
      </c>
      <c r="J112" s="94">
        <f>SUMIFS(DB!$AC:$AC,DB!$E:$E,'Detail Cab By Tgl'!$B112,DB!$AP:$AP,'Detail Cab By Tgl'!$D112,DB!$AT:$AT,"ALDA",DB!$AQ:$AQ,'Detail Cab By Tgl'!J$29)</f>
        <v>0</v>
      </c>
      <c r="K112" s="94">
        <f>SUMIFS(DB!$AC:$AC,DB!$E:$E,'Detail Cab By Tgl'!$B112,DB!$AP:$AP,'Detail Cab By Tgl'!$D112,DB!$AT:$AT,"ALDA",DB!$AQ:$AQ,'Detail Cab By Tgl'!K$29)</f>
        <v>0</v>
      </c>
      <c r="L112" s="94">
        <f>SUMIFS(DB!$AC:$AC,DB!$E:$E,'Detail Cab By Tgl'!$B112,DB!$AP:$AP,'Detail Cab By Tgl'!$D112,DB!$AT:$AT,"ALDA",DB!$AQ:$AQ,'Detail Cab By Tgl'!L$29)</f>
        <v>0</v>
      </c>
      <c r="M112" s="94">
        <f>SUMIFS(DB!$AC:$AC,DB!$E:$E,'Detail Cab By Tgl'!$B112,DB!$AP:$AP,'Detail Cab By Tgl'!$D112,DB!$AT:$AT,"ALDA",DB!$AQ:$AQ,'Detail Cab By Tgl'!M$29)</f>
        <v>0</v>
      </c>
      <c r="N112" s="94">
        <f>SUMIFS(DB!$AC:$AC,DB!$E:$E,'Detail Cab By Tgl'!$B112,DB!$AP:$AP,'Detail Cab By Tgl'!$D112,DB!$AT:$AT,"ALDA",DB!$AQ:$AQ,'Detail Cab By Tgl'!N$29)</f>
        <v>0</v>
      </c>
      <c r="O112" s="94">
        <f>SUMIFS(DB!$AC:$AC,DB!$E:$E,'Detail Cab By Tgl'!$B112,DB!$AP:$AP,'Detail Cab By Tgl'!$D112,DB!$AT:$AT,"ALDA",DB!$AQ:$AQ,'Detail Cab By Tgl'!O$29)</f>
        <v>0</v>
      </c>
      <c r="P112" s="94">
        <f>SUMIFS(DB!$AC:$AC,DB!$E:$E,'Detail Cab By Tgl'!$B112,DB!$AP:$AP,'Detail Cab By Tgl'!$D112,DB!$AT:$AT,"ALDA",DB!$AQ:$AQ,'Detail Cab By Tgl'!P$29)</f>
        <v>0</v>
      </c>
      <c r="Q112" s="94">
        <f>SUMIFS(DB!$AC:$AC,DB!$E:$E,'Detail Cab By Tgl'!$B112,DB!$AP:$AP,'Detail Cab By Tgl'!$D112,DB!$AT:$AT,"ALDA",DB!$AQ:$AQ,'Detail Cab By Tgl'!Q$29)</f>
        <v>0</v>
      </c>
      <c r="R112" s="94">
        <f>SUMIFS(DB!$AC:$AC,DB!$E:$E,'Detail Cab By Tgl'!$B112,DB!$AP:$AP,'Detail Cab By Tgl'!$D112,DB!$AT:$AT,"ALDA",DB!$AQ:$AQ,'Detail Cab By Tgl'!R$29)</f>
        <v>0</v>
      </c>
      <c r="S112" s="94">
        <f>SUMIFS(DB!$AC:$AC,DB!$E:$E,'Detail Cab By Tgl'!$B112,DB!$AP:$AP,'Detail Cab By Tgl'!$D112,DB!$AT:$AT,"ALDA",DB!$AQ:$AQ,'Detail Cab By Tgl'!S$29)</f>
        <v>0</v>
      </c>
      <c r="T112" s="94">
        <f>SUMIFS(DB!$AC:$AC,DB!$E:$E,'Detail Cab By Tgl'!$B112,DB!$AP:$AP,'Detail Cab By Tgl'!$D112,DB!$AT:$AT,"ALDA",DB!$AQ:$AQ,'Detail Cab By Tgl'!T$29)</f>
        <v>0</v>
      </c>
      <c r="U112" s="94">
        <f>SUMIFS(DB!$AC:$AC,DB!$E:$E,'Detail Cab By Tgl'!$B112,DB!$AP:$AP,'Detail Cab By Tgl'!$D112,DB!$AT:$AT,"ALDA",DB!$AQ:$AQ,'Detail Cab By Tgl'!U$29)</f>
        <v>0</v>
      </c>
      <c r="V112" s="94">
        <f>SUMIFS(DB!$AC:$AC,DB!$E:$E,'Detail Cab By Tgl'!$B112,DB!$AP:$AP,'Detail Cab By Tgl'!$D112,DB!$AT:$AT,"ALDA",DB!$AQ:$AQ,'Detail Cab By Tgl'!V$29)</f>
        <v>0</v>
      </c>
      <c r="W112" s="94">
        <f>SUMIFS(DB!$AC:$AC,DB!$E:$E,'Detail Cab By Tgl'!$B112,DB!$AP:$AP,'Detail Cab By Tgl'!$D112,DB!$AT:$AT,"ALDA",DB!$AQ:$AQ,'Detail Cab By Tgl'!W$29)</f>
        <v>0</v>
      </c>
      <c r="X112" s="94">
        <f>SUMIFS(DB!$AC:$AC,DB!$E:$E,'Detail Cab By Tgl'!$B112,DB!$AP:$AP,'Detail Cab By Tgl'!$D112,DB!$AT:$AT,"ALDA",DB!$AQ:$AQ,'Detail Cab By Tgl'!X$29)</f>
        <v>0</v>
      </c>
      <c r="Y112" s="94">
        <f>SUMIFS(DB!$AC:$AC,DB!$E:$E,'Detail Cab By Tgl'!$B112,DB!$AP:$AP,'Detail Cab By Tgl'!$D112,DB!$AT:$AT,"ALDA",DB!$AQ:$AQ,'Detail Cab By Tgl'!Y$29)</f>
        <v>0</v>
      </c>
      <c r="Z112" s="94">
        <f>SUMIFS(DB!$AC:$AC,DB!$E:$E,'Detail Cab By Tgl'!$B112,DB!$AP:$AP,'Detail Cab By Tgl'!$D112,DB!$AT:$AT,"ALDA",DB!$AQ:$AQ,'Detail Cab By Tgl'!Z$29)</f>
        <v>0</v>
      </c>
      <c r="AA112" s="94">
        <f>SUMIFS(DB!$AC:$AC,DB!$E:$E,'Detail Cab By Tgl'!$B112,DB!$AP:$AP,'Detail Cab By Tgl'!$D112,DB!$AT:$AT,"ALDA",DB!$AQ:$AQ,'Detail Cab By Tgl'!AA$29)</f>
        <v>0</v>
      </c>
      <c r="AB112" s="94">
        <f>SUMIFS(DB!$AC:$AC,DB!$E:$E,'Detail Cab By Tgl'!$B112,DB!$AP:$AP,'Detail Cab By Tgl'!$D112,DB!$AT:$AT,"ALDA",DB!$AQ:$AQ,'Detail Cab By Tgl'!AB$29)</f>
        <v>0</v>
      </c>
      <c r="AC112" s="94">
        <f>SUMIFS(DB!$AC:$AC,DB!$E:$E,'Detail Cab By Tgl'!$B112,DB!$AP:$AP,'Detail Cab By Tgl'!$D112,DB!$AT:$AT,"ALDA",DB!$AQ:$AQ,'Detail Cab By Tgl'!AC$29)</f>
        <v>0</v>
      </c>
      <c r="AD112" s="94">
        <f>SUMIFS(DB!$AC:$AC,DB!$E:$E,'Detail Cab By Tgl'!$B112,DB!$AP:$AP,'Detail Cab By Tgl'!$D112,DB!$AT:$AT,"ALDA",DB!$AQ:$AQ,'Detail Cab By Tgl'!AD$29)</f>
        <v>0</v>
      </c>
      <c r="AE112" s="94">
        <f>SUMIFS(DB!$AC:$AC,DB!$E:$E,'Detail Cab By Tgl'!$B112,DB!$AP:$AP,'Detail Cab By Tgl'!$D112,DB!$AT:$AT,"ALDA",DB!$AQ:$AQ,'Detail Cab By Tgl'!AE$29)</f>
        <v>0</v>
      </c>
      <c r="AF112" s="94">
        <f>SUMIFS(DB!$AC:$AC,DB!$E:$E,'Detail Cab By Tgl'!$B112,DB!$AP:$AP,'Detail Cab By Tgl'!$D112,DB!$AT:$AT,"ALDA",DB!$AQ:$AQ,'Detail Cab By Tgl'!AF$29)</f>
        <v>0</v>
      </c>
      <c r="AG112" s="94">
        <f>SUMIFS(DB!$AC:$AC,DB!$E:$E,'Detail Cab By Tgl'!$B112,DB!$AP:$AP,'Detail Cab By Tgl'!$D112,DB!$AT:$AT,"ALDA",DB!$AQ:$AQ,'Detail Cab By Tgl'!AG$29)</f>
        <v>0</v>
      </c>
      <c r="AH112" s="94">
        <f>SUMIFS(DB!$AC:$AC,DB!$E:$E,'Detail Cab By Tgl'!$B112,DB!$AP:$AP,'Detail Cab By Tgl'!$D112,DB!$AT:$AT,"ALDA",DB!$AQ:$AQ,'Detail Cab By Tgl'!AH$29)</f>
        <v>0</v>
      </c>
      <c r="AI112" s="95">
        <f>SUMIFS(DB!$AC:$AC,DB!$E:$E,'Detail Cab By Tgl'!$B112,DB!$AP:$AP,'Detail Cab By Tgl'!$D112,DB!$AT:$AT,"ALDA",DB!$AQ:$AQ,'Detail Cab By Tgl'!AI$29)</f>
        <v>0</v>
      </c>
      <c r="AJ112" s="176">
        <f t="shared" si="9"/>
        <v>0</v>
      </c>
    </row>
    <row r="113" spans="2:36" x14ac:dyDescent="0.3">
      <c r="B113" s="321" t="s">
        <v>5</v>
      </c>
      <c r="C113" s="322" t="s">
        <v>265</v>
      </c>
      <c r="D113" s="106" t="s">
        <v>43</v>
      </c>
      <c r="E113" s="93">
        <f>SUMIFS(DB!$AC:$AC,DB!$E:$E,'Detail Cab By Tgl'!$B113,DB!$AP:$AP,'Detail Cab By Tgl'!$D113,DB!$AT:$AT,"ALDA",DB!$AQ:$AQ,'Detail Cab By Tgl'!E$29)</f>
        <v>0</v>
      </c>
      <c r="F113" s="94">
        <f>SUMIFS(DB!$AC:$AC,DB!$E:$E,'Detail Cab By Tgl'!$B113,DB!$AP:$AP,'Detail Cab By Tgl'!$D113,DB!$AT:$AT,"ALDA",DB!$AQ:$AQ,'Detail Cab By Tgl'!F$29)</f>
        <v>0</v>
      </c>
      <c r="G113" s="94">
        <f>SUMIFS(DB!$AC:$AC,DB!$E:$E,'Detail Cab By Tgl'!$B113,DB!$AP:$AP,'Detail Cab By Tgl'!$D113,DB!$AT:$AT,"ALDA",DB!$AQ:$AQ,'Detail Cab By Tgl'!G$29)</f>
        <v>0</v>
      </c>
      <c r="H113" s="94">
        <f>SUMIFS(DB!$AC:$AC,DB!$E:$E,'Detail Cab By Tgl'!$B113,DB!$AP:$AP,'Detail Cab By Tgl'!$D113,DB!$AT:$AT,"ALDA",DB!$AQ:$AQ,'Detail Cab By Tgl'!H$29)</f>
        <v>0</v>
      </c>
      <c r="I113" s="94">
        <f>SUMIFS(DB!$AC:$AC,DB!$E:$E,'Detail Cab By Tgl'!$B113,DB!$AP:$AP,'Detail Cab By Tgl'!$D113,DB!$AT:$AT,"ALDA",DB!$AQ:$AQ,'Detail Cab By Tgl'!I$29)</f>
        <v>0</v>
      </c>
      <c r="J113" s="94">
        <f>SUMIFS(DB!$AC:$AC,DB!$E:$E,'Detail Cab By Tgl'!$B113,DB!$AP:$AP,'Detail Cab By Tgl'!$D113,DB!$AT:$AT,"ALDA",DB!$AQ:$AQ,'Detail Cab By Tgl'!J$29)</f>
        <v>0</v>
      </c>
      <c r="K113" s="94">
        <f>SUMIFS(DB!$AC:$AC,DB!$E:$E,'Detail Cab By Tgl'!$B113,DB!$AP:$AP,'Detail Cab By Tgl'!$D113,DB!$AT:$AT,"ALDA",DB!$AQ:$AQ,'Detail Cab By Tgl'!K$29)</f>
        <v>0</v>
      </c>
      <c r="L113" s="94">
        <f>SUMIFS(DB!$AC:$AC,DB!$E:$E,'Detail Cab By Tgl'!$B113,DB!$AP:$AP,'Detail Cab By Tgl'!$D113,DB!$AT:$AT,"ALDA",DB!$AQ:$AQ,'Detail Cab By Tgl'!L$29)</f>
        <v>0</v>
      </c>
      <c r="M113" s="94">
        <f>SUMIFS(DB!$AC:$AC,DB!$E:$E,'Detail Cab By Tgl'!$B113,DB!$AP:$AP,'Detail Cab By Tgl'!$D113,DB!$AT:$AT,"ALDA",DB!$AQ:$AQ,'Detail Cab By Tgl'!M$29)</f>
        <v>0</v>
      </c>
      <c r="N113" s="94">
        <f>SUMIFS(DB!$AC:$AC,DB!$E:$E,'Detail Cab By Tgl'!$B113,DB!$AP:$AP,'Detail Cab By Tgl'!$D113,DB!$AT:$AT,"ALDA",DB!$AQ:$AQ,'Detail Cab By Tgl'!N$29)</f>
        <v>0</v>
      </c>
      <c r="O113" s="94">
        <f>SUMIFS(DB!$AC:$AC,DB!$E:$E,'Detail Cab By Tgl'!$B113,DB!$AP:$AP,'Detail Cab By Tgl'!$D113,DB!$AT:$AT,"ALDA",DB!$AQ:$AQ,'Detail Cab By Tgl'!O$29)</f>
        <v>0</v>
      </c>
      <c r="P113" s="94">
        <f>SUMIFS(DB!$AC:$AC,DB!$E:$E,'Detail Cab By Tgl'!$B113,DB!$AP:$AP,'Detail Cab By Tgl'!$D113,DB!$AT:$AT,"ALDA",DB!$AQ:$AQ,'Detail Cab By Tgl'!P$29)</f>
        <v>0</v>
      </c>
      <c r="Q113" s="94">
        <f>SUMIFS(DB!$AC:$AC,DB!$E:$E,'Detail Cab By Tgl'!$B113,DB!$AP:$AP,'Detail Cab By Tgl'!$D113,DB!$AT:$AT,"ALDA",DB!$AQ:$AQ,'Detail Cab By Tgl'!Q$29)</f>
        <v>0</v>
      </c>
      <c r="R113" s="94">
        <f>SUMIFS(DB!$AC:$AC,DB!$E:$E,'Detail Cab By Tgl'!$B113,DB!$AP:$AP,'Detail Cab By Tgl'!$D113,DB!$AT:$AT,"ALDA",DB!$AQ:$AQ,'Detail Cab By Tgl'!R$29)</f>
        <v>0</v>
      </c>
      <c r="S113" s="94">
        <f>SUMIFS(DB!$AC:$AC,DB!$E:$E,'Detail Cab By Tgl'!$B113,DB!$AP:$AP,'Detail Cab By Tgl'!$D113,DB!$AT:$AT,"ALDA",DB!$AQ:$AQ,'Detail Cab By Tgl'!S$29)</f>
        <v>0</v>
      </c>
      <c r="T113" s="94">
        <f>SUMIFS(DB!$AC:$AC,DB!$E:$E,'Detail Cab By Tgl'!$B113,DB!$AP:$AP,'Detail Cab By Tgl'!$D113,DB!$AT:$AT,"ALDA",DB!$AQ:$AQ,'Detail Cab By Tgl'!T$29)</f>
        <v>0</v>
      </c>
      <c r="U113" s="94">
        <f>SUMIFS(DB!$AC:$AC,DB!$E:$E,'Detail Cab By Tgl'!$B113,DB!$AP:$AP,'Detail Cab By Tgl'!$D113,DB!$AT:$AT,"ALDA",DB!$AQ:$AQ,'Detail Cab By Tgl'!U$29)</f>
        <v>0</v>
      </c>
      <c r="V113" s="94">
        <f>SUMIFS(DB!$AC:$AC,DB!$E:$E,'Detail Cab By Tgl'!$B113,DB!$AP:$AP,'Detail Cab By Tgl'!$D113,DB!$AT:$AT,"ALDA",DB!$AQ:$AQ,'Detail Cab By Tgl'!V$29)</f>
        <v>0</v>
      </c>
      <c r="W113" s="94">
        <f>SUMIFS(DB!$AC:$AC,DB!$E:$E,'Detail Cab By Tgl'!$B113,DB!$AP:$AP,'Detail Cab By Tgl'!$D113,DB!$AT:$AT,"ALDA",DB!$AQ:$AQ,'Detail Cab By Tgl'!W$29)</f>
        <v>0</v>
      </c>
      <c r="X113" s="94">
        <f>SUMIFS(DB!$AC:$AC,DB!$E:$E,'Detail Cab By Tgl'!$B113,DB!$AP:$AP,'Detail Cab By Tgl'!$D113,DB!$AT:$AT,"ALDA",DB!$AQ:$AQ,'Detail Cab By Tgl'!X$29)</f>
        <v>0</v>
      </c>
      <c r="Y113" s="94">
        <f>SUMIFS(DB!$AC:$AC,DB!$E:$E,'Detail Cab By Tgl'!$B113,DB!$AP:$AP,'Detail Cab By Tgl'!$D113,DB!$AT:$AT,"ALDA",DB!$AQ:$AQ,'Detail Cab By Tgl'!Y$29)</f>
        <v>0</v>
      </c>
      <c r="Z113" s="94">
        <f>SUMIFS(DB!$AC:$AC,DB!$E:$E,'Detail Cab By Tgl'!$B113,DB!$AP:$AP,'Detail Cab By Tgl'!$D113,DB!$AT:$AT,"ALDA",DB!$AQ:$AQ,'Detail Cab By Tgl'!Z$29)</f>
        <v>0</v>
      </c>
      <c r="AA113" s="94">
        <f>SUMIFS(DB!$AC:$AC,DB!$E:$E,'Detail Cab By Tgl'!$B113,DB!$AP:$AP,'Detail Cab By Tgl'!$D113,DB!$AT:$AT,"ALDA",DB!$AQ:$AQ,'Detail Cab By Tgl'!AA$29)</f>
        <v>0</v>
      </c>
      <c r="AB113" s="94">
        <f>SUMIFS(DB!$AC:$AC,DB!$E:$E,'Detail Cab By Tgl'!$B113,DB!$AP:$AP,'Detail Cab By Tgl'!$D113,DB!$AT:$AT,"ALDA",DB!$AQ:$AQ,'Detail Cab By Tgl'!AB$29)</f>
        <v>0</v>
      </c>
      <c r="AC113" s="94">
        <f>SUMIFS(DB!$AC:$AC,DB!$E:$E,'Detail Cab By Tgl'!$B113,DB!$AP:$AP,'Detail Cab By Tgl'!$D113,DB!$AT:$AT,"ALDA",DB!$AQ:$AQ,'Detail Cab By Tgl'!AC$29)</f>
        <v>0</v>
      </c>
      <c r="AD113" s="94">
        <f>SUMIFS(DB!$AC:$AC,DB!$E:$E,'Detail Cab By Tgl'!$B113,DB!$AP:$AP,'Detail Cab By Tgl'!$D113,DB!$AT:$AT,"ALDA",DB!$AQ:$AQ,'Detail Cab By Tgl'!AD$29)</f>
        <v>0</v>
      </c>
      <c r="AE113" s="94">
        <f>SUMIFS(DB!$AC:$AC,DB!$E:$E,'Detail Cab By Tgl'!$B113,DB!$AP:$AP,'Detail Cab By Tgl'!$D113,DB!$AT:$AT,"ALDA",DB!$AQ:$AQ,'Detail Cab By Tgl'!AE$29)</f>
        <v>0</v>
      </c>
      <c r="AF113" s="94">
        <f>SUMIFS(DB!$AC:$AC,DB!$E:$E,'Detail Cab By Tgl'!$B113,DB!$AP:$AP,'Detail Cab By Tgl'!$D113,DB!$AT:$AT,"ALDA",DB!$AQ:$AQ,'Detail Cab By Tgl'!AF$29)</f>
        <v>0</v>
      </c>
      <c r="AG113" s="94">
        <f>SUMIFS(DB!$AC:$AC,DB!$E:$E,'Detail Cab By Tgl'!$B113,DB!$AP:$AP,'Detail Cab By Tgl'!$D113,DB!$AT:$AT,"ALDA",DB!$AQ:$AQ,'Detail Cab By Tgl'!AG$29)</f>
        <v>0</v>
      </c>
      <c r="AH113" s="94">
        <f>SUMIFS(DB!$AC:$AC,DB!$E:$E,'Detail Cab By Tgl'!$B113,DB!$AP:$AP,'Detail Cab By Tgl'!$D113,DB!$AT:$AT,"ALDA",DB!$AQ:$AQ,'Detail Cab By Tgl'!AH$29)</f>
        <v>0</v>
      </c>
      <c r="AI113" s="95">
        <f>SUMIFS(DB!$AC:$AC,DB!$E:$E,'Detail Cab By Tgl'!$B113,DB!$AP:$AP,'Detail Cab By Tgl'!$D113,DB!$AT:$AT,"ALDA",DB!$AQ:$AQ,'Detail Cab By Tgl'!AI$29)</f>
        <v>0</v>
      </c>
      <c r="AJ113" s="176">
        <f t="shared" si="9"/>
        <v>0</v>
      </c>
    </row>
    <row r="114" spans="2:36" x14ac:dyDescent="0.3">
      <c r="B114" s="321" t="s">
        <v>5</v>
      </c>
      <c r="C114" s="322" t="s">
        <v>265</v>
      </c>
      <c r="D114" s="106" t="s">
        <v>263</v>
      </c>
      <c r="E114" s="93">
        <f>SUMIFS(DB!$AC:$AC,DB!$E:$E,'Detail Cab By Tgl'!$B114,DB!$AP:$AP,'Detail Cab By Tgl'!$D114,DB!$AT:$AT,"ALDA",DB!$AQ:$AQ,'Detail Cab By Tgl'!E$29)</f>
        <v>0</v>
      </c>
      <c r="F114" s="94">
        <f>SUMIFS(DB!$AC:$AC,DB!$E:$E,'Detail Cab By Tgl'!$B114,DB!$AP:$AP,'Detail Cab By Tgl'!$D114,DB!$AT:$AT,"ALDA",DB!$AQ:$AQ,'Detail Cab By Tgl'!F$29)</f>
        <v>0</v>
      </c>
      <c r="G114" s="94">
        <f>SUMIFS(DB!$AC:$AC,DB!$E:$E,'Detail Cab By Tgl'!$B114,DB!$AP:$AP,'Detail Cab By Tgl'!$D114,DB!$AT:$AT,"ALDA",DB!$AQ:$AQ,'Detail Cab By Tgl'!G$29)</f>
        <v>0</v>
      </c>
      <c r="H114" s="94">
        <f>SUMIFS(DB!$AC:$AC,DB!$E:$E,'Detail Cab By Tgl'!$B114,DB!$AP:$AP,'Detail Cab By Tgl'!$D114,DB!$AT:$AT,"ALDA",DB!$AQ:$AQ,'Detail Cab By Tgl'!H$29)</f>
        <v>0</v>
      </c>
      <c r="I114" s="94">
        <f>SUMIFS(DB!$AC:$AC,DB!$E:$E,'Detail Cab By Tgl'!$B114,DB!$AP:$AP,'Detail Cab By Tgl'!$D114,DB!$AT:$AT,"ALDA",DB!$AQ:$AQ,'Detail Cab By Tgl'!I$29)</f>
        <v>0</v>
      </c>
      <c r="J114" s="94">
        <f>SUMIFS(DB!$AC:$AC,DB!$E:$E,'Detail Cab By Tgl'!$B114,DB!$AP:$AP,'Detail Cab By Tgl'!$D114,DB!$AT:$AT,"ALDA",DB!$AQ:$AQ,'Detail Cab By Tgl'!J$29)</f>
        <v>0</v>
      </c>
      <c r="K114" s="94">
        <f>SUMIFS(DB!$AC:$AC,DB!$E:$E,'Detail Cab By Tgl'!$B114,DB!$AP:$AP,'Detail Cab By Tgl'!$D114,DB!$AT:$AT,"ALDA",DB!$AQ:$AQ,'Detail Cab By Tgl'!K$29)</f>
        <v>0</v>
      </c>
      <c r="L114" s="94">
        <f>SUMIFS(DB!$AC:$AC,DB!$E:$E,'Detail Cab By Tgl'!$B114,DB!$AP:$AP,'Detail Cab By Tgl'!$D114,DB!$AT:$AT,"ALDA",DB!$AQ:$AQ,'Detail Cab By Tgl'!L$29)</f>
        <v>0</v>
      </c>
      <c r="M114" s="94">
        <f>SUMIFS(DB!$AC:$AC,DB!$E:$E,'Detail Cab By Tgl'!$B114,DB!$AP:$AP,'Detail Cab By Tgl'!$D114,DB!$AT:$AT,"ALDA",DB!$AQ:$AQ,'Detail Cab By Tgl'!M$29)</f>
        <v>0</v>
      </c>
      <c r="N114" s="94">
        <f>SUMIFS(DB!$AC:$AC,DB!$E:$E,'Detail Cab By Tgl'!$B114,DB!$AP:$AP,'Detail Cab By Tgl'!$D114,DB!$AT:$AT,"ALDA",DB!$AQ:$AQ,'Detail Cab By Tgl'!N$29)</f>
        <v>0</v>
      </c>
      <c r="O114" s="94">
        <f>SUMIFS(DB!$AC:$AC,DB!$E:$E,'Detail Cab By Tgl'!$B114,DB!$AP:$AP,'Detail Cab By Tgl'!$D114,DB!$AT:$AT,"ALDA",DB!$AQ:$AQ,'Detail Cab By Tgl'!O$29)</f>
        <v>0</v>
      </c>
      <c r="P114" s="94">
        <f>SUMIFS(DB!$AC:$AC,DB!$E:$E,'Detail Cab By Tgl'!$B114,DB!$AP:$AP,'Detail Cab By Tgl'!$D114,DB!$AT:$AT,"ALDA",DB!$AQ:$AQ,'Detail Cab By Tgl'!P$29)</f>
        <v>0</v>
      </c>
      <c r="Q114" s="94">
        <f>SUMIFS(DB!$AC:$AC,DB!$E:$E,'Detail Cab By Tgl'!$B114,DB!$AP:$AP,'Detail Cab By Tgl'!$D114,DB!$AT:$AT,"ALDA",DB!$AQ:$AQ,'Detail Cab By Tgl'!Q$29)</f>
        <v>0</v>
      </c>
      <c r="R114" s="94">
        <f>SUMIFS(DB!$AC:$AC,DB!$E:$E,'Detail Cab By Tgl'!$B114,DB!$AP:$AP,'Detail Cab By Tgl'!$D114,DB!$AT:$AT,"ALDA",DB!$AQ:$AQ,'Detail Cab By Tgl'!R$29)</f>
        <v>0</v>
      </c>
      <c r="S114" s="94">
        <f>SUMIFS(DB!$AC:$AC,DB!$E:$E,'Detail Cab By Tgl'!$B114,DB!$AP:$AP,'Detail Cab By Tgl'!$D114,DB!$AT:$AT,"ALDA",DB!$AQ:$AQ,'Detail Cab By Tgl'!S$29)</f>
        <v>0</v>
      </c>
      <c r="T114" s="94">
        <f>SUMIFS(DB!$AC:$AC,DB!$E:$E,'Detail Cab By Tgl'!$B114,DB!$AP:$AP,'Detail Cab By Tgl'!$D114,DB!$AT:$AT,"ALDA",DB!$AQ:$AQ,'Detail Cab By Tgl'!T$29)</f>
        <v>0</v>
      </c>
      <c r="U114" s="94">
        <f>SUMIFS(DB!$AC:$AC,DB!$E:$E,'Detail Cab By Tgl'!$B114,DB!$AP:$AP,'Detail Cab By Tgl'!$D114,DB!$AT:$AT,"ALDA",DB!$AQ:$AQ,'Detail Cab By Tgl'!U$29)</f>
        <v>0</v>
      </c>
      <c r="V114" s="94">
        <f>SUMIFS(DB!$AC:$AC,DB!$E:$E,'Detail Cab By Tgl'!$B114,DB!$AP:$AP,'Detail Cab By Tgl'!$D114,DB!$AT:$AT,"ALDA",DB!$AQ:$AQ,'Detail Cab By Tgl'!V$29)</f>
        <v>0</v>
      </c>
      <c r="W114" s="94">
        <f>SUMIFS(DB!$AC:$AC,DB!$E:$E,'Detail Cab By Tgl'!$B114,DB!$AP:$AP,'Detail Cab By Tgl'!$D114,DB!$AT:$AT,"ALDA",DB!$AQ:$AQ,'Detail Cab By Tgl'!W$29)</f>
        <v>0</v>
      </c>
      <c r="X114" s="94">
        <f>SUMIFS(DB!$AC:$AC,DB!$E:$E,'Detail Cab By Tgl'!$B114,DB!$AP:$AP,'Detail Cab By Tgl'!$D114,DB!$AT:$AT,"ALDA",DB!$AQ:$AQ,'Detail Cab By Tgl'!X$29)</f>
        <v>0</v>
      </c>
      <c r="Y114" s="94">
        <f>SUMIFS(DB!$AC:$AC,DB!$E:$E,'Detail Cab By Tgl'!$B114,DB!$AP:$AP,'Detail Cab By Tgl'!$D114,DB!$AT:$AT,"ALDA",DB!$AQ:$AQ,'Detail Cab By Tgl'!Y$29)</f>
        <v>0</v>
      </c>
      <c r="Z114" s="94">
        <f>SUMIFS(DB!$AC:$AC,DB!$E:$E,'Detail Cab By Tgl'!$B114,DB!$AP:$AP,'Detail Cab By Tgl'!$D114,DB!$AT:$AT,"ALDA",DB!$AQ:$AQ,'Detail Cab By Tgl'!Z$29)</f>
        <v>0</v>
      </c>
      <c r="AA114" s="94">
        <f>SUMIFS(DB!$AC:$AC,DB!$E:$E,'Detail Cab By Tgl'!$B114,DB!$AP:$AP,'Detail Cab By Tgl'!$D114,DB!$AT:$AT,"ALDA",DB!$AQ:$AQ,'Detail Cab By Tgl'!AA$29)</f>
        <v>0</v>
      </c>
      <c r="AB114" s="94">
        <f>SUMIFS(DB!$AC:$AC,DB!$E:$E,'Detail Cab By Tgl'!$B114,DB!$AP:$AP,'Detail Cab By Tgl'!$D114,DB!$AT:$AT,"ALDA",DB!$AQ:$AQ,'Detail Cab By Tgl'!AB$29)</f>
        <v>0</v>
      </c>
      <c r="AC114" s="94">
        <f>SUMIFS(DB!$AC:$AC,DB!$E:$E,'Detail Cab By Tgl'!$B114,DB!$AP:$AP,'Detail Cab By Tgl'!$D114,DB!$AT:$AT,"ALDA",DB!$AQ:$AQ,'Detail Cab By Tgl'!AC$29)</f>
        <v>0</v>
      </c>
      <c r="AD114" s="94">
        <f>SUMIFS(DB!$AC:$AC,DB!$E:$E,'Detail Cab By Tgl'!$B114,DB!$AP:$AP,'Detail Cab By Tgl'!$D114,DB!$AT:$AT,"ALDA",DB!$AQ:$AQ,'Detail Cab By Tgl'!AD$29)</f>
        <v>0</v>
      </c>
      <c r="AE114" s="94">
        <f>SUMIFS(DB!$AC:$AC,DB!$E:$E,'Detail Cab By Tgl'!$B114,DB!$AP:$AP,'Detail Cab By Tgl'!$D114,DB!$AT:$AT,"ALDA",DB!$AQ:$AQ,'Detail Cab By Tgl'!AE$29)</f>
        <v>0</v>
      </c>
      <c r="AF114" s="94">
        <f>SUMIFS(DB!$AC:$AC,DB!$E:$E,'Detail Cab By Tgl'!$B114,DB!$AP:$AP,'Detail Cab By Tgl'!$D114,DB!$AT:$AT,"ALDA",DB!$AQ:$AQ,'Detail Cab By Tgl'!AF$29)</f>
        <v>0</v>
      </c>
      <c r="AG114" s="94">
        <f>SUMIFS(DB!$AC:$AC,DB!$E:$E,'Detail Cab By Tgl'!$B114,DB!$AP:$AP,'Detail Cab By Tgl'!$D114,DB!$AT:$AT,"ALDA",DB!$AQ:$AQ,'Detail Cab By Tgl'!AG$29)</f>
        <v>0</v>
      </c>
      <c r="AH114" s="94">
        <f>SUMIFS(DB!$AC:$AC,DB!$E:$E,'Detail Cab By Tgl'!$B114,DB!$AP:$AP,'Detail Cab By Tgl'!$D114,DB!$AT:$AT,"ALDA",DB!$AQ:$AQ,'Detail Cab By Tgl'!AH$29)</f>
        <v>0</v>
      </c>
      <c r="AI114" s="95">
        <f>SUMIFS(DB!$AC:$AC,DB!$E:$E,'Detail Cab By Tgl'!$B114,DB!$AP:$AP,'Detail Cab By Tgl'!$D114,DB!$AT:$AT,"ALDA",DB!$AQ:$AQ,'Detail Cab By Tgl'!AI$29)</f>
        <v>0</v>
      </c>
      <c r="AJ114" s="176">
        <f t="shared" si="9"/>
        <v>0</v>
      </c>
    </row>
    <row r="115" spans="2:36" x14ac:dyDescent="0.3">
      <c r="B115" s="321" t="s">
        <v>5</v>
      </c>
      <c r="C115" s="322" t="s">
        <v>265</v>
      </c>
      <c r="D115" s="106" t="s">
        <v>290</v>
      </c>
      <c r="E115" s="93">
        <f>SUMIFS(DB!$AC:$AC,DB!$E:$E,'Detail Cab By Tgl'!$B115,DB!$AP:$AP,'Detail Cab By Tgl'!$D115,DB!$AT:$AT,"ALDA",DB!$AQ:$AQ,'Detail Cab By Tgl'!E$29)</f>
        <v>0</v>
      </c>
      <c r="F115" s="94">
        <f>SUMIFS(DB!$AC:$AC,DB!$E:$E,'Detail Cab By Tgl'!$B115,DB!$AP:$AP,'Detail Cab By Tgl'!$D115,DB!$AT:$AT,"ALDA",DB!$AQ:$AQ,'Detail Cab By Tgl'!F$29)</f>
        <v>0</v>
      </c>
      <c r="G115" s="94">
        <f>SUMIFS(DB!$AC:$AC,DB!$E:$E,'Detail Cab By Tgl'!$B115,DB!$AP:$AP,'Detail Cab By Tgl'!$D115,DB!$AT:$AT,"ALDA",DB!$AQ:$AQ,'Detail Cab By Tgl'!G$29)</f>
        <v>0</v>
      </c>
      <c r="H115" s="94">
        <f>SUMIFS(DB!$AC:$AC,DB!$E:$E,'Detail Cab By Tgl'!$B115,DB!$AP:$AP,'Detail Cab By Tgl'!$D115,DB!$AT:$AT,"ALDA",DB!$AQ:$AQ,'Detail Cab By Tgl'!H$29)</f>
        <v>0</v>
      </c>
      <c r="I115" s="94">
        <f>SUMIFS(DB!$AC:$AC,DB!$E:$E,'Detail Cab By Tgl'!$B115,DB!$AP:$AP,'Detail Cab By Tgl'!$D115,DB!$AT:$AT,"ALDA",DB!$AQ:$AQ,'Detail Cab By Tgl'!I$29)</f>
        <v>0</v>
      </c>
      <c r="J115" s="94">
        <f>SUMIFS(DB!$AC:$AC,DB!$E:$E,'Detail Cab By Tgl'!$B115,DB!$AP:$AP,'Detail Cab By Tgl'!$D115,DB!$AT:$AT,"ALDA",DB!$AQ:$AQ,'Detail Cab By Tgl'!J$29)</f>
        <v>0</v>
      </c>
      <c r="K115" s="94">
        <f>SUMIFS(DB!$AC:$AC,DB!$E:$E,'Detail Cab By Tgl'!$B115,DB!$AP:$AP,'Detail Cab By Tgl'!$D115,DB!$AT:$AT,"ALDA",DB!$AQ:$AQ,'Detail Cab By Tgl'!K$29)</f>
        <v>0</v>
      </c>
      <c r="L115" s="94">
        <f>SUMIFS(DB!$AC:$AC,DB!$E:$E,'Detail Cab By Tgl'!$B115,DB!$AP:$AP,'Detail Cab By Tgl'!$D115,DB!$AT:$AT,"ALDA",DB!$AQ:$AQ,'Detail Cab By Tgl'!L$29)</f>
        <v>0</v>
      </c>
      <c r="M115" s="94">
        <f>SUMIFS(DB!$AC:$AC,DB!$E:$E,'Detail Cab By Tgl'!$B115,DB!$AP:$AP,'Detail Cab By Tgl'!$D115,DB!$AT:$AT,"ALDA",DB!$AQ:$AQ,'Detail Cab By Tgl'!M$29)</f>
        <v>0</v>
      </c>
      <c r="N115" s="94">
        <f>SUMIFS(DB!$AC:$AC,DB!$E:$E,'Detail Cab By Tgl'!$B115,DB!$AP:$AP,'Detail Cab By Tgl'!$D115,DB!$AT:$AT,"ALDA",DB!$AQ:$AQ,'Detail Cab By Tgl'!N$29)</f>
        <v>0</v>
      </c>
      <c r="O115" s="94">
        <f>SUMIFS(DB!$AC:$AC,DB!$E:$E,'Detail Cab By Tgl'!$B115,DB!$AP:$AP,'Detail Cab By Tgl'!$D115,DB!$AT:$AT,"ALDA",DB!$AQ:$AQ,'Detail Cab By Tgl'!O$29)</f>
        <v>0</v>
      </c>
      <c r="P115" s="94">
        <f>SUMIFS(DB!$AC:$AC,DB!$E:$E,'Detail Cab By Tgl'!$B115,DB!$AP:$AP,'Detail Cab By Tgl'!$D115,DB!$AT:$AT,"ALDA",DB!$AQ:$AQ,'Detail Cab By Tgl'!P$29)</f>
        <v>0</v>
      </c>
      <c r="Q115" s="94">
        <f>SUMIFS(DB!$AC:$AC,DB!$E:$E,'Detail Cab By Tgl'!$B115,DB!$AP:$AP,'Detail Cab By Tgl'!$D115,DB!$AT:$AT,"ALDA",DB!$AQ:$AQ,'Detail Cab By Tgl'!Q$29)</f>
        <v>0</v>
      </c>
      <c r="R115" s="94">
        <f>SUMIFS(DB!$AC:$AC,DB!$E:$E,'Detail Cab By Tgl'!$B115,DB!$AP:$AP,'Detail Cab By Tgl'!$D115,DB!$AT:$AT,"ALDA",DB!$AQ:$AQ,'Detail Cab By Tgl'!R$29)</f>
        <v>0</v>
      </c>
      <c r="S115" s="94">
        <f>SUMIFS(DB!$AC:$AC,DB!$E:$E,'Detail Cab By Tgl'!$B115,DB!$AP:$AP,'Detail Cab By Tgl'!$D115,DB!$AT:$AT,"ALDA",DB!$AQ:$AQ,'Detail Cab By Tgl'!S$29)</f>
        <v>0</v>
      </c>
      <c r="T115" s="94">
        <f>SUMIFS(DB!$AC:$AC,DB!$E:$E,'Detail Cab By Tgl'!$B115,DB!$AP:$AP,'Detail Cab By Tgl'!$D115,DB!$AT:$AT,"ALDA",DB!$AQ:$AQ,'Detail Cab By Tgl'!T$29)</f>
        <v>0</v>
      </c>
      <c r="U115" s="94">
        <f>SUMIFS(DB!$AC:$AC,DB!$E:$E,'Detail Cab By Tgl'!$B115,DB!$AP:$AP,'Detail Cab By Tgl'!$D115,DB!$AT:$AT,"ALDA",DB!$AQ:$AQ,'Detail Cab By Tgl'!U$29)</f>
        <v>0</v>
      </c>
      <c r="V115" s="94">
        <f>SUMIFS(DB!$AC:$AC,DB!$E:$E,'Detail Cab By Tgl'!$B115,DB!$AP:$AP,'Detail Cab By Tgl'!$D115,DB!$AT:$AT,"ALDA",DB!$AQ:$AQ,'Detail Cab By Tgl'!V$29)</f>
        <v>0</v>
      </c>
      <c r="W115" s="94">
        <f>SUMIFS(DB!$AC:$AC,DB!$E:$E,'Detail Cab By Tgl'!$B115,DB!$AP:$AP,'Detail Cab By Tgl'!$D115,DB!$AT:$AT,"ALDA",DB!$AQ:$AQ,'Detail Cab By Tgl'!W$29)</f>
        <v>0</v>
      </c>
      <c r="X115" s="94">
        <f>SUMIFS(DB!$AC:$AC,DB!$E:$E,'Detail Cab By Tgl'!$B115,DB!$AP:$AP,'Detail Cab By Tgl'!$D115,DB!$AT:$AT,"ALDA",DB!$AQ:$AQ,'Detail Cab By Tgl'!X$29)</f>
        <v>0</v>
      </c>
      <c r="Y115" s="94">
        <f>SUMIFS(DB!$AC:$AC,DB!$E:$E,'Detail Cab By Tgl'!$B115,DB!$AP:$AP,'Detail Cab By Tgl'!$D115,DB!$AT:$AT,"ALDA",DB!$AQ:$AQ,'Detail Cab By Tgl'!Y$29)</f>
        <v>0</v>
      </c>
      <c r="Z115" s="94">
        <f>SUMIFS(DB!$AC:$AC,DB!$E:$E,'Detail Cab By Tgl'!$B115,DB!$AP:$AP,'Detail Cab By Tgl'!$D115,DB!$AT:$AT,"ALDA",DB!$AQ:$AQ,'Detail Cab By Tgl'!Z$29)</f>
        <v>0</v>
      </c>
      <c r="AA115" s="94">
        <f>SUMIFS(DB!$AC:$AC,DB!$E:$E,'Detail Cab By Tgl'!$B115,DB!$AP:$AP,'Detail Cab By Tgl'!$D115,DB!$AT:$AT,"ALDA",DB!$AQ:$AQ,'Detail Cab By Tgl'!AA$29)</f>
        <v>0</v>
      </c>
      <c r="AB115" s="94">
        <f>SUMIFS(DB!$AC:$AC,DB!$E:$E,'Detail Cab By Tgl'!$B115,DB!$AP:$AP,'Detail Cab By Tgl'!$D115,DB!$AT:$AT,"ALDA",DB!$AQ:$AQ,'Detail Cab By Tgl'!AB$29)</f>
        <v>0</v>
      </c>
      <c r="AC115" s="94">
        <f>SUMIFS(DB!$AC:$AC,DB!$E:$E,'Detail Cab By Tgl'!$B115,DB!$AP:$AP,'Detail Cab By Tgl'!$D115,DB!$AT:$AT,"ALDA",DB!$AQ:$AQ,'Detail Cab By Tgl'!AC$29)</f>
        <v>0</v>
      </c>
      <c r="AD115" s="94">
        <f>SUMIFS(DB!$AC:$AC,DB!$E:$E,'Detail Cab By Tgl'!$B115,DB!$AP:$AP,'Detail Cab By Tgl'!$D115,DB!$AT:$AT,"ALDA",DB!$AQ:$AQ,'Detail Cab By Tgl'!AD$29)</f>
        <v>0</v>
      </c>
      <c r="AE115" s="94">
        <f>SUMIFS(DB!$AC:$AC,DB!$E:$E,'Detail Cab By Tgl'!$B115,DB!$AP:$AP,'Detail Cab By Tgl'!$D115,DB!$AT:$AT,"ALDA",DB!$AQ:$AQ,'Detail Cab By Tgl'!AE$29)</f>
        <v>0</v>
      </c>
      <c r="AF115" s="94">
        <f>SUMIFS(DB!$AC:$AC,DB!$E:$E,'Detail Cab By Tgl'!$B115,DB!$AP:$AP,'Detail Cab By Tgl'!$D115,DB!$AT:$AT,"ALDA",DB!$AQ:$AQ,'Detail Cab By Tgl'!AF$29)</f>
        <v>0</v>
      </c>
      <c r="AG115" s="94">
        <f>SUMIFS(DB!$AC:$AC,DB!$E:$E,'Detail Cab By Tgl'!$B115,DB!$AP:$AP,'Detail Cab By Tgl'!$D115,DB!$AT:$AT,"ALDA",DB!$AQ:$AQ,'Detail Cab By Tgl'!AG$29)</f>
        <v>0</v>
      </c>
      <c r="AH115" s="94">
        <f>SUMIFS(DB!$AC:$AC,DB!$E:$E,'Detail Cab By Tgl'!$B115,DB!$AP:$AP,'Detail Cab By Tgl'!$D115,DB!$AT:$AT,"ALDA",DB!$AQ:$AQ,'Detail Cab By Tgl'!AH$29)</f>
        <v>0</v>
      </c>
      <c r="AI115" s="95">
        <f>SUMIFS(DB!$AC:$AC,DB!$E:$E,'Detail Cab By Tgl'!$B115,DB!$AP:$AP,'Detail Cab By Tgl'!$D115,DB!$AT:$AT,"ALDA",DB!$AQ:$AQ,'Detail Cab By Tgl'!AI$29)</f>
        <v>0</v>
      </c>
      <c r="AJ115" s="176">
        <f t="shared" si="9"/>
        <v>0</v>
      </c>
    </row>
    <row r="116" spans="2:36" x14ac:dyDescent="0.3">
      <c r="B116" s="321" t="s">
        <v>5</v>
      </c>
      <c r="C116" s="322" t="s">
        <v>265</v>
      </c>
      <c r="D116" s="106" t="s">
        <v>288</v>
      </c>
      <c r="E116" s="93">
        <f>SUMIFS(DB!$AC:$AC,DB!$E:$E,'Detail Cab By Tgl'!$B116,DB!$AP:$AP,'Detail Cab By Tgl'!$D116,DB!$AT:$AT,"ALDA",DB!$AQ:$AQ,'Detail Cab By Tgl'!E$29)</f>
        <v>0</v>
      </c>
      <c r="F116" s="94">
        <f>SUMIFS(DB!$AC:$AC,DB!$E:$E,'Detail Cab By Tgl'!$B116,DB!$AP:$AP,'Detail Cab By Tgl'!$D116,DB!$AT:$AT,"ALDA",DB!$AQ:$AQ,'Detail Cab By Tgl'!F$29)</f>
        <v>0</v>
      </c>
      <c r="G116" s="94">
        <f>SUMIFS(DB!$AC:$AC,DB!$E:$E,'Detail Cab By Tgl'!$B116,DB!$AP:$AP,'Detail Cab By Tgl'!$D116,DB!$AT:$AT,"ALDA",DB!$AQ:$AQ,'Detail Cab By Tgl'!G$29)</f>
        <v>0</v>
      </c>
      <c r="H116" s="94">
        <f>SUMIFS(DB!$AC:$AC,DB!$E:$E,'Detail Cab By Tgl'!$B116,DB!$AP:$AP,'Detail Cab By Tgl'!$D116,DB!$AT:$AT,"ALDA",DB!$AQ:$AQ,'Detail Cab By Tgl'!H$29)</f>
        <v>0</v>
      </c>
      <c r="I116" s="94">
        <f>SUMIFS(DB!$AC:$AC,DB!$E:$E,'Detail Cab By Tgl'!$B116,DB!$AP:$AP,'Detail Cab By Tgl'!$D116,DB!$AT:$AT,"ALDA",DB!$AQ:$AQ,'Detail Cab By Tgl'!I$29)</f>
        <v>0</v>
      </c>
      <c r="J116" s="94">
        <f>SUMIFS(DB!$AC:$AC,DB!$E:$E,'Detail Cab By Tgl'!$B116,DB!$AP:$AP,'Detail Cab By Tgl'!$D116,DB!$AT:$AT,"ALDA",DB!$AQ:$AQ,'Detail Cab By Tgl'!J$29)</f>
        <v>0</v>
      </c>
      <c r="K116" s="94">
        <f>SUMIFS(DB!$AC:$AC,DB!$E:$E,'Detail Cab By Tgl'!$B116,DB!$AP:$AP,'Detail Cab By Tgl'!$D116,DB!$AT:$AT,"ALDA",DB!$AQ:$AQ,'Detail Cab By Tgl'!K$29)</f>
        <v>0</v>
      </c>
      <c r="L116" s="94">
        <f>SUMIFS(DB!$AC:$AC,DB!$E:$E,'Detail Cab By Tgl'!$B116,DB!$AP:$AP,'Detail Cab By Tgl'!$D116,DB!$AT:$AT,"ALDA",DB!$AQ:$AQ,'Detail Cab By Tgl'!L$29)</f>
        <v>0</v>
      </c>
      <c r="M116" s="94">
        <f>SUMIFS(DB!$AC:$AC,DB!$E:$E,'Detail Cab By Tgl'!$B116,DB!$AP:$AP,'Detail Cab By Tgl'!$D116,DB!$AT:$AT,"ALDA",DB!$AQ:$AQ,'Detail Cab By Tgl'!M$29)</f>
        <v>0</v>
      </c>
      <c r="N116" s="94">
        <f>SUMIFS(DB!$AC:$AC,DB!$E:$E,'Detail Cab By Tgl'!$B116,DB!$AP:$AP,'Detail Cab By Tgl'!$D116,DB!$AT:$AT,"ALDA",DB!$AQ:$AQ,'Detail Cab By Tgl'!N$29)</f>
        <v>0</v>
      </c>
      <c r="O116" s="94">
        <f>SUMIFS(DB!$AC:$AC,DB!$E:$E,'Detail Cab By Tgl'!$B116,DB!$AP:$AP,'Detail Cab By Tgl'!$D116,DB!$AT:$AT,"ALDA",DB!$AQ:$AQ,'Detail Cab By Tgl'!O$29)</f>
        <v>0</v>
      </c>
      <c r="P116" s="94">
        <f>SUMIFS(DB!$AC:$AC,DB!$E:$E,'Detail Cab By Tgl'!$B116,DB!$AP:$AP,'Detail Cab By Tgl'!$D116,DB!$AT:$AT,"ALDA",DB!$AQ:$AQ,'Detail Cab By Tgl'!P$29)</f>
        <v>0</v>
      </c>
      <c r="Q116" s="94">
        <f>SUMIFS(DB!$AC:$AC,DB!$E:$E,'Detail Cab By Tgl'!$B116,DB!$AP:$AP,'Detail Cab By Tgl'!$D116,DB!$AT:$AT,"ALDA",DB!$AQ:$AQ,'Detail Cab By Tgl'!Q$29)</f>
        <v>0</v>
      </c>
      <c r="R116" s="94">
        <f>SUMIFS(DB!$AC:$AC,DB!$E:$E,'Detail Cab By Tgl'!$B116,DB!$AP:$AP,'Detail Cab By Tgl'!$D116,DB!$AT:$AT,"ALDA",DB!$AQ:$AQ,'Detail Cab By Tgl'!R$29)</f>
        <v>0</v>
      </c>
      <c r="S116" s="94">
        <f>SUMIFS(DB!$AC:$AC,DB!$E:$E,'Detail Cab By Tgl'!$B116,DB!$AP:$AP,'Detail Cab By Tgl'!$D116,DB!$AT:$AT,"ALDA",DB!$AQ:$AQ,'Detail Cab By Tgl'!S$29)</f>
        <v>0</v>
      </c>
      <c r="T116" s="94">
        <f>SUMIFS(DB!$AC:$AC,DB!$E:$E,'Detail Cab By Tgl'!$B116,DB!$AP:$AP,'Detail Cab By Tgl'!$D116,DB!$AT:$AT,"ALDA",DB!$AQ:$AQ,'Detail Cab By Tgl'!T$29)</f>
        <v>0</v>
      </c>
      <c r="U116" s="94">
        <f>SUMIFS(DB!$AC:$AC,DB!$E:$E,'Detail Cab By Tgl'!$B116,DB!$AP:$AP,'Detail Cab By Tgl'!$D116,DB!$AT:$AT,"ALDA",DB!$AQ:$AQ,'Detail Cab By Tgl'!U$29)</f>
        <v>0</v>
      </c>
      <c r="V116" s="94">
        <f>SUMIFS(DB!$AC:$AC,DB!$E:$E,'Detail Cab By Tgl'!$B116,DB!$AP:$AP,'Detail Cab By Tgl'!$D116,DB!$AT:$AT,"ALDA",DB!$AQ:$AQ,'Detail Cab By Tgl'!V$29)</f>
        <v>0</v>
      </c>
      <c r="W116" s="94">
        <f>SUMIFS(DB!$AC:$AC,DB!$E:$E,'Detail Cab By Tgl'!$B116,DB!$AP:$AP,'Detail Cab By Tgl'!$D116,DB!$AT:$AT,"ALDA",DB!$AQ:$AQ,'Detail Cab By Tgl'!W$29)</f>
        <v>0</v>
      </c>
      <c r="X116" s="94">
        <f>SUMIFS(DB!$AC:$AC,DB!$E:$E,'Detail Cab By Tgl'!$B116,DB!$AP:$AP,'Detail Cab By Tgl'!$D116,DB!$AT:$AT,"ALDA",DB!$AQ:$AQ,'Detail Cab By Tgl'!X$29)</f>
        <v>0</v>
      </c>
      <c r="Y116" s="94">
        <f>SUMIFS(DB!$AC:$AC,DB!$E:$E,'Detail Cab By Tgl'!$B116,DB!$AP:$AP,'Detail Cab By Tgl'!$D116,DB!$AT:$AT,"ALDA",DB!$AQ:$AQ,'Detail Cab By Tgl'!Y$29)</f>
        <v>0</v>
      </c>
      <c r="Z116" s="94">
        <f>SUMIFS(DB!$AC:$AC,DB!$E:$E,'Detail Cab By Tgl'!$B116,DB!$AP:$AP,'Detail Cab By Tgl'!$D116,DB!$AT:$AT,"ALDA",DB!$AQ:$AQ,'Detail Cab By Tgl'!Z$29)</f>
        <v>0</v>
      </c>
      <c r="AA116" s="94">
        <f>SUMIFS(DB!$AC:$AC,DB!$E:$E,'Detail Cab By Tgl'!$B116,DB!$AP:$AP,'Detail Cab By Tgl'!$D116,DB!$AT:$AT,"ALDA",DB!$AQ:$AQ,'Detail Cab By Tgl'!AA$29)</f>
        <v>0</v>
      </c>
      <c r="AB116" s="94">
        <f>SUMIFS(DB!$AC:$AC,DB!$E:$E,'Detail Cab By Tgl'!$B116,DB!$AP:$AP,'Detail Cab By Tgl'!$D116,DB!$AT:$AT,"ALDA",DB!$AQ:$AQ,'Detail Cab By Tgl'!AB$29)</f>
        <v>0</v>
      </c>
      <c r="AC116" s="94">
        <f>SUMIFS(DB!$AC:$AC,DB!$E:$E,'Detail Cab By Tgl'!$B116,DB!$AP:$AP,'Detail Cab By Tgl'!$D116,DB!$AT:$AT,"ALDA",DB!$AQ:$AQ,'Detail Cab By Tgl'!AC$29)</f>
        <v>0</v>
      </c>
      <c r="AD116" s="94">
        <f>SUMIFS(DB!$AC:$AC,DB!$E:$E,'Detail Cab By Tgl'!$B116,DB!$AP:$AP,'Detail Cab By Tgl'!$D116,DB!$AT:$AT,"ALDA",DB!$AQ:$AQ,'Detail Cab By Tgl'!AD$29)</f>
        <v>0</v>
      </c>
      <c r="AE116" s="94">
        <f>SUMIFS(DB!$AC:$AC,DB!$E:$E,'Detail Cab By Tgl'!$B116,DB!$AP:$AP,'Detail Cab By Tgl'!$D116,DB!$AT:$AT,"ALDA",DB!$AQ:$AQ,'Detail Cab By Tgl'!AE$29)</f>
        <v>0</v>
      </c>
      <c r="AF116" s="94">
        <f>SUMIFS(DB!$AC:$AC,DB!$E:$E,'Detail Cab By Tgl'!$B116,DB!$AP:$AP,'Detail Cab By Tgl'!$D116,DB!$AT:$AT,"ALDA",DB!$AQ:$AQ,'Detail Cab By Tgl'!AF$29)</f>
        <v>0</v>
      </c>
      <c r="AG116" s="94">
        <f>SUMIFS(DB!$AC:$AC,DB!$E:$E,'Detail Cab By Tgl'!$B116,DB!$AP:$AP,'Detail Cab By Tgl'!$D116,DB!$AT:$AT,"ALDA",DB!$AQ:$AQ,'Detail Cab By Tgl'!AG$29)</f>
        <v>0</v>
      </c>
      <c r="AH116" s="94">
        <f>SUMIFS(DB!$AC:$AC,DB!$E:$E,'Detail Cab By Tgl'!$B116,DB!$AP:$AP,'Detail Cab By Tgl'!$D116,DB!$AT:$AT,"ALDA",DB!$AQ:$AQ,'Detail Cab By Tgl'!AH$29)</f>
        <v>0</v>
      </c>
      <c r="AI116" s="95">
        <f>SUMIFS(DB!$AC:$AC,DB!$E:$E,'Detail Cab By Tgl'!$B116,DB!$AP:$AP,'Detail Cab By Tgl'!$D116,DB!$AT:$AT,"ALDA",DB!$AQ:$AQ,'Detail Cab By Tgl'!AI$29)</f>
        <v>0</v>
      </c>
      <c r="AJ116" s="176">
        <f t="shared" si="9"/>
        <v>0</v>
      </c>
    </row>
    <row r="117" spans="2:36" x14ac:dyDescent="0.3">
      <c r="B117" s="321" t="s">
        <v>5</v>
      </c>
      <c r="C117" s="322" t="s">
        <v>385</v>
      </c>
      <c r="D117" s="106" t="s">
        <v>383</v>
      </c>
      <c r="E117" s="93">
        <f>SUMIFS(DB!$AC:$AC,DB!$E:$E,'Detail Cab By Tgl'!$B117,DB!$AP:$AP,'Detail Cab By Tgl'!$D117,DB!$AT:$AT,"ALDA",DB!$AQ:$AQ,'Detail Cab By Tgl'!E$29)</f>
        <v>0</v>
      </c>
      <c r="F117" s="94">
        <f>SUMIFS(DB!$AC:$AC,DB!$E:$E,'Detail Cab By Tgl'!$B117,DB!$AP:$AP,'Detail Cab By Tgl'!$D117,DB!$AT:$AT,"ALDA",DB!$AQ:$AQ,'Detail Cab By Tgl'!F$29)</f>
        <v>0</v>
      </c>
      <c r="G117" s="94">
        <f>SUMIFS(DB!$AC:$AC,DB!$E:$E,'Detail Cab By Tgl'!$B117,DB!$AP:$AP,'Detail Cab By Tgl'!$D117,DB!$AT:$AT,"ALDA",DB!$AQ:$AQ,'Detail Cab By Tgl'!G$29)</f>
        <v>0</v>
      </c>
      <c r="H117" s="94">
        <f>SUMIFS(DB!$AC:$AC,DB!$E:$E,'Detail Cab By Tgl'!$B117,DB!$AP:$AP,'Detail Cab By Tgl'!$D117,DB!$AT:$AT,"ALDA",DB!$AQ:$AQ,'Detail Cab By Tgl'!H$29)</f>
        <v>0</v>
      </c>
      <c r="I117" s="94">
        <f>SUMIFS(DB!$AC:$AC,DB!$E:$E,'Detail Cab By Tgl'!$B117,DB!$AP:$AP,'Detail Cab By Tgl'!$D117,DB!$AT:$AT,"ALDA",DB!$AQ:$AQ,'Detail Cab By Tgl'!I$29)</f>
        <v>0</v>
      </c>
      <c r="J117" s="94">
        <f>SUMIFS(DB!$AC:$AC,DB!$E:$E,'Detail Cab By Tgl'!$B117,DB!$AP:$AP,'Detail Cab By Tgl'!$D117,DB!$AT:$AT,"ALDA",DB!$AQ:$AQ,'Detail Cab By Tgl'!J$29)</f>
        <v>0</v>
      </c>
      <c r="K117" s="94">
        <f>SUMIFS(DB!$AC:$AC,DB!$E:$E,'Detail Cab By Tgl'!$B117,DB!$AP:$AP,'Detail Cab By Tgl'!$D117,DB!$AT:$AT,"ALDA",DB!$AQ:$AQ,'Detail Cab By Tgl'!K$29)</f>
        <v>0</v>
      </c>
      <c r="L117" s="94">
        <f>SUMIFS(DB!$AC:$AC,DB!$E:$E,'Detail Cab By Tgl'!$B117,DB!$AP:$AP,'Detail Cab By Tgl'!$D117,DB!$AT:$AT,"ALDA",DB!$AQ:$AQ,'Detail Cab By Tgl'!L$29)</f>
        <v>0</v>
      </c>
      <c r="M117" s="94">
        <f>SUMIFS(DB!$AC:$AC,DB!$E:$E,'Detail Cab By Tgl'!$B117,DB!$AP:$AP,'Detail Cab By Tgl'!$D117,DB!$AT:$AT,"ALDA",DB!$AQ:$AQ,'Detail Cab By Tgl'!M$29)</f>
        <v>0</v>
      </c>
      <c r="N117" s="94">
        <f>SUMIFS(DB!$AC:$AC,DB!$E:$E,'Detail Cab By Tgl'!$B117,DB!$AP:$AP,'Detail Cab By Tgl'!$D117,DB!$AT:$AT,"ALDA",DB!$AQ:$AQ,'Detail Cab By Tgl'!N$29)</f>
        <v>0</v>
      </c>
      <c r="O117" s="94">
        <f>SUMIFS(DB!$AC:$AC,DB!$E:$E,'Detail Cab By Tgl'!$B117,DB!$AP:$AP,'Detail Cab By Tgl'!$D117,DB!$AT:$AT,"ALDA",DB!$AQ:$AQ,'Detail Cab By Tgl'!O$29)</f>
        <v>0</v>
      </c>
      <c r="P117" s="94">
        <f>SUMIFS(DB!$AC:$AC,DB!$E:$E,'Detail Cab By Tgl'!$B117,DB!$AP:$AP,'Detail Cab By Tgl'!$D117,DB!$AT:$AT,"ALDA",DB!$AQ:$AQ,'Detail Cab By Tgl'!P$29)</f>
        <v>0</v>
      </c>
      <c r="Q117" s="94">
        <f>SUMIFS(DB!$AC:$AC,DB!$E:$E,'Detail Cab By Tgl'!$B117,DB!$AP:$AP,'Detail Cab By Tgl'!$D117,DB!$AT:$AT,"ALDA",DB!$AQ:$AQ,'Detail Cab By Tgl'!Q$29)</f>
        <v>0</v>
      </c>
      <c r="R117" s="94">
        <f>SUMIFS(DB!$AC:$AC,DB!$E:$E,'Detail Cab By Tgl'!$B117,DB!$AP:$AP,'Detail Cab By Tgl'!$D117,DB!$AT:$AT,"ALDA",DB!$AQ:$AQ,'Detail Cab By Tgl'!R$29)</f>
        <v>0</v>
      </c>
      <c r="S117" s="94">
        <f>SUMIFS(DB!$AC:$AC,DB!$E:$E,'Detail Cab By Tgl'!$B117,DB!$AP:$AP,'Detail Cab By Tgl'!$D117,DB!$AT:$AT,"ALDA",DB!$AQ:$AQ,'Detail Cab By Tgl'!S$29)</f>
        <v>0</v>
      </c>
      <c r="T117" s="94">
        <f>SUMIFS(DB!$AC:$AC,DB!$E:$E,'Detail Cab By Tgl'!$B117,DB!$AP:$AP,'Detail Cab By Tgl'!$D117,DB!$AT:$AT,"ALDA",DB!$AQ:$AQ,'Detail Cab By Tgl'!T$29)</f>
        <v>0</v>
      </c>
      <c r="U117" s="94">
        <f>SUMIFS(DB!$AC:$AC,DB!$E:$E,'Detail Cab By Tgl'!$B117,DB!$AP:$AP,'Detail Cab By Tgl'!$D117,DB!$AT:$AT,"ALDA",DB!$AQ:$AQ,'Detail Cab By Tgl'!U$29)</f>
        <v>0</v>
      </c>
      <c r="V117" s="94">
        <f>SUMIFS(DB!$AC:$AC,DB!$E:$E,'Detail Cab By Tgl'!$B117,DB!$AP:$AP,'Detail Cab By Tgl'!$D117,DB!$AT:$AT,"ALDA",DB!$AQ:$AQ,'Detail Cab By Tgl'!V$29)</f>
        <v>0</v>
      </c>
      <c r="W117" s="94">
        <f>SUMIFS(DB!$AC:$AC,DB!$E:$E,'Detail Cab By Tgl'!$B117,DB!$AP:$AP,'Detail Cab By Tgl'!$D117,DB!$AT:$AT,"ALDA",DB!$AQ:$AQ,'Detail Cab By Tgl'!W$29)</f>
        <v>0</v>
      </c>
      <c r="X117" s="94">
        <f>SUMIFS(DB!$AC:$AC,DB!$E:$E,'Detail Cab By Tgl'!$B117,DB!$AP:$AP,'Detail Cab By Tgl'!$D117,DB!$AT:$AT,"ALDA",DB!$AQ:$AQ,'Detail Cab By Tgl'!X$29)</f>
        <v>0</v>
      </c>
      <c r="Y117" s="94">
        <f>SUMIFS(DB!$AC:$AC,DB!$E:$E,'Detail Cab By Tgl'!$B117,DB!$AP:$AP,'Detail Cab By Tgl'!$D117,DB!$AT:$AT,"ALDA",DB!$AQ:$AQ,'Detail Cab By Tgl'!Y$29)</f>
        <v>0</v>
      </c>
      <c r="Z117" s="94">
        <f>SUMIFS(DB!$AC:$AC,DB!$E:$E,'Detail Cab By Tgl'!$B117,DB!$AP:$AP,'Detail Cab By Tgl'!$D117,DB!$AT:$AT,"ALDA",DB!$AQ:$AQ,'Detail Cab By Tgl'!Z$29)</f>
        <v>0</v>
      </c>
      <c r="AA117" s="94">
        <f>SUMIFS(DB!$AC:$AC,DB!$E:$E,'Detail Cab By Tgl'!$B117,DB!$AP:$AP,'Detail Cab By Tgl'!$D117,DB!$AT:$AT,"ALDA",DB!$AQ:$AQ,'Detail Cab By Tgl'!AA$29)</f>
        <v>0</v>
      </c>
      <c r="AB117" s="94">
        <f>SUMIFS(DB!$AC:$AC,DB!$E:$E,'Detail Cab By Tgl'!$B117,DB!$AP:$AP,'Detail Cab By Tgl'!$D117,DB!$AT:$AT,"ALDA",DB!$AQ:$AQ,'Detail Cab By Tgl'!AB$29)</f>
        <v>0</v>
      </c>
      <c r="AC117" s="94">
        <f>SUMIFS(DB!$AC:$AC,DB!$E:$E,'Detail Cab By Tgl'!$B117,DB!$AP:$AP,'Detail Cab By Tgl'!$D117,DB!$AT:$AT,"ALDA",DB!$AQ:$AQ,'Detail Cab By Tgl'!AC$29)</f>
        <v>0</v>
      </c>
      <c r="AD117" s="94">
        <f>SUMIFS(DB!$AC:$AC,DB!$E:$E,'Detail Cab By Tgl'!$B117,DB!$AP:$AP,'Detail Cab By Tgl'!$D117,DB!$AT:$AT,"ALDA",DB!$AQ:$AQ,'Detail Cab By Tgl'!AD$29)</f>
        <v>0</v>
      </c>
      <c r="AE117" s="94">
        <f>SUMIFS(DB!$AC:$AC,DB!$E:$E,'Detail Cab By Tgl'!$B117,DB!$AP:$AP,'Detail Cab By Tgl'!$D117,DB!$AT:$AT,"ALDA",DB!$AQ:$AQ,'Detail Cab By Tgl'!AE$29)</f>
        <v>0</v>
      </c>
      <c r="AF117" s="94">
        <f>SUMIFS(DB!$AC:$AC,DB!$E:$E,'Detail Cab By Tgl'!$B117,DB!$AP:$AP,'Detail Cab By Tgl'!$D117,DB!$AT:$AT,"ALDA",DB!$AQ:$AQ,'Detail Cab By Tgl'!AF$29)</f>
        <v>0</v>
      </c>
      <c r="AG117" s="94">
        <f>SUMIFS(DB!$AC:$AC,DB!$E:$E,'Detail Cab By Tgl'!$B117,DB!$AP:$AP,'Detail Cab By Tgl'!$D117,DB!$AT:$AT,"ALDA",DB!$AQ:$AQ,'Detail Cab By Tgl'!AG$29)</f>
        <v>0</v>
      </c>
      <c r="AH117" s="94">
        <f>SUMIFS(DB!$AC:$AC,DB!$E:$E,'Detail Cab By Tgl'!$B117,DB!$AP:$AP,'Detail Cab By Tgl'!$D117,DB!$AT:$AT,"ALDA",DB!$AQ:$AQ,'Detail Cab By Tgl'!AH$29)</f>
        <v>0</v>
      </c>
      <c r="AI117" s="95">
        <f>SUMIFS(DB!$AC:$AC,DB!$E:$E,'Detail Cab By Tgl'!$B117,DB!$AP:$AP,'Detail Cab By Tgl'!$D117,DB!$AT:$AT,"ALDA",DB!$AQ:$AQ,'Detail Cab By Tgl'!AI$29)</f>
        <v>0</v>
      </c>
      <c r="AJ117" s="176">
        <f t="shared" si="9"/>
        <v>0</v>
      </c>
    </row>
    <row r="118" spans="2:36" x14ac:dyDescent="0.3">
      <c r="B118" s="321" t="s">
        <v>5</v>
      </c>
      <c r="C118" s="322" t="s">
        <v>385</v>
      </c>
      <c r="D118" s="106" t="s">
        <v>408</v>
      </c>
      <c r="E118" s="93">
        <f>SUMIFS(DB!$AC:$AC,DB!$E:$E,'Detail Cab By Tgl'!$B118,DB!$AP:$AP,'Detail Cab By Tgl'!$D118,DB!$AT:$AT,"ALDA",DB!$AQ:$AQ,'Detail Cab By Tgl'!E$29)</f>
        <v>0</v>
      </c>
      <c r="F118" s="94">
        <f>SUMIFS(DB!$AC:$AC,DB!$E:$E,'Detail Cab By Tgl'!$B118,DB!$AP:$AP,'Detail Cab By Tgl'!$D118,DB!$AT:$AT,"ALDA",DB!$AQ:$AQ,'Detail Cab By Tgl'!F$29)</f>
        <v>0</v>
      </c>
      <c r="G118" s="94">
        <f>SUMIFS(DB!$AC:$AC,DB!$E:$E,'Detail Cab By Tgl'!$B118,DB!$AP:$AP,'Detail Cab By Tgl'!$D118,DB!$AT:$AT,"ALDA",DB!$AQ:$AQ,'Detail Cab By Tgl'!G$29)</f>
        <v>0</v>
      </c>
      <c r="H118" s="94">
        <f>SUMIFS(DB!$AC:$AC,DB!$E:$E,'Detail Cab By Tgl'!$B118,DB!$AP:$AP,'Detail Cab By Tgl'!$D118,DB!$AT:$AT,"ALDA",DB!$AQ:$AQ,'Detail Cab By Tgl'!H$29)</f>
        <v>0</v>
      </c>
      <c r="I118" s="94">
        <f>SUMIFS(DB!$AC:$AC,DB!$E:$E,'Detail Cab By Tgl'!$B118,DB!$AP:$AP,'Detail Cab By Tgl'!$D118,DB!$AT:$AT,"ALDA",DB!$AQ:$AQ,'Detail Cab By Tgl'!I$29)</f>
        <v>0</v>
      </c>
      <c r="J118" s="94">
        <f>SUMIFS(DB!$AC:$AC,DB!$E:$E,'Detail Cab By Tgl'!$B118,DB!$AP:$AP,'Detail Cab By Tgl'!$D118,DB!$AT:$AT,"ALDA",DB!$AQ:$AQ,'Detail Cab By Tgl'!J$29)</f>
        <v>0</v>
      </c>
      <c r="K118" s="94">
        <f>SUMIFS(DB!$AC:$AC,DB!$E:$E,'Detail Cab By Tgl'!$B118,DB!$AP:$AP,'Detail Cab By Tgl'!$D118,DB!$AT:$AT,"ALDA",DB!$AQ:$AQ,'Detail Cab By Tgl'!K$29)</f>
        <v>0</v>
      </c>
      <c r="L118" s="94">
        <f>SUMIFS(DB!$AC:$AC,DB!$E:$E,'Detail Cab By Tgl'!$B118,DB!$AP:$AP,'Detail Cab By Tgl'!$D118,DB!$AT:$AT,"ALDA",DB!$AQ:$AQ,'Detail Cab By Tgl'!L$29)</f>
        <v>0</v>
      </c>
      <c r="M118" s="94">
        <f>SUMIFS(DB!$AC:$AC,DB!$E:$E,'Detail Cab By Tgl'!$B118,DB!$AP:$AP,'Detail Cab By Tgl'!$D118,DB!$AT:$AT,"ALDA",DB!$AQ:$AQ,'Detail Cab By Tgl'!M$29)</f>
        <v>0</v>
      </c>
      <c r="N118" s="94">
        <f>SUMIFS(DB!$AC:$AC,DB!$E:$E,'Detail Cab By Tgl'!$B118,DB!$AP:$AP,'Detail Cab By Tgl'!$D118,DB!$AT:$AT,"ALDA",DB!$AQ:$AQ,'Detail Cab By Tgl'!N$29)</f>
        <v>0</v>
      </c>
      <c r="O118" s="94">
        <f>SUMIFS(DB!$AC:$AC,DB!$E:$E,'Detail Cab By Tgl'!$B118,DB!$AP:$AP,'Detail Cab By Tgl'!$D118,DB!$AT:$AT,"ALDA",DB!$AQ:$AQ,'Detail Cab By Tgl'!O$29)</f>
        <v>0</v>
      </c>
      <c r="P118" s="94">
        <f>SUMIFS(DB!$AC:$AC,DB!$E:$E,'Detail Cab By Tgl'!$B118,DB!$AP:$AP,'Detail Cab By Tgl'!$D118,DB!$AT:$AT,"ALDA",DB!$AQ:$AQ,'Detail Cab By Tgl'!P$29)</f>
        <v>0</v>
      </c>
      <c r="Q118" s="94">
        <f>SUMIFS(DB!$AC:$AC,DB!$E:$E,'Detail Cab By Tgl'!$B118,DB!$AP:$AP,'Detail Cab By Tgl'!$D118,DB!$AT:$AT,"ALDA",DB!$AQ:$AQ,'Detail Cab By Tgl'!Q$29)</f>
        <v>0</v>
      </c>
      <c r="R118" s="94">
        <f>SUMIFS(DB!$AC:$AC,DB!$E:$E,'Detail Cab By Tgl'!$B118,DB!$AP:$AP,'Detail Cab By Tgl'!$D118,DB!$AT:$AT,"ALDA",DB!$AQ:$AQ,'Detail Cab By Tgl'!R$29)</f>
        <v>0</v>
      </c>
      <c r="S118" s="94">
        <f>SUMIFS(DB!$AC:$AC,DB!$E:$E,'Detail Cab By Tgl'!$B118,DB!$AP:$AP,'Detail Cab By Tgl'!$D118,DB!$AT:$AT,"ALDA",DB!$AQ:$AQ,'Detail Cab By Tgl'!S$29)</f>
        <v>0</v>
      </c>
      <c r="T118" s="94">
        <f>SUMIFS(DB!$AC:$AC,DB!$E:$E,'Detail Cab By Tgl'!$B118,DB!$AP:$AP,'Detail Cab By Tgl'!$D118,DB!$AT:$AT,"ALDA",DB!$AQ:$AQ,'Detail Cab By Tgl'!T$29)</f>
        <v>0</v>
      </c>
      <c r="U118" s="94">
        <f>SUMIFS(DB!$AC:$AC,DB!$E:$E,'Detail Cab By Tgl'!$B118,DB!$AP:$AP,'Detail Cab By Tgl'!$D118,DB!$AT:$AT,"ALDA",DB!$AQ:$AQ,'Detail Cab By Tgl'!U$29)</f>
        <v>0</v>
      </c>
      <c r="V118" s="94">
        <f>SUMIFS(DB!$AC:$AC,DB!$E:$E,'Detail Cab By Tgl'!$B118,DB!$AP:$AP,'Detail Cab By Tgl'!$D118,DB!$AT:$AT,"ALDA",DB!$AQ:$AQ,'Detail Cab By Tgl'!V$29)</f>
        <v>0</v>
      </c>
      <c r="W118" s="94">
        <f>SUMIFS(DB!$AC:$AC,DB!$E:$E,'Detail Cab By Tgl'!$B118,DB!$AP:$AP,'Detail Cab By Tgl'!$D118,DB!$AT:$AT,"ALDA",DB!$AQ:$AQ,'Detail Cab By Tgl'!W$29)</f>
        <v>0</v>
      </c>
      <c r="X118" s="94">
        <f>SUMIFS(DB!$AC:$AC,DB!$E:$E,'Detail Cab By Tgl'!$B118,DB!$AP:$AP,'Detail Cab By Tgl'!$D118,DB!$AT:$AT,"ALDA",DB!$AQ:$AQ,'Detail Cab By Tgl'!X$29)</f>
        <v>0</v>
      </c>
      <c r="Y118" s="94">
        <f>SUMIFS(DB!$AC:$AC,DB!$E:$E,'Detail Cab By Tgl'!$B118,DB!$AP:$AP,'Detail Cab By Tgl'!$D118,DB!$AT:$AT,"ALDA",DB!$AQ:$AQ,'Detail Cab By Tgl'!Y$29)</f>
        <v>0</v>
      </c>
      <c r="Z118" s="94">
        <f>SUMIFS(DB!$AC:$AC,DB!$E:$E,'Detail Cab By Tgl'!$B118,DB!$AP:$AP,'Detail Cab By Tgl'!$D118,DB!$AT:$AT,"ALDA",DB!$AQ:$AQ,'Detail Cab By Tgl'!Z$29)</f>
        <v>0</v>
      </c>
      <c r="AA118" s="94">
        <f>SUMIFS(DB!$AC:$AC,DB!$E:$E,'Detail Cab By Tgl'!$B118,DB!$AP:$AP,'Detail Cab By Tgl'!$D118,DB!$AT:$AT,"ALDA",DB!$AQ:$AQ,'Detail Cab By Tgl'!AA$29)</f>
        <v>0</v>
      </c>
      <c r="AB118" s="94">
        <f>SUMIFS(DB!$AC:$AC,DB!$E:$E,'Detail Cab By Tgl'!$B118,DB!$AP:$AP,'Detail Cab By Tgl'!$D118,DB!$AT:$AT,"ALDA",DB!$AQ:$AQ,'Detail Cab By Tgl'!AB$29)</f>
        <v>0</v>
      </c>
      <c r="AC118" s="94">
        <f>SUMIFS(DB!$AC:$AC,DB!$E:$E,'Detail Cab By Tgl'!$B118,DB!$AP:$AP,'Detail Cab By Tgl'!$D118,DB!$AT:$AT,"ALDA",DB!$AQ:$AQ,'Detail Cab By Tgl'!AC$29)</f>
        <v>0</v>
      </c>
      <c r="AD118" s="94">
        <f>SUMIFS(DB!$AC:$AC,DB!$E:$E,'Detail Cab By Tgl'!$B118,DB!$AP:$AP,'Detail Cab By Tgl'!$D118,DB!$AT:$AT,"ALDA",DB!$AQ:$AQ,'Detail Cab By Tgl'!AD$29)</f>
        <v>0</v>
      </c>
      <c r="AE118" s="94">
        <f>SUMIFS(DB!$AC:$AC,DB!$E:$E,'Detail Cab By Tgl'!$B118,DB!$AP:$AP,'Detail Cab By Tgl'!$D118,DB!$AT:$AT,"ALDA",DB!$AQ:$AQ,'Detail Cab By Tgl'!AE$29)</f>
        <v>0</v>
      </c>
      <c r="AF118" s="94">
        <f>SUMIFS(DB!$AC:$AC,DB!$E:$E,'Detail Cab By Tgl'!$B118,DB!$AP:$AP,'Detail Cab By Tgl'!$D118,DB!$AT:$AT,"ALDA",DB!$AQ:$AQ,'Detail Cab By Tgl'!AF$29)</f>
        <v>0</v>
      </c>
      <c r="AG118" s="94">
        <f>SUMIFS(DB!$AC:$AC,DB!$E:$E,'Detail Cab By Tgl'!$B118,DB!$AP:$AP,'Detail Cab By Tgl'!$D118,DB!$AT:$AT,"ALDA",DB!$AQ:$AQ,'Detail Cab By Tgl'!AG$29)</f>
        <v>0</v>
      </c>
      <c r="AH118" s="94">
        <f>SUMIFS(DB!$AC:$AC,DB!$E:$E,'Detail Cab By Tgl'!$B118,DB!$AP:$AP,'Detail Cab By Tgl'!$D118,DB!$AT:$AT,"ALDA",DB!$AQ:$AQ,'Detail Cab By Tgl'!AH$29)</f>
        <v>0</v>
      </c>
      <c r="AI118" s="95">
        <f>SUMIFS(DB!$AC:$AC,DB!$E:$E,'Detail Cab By Tgl'!$B118,DB!$AP:$AP,'Detail Cab By Tgl'!$D118,DB!$AT:$AT,"ALDA",DB!$AQ:$AQ,'Detail Cab By Tgl'!AI$29)</f>
        <v>0</v>
      </c>
      <c r="AJ118" s="176">
        <f t="shared" si="9"/>
        <v>0</v>
      </c>
    </row>
    <row r="119" spans="2:36" ht="16.8" thickBot="1" x14ac:dyDescent="0.35">
      <c r="B119" s="323" t="s">
        <v>5</v>
      </c>
      <c r="C119" s="325" t="s">
        <v>385</v>
      </c>
      <c r="D119" s="111" t="s">
        <v>554</v>
      </c>
      <c r="E119" s="97">
        <f>SUMIFS(DB!$AC:$AC,DB!$E:$E,'Detail Cab By Tgl'!$B119,DB!$AP:$AP,'Detail Cab By Tgl'!$D119,DB!$AT:$AT,"ALDA",DB!$AQ:$AQ,'Detail Cab By Tgl'!E$29)</f>
        <v>0</v>
      </c>
      <c r="F119" s="98">
        <f>SUMIFS(DB!$AC:$AC,DB!$E:$E,'Detail Cab By Tgl'!$B119,DB!$AP:$AP,'Detail Cab By Tgl'!$D119,DB!$AT:$AT,"ALDA",DB!$AQ:$AQ,'Detail Cab By Tgl'!F$29)</f>
        <v>0</v>
      </c>
      <c r="G119" s="98">
        <f>SUMIFS(DB!$AC:$AC,DB!$E:$E,'Detail Cab By Tgl'!$B119,DB!$AP:$AP,'Detail Cab By Tgl'!$D119,DB!$AT:$AT,"ALDA",DB!$AQ:$AQ,'Detail Cab By Tgl'!G$29)</f>
        <v>0</v>
      </c>
      <c r="H119" s="98">
        <f>SUMIFS(DB!$AC:$AC,DB!$E:$E,'Detail Cab By Tgl'!$B119,DB!$AP:$AP,'Detail Cab By Tgl'!$D119,DB!$AT:$AT,"ALDA",DB!$AQ:$AQ,'Detail Cab By Tgl'!H$29)</f>
        <v>0</v>
      </c>
      <c r="I119" s="98">
        <f>SUMIFS(DB!$AC:$AC,DB!$E:$E,'Detail Cab By Tgl'!$B119,DB!$AP:$AP,'Detail Cab By Tgl'!$D119,DB!$AT:$AT,"ALDA",DB!$AQ:$AQ,'Detail Cab By Tgl'!I$29)</f>
        <v>0</v>
      </c>
      <c r="J119" s="98">
        <f>SUMIFS(DB!$AC:$AC,DB!$E:$E,'Detail Cab By Tgl'!$B119,DB!$AP:$AP,'Detail Cab By Tgl'!$D119,DB!$AT:$AT,"ALDA",DB!$AQ:$AQ,'Detail Cab By Tgl'!J$29)</f>
        <v>0</v>
      </c>
      <c r="K119" s="98">
        <f>SUMIFS(DB!$AC:$AC,DB!$E:$E,'Detail Cab By Tgl'!$B119,DB!$AP:$AP,'Detail Cab By Tgl'!$D119,DB!$AT:$AT,"ALDA",DB!$AQ:$AQ,'Detail Cab By Tgl'!K$29)</f>
        <v>0</v>
      </c>
      <c r="L119" s="98">
        <f>SUMIFS(DB!$AC:$AC,DB!$E:$E,'Detail Cab By Tgl'!$B119,DB!$AP:$AP,'Detail Cab By Tgl'!$D119,DB!$AT:$AT,"ALDA",DB!$AQ:$AQ,'Detail Cab By Tgl'!L$29)</f>
        <v>0</v>
      </c>
      <c r="M119" s="98">
        <f>SUMIFS(DB!$AC:$AC,DB!$E:$E,'Detail Cab By Tgl'!$B119,DB!$AP:$AP,'Detail Cab By Tgl'!$D119,DB!$AT:$AT,"ALDA",DB!$AQ:$AQ,'Detail Cab By Tgl'!M$29)</f>
        <v>0</v>
      </c>
      <c r="N119" s="98">
        <f>SUMIFS(DB!$AC:$AC,DB!$E:$E,'Detail Cab By Tgl'!$B119,DB!$AP:$AP,'Detail Cab By Tgl'!$D119,DB!$AT:$AT,"ALDA",DB!$AQ:$AQ,'Detail Cab By Tgl'!N$29)</f>
        <v>0</v>
      </c>
      <c r="O119" s="98">
        <f>SUMIFS(DB!$AC:$AC,DB!$E:$E,'Detail Cab By Tgl'!$B119,DB!$AP:$AP,'Detail Cab By Tgl'!$D119,DB!$AT:$AT,"ALDA",DB!$AQ:$AQ,'Detail Cab By Tgl'!O$29)</f>
        <v>0</v>
      </c>
      <c r="P119" s="98">
        <f>SUMIFS(DB!$AC:$AC,DB!$E:$E,'Detail Cab By Tgl'!$B119,DB!$AP:$AP,'Detail Cab By Tgl'!$D119,DB!$AT:$AT,"ALDA",DB!$AQ:$AQ,'Detail Cab By Tgl'!P$29)</f>
        <v>0</v>
      </c>
      <c r="Q119" s="98">
        <f>SUMIFS(DB!$AC:$AC,DB!$E:$E,'Detail Cab By Tgl'!$B119,DB!$AP:$AP,'Detail Cab By Tgl'!$D119,DB!$AT:$AT,"ALDA",DB!$AQ:$AQ,'Detail Cab By Tgl'!Q$29)</f>
        <v>0</v>
      </c>
      <c r="R119" s="98">
        <f>SUMIFS(DB!$AC:$AC,DB!$E:$E,'Detail Cab By Tgl'!$B119,DB!$AP:$AP,'Detail Cab By Tgl'!$D119,DB!$AT:$AT,"ALDA",DB!$AQ:$AQ,'Detail Cab By Tgl'!R$29)</f>
        <v>0</v>
      </c>
      <c r="S119" s="98">
        <f>SUMIFS(DB!$AC:$AC,DB!$E:$E,'Detail Cab By Tgl'!$B119,DB!$AP:$AP,'Detail Cab By Tgl'!$D119,DB!$AT:$AT,"ALDA",DB!$AQ:$AQ,'Detail Cab By Tgl'!S$29)</f>
        <v>0</v>
      </c>
      <c r="T119" s="98">
        <f>SUMIFS(DB!$AC:$AC,DB!$E:$E,'Detail Cab By Tgl'!$B119,DB!$AP:$AP,'Detail Cab By Tgl'!$D119,DB!$AT:$AT,"ALDA",DB!$AQ:$AQ,'Detail Cab By Tgl'!T$29)</f>
        <v>0</v>
      </c>
      <c r="U119" s="98">
        <f>SUMIFS(DB!$AC:$AC,DB!$E:$E,'Detail Cab By Tgl'!$B119,DB!$AP:$AP,'Detail Cab By Tgl'!$D119,DB!$AT:$AT,"ALDA",DB!$AQ:$AQ,'Detail Cab By Tgl'!U$29)</f>
        <v>0</v>
      </c>
      <c r="V119" s="98">
        <f>SUMIFS(DB!$AC:$AC,DB!$E:$E,'Detail Cab By Tgl'!$B119,DB!$AP:$AP,'Detail Cab By Tgl'!$D119,DB!$AT:$AT,"ALDA",DB!$AQ:$AQ,'Detail Cab By Tgl'!V$29)</f>
        <v>0</v>
      </c>
      <c r="W119" s="98">
        <f>SUMIFS(DB!$AC:$AC,DB!$E:$E,'Detail Cab By Tgl'!$B119,DB!$AP:$AP,'Detail Cab By Tgl'!$D119,DB!$AT:$AT,"ALDA",DB!$AQ:$AQ,'Detail Cab By Tgl'!W$29)</f>
        <v>0</v>
      </c>
      <c r="X119" s="98">
        <f>SUMIFS(DB!$AC:$AC,DB!$E:$E,'Detail Cab By Tgl'!$B119,DB!$AP:$AP,'Detail Cab By Tgl'!$D119,DB!$AT:$AT,"ALDA",DB!$AQ:$AQ,'Detail Cab By Tgl'!X$29)</f>
        <v>0</v>
      </c>
      <c r="Y119" s="98">
        <f>SUMIFS(DB!$AC:$AC,DB!$E:$E,'Detail Cab By Tgl'!$B119,DB!$AP:$AP,'Detail Cab By Tgl'!$D119,DB!$AT:$AT,"ALDA",DB!$AQ:$AQ,'Detail Cab By Tgl'!Y$29)</f>
        <v>0</v>
      </c>
      <c r="Z119" s="98">
        <f>SUMIFS(DB!$AC:$AC,DB!$E:$E,'Detail Cab By Tgl'!$B119,DB!$AP:$AP,'Detail Cab By Tgl'!$D119,DB!$AT:$AT,"ALDA",DB!$AQ:$AQ,'Detail Cab By Tgl'!Z$29)</f>
        <v>0</v>
      </c>
      <c r="AA119" s="98">
        <f>SUMIFS(DB!$AC:$AC,DB!$E:$E,'Detail Cab By Tgl'!$B119,DB!$AP:$AP,'Detail Cab By Tgl'!$D119,DB!$AT:$AT,"ALDA",DB!$AQ:$AQ,'Detail Cab By Tgl'!AA$29)</f>
        <v>0</v>
      </c>
      <c r="AB119" s="98">
        <f>SUMIFS(DB!$AC:$AC,DB!$E:$E,'Detail Cab By Tgl'!$B119,DB!$AP:$AP,'Detail Cab By Tgl'!$D119,DB!$AT:$AT,"ALDA",DB!$AQ:$AQ,'Detail Cab By Tgl'!AB$29)</f>
        <v>0</v>
      </c>
      <c r="AC119" s="98">
        <f>SUMIFS(DB!$AC:$AC,DB!$E:$E,'Detail Cab By Tgl'!$B119,DB!$AP:$AP,'Detail Cab By Tgl'!$D119,DB!$AT:$AT,"ALDA",DB!$AQ:$AQ,'Detail Cab By Tgl'!AC$29)</f>
        <v>0</v>
      </c>
      <c r="AD119" s="98">
        <f>SUMIFS(DB!$AC:$AC,DB!$E:$E,'Detail Cab By Tgl'!$B119,DB!$AP:$AP,'Detail Cab By Tgl'!$D119,DB!$AT:$AT,"ALDA",DB!$AQ:$AQ,'Detail Cab By Tgl'!AD$29)</f>
        <v>0</v>
      </c>
      <c r="AE119" s="98">
        <f>SUMIFS(DB!$AC:$AC,DB!$E:$E,'Detail Cab By Tgl'!$B119,DB!$AP:$AP,'Detail Cab By Tgl'!$D119,DB!$AT:$AT,"ALDA",DB!$AQ:$AQ,'Detail Cab By Tgl'!AE$29)</f>
        <v>0</v>
      </c>
      <c r="AF119" s="98">
        <f>SUMIFS(DB!$AC:$AC,DB!$E:$E,'Detail Cab By Tgl'!$B119,DB!$AP:$AP,'Detail Cab By Tgl'!$D119,DB!$AT:$AT,"ALDA",DB!$AQ:$AQ,'Detail Cab By Tgl'!AF$29)</f>
        <v>0</v>
      </c>
      <c r="AG119" s="98">
        <f>SUMIFS(DB!$AC:$AC,DB!$E:$E,'Detail Cab By Tgl'!$B119,DB!$AP:$AP,'Detail Cab By Tgl'!$D119,DB!$AT:$AT,"ALDA",DB!$AQ:$AQ,'Detail Cab By Tgl'!AG$29)</f>
        <v>0</v>
      </c>
      <c r="AH119" s="98">
        <f>SUMIFS(DB!$AC:$AC,DB!$E:$E,'Detail Cab By Tgl'!$B119,DB!$AP:$AP,'Detail Cab By Tgl'!$D119,DB!$AT:$AT,"ALDA",DB!$AQ:$AQ,'Detail Cab By Tgl'!AH$29)</f>
        <v>0</v>
      </c>
      <c r="AI119" s="99">
        <f>SUMIFS(DB!$AC:$AC,DB!$E:$E,'Detail Cab By Tgl'!$B119,DB!$AP:$AP,'Detail Cab By Tgl'!$D119,DB!$AT:$AT,"ALDA",DB!$AQ:$AQ,'Detail Cab By Tgl'!AI$29)</f>
        <v>0</v>
      </c>
      <c r="AJ119" s="178">
        <f t="shared" si="9"/>
        <v>0</v>
      </c>
    </row>
    <row r="120" spans="2:36" s="82" customFormat="1" ht="18" thickBot="1" x14ac:dyDescent="0.35">
      <c r="B120" s="326" t="s">
        <v>797</v>
      </c>
      <c r="C120" s="327"/>
      <c r="D120" s="328"/>
      <c r="E120" s="329">
        <f>SUM(E30:E119)</f>
        <v>1310992</v>
      </c>
      <c r="F120" s="330">
        <f t="shared" ref="F120:AI120" si="10">SUM(F30:F119)</f>
        <v>6238460</v>
      </c>
      <c r="G120" s="330">
        <f t="shared" si="10"/>
        <v>10674946</v>
      </c>
      <c r="H120" s="330">
        <f t="shared" si="10"/>
        <v>0</v>
      </c>
      <c r="I120" s="330">
        <f t="shared" si="10"/>
        <v>0</v>
      </c>
      <c r="J120" s="330">
        <f t="shared" si="10"/>
        <v>0</v>
      </c>
      <c r="K120" s="330">
        <f t="shared" si="10"/>
        <v>0</v>
      </c>
      <c r="L120" s="330">
        <f t="shared" si="10"/>
        <v>0</v>
      </c>
      <c r="M120" s="330">
        <f t="shared" si="10"/>
        <v>0</v>
      </c>
      <c r="N120" s="330">
        <f t="shared" si="10"/>
        <v>0</v>
      </c>
      <c r="O120" s="330">
        <f t="shared" si="10"/>
        <v>0</v>
      </c>
      <c r="P120" s="330">
        <f t="shared" si="10"/>
        <v>0</v>
      </c>
      <c r="Q120" s="330">
        <f t="shared" si="10"/>
        <v>0</v>
      </c>
      <c r="R120" s="330">
        <f t="shared" si="10"/>
        <v>0</v>
      </c>
      <c r="S120" s="330">
        <f t="shared" si="10"/>
        <v>0</v>
      </c>
      <c r="T120" s="330">
        <f t="shared" si="10"/>
        <v>0</v>
      </c>
      <c r="U120" s="330">
        <f t="shared" si="10"/>
        <v>0</v>
      </c>
      <c r="V120" s="330">
        <f t="shared" si="10"/>
        <v>0</v>
      </c>
      <c r="W120" s="330">
        <f t="shared" si="10"/>
        <v>0</v>
      </c>
      <c r="X120" s="330">
        <f t="shared" si="10"/>
        <v>0</v>
      </c>
      <c r="Y120" s="330">
        <f t="shared" si="10"/>
        <v>0</v>
      </c>
      <c r="Z120" s="330">
        <f t="shared" si="10"/>
        <v>0</v>
      </c>
      <c r="AA120" s="330">
        <f t="shared" si="10"/>
        <v>0</v>
      </c>
      <c r="AB120" s="330">
        <f t="shared" si="10"/>
        <v>0</v>
      </c>
      <c r="AC120" s="330">
        <f t="shared" si="10"/>
        <v>0</v>
      </c>
      <c r="AD120" s="330">
        <f t="shared" si="10"/>
        <v>0</v>
      </c>
      <c r="AE120" s="330">
        <f t="shared" si="10"/>
        <v>0</v>
      </c>
      <c r="AF120" s="330">
        <f t="shared" si="10"/>
        <v>0</v>
      </c>
      <c r="AG120" s="330">
        <f t="shared" si="10"/>
        <v>0</v>
      </c>
      <c r="AH120" s="330">
        <f t="shared" si="10"/>
        <v>0</v>
      </c>
      <c r="AI120" s="331">
        <f t="shared" si="10"/>
        <v>0</v>
      </c>
      <c r="AJ120" s="303">
        <f t="shared" si="9"/>
        <v>18224398</v>
      </c>
    </row>
  </sheetData>
  <mergeCells count="14">
    <mergeCell ref="B2:C2"/>
    <mergeCell ref="C4:C5"/>
    <mergeCell ref="D4:D5"/>
    <mergeCell ref="E4:AI4"/>
    <mergeCell ref="AJ4:AJ5"/>
    <mergeCell ref="C6:C15"/>
    <mergeCell ref="AJ28:AJ29"/>
    <mergeCell ref="B120:D120"/>
    <mergeCell ref="C16:C25"/>
    <mergeCell ref="C26:D26"/>
    <mergeCell ref="B28:B29"/>
    <mergeCell ref="C28:C29"/>
    <mergeCell ref="D28:D29"/>
    <mergeCell ref="E28:AI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H58"/>
  <sheetViews>
    <sheetView showGridLines="0" workbookViewId="0">
      <pane xSplit="4" ySplit="12" topLeftCell="E50" activePane="bottomRight" state="frozen"/>
      <selection pane="topRight" activeCell="E1" sqref="E1"/>
      <selection pane="bottomLeft" activeCell="A13" sqref="A13"/>
      <selection pane="bottomRight" activeCell="H9" sqref="H9"/>
    </sheetView>
  </sheetViews>
  <sheetFormatPr defaultRowHeight="14.4" x14ac:dyDescent="0.3"/>
  <cols>
    <col min="1" max="1" width="2.5546875" customWidth="1"/>
    <col min="2" max="2" width="23.44140625" bestFit="1" customWidth="1"/>
    <col min="3" max="3" width="17" bestFit="1" customWidth="1"/>
    <col min="4" max="4" width="19.88671875" bestFit="1" customWidth="1"/>
    <col min="5" max="5" width="16.33203125" bestFit="1" customWidth="1"/>
    <col min="6" max="6" width="15.33203125" bestFit="1" customWidth="1"/>
    <col min="7" max="7" width="16.33203125" bestFit="1" customWidth="1"/>
    <col min="8" max="8" width="15.44140625" bestFit="1" customWidth="1"/>
  </cols>
  <sheetData>
    <row r="1" spans="2:8" x14ac:dyDescent="0.3">
      <c r="B1" s="113" t="s">
        <v>813</v>
      </c>
    </row>
    <row r="2" spans="2:8" ht="9.75" customHeight="1" x14ac:dyDescent="0.3">
      <c r="H2" s="114">
        <v>4.9239999999999999E-2</v>
      </c>
    </row>
    <row r="3" spans="2:8" x14ac:dyDescent="0.3">
      <c r="B3" s="115" t="s">
        <v>87</v>
      </c>
      <c r="C3" s="115" t="s">
        <v>88</v>
      </c>
      <c r="D3" s="126" t="s">
        <v>811</v>
      </c>
      <c r="E3" s="116" t="s">
        <v>5</v>
      </c>
      <c r="F3" s="116" t="s">
        <v>45</v>
      </c>
      <c r="G3" s="117" t="s">
        <v>800</v>
      </c>
      <c r="H3" s="117" t="s">
        <v>801</v>
      </c>
    </row>
    <row r="4" spans="2:8" x14ac:dyDescent="0.3">
      <c r="B4" s="118" t="s">
        <v>197</v>
      </c>
      <c r="C4" s="119" t="s">
        <v>198</v>
      </c>
      <c r="D4" s="119" t="s">
        <v>199</v>
      </c>
      <c r="E4" s="120">
        <v>4542962438.7199955</v>
      </c>
      <c r="F4" s="120">
        <v>508594669.06999999</v>
      </c>
      <c r="G4" s="120">
        <v>5051557107.7899952</v>
      </c>
      <c r="H4" s="121">
        <v>248738671.98757935</v>
      </c>
    </row>
    <row r="5" spans="2:8" x14ac:dyDescent="0.3">
      <c r="B5" s="119"/>
      <c r="C5" s="119" t="s">
        <v>200</v>
      </c>
      <c r="D5" s="119" t="s">
        <v>43</v>
      </c>
      <c r="E5" s="120">
        <v>1722462228.3599994</v>
      </c>
      <c r="F5" s="120">
        <v>477119944.88999999</v>
      </c>
      <c r="G5" s="120">
        <v>2199582173.2499995</v>
      </c>
      <c r="H5" s="121">
        <v>108307426.21082997</v>
      </c>
    </row>
    <row r="6" spans="2:8" x14ac:dyDescent="0.3">
      <c r="B6" s="119"/>
      <c r="C6" s="119" t="s">
        <v>201</v>
      </c>
      <c r="D6" s="119" t="s">
        <v>362</v>
      </c>
      <c r="E6" s="120">
        <v>3335206954.5200009</v>
      </c>
      <c r="F6" s="120">
        <v>1125356940.9100001</v>
      </c>
      <c r="G6" s="120">
        <v>4460563895.4300013</v>
      </c>
      <c r="H6" s="121">
        <v>219638166.21097326</v>
      </c>
    </row>
    <row r="7" spans="2:8" x14ac:dyDescent="0.3">
      <c r="B7" s="119"/>
      <c r="C7" s="119" t="s">
        <v>202</v>
      </c>
      <c r="D7" s="119" t="s">
        <v>263</v>
      </c>
      <c r="E7" s="120">
        <v>34940481554.570061</v>
      </c>
      <c r="F7" s="120">
        <v>1907021609.6999998</v>
      </c>
      <c r="G7" s="120">
        <v>36847503164.270058</v>
      </c>
      <c r="H7" s="121">
        <v>1814371055.8086576</v>
      </c>
    </row>
    <row r="8" spans="2:8" x14ac:dyDescent="0.3">
      <c r="B8" s="119"/>
      <c r="C8" s="119" t="s">
        <v>204</v>
      </c>
      <c r="D8" s="119" t="s">
        <v>290</v>
      </c>
      <c r="E8" s="120">
        <v>6267144862.699996</v>
      </c>
      <c r="F8" s="120">
        <v>484258559.25</v>
      </c>
      <c r="G8" s="120">
        <v>6751403421.949996</v>
      </c>
      <c r="H8" s="121">
        <v>332439104.49681777</v>
      </c>
    </row>
    <row r="9" spans="2:8" x14ac:dyDescent="0.3">
      <c r="B9" s="119"/>
      <c r="C9" s="119" t="s">
        <v>205</v>
      </c>
      <c r="D9" s="119" t="s">
        <v>37</v>
      </c>
      <c r="E9" s="120">
        <v>5342877410.7999973</v>
      </c>
      <c r="F9" s="120">
        <v>598067130.56000006</v>
      </c>
      <c r="G9" s="120">
        <v>5940944541.3599977</v>
      </c>
      <c r="H9" s="121">
        <v>292532109.21656626</v>
      </c>
    </row>
    <row r="10" spans="2:8" x14ac:dyDescent="0.3">
      <c r="B10" s="119"/>
      <c r="C10" s="119" t="s">
        <v>802</v>
      </c>
      <c r="D10" s="119" t="s">
        <v>557</v>
      </c>
      <c r="E10" s="120">
        <v>862100</v>
      </c>
      <c r="F10" s="120">
        <v>266876720.5</v>
      </c>
      <c r="G10" s="120">
        <v>267738820.5</v>
      </c>
      <c r="H10" s="121">
        <v>160643292.29999998</v>
      </c>
    </row>
    <row r="11" spans="2:8" x14ac:dyDescent="0.3">
      <c r="B11" s="119"/>
      <c r="C11" s="119" t="s">
        <v>207</v>
      </c>
      <c r="D11" s="119" t="s">
        <v>288</v>
      </c>
      <c r="E11" s="120">
        <v>14256162782.420002</v>
      </c>
      <c r="F11" s="120">
        <v>2960104453.2400002</v>
      </c>
      <c r="G11" s="120">
        <v>17216267235.660004</v>
      </c>
      <c r="H11" s="121">
        <v>847728998.68389857</v>
      </c>
    </row>
    <row r="12" spans="2:8" x14ac:dyDescent="0.3">
      <c r="B12" s="122" t="s">
        <v>803</v>
      </c>
      <c r="C12" s="122"/>
      <c r="D12" s="122"/>
      <c r="E12" s="123">
        <v>70408160332.090057</v>
      </c>
      <c r="F12" s="123">
        <v>8327400028.1200008</v>
      </c>
      <c r="G12" s="123">
        <v>78735560360.210052</v>
      </c>
      <c r="H12" s="123">
        <v>4024398824.9153228</v>
      </c>
    </row>
    <row r="13" spans="2:8" x14ac:dyDescent="0.3">
      <c r="B13" s="118" t="s">
        <v>181</v>
      </c>
      <c r="C13" s="119" t="s">
        <v>182</v>
      </c>
      <c r="D13" s="119" t="s">
        <v>346</v>
      </c>
      <c r="E13" s="120">
        <v>3606816360.519999</v>
      </c>
      <c r="F13" s="120">
        <v>469724461.35000002</v>
      </c>
      <c r="G13" s="120">
        <v>4076540821.8699989</v>
      </c>
      <c r="H13" s="121">
        <v>200728870.06887874</v>
      </c>
    </row>
    <row r="14" spans="2:8" x14ac:dyDescent="0.3">
      <c r="B14" s="119"/>
      <c r="C14" s="119" t="s">
        <v>183</v>
      </c>
      <c r="D14" s="119" t="s">
        <v>344</v>
      </c>
      <c r="E14" s="120">
        <v>7730936308.0199976</v>
      </c>
      <c r="F14" s="120">
        <v>1304565337.21</v>
      </c>
      <c r="G14" s="120">
        <v>9035501645.2299976</v>
      </c>
      <c r="H14" s="121">
        <v>444908101.01112509</v>
      </c>
    </row>
    <row r="15" spans="2:8" x14ac:dyDescent="0.3">
      <c r="B15" s="119"/>
      <c r="C15" s="119" t="s">
        <v>184</v>
      </c>
      <c r="D15" s="119" t="s">
        <v>234</v>
      </c>
      <c r="E15" s="120">
        <v>10699511477.389986</v>
      </c>
      <c r="F15" s="120">
        <v>2019943018.1500001</v>
      </c>
      <c r="G15" s="120">
        <v>12719454495.539986</v>
      </c>
      <c r="H15" s="121">
        <v>626305939.36038888</v>
      </c>
    </row>
    <row r="16" spans="2:8" x14ac:dyDescent="0.3">
      <c r="B16" s="119"/>
      <c r="C16" s="119" t="s">
        <v>187</v>
      </c>
      <c r="D16" s="119" t="s">
        <v>41</v>
      </c>
      <c r="E16" s="120">
        <v>11462873162.139994</v>
      </c>
      <c r="F16" s="120">
        <v>537565972.25</v>
      </c>
      <c r="G16" s="120">
        <v>12000439134.389994</v>
      </c>
      <c r="H16" s="121">
        <v>590901622.97736323</v>
      </c>
    </row>
    <row r="17" spans="2:8" x14ac:dyDescent="0.3">
      <c r="B17" s="119"/>
      <c r="C17" s="119" t="s">
        <v>189</v>
      </c>
      <c r="D17" s="119" t="s">
        <v>388</v>
      </c>
      <c r="E17" s="120">
        <v>2269110707.9599996</v>
      </c>
      <c r="F17" s="120">
        <v>427392684.94999999</v>
      </c>
      <c r="G17" s="120">
        <v>2696503392.9099994</v>
      </c>
      <c r="H17" s="121">
        <v>132775827.06688836</v>
      </c>
    </row>
    <row r="18" spans="2:8" x14ac:dyDescent="0.3">
      <c r="B18" s="119"/>
      <c r="C18" s="119" t="s">
        <v>190</v>
      </c>
      <c r="D18" s="119" t="s">
        <v>234</v>
      </c>
      <c r="E18" s="120">
        <v>8498294359.0599995</v>
      </c>
      <c r="F18" s="120">
        <v>830103734.16999996</v>
      </c>
      <c r="G18" s="120">
        <v>9328398093.2299995</v>
      </c>
      <c r="H18" s="121">
        <v>459330322.11064517</v>
      </c>
    </row>
    <row r="19" spans="2:8" x14ac:dyDescent="0.3">
      <c r="B19" s="119"/>
      <c r="C19" s="119" t="s">
        <v>192</v>
      </c>
      <c r="D19" s="119" t="s">
        <v>560</v>
      </c>
      <c r="E19" s="120">
        <v>4356323.8499999996</v>
      </c>
      <c r="F19" s="120">
        <v>223264534.94999999</v>
      </c>
      <c r="G19" s="120">
        <v>227620858.79999998</v>
      </c>
      <c r="H19" s="121">
        <v>113810429.39999999</v>
      </c>
    </row>
    <row r="20" spans="2:8" x14ac:dyDescent="0.3">
      <c r="B20" s="122" t="s">
        <v>804</v>
      </c>
      <c r="C20" s="122"/>
      <c r="D20" s="122"/>
      <c r="E20" s="123">
        <v>44271898698.939972</v>
      </c>
      <c r="F20" s="123">
        <v>5812559743.0299997</v>
      </c>
      <c r="G20" s="123">
        <v>50084458441.969971</v>
      </c>
      <c r="H20" s="123">
        <v>2568761111.9952898</v>
      </c>
    </row>
    <row r="21" spans="2:8" x14ac:dyDescent="0.3">
      <c r="B21" s="118" t="s">
        <v>169</v>
      </c>
      <c r="C21" s="119" t="s">
        <v>170</v>
      </c>
      <c r="D21" s="119" t="s">
        <v>18</v>
      </c>
      <c r="E21" s="120">
        <v>4832392368.8600006</v>
      </c>
      <c r="F21" s="120">
        <v>644732673.99000001</v>
      </c>
      <c r="G21" s="120">
        <v>5477125042.8500004</v>
      </c>
      <c r="H21" s="121">
        <v>269693637.10993403</v>
      </c>
    </row>
    <row r="22" spans="2:8" x14ac:dyDescent="0.3">
      <c r="B22" s="119"/>
      <c r="C22" s="119" t="s">
        <v>171</v>
      </c>
      <c r="D22" s="119" t="s">
        <v>8</v>
      </c>
      <c r="E22" s="120">
        <v>11246077609.220011</v>
      </c>
      <c r="F22" s="120">
        <v>1545132515.3699999</v>
      </c>
      <c r="G22" s="120">
        <v>12791210124.590012</v>
      </c>
      <c r="H22" s="121">
        <v>629839186.53481221</v>
      </c>
    </row>
    <row r="23" spans="2:8" x14ac:dyDescent="0.3">
      <c r="B23" s="119"/>
      <c r="C23" s="119" t="s">
        <v>172</v>
      </c>
      <c r="D23" s="119" t="s">
        <v>173</v>
      </c>
      <c r="E23" s="120">
        <v>3983134825.1799994</v>
      </c>
      <c r="F23" s="120">
        <v>193553353.5</v>
      </c>
      <c r="G23" s="120">
        <v>4176688178.6799994</v>
      </c>
      <c r="H23" s="121">
        <v>205660125.91820318</v>
      </c>
    </row>
    <row r="24" spans="2:8" x14ac:dyDescent="0.3">
      <c r="B24" s="119"/>
      <c r="C24" s="119" t="s">
        <v>175</v>
      </c>
      <c r="D24" s="119" t="s">
        <v>176</v>
      </c>
      <c r="E24" s="120">
        <v>2945127347.8200016</v>
      </c>
      <c r="F24" s="120">
        <v>613574434.07000005</v>
      </c>
      <c r="G24" s="120">
        <v>3558701781.8900018</v>
      </c>
      <c r="H24" s="121">
        <v>175230475.74026367</v>
      </c>
    </row>
    <row r="25" spans="2:8" x14ac:dyDescent="0.3">
      <c r="B25" s="119"/>
      <c r="C25" s="119" t="s">
        <v>177</v>
      </c>
      <c r="D25" s="119" t="s">
        <v>42</v>
      </c>
      <c r="E25" s="120">
        <v>10447839082.969995</v>
      </c>
      <c r="F25" s="120">
        <v>279572956.05000001</v>
      </c>
      <c r="G25" s="120">
        <v>10727412039.019995</v>
      </c>
      <c r="H25" s="121">
        <v>528217768.80134451</v>
      </c>
    </row>
    <row r="26" spans="2:8" x14ac:dyDescent="0.3">
      <c r="B26" s="119"/>
      <c r="C26" s="119" t="s">
        <v>178</v>
      </c>
      <c r="D26" s="119" t="s">
        <v>19</v>
      </c>
      <c r="E26" s="120">
        <v>7094147485.7799978</v>
      </c>
      <c r="F26" s="120">
        <v>949511991.06000006</v>
      </c>
      <c r="G26" s="120">
        <v>8043659476.8399982</v>
      </c>
      <c r="H26" s="121">
        <v>396069792.63960153</v>
      </c>
    </row>
    <row r="27" spans="2:8" x14ac:dyDescent="0.3">
      <c r="B27" s="119"/>
      <c r="C27" s="119" t="s">
        <v>180</v>
      </c>
      <c r="D27" s="119" t="s">
        <v>10</v>
      </c>
      <c r="E27" s="120">
        <v>2922461129.1300015</v>
      </c>
      <c r="F27" s="120">
        <v>548967951.1500001</v>
      </c>
      <c r="G27" s="120">
        <v>3471429080.2800016</v>
      </c>
      <c r="H27" s="121">
        <v>170933167.91298729</v>
      </c>
    </row>
    <row r="28" spans="2:8" x14ac:dyDescent="0.3">
      <c r="B28" s="122" t="s">
        <v>805</v>
      </c>
      <c r="C28" s="122"/>
      <c r="D28" s="122"/>
      <c r="E28" s="123">
        <v>43471179848.960007</v>
      </c>
      <c r="F28" s="123">
        <v>4775045875.1900005</v>
      </c>
      <c r="G28" s="123">
        <v>48246225724.150002</v>
      </c>
      <c r="H28" s="123">
        <v>2375644154.6571465</v>
      </c>
    </row>
    <row r="29" spans="2:8" x14ac:dyDescent="0.3">
      <c r="B29" s="118" t="s">
        <v>161</v>
      </c>
      <c r="C29" s="119" t="s">
        <v>162</v>
      </c>
      <c r="D29" s="119" t="s">
        <v>36</v>
      </c>
      <c r="E29" s="120">
        <v>14215493907.289993</v>
      </c>
      <c r="F29" s="120">
        <v>227692710.84</v>
      </c>
      <c r="G29" s="120">
        <v>14443186618.129993</v>
      </c>
      <c r="H29" s="121">
        <v>711182509.07672083</v>
      </c>
    </row>
    <row r="30" spans="2:8" x14ac:dyDescent="0.3">
      <c r="B30" s="119"/>
      <c r="C30" s="119" t="s">
        <v>164</v>
      </c>
      <c r="D30" s="119" t="s">
        <v>24</v>
      </c>
      <c r="E30" s="120">
        <v>6264887352.5600042</v>
      </c>
      <c r="F30" s="120">
        <v>188688273.75</v>
      </c>
      <c r="G30" s="120">
        <v>6453575626.3100042</v>
      </c>
      <c r="H30" s="121">
        <v>317774063.8395046</v>
      </c>
    </row>
    <row r="31" spans="2:8" x14ac:dyDescent="0.3">
      <c r="B31" s="119"/>
      <c r="C31" s="119" t="s">
        <v>166</v>
      </c>
      <c r="D31" s="119" t="s">
        <v>31</v>
      </c>
      <c r="E31" s="120">
        <v>4750886218.7299995</v>
      </c>
      <c r="F31" s="120">
        <v>936117192.31999993</v>
      </c>
      <c r="G31" s="120">
        <v>5687003411.0499992</v>
      </c>
      <c r="H31" s="121">
        <v>280028047.96010196</v>
      </c>
    </row>
    <row r="32" spans="2:8" x14ac:dyDescent="0.3">
      <c r="B32" s="119"/>
      <c r="C32" s="119" t="s">
        <v>168</v>
      </c>
      <c r="D32" s="119" t="s">
        <v>34</v>
      </c>
      <c r="E32" s="120">
        <v>15175313436.910007</v>
      </c>
      <c r="F32" s="120">
        <v>1424272578.6700001</v>
      </c>
      <c r="G32" s="120">
        <v>16599586015.580008</v>
      </c>
      <c r="H32" s="121">
        <v>817363615.40715957</v>
      </c>
    </row>
    <row r="33" spans="2:8" x14ac:dyDescent="0.3">
      <c r="B33" s="122" t="s">
        <v>806</v>
      </c>
      <c r="C33" s="122"/>
      <c r="D33" s="122"/>
      <c r="E33" s="123">
        <v>40406580915.490005</v>
      </c>
      <c r="F33" s="123">
        <v>2776770755.5799999</v>
      </c>
      <c r="G33" s="123">
        <v>43183351671.070007</v>
      </c>
      <c r="H33" s="123">
        <v>2126348236.2834871</v>
      </c>
    </row>
    <row r="34" spans="2:8" x14ac:dyDescent="0.3">
      <c r="B34" s="118" t="s">
        <v>149</v>
      </c>
      <c r="C34" s="119" t="s">
        <v>150</v>
      </c>
      <c r="D34" s="119" t="s">
        <v>38</v>
      </c>
      <c r="E34" s="120">
        <v>2125349729.9299996</v>
      </c>
      <c r="F34" s="120">
        <v>297021629.52999997</v>
      </c>
      <c r="G34" s="120">
        <v>2422371359.4599996</v>
      </c>
      <c r="H34" s="121">
        <v>119277565.73981038</v>
      </c>
    </row>
    <row r="35" spans="2:8" x14ac:dyDescent="0.3">
      <c r="B35" s="119"/>
      <c r="C35" s="119" t="s">
        <v>153</v>
      </c>
      <c r="D35" s="119" t="s">
        <v>27</v>
      </c>
      <c r="E35" s="120">
        <v>1190986016.9499996</v>
      </c>
      <c r="F35" s="120">
        <v>554805463.97000003</v>
      </c>
      <c r="G35" s="120">
        <v>1745791480.9199996</v>
      </c>
      <c r="H35" s="121">
        <v>174579148.09199998</v>
      </c>
    </row>
    <row r="36" spans="2:8" x14ac:dyDescent="0.3">
      <c r="B36" s="119"/>
      <c r="C36" s="119" t="s">
        <v>155</v>
      </c>
      <c r="D36" s="119" t="s">
        <v>33</v>
      </c>
      <c r="E36" s="120">
        <v>6021916415.2199945</v>
      </c>
      <c r="F36" s="120">
        <v>1810079836.3499999</v>
      </c>
      <c r="G36" s="120">
        <v>7831996251.569994</v>
      </c>
      <c r="H36" s="121">
        <v>385647495.42730647</v>
      </c>
    </row>
    <row r="37" spans="2:8" x14ac:dyDescent="0.3">
      <c r="B37" s="119"/>
      <c r="C37" s="119" t="s">
        <v>156</v>
      </c>
      <c r="D37" s="119" t="s">
        <v>32</v>
      </c>
      <c r="E37" s="120">
        <v>12723190633.869999</v>
      </c>
      <c r="F37" s="120">
        <v>196803115</v>
      </c>
      <c r="G37" s="120">
        <v>12919993748.869999</v>
      </c>
      <c r="H37" s="121">
        <v>636180492.19435871</v>
      </c>
    </row>
    <row r="38" spans="2:8" x14ac:dyDescent="0.3">
      <c r="B38" s="119"/>
      <c r="C38" s="119" t="s">
        <v>157</v>
      </c>
      <c r="D38" s="119" t="s">
        <v>307</v>
      </c>
      <c r="E38" s="120">
        <v>2303537378.289999</v>
      </c>
      <c r="F38" s="120">
        <v>320221695.40000021</v>
      </c>
      <c r="G38" s="120">
        <v>2623759073.6899991</v>
      </c>
      <c r="H38" s="121">
        <v>262375907.36899993</v>
      </c>
    </row>
    <row r="39" spans="2:8" x14ac:dyDescent="0.3">
      <c r="B39" s="119"/>
      <c r="C39" s="119" t="s">
        <v>159</v>
      </c>
      <c r="D39" s="119" t="s">
        <v>274</v>
      </c>
      <c r="E39" s="120">
        <v>4506498236.8699999</v>
      </c>
      <c r="F39" s="120">
        <v>1415252961.7799997</v>
      </c>
      <c r="G39" s="120">
        <v>5921751198.6499996</v>
      </c>
      <c r="H39" s="121">
        <v>291587029.02152598</v>
      </c>
    </row>
    <row r="40" spans="2:8" x14ac:dyDescent="0.3">
      <c r="B40" s="122" t="s">
        <v>807</v>
      </c>
      <c r="C40" s="122"/>
      <c r="D40" s="122"/>
      <c r="E40" s="123">
        <v>28871478411.129993</v>
      </c>
      <c r="F40" s="123">
        <v>4594184702.0299997</v>
      </c>
      <c r="G40" s="123">
        <v>33465663113.159988</v>
      </c>
      <c r="H40" s="123">
        <v>1869647637.8440013</v>
      </c>
    </row>
    <row r="41" spans="2:8" x14ac:dyDescent="0.3">
      <c r="B41" s="118" t="s">
        <v>138</v>
      </c>
      <c r="C41" s="119" t="s">
        <v>139</v>
      </c>
      <c r="D41" s="119" t="s">
        <v>23</v>
      </c>
      <c r="E41" s="120">
        <v>9467885491.2199993</v>
      </c>
      <c r="F41" s="120">
        <v>3531761283.0600004</v>
      </c>
      <c r="G41" s="120">
        <v>12999646774.279999</v>
      </c>
      <c r="H41" s="121">
        <v>640102607.16554713</v>
      </c>
    </row>
    <row r="42" spans="2:8" x14ac:dyDescent="0.3">
      <c r="B42" s="119"/>
      <c r="C42" s="119" t="s">
        <v>141</v>
      </c>
      <c r="D42" s="119" t="s">
        <v>244</v>
      </c>
      <c r="E42" s="120">
        <v>11743064499.210011</v>
      </c>
      <c r="F42" s="120">
        <v>1511403820.3499999</v>
      </c>
      <c r="G42" s="120">
        <v>13254468319.560011</v>
      </c>
      <c r="H42" s="121">
        <v>652650020.05513489</v>
      </c>
    </row>
    <row r="43" spans="2:8" x14ac:dyDescent="0.3">
      <c r="B43" s="119"/>
      <c r="C43" s="119" t="s">
        <v>142</v>
      </c>
      <c r="D43" s="119" t="s">
        <v>22</v>
      </c>
      <c r="E43" s="120">
        <v>7244881188.8199911</v>
      </c>
      <c r="F43" s="120">
        <v>710656608.35000002</v>
      </c>
      <c r="G43" s="120">
        <v>7955537797.1699915</v>
      </c>
      <c r="H43" s="121">
        <v>391730681.13265038</v>
      </c>
    </row>
    <row r="44" spans="2:8" x14ac:dyDescent="0.3">
      <c r="B44" s="119"/>
      <c r="C44" s="119" t="s">
        <v>143</v>
      </c>
      <c r="D44" s="119" t="s">
        <v>590</v>
      </c>
      <c r="E44" s="120"/>
      <c r="F44" s="120">
        <v>1307948639.5900002</v>
      </c>
      <c r="G44" s="120">
        <v>1307948639.5900002</v>
      </c>
      <c r="H44" s="121">
        <v>196192295.93850002</v>
      </c>
    </row>
    <row r="45" spans="2:8" x14ac:dyDescent="0.3">
      <c r="B45" s="119"/>
      <c r="C45" s="119" t="s">
        <v>144</v>
      </c>
      <c r="D45" s="119" t="s">
        <v>331</v>
      </c>
      <c r="E45" s="120">
        <v>4738874282.2199993</v>
      </c>
      <c r="F45" s="120">
        <v>2479134838.25</v>
      </c>
      <c r="G45" s="120">
        <v>7218009120.4699993</v>
      </c>
      <c r="H45" s="121">
        <v>355414769.09194279</v>
      </c>
    </row>
    <row r="46" spans="2:8" x14ac:dyDescent="0.3">
      <c r="B46" s="119"/>
      <c r="C46" s="119" t="s">
        <v>146</v>
      </c>
      <c r="D46" s="119" t="s">
        <v>29</v>
      </c>
      <c r="E46" s="120">
        <v>4975033881.8699989</v>
      </c>
      <c r="F46" s="120">
        <v>1891807483.2199998</v>
      </c>
      <c r="G46" s="120">
        <v>6866841365.0899982</v>
      </c>
      <c r="H46" s="121">
        <v>338123268.8170315</v>
      </c>
    </row>
    <row r="47" spans="2:8" x14ac:dyDescent="0.3">
      <c r="B47" s="119"/>
      <c r="C47" s="119" t="s">
        <v>147</v>
      </c>
      <c r="D47" s="119" t="s">
        <v>269</v>
      </c>
      <c r="E47" s="120">
        <v>6259263156.2299948</v>
      </c>
      <c r="F47" s="120">
        <v>2185027549.3400002</v>
      </c>
      <c r="G47" s="120">
        <v>8444290705.5699949</v>
      </c>
      <c r="H47" s="121">
        <v>415796874.34226656</v>
      </c>
    </row>
    <row r="48" spans="2:8" x14ac:dyDescent="0.3">
      <c r="B48" s="119"/>
      <c r="C48" s="119" t="s">
        <v>148</v>
      </c>
      <c r="D48" s="119" t="s">
        <v>28</v>
      </c>
      <c r="E48" s="120">
        <v>9868636466.5800114</v>
      </c>
      <c r="F48" s="120">
        <v>4758136113.749999</v>
      </c>
      <c r="G48" s="120">
        <v>14626772580.330009</v>
      </c>
      <c r="H48" s="121">
        <v>720222281.85544968</v>
      </c>
    </row>
    <row r="49" spans="2:8" x14ac:dyDescent="0.3">
      <c r="B49" s="122" t="s">
        <v>808</v>
      </c>
      <c r="C49" s="122"/>
      <c r="D49" s="122"/>
      <c r="E49" s="123">
        <v>54297638966.150002</v>
      </c>
      <c r="F49" s="123">
        <v>18375876335.91</v>
      </c>
      <c r="G49" s="123">
        <v>72673515302.059998</v>
      </c>
      <c r="H49" s="123">
        <v>3710232798.3985229</v>
      </c>
    </row>
    <row r="50" spans="2:8" x14ac:dyDescent="0.3">
      <c r="B50" s="118" t="s">
        <v>126</v>
      </c>
      <c r="C50" s="119" t="s">
        <v>127</v>
      </c>
      <c r="D50" s="119" t="s">
        <v>30</v>
      </c>
      <c r="E50" s="120">
        <v>9162593017.6000023</v>
      </c>
      <c r="F50" s="120">
        <v>1432497087.6700003</v>
      </c>
      <c r="G50" s="120">
        <v>10595090105.270002</v>
      </c>
      <c r="H50" s="121">
        <v>521702236.78349489</v>
      </c>
    </row>
    <row r="51" spans="2:8" x14ac:dyDescent="0.3">
      <c r="B51" s="119"/>
      <c r="C51" s="119" t="s">
        <v>132</v>
      </c>
      <c r="D51" s="119" t="s">
        <v>309</v>
      </c>
      <c r="E51" s="120">
        <v>2220822582.6700001</v>
      </c>
      <c r="F51" s="120">
        <v>142872560.15000001</v>
      </c>
      <c r="G51" s="120">
        <v>2363695142.8200002</v>
      </c>
      <c r="H51" s="121">
        <v>236369514.28200004</v>
      </c>
    </row>
    <row r="52" spans="2:8" x14ac:dyDescent="0.3">
      <c r="B52" s="119"/>
      <c r="C52" s="119" t="s">
        <v>133</v>
      </c>
      <c r="D52" s="119" t="s">
        <v>25</v>
      </c>
      <c r="E52" s="120">
        <v>10578801444.629995</v>
      </c>
      <c r="F52" s="120">
        <v>3263118102.559999</v>
      </c>
      <c r="G52" s="120">
        <v>13841919547.189995</v>
      </c>
      <c r="H52" s="121">
        <v>681576118.50363529</v>
      </c>
    </row>
    <row r="53" spans="2:8" x14ac:dyDescent="0.3">
      <c r="B53" s="122" t="s">
        <v>809</v>
      </c>
      <c r="C53" s="122"/>
      <c r="D53" s="122"/>
      <c r="E53" s="123">
        <v>21962217044.899998</v>
      </c>
      <c r="F53" s="123">
        <v>4838487750.3799992</v>
      </c>
      <c r="G53" s="123">
        <v>26800704795.279999</v>
      </c>
      <c r="H53" s="123">
        <v>1439647869.5691302</v>
      </c>
    </row>
    <row r="54" spans="2:8" x14ac:dyDescent="0.3">
      <c r="B54" s="118" t="s">
        <v>118</v>
      </c>
      <c r="C54" s="119" t="s">
        <v>119</v>
      </c>
      <c r="D54" s="119" t="s">
        <v>383</v>
      </c>
      <c r="E54" s="120">
        <v>264234884.03</v>
      </c>
      <c r="F54" s="120">
        <v>938790285.61000013</v>
      </c>
      <c r="G54" s="120">
        <v>1203025169.6400001</v>
      </c>
      <c r="H54" s="121">
        <v>240605033.92800003</v>
      </c>
    </row>
    <row r="55" spans="2:8" x14ac:dyDescent="0.3">
      <c r="B55" s="119"/>
      <c r="C55" s="119" t="s">
        <v>124</v>
      </c>
      <c r="D55" s="119" t="s">
        <v>408</v>
      </c>
      <c r="E55" s="120">
        <v>1652442742.1700001</v>
      </c>
      <c r="F55" s="120">
        <v>1230184114.55</v>
      </c>
      <c r="G55" s="120">
        <v>2882626856.7200003</v>
      </c>
      <c r="H55" s="121">
        <v>432394028.50800002</v>
      </c>
    </row>
    <row r="56" spans="2:8" x14ac:dyDescent="0.3">
      <c r="B56" s="119"/>
      <c r="C56" s="119" t="s">
        <v>125</v>
      </c>
      <c r="D56" s="119" t="s">
        <v>554</v>
      </c>
      <c r="E56" s="120"/>
      <c r="F56" s="120">
        <v>714644792.91999996</v>
      </c>
      <c r="G56" s="120">
        <v>714644792.91999996</v>
      </c>
      <c r="H56" s="121">
        <v>214393437.87599999</v>
      </c>
    </row>
    <row r="57" spans="2:8" ht="15" thickBot="1" x14ac:dyDescent="0.35">
      <c r="B57" s="122" t="s">
        <v>810</v>
      </c>
      <c r="C57" s="122"/>
      <c r="D57" s="122"/>
      <c r="E57" s="123">
        <v>1916677626.2</v>
      </c>
      <c r="F57" s="123">
        <v>2883619193.0799999</v>
      </c>
      <c r="G57" s="123">
        <v>4800296819.2800007</v>
      </c>
      <c r="H57" s="123">
        <v>887392500.31200004</v>
      </c>
    </row>
    <row r="58" spans="2:8" ht="15" thickTop="1" x14ac:dyDescent="0.3">
      <c r="B58" s="124" t="s">
        <v>800</v>
      </c>
      <c r="C58" s="124"/>
      <c r="D58" s="124"/>
      <c r="E58" s="125">
        <v>305605831843.86011</v>
      </c>
      <c r="F58" s="125">
        <v>52383944383.32</v>
      </c>
      <c r="G58" s="125">
        <v>357989776227.18005</v>
      </c>
      <c r="H58" s="125">
        <v>19002073133.974903</v>
      </c>
    </row>
  </sheetData>
  <autoFilter ref="B3:H3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6"/>
  <sheetViews>
    <sheetView showGridLines="0" workbookViewId="0">
      <pane xSplit="2" ySplit="7" topLeftCell="C29" activePane="bottomRight" state="frozen"/>
      <selection activeCell="AJ28" sqref="AJ28:AJ29"/>
      <selection pane="topRight" activeCell="AJ28" sqref="AJ28:AJ29"/>
      <selection pane="bottomLeft" activeCell="AJ28" sqref="AJ28:AJ29"/>
      <selection pane="bottomRight" activeCell="J2" sqref="J2:K45"/>
    </sheetView>
  </sheetViews>
  <sheetFormatPr defaultRowHeight="14.4" x14ac:dyDescent="0.3"/>
  <cols>
    <col min="1" max="2" width="17.5546875" customWidth="1"/>
    <col min="3" max="3" width="18.33203125" style="195" customWidth="1"/>
    <col min="4" max="4" width="15" customWidth="1"/>
    <col min="7" max="7" width="18.6640625" bestFit="1" customWidth="1"/>
    <col min="8" max="8" width="15.6640625" bestFit="1" customWidth="1"/>
    <col min="9" max="9" width="18.33203125" bestFit="1" customWidth="1"/>
    <col min="10" max="10" width="12.5546875" bestFit="1" customWidth="1"/>
    <col min="11" max="12" width="14.33203125" bestFit="1" customWidth="1"/>
  </cols>
  <sheetData>
    <row r="1" spans="1:12" ht="15" thickBot="1" x14ac:dyDescent="0.35">
      <c r="A1" s="193" t="s">
        <v>210</v>
      </c>
      <c r="B1" s="193" t="s">
        <v>811</v>
      </c>
      <c r="C1" s="194" t="s">
        <v>814</v>
      </c>
      <c r="D1" s="193"/>
      <c r="G1" s="197" t="s">
        <v>209</v>
      </c>
      <c r="H1" s="198" t="s">
        <v>210</v>
      </c>
      <c r="I1" s="198" t="s">
        <v>811</v>
      </c>
      <c r="J1" s="198" t="s">
        <v>816</v>
      </c>
      <c r="K1" s="198" t="s">
        <v>817</v>
      </c>
      <c r="L1" s="199" t="s">
        <v>818</v>
      </c>
    </row>
    <row r="2" spans="1:12" x14ac:dyDescent="0.3">
      <c r="A2" t="s">
        <v>119</v>
      </c>
      <c r="B2" t="s">
        <v>383</v>
      </c>
      <c r="C2" s="195">
        <v>12444351.323732</v>
      </c>
      <c r="D2" s="195">
        <f>C2+(C2*100%)</f>
        <v>24888702.647464</v>
      </c>
      <c r="G2" s="200" t="s">
        <v>819</v>
      </c>
      <c r="H2" s="201" t="s">
        <v>141</v>
      </c>
      <c r="I2" s="201" t="s">
        <v>244</v>
      </c>
      <c r="J2" s="202">
        <v>19067000</v>
      </c>
      <c r="K2" s="202">
        <v>71488000</v>
      </c>
      <c r="L2" s="204">
        <f>SUM(J2:K2)</f>
        <v>90555000</v>
      </c>
    </row>
    <row r="3" spans="1:12" x14ac:dyDescent="0.3">
      <c r="A3" t="s">
        <v>124</v>
      </c>
      <c r="B3" t="s">
        <v>408</v>
      </c>
      <c r="C3" s="195">
        <v>15437052.171017999</v>
      </c>
      <c r="D3" s="195">
        <f t="shared" ref="D3:D45" si="0">C3+(C3*100%)</f>
        <v>30874104.342035998</v>
      </c>
      <c r="G3" s="205" t="s">
        <v>819</v>
      </c>
      <c r="H3" s="206" t="s">
        <v>148</v>
      </c>
      <c r="I3" s="201" t="s">
        <v>28</v>
      </c>
      <c r="J3" s="202">
        <v>16013000</v>
      </c>
      <c r="K3" s="203">
        <v>219770000</v>
      </c>
      <c r="L3" s="207">
        <f t="shared" ref="L3:L45" si="1">SUM(J3:K3)</f>
        <v>235783000</v>
      </c>
    </row>
    <row r="4" spans="1:12" x14ac:dyDescent="0.3">
      <c r="A4" t="s">
        <v>125</v>
      </c>
      <c r="B4" t="s">
        <v>554</v>
      </c>
      <c r="C4" s="195">
        <v>8780870.4479599986</v>
      </c>
      <c r="D4" s="195">
        <f t="shared" si="0"/>
        <v>17561740.895919997</v>
      </c>
      <c r="G4" s="205" t="s">
        <v>819</v>
      </c>
      <c r="H4" s="206" t="s">
        <v>139</v>
      </c>
      <c r="I4" s="201" t="s">
        <v>23</v>
      </c>
      <c r="J4" s="202">
        <v>15373000</v>
      </c>
      <c r="K4" s="203">
        <v>163040000</v>
      </c>
      <c r="L4" s="207">
        <f t="shared" si="1"/>
        <v>178413000</v>
      </c>
    </row>
    <row r="5" spans="1:12" x14ac:dyDescent="0.3">
      <c r="A5" t="s">
        <v>127</v>
      </c>
      <c r="B5" t="s">
        <v>30</v>
      </c>
      <c r="C5" s="195">
        <v>22325575.862890005</v>
      </c>
      <c r="D5" s="195">
        <f t="shared" si="0"/>
        <v>44651151.72578001</v>
      </c>
      <c r="G5" s="205" t="s">
        <v>819</v>
      </c>
      <c r="H5" s="206" t="s">
        <v>142</v>
      </c>
      <c r="I5" s="201" t="s">
        <v>22</v>
      </c>
      <c r="J5" s="202">
        <v>11766000</v>
      </c>
      <c r="K5" s="203">
        <v>31595000</v>
      </c>
      <c r="L5" s="207">
        <f t="shared" si="1"/>
        <v>43361000</v>
      </c>
    </row>
    <row r="6" spans="1:12" x14ac:dyDescent="0.3">
      <c r="A6" t="s">
        <v>132</v>
      </c>
      <c r="B6" t="s">
        <v>309</v>
      </c>
      <c r="C6" s="195">
        <v>2491772.8230680004</v>
      </c>
      <c r="D6" s="195">
        <f t="shared" si="0"/>
        <v>4983545.6461360008</v>
      </c>
      <c r="G6" s="205" t="s">
        <v>819</v>
      </c>
      <c r="H6" s="206" t="s">
        <v>147</v>
      </c>
      <c r="I6" s="201" t="s">
        <v>269</v>
      </c>
      <c r="J6" s="202">
        <v>10165000</v>
      </c>
      <c r="K6" s="203">
        <v>97060000</v>
      </c>
      <c r="L6" s="207">
        <f t="shared" si="1"/>
        <v>107225000</v>
      </c>
    </row>
    <row r="7" spans="1:12" x14ac:dyDescent="0.3">
      <c r="A7" t="s">
        <v>133</v>
      </c>
      <c r="B7" t="s">
        <v>25</v>
      </c>
      <c r="C7" s="195">
        <v>47945289.230571985</v>
      </c>
      <c r="D7" s="195">
        <f t="shared" si="0"/>
        <v>95890578.46114397</v>
      </c>
      <c r="G7" s="205" t="s">
        <v>819</v>
      </c>
      <c r="H7" s="206" t="s">
        <v>146</v>
      </c>
      <c r="I7" s="201" t="s">
        <v>29</v>
      </c>
      <c r="J7" s="202">
        <v>8082000</v>
      </c>
      <c r="K7" s="203">
        <v>92038000</v>
      </c>
      <c r="L7" s="207">
        <f t="shared" si="1"/>
        <v>100120000</v>
      </c>
    </row>
    <row r="8" spans="1:12" x14ac:dyDescent="0.3">
      <c r="A8" t="s">
        <v>139</v>
      </c>
      <c r="B8" t="s">
        <v>23</v>
      </c>
      <c r="C8" s="195">
        <v>47523899.772368006</v>
      </c>
      <c r="D8" s="195">
        <f t="shared" si="0"/>
        <v>95047799.544736013</v>
      </c>
      <c r="G8" s="205" t="s">
        <v>819</v>
      </c>
      <c r="H8" s="206" t="s">
        <v>144</v>
      </c>
      <c r="I8" s="201" t="s">
        <v>331</v>
      </c>
      <c r="J8" s="202">
        <v>7698000</v>
      </c>
      <c r="K8" s="203">
        <v>117123000</v>
      </c>
      <c r="L8" s="207">
        <f t="shared" si="1"/>
        <v>124821000</v>
      </c>
    </row>
    <row r="9" spans="1:12" x14ac:dyDescent="0.3">
      <c r="A9" t="s">
        <v>141</v>
      </c>
      <c r="B9" t="s">
        <v>244</v>
      </c>
      <c r="C9" s="195">
        <v>23624076.275284003</v>
      </c>
      <c r="D9" s="195">
        <f t="shared" si="0"/>
        <v>47248152.550568007</v>
      </c>
      <c r="G9" s="205" t="s">
        <v>819</v>
      </c>
      <c r="H9" s="206" t="s">
        <v>143</v>
      </c>
      <c r="I9" s="201" t="s">
        <v>590</v>
      </c>
      <c r="J9" s="202">
        <v>0</v>
      </c>
      <c r="K9" s="203">
        <v>64741000</v>
      </c>
      <c r="L9" s="207">
        <f t="shared" si="1"/>
        <v>64741000</v>
      </c>
    </row>
    <row r="10" spans="1:12" x14ac:dyDescent="0.3">
      <c r="A10" t="s">
        <v>142</v>
      </c>
      <c r="B10" t="s">
        <v>22</v>
      </c>
      <c r="C10" s="195">
        <v>10930155.417577997</v>
      </c>
      <c r="D10" s="195">
        <f t="shared" si="0"/>
        <v>21860310.835155994</v>
      </c>
      <c r="G10" s="205" t="s">
        <v>820</v>
      </c>
      <c r="H10" s="206" t="s">
        <v>133</v>
      </c>
      <c r="I10" s="201" t="s">
        <v>25</v>
      </c>
      <c r="J10" s="202">
        <v>17184000</v>
      </c>
      <c r="K10" s="203">
        <v>154989000</v>
      </c>
      <c r="L10" s="207">
        <f t="shared" si="1"/>
        <v>172173000</v>
      </c>
    </row>
    <row r="11" spans="1:12" x14ac:dyDescent="0.3">
      <c r="A11" t="s">
        <v>143</v>
      </c>
      <c r="B11" t="s">
        <v>590</v>
      </c>
      <c r="C11" s="195">
        <v>18376344.094420001</v>
      </c>
      <c r="D11" s="195">
        <f t="shared" si="0"/>
        <v>36752688.188840002</v>
      </c>
      <c r="G11" s="205" t="s">
        <v>820</v>
      </c>
      <c r="H11" s="206" t="s">
        <v>127</v>
      </c>
      <c r="I11" s="201" t="s">
        <v>30</v>
      </c>
      <c r="J11" s="202">
        <v>14880000</v>
      </c>
      <c r="K11" s="203">
        <v>67151000</v>
      </c>
      <c r="L11" s="207">
        <f t="shared" si="1"/>
        <v>82031000</v>
      </c>
    </row>
    <row r="12" spans="1:12" x14ac:dyDescent="0.3">
      <c r="A12" t="s">
        <v>144</v>
      </c>
      <c r="B12" t="s">
        <v>331</v>
      </c>
      <c r="C12" s="195">
        <v>33441672.772637997</v>
      </c>
      <c r="D12" s="195">
        <f t="shared" si="0"/>
        <v>66883345.545275994</v>
      </c>
      <c r="G12" s="205" t="s">
        <v>820</v>
      </c>
      <c r="H12" s="206" t="s">
        <v>132</v>
      </c>
      <c r="I12" s="201" t="s">
        <v>309</v>
      </c>
      <c r="J12" s="202">
        <v>3608000</v>
      </c>
      <c r="K12" s="203">
        <v>8181000</v>
      </c>
      <c r="L12" s="207">
        <f t="shared" si="1"/>
        <v>11789000</v>
      </c>
    </row>
    <row r="13" spans="1:12" x14ac:dyDescent="0.3">
      <c r="A13" t="s">
        <v>146</v>
      </c>
      <c r="B13" t="s">
        <v>29</v>
      </c>
      <c r="C13" s="195">
        <v>27648201.478477996</v>
      </c>
      <c r="D13" s="195">
        <f t="shared" si="0"/>
        <v>55296402.956955992</v>
      </c>
      <c r="G13" s="205" t="s">
        <v>821</v>
      </c>
      <c r="H13" s="206" t="s">
        <v>156</v>
      </c>
      <c r="I13" s="201" t="s">
        <v>32</v>
      </c>
      <c r="J13" s="202">
        <v>20656000</v>
      </c>
      <c r="K13" s="203">
        <v>12787000</v>
      </c>
      <c r="L13" s="207">
        <f t="shared" si="1"/>
        <v>33443000</v>
      </c>
    </row>
    <row r="14" spans="1:12" x14ac:dyDescent="0.3">
      <c r="A14" t="s">
        <v>147</v>
      </c>
      <c r="B14" t="s">
        <v>269</v>
      </c>
      <c r="C14" s="195">
        <v>31487076.305661999</v>
      </c>
      <c r="D14" s="195">
        <f t="shared" si="0"/>
        <v>62974152.611323997</v>
      </c>
      <c r="G14" s="205" t="s">
        <v>821</v>
      </c>
      <c r="H14" s="206" t="s">
        <v>155</v>
      </c>
      <c r="I14" s="201" t="s">
        <v>33</v>
      </c>
      <c r="J14" s="202">
        <v>9790000</v>
      </c>
      <c r="K14" s="203">
        <v>86706000</v>
      </c>
      <c r="L14" s="207">
        <f t="shared" si="1"/>
        <v>96496000</v>
      </c>
    </row>
    <row r="15" spans="1:12" x14ac:dyDescent="0.3">
      <c r="A15" t="s">
        <v>148</v>
      </c>
      <c r="B15" t="s">
        <v>28</v>
      </c>
      <c r="C15" s="195">
        <v>65751123.360451989</v>
      </c>
      <c r="D15" s="195">
        <f t="shared" si="0"/>
        <v>131502246.72090398</v>
      </c>
      <c r="G15" s="205" t="s">
        <v>821</v>
      </c>
      <c r="H15" s="206" t="s">
        <v>159</v>
      </c>
      <c r="I15" s="201" t="s">
        <v>274</v>
      </c>
      <c r="J15" s="202">
        <v>7314000</v>
      </c>
      <c r="K15" s="203">
        <v>69153000</v>
      </c>
      <c r="L15" s="207">
        <f t="shared" si="1"/>
        <v>76467000</v>
      </c>
    </row>
    <row r="16" spans="1:12" x14ac:dyDescent="0.3">
      <c r="A16" t="s">
        <v>150</v>
      </c>
      <c r="B16" t="s">
        <v>38</v>
      </c>
      <c r="C16" s="195">
        <v>4638402.5643619997</v>
      </c>
      <c r="D16" s="195">
        <f t="shared" si="0"/>
        <v>9276805.1287239995</v>
      </c>
      <c r="G16" s="205" t="s">
        <v>821</v>
      </c>
      <c r="H16" s="206" t="s">
        <v>157</v>
      </c>
      <c r="I16" s="201" t="s">
        <v>307</v>
      </c>
      <c r="J16" s="202">
        <v>3689000</v>
      </c>
      <c r="K16" s="203">
        <v>12139000</v>
      </c>
      <c r="L16" s="207">
        <f t="shared" si="1"/>
        <v>15828000</v>
      </c>
    </row>
    <row r="17" spans="1:12" x14ac:dyDescent="0.3">
      <c r="A17" t="s">
        <v>153</v>
      </c>
      <c r="B17" t="s">
        <v>27</v>
      </c>
      <c r="C17" s="195">
        <v>7634496.0783900004</v>
      </c>
      <c r="D17" s="195">
        <f t="shared" si="0"/>
        <v>15268992.156780001</v>
      </c>
      <c r="G17" s="205" t="s">
        <v>821</v>
      </c>
      <c r="H17" s="206" t="s">
        <v>150</v>
      </c>
      <c r="I17" s="201" t="s">
        <v>38</v>
      </c>
      <c r="J17" s="202">
        <v>3417000</v>
      </c>
      <c r="K17" s="203">
        <v>14125000</v>
      </c>
      <c r="L17" s="207">
        <f t="shared" si="1"/>
        <v>17542000</v>
      </c>
    </row>
    <row r="18" spans="1:12" x14ac:dyDescent="0.3">
      <c r="A18" t="s">
        <v>155</v>
      </c>
      <c r="B18" t="s">
        <v>33</v>
      </c>
      <c r="C18" s="195">
        <v>25193250.647701997</v>
      </c>
      <c r="D18" s="195">
        <f t="shared" si="0"/>
        <v>50386501.295403995</v>
      </c>
      <c r="G18" s="205" t="s">
        <v>821</v>
      </c>
      <c r="H18" s="206" t="s">
        <v>153</v>
      </c>
      <c r="I18" s="201" t="s">
        <v>27</v>
      </c>
      <c r="J18" s="202">
        <v>2000000</v>
      </c>
      <c r="K18" s="203">
        <v>25347000</v>
      </c>
      <c r="L18" s="207">
        <f t="shared" si="1"/>
        <v>27347000</v>
      </c>
    </row>
    <row r="19" spans="1:12" x14ac:dyDescent="0.3">
      <c r="A19" t="s">
        <v>156</v>
      </c>
      <c r="B19" t="s">
        <v>32</v>
      </c>
      <c r="C19" s="195">
        <v>8114438.1467399988</v>
      </c>
      <c r="D19" s="195">
        <f t="shared" si="0"/>
        <v>16228876.293479998</v>
      </c>
      <c r="G19" s="205" t="s">
        <v>822</v>
      </c>
      <c r="H19" s="206" t="s">
        <v>168</v>
      </c>
      <c r="I19" s="201" t="s">
        <v>34</v>
      </c>
      <c r="J19" s="202">
        <v>24626000</v>
      </c>
      <c r="K19" s="203">
        <v>64055000</v>
      </c>
      <c r="L19" s="207">
        <f t="shared" si="1"/>
        <v>88681000</v>
      </c>
    </row>
    <row r="20" spans="1:12" x14ac:dyDescent="0.3">
      <c r="A20" t="s">
        <v>157</v>
      </c>
      <c r="B20" t="s">
        <v>307</v>
      </c>
      <c r="C20" s="195">
        <v>4977420.1382760024</v>
      </c>
      <c r="D20" s="195">
        <f t="shared" si="0"/>
        <v>9954840.2765520047</v>
      </c>
      <c r="G20" s="205" t="s">
        <v>822</v>
      </c>
      <c r="H20" s="206" t="s">
        <v>162</v>
      </c>
      <c r="I20" s="201" t="s">
        <v>36</v>
      </c>
      <c r="J20" s="202">
        <v>23102000</v>
      </c>
      <c r="K20" s="203">
        <v>10580000</v>
      </c>
      <c r="L20" s="207">
        <f t="shared" si="1"/>
        <v>33682000</v>
      </c>
    </row>
    <row r="21" spans="1:12" x14ac:dyDescent="0.3">
      <c r="A21" t="s">
        <v>159</v>
      </c>
      <c r="B21" t="s">
        <v>274</v>
      </c>
      <c r="C21" s="195">
        <v>20020860.495387994</v>
      </c>
      <c r="D21" s="195">
        <f t="shared" si="0"/>
        <v>40041720.990775988</v>
      </c>
      <c r="G21" s="205" t="s">
        <v>822</v>
      </c>
      <c r="H21" s="206" t="s">
        <v>164</v>
      </c>
      <c r="I21" s="201" t="s">
        <v>24</v>
      </c>
      <c r="J21" s="202">
        <v>10217000</v>
      </c>
      <c r="K21" s="203">
        <v>7190000</v>
      </c>
      <c r="L21" s="207">
        <f t="shared" si="1"/>
        <v>17407000</v>
      </c>
    </row>
    <row r="22" spans="1:12" x14ac:dyDescent="0.3">
      <c r="A22" t="s">
        <v>162</v>
      </c>
      <c r="B22" t="s">
        <v>36</v>
      </c>
      <c r="C22" s="195">
        <v>7762239.0108360006</v>
      </c>
      <c r="D22" s="195">
        <f t="shared" si="0"/>
        <v>15524478.021672001</v>
      </c>
      <c r="G22" s="205" t="s">
        <v>822</v>
      </c>
      <c r="H22" s="206" t="s">
        <v>166</v>
      </c>
      <c r="I22" s="201" t="s">
        <v>31</v>
      </c>
      <c r="J22" s="202">
        <v>7735000</v>
      </c>
      <c r="K22" s="203">
        <v>38888000</v>
      </c>
      <c r="L22" s="207">
        <f t="shared" si="1"/>
        <v>46623000</v>
      </c>
    </row>
    <row r="23" spans="1:12" x14ac:dyDescent="0.3">
      <c r="A23" t="s">
        <v>164</v>
      </c>
      <c r="B23" t="s">
        <v>24</v>
      </c>
      <c r="C23" s="195">
        <v>4370644.2778900005</v>
      </c>
      <c r="D23" s="195">
        <f t="shared" si="0"/>
        <v>8741288.555780001</v>
      </c>
      <c r="G23" s="205" t="s">
        <v>823</v>
      </c>
      <c r="H23" s="206" t="s">
        <v>171</v>
      </c>
      <c r="I23" s="201" t="s">
        <v>8</v>
      </c>
      <c r="J23" s="202">
        <v>24716000</v>
      </c>
      <c r="K23" s="203">
        <v>82311000</v>
      </c>
      <c r="L23" s="207">
        <f t="shared" si="1"/>
        <v>107027000</v>
      </c>
    </row>
    <row r="24" spans="1:12" x14ac:dyDescent="0.3">
      <c r="A24" t="s">
        <v>166</v>
      </c>
      <c r="B24" t="s">
        <v>31</v>
      </c>
      <c r="C24" s="195">
        <v>12843592.619451998</v>
      </c>
      <c r="D24" s="195">
        <f t="shared" si="0"/>
        <v>25687185.238903996</v>
      </c>
      <c r="G24" s="205" t="s">
        <v>823</v>
      </c>
      <c r="H24" s="206" t="s">
        <v>177</v>
      </c>
      <c r="I24" s="201" t="s">
        <v>42</v>
      </c>
      <c r="J24" s="202">
        <v>16955000</v>
      </c>
      <c r="K24" s="203">
        <v>15347000</v>
      </c>
      <c r="L24" s="207">
        <f t="shared" si="1"/>
        <v>32302000</v>
      </c>
    </row>
    <row r="25" spans="1:12" x14ac:dyDescent="0.3">
      <c r="A25" t="s">
        <v>168</v>
      </c>
      <c r="B25" t="s">
        <v>34</v>
      </c>
      <c r="C25" s="195">
        <v>23921054.223873999</v>
      </c>
      <c r="D25" s="195">
        <f t="shared" si="0"/>
        <v>47842108.447747998</v>
      </c>
      <c r="G25" s="205" t="s">
        <v>823</v>
      </c>
      <c r="H25" s="206" t="s">
        <v>178</v>
      </c>
      <c r="I25" s="201" t="s">
        <v>19</v>
      </c>
      <c r="J25" s="202">
        <v>11517000</v>
      </c>
      <c r="K25" s="203">
        <v>48590000</v>
      </c>
      <c r="L25" s="207">
        <f t="shared" si="1"/>
        <v>60107000</v>
      </c>
    </row>
    <row r="26" spans="1:12" x14ac:dyDescent="0.3">
      <c r="A26" t="s">
        <v>170</v>
      </c>
      <c r="B26" t="s">
        <v>18</v>
      </c>
      <c r="C26" s="195">
        <v>9114885.7530660015</v>
      </c>
      <c r="D26" s="195">
        <f t="shared" si="0"/>
        <v>18229771.506132003</v>
      </c>
      <c r="G26" s="205" t="s">
        <v>823</v>
      </c>
      <c r="H26" s="206" t="s">
        <v>170</v>
      </c>
      <c r="I26" s="201" t="s">
        <v>18</v>
      </c>
      <c r="J26" s="202">
        <v>7801000</v>
      </c>
      <c r="K26" s="203">
        <v>38705000</v>
      </c>
      <c r="L26" s="207">
        <f t="shared" si="1"/>
        <v>46506000</v>
      </c>
    </row>
    <row r="27" spans="1:12" x14ac:dyDescent="0.3">
      <c r="A27" t="s">
        <v>171</v>
      </c>
      <c r="B27" t="s">
        <v>8</v>
      </c>
      <c r="C27" s="195">
        <v>26560280.269922003</v>
      </c>
      <c r="D27" s="195">
        <f t="shared" si="0"/>
        <v>53120560.539844006</v>
      </c>
      <c r="G27" s="205" t="s">
        <v>823</v>
      </c>
      <c r="H27" s="206" t="s">
        <v>180</v>
      </c>
      <c r="I27" s="201" t="s">
        <v>10</v>
      </c>
      <c r="J27" s="202">
        <v>4746000</v>
      </c>
      <c r="K27" s="203">
        <v>30566000</v>
      </c>
      <c r="L27" s="207">
        <f t="shared" si="1"/>
        <v>35312000</v>
      </c>
    </row>
    <row r="28" spans="1:12" x14ac:dyDescent="0.3">
      <c r="A28" t="s">
        <v>175</v>
      </c>
      <c r="B28" t="s">
        <v>176</v>
      </c>
      <c r="C28" s="195">
        <v>8346346.0052320007</v>
      </c>
      <c r="D28" s="195">
        <f t="shared" si="0"/>
        <v>16692692.010464001</v>
      </c>
      <c r="G28" s="205" t="s">
        <v>823</v>
      </c>
      <c r="H28" s="206" t="s">
        <v>175</v>
      </c>
      <c r="I28" s="201" t="s">
        <v>176</v>
      </c>
      <c r="J28" s="202">
        <v>4777000</v>
      </c>
      <c r="K28" s="203">
        <v>34811000</v>
      </c>
      <c r="L28" s="207">
        <f t="shared" si="1"/>
        <v>39588000</v>
      </c>
    </row>
    <row r="29" spans="1:12" x14ac:dyDescent="0.3">
      <c r="A29" t="s">
        <v>177</v>
      </c>
      <c r="B29" t="s">
        <v>42</v>
      </c>
      <c r="C29" s="195">
        <v>6452785.5369379986</v>
      </c>
      <c r="D29" s="195">
        <f t="shared" si="0"/>
        <v>12905571.073875997</v>
      </c>
      <c r="G29" s="205" t="s">
        <v>824</v>
      </c>
      <c r="H29" s="206" t="s">
        <v>184</v>
      </c>
      <c r="I29" s="201" t="s">
        <v>234</v>
      </c>
      <c r="J29" s="202">
        <v>31182000</v>
      </c>
      <c r="K29" s="203">
        <v>138577000</v>
      </c>
      <c r="L29" s="207">
        <f t="shared" si="1"/>
        <v>169759000</v>
      </c>
    </row>
    <row r="30" spans="1:12" x14ac:dyDescent="0.3">
      <c r="A30" t="s">
        <v>178</v>
      </c>
      <c r="B30" t="s">
        <v>19</v>
      </c>
      <c r="C30" s="195">
        <v>14273338.772831999</v>
      </c>
      <c r="D30" s="195">
        <f t="shared" si="0"/>
        <v>28546677.545663998</v>
      </c>
      <c r="G30" s="205" t="s">
        <v>824</v>
      </c>
      <c r="H30" s="206" t="s">
        <v>187</v>
      </c>
      <c r="I30" s="201" t="s">
        <v>41</v>
      </c>
      <c r="J30" s="202">
        <v>18612000</v>
      </c>
      <c r="K30" s="203">
        <v>28360000</v>
      </c>
      <c r="L30" s="207">
        <f t="shared" si="1"/>
        <v>46972000</v>
      </c>
    </row>
    <row r="31" spans="1:12" x14ac:dyDescent="0.3">
      <c r="A31" t="s">
        <v>180</v>
      </c>
      <c r="B31" t="s">
        <v>10</v>
      </c>
      <c r="C31" s="195">
        <v>7382321.3556019999</v>
      </c>
      <c r="D31" s="195">
        <f t="shared" si="0"/>
        <v>14764642.711204</v>
      </c>
      <c r="G31" s="205" t="s">
        <v>824</v>
      </c>
      <c r="H31" s="206" t="s">
        <v>183</v>
      </c>
      <c r="I31" s="201" t="s">
        <v>344</v>
      </c>
      <c r="J31" s="202">
        <v>12555000</v>
      </c>
      <c r="K31" s="203">
        <v>63302000</v>
      </c>
      <c r="L31" s="207">
        <f t="shared" si="1"/>
        <v>75857000</v>
      </c>
    </row>
    <row r="32" spans="1:12" x14ac:dyDescent="0.3">
      <c r="A32" t="s">
        <v>182</v>
      </c>
      <c r="B32" t="s">
        <v>346</v>
      </c>
      <c r="C32" s="195">
        <v>7057322.8685580008</v>
      </c>
      <c r="D32" s="195">
        <f t="shared" si="0"/>
        <v>14114645.737116002</v>
      </c>
      <c r="G32" s="205" t="s">
        <v>824</v>
      </c>
      <c r="H32" s="206" t="s">
        <v>182</v>
      </c>
      <c r="I32" s="201" t="s">
        <v>346</v>
      </c>
      <c r="J32" s="202">
        <v>5859000</v>
      </c>
      <c r="K32" s="203">
        <v>23097000</v>
      </c>
      <c r="L32" s="207">
        <f t="shared" si="1"/>
        <v>28956000</v>
      </c>
    </row>
    <row r="33" spans="1:12" x14ac:dyDescent="0.3">
      <c r="A33" t="s">
        <v>183</v>
      </c>
      <c r="B33" t="s">
        <v>344</v>
      </c>
      <c r="C33" s="195">
        <v>19069778.563337997</v>
      </c>
      <c r="D33" s="195">
        <f t="shared" si="0"/>
        <v>38139557.126675993</v>
      </c>
      <c r="G33" s="205" t="s">
        <v>824</v>
      </c>
      <c r="H33" s="206" t="s">
        <v>189</v>
      </c>
      <c r="I33" s="201" t="s">
        <v>388</v>
      </c>
      <c r="J33" s="202">
        <v>3686000</v>
      </c>
      <c r="K33" s="203">
        <v>18556000</v>
      </c>
      <c r="L33" s="207">
        <f t="shared" si="1"/>
        <v>22242000</v>
      </c>
    </row>
    <row r="34" spans="1:12" x14ac:dyDescent="0.3">
      <c r="A34" t="s">
        <v>184</v>
      </c>
      <c r="B34" t="s">
        <v>234</v>
      </c>
      <c r="C34" s="195">
        <v>44599838.399399996</v>
      </c>
      <c r="D34" s="195">
        <f t="shared" si="0"/>
        <v>89199676.798799992</v>
      </c>
      <c r="G34" s="205" t="s">
        <v>824</v>
      </c>
      <c r="H34" s="206" t="s">
        <v>192</v>
      </c>
      <c r="I34" s="201" t="s">
        <v>560</v>
      </c>
      <c r="J34" s="202">
        <v>1500000</v>
      </c>
      <c r="K34" s="203">
        <v>15190000</v>
      </c>
      <c r="L34" s="207">
        <f t="shared" si="1"/>
        <v>16690000</v>
      </c>
    </row>
    <row r="35" spans="1:12" x14ac:dyDescent="0.3">
      <c r="A35" t="s">
        <v>187</v>
      </c>
      <c r="B35" t="s">
        <v>41</v>
      </c>
      <c r="C35" s="195">
        <v>11323225.470555998</v>
      </c>
      <c r="D35" s="195">
        <f t="shared" si="0"/>
        <v>22646450.941111997</v>
      </c>
      <c r="G35" s="205" t="s">
        <v>825</v>
      </c>
      <c r="H35" s="206" t="s">
        <v>205</v>
      </c>
      <c r="I35" s="201" t="s">
        <v>37</v>
      </c>
      <c r="J35" s="202">
        <v>8671000</v>
      </c>
      <c r="K35" s="203">
        <v>27074000</v>
      </c>
      <c r="L35" s="207">
        <f t="shared" si="1"/>
        <v>35745000</v>
      </c>
    </row>
    <row r="36" spans="1:12" x14ac:dyDescent="0.3">
      <c r="A36" t="s">
        <v>189</v>
      </c>
      <c r="B36" t="s">
        <v>388</v>
      </c>
      <c r="C36" s="195">
        <v>5838385.0572439991</v>
      </c>
      <c r="D36" s="195">
        <f t="shared" si="0"/>
        <v>11676770.114487998</v>
      </c>
      <c r="G36" s="205" t="s">
        <v>825</v>
      </c>
      <c r="H36" s="206" t="s">
        <v>198</v>
      </c>
      <c r="I36" s="201" t="s">
        <v>199</v>
      </c>
      <c r="J36" s="202">
        <v>7377000</v>
      </c>
      <c r="K36" s="203">
        <v>27923000</v>
      </c>
      <c r="L36" s="207">
        <f t="shared" si="1"/>
        <v>35300000</v>
      </c>
    </row>
    <row r="37" spans="1:12" x14ac:dyDescent="0.3">
      <c r="A37" t="s">
        <v>192</v>
      </c>
      <c r="B37" t="s">
        <v>560</v>
      </c>
      <c r="C37" s="195">
        <v>4288406.0093499999</v>
      </c>
      <c r="D37" s="195">
        <f t="shared" si="0"/>
        <v>8576812.0186999999</v>
      </c>
      <c r="G37" s="205" t="s">
        <v>825</v>
      </c>
      <c r="H37" s="206" t="s">
        <v>201</v>
      </c>
      <c r="I37" s="201" t="s">
        <v>362</v>
      </c>
      <c r="J37" s="202">
        <v>5418000</v>
      </c>
      <c r="K37" s="203">
        <v>57672000</v>
      </c>
      <c r="L37" s="207">
        <f t="shared" si="1"/>
        <v>63090000</v>
      </c>
    </row>
    <row r="38" spans="1:12" x14ac:dyDescent="0.3">
      <c r="A38" t="s">
        <v>198</v>
      </c>
      <c r="B38" t="s">
        <v>199</v>
      </c>
      <c r="C38" s="195">
        <v>8569737.2011279967</v>
      </c>
      <c r="D38" s="195">
        <f t="shared" si="0"/>
        <v>17139474.402255993</v>
      </c>
      <c r="G38" s="205" t="s">
        <v>825</v>
      </c>
      <c r="H38" s="206" t="s">
        <v>802</v>
      </c>
      <c r="I38" s="201" t="s">
        <v>557</v>
      </c>
      <c r="J38" s="202">
        <v>690000</v>
      </c>
      <c r="K38" s="203">
        <v>10767000</v>
      </c>
      <c r="L38" s="207">
        <f t="shared" si="1"/>
        <v>11457000</v>
      </c>
    </row>
    <row r="39" spans="1:12" x14ac:dyDescent="0.3">
      <c r="A39" t="s">
        <v>200</v>
      </c>
      <c r="B39" t="s">
        <v>43</v>
      </c>
      <c r="C39" s="195">
        <v>6463851.9752699994</v>
      </c>
      <c r="D39" s="195">
        <f t="shared" si="0"/>
        <v>12927703.950539999</v>
      </c>
      <c r="G39" s="205" t="s">
        <v>826</v>
      </c>
      <c r="H39" s="206" t="s">
        <v>202</v>
      </c>
      <c r="I39" s="201" t="s">
        <v>263</v>
      </c>
      <c r="J39" s="202">
        <v>56745000</v>
      </c>
      <c r="K39" s="203">
        <v>88548000</v>
      </c>
      <c r="L39" s="207">
        <f t="shared" si="1"/>
        <v>145293000</v>
      </c>
    </row>
    <row r="40" spans="1:12" x14ac:dyDescent="0.3">
      <c r="A40" t="s">
        <v>201</v>
      </c>
      <c r="B40" t="s">
        <v>362</v>
      </c>
      <c r="C40" s="195">
        <v>14286416.665388001</v>
      </c>
      <c r="D40" s="195">
        <f t="shared" si="0"/>
        <v>28572833.330776002</v>
      </c>
      <c r="G40" s="205" t="s">
        <v>826</v>
      </c>
      <c r="H40" s="206" t="s">
        <v>207</v>
      </c>
      <c r="I40" s="201" t="s">
        <v>288</v>
      </c>
      <c r="J40" s="202">
        <v>23148000</v>
      </c>
      <c r="K40" s="203">
        <v>141841000</v>
      </c>
      <c r="L40" s="207">
        <f t="shared" si="1"/>
        <v>164989000</v>
      </c>
    </row>
    <row r="41" spans="1:12" x14ac:dyDescent="0.3">
      <c r="A41" t="s">
        <v>202</v>
      </c>
      <c r="B41" t="s">
        <v>263</v>
      </c>
      <c r="C41" s="195">
        <v>36059497.469889998</v>
      </c>
      <c r="D41" s="195">
        <f t="shared" si="0"/>
        <v>72118994.939779997</v>
      </c>
      <c r="G41" s="205" t="s">
        <v>826</v>
      </c>
      <c r="H41" s="206" t="s">
        <v>204</v>
      </c>
      <c r="I41" s="201" t="s">
        <v>290</v>
      </c>
      <c r="J41" s="202">
        <v>10180000</v>
      </c>
      <c r="K41" s="203">
        <v>22150000</v>
      </c>
      <c r="L41" s="207">
        <f t="shared" si="1"/>
        <v>32330000</v>
      </c>
    </row>
    <row r="42" spans="1:12" x14ac:dyDescent="0.3">
      <c r="A42" t="s">
        <v>204</v>
      </c>
      <c r="B42" t="s">
        <v>290</v>
      </c>
      <c r="C42" s="195">
        <v>8686944.9393300004</v>
      </c>
      <c r="D42" s="195">
        <f t="shared" si="0"/>
        <v>17373889.878660001</v>
      </c>
      <c r="G42" s="205" t="s">
        <v>826</v>
      </c>
      <c r="H42" s="206" t="s">
        <v>200</v>
      </c>
      <c r="I42" s="201" t="s">
        <v>43</v>
      </c>
      <c r="J42" s="202">
        <v>2798000</v>
      </c>
      <c r="K42" s="203">
        <v>20286000</v>
      </c>
      <c r="L42" s="207">
        <f t="shared" si="1"/>
        <v>23084000</v>
      </c>
    </row>
    <row r="43" spans="1:12" x14ac:dyDescent="0.3">
      <c r="A43" t="s">
        <v>205</v>
      </c>
      <c r="B43" t="s">
        <v>37</v>
      </c>
      <c r="C43" s="195">
        <v>8413197.0620499998</v>
      </c>
      <c r="D43" s="195">
        <f t="shared" si="0"/>
        <v>16826394.1241</v>
      </c>
      <c r="G43" s="205" t="s">
        <v>385</v>
      </c>
      <c r="H43" s="206" t="s">
        <v>124</v>
      </c>
      <c r="I43" s="201" t="s">
        <v>408</v>
      </c>
      <c r="J43" s="202">
        <v>2685000</v>
      </c>
      <c r="K43" s="203">
        <v>61284000</v>
      </c>
      <c r="L43" s="207">
        <f t="shared" si="1"/>
        <v>63969000</v>
      </c>
    </row>
    <row r="44" spans="1:12" x14ac:dyDescent="0.3">
      <c r="A44" t="s">
        <v>802</v>
      </c>
      <c r="B44" t="s">
        <v>557</v>
      </c>
      <c r="C44" s="195">
        <v>2786434.5372500001</v>
      </c>
      <c r="D44" s="195">
        <f t="shared" si="0"/>
        <v>5572869.0745000001</v>
      </c>
      <c r="G44" s="205" t="s">
        <v>385</v>
      </c>
      <c r="H44" s="206" t="s">
        <v>119</v>
      </c>
      <c r="I44" s="201" t="s">
        <v>383</v>
      </c>
      <c r="J44" s="202">
        <v>2000000</v>
      </c>
      <c r="K44" s="203">
        <v>42937000</v>
      </c>
      <c r="L44" s="207">
        <f t="shared" si="1"/>
        <v>44937000</v>
      </c>
    </row>
    <row r="45" spans="1:12" ht="15" thickBot="1" x14ac:dyDescent="0.35">
      <c r="A45" t="s">
        <v>207</v>
      </c>
      <c r="B45" t="s">
        <v>288</v>
      </c>
      <c r="C45" s="195">
        <v>41783859.264087997</v>
      </c>
      <c r="D45" s="195">
        <f t="shared" si="0"/>
        <v>83567718.528175995</v>
      </c>
      <c r="G45" s="208" t="s">
        <v>385</v>
      </c>
      <c r="H45" s="209" t="s">
        <v>125</v>
      </c>
      <c r="I45" s="214" t="s">
        <v>554</v>
      </c>
      <c r="J45" s="202">
        <v>0</v>
      </c>
      <c r="K45" s="203">
        <v>33960000</v>
      </c>
      <c r="L45" s="210">
        <f t="shared" si="1"/>
        <v>33960000</v>
      </c>
    </row>
    <row r="46" spans="1:12" ht="15" thickBot="1" x14ac:dyDescent="0.35">
      <c r="C46" s="196">
        <f>SUM(C2:C45)</f>
        <v>779040712.71546197</v>
      </c>
      <c r="D46" s="196">
        <f>SUM(D2:D45)</f>
        <v>1558081425.4309239</v>
      </c>
      <c r="G46" s="230" t="s">
        <v>827</v>
      </c>
      <c r="H46" s="231"/>
      <c r="I46" s="213"/>
      <c r="J46" s="211">
        <f>SUM(J2:J45)</f>
        <v>500000000</v>
      </c>
      <c r="K46" s="211">
        <f t="shared" ref="K46:L46" si="2">SUM(K2:K45)</f>
        <v>2500000000</v>
      </c>
      <c r="L46" s="212">
        <f t="shared" si="2"/>
        <v>3000000000</v>
      </c>
    </row>
  </sheetData>
  <mergeCells count="1">
    <mergeCell ref="G46:H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Parameter</vt:lpstr>
      <vt:lpstr>New KC</vt:lpstr>
      <vt:lpstr>DB N-1</vt:lpstr>
      <vt:lpstr>DB</vt:lpstr>
      <vt:lpstr>Summary</vt:lpstr>
      <vt:lpstr>New Summary-New</vt:lpstr>
      <vt:lpstr>Summary-New</vt:lpstr>
      <vt:lpstr>Detail Cabang-New</vt:lpstr>
      <vt:lpstr>Detail Cabang-By Portfolio</vt:lpstr>
      <vt:lpstr>Detail Cabang-By Payment Type</vt:lpstr>
      <vt:lpstr>Detail Cab By Tgl</vt:lpstr>
      <vt:lpstr>Target ALDA</vt:lpstr>
      <vt:lpstr>NEw Tgt Alda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SYUKUR</dc:creator>
  <cp:lastModifiedBy>Rahiel Hafizh</cp:lastModifiedBy>
  <dcterms:created xsi:type="dcterms:W3CDTF">2021-11-08T11:12:30Z</dcterms:created>
  <dcterms:modified xsi:type="dcterms:W3CDTF">2026-06-05T06:52:36Z</dcterms:modified>
</cp:coreProperties>
</file>