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EL\Project\Standarized\"/>
    </mc:Choice>
  </mc:AlternateContent>
  <xr:revisionPtr revIDLastSave="0" documentId="13_ncr:1_{B5031E64-8F76-4799-9221-A77CFD027DA1}" xr6:coauthVersionLast="47" xr6:coauthVersionMax="47" xr10:uidLastSave="{00000000-0000-0000-0000-000000000000}"/>
  <bookViews>
    <workbookView xWindow="-108" yWindow="-108" windowWidth="23256" windowHeight="12456" tabRatio="879" firstSheet="1" activeTab="3" xr2:uid="{00000000-000D-0000-FFFF-FFFF00000000}"/>
  </bookViews>
  <sheets>
    <sheet name="KC" sheetId="5" state="hidden" r:id="rId1"/>
    <sheet name="CWO Bulan Lalu" sheetId="3" r:id="rId2"/>
    <sheet name="CWO Bulan Ini" sheetId="2" r:id="rId3"/>
    <sheet name="Dashboard" sheetId="4" r:id="rId4"/>
    <sheet name="Summary by Tgl" sheetId="6" r:id="rId5"/>
    <sheet name="Area-Cabang" sheetId="7" r:id="rId6"/>
    <sheet name="Cwo Flow ke WO" sheetId="9" r:id="rId7"/>
    <sheet name="Detail_4W" sheetId="8" r:id="rId8"/>
    <sheet name="Detail_2W" sheetId="10" r:id="rId9"/>
    <sheet name="Bantuan" sheetId="11" state="hidden" r:id="rId10"/>
  </sheets>
  <definedNames>
    <definedName name="ExternalData_1" localSheetId="2" hidden="1">'CWO Bulan Ini'!$A$1:$CX$78</definedName>
    <definedName name="ExternalData_1" localSheetId="1" hidden="1">'CWO Bulan Lalu'!$A$1:$CX$92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Y2" i="2" l="1"/>
  <c r="CY3" i="2"/>
  <c r="CY4" i="2"/>
  <c r="CY5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31" i="2"/>
  <c r="CY32" i="2"/>
  <c r="CY33" i="2"/>
  <c r="CY34" i="2"/>
  <c r="CY35" i="2"/>
  <c r="CY36" i="2"/>
  <c r="CY37" i="2"/>
  <c r="CY38" i="2"/>
  <c r="CY39" i="2"/>
  <c r="CY40" i="2"/>
  <c r="CY41" i="2"/>
  <c r="CY42" i="2"/>
  <c r="CY43" i="2"/>
  <c r="CY44" i="2"/>
  <c r="CY45" i="2"/>
  <c r="CY46" i="2"/>
  <c r="CY47" i="2"/>
  <c r="CY48" i="2"/>
  <c r="CY49" i="2"/>
  <c r="CY50" i="2"/>
  <c r="CY51" i="2"/>
  <c r="CY52" i="2"/>
  <c r="CY53" i="2"/>
  <c r="CY54" i="2"/>
  <c r="CY55" i="2"/>
  <c r="CY56" i="2"/>
  <c r="CY57" i="2"/>
  <c r="CY58" i="2"/>
  <c r="CY59" i="2"/>
  <c r="CY60" i="2"/>
  <c r="CY61" i="2"/>
  <c r="CY62" i="2"/>
  <c r="CY63" i="2"/>
  <c r="CY64" i="2"/>
  <c r="CY65" i="2"/>
  <c r="CY66" i="2"/>
  <c r="CY67" i="2"/>
  <c r="CY68" i="2"/>
  <c r="CY69" i="2"/>
  <c r="CY70" i="2"/>
  <c r="CY71" i="2"/>
  <c r="CY72" i="2"/>
  <c r="CY73" i="2"/>
  <c r="CY74" i="2"/>
  <c r="CY75" i="2"/>
  <c r="CY76" i="2"/>
  <c r="CY77" i="2"/>
  <c r="CY78" i="2"/>
  <c r="CZ2" i="2"/>
  <c r="CZ3" i="2"/>
  <c r="CZ4" i="2"/>
  <c r="CZ5" i="2"/>
  <c r="CZ6" i="2"/>
  <c r="CZ7" i="2"/>
  <c r="CZ8" i="2"/>
  <c r="CZ9" i="2"/>
  <c r="CZ10" i="2"/>
  <c r="CZ11" i="2"/>
  <c r="CZ12" i="2"/>
  <c r="CZ13" i="2"/>
  <c r="CZ14" i="2"/>
  <c r="CZ15" i="2"/>
  <c r="CZ16" i="2"/>
  <c r="CZ17" i="2"/>
  <c r="CZ18" i="2"/>
  <c r="CZ19" i="2"/>
  <c r="CZ20" i="2"/>
  <c r="CZ21" i="2"/>
  <c r="CZ22" i="2"/>
  <c r="CZ23" i="2"/>
  <c r="CZ24" i="2"/>
  <c r="CZ25" i="2"/>
  <c r="CZ26" i="2"/>
  <c r="CZ27" i="2"/>
  <c r="CZ28" i="2"/>
  <c r="CZ29" i="2"/>
  <c r="CZ30" i="2"/>
  <c r="CZ31" i="2"/>
  <c r="CZ32" i="2"/>
  <c r="CZ33" i="2"/>
  <c r="CZ34" i="2"/>
  <c r="CZ35" i="2"/>
  <c r="CZ36" i="2"/>
  <c r="CZ37" i="2"/>
  <c r="CZ38" i="2"/>
  <c r="CZ39" i="2"/>
  <c r="CZ40" i="2"/>
  <c r="CZ41" i="2"/>
  <c r="CZ42" i="2"/>
  <c r="CZ43" i="2"/>
  <c r="CZ44" i="2"/>
  <c r="CZ45" i="2"/>
  <c r="CZ46" i="2"/>
  <c r="CZ47" i="2"/>
  <c r="CZ48" i="2"/>
  <c r="CZ49" i="2"/>
  <c r="CZ50" i="2"/>
  <c r="CZ51" i="2"/>
  <c r="CZ52" i="2"/>
  <c r="CZ53" i="2"/>
  <c r="CZ54" i="2"/>
  <c r="CZ55" i="2"/>
  <c r="CZ56" i="2"/>
  <c r="CZ57" i="2"/>
  <c r="CZ58" i="2"/>
  <c r="CZ59" i="2"/>
  <c r="CZ60" i="2"/>
  <c r="CZ61" i="2"/>
  <c r="CZ62" i="2"/>
  <c r="CZ63" i="2"/>
  <c r="CZ64" i="2"/>
  <c r="CZ65" i="2"/>
  <c r="CZ66" i="2"/>
  <c r="CZ67" i="2"/>
  <c r="CZ68" i="2"/>
  <c r="CZ69" i="2"/>
  <c r="CZ70" i="2"/>
  <c r="CZ71" i="2"/>
  <c r="CZ72" i="2"/>
  <c r="CZ73" i="2"/>
  <c r="CZ74" i="2"/>
  <c r="CZ75" i="2"/>
  <c r="CZ76" i="2"/>
  <c r="CZ77" i="2"/>
  <c r="CZ78" i="2"/>
  <c r="DA2" i="2"/>
  <c r="DA3" i="2"/>
  <c r="DA4" i="2"/>
  <c r="DA5" i="2"/>
  <c r="DA6" i="2"/>
  <c r="DA7" i="2"/>
  <c r="DA8" i="2"/>
  <c r="DA9" i="2"/>
  <c r="DA10" i="2"/>
  <c r="DA11" i="2"/>
  <c r="DA12" i="2"/>
  <c r="DA13" i="2"/>
  <c r="DA14" i="2"/>
  <c r="DA15" i="2"/>
  <c r="DA16" i="2"/>
  <c r="DA17" i="2"/>
  <c r="DA18" i="2"/>
  <c r="DA19" i="2"/>
  <c r="DA20" i="2"/>
  <c r="DA21" i="2"/>
  <c r="DA22" i="2"/>
  <c r="DA23" i="2"/>
  <c r="DA24" i="2"/>
  <c r="DA25" i="2"/>
  <c r="DA26" i="2"/>
  <c r="DA27" i="2"/>
  <c r="DA28" i="2"/>
  <c r="DA29" i="2"/>
  <c r="DA30" i="2"/>
  <c r="DA31" i="2"/>
  <c r="DA32" i="2"/>
  <c r="DA33" i="2"/>
  <c r="DA34" i="2"/>
  <c r="DA35" i="2"/>
  <c r="DA36" i="2"/>
  <c r="DA37" i="2"/>
  <c r="DA38" i="2"/>
  <c r="DA39" i="2"/>
  <c r="DA40" i="2"/>
  <c r="DA41" i="2"/>
  <c r="DA42" i="2"/>
  <c r="DA43" i="2"/>
  <c r="DA44" i="2"/>
  <c r="DA45" i="2"/>
  <c r="DA46" i="2"/>
  <c r="DA47" i="2"/>
  <c r="DA48" i="2"/>
  <c r="DA49" i="2"/>
  <c r="DA50" i="2"/>
  <c r="DA51" i="2"/>
  <c r="DA52" i="2"/>
  <c r="DA53" i="2"/>
  <c r="DA54" i="2"/>
  <c r="DA55" i="2"/>
  <c r="DA56" i="2"/>
  <c r="DA57" i="2"/>
  <c r="DA58" i="2"/>
  <c r="DA59" i="2"/>
  <c r="DA60" i="2"/>
  <c r="DA61" i="2"/>
  <c r="DA62" i="2"/>
  <c r="DA63" i="2"/>
  <c r="DA64" i="2"/>
  <c r="DA65" i="2"/>
  <c r="DA66" i="2"/>
  <c r="DA67" i="2"/>
  <c r="DA68" i="2"/>
  <c r="DA69" i="2"/>
  <c r="DA70" i="2"/>
  <c r="DA71" i="2"/>
  <c r="DA72" i="2"/>
  <c r="DA73" i="2"/>
  <c r="DA74" i="2"/>
  <c r="DA75" i="2"/>
  <c r="DA76" i="2"/>
  <c r="DA77" i="2"/>
  <c r="DA78" i="2"/>
  <c r="DB2" i="2"/>
  <c r="DB3" i="2"/>
  <c r="DB4" i="2"/>
  <c r="DB5" i="2"/>
  <c r="DB6" i="2"/>
  <c r="DB7" i="2"/>
  <c r="DB8" i="2"/>
  <c r="DB9" i="2"/>
  <c r="DB10" i="2"/>
  <c r="DB11" i="2"/>
  <c r="DB12" i="2"/>
  <c r="DB13" i="2"/>
  <c r="DB14" i="2"/>
  <c r="DB15" i="2"/>
  <c r="DB16" i="2"/>
  <c r="DB17" i="2"/>
  <c r="DB18" i="2"/>
  <c r="DB19" i="2"/>
  <c r="DB20" i="2"/>
  <c r="DB21" i="2"/>
  <c r="DB22" i="2"/>
  <c r="DB23" i="2"/>
  <c r="DB24" i="2"/>
  <c r="DB25" i="2"/>
  <c r="DB26" i="2"/>
  <c r="DB27" i="2"/>
  <c r="DB28" i="2"/>
  <c r="DB29" i="2"/>
  <c r="DB30" i="2"/>
  <c r="DB31" i="2"/>
  <c r="DB32" i="2"/>
  <c r="DB33" i="2"/>
  <c r="DB34" i="2"/>
  <c r="DB35" i="2"/>
  <c r="DB36" i="2"/>
  <c r="DB37" i="2"/>
  <c r="DB38" i="2"/>
  <c r="DB39" i="2"/>
  <c r="DB40" i="2"/>
  <c r="DB41" i="2"/>
  <c r="DB42" i="2"/>
  <c r="DB43" i="2"/>
  <c r="DB44" i="2"/>
  <c r="DB45" i="2"/>
  <c r="DB46" i="2"/>
  <c r="DB47" i="2"/>
  <c r="DB48" i="2"/>
  <c r="DB49" i="2"/>
  <c r="DB50" i="2"/>
  <c r="DB51" i="2"/>
  <c r="DB52" i="2"/>
  <c r="DB53" i="2"/>
  <c r="DB54" i="2"/>
  <c r="DB55" i="2"/>
  <c r="DB56" i="2"/>
  <c r="DB57" i="2"/>
  <c r="DB58" i="2"/>
  <c r="DB59" i="2"/>
  <c r="DB60" i="2"/>
  <c r="DB61" i="2"/>
  <c r="DB62" i="2"/>
  <c r="DB63" i="2"/>
  <c r="DB64" i="2"/>
  <c r="DB65" i="2"/>
  <c r="DB66" i="2"/>
  <c r="DB67" i="2"/>
  <c r="DB68" i="2"/>
  <c r="DB69" i="2"/>
  <c r="DB70" i="2"/>
  <c r="DB71" i="2"/>
  <c r="DB72" i="2"/>
  <c r="DB73" i="2"/>
  <c r="DB74" i="2"/>
  <c r="DB75" i="2"/>
  <c r="DB76" i="2"/>
  <c r="DB77" i="2"/>
  <c r="DB78" i="2"/>
  <c r="DC2" i="2"/>
  <c r="DC3" i="2"/>
  <c r="DC4" i="2"/>
  <c r="DC5" i="2"/>
  <c r="DC6" i="2"/>
  <c r="DC7" i="2"/>
  <c r="DC8" i="2"/>
  <c r="DC9" i="2"/>
  <c r="DC10" i="2"/>
  <c r="DC11" i="2"/>
  <c r="DC12" i="2"/>
  <c r="DC13" i="2"/>
  <c r="DC14" i="2"/>
  <c r="DC15" i="2"/>
  <c r="DC16" i="2"/>
  <c r="DC17" i="2"/>
  <c r="DC18" i="2"/>
  <c r="DC19" i="2"/>
  <c r="DC20" i="2"/>
  <c r="DC21" i="2"/>
  <c r="DC22" i="2"/>
  <c r="DC23" i="2"/>
  <c r="DC24" i="2"/>
  <c r="DC25" i="2"/>
  <c r="DC26" i="2"/>
  <c r="DC27" i="2"/>
  <c r="DC28" i="2"/>
  <c r="DC29" i="2"/>
  <c r="DC30" i="2"/>
  <c r="DC31" i="2"/>
  <c r="DC32" i="2"/>
  <c r="DC33" i="2"/>
  <c r="DC34" i="2"/>
  <c r="DC35" i="2"/>
  <c r="DC36" i="2"/>
  <c r="DC37" i="2"/>
  <c r="DC38" i="2"/>
  <c r="DC39" i="2"/>
  <c r="DC40" i="2"/>
  <c r="DC41" i="2"/>
  <c r="DC42" i="2"/>
  <c r="DC43" i="2"/>
  <c r="DC44" i="2"/>
  <c r="DC45" i="2"/>
  <c r="DC57" i="2"/>
  <c r="DD2" i="2"/>
  <c r="DD3" i="2"/>
  <c r="DD4" i="2"/>
  <c r="DD5" i="2"/>
  <c r="DD6" i="2"/>
  <c r="DD7" i="2"/>
  <c r="DD8" i="2"/>
  <c r="DD9" i="2"/>
  <c r="DD41" i="2"/>
  <c r="DD42" i="2"/>
  <c r="DD43" i="2"/>
  <c r="DD44" i="2"/>
  <c r="DD45" i="2"/>
  <c r="DD46" i="2"/>
  <c r="DD47" i="2"/>
  <c r="DD48" i="2"/>
  <c r="DD49" i="2"/>
  <c r="DD50" i="2"/>
  <c r="DD51" i="2"/>
  <c r="DD52" i="2"/>
  <c r="DD53" i="2"/>
  <c r="DD54" i="2"/>
  <c r="DD55" i="2"/>
  <c r="DD56" i="2"/>
  <c r="DD57" i="2"/>
  <c r="DD58" i="2"/>
  <c r="DD59" i="2"/>
  <c r="DD60" i="2"/>
  <c r="DD61" i="2"/>
  <c r="DD62" i="2"/>
  <c r="DD63" i="2"/>
  <c r="DD64" i="2"/>
  <c r="DD65" i="2"/>
  <c r="DD66" i="2"/>
  <c r="DD67" i="2"/>
  <c r="DD68" i="2"/>
  <c r="DD69" i="2"/>
  <c r="DD70" i="2"/>
  <c r="DD71" i="2"/>
  <c r="DD72" i="2"/>
  <c r="DD73" i="2"/>
  <c r="DD74" i="2"/>
  <c r="DD75" i="2"/>
  <c r="DD76" i="2"/>
  <c r="DD77" i="2"/>
  <c r="DD78" i="2"/>
  <c r="DE2" i="2"/>
  <c r="DE3" i="2"/>
  <c r="DE4" i="2"/>
  <c r="DE5" i="2"/>
  <c r="DE6" i="2"/>
  <c r="DE7" i="2"/>
  <c r="DE8" i="2"/>
  <c r="DE9" i="2"/>
  <c r="DE10" i="2"/>
  <c r="DE11" i="2"/>
  <c r="DE12" i="2"/>
  <c r="DE13" i="2"/>
  <c r="DE14" i="2"/>
  <c r="DE15" i="2"/>
  <c r="DE16" i="2"/>
  <c r="DE17" i="2"/>
  <c r="DE18" i="2"/>
  <c r="DE19" i="2"/>
  <c r="DE20" i="2"/>
  <c r="DE21" i="2"/>
  <c r="DE22" i="2"/>
  <c r="DE23" i="2"/>
  <c r="DE24" i="2"/>
  <c r="DE25" i="2"/>
  <c r="DE26" i="2"/>
  <c r="DE27" i="2"/>
  <c r="DE28" i="2"/>
  <c r="DE29" i="2"/>
  <c r="DE30" i="2"/>
  <c r="DE31" i="2"/>
  <c r="DE32" i="2"/>
  <c r="DE33" i="2"/>
  <c r="DE34" i="2"/>
  <c r="DE35" i="2"/>
  <c r="DE36" i="2"/>
  <c r="DE37" i="2"/>
  <c r="DE38" i="2"/>
  <c r="DE39" i="2"/>
  <c r="DE40" i="2"/>
  <c r="DE41" i="2"/>
  <c r="DE42" i="2"/>
  <c r="DE43" i="2"/>
  <c r="DE44" i="2"/>
  <c r="DE45" i="2"/>
  <c r="DE46" i="2"/>
  <c r="DE47" i="2"/>
  <c r="DE48" i="2"/>
  <c r="DE49" i="2"/>
  <c r="DE50" i="2"/>
  <c r="DE51" i="2"/>
  <c r="DE52" i="2"/>
  <c r="DE53" i="2"/>
  <c r="DE54" i="2"/>
  <c r="DE55" i="2"/>
  <c r="DE56" i="2"/>
  <c r="DE57" i="2"/>
  <c r="DE58" i="2"/>
  <c r="DE59" i="2"/>
  <c r="DE60" i="2"/>
  <c r="DE61" i="2"/>
  <c r="DE62" i="2"/>
  <c r="DE63" i="2"/>
  <c r="DE64" i="2"/>
  <c r="DE65" i="2"/>
  <c r="DE66" i="2"/>
  <c r="DE67" i="2"/>
  <c r="DE68" i="2"/>
  <c r="DE69" i="2"/>
  <c r="DE70" i="2"/>
  <c r="DE71" i="2"/>
  <c r="DE72" i="2"/>
  <c r="DE73" i="2"/>
  <c r="DE74" i="2"/>
  <c r="DE75" i="2"/>
  <c r="DE76" i="2"/>
  <c r="DE77" i="2"/>
  <c r="DE78" i="2"/>
  <c r="DF2" i="2"/>
  <c r="DF3" i="2"/>
  <c r="DF4" i="2"/>
  <c r="DF5" i="2"/>
  <c r="DF6" i="2"/>
  <c r="DF7" i="2"/>
  <c r="DF8" i="2"/>
  <c r="DF9" i="2"/>
  <c r="DF41" i="2"/>
  <c r="DF42" i="2"/>
  <c r="DF43" i="2"/>
  <c r="DF44" i="2"/>
  <c r="DF57" i="2"/>
  <c r="DG57" i="2"/>
  <c r="DH2" i="2"/>
  <c r="DH3" i="2"/>
  <c r="DH4" i="2"/>
  <c r="DH5" i="2"/>
  <c r="DH6" i="2"/>
  <c r="DH7" i="2"/>
  <c r="DH8" i="2"/>
  <c r="DH9" i="2"/>
  <c r="DH10" i="2"/>
  <c r="DH11" i="2"/>
  <c r="DH12" i="2"/>
  <c r="DH13" i="2"/>
  <c r="DH14" i="2"/>
  <c r="DH15" i="2"/>
  <c r="DH16" i="2"/>
  <c r="DH17" i="2"/>
  <c r="DH18" i="2"/>
  <c r="DH19" i="2"/>
  <c r="DH20" i="2"/>
  <c r="DH21" i="2"/>
  <c r="DH22" i="2"/>
  <c r="DH23" i="2"/>
  <c r="DH24" i="2"/>
  <c r="DH25" i="2"/>
  <c r="DH26" i="2"/>
  <c r="DH27" i="2"/>
  <c r="DH28" i="2"/>
  <c r="DH29" i="2"/>
  <c r="DH30" i="2"/>
  <c r="DH31" i="2"/>
  <c r="DH32" i="2"/>
  <c r="DH33" i="2"/>
  <c r="DH34" i="2"/>
  <c r="DH35" i="2"/>
  <c r="DH36" i="2"/>
  <c r="DH37" i="2"/>
  <c r="DH38" i="2"/>
  <c r="DH39" i="2"/>
  <c r="DH40" i="2"/>
  <c r="DH41" i="2"/>
  <c r="DH42" i="2"/>
  <c r="DH43" i="2"/>
  <c r="DH44" i="2"/>
  <c r="DH45" i="2"/>
  <c r="DH46" i="2"/>
  <c r="DH47" i="2"/>
  <c r="DH48" i="2"/>
  <c r="DH49" i="2"/>
  <c r="DH50" i="2"/>
  <c r="DH51" i="2"/>
  <c r="DH52" i="2"/>
  <c r="DH53" i="2"/>
  <c r="DH54" i="2"/>
  <c r="DH55" i="2"/>
  <c r="DH56" i="2"/>
  <c r="DH57" i="2"/>
  <c r="DH58" i="2"/>
  <c r="DH59" i="2"/>
  <c r="DH60" i="2"/>
  <c r="DH61" i="2"/>
  <c r="DH62" i="2"/>
  <c r="DH63" i="2"/>
  <c r="DH64" i="2"/>
  <c r="DH65" i="2"/>
  <c r="DH66" i="2"/>
  <c r="DH67" i="2"/>
  <c r="DH68" i="2"/>
  <c r="DH69" i="2"/>
  <c r="DH70" i="2"/>
  <c r="DH71" i="2"/>
  <c r="DH72" i="2"/>
  <c r="DH73" i="2"/>
  <c r="DH74" i="2"/>
  <c r="DH75" i="2"/>
  <c r="DH76" i="2"/>
  <c r="DH77" i="2"/>
  <c r="DH78" i="2"/>
  <c r="DI2" i="2"/>
  <c r="DI3" i="2"/>
  <c r="DI4" i="2"/>
  <c r="DI5" i="2"/>
  <c r="DI6" i="2"/>
  <c r="DI7" i="2"/>
  <c r="DI8" i="2"/>
  <c r="DI9" i="2"/>
  <c r="DI10" i="2"/>
  <c r="DI11" i="2"/>
  <c r="DI12" i="2"/>
  <c r="DI13" i="2"/>
  <c r="DI14" i="2"/>
  <c r="DI15" i="2"/>
  <c r="DI16" i="2"/>
  <c r="DI17" i="2"/>
  <c r="DI18" i="2"/>
  <c r="DI19" i="2"/>
  <c r="DI20" i="2"/>
  <c r="DI21" i="2"/>
  <c r="DI22" i="2"/>
  <c r="DI23" i="2"/>
  <c r="DI24" i="2"/>
  <c r="DI25" i="2"/>
  <c r="DI26" i="2"/>
  <c r="DI27" i="2"/>
  <c r="DI28" i="2"/>
  <c r="DI29" i="2"/>
  <c r="DI30" i="2"/>
  <c r="DI31" i="2"/>
  <c r="DI32" i="2"/>
  <c r="DI33" i="2"/>
  <c r="DI34" i="2"/>
  <c r="DI35" i="2"/>
  <c r="DI36" i="2"/>
  <c r="DI37" i="2"/>
  <c r="DI38" i="2"/>
  <c r="DI39" i="2"/>
  <c r="DI40" i="2"/>
  <c r="DI41" i="2"/>
  <c r="DI42" i="2"/>
  <c r="DI43" i="2"/>
  <c r="DI44" i="2"/>
  <c r="DI45" i="2"/>
  <c r="DI46" i="2"/>
  <c r="DI47" i="2"/>
  <c r="DI48" i="2"/>
  <c r="DI49" i="2"/>
  <c r="DI50" i="2"/>
  <c r="DI51" i="2"/>
  <c r="DI52" i="2"/>
  <c r="DI53" i="2"/>
  <c r="DI54" i="2"/>
  <c r="DI55" i="2"/>
  <c r="DI56" i="2"/>
  <c r="DI57" i="2"/>
  <c r="DI58" i="2"/>
  <c r="DI59" i="2"/>
  <c r="DI60" i="2"/>
  <c r="DI61" i="2"/>
  <c r="DI62" i="2"/>
  <c r="DI63" i="2"/>
  <c r="DI64" i="2"/>
  <c r="DI65" i="2"/>
  <c r="DI66" i="2"/>
  <c r="DI67" i="2"/>
  <c r="DI68" i="2"/>
  <c r="DI69" i="2"/>
  <c r="DI70" i="2"/>
  <c r="DI71" i="2"/>
  <c r="DI72" i="2"/>
  <c r="DI73" i="2"/>
  <c r="DI74" i="2"/>
  <c r="DI75" i="2"/>
  <c r="DI76" i="2"/>
  <c r="DI77" i="2"/>
  <c r="DI78" i="2"/>
  <c r="DJ2" i="2"/>
  <c r="DJ3" i="2"/>
  <c r="DJ4" i="2"/>
  <c r="DJ5" i="2"/>
  <c r="DJ6" i="2"/>
  <c r="DJ7" i="2"/>
  <c r="DJ8" i="2"/>
  <c r="DJ9" i="2"/>
  <c r="DJ10" i="2"/>
  <c r="DJ11" i="2"/>
  <c r="DJ12" i="2"/>
  <c r="DJ13" i="2"/>
  <c r="DJ14" i="2"/>
  <c r="DJ15" i="2"/>
  <c r="DJ16" i="2"/>
  <c r="DJ17" i="2"/>
  <c r="DJ18" i="2"/>
  <c r="DJ19" i="2"/>
  <c r="DJ20" i="2"/>
  <c r="DJ21" i="2"/>
  <c r="DJ22" i="2"/>
  <c r="DJ23" i="2"/>
  <c r="DJ24" i="2"/>
  <c r="DJ25" i="2"/>
  <c r="DJ26" i="2"/>
  <c r="DJ27" i="2"/>
  <c r="DJ28" i="2"/>
  <c r="DJ29" i="2"/>
  <c r="DJ30" i="2"/>
  <c r="DJ31" i="2"/>
  <c r="DJ32" i="2"/>
  <c r="DJ33" i="2"/>
  <c r="DJ34" i="2"/>
  <c r="DJ35" i="2"/>
  <c r="DJ36" i="2"/>
  <c r="DJ37" i="2"/>
  <c r="DJ38" i="2"/>
  <c r="DJ39" i="2"/>
  <c r="DJ40" i="2"/>
  <c r="DJ41" i="2"/>
  <c r="DJ42" i="2"/>
  <c r="DJ43" i="2"/>
  <c r="DJ44" i="2"/>
  <c r="DJ45" i="2"/>
  <c r="DJ46" i="2"/>
  <c r="DJ47" i="2"/>
  <c r="DJ48" i="2"/>
  <c r="DJ49" i="2"/>
  <c r="DJ50" i="2"/>
  <c r="DJ51" i="2"/>
  <c r="DJ52" i="2"/>
  <c r="DJ53" i="2"/>
  <c r="DJ54" i="2"/>
  <c r="DJ55" i="2"/>
  <c r="DJ56" i="2"/>
  <c r="DJ57" i="2"/>
  <c r="DJ58" i="2"/>
  <c r="DJ59" i="2"/>
  <c r="DJ60" i="2"/>
  <c r="DJ61" i="2"/>
  <c r="DJ62" i="2"/>
  <c r="DJ63" i="2"/>
  <c r="DJ64" i="2"/>
  <c r="DJ65" i="2"/>
  <c r="DJ66" i="2"/>
  <c r="DJ67" i="2"/>
  <c r="DJ68" i="2"/>
  <c r="DJ69" i="2"/>
  <c r="DJ70" i="2"/>
  <c r="DJ71" i="2"/>
  <c r="DJ72" i="2"/>
  <c r="DJ73" i="2"/>
  <c r="DJ74" i="2"/>
  <c r="DJ75" i="2"/>
  <c r="DJ76" i="2"/>
  <c r="DJ77" i="2"/>
  <c r="DJ78" i="2"/>
  <c r="CY2" i="3"/>
  <c r="CY3" i="3"/>
  <c r="CY4" i="3"/>
  <c r="CY5" i="3"/>
  <c r="CY6" i="3"/>
  <c r="CY7" i="3"/>
  <c r="CY8" i="3"/>
  <c r="CY9" i="3"/>
  <c r="CY10" i="3"/>
  <c r="CY11" i="3"/>
  <c r="CY12" i="3"/>
  <c r="CY13" i="3"/>
  <c r="CY14" i="3"/>
  <c r="CY15" i="3"/>
  <c r="CY16" i="3"/>
  <c r="CY17" i="3"/>
  <c r="CY18" i="3"/>
  <c r="CY19" i="3"/>
  <c r="CY20" i="3"/>
  <c r="CY21" i="3"/>
  <c r="CY22" i="3"/>
  <c r="CY23" i="3"/>
  <c r="CY24" i="3"/>
  <c r="CY25" i="3"/>
  <c r="CY26" i="3"/>
  <c r="CY27" i="3"/>
  <c r="CY28" i="3"/>
  <c r="CY29" i="3"/>
  <c r="CY30" i="3"/>
  <c r="CY31" i="3"/>
  <c r="CY32" i="3"/>
  <c r="CY33" i="3"/>
  <c r="CY34" i="3"/>
  <c r="CY35" i="3"/>
  <c r="CY36" i="3"/>
  <c r="CY37" i="3"/>
  <c r="CY38" i="3"/>
  <c r="CY39" i="3"/>
  <c r="CY40" i="3"/>
  <c r="CY41" i="3"/>
  <c r="CY42" i="3"/>
  <c r="CY43" i="3"/>
  <c r="CY44" i="3"/>
  <c r="CY45" i="3"/>
  <c r="CY46" i="3"/>
  <c r="CY47" i="3"/>
  <c r="CY48" i="3"/>
  <c r="CY49" i="3"/>
  <c r="CY50" i="3"/>
  <c r="CY51" i="3"/>
  <c r="CY52" i="3"/>
  <c r="CY53" i="3"/>
  <c r="CY54" i="3"/>
  <c r="CY55" i="3"/>
  <c r="CY56" i="3"/>
  <c r="CY57" i="3"/>
  <c r="CY58" i="3"/>
  <c r="CY59" i="3"/>
  <c r="CY60" i="3"/>
  <c r="CY61" i="3"/>
  <c r="CY62" i="3"/>
  <c r="CY63" i="3"/>
  <c r="CY64" i="3"/>
  <c r="CY65" i="3"/>
  <c r="CY66" i="3"/>
  <c r="CY67" i="3"/>
  <c r="CY68" i="3"/>
  <c r="CY69" i="3"/>
  <c r="CY70" i="3"/>
  <c r="CY71" i="3"/>
  <c r="CY72" i="3"/>
  <c r="CY73" i="3"/>
  <c r="CY74" i="3"/>
  <c r="CY75" i="3"/>
  <c r="CY76" i="3"/>
  <c r="CY77" i="3"/>
  <c r="CY78" i="3"/>
  <c r="CY79" i="3"/>
  <c r="CY80" i="3"/>
  <c r="CY81" i="3"/>
  <c r="CY82" i="3"/>
  <c r="CY83" i="3"/>
  <c r="CY84" i="3"/>
  <c r="CY85" i="3"/>
  <c r="CY86" i="3"/>
  <c r="CY87" i="3"/>
  <c r="CY88" i="3"/>
  <c r="CY89" i="3"/>
  <c r="CY90" i="3"/>
  <c r="CY91" i="3"/>
  <c r="CY92" i="3"/>
  <c r="CZ2" i="3"/>
  <c r="CZ3" i="3"/>
  <c r="CZ4" i="3"/>
  <c r="CZ5" i="3"/>
  <c r="CZ6" i="3"/>
  <c r="CZ7" i="3"/>
  <c r="CZ8" i="3"/>
  <c r="CZ9" i="3"/>
  <c r="CZ10" i="3"/>
  <c r="CZ11" i="3"/>
  <c r="CZ12" i="3"/>
  <c r="CZ13" i="3"/>
  <c r="CZ14" i="3"/>
  <c r="CZ15" i="3"/>
  <c r="CZ16" i="3"/>
  <c r="CZ17" i="3"/>
  <c r="CZ18" i="3"/>
  <c r="CZ19" i="3"/>
  <c r="CZ20" i="3"/>
  <c r="CZ21" i="3"/>
  <c r="CZ22" i="3"/>
  <c r="CZ23" i="3"/>
  <c r="CZ24" i="3"/>
  <c r="CZ25" i="3"/>
  <c r="CZ26" i="3"/>
  <c r="CZ27" i="3"/>
  <c r="CZ28" i="3"/>
  <c r="CZ29" i="3"/>
  <c r="CZ30" i="3"/>
  <c r="CZ31" i="3"/>
  <c r="CZ32" i="3"/>
  <c r="CZ33" i="3"/>
  <c r="CZ34" i="3"/>
  <c r="CZ35" i="3"/>
  <c r="CZ36" i="3"/>
  <c r="CZ37" i="3"/>
  <c r="CZ38" i="3"/>
  <c r="CZ39" i="3"/>
  <c r="CZ40" i="3"/>
  <c r="CZ41" i="3"/>
  <c r="CZ42" i="3"/>
  <c r="CZ43" i="3"/>
  <c r="CZ44" i="3"/>
  <c r="CZ45" i="3"/>
  <c r="CZ46" i="3"/>
  <c r="CZ47" i="3"/>
  <c r="CZ48" i="3"/>
  <c r="CZ49" i="3"/>
  <c r="CZ50" i="3"/>
  <c r="CZ51" i="3"/>
  <c r="CZ52" i="3"/>
  <c r="CZ53" i="3"/>
  <c r="CZ54" i="3"/>
  <c r="CZ55" i="3"/>
  <c r="CZ56" i="3"/>
  <c r="CZ57" i="3"/>
  <c r="CZ58" i="3"/>
  <c r="CZ59" i="3"/>
  <c r="CZ60" i="3"/>
  <c r="CZ61" i="3"/>
  <c r="CZ62" i="3"/>
  <c r="CZ63" i="3"/>
  <c r="CZ64" i="3"/>
  <c r="CZ65" i="3"/>
  <c r="CZ66" i="3"/>
  <c r="CZ67" i="3"/>
  <c r="CZ68" i="3"/>
  <c r="CZ69" i="3"/>
  <c r="CZ70" i="3"/>
  <c r="CZ71" i="3"/>
  <c r="CZ72" i="3"/>
  <c r="CZ73" i="3"/>
  <c r="CZ74" i="3"/>
  <c r="CZ75" i="3"/>
  <c r="CZ76" i="3"/>
  <c r="CZ77" i="3"/>
  <c r="CZ78" i="3"/>
  <c r="CZ79" i="3"/>
  <c r="CZ80" i="3"/>
  <c r="CZ81" i="3"/>
  <c r="CZ82" i="3"/>
  <c r="CZ83" i="3"/>
  <c r="CZ84" i="3"/>
  <c r="CZ85" i="3"/>
  <c r="CZ86" i="3"/>
  <c r="CZ87" i="3"/>
  <c r="CZ88" i="3"/>
  <c r="CZ89" i="3"/>
  <c r="CZ90" i="3"/>
  <c r="CZ91" i="3"/>
  <c r="CZ92" i="3"/>
  <c r="DA2" i="3"/>
  <c r="DA3" i="3"/>
  <c r="DA4" i="3"/>
  <c r="DA5" i="3"/>
  <c r="DA6" i="3"/>
  <c r="DA7" i="3"/>
  <c r="DA8" i="3"/>
  <c r="DA9" i="3"/>
  <c r="DA10" i="3"/>
  <c r="DA11" i="3"/>
  <c r="DA12" i="3"/>
  <c r="DA13" i="3"/>
  <c r="DA14" i="3"/>
  <c r="DA15" i="3"/>
  <c r="DA16" i="3"/>
  <c r="DA17" i="3"/>
  <c r="DA18" i="3"/>
  <c r="DA19" i="3"/>
  <c r="DA20" i="3"/>
  <c r="DA21" i="3"/>
  <c r="DA22" i="3"/>
  <c r="DA23" i="3"/>
  <c r="DA24" i="3"/>
  <c r="DA25" i="3"/>
  <c r="DA26" i="3"/>
  <c r="DA27" i="3"/>
  <c r="DA28" i="3"/>
  <c r="DA29" i="3"/>
  <c r="DA30" i="3"/>
  <c r="DA31" i="3"/>
  <c r="DA32" i="3"/>
  <c r="DA33" i="3"/>
  <c r="DA34" i="3"/>
  <c r="DA35" i="3"/>
  <c r="DA36" i="3"/>
  <c r="DA37" i="3"/>
  <c r="DA38" i="3"/>
  <c r="DA39" i="3"/>
  <c r="DA40" i="3"/>
  <c r="DA41" i="3"/>
  <c r="DA42" i="3"/>
  <c r="DA43" i="3"/>
  <c r="DA44" i="3"/>
  <c r="DA45" i="3"/>
  <c r="DA46" i="3"/>
  <c r="DA47" i="3"/>
  <c r="DA48" i="3"/>
  <c r="DA49" i="3"/>
  <c r="DA50" i="3"/>
  <c r="DA51" i="3"/>
  <c r="DA52" i="3"/>
  <c r="DA53" i="3"/>
  <c r="DA54" i="3"/>
  <c r="DA55" i="3"/>
  <c r="DA56" i="3"/>
  <c r="DA57" i="3"/>
  <c r="DA58" i="3"/>
  <c r="DA59" i="3"/>
  <c r="DA60" i="3"/>
  <c r="DA61" i="3"/>
  <c r="DA62" i="3"/>
  <c r="DA63" i="3"/>
  <c r="DA64" i="3"/>
  <c r="DA65" i="3"/>
  <c r="DA66" i="3"/>
  <c r="DA67" i="3"/>
  <c r="DA68" i="3"/>
  <c r="DA69" i="3"/>
  <c r="DA70" i="3"/>
  <c r="DA71" i="3"/>
  <c r="DA72" i="3"/>
  <c r="DA73" i="3"/>
  <c r="DA74" i="3"/>
  <c r="DA75" i="3"/>
  <c r="DA76" i="3"/>
  <c r="DA77" i="3"/>
  <c r="DA78" i="3"/>
  <c r="DA79" i="3"/>
  <c r="DA80" i="3"/>
  <c r="DA81" i="3"/>
  <c r="DA82" i="3"/>
  <c r="DA83" i="3"/>
  <c r="DA84" i="3"/>
  <c r="DA85" i="3"/>
  <c r="DA86" i="3"/>
  <c r="DA87" i="3"/>
  <c r="DA88" i="3"/>
  <c r="DA89" i="3"/>
  <c r="DA90" i="3"/>
  <c r="DA91" i="3"/>
  <c r="DA92" i="3"/>
  <c r="DB2" i="3"/>
  <c r="DB3" i="3"/>
  <c r="DB26" i="3"/>
  <c r="DB50" i="3"/>
  <c r="DB59" i="3"/>
  <c r="DB75" i="3"/>
  <c r="DB84" i="3"/>
  <c r="DB86" i="3"/>
  <c r="DB91" i="3"/>
  <c r="DC2" i="3"/>
  <c r="DC3" i="3"/>
  <c r="DC26" i="3"/>
  <c r="DC50" i="3"/>
  <c r="DC59" i="3"/>
  <c r="DC75" i="3"/>
  <c r="DC84" i="3"/>
  <c r="DC86" i="3"/>
  <c r="DC91" i="3"/>
  <c r="DD2" i="3"/>
  <c r="DD3" i="3"/>
  <c r="DD4" i="3"/>
  <c r="DD5" i="3"/>
  <c r="DD6" i="3"/>
  <c r="DD7" i="3"/>
  <c r="DD8" i="3"/>
  <c r="DD9" i="3"/>
  <c r="DD10" i="3"/>
  <c r="DD11" i="3"/>
  <c r="DD12" i="3"/>
  <c r="DD13" i="3"/>
  <c r="DD14" i="3"/>
  <c r="DD15" i="3"/>
  <c r="DD16" i="3"/>
  <c r="DD17" i="3"/>
  <c r="DD18" i="3"/>
  <c r="DD19" i="3"/>
  <c r="DD20" i="3"/>
  <c r="DD21" i="3"/>
  <c r="DD22" i="3"/>
  <c r="DD23" i="3"/>
  <c r="DD24" i="3"/>
  <c r="DD25" i="3"/>
  <c r="DD26" i="3"/>
  <c r="DD27" i="3"/>
  <c r="DD28" i="3"/>
  <c r="DD29" i="3"/>
  <c r="DD30" i="3"/>
  <c r="DD31" i="3"/>
  <c r="DD32" i="3"/>
  <c r="DD33" i="3"/>
  <c r="DD34" i="3"/>
  <c r="DD35" i="3"/>
  <c r="DD36" i="3"/>
  <c r="DD37" i="3"/>
  <c r="DD38" i="3"/>
  <c r="DD39" i="3"/>
  <c r="DD40" i="3"/>
  <c r="DD41" i="3"/>
  <c r="DD42" i="3"/>
  <c r="DD43" i="3"/>
  <c r="DD44" i="3"/>
  <c r="DD45" i="3"/>
  <c r="DD46" i="3"/>
  <c r="DD47" i="3"/>
  <c r="DD48" i="3"/>
  <c r="DD49" i="3"/>
  <c r="DD50" i="3"/>
  <c r="DD51" i="3"/>
  <c r="DD52" i="3"/>
  <c r="DD53" i="3"/>
  <c r="DD54" i="3"/>
  <c r="DD55" i="3"/>
  <c r="DD56" i="3"/>
  <c r="DD57" i="3"/>
  <c r="DD58" i="3"/>
  <c r="DD59" i="3"/>
  <c r="DD75" i="3"/>
  <c r="DD84" i="3"/>
  <c r="DD86" i="3"/>
  <c r="DD87" i="3"/>
  <c r="DD88" i="3"/>
  <c r="DD89" i="3"/>
  <c r="DD90" i="3"/>
  <c r="DD91" i="3"/>
  <c r="DD92" i="3"/>
  <c r="DF2" i="3"/>
  <c r="DF3" i="3"/>
  <c r="DF26" i="3"/>
  <c r="DF50" i="3"/>
  <c r="DF59" i="3"/>
  <c r="DF75" i="3"/>
  <c r="DF84" i="3"/>
  <c r="DF86" i="3"/>
  <c r="DF91" i="3"/>
  <c r="DG2" i="3"/>
  <c r="DG3" i="3"/>
  <c r="DG26" i="3"/>
  <c r="DG50" i="3"/>
  <c r="DG59" i="3"/>
  <c r="DG75" i="3"/>
  <c r="DG84" i="3"/>
  <c r="DG86" i="3"/>
  <c r="DG91" i="3"/>
  <c r="DH2" i="3"/>
  <c r="DH3" i="3"/>
  <c r="DH4" i="3"/>
  <c r="DH5" i="3"/>
  <c r="DH6" i="3"/>
  <c r="DH7" i="3"/>
  <c r="DH8" i="3"/>
  <c r="DH9" i="3"/>
  <c r="DH10" i="3"/>
  <c r="DH11" i="3"/>
  <c r="DH12" i="3"/>
  <c r="DH13" i="3"/>
  <c r="DH14" i="3"/>
  <c r="DH15" i="3"/>
  <c r="DH16" i="3"/>
  <c r="DH17" i="3"/>
  <c r="DH18" i="3"/>
  <c r="DH19" i="3"/>
  <c r="DH20" i="3"/>
  <c r="DH21" i="3"/>
  <c r="DH22" i="3"/>
  <c r="DH23" i="3"/>
  <c r="DH24" i="3"/>
  <c r="DH25" i="3"/>
  <c r="DH26" i="3"/>
  <c r="DH27" i="3"/>
  <c r="DH28" i="3"/>
  <c r="DH29" i="3"/>
  <c r="DH30" i="3"/>
  <c r="DH31" i="3"/>
  <c r="DH32" i="3"/>
  <c r="DH33" i="3"/>
  <c r="DH34" i="3"/>
  <c r="DH35" i="3"/>
  <c r="DH36" i="3"/>
  <c r="DH37" i="3"/>
  <c r="DH38" i="3"/>
  <c r="DH39" i="3"/>
  <c r="DH40" i="3"/>
  <c r="DH41" i="3"/>
  <c r="DH42" i="3"/>
  <c r="DH43" i="3"/>
  <c r="DH44" i="3"/>
  <c r="DH45" i="3"/>
  <c r="DH46" i="3"/>
  <c r="DH47" i="3"/>
  <c r="DH48" i="3"/>
  <c r="DH49" i="3"/>
  <c r="DH50" i="3"/>
  <c r="DH51" i="3"/>
  <c r="DH52" i="3"/>
  <c r="DH53" i="3"/>
  <c r="DH54" i="3"/>
  <c r="DH55" i="3"/>
  <c r="DH56" i="3"/>
  <c r="DH57" i="3"/>
  <c r="DH58" i="3"/>
  <c r="DH59" i="3"/>
  <c r="DH60" i="3"/>
  <c r="DH61" i="3"/>
  <c r="DH62" i="3"/>
  <c r="DH63" i="3"/>
  <c r="DH64" i="3"/>
  <c r="DH65" i="3"/>
  <c r="DH66" i="3"/>
  <c r="DH67" i="3"/>
  <c r="DH68" i="3"/>
  <c r="DH69" i="3"/>
  <c r="DH70" i="3"/>
  <c r="DH71" i="3"/>
  <c r="DH72" i="3"/>
  <c r="DH73" i="3"/>
  <c r="DH74" i="3"/>
  <c r="DH75" i="3"/>
  <c r="DH76" i="3"/>
  <c r="DH77" i="3"/>
  <c r="DH78" i="3"/>
  <c r="DH79" i="3"/>
  <c r="DH80" i="3"/>
  <c r="DH81" i="3"/>
  <c r="DH82" i="3"/>
  <c r="DH83" i="3"/>
  <c r="DH84" i="3"/>
  <c r="DH85" i="3"/>
  <c r="DH86" i="3"/>
  <c r="DH87" i="3"/>
  <c r="DH88" i="3"/>
  <c r="DH89" i="3"/>
  <c r="DH90" i="3"/>
  <c r="DH91" i="3"/>
  <c r="DH92" i="3"/>
  <c r="DI2" i="3"/>
  <c r="DI3" i="3"/>
  <c r="DI4" i="3"/>
  <c r="DI5" i="3"/>
  <c r="DI6" i="3"/>
  <c r="DI7" i="3"/>
  <c r="DI8" i="3"/>
  <c r="DI9" i="3"/>
  <c r="DI10" i="3"/>
  <c r="DI11" i="3"/>
  <c r="DI12" i="3"/>
  <c r="DI13" i="3"/>
  <c r="DI14" i="3"/>
  <c r="DI15" i="3"/>
  <c r="DI16" i="3"/>
  <c r="DI17" i="3"/>
  <c r="DI18" i="3"/>
  <c r="DI19" i="3"/>
  <c r="DI20" i="3"/>
  <c r="DI21" i="3"/>
  <c r="DI22" i="3"/>
  <c r="DI23" i="3"/>
  <c r="DI24" i="3"/>
  <c r="DI25" i="3"/>
  <c r="DI26" i="3"/>
  <c r="DI27" i="3"/>
  <c r="DI28" i="3"/>
  <c r="DI29" i="3"/>
  <c r="DI30" i="3"/>
  <c r="DI31" i="3"/>
  <c r="DI32" i="3"/>
  <c r="DI33" i="3"/>
  <c r="DI34" i="3"/>
  <c r="DI35" i="3"/>
  <c r="DI36" i="3"/>
  <c r="DI37" i="3"/>
  <c r="DI38" i="3"/>
  <c r="DI39" i="3"/>
  <c r="DI40" i="3"/>
  <c r="DI41" i="3"/>
  <c r="DI42" i="3"/>
  <c r="DI43" i="3"/>
  <c r="DI44" i="3"/>
  <c r="DI45" i="3"/>
  <c r="DI46" i="3"/>
  <c r="DI47" i="3"/>
  <c r="DI48" i="3"/>
  <c r="DI49" i="3"/>
  <c r="DI50" i="3"/>
  <c r="DI51" i="3"/>
  <c r="DI52" i="3"/>
  <c r="DI53" i="3"/>
  <c r="DI54" i="3"/>
  <c r="DI55" i="3"/>
  <c r="DI56" i="3"/>
  <c r="DI57" i="3"/>
  <c r="DI58" i="3"/>
  <c r="DI59" i="3"/>
  <c r="DI60" i="3"/>
  <c r="DI61" i="3"/>
  <c r="DI62" i="3"/>
  <c r="DI63" i="3"/>
  <c r="DI64" i="3"/>
  <c r="DI65" i="3"/>
  <c r="DI66" i="3"/>
  <c r="DI67" i="3"/>
  <c r="DI68" i="3"/>
  <c r="DI69" i="3"/>
  <c r="DI70" i="3"/>
  <c r="DI71" i="3"/>
  <c r="DI72" i="3"/>
  <c r="DI73" i="3"/>
  <c r="DI74" i="3"/>
  <c r="DI75" i="3"/>
  <c r="DI76" i="3"/>
  <c r="DI77" i="3"/>
  <c r="DI78" i="3"/>
  <c r="DI79" i="3"/>
  <c r="DI80" i="3"/>
  <c r="DI81" i="3"/>
  <c r="DI82" i="3"/>
  <c r="DI83" i="3"/>
  <c r="DI84" i="3"/>
  <c r="DI85" i="3"/>
  <c r="DI86" i="3"/>
  <c r="DI87" i="3"/>
  <c r="DI88" i="3"/>
  <c r="DI89" i="3"/>
  <c r="DI90" i="3"/>
  <c r="DI91" i="3"/>
  <c r="DI92" i="3"/>
  <c r="DJ2" i="3"/>
  <c r="DJ3" i="3"/>
  <c r="DJ4" i="3"/>
  <c r="DJ5" i="3"/>
  <c r="DJ6" i="3"/>
  <c r="DJ7" i="3"/>
  <c r="DJ8" i="3"/>
  <c r="DJ9" i="3"/>
  <c r="DJ10" i="3"/>
  <c r="DJ11" i="3"/>
  <c r="DJ12" i="3"/>
  <c r="DJ13" i="3"/>
  <c r="DJ14" i="3"/>
  <c r="DJ15" i="3"/>
  <c r="DJ16" i="3"/>
  <c r="DJ17" i="3"/>
  <c r="DJ18" i="3"/>
  <c r="DJ19" i="3"/>
  <c r="DJ20" i="3"/>
  <c r="DJ21" i="3"/>
  <c r="DJ22" i="3"/>
  <c r="DJ23" i="3"/>
  <c r="DJ24" i="3"/>
  <c r="DJ25" i="3"/>
  <c r="DJ26" i="3"/>
  <c r="DJ27" i="3"/>
  <c r="DJ28" i="3"/>
  <c r="DJ29" i="3"/>
  <c r="DJ30" i="3"/>
  <c r="DJ31" i="3"/>
  <c r="DJ32" i="3"/>
  <c r="DJ33" i="3"/>
  <c r="DJ34" i="3"/>
  <c r="DJ35" i="3"/>
  <c r="DJ36" i="3"/>
  <c r="DJ37" i="3"/>
  <c r="DJ38" i="3"/>
  <c r="DJ39" i="3"/>
  <c r="DJ40" i="3"/>
  <c r="DJ41" i="3"/>
  <c r="DJ42" i="3"/>
  <c r="DJ43" i="3"/>
  <c r="DJ44" i="3"/>
  <c r="DJ45" i="3"/>
  <c r="DJ46" i="3"/>
  <c r="DJ47" i="3"/>
  <c r="DJ48" i="3"/>
  <c r="DJ49" i="3"/>
  <c r="DJ50" i="3"/>
  <c r="DJ51" i="3"/>
  <c r="DJ52" i="3"/>
  <c r="DJ53" i="3"/>
  <c r="DJ54" i="3"/>
  <c r="DJ55" i="3"/>
  <c r="DJ56" i="3"/>
  <c r="DJ57" i="3"/>
  <c r="DJ58" i="3"/>
  <c r="DJ59" i="3"/>
  <c r="DJ60" i="3"/>
  <c r="DJ61" i="3"/>
  <c r="DJ62" i="3"/>
  <c r="DJ63" i="3"/>
  <c r="DJ64" i="3"/>
  <c r="DJ65" i="3"/>
  <c r="DJ66" i="3"/>
  <c r="DJ67" i="3"/>
  <c r="DJ68" i="3"/>
  <c r="DJ69" i="3"/>
  <c r="DJ70" i="3"/>
  <c r="DJ71" i="3"/>
  <c r="DJ72" i="3"/>
  <c r="DJ73" i="3"/>
  <c r="DJ74" i="3"/>
  <c r="DJ75" i="3"/>
  <c r="DJ76" i="3"/>
  <c r="DJ77" i="3"/>
  <c r="DJ78" i="3"/>
  <c r="DJ79" i="3"/>
  <c r="DJ80" i="3"/>
  <c r="DJ81" i="3"/>
  <c r="DJ82" i="3"/>
  <c r="DJ83" i="3"/>
  <c r="DJ84" i="3"/>
  <c r="DJ85" i="3"/>
  <c r="DJ86" i="3"/>
  <c r="DJ87" i="3"/>
  <c r="DJ88" i="3"/>
  <c r="DJ89" i="3"/>
  <c r="DJ90" i="3"/>
  <c r="DJ91" i="3"/>
  <c r="DJ92" i="3"/>
  <c r="C4" i="6"/>
  <c r="DC46" i="2" l="1"/>
  <c r="DF46" i="2" s="1"/>
  <c r="DC47" i="2"/>
  <c r="DF47" i="2" s="1"/>
  <c r="DC48" i="2"/>
  <c r="DF48" i="2" s="1"/>
  <c r="DC49" i="2"/>
  <c r="DF49" i="2" s="1"/>
  <c r="DC50" i="2"/>
  <c r="DF50" i="2" s="1"/>
  <c r="DC51" i="2"/>
  <c r="DF51" i="2" s="1"/>
  <c r="DC52" i="2"/>
  <c r="DF52" i="2" s="1"/>
  <c r="DC53" i="2"/>
  <c r="DC54" i="2"/>
  <c r="DC55" i="2"/>
  <c r="DC56" i="2"/>
  <c r="DC58" i="2"/>
  <c r="DC59" i="2"/>
  <c r="DC60" i="2"/>
  <c r="DC61" i="2"/>
  <c r="DC62" i="2"/>
  <c r="DC63" i="2"/>
  <c r="DC64" i="2"/>
  <c r="DC65" i="2"/>
  <c r="DC66" i="2"/>
  <c r="DC67" i="2"/>
  <c r="DC68" i="2"/>
  <c r="DC69" i="2"/>
  <c r="DC70" i="2"/>
  <c r="DC71" i="2"/>
  <c r="DC72" i="2"/>
  <c r="DC73" i="2"/>
  <c r="DC74" i="2"/>
  <c r="DC75" i="2"/>
  <c r="DC76" i="2"/>
  <c r="DC77" i="2"/>
  <c r="DC78" i="2"/>
  <c r="DF45" i="2"/>
  <c r="DD10" i="2"/>
  <c r="DF10" i="2" s="1"/>
  <c r="DG10" i="2" s="1"/>
  <c r="DD11" i="2"/>
  <c r="DF11" i="2" s="1"/>
  <c r="DG11" i="2" s="1"/>
  <c r="DD12" i="2"/>
  <c r="DF12" i="2" s="1"/>
  <c r="DG12" i="2" s="1"/>
  <c r="DD13" i="2"/>
  <c r="DF13" i="2" s="1"/>
  <c r="DD14" i="2"/>
  <c r="DF14" i="2" s="1"/>
  <c r="DD15" i="2"/>
  <c r="DF15" i="2" s="1"/>
  <c r="DG15" i="2" s="1"/>
  <c r="DD16" i="2"/>
  <c r="DF16" i="2" s="1"/>
  <c r="DG16" i="2" s="1"/>
  <c r="DD17" i="2"/>
  <c r="DF17" i="2" s="1"/>
  <c r="DD18" i="2"/>
  <c r="DF18" i="2" s="1"/>
  <c r="DG18" i="2" s="1"/>
  <c r="DD19" i="2"/>
  <c r="DF19" i="2" s="1"/>
  <c r="DD20" i="2"/>
  <c r="DF20" i="2" s="1"/>
  <c r="DG20" i="2" s="1"/>
  <c r="DD21" i="2"/>
  <c r="DF21" i="2" s="1"/>
  <c r="DG21" i="2" s="1"/>
  <c r="DD22" i="2"/>
  <c r="DF22" i="2" s="1"/>
  <c r="DD23" i="2"/>
  <c r="DF23" i="2" s="1"/>
  <c r="DG23" i="2" s="1"/>
  <c r="DD24" i="2"/>
  <c r="DF24" i="2" s="1"/>
  <c r="DG24" i="2" s="1"/>
  <c r="DD25" i="2"/>
  <c r="DF25" i="2" s="1"/>
  <c r="DD26" i="2"/>
  <c r="DF26" i="2" s="1"/>
  <c r="DG26" i="2" s="1"/>
  <c r="DD27" i="2"/>
  <c r="DF27" i="2" s="1"/>
  <c r="DD28" i="2"/>
  <c r="DF28" i="2" s="1"/>
  <c r="DG28" i="2" s="1"/>
  <c r="DD29" i="2"/>
  <c r="DF29" i="2" s="1"/>
  <c r="DG29" i="2" s="1"/>
  <c r="DD30" i="2"/>
  <c r="DF30" i="2" s="1"/>
  <c r="DD31" i="2"/>
  <c r="DF31" i="2" s="1"/>
  <c r="DG31" i="2" s="1"/>
  <c r="DD32" i="2"/>
  <c r="DF32" i="2" s="1"/>
  <c r="DD33" i="2"/>
  <c r="DF33" i="2" s="1"/>
  <c r="DG33" i="2" s="1"/>
  <c r="DD34" i="2"/>
  <c r="DF34" i="2" s="1"/>
  <c r="DG34" i="2" s="1"/>
  <c r="DD35" i="2"/>
  <c r="DF35" i="2" s="1"/>
  <c r="DD36" i="2"/>
  <c r="DF36" i="2" s="1"/>
  <c r="DG36" i="2" s="1"/>
  <c r="DD37" i="2"/>
  <c r="DF37" i="2" s="1"/>
  <c r="DD38" i="2"/>
  <c r="DF38" i="2" s="1"/>
  <c r="DG38" i="2" s="1"/>
  <c r="DD39" i="2"/>
  <c r="DF39" i="2" s="1"/>
  <c r="DD40" i="2"/>
  <c r="DF40" i="2" s="1"/>
  <c r="DG40" i="2" s="1"/>
  <c r="DF53" i="2"/>
  <c r="DG53" i="2" s="1"/>
  <c r="DF54" i="2"/>
  <c r="DG54" i="2" s="1"/>
  <c r="DF55" i="2"/>
  <c r="DG55" i="2" s="1"/>
  <c r="DF56" i="2"/>
  <c r="DG56" i="2" s="1"/>
  <c r="DF58" i="2"/>
  <c r="DG58" i="2" s="1"/>
  <c r="DF59" i="2"/>
  <c r="DG59" i="2" s="1"/>
  <c r="DF60" i="2"/>
  <c r="DG60" i="2" s="1"/>
  <c r="DF61" i="2"/>
  <c r="DG61" i="2" s="1"/>
  <c r="DF62" i="2"/>
  <c r="DG62" i="2" s="1"/>
  <c r="DF63" i="2"/>
  <c r="DG63" i="2" s="1"/>
  <c r="DF64" i="2"/>
  <c r="DG64" i="2" s="1"/>
  <c r="DF65" i="2"/>
  <c r="DG65" i="2" s="1"/>
  <c r="DF66" i="2"/>
  <c r="DG66" i="2" s="1"/>
  <c r="DF67" i="2"/>
  <c r="DG67" i="2" s="1"/>
  <c r="DF68" i="2"/>
  <c r="DG68" i="2" s="1"/>
  <c r="DF69" i="2"/>
  <c r="DG69" i="2" s="1"/>
  <c r="DF70" i="2"/>
  <c r="DG70" i="2" s="1"/>
  <c r="DF71" i="2"/>
  <c r="DG71" i="2" s="1"/>
  <c r="DF72" i="2"/>
  <c r="DG72" i="2" s="1"/>
  <c r="DF73" i="2"/>
  <c r="DG73" i="2" s="1"/>
  <c r="DF74" i="2"/>
  <c r="DG74" i="2" s="1"/>
  <c r="DF75" i="2"/>
  <c r="DG75" i="2" s="1"/>
  <c r="DF76" i="2"/>
  <c r="DG76" i="2" s="1"/>
  <c r="DF77" i="2"/>
  <c r="DG77" i="2" s="1"/>
  <c r="DF78" i="2"/>
  <c r="DG78" i="2" s="1"/>
  <c r="DG2" i="2"/>
  <c r="DG3" i="2"/>
  <c r="DG4" i="2"/>
  <c r="DG5" i="2"/>
  <c r="DG6" i="2"/>
  <c r="DG7" i="2"/>
  <c r="DG8" i="2"/>
  <c r="DG9" i="2"/>
  <c r="DG41" i="2"/>
  <c r="DG42" i="2"/>
  <c r="DG43" i="2"/>
  <c r="DG44" i="2"/>
  <c r="DG45" i="2"/>
  <c r="DG46" i="2"/>
  <c r="DG47" i="2"/>
  <c r="DG48" i="2"/>
  <c r="DG49" i="2"/>
  <c r="DG50" i="2"/>
  <c r="DG51" i="2"/>
  <c r="DG52" i="2"/>
  <c r="DD60" i="3"/>
  <c r="DD61" i="3"/>
  <c r="DD62" i="3"/>
  <c r="DD63" i="3"/>
  <c r="DD64" i="3"/>
  <c r="DD65" i="3"/>
  <c r="DD66" i="3"/>
  <c r="DD67" i="3"/>
  <c r="DD68" i="3"/>
  <c r="DD69" i="3"/>
  <c r="DD70" i="3"/>
  <c r="DD71" i="3"/>
  <c r="DD72" i="3"/>
  <c r="DD73" i="3"/>
  <c r="DD74" i="3"/>
  <c r="DD76" i="3"/>
  <c r="DD77" i="3"/>
  <c r="DD78" i="3"/>
  <c r="DD79" i="3"/>
  <c r="DD80" i="3"/>
  <c r="DD81" i="3"/>
  <c r="DD82" i="3"/>
  <c r="DD83" i="3"/>
  <c r="DD85" i="3"/>
  <c r="B80" i="11"/>
  <c r="DK17" i="3" s="1"/>
  <c r="DE17" i="3" s="1"/>
  <c r="C80" i="11"/>
  <c r="DL17" i="3" s="1"/>
  <c r="DB17" i="3" s="1"/>
  <c r="D80" i="11"/>
  <c r="B81" i="11"/>
  <c r="DK16" i="3" s="1"/>
  <c r="DE16" i="3" s="1"/>
  <c r="C81" i="11"/>
  <c r="DL16" i="3" s="1"/>
  <c r="DB16" i="3" s="1"/>
  <c r="D81" i="11"/>
  <c r="B82" i="11"/>
  <c r="DK15" i="3" s="1"/>
  <c r="DE15" i="3" s="1"/>
  <c r="C82" i="11"/>
  <c r="DL15" i="3" s="1"/>
  <c r="DB15" i="3" s="1"/>
  <c r="D82" i="11"/>
  <c r="B83" i="11"/>
  <c r="DK14" i="3" s="1"/>
  <c r="DE14" i="3" s="1"/>
  <c r="C83" i="11"/>
  <c r="DL14" i="3" s="1"/>
  <c r="DB14" i="3" s="1"/>
  <c r="D83" i="11"/>
  <c r="B84" i="11"/>
  <c r="DK13" i="3" s="1"/>
  <c r="DE13" i="3" s="1"/>
  <c r="C84" i="11"/>
  <c r="DL13" i="3" s="1"/>
  <c r="DB13" i="3" s="1"/>
  <c r="D84" i="11"/>
  <c r="B85" i="11"/>
  <c r="DK12" i="3" s="1"/>
  <c r="DE12" i="3" s="1"/>
  <c r="C85" i="11"/>
  <c r="DL12" i="3" s="1"/>
  <c r="DB12" i="3" s="1"/>
  <c r="D85" i="11"/>
  <c r="B86" i="11"/>
  <c r="DK11" i="3" s="1"/>
  <c r="DE11" i="3" s="1"/>
  <c r="C86" i="11"/>
  <c r="DL11" i="3" s="1"/>
  <c r="DB11" i="3" s="1"/>
  <c r="D86" i="11"/>
  <c r="B87" i="11"/>
  <c r="DK10" i="3" s="1"/>
  <c r="DE10" i="3" s="1"/>
  <c r="C87" i="11"/>
  <c r="DL10" i="3" s="1"/>
  <c r="DB10" i="3" s="1"/>
  <c r="D87" i="11"/>
  <c r="B88" i="11"/>
  <c r="DK9" i="3" s="1"/>
  <c r="DE9" i="3" s="1"/>
  <c r="C88" i="11"/>
  <c r="DL9" i="3" s="1"/>
  <c r="DB9" i="3" s="1"/>
  <c r="D88" i="11"/>
  <c r="B89" i="11"/>
  <c r="DK8" i="3" s="1"/>
  <c r="DE8" i="3" s="1"/>
  <c r="C89" i="11"/>
  <c r="DL8" i="3" s="1"/>
  <c r="DB8" i="3" s="1"/>
  <c r="D89" i="11"/>
  <c r="B90" i="11"/>
  <c r="DK7" i="3" s="1"/>
  <c r="DE7" i="3" s="1"/>
  <c r="C90" i="11"/>
  <c r="DL7" i="3" s="1"/>
  <c r="DB7" i="3" s="1"/>
  <c r="D90" i="11"/>
  <c r="B91" i="11"/>
  <c r="DK6" i="3" s="1"/>
  <c r="DE6" i="3" s="1"/>
  <c r="C91" i="11"/>
  <c r="DL6" i="3" s="1"/>
  <c r="DB6" i="3" s="1"/>
  <c r="D91" i="11"/>
  <c r="B92" i="11"/>
  <c r="DK5" i="3" s="1"/>
  <c r="DE5" i="3" s="1"/>
  <c r="C92" i="11"/>
  <c r="DL5" i="3" s="1"/>
  <c r="DB5" i="3" s="1"/>
  <c r="D92" i="11"/>
  <c r="DG13" i="2" l="1"/>
  <c r="DG14" i="2"/>
  <c r="DG17" i="2"/>
  <c r="DG19" i="2"/>
  <c r="DG22" i="2"/>
  <c r="DG25" i="2"/>
  <c r="DG27" i="2"/>
  <c r="DG30" i="2"/>
  <c r="DG32" i="2"/>
  <c r="DG35" i="2"/>
  <c r="DG37" i="2"/>
  <c r="DG39" i="2"/>
  <c r="DC17" i="3"/>
  <c r="DC16" i="3"/>
  <c r="DC15" i="3"/>
  <c r="DC14" i="3"/>
  <c r="DC13" i="3"/>
  <c r="DC12" i="3"/>
  <c r="DC11" i="3"/>
  <c r="DC10" i="3"/>
  <c r="DC9" i="3"/>
  <c r="DC8" i="3"/>
  <c r="DC7" i="3"/>
  <c r="DF7" i="3"/>
  <c r="DG7" i="3" s="1"/>
  <c r="DC6" i="3"/>
  <c r="DC5" i="3"/>
  <c r="C4" i="4"/>
  <c r="DF17" i="3" l="1"/>
  <c r="DG17" i="3" s="1"/>
  <c r="DF14" i="3"/>
  <c r="DG14" i="3" s="1"/>
  <c r="DF13" i="3"/>
  <c r="DG13" i="3" s="1"/>
  <c r="DF15" i="3"/>
  <c r="DG15" i="3" s="1"/>
  <c r="DF12" i="3"/>
  <c r="DG12" i="3" s="1"/>
  <c r="DF11" i="3"/>
  <c r="DG11" i="3" s="1"/>
  <c r="DF10" i="3"/>
  <c r="DG10" i="3" s="1"/>
  <c r="DF9" i="3"/>
  <c r="DG9" i="3" s="1"/>
  <c r="DF8" i="3"/>
  <c r="DG8" i="3" s="1"/>
  <c r="DF6" i="3"/>
  <c r="DG6" i="3" s="1"/>
  <c r="DF5" i="3"/>
  <c r="DG5" i="3" s="1"/>
  <c r="DF16" i="3"/>
  <c r="DG16" i="3" s="1"/>
  <c r="B77" i="11"/>
  <c r="DK20" i="3" s="1"/>
  <c r="DE20" i="3" s="1"/>
  <c r="C77" i="11"/>
  <c r="DL20" i="3" s="1"/>
  <c r="DB20" i="3" s="1"/>
  <c r="D77" i="11"/>
  <c r="B78" i="11"/>
  <c r="DK19" i="3" s="1"/>
  <c r="DE19" i="3" s="1"/>
  <c r="C78" i="11"/>
  <c r="DL19" i="3" s="1"/>
  <c r="DB19" i="3" s="1"/>
  <c r="D78" i="11"/>
  <c r="B79" i="11"/>
  <c r="DK18" i="3" s="1"/>
  <c r="DE18" i="3" s="1"/>
  <c r="C79" i="11"/>
  <c r="DL18" i="3" s="1"/>
  <c r="DB18" i="3" s="1"/>
  <c r="D79" i="11"/>
  <c r="DC20" i="3" l="1"/>
  <c r="DF20" i="3"/>
  <c r="DG20" i="3" s="1"/>
  <c r="DC19" i="3"/>
  <c r="DC18" i="3"/>
  <c r="C226" i="5"/>
  <c r="G226" i="5" s="1"/>
  <c r="C225" i="5"/>
  <c r="G225" i="5" s="1"/>
  <c r="C224" i="5"/>
  <c r="G224" i="5" s="1"/>
  <c r="C222" i="5"/>
  <c r="G222" i="5" s="1"/>
  <c r="C221" i="5"/>
  <c r="G221" i="5" s="1"/>
  <c r="C220" i="5"/>
  <c r="G220" i="5" s="1"/>
  <c r="DF18" i="3" l="1"/>
  <c r="DG18" i="3" s="1"/>
  <c r="DF19" i="3"/>
  <c r="DG19" i="3" s="1"/>
  <c r="B75" i="11"/>
  <c r="DK22" i="3" s="1"/>
  <c r="DE22" i="3" s="1"/>
  <c r="C75" i="11"/>
  <c r="DL22" i="3" s="1"/>
  <c r="DB22" i="3" s="1"/>
  <c r="D75" i="11"/>
  <c r="B76" i="11"/>
  <c r="DK21" i="3" s="1"/>
  <c r="DE21" i="3" s="1"/>
  <c r="C76" i="11"/>
  <c r="DL21" i="3" s="1"/>
  <c r="DB21" i="3" s="1"/>
  <c r="D76" i="11"/>
  <c r="D74" i="11"/>
  <c r="C74" i="11"/>
  <c r="DL92" i="3" s="1"/>
  <c r="DB92" i="3" s="1"/>
  <c r="B74" i="11"/>
  <c r="DK92" i="3" s="1"/>
  <c r="DE92" i="3" s="1"/>
  <c r="D73" i="11"/>
  <c r="C73" i="11"/>
  <c r="DL91" i="3" s="1"/>
  <c r="B73" i="11"/>
  <c r="DK91" i="3" s="1"/>
  <c r="DE91" i="3" s="1"/>
  <c r="D72" i="11"/>
  <c r="C72" i="11"/>
  <c r="DL90" i="3" s="1"/>
  <c r="DB90" i="3" s="1"/>
  <c r="B72" i="11"/>
  <c r="DK90" i="3" s="1"/>
  <c r="DE90" i="3" s="1"/>
  <c r="D71" i="11"/>
  <c r="C71" i="11"/>
  <c r="DL89" i="3" s="1"/>
  <c r="DB89" i="3" s="1"/>
  <c r="B71" i="11"/>
  <c r="DK89" i="3" s="1"/>
  <c r="DE89" i="3" s="1"/>
  <c r="D70" i="11"/>
  <c r="C70" i="11"/>
  <c r="DL88" i="3" s="1"/>
  <c r="DB88" i="3" s="1"/>
  <c r="B70" i="11"/>
  <c r="DK88" i="3" s="1"/>
  <c r="DE88" i="3" s="1"/>
  <c r="D69" i="11"/>
  <c r="C69" i="11"/>
  <c r="DL87" i="3" s="1"/>
  <c r="DB87" i="3" s="1"/>
  <c r="B69" i="11"/>
  <c r="DK87" i="3" s="1"/>
  <c r="DE87" i="3" s="1"/>
  <c r="D68" i="11"/>
  <c r="C68" i="11"/>
  <c r="DL86" i="3" s="1"/>
  <c r="B68" i="11"/>
  <c r="DK86" i="3" s="1"/>
  <c r="DE86" i="3" s="1"/>
  <c r="D67" i="11"/>
  <c r="C67" i="11"/>
  <c r="DL85" i="3" s="1"/>
  <c r="DB85" i="3" s="1"/>
  <c r="B67" i="11"/>
  <c r="DK85" i="3" s="1"/>
  <c r="DE85" i="3" s="1"/>
  <c r="D66" i="11"/>
  <c r="C66" i="11"/>
  <c r="DL84" i="3" s="1"/>
  <c r="B66" i="11"/>
  <c r="DK84" i="3" s="1"/>
  <c r="DE84" i="3" s="1"/>
  <c r="D65" i="11"/>
  <c r="C65" i="11"/>
  <c r="DL83" i="3" s="1"/>
  <c r="DB83" i="3" s="1"/>
  <c r="B65" i="11"/>
  <c r="DK83" i="3" s="1"/>
  <c r="DE83" i="3" s="1"/>
  <c r="D64" i="11"/>
  <c r="C64" i="11"/>
  <c r="DL82" i="3" s="1"/>
  <c r="DB82" i="3" s="1"/>
  <c r="B64" i="11"/>
  <c r="DK82" i="3" s="1"/>
  <c r="DE82" i="3" s="1"/>
  <c r="D63" i="11"/>
  <c r="C63" i="11"/>
  <c r="DL81" i="3" s="1"/>
  <c r="DB81" i="3" s="1"/>
  <c r="B63" i="11"/>
  <c r="DK81" i="3" s="1"/>
  <c r="DE81" i="3" s="1"/>
  <c r="D62" i="11"/>
  <c r="C62" i="11"/>
  <c r="DL80" i="3" s="1"/>
  <c r="DB80" i="3" s="1"/>
  <c r="B62" i="11"/>
  <c r="DK80" i="3" s="1"/>
  <c r="DE80" i="3" s="1"/>
  <c r="D61" i="11"/>
  <c r="C61" i="11"/>
  <c r="DL79" i="3" s="1"/>
  <c r="DB79" i="3" s="1"/>
  <c r="B61" i="11"/>
  <c r="DK79" i="3" s="1"/>
  <c r="DE79" i="3" s="1"/>
  <c r="D60" i="11"/>
  <c r="C60" i="11"/>
  <c r="DL78" i="3" s="1"/>
  <c r="DB78" i="3" s="1"/>
  <c r="B60" i="11"/>
  <c r="DK78" i="3" s="1"/>
  <c r="DE78" i="3" s="1"/>
  <c r="D59" i="11"/>
  <c r="C59" i="11"/>
  <c r="DL77" i="3" s="1"/>
  <c r="DB77" i="3" s="1"/>
  <c r="B59" i="11"/>
  <c r="DK77" i="3" s="1"/>
  <c r="DE77" i="3" s="1"/>
  <c r="D58" i="11"/>
  <c r="C58" i="11"/>
  <c r="DL76" i="3" s="1"/>
  <c r="DB76" i="3" s="1"/>
  <c r="B58" i="11"/>
  <c r="DK76" i="3" s="1"/>
  <c r="DE76" i="3" s="1"/>
  <c r="D57" i="11"/>
  <c r="C57" i="11"/>
  <c r="DL75" i="3" s="1"/>
  <c r="B57" i="11"/>
  <c r="DK75" i="3" s="1"/>
  <c r="DE75" i="3" s="1"/>
  <c r="D56" i="11"/>
  <c r="C56" i="11"/>
  <c r="DL65" i="3" s="1"/>
  <c r="DB65" i="3" s="1"/>
  <c r="B56" i="11"/>
  <c r="DK65" i="3" s="1"/>
  <c r="DE65" i="3" s="1"/>
  <c r="D55" i="11"/>
  <c r="C55" i="11"/>
  <c r="DL64" i="3" s="1"/>
  <c r="DB64" i="3" s="1"/>
  <c r="B55" i="11"/>
  <c r="DK64" i="3" s="1"/>
  <c r="DE64" i="3" s="1"/>
  <c r="D54" i="11"/>
  <c r="C54" i="11"/>
  <c r="DL63" i="3" s="1"/>
  <c r="DB63" i="3" s="1"/>
  <c r="B54" i="11"/>
  <c r="DK63" i="3" s="1"/>
  <c r="DE63" i="3" s="1"/>
  <c r="D53" i="11"/>
  <c r="C53" i="11"/>
  <c r="DL62" i="3" s="1"/>
  <c r="DB62" i="3" s="1"/>
  <c r="B53" i="11"/>
  <c r="DK62" i="3" s="1"/>
  <c r="DE62" i="3" s="1"/>
  <c r="D52" i="11"/>
  <c r="C52" i="11"/>
  <c r="DL61" i="3" s="1"/>
  <c r="DB61" i="3" s="1"/>
  <c r="B52" i="11"/>
  <c r="DK61" i="3" s="1"/>
  <c r="DE61" i="3" s="1"/>
  <c r="D51" i="11"/>
  <c r="C51" i="11"/>
  <c r="DL60" i="3" s="1"/>
  <c r="DB60" i="3" s="1"/>
  <c r="B51" i="11"/>
  <c r="DK60" i="3" s="1"/>
  <c r="DE60" i="3" s="1"/>
  <c r="D50" i="11"/>
  <c r="C50" i="11"/>
  <c r="DL59" i="3" s="1"/>
  <c r="B50" i="11"/>
  <c r="DK59" i="3" s="1"/>
  <c r="DE59" i="3" s="1"/>
  <c r="D49" i="11"/>
  <c r="C49" i="11"/>
  <c r="DL58" i="3" s="1"/>
  <c r="DB58" i="3" s="1"/>
  <c r="B49" i="11"/>
  <c r="DK58" i="3" s="1"/>
  <c r="DE58" i="3" s="1"/>
  <c r="D48" i="11"/>
  <c r="C48" i="11"/>
  <c r="DL57" i="3" s="1"/>
  <c r="DB57" i="3" s="1"/>
  <c r="B48" i="11"/>
  <c r="DK57" i="3" s="1"/>
  <c r="DE57" i="3" s="1"/>
  <c r="D47" i="11"/>
  <c r="C47" i="11"/>
  <c r="DL56" i="3" s="1"/>
  <c r="DB56" i="3" s="1"/>
  <c r="B47" i="11"/>
  <c r="DK56" i="3" s="1"/>
  <c r="DE56" i="3" s="1"/>
  <c r="D46" i="11"/>
  <c r="C46" i="11"/>
  <c r="DL55" i="3" s="1"/>
  <c r="DB55" i="3" s="1"/>
  <c r="B46" i="11"/>
  <c r="DK55" i="3" s="1"/>
  <c r="DE55" i="3" s="1"/>
  <c r="D45" i="11"/>
  <c r="C45" i="11"/>
  <c r="DL54" i="3" s="1"/>
  <c r="DB54" i="3" s="1"/>
  <c r="B45" i="11"/>
  <c r="DK54" i="3" s="1"/>
  <c r="DE54" i="3" s="1"/>
  <c r="D44" i="11"/>
  <c r="C44" i="11"/>
  <c r="DL53" i="3" s="1"/>
  <c r="DB53" i="3" s="1"/>
  <c r="B44" i="11"/>
  <c r="DK53" i="3" s="1"/>
  <c r="DE53" i="3" s="1"/>
  <c r="D43" i="11"/>
  <c r="C43" i="11"/>
  <c r="DL52" i="3" s="1"/>
  <c r="DB52" i="3" s="1"/>
  <c r="B43" i="11"/>
  <c r="DK52" i="3" s="1"/>
  <c r="DE52" i="3" s="1"/>
  <c r="D42" i="11"/>
  <c r="C42" i="11"/>
  <c r="DL51" i="3" s="1"/>
  <c r="DB51" i="3" s="1"/>
  <c r="B42" i="11"/>
  <c r="DK51" i="3" s="1"/>
  <c r="DE51" i="3" s="1"/>
  <c r="D41" i="11"/>
  <c r="C41" i="11"/>
  <c r="DL50" i="3" s="1"/>
  <c r="B41" i="11"/>
  <c r="DK50" i="3" s="1"/>
  <c r="DE50" i="3" s="1"/>
  <c r="D40" i="11"/>
  <c r="C40" i="11"/>
  <c r="DL49" i="3" s="1"/>
  <c r="DB49" i="3" s="1"/>
  <c r="B40" i="11"/>
  <c r="DK49" i="3" s="1"/>
  <c r="DE49" i="3" s="1"/>
  <c r="D39" i="11"/>
  <c r="C39" i="11"/>
  <c r="DL48" i="3" s="1"/>
  <c r="DB48" i="3" s="1"/>
  <c r="B39" i="11"/>
  <c r="DK48" i="3" s="1"/>
  <c r="DE48" i="3" s="1"/>
  <c r="D38" i="11"/>
  <c r="C38" i="11"/>
  <c r="DL47" i="3" s="1"/>
  <c r="DB47" i="3" s="1"/>
  <c r="B38" i="11"/>
  <c r="DK47" i="3" s="1"/>
  <c r="DE47" i="3" s="1"/>
  <c r="D37" i="11"/>
  <c r="C37" i="11"/>
  <c r="DL46" i="3" s="1"/>
  <c r="DB46" i="3" s="1"/>
  <c r="B37" i="11"/>
  <c r="DK46" i="3" s="1"/>
  <c r="DE46" i="3" s="1"/>
  <c r="D36" i="11"/>
  <c r="C36" i="11"/>
  <c r="DL45" i="3" s="1"/>
  <c r="DB45" i="3" s="1"/>
  <c r="B36" i="11"/>
  <c r="DK45" i="3" s="1"/>
  <c r="DE45" i="3" s="1"/>
  <c r="D35" i="11"/>
  <c r="C35" i="11"/>
  <c r="DL44" i="3" s="1"/>
  <c r="DB44" i="3" s="1"/>
  <c r="B35" i="11"/>
  <c r="DK44" i="3" s="1"/>
  <c r="DE44" i="3" s="1"/>
  <c r="D34" i="11"/>
  <c r="C34" i="11"/>
  <c r="DL43" i="3" s="1"/>
  <c r="DB43" i="3" s="1"/>
  <c r="B34" i="11"/>
  <c r="DK43" i="3" s="1"/>
  <c r="DE43" i="3" s="1"/>
  <c r="D33" i="11"/>
  <c r="C33" i="11"/>
  <c r="DL42" i="3" s="1"/>
  <c r="DB42" i="3" s="1"/>
  <c r="B33" i="11"/>
  <c r="DK42" i="3" s="1"/>
  <c r="DE42" i="3" s="1"/>
  <c r="D32" i="11"/>
  <c r="C32" i="11"/>
  <c r="DL41" i="3" s="1"/>
  <c r="DB41" i="3" s="1"/>
  <c r="B32" i="11"/>
  <c r="DK41" i="3" s="1"/>
  <c r="DE41" i="3" s="1"/>
  <c r="D31" i="11"/>
  <c r="C31" i="11"/>
  <c r="DL40" i="3" s="1"/>
  <c r="DB40" i="3" s="1"/>
  <c r="B31" i="11"/>
  <c r="DK40" i="3" s="1"/>
  <c r="DE40" i="3" s="1"/>
  <c r="D30" i="11"/>
  <c r="C30" i="11"/>
  <c r="DL39" i="3" s="1"/>
  <c r="DB39" i="3" s="1"/>
  <c r="B30" i="11"/>
  <c r="DK39" i="3" s="1"/>
  <c r="DE39" i="3" s="1"/>
  <c r="D29" i="11"/>
  <c r="C29" i="11"/>
  <c r="DL38" i="3" s="1"/>
  <c r="DB38" i="3" s="1"/>
  <c r="B29" i="11"/>
  <c r="DK38" i="3" s="1"/>
  <c r="DE38" i="3" s="1"/>
  <c r="D28" i="11"/>
  <c r="C28" i="11"/>
  <c r="DL37" i="3" s="1"/>
  <c r="DB37" i="3" s="1"/>
  <c r="B28" i="11"/>
  <c r="DK37" i="3" s="1"/>
  <c r="DE37" i="3" s="1"/>
  <c r="D27" i="11"/>
  <c r="C27" i="11"/>
  <c r="DL36" i="3" s="1"/>
  <c r="DB36" i="3" s="1"/>
  <c r="B27" i="11"/>
  <c r="DK36" i="3" s="1"/>
  <c r="DE36" i="3" s="1"/>
  <c r="D26" i="11"/>
  <c r="C26" i="11"/>
  <c r="DL35" i="3" s="1"/>
  <c r="DB35" i="3" s="1"/>
  <c r="B26" i="11"/>
  <c r="DK35" i="3" s="1"/>
  <c r="DE35" i="3" s="1"/>
  <c r="D25" i="11"/>
  <c r="C25" i="11"/>
  <c r="DL34" i="3" s="1"/>
  <c r="DB34" i="3" s="1"/>
  <c r="B25" i="11"/>
  <c r="DK34" i="3" s="1"/>
  <c r="DE34" i="3" s="1"/>
  <c r="D24" i="11"/>
  <c r="C24" i="11"/>
  <c r="DL33" i="3" s="1"/>
  <c r="DB33" i="3" s="1"/>
  <c r="B24" i="11"/>
  <c r="DK33" i="3" s="1"/>
  <c r="DE33" i="3" s="1"/>
  <c r="D23" i="11"/>
  <c r="C23" i="11"/>
  <c r="DL32" i="3" s="1"/>
  <c r="DB32" i="3" s="1"/>
  <c r="B23" i="11"/>
  <c r="DK32" i="3" s="1"/>
  <c r="DE32" i="3" s="1"/>
  <c r="D22" i="11"/>
  <c r="C22" i="11"/>
  <c r="DL31" i="3" s="1"/>
  <c r="DB31" i="3" s="1"/>
  <c r="B22" i="11"/>
  <c r="DK31" i="3" s="1"/>
  <c r="DE31" i="3" s="1"/>
  <c r="D21" i="11"/>
  <c r="C21" i="11"/>
  <c r="DL30" i="3" s="1"/>
  <c r="DB30" i="3" s="1"/>
  <c r="B21" i="11"/>
  <c r="DK30" i="3" s="1"/>
  <c r="DE30" i="3" s="1"/>
  <c r="D20" i="11"/>
  <c r="C20" i="11"/>
  <c r="DL29" i="3" s="1"/>
  <c r="DB29" i="3" s="1"/>
  <c r="B20" i="11"/>
  <c r="DK29" i="3" s="1"/>
  <c r="DE29" i="3" s="1"/>
  <c r="D19" i="11"/>
  <c r="C19" i="11"/>
  <c r="DL28" i="3" s="1"/>
  <c r="DB28" i="3" s="1"/>
  <c r="B19" i="11"/>
  <c r="DK28" i="3" s="1"/>
  <c r="DE28" i="3" s="1"/>
  <c r="D18" i="11"/>
  <c r="C18" i="11"/>
  <c r="DL27" i="3" s="1"/>
  <c r="DB27" i="3" s="1"/>
  <c r="B18" i="11"/>
  <c r="DK27" i="3" s="1"/>
  <c r="DE27" i="3" s="1"/>
  <c r="D17" i="11"/>
  <c r="C17" i="11"/>
  <c r="DL26" i="3" s="1"/>
  <c r="B17" i="11"/>
  <c r="DK26" i="3" s="1"/>
  <c r="DE26" i="3" s="1"/>
  <c r="D16" i="11"/>
  <c r="C16" i="11"/>
  <c r="DL25" i="3" s="1"/>
  <c r="DB25" i="3" s="1"/>
  <c r="B16" i="11"/>
  <c r="DK25" i="3" s="1"/>
  <c r="DE25" i="3" s="1"/>
  <c r="D15" i="11"/>
  <c r="C15" i="11"/>
  <c r="DL24" i="3" s="1"/>
  <c r="DB24" i="3" s="1"/>
  <c r="B15" i="11"/>
  <c r="DK24" i="3" s="1"/>
  <c r="DE24" i="3" s="1"/>
  <c r="D14" i="11"/>
  <c r="C14" i="11"/>
  <c r="DL23" i="3" s="1"/>
  <c r="DB23" i="3" s="1"/>
  <c r="B14" i="11"/>
  <c r="DK23" i="3" s="1"/>
  <c r="DE23" i="3" s="1"/>
  <c r="D13" i="11"/>
  <c r="C13" i="11"/>
  <c r="DL2" i="3" s="1"/>
  <c r="B13" i="11"/>
  <c r="DK2" i="3" s="1"/>
  <c r="DE2" i="3" s="1"/>
  <c r="D12" i="11"/>
  <c r="C12" i="11"/>
  <c r="DL3" i="3" s="1"/>
  <c r="B12" i="11"/>
  <c r="DK3" i="3" s="1"/>
  <c r="DE3" i="3" s="1"/>
  <c r="D11" i="11"/>
  <c r="C11" i="11"/>
  <c r="DL4" i="3" s="1"/>
  <c r="DB4" i="3" s="1"/>
  <c r="B11" i="11"/>
  <c r="DK4" i="3" s="1"/>
  <c r="DE4" i="3" s="1"/>
  <c r="D10" i="11"/>
  <c r="C10" i="11"/>
  <c r="DL74" i="3" s="1"/>
  <c r="DB74" i="3" s="1"/>
  <c r="B10" i="11"/>
  <c r="DK74" i="3" s="1"/>
  <c r="DE74" i="3" s="1"/>
  <c r="D9" i="11"/>
  <c r="C9" i="11"/>
  <c r="DL73" i="3" s="1"/>
  <c r="DB73" i="3" s="1"/>
  <c r="B9" i="11"/>
  <c r="DK73" i="3" s="1"/>
  <c r="DE73" i="3" s="1"/>
  <c r="D8" i="11"/>
  <c r="C8" i="11"/>
  <c r="DL72" i="3" s="1"/>
  <c r="DB72" i="3" s="1"/>
  <c r="B8" i="11"/>
  <c r="DK72" i="3" s="1"/>
  <c r="DE72" i="3" s="1"/>
  <c r="D7" i="11"/>
  <c r="C7" i="11"/>
  <c r="DL71" i="3" s="1"/>
  <c r="DB71" i="3" s="1"/>
  <c r="B7" i="11"/>
  <c r="DK71" i="3" s="1"/>
  <c r="DE71" i="3" s="1"/>
  <c r="D6" i="11"/>
  <c r="C6" i="11"/>
  <c r="DL70" i="3" s="1"/>
  <c r="DB70" i="3" s="1"/>
  <c r="B6" i="11"/>
  <c r="DK70" i="3" s="1"/>
  <c r="DE70" i="3" s="1"/>
  <c r="D5" i="11"/>
  <c r="C5" i="11"/>
  <c r="DL69" i="3" s="1"/>
  <c r="DB69" i="3" s="1"/>
  <c r="B5" i="11"/>
  <c r="DK69" i="3" s="1"/>
  <c r="DE69" i="3" s="1"/>
  <c r="D4" i="11"/>
  <c r="C4" i="11"/>
  <c r="DL68" i="3" s="1"/>
  <c r="DB68" i="3" s="1"/>
  <c r="B4" i="11"/>
  <c r="DK68" i="3" s="1"/>
  <c r="DE68" i="3" s="1"/>
  <c r="D3" i="11"/>
  <c r="C3" i="11"/>
  <c r="DL67" i="3" s="1"/>
  <c r="DB67" i="3" s="1"/>
  <c r="B3" i="11"/>
  <c r="DK67" i="3" s="1"/>
  <c r="DE67" i="3" s="1"/>
  <c r="DC22" i="3" l="1"/>
  <c r="DC21" i="3"/>
  <c r="DF21" i="3"/>
  <c r="DG21" i="3" s="1"/>
  <c r="DC92" i="3"/>
  <c r="DC90" i="3"/>
  <c r="DF90" i="3"/>
  <c r="DG90" i="3" s="1"/>
  <c r="DC89" i="3"/>
  <c r="DF89" i="3"/>
  <c r="DG89" i="3" s="1"/>
  <c r="DC88" i="3"/>
  <c r="DF88" i="3"/>
  <c r="DG88" i="3" s="1"/>
  <c r="DC87" i="3"/>
  <c r="DC85" i="3"/>
  <c r="DC83" i="3"/>
  <c r="DC82" i="3"/>
  <c r="DC81" i="3"/>
  <c r="DF81" i="3"/>
  <c r="DG81" i="3" s="1"/>
  <c r="DC80" i="3"/>
  <c r="DF80" i="3"/>
  <c r="DG80" i="3" s="1"/>
  <c r="DC79" i="3"/>
  <c r="DC78" i="3"/>
  <c r="DC77" i="3"/>
  <c r="DF77" i="3"/>
  <c r="DG77" i="3" s="1"/>
  <c r="DC76" i="3"/>
  <c r="DF76" i="3"/>
  <c r="DG76" i="3" s="1"/>
  <c r="DC65" i="3"/>
  <c r="DC64" i="3"/>
  <c r="DC63" i="3"/>
  <c r="DC62" i="3"/>
  <c r="DC61" i="3"/>
  <c r="DF61" i="3"/>
  <c r="DG61" i="3" s="1"/>
  <c r="DC60" i="3"/>
  <c r="DC58" i="3"/>
  <c r="DC57" i="3"/>
  <c r="DF57" i="3"/>
  <c r="DG57" i="3" s="1"/>
  <c r="DC56" i="3"/>
  <c r="DC55" i="3"/>
  <c r="DC54" i="3"/>
  <c r="DF54" i="3"/>
  <c r="DG54" i="3" s="1"/>
  <c r="DC53" i="3"/>
  <c r="DF53" i="3"/>
  <c r="DG53" i="3" s="1"/>
  <c r="DC52" i="3"/>
  <c r="DC51" i="3"/>
  <c r="DC49" i="3"/>
  <c r="DF49" i="3"/>
  <c r="DG49" i="3" s="1"/>
  <c r="DC48" i="3"/>
  <c r="DC47" i="3"/>
  <c r="DC46" i="3"/>
  <c r="DC45" i="3"/>
  <c r="DC44" i="3"/>
  <c r="DF44" i="3"/>
  <c r="DG44" i="3" s="1"/>
  <c r="DC43" i="3"/>
  <c r="DC42" i="3"/>
  <c r="DC41" i="3"/>
  <c r="DF41" i="3"/>
  <c r="DG41" i="3" s="1"/>
  <c r="DC40" i="3"/>
  <c r="DC39" i="3"/>
  <c r="DC38" i="3"/>
  <c r="DC37" i="3"/>
  <c r="DF37" i="3"/>
  <c r="DG37" i="3" s="1"/>
  <c r="DC36" i="3"/>
  <c r="DC35" i="3"/>
  <c r="DF35" i="3"/>
  <c r="DG35" i="3" s="1"/>
  <c r="DC34" i="3"/>
  <c r="DF34" i="3"/>
  <c r="DG34" i="3" s="1"/>
  <c r="DC33" i="3"/>
  <c r="DC32" i="3"/>
  <c r="DC31" i="3"/>
  <c r="DF31" i="3"/>
  <c r="DG31" i="3" s="1"/>
  <c r="DC30" i="3"/>
  <c r="DF30" i="3"/>
  <c r="DG30" i="3" s="1"/>
  <c r="DC29" i="3"/>
  <c r="DC28" i="3"/>
  <c r="DF28" i="3"/>
  <c r="DG28" i="3" s="1"/>
  <c r="DC27" i="3"/>
  <c r="DC25" i="3"/>
  <c r="DF25" i="3"/>
  <c r="DG25" i="3" s="1"/>
  <c r="DC24" i="3"/>
  <c r="DF24" i="3"/>
  <c r="DG24" i="3" s="1"/>
  <c r="DC23" i="3"/>
  <c r="DC4" i="3"/>
  <c r="DC74" i="3"/>
  <c r="DC73" i="3"/>
  <c r="DC72" i="3"/>
  <c r="DF72" i="3"/>
  <c r="DG72" i="3" s="1"/>
  <c r="DC71" i="3"/>
  <c r="DC70" i="3"/>
  <c r="DC69" i="3"/>
  <c r="DF69" i="3"/>
  <c r="DG69" i="3" s="1"/>
  <c r="DC68" i="3"/>
  <c r="DC67" i="3"/>
  <c r="D2" i="11"/>
  <c r="DF58" i="3" l="1"/>
  <c r="DG58" i="3" s="1"/>
  <c r="DF56" i="3"/>
  <c r="DG56" i="3" s="1"/>
  <c r="DF79" i="3"/>
  <c r="DG79" i="3" s="1"/>
  <c r="DF48" i="3"/>
  <c r="DG48" i="3" s="1"/>
  <c r="DF47" i="3"/>
  <c r="DG47" i="3" s="1"/>
  <c r="DF39" i="3"/>
  <c r="DG39" i="3" s="1"/>
  <c r="DF83" i="3"/>
  <c r="DG83" i="3" s="1"/>
  <c r="DF82" i="3"/>
  <c r="DG82" i="3" s="1"/>
  <c r="DF78" i="3"/>
  <c r="DG78" i="3" s="1"/>
  <c r="DF65" i="3"/>
  <c r="DG65" i="3" s="1"/>
  <c r="DF64" i="3"/>
  <c r="DG64" i="3" s="1"/>
  <c r="DF63" i="3"/>
  <c r="DG63" i="3" s="1"/>
  <c r="DF62" i="3"/>
  <c r="DG62" i="3" s="1"/>
  <c r="DF60" i="3"/>
  <c r="DG60" i="3" s="1"/>
  <c r="DF55" i="3"/>
  <c r="DG55" i="3" s="1"/>
  <c r="DF52" i="3"/>
  <c r="DG52" i="3" s="1"/>
  <c r="DF51" i="3"/>
  <c r="DG51" i="3" s="1"/>
  <c r="DF87" i="3"/>
  <c r="DG87" i="3" s="1"/>
  <c r="DF46" i="3"/>
  <c r="DG46" i="3" s="1"/>
  <c r="DF45" i="3"/>
  <c r="DG45" i="3" s="1"/>
  <c r="DF43" i="3"/>
  <c r="DG43" i="3" s="1"/>
  <c r="DF42" i="3"/>
  <c r="DG42" i="3" s="1"/>
  <c r="DF40" i="3"/>
  <c r="DG40" i="3" s="1"/>
  <c r="DF38" i="3"/>
  <c r="DG38" i="3" s="1"/>
  <c r="DF36" i="3"/>
  <c r="DG36" i="3" s="1"/>
  <c r="DF33" i="3"/>
  <c r="DG33" i="3" s="1"/>
  <c r="DF32" i="3"/>
  <c r="DG32" i="3" s="1"/>
  <c r="DF92" i="3"/>
  <c r="DG92" i="3" s="1"/>
  <c r="DF85" i="3"/>
  <c r="DG85" i="3" s="1"/>
  <c r="DF29" i="3"/>
  <c r="DG29" i="3" s="1"/>
  <c r="DF27" i="3"/>
  <c r="DG27" i="3" s="1"/>
  <c r="DF23" i="3"/>
  <c r="DG23" i="3" s="1"/>
  <c r="DF4" i="3"/>
  <c r="DG4" i="3" s="1"/>
  <c r="DF22" i="3"/>
  <c r="DG22" i="3" s="1"/>
  <c r="DF74" i="3"/>
  <c r="DG74" i="3" s="1"/>
  <c r="DF73" i="3"/>
  <c r="DG73" i="3" s="1"/>
  <c r="DF71" i="3"/>
  <c r="DG71" i="3" s="1"/>
  <c r="DF70" i="3"/>
  <c r="DG70" i="3" s="1"/>
  <c r="DF68" i="3"/>
  <c r="DG68" i="3" s="1"/>
  <c r="DF67" i="3"/>
  <c r="DG67" i="3" s="1"/>
  <c r="C2" i="11"/>
  <c r="DL66" i="3" s="1"/>
  <c r="DB66" i="3" s="1"/>
  <c r="B2" i="11"/>
  <c r="DK66" i="3" s="1"/>
  <c r="DE66" i="3" s="1"/>
  <c r="DC66" i="3" l="1"/>
  <c r="I60" i="10"/>
  <c r="M62" i="9" s="1"/>
  <c r="I51" i="8"/>
  <c r="H53" i="9" s="1"/>
  <c r="H58" i="10"/>
  <c r="G56" i="10"/>
  <c r="E53" i="10"/>
  <c r="K55" i="9" s="1"/>
  <c r="D50" i="10"/>
  <c r="I52" i="9" s="1"/>
  <c r="I47" i="10"/>
  <c r="M49" i="9" s="1"/>
  <c r="I45" i="10"/>
  <c r="H43" i="10"/>
  <c r="D41" i="10"/>
  <c r="H39" i="10"/>
  <c r="I37" i="10"/>
  <c r="M39" i="9" s="1"/>
  <c r="E36" i="10"/>
  <c r="K38" i="9" s="1"/>
  <c r="D34" i="10"/>
  <c r="G32" i="10"/>
  <c r="J34" i="9" s="1"/>
  <c r="D30" i="10"/>
  <c r="G28" i="10"/>
  <c r="J30" i="9" s="1"/>
  <c r="I26" i="10"/>
  <c r="M28" i="9" s="1"/>
  <c r="E25" i="10"/>
  <c r="K27" i="9" s="1"/>
  <c r="H23" i="10"/>
  <c r="D22" i="10"/>
  <c r="G20" i="10"/>
  <c r="J22" i="9" s="1"/>
  <c r="I18" i="10"/>
  <c r="M20" i="9" s="1"/>
  <c r="I52" i="8"/>
  <c r="H54" i="9" s="1"/>
  <c r="I20" i="8"/>
  <c r="H22" i="9" s="1"/>
  <c r="E56" i="8"/>
  <c r="F58" i="9" s="1"/>
  <c r="E52" i="8"/>
  <c r="F54" i="9" s="1"/>
  <c r="G45" i="8"/>
  <c r="E47" i="9" s="1"/>
  <c r="H41" i="8"/>
  <c r="E36" i="8"/>
  <c r="F38" i="9" s="1"/>
  <c r="E32" i="8"/>
  <c r="F34" i="9" s="1"/>
  <c r="H27" i="8"/>
  <c r="H23" i="8"/>
  <c r="H19" i="8"/>
  <c r="DF66" i="3" l="1"/>
  <c r="DG66" i="3" s="1"/>
  <c r="G48" i="8"/>
  <c r="E50" i="9" s="1"/>
  <c r="E20" i="8"/>
  <c r="F22" i="9" s="1"/>
  <c r="E24" i="8"/>
  <c r="F26" i="9" s="1"/>
  <c r="E29" i="8"/>
  <c r="F31" i="9" s="1"/>
  <c r="E33" i="8"/>
  <c r="F35" i="9" s="1"/>
  <c r="E37" i="8"/>
  <c r="F39" i="9" s="1"/>
  <c r="H42" i="8"/>
  <c r="H46" i="8"/>
  <c r="H49" i="8"/>
  <c r="G52" i="8"/>
  <c r="E54" i="9" s="1"/>
  <c r="I36" i="8"/>
  <c r="H38" i="9" s="1"/>
  <c r="I55" i="8"/>
  <c r="H57" i="9" s="1"/>
  <c r="G19" i="10"/>
  <c r="J21" i="9" s="1"/>
  <c r="D21" i="10"/>
  <c r="I23" i="9" s="1"/>
  <c r="H22" i="10"/>
  <c r="J22" i="10" s="1"/>
  <c r="K22" i="10" s="1"/>
  <c r="E24" i="10"/>
  <c r="K26" i="9" s="1"/>
  <c r="I25" i="10"/>
  <c r="M27" i="9" s="1"/>
  <c r="G27" i="10"/>
  <c r="J29" i="9" s="1"/>
  <c r="D29" i="10"/>
  <c r="I31" i="9" s="1"/>
  <c r="H30" i="10"/>
  <c r="J30" i="10" s="1"/>
  <c r="K30" i="10" s="1"/>
  <c r="D33" i="10"/>
  <c r="I35" i="9" s="1"/>
  <c r="H34" i="10"/>
  <c r="J34" i="10" s="1"/>
  <c r="K34" i="10" s="1"/>
  <c r="G36" i="10"/>
  <c r="J38" i="9" s="1"/>
  <c r="D38" i="10"/>
  <c r="I40" i="9" s="1"/>
  <c r="E40" i="10"/>
  <c r="K42" i="9" s="1"/>
  <c r="H41" i="10"/>
  <c r="J41" i="10" s="1"/>
  <c r="K41" i="10" s="1"/>
  <c r="I43" i="10"/>
  <c r="M45" i="9" s="1"/>
  <c r="D46" i="10"/>
  <c r="I48" i="9" s="1"/>
  <c r="E48" i="10"/>
  <c r="K50" i="9" s="1"/>
  <c r="H50" i="10"/>
  <c r="J50" i="10" s="1"/>
  <c r="K50" i="10" s="1"/>
  <c r="I53" i="10"/>
  <c r="M55" i="9" s="1"/>
  <c r="E59" i="10"/>
  <c r="K61" i="9" s="1"/>
  <c r="E21" i="8"/>
  <c r="F23" i="9" s="1"/>
  <c r="E25" i="8"/>
  <c r="F27" i="9" s="1"/>
  <c r="P27" i="9" s="1"/>
  <c r="G30" i="8"/>
  <c r="E32" i="9" s="1"/>
  <c r="H34" i="8"/>
  <c r="H39" i="8"/>
  <c r="E43" i="8"/>
  <c r="F45" i="9" s="1"/>
  <c r="E47" i="8"/>
  <c r="F49" i="9" s="1"/>
  <c r="H50" i="8"/>
  <c r="H54" i="8"/>
  <c r="H57" i="8"/>
  <c r="I47" i="8"/>
  <c r="H49" i="9" s="1"/>
  <c r="R49" i="9" s="1"/>
  <c r="D18" i="10"/>
  <c r="I20" i="9" s="1"/>
  <c r="H19" i="10"/>
  <c r="E21" i="10"/>
  <c r="K23" i="9" s="1"/>
  <c r="I22" i="10"/>
  <c r="M24" i="9" s="1"/>
  <c r="G24" i="10"/>
  <c r="J26" i="9" s="1"/>
  <c r="D26" i="10"/>
  <c r="I28" i="9" s="1"/>
  <c r="H27" i="10"/>
  <c r="E29" i="10"/>
  <c r="K31" i="9" s="1"/>
  <c r="G31" i="10"/>
  <c r="J33" i="9" s="1"/>
  <c r="E33" i="10"/>
  <c r="K35" i="9" s="1"/>
  <c r="P35" i="9" s="1"/>
  <c r="I34" i="10"/>
  <c r="M36" i="9" s="1"/>
  <c r="D37" i="10"/>
  <c r="I39" i="9" s="1"/>
  <c r="H38" i="10"/>
  <c r="I41" i="10"/>
  <c r="M43" i="9" s="1"/>
  <c r="H44" i="10"/>
  <c r="I46" i="10"/>
  <c r="M48" i="9" s="1"/>
  <c r="D49" i="10"/>
  <c r="I51" i="9" s="1"/>
  <c r="H51" i="10"/>
  <c r="I54" i="10"/>
  <c r="M56" i="9" s="1"/>
  <c r="D57" i="10"/>
  <c r="I59" i="9" s="1"/>
  <c r="E60" i="10"/>
  <c r="K62" i="9" s="1"/>
  <c r="G22" i="8"/>
  <c r="E24" i="9" s="1"/>
  <c r="G26" i="8"/>
  <c r="E28" i="9" s="1"/>
  <c r="H31" i="8"/>
  <c r="H35" i="8"/>
  <c r="E44" i="8"/>
  <c r="F46" i="9" s="1"/>
  <c r="E48" i="8"/>
  <c r="F50" i="9" s="1"/>
  <c r="E51" i="8"/>
  <c r="F53" i="9" s="1"/>
  <c r="E55" i="8"/>
  <c r="F57" i="9" s="1"/>
  <c r="E59" i="8"/>
  <c r="F61" i="9" s="1"/>
  <c r="H18" i="10"/>
  <c r="E20" i="10"/>
  <c r="K22" i="9" s="1"/>
  <c r="I21" i="10"/>
  <c r="M23" i="9" s="1"/>
  <c r="G23" i="10"/>
  <c r="J25" i="9" s="1"/>
  <c r="D25" i="10"/>
  <c r="I27" i="9" s="1"/>
  <c r="H26" i="10"/>
  <c r="E28" i="10"/>
  <c r="K30" i="9" s="1"/>
  <c r="I29" i="10"/>
  <c r="M31" i="9" s="1"/>
  <c r="E32" i="10"/>
  <c r="K34" i="9" s="1"/>
  <c r="P34" i="9" s="1"/>
  <c r="I33" i="10"/>
  <c r="M35" i="9" s="1"/>
  <c r="G35" i="10"/>
  <c r="J37" i="9" s="1"/>
  <c r="E37" i="10"/>
  <c r="K39" i="9" s="1"/>
  <c r="G39" i="10"/>
  <c r="J41" i="9" s="1"/>
  <c r="H42" i="10"/>
  <c r="D45" i="10"/>
  <c r="I47" i="9" s="1"/>
  <c r="D47" i="10"/>
  <c r="I49" i="9" s="1"/>
  <c r="E49" i="10"/>
  <c r="K51" i="9" s="1"/>
  <c r="E52" i="10"/>
  <c r="K54" i="9" s="1"/>
  <c r="P54" i="9" s="1"/>
  <c r="G55" i="10"/>
  <c r="J57" i="9" s="1"/>
  <c r="H57" i="10"/>
  <c r="G33" i="8"/>
  <c r="E35" i="9" s="1"/>
  <c r="G49" i="8"/>
  <c r="E51" i="9" s="1"/>
  <c r="G41" i="8"/>
  <c r="E43" i="9" s="1"/>
  <c r="G59" i="8"/>
  <c r="E61" i="9" s="1"/>
  <c r="G37" i="8"/>
  <c r="E39" i="9" s="1"/>
  <c r="D32" i="10"/>
  <c r="I34" i="9" s="1"/>
  <c r="H45" i="8"/>
  <c r="H53" i="8"/>
  <c r="H60" i="8"/>
  <c r="E40" i="8"/>
  <c r="F42" i="9" s="1"/>
  <c r="H30" i="8"/>
  <c r="E28" i="8"/>
  <c r="F30" i="9" s="1"/>
  <c r="H26" i="8"/>
  <c r="H38" i="8"/>
  <c r="E58" i="8"/>
  <c r="F60" i="9" s="1"/>
  <c r="E22" i="8"/>
  <c r="F24" i="9" s="1"/>
  <c r="H35" i="10"/>
  <c r="E31" i="10"/>
  <c r="K33" i="9" s="1"/>
  <c r="I48" i="8"/>
  <c r="H50" i="9" s="1"/>
  <c r="I59" i="8"/>
  <c r="H61" i="9" s="1"/>
  <c r="I32" i="8"/>
  <c r="H34" i="9" s="1"/>
  <c r="G53" i="8"/>
  <c r="E55" i="9" s="1"/>
  <c r="G56" i="8"/>
  <c r="E58" i="9" s="1"/>
  <c r="M47" i="9"/>
  <c r="J58" i="9"/>
  <c r="I43" i="8"/>
  <c r="H45" i="9" s="1"/>
  <c r="G40" i="10"/>
  <c r="J42" i="9" s="1"/>
  <c r="H22" i="8"/>
  <c r="H60" i="10"/>
  <c r="I59" i="10"/>
  <c r="M61" i="9" s="1"/>
  <c r="D59" i="10"/>
  <c r="I61" i="9" s="1"/>
  <c r="E58" i="10"/>
  <c r="G57" i="10"/>
  <c r="J59" i="9" s="1"/>
  <c r="I56" i="10"/>
  <c r="M58" i="9" s="1"/>
  <c r="D56" i="10"/>
  <c r="I58" i="9" s="1"/>
  <c r="E55" i="10"/>
  <c r="G54" i="10"/>
  <c r="J56" i="9" s="1"/>
  <c r="H53" i="10"/>
  <c r="I52" i="10"/>
  <c r="M54" i="9" s="1"/>
  <c r="R54" i="9" s="1"/>
  <c r="D52" i="10"/>
  <c r="I54" i="9" s="1"/>
  <c r="E51" i="10"/>
  <c r="G50" i="10"/>
  <c r="J52" i="9" s="1"/>
  <c r="H49" i="10"/>
  <c r="D48" i="10"/>
  <c r="E47" i="10"/>
  <c r="K49" i="9" s="1"/>
  <c r="G46" i="10"/>
  <c r="J48" i="9" s="1"/>
  <c r="H45" i="10"/>
  <c r="I44" i="10"/>
  <c r="M46" i="9" s="1"/>
  <c r="D44" i="10"/>
  <c r="I46" i="9" s="1"/>
  <c r="E43" i="10"/>
  <c r="K45" i="9" s="1"/>
  <c r="G60" i="10"/>
  <c r="J62" i="9" s="1"/>
  <c r="H59" i="10"/>
  <c r="I58" i="10"/>
  <c r="D58" i="10"/>
  <c r="I60" i="9" s="1"/>
  <c r="E57" i="10"/>
  <c r="K59" i="9" s="1"/>
  <c r="H56" i="10"/>
  <c r="I55" i="10"/>
  <c r="D55" i="10"/>
  <c r="E54" i="10"/>
  <c r="K56" i="9" s="1"/>
  <c r="G53" i="10"/>
  <c r="J55" i="9" s="1"/>
  <c r="H52" i="10"/>
  <c r="I51" i="10"/>
  <c r="D51" i="10"/>
  <c r="E50" i="10"/>
  <c r="K52" i="9" s="1"/>
  <c r="H31" i="10"/>
  <c r="G20" i="8"/>
  <c r="E22" i="9" s="1"/>
  <c r="O22" i="9" s="1"/>
  <c r="H21" i="8"/>
  <c r="H25" i="8"/>
  <c r="G28" i="8"/>
  <c r="E30" i="9" s="1"/>
  <c r="O30" i="9" s="1"/>
  <c r="E31" i="8"/>
  <c r="F33" i="9" s="1"/>
  <c r="H33" i="8"/>
  <c r="G36" i="8"/>
  <c r="E38" i="9" s="1"/>
  <c r="E39" i="8"/>
  <c r="F41" i="9" s="1"/>
  <c r="G43" i="8"/>
  <c r="E45" i="9" s="1"/>
  <c r="E46" i="8"/>
  <c r="F48" i="9" s="1"/>
  <c r="H48" i="8"/>
  <c r="G51" i="8"/>
  <c r="E53" i="9" s="1"/>
  <c r="E54" i="8"/>
  <c r="F56" i="9" s="1"/>
  <c r="H56" i="8"/>
  <c r="G58" i="8"/>
  <c r="E60" i="9" s="1"/>
  <c r="E18" i="10"/>
  <c r="I19" i="10"/>
  <c r="M21" i="9" s="1"/>
  <c r="G21" i="10"/>
  <c r="J23" i="9" s="1"/>
  <c r="D23" i="10"/>
  <c r="I25" i="9" s="1"/>
  <c r="H24" i="10"/>
  <c r="E26" i="10"/>
  <c r="I27" i="10"/>
  <c r="G29" i="10"/>
  <c r="J31" i="9" s="1"/>
  <c r="D31" i="10"/>
  <c r="I33" i="9" s="1"/>
  <c r="H32" i="10"/>
  <c r="E34" i="10"/>
  <c r="K36" i="9" s="1"/>
  <c r="G37" i="10"/>
  <c r="J39" i="9" s="1"/>
  <c r="D39" i="10"/>
  <c r="I41" i="9" s="1"/>
  <c r="H40" i="10"/>
  <c r="E41" i="10"/>
  <c r="K43" i="9" s="1"/>
  <c r="D43" i="10"/>
  <c r="I45" i="9" s="1"/>
  <c r="E45" i="10"/>
  <c r="G47" i="10"/>
  <c r="J49" i="9" s="1"/>
  <c r="G49" i="10"/>
  <c r="J51" i="9" s="1"/>
  <c r="G52" i="10"/>
  <c r="J54" i="9" s="1"/>
  <c r="H55" i="10"/>
  <c r="G59" i="10"/>
  <c r="J61" i="9" s="1"/>
  <c r="G21" i="8"/>
  <c r="E23" i="9" s="1"/>
  <c r="O23" i="9" s="1"/>
  <c r="I23" i="8"/>
  <c r="H25" i="9" s="1"/>
  <c r="G34" i="8"/>
  <c r="E36" i="9" s="1"/>
  <c r="G30" i="10"/>
  <c r="I38" i="10"/>
  <c r="M40" i="9" s="1"/>
  <c r="E19" i="8"/>
  <c r="F21" i="9" s="1"/>
  <c r="E23" i="8"/>
  <c r="F25" i="9" s="1"/>
  <c r="G24" i="8"/>
  <c r="E26" i="9" s="1"/>
  <c r="E27" i="8"/>
  <c r="F29" i="9" s="1"/>
  <c r="H29" i="8"/>
  <c r="G32" i="8"/>
  <c r="E34" i="9" s="1"/>
  <c r="O34" i="9" s="1"/>
  <c r="E35" i="8"/>
  <c r="F37" i="9" s="1"/>
  <c r="H37" i="8"/>
  <c r="G40" i="8"/>
  <c r="E42" i="9" s="1"/>
  <c r="E42" i="8"/>
  <c r="F44" i="9" s="1"/>
  <c r="H44" i="8"/>
  <c r="G47" i="8"/>
  <c r="E49" i="9" s="1"/>
  <c r="E50" i="8"/>
  <c r="F52" i="9" s="1"/>
  <c r="H52" i="8"/>
  <c r="G55" i="8"/>
  <c r="E57" i="9" s="1"/>
  <c r="E57" i="8"/>
  <c r="F59" i="9" s="1"/>
  <c r="H59" i="8"/>
  <c r="I41" i="8"/>
  <c r="H43" i="9" s="1"/>
  <c r="I49" i="8"/>
  <c r="H51" i="9" s="1"/>
  <c r="D19" i="10"/>
  <c r="I21" i="9" s="1"/>
  <c r="H20" i="10"/>
  <c r="E22" i="10"/>
  <c r="K24" i="9" s="1"/>
  <c r="I23" i="10"/>
  <c r="M25" i="9" s="1"/>
  <c r="G25" i="10"/>
  <c r="J27" i="9" s="1"/>
  <c r="D27" i="10"/>
  <c r="I29" i="9" s="1"/>
  <c r="H28" i="10"/>
  <c r="E30" i="10"/>
  <c r="K32" i="9" s="1"/>
  <c r="G33" i="10"/>
  <c r="J35" i="9" s="1"/>
  <c r="D35" i="10"/>
  <c r="I37" i="9" s="1"/>
  <c r="H36" i="10"/>
  <c r="E38" i="10"/>
  <c r="K40" i="9" s="1"/>
  <c r="I39" i="10"/>
  <c r="M41" i="9" s="1"/>
  <c r="D42" i="10"/>
  <c r="I44" i="9" s="1"/>
  <c r="E44" i="10"/>
  <c r="K46" i="9" s="1"/>
  <c r="E46" i="10"/>
  <c r="K48" i="9" s="1"/>
  <c r="G48" i="10"/>
  <c r="J50" i="9" s="1"/>
  <c r="I50" i="10"/>
  <c r="M52" i="9" s="1"/>
  <c r="D54" i="10"/>
  <c r="I56" i="9" s="1"/>
  <c r="I57" i="10"/>
  <c r="M59" i="9" s="1"/>
  <c r="G19" i="8"/>
  <c r="E21" i="9" s="1"/>
  <c r="H20" i="8"/>
  <c r="G23" i="8"/>
  <c r="E25" i="9" s="1"/>
  <c r="H24" i="8"/>
  <c r="E26" i="8"/>
  <c r="F28" i="9" s="1"/>
  <c r="G27" i="8"/>
  <c r="E29" i="9" s="1"/>
  <c r="H28" i="8"/>
  <c r="E30" i="8"/>
  <c r="F32" i="9" s="1"/>
  <c r="G31" i="8"/>
  <c r="E33" i="9" s="1"/>
  <c r="H32" i="8"/>
  <c r="E34" i="8"/>
  <c r="F36" i="9" s="1"/>
  <c r="G35" i="8"/>
  <c r="E37" i="9" s="1"/>
  <c r="H36" i="8"/>
  <c r="E38" i="8"/>
  <c r="F40" i="9" s="1"/>
  <c r="G39" i="8"/>
  <c r="E41" i="9" s="1"/>
  <c r="H40" i="8"/>
  <c r="E41" i="8"/>
  <c r="F43" i="9" s="1"/>
  <c r="G42" i="8"/>
  <c r="E44" i="9" s="1"/>
  <c r="H43" i="8"/>
  <c r="E45" i="8"/>
  <c r="F47" i="9" s="1"/>
  <c r="G46" i="8"/>
  <c r="E48" i="9" s="1"/>
  <c r="H47" i="8"/>
  <c r="E49" i="8"/>
  <c r="F51" i="9" s="1"/>
  <c r="G50" i="8"/>
  <c r="E52" i="9" s="1"/>
  <c r="H51" i="8"/>
  <c r="E53" i="8"/>
  <c r="F55" i="9" s="1"/>
  <c r="P55" i="9" s="1"/>
  <c r="G54" i="8"/>
  <c r="E56" i="9" s="1"/>
  <c r="H55" i="8"/>
  <c r="G57" i="8"/>
  <c r="E59" i="9" s="1"/>
  <c r="H58" i="8"/>
  <c r="E60" i="8"/>
  <c r="F62" i="9" s="1"/>
  <c r="I42" i="8"/>
  <c r="H44" i="9" s="1"/>
  <c r="I46" i="8"/>
  <c r="H48" i="9" s="1"/>
  <c r="I54" i="8"/>
  <c r="H56" i="9" s="1"/>
  <c r="G18" i="10"/>
  <c r="E19" i="10"/>
  <c r="K21" i="9" s="1"/>
  <c r="D20" i="10"/>
  <c r="I22" i="9" s="1"/>
  <c r="I20" i="10"/>
  <c r="M22" i="9" s="1"/>
  <c r="R22" i="9" s="1"/>
  <c r="H21" i="10"/>
  <c r="G22" i="10"/>
  <c r="J24" i="9" s="1"/>
  <c r="E23" i="10"/>
  <c r="K25" i="9" s="1"/>
  <c r="D24" i="10"/>
  <c r="I26" i="9" s="1"/>
  <c r="I24" i="10"/>
  <c r="M26" i="9" s="1"/>
  <c r="H25" i="10"/>
  <c r="G26" i="10"/>
  <c r="J28" i="9" s="1"/>
  <c r="E27" i="10"/>
  <c r="K29" i="9" s="1"/>
  <c r="D28" i="10"/>
  <c r="I30" i="9" s="1"/>
  <c r="I28" i="10"/>
  <c r="M30" i="9" s="1"/>
  <c r="H29" i="10"/>
  <c r="I32" i="10"/>
  <c r="M34" i="9" s="1"/>
  <c r="H33" i="10"/>
  <c r="G34" i="10"/>
  <c r="J36" i="9" s="1"/>
  <c r="E35" i="10"/>
  <c r="K37" i="9" s="1"/>
  <c r="D36" i="10"/>
  <c r="I38" i="9" s="1"/>
  <c r="I36" i="10"/>
  <c r="M38" i="9" s="1"/>
  <c r="H37" i="10"/>
  <c r="G38" i="10"/>
  <c r="J40" i="9" s="1"/>
  <c r="E39" i="10"/>
  <c r="D40" i="10"/>
  <c r="I42" i="9" s="1"/>
  <c r="G41" i="10"/>
  <c r="J43" i="9" s="1"/>
  <c r="E42" i="10"/>
  <c r="K44" i="9" s="1"/>
  <c r="G43" i="10"/>
  <c r="J45" i="9" s="1"/>
  <c r="G44" i="10"/>
  <c r="J46" i="9" s="1"/>
  <c r="G45" i="10"/>
  <c r="H46" i="10"/>
  <c r="H47" i="10"/>
  <c r="H48" i="10"/>
  <c r="I49" i="10"/>
  <c r="M51" i="9" s="1"/>
  <c r="G51" i="10"/>
  <c r="D53" i="10"/>
  <c r="H54" i="10"/>
  <c r="E56" i="10"/>
  <c r="K58" i="9" s="1"/>
  <c r="P58" i="9" s="1"/>
  <c r="G58" i="10"/>
  <c r="D60" i="10"/>
  <c r="I37" i="8"/>
  <c r="H39" i="9" s="1"/>
  <c r="R39" i="9" s="1"/>
  <c r="I30" i="8"/>
  <c r="H32" i="9" s="1"/>
  <c r="I45" i="8"/>
  <c r="H47" i="9" s="1"/>
  <c r="I31" i="8"/>
  <c r="H33" i="9" s="1"/>
  <c r="I26" i="8"/>
  <c r="H28" i="9" s="1"/>
  <c r="R28" i="9" s="1"/>
  <c r="I50" i="8"/>
  <c r="H52" i="9" s="1"/>
  <c r="I48" i="10"/>
  <c r="I33" i="8"/>
  <c r="H35" i="9" s="1"/>
  <c r="I35" i="8"/>
  <c r="H37" i="9" s="1"/>
  <c r="G29" i="8"/>
  <c r="E31" i="9" s="1"/>
  <c r="I19" i="8"/>
  <c r="H21" i="9" s="1"/>
  <c r="I22" i="8"/>
  <c r="H24" i="9" s="1"/>
  <c r="I31" i="10"/>
  <c r="M33" i="9" s="1"/>
  <c r="I57" i="8"/>
  <c r="H59" i="9" s="1"/>
  <c r="I58" i="8"/>
  <c r="H60" i="9" s="1"/>
  <c r="I35" i="10"/>
  <c r="P23" i="9"/>
  <c r="I24" i="9"/>
  <c r="I32" i="9"/>
  <c r="I36" i="9"/>
  <c r="I43" i="9"/>
  <c r="P38" i="9"/>
  <c r="R59" i="9" l="1"/>
  <c r="R51" i="9"/>
  <c r="J38" i="10"/>
  <c r="K38" i="10" s="1"/>
  <c r="J45" i="10"/>
  <c r="K45" i="10" s="1"/>
  <c r="O41" i="9"/>
  <c r="P51" i="9"/>
  <c r="O56" i="9"/>
  <c r="R48" i="9"/>
  <c r="J46" i="10"/>
  <c r="K46" i="10" s="1"/>
  <c r="J48" i="10"/>
  <c r="K48" i="10" s="1"/>
  <c r="F51" i="10"/>
  <c r="L53" i="9" s="1"/>
  <c r="R21" i="9"/>
  <c r="R47" i="9"/>
  <c r="O21" i="9"/>
  <c r="O50" i="9"/>
  <c r="O61" i="9"/>
  <c r="J26" i="10"/>
  <c r="K26" i="10" s="1"/>
  <c r="P50" i="9"/>
  <c r="P44" i="9"/>
  <c r="P25" i="9"/>
  <c r="O59" i="9"/>
  <c r="O35" i="9"/>
  <c r="J25" i="10"/>
  <c r="K25" i="10" s="1"/>
  <c r="P45" i="9"/>
  <c r="P22" i="9"/>
  <c r="J60" i="10"/>
  <c r="K60" i="10" s="1"/>
  <c r="O54" i="9"/>
  <c r="P37" i="9"/>
  <c r="J57" i="10"/>
  <c r="K57" i="10" s="1"/>
  <c r="R24" i="9"/>
  <c r="R35" i="9"/>
  <c r="P49" i="9"/>
  <c r="O39" i="9"/>
  <c r="H14" i="10"/>
  <c r="F32" i="10"/>
  <c r="L34" i="9" s="1"/>
  <c r="J18" i="10"/>
  <c r="K18" i="10" s="1"/>
  <c r="O26" i="9"/>
  <c r="F55" i="10"/>
  <c r="L57" i="9" s="1"/>
  <c r="P29" i="9"/>
  <c r="J55" i="10"/>
  <c r="K55" i="10" s="1"/>
  <c r="O55" i="9"/>
  <c r="P39" i="9"/>
  <c r="F47" i="10"/>
  <c r="L49" i="9" s="1"/>
  <c r="J56" i="10"/>
  <c r="K56" i="10" s="1"/>
  <c r="P56" i="9"/>
  <c r="F57" i="10"/>
  <c r="L59" i="9" s="1"/>
  <c r="F49" i="10"/>
  <c r="L51" i="9" s="1"/>
  <c r="P40" i="9"/>
  <c r="O29" i="9"/>
  <c r="E8" i="10"/>
  <c r="K8" i="9" s="1"/>
  <c r="F21" i="10"/>
  <c r="L23" i="9" s="1"/>
  <c r="O51" i="9"/>
  <c r="P30" i="9"/>
  <c r="R43" i="9"/>
  <c r="R56" i="9"/>
  <c r="P36" i="9"/>
  <c r="P48" i="9"/>
  <c r="P46" i="9"/>
  <c r="J37" i="10"/>
  <c r="K37" i="10" s="1"/>
  <c r="P24" i="9"/>
  <c r="J51" i="10"/>
  <c r="K51" i="10" s="1"/>
  <c r="O38" i="9"/>
  <c r="P31" i="9"/>
  <c r="P26" i="9"/>
  <c r="O33" i="9"/>
  <c r="P61" i="9"/>
  <c r="P42" i="9"/>
  <c r="J29" i="10"/>
  <c r="K29" i="10" s="1"/>
  <c r="J54" i="10"/>
  <c r="K54" i="10" s="1"/>
  <c r="O24" i="9"/>
  <c r="P43" i="9"/>
  <c r="F54" i="10"/>
  <c r="L56" i="9" s="1"/>
  <c r="J44" i="10"/>
  <c r="K44" i="10" s="1"/>
  <c r="F22" i="10"/>
  <c r="L24" i="9" s="1"/>
  <c r="F53" i="10"/>
  <c r="L55" i="9" s="1"/>
  <c r="J47" i="10"/>
  <c r="K47" i="10" s="1"/>
  <c r="O45" i="9"/>
  <c r="R38" i="9"/>
  <c r="J33" i="10"/>
  <c r="K33" i="10" s="1"/>
  <c r="J21" i="10"/>
  <c r="K21" i="10" s="1"/>
  <c r="F18" i="10"/>
  <c r="L20" i="9" s="1"/>
  <c r="P62" i="9"/>
  <c r="P52" i="9"/>
  <c r="P33" i="9"/>
  <c r="J49" i="10"/>
  <c r="K49" i="10" s="1"/>
  <c r="O49" i="9"/>
  <c r="J52" i="10"/>
  <c r="K52" i="10" s="1"/>
  <c r="F56" i="10"/>
  <c r="L58" i="9" s="1"/>
  <c r="O25" i="9"/>
  <c r="J43" i="10"/>
  <c r="K43" i="10" s="1"/>
  <c r="O57" i="9"/>
  <c r="R34" i="9"/>
  <c r="J32" i="10"/>
  <c r="K32" i="10" s="1"/>
  <c r="F35" i="10"/>
  <c r="L37" i="9" s="1"/>
  <c r="F45" i="10"/>
  <c r="L47" i="9" s="1"/>
  <c r="O43" i="9"/>
  <c r="O28" i="9"/>
  <c r="J20" i="10"/>
  <c r="K20" i="10" s="1"/>
  <c r="D8" i="10"/>
  <c r="I8" i="9" s="1"/>
  <c r="O58" i="9"/>
  <c r="J39" i="10"/>
  <c r="K39" i="10" s="1"/>
  <c r="O42" i="9"/>
  <c r="R61" i="9"/>
  <c r="F59" i="10"/>
  <c r="L61" i="9" s="1"/>
  <c r="J59" i="10"/>
  <c r="K59" i="10" s="1"/>
  <c r="F50" i="10"/>
  <c r="L52" i="9" s="1"/>
  <c r="F37" i="10"/>
  <c r="L39" i="9" s="1"/>
  <c r="J58" i="10"/>
  <c r="K58" i="10" s="1"/>
  <c r="J20" i="9"/>
  <c r="F46" i="10"/>
  <c r="L48" i="9" s="1"/>
  <c r="J27" i="10"/>
  <c r="K27" i="10" s="1"/>
  <c r="F41" i="10"/>
  <c r="L43" i="9" s="1"/>
  <c r="F38" i="10"/>
  <c r="L40" i="9" s="1"/>
  <c r="P21" i="9"/>
  <c r="F25" i="10"/>
  <c r="L27" i="9" s="1"/>
  <c r="F40" i="10"/>
  <c r="L42" i="9" s="1"/>
  <c r="O48" i="9"/>
  <c r="H7" i="10"/>
  <c r="F23" i="10"/>
  <c r="L25" i="9" s="1"/>
  <c r="J36" i="10"/>
  <c r="K36" i="10" s="1"/>
  <c r="F44" i="10"/>
  <c r="L46" i="9" s="1"/>
  <c r="R45" i="9"/>
  <c r="J42" i="10"/>
  <c r="K42" i="10" s="1"/>
  <c r="F19" i="10"/>
  <c r="L21" i="9" s="1"/>
  <c r="I62" i="9"/>
  <c r="R52" i="9"/>
  <c r="O52" i="9"/>
  <c r="P32" i="9"/>
  <c r="H6" i="10"/>
  <c r="O36" i="9"/>
  <c r="E6" i="10"/>
  <c r="K6" i="9" s="1"/>
  <c r="J40" i="10"/>
  <c r="K40" i="10" s="1"/>
  <c r="F31" i="10"/>
  <c r="L33" i="9" s="1"/>
  <c r="K20" i="9"/>
  <c r="F60" i="10"/>
  <c r="L62" i="9" s="1"/>
  <c r="P59" i="9"/>
  <c r="J53" i="10"/>
  <c r="K53" i="10" s="1"/>
  <c r="F48" i="10"/>
  <c r="L50" i="9" s="1"/>
  <c r="F39" i="10"/>
  <c r="L41" i="9" s="1"/>
  <c r="F27" i="10"/>
  <c r="L29" i="9" s="1"/>
  <c r="J35" i="10"/>
  <c r="K35" i="10" s="1"/>
  <c r="F28" i="10"/>
  <c r="L30" i="9" s="1"/>
  <c r="I55" i="9"/>
  <c r="J28" i="10"/>
  <c r="K28" i="10" s="1"/>
  <c r="D7" i="10"/>
  <c r="I7" i="9" s="1"/>
  <c r="F43" i="10"/>
  <c r="L45" i="9" s="1"/>
  <c r="O37" i="9"/>
  <c r="E9" i="10"/>
  <c r="K9" i="9" s="1"/>
  <c r="G7" i="10"/>
  <c r="J7" i="9" s="1"/>
  <c r="F26" i="10"/>
  <c r="L28" i="9" s="1"/>
  <c r="F20" i="10"/>
  <c r="L22" i="9" s="1"/>
  <c r="H13" i="10"/>
  <c r="O31" i="9"/>
  <c r="J31" i="10"/>
  <c r="K31" i="10" s="1"/>
  <c r="D61" i="10"/>
  <c r="I63" i="9" s="1"/>
  <c r="F24" i="10"/>
  <c r="L26" i="9" s="1"/>
  <c r="H61" i="10"/>
  <c r="H8" i="10"/>
  <c r="J24" i="10"/>
  <c r="K24" i="10" s="1"/>
  <c r="F33" i="10"/>
  <c r="L35" i="9" s="1"/>
  <c r="D10" i="10"/>
  <c r="I10" i="9" s="1"/>
  <c r="G6" i="10"/>
  <c r="J6" i="9" s="1"/>
  <c r="F52" i="10"/>
  <c r="L54" i="9" s="1"/>
  <c r="F36" i="10"/>
  <c r="L38" i="9" s="1"/>
  <c r="F29" i="10"/>
  <c r="L31" i="9" s="1"/>
  <c r="J23" i="10"/>
  <c r="K23" i="10" s="1"/>
  <c r="D6" i="10"/>
  <c r="I6" i="9" s="1"/>
  <c r="D9" i="10"/>
  <c r="I9" i="9" s="1"/>
  <c r="F34" i="10"/>
  <c r="L36" i="9" s="1"/>
  <c r="I39" i="8"/>
  <c r="H41" i="9" s="1"/>
  <c r="R41" i="9" s="1"/>
  <c r="R33" i="9"/>
  <c r="H10" i="10"/>
  <c r="I24" i="8"/>
  <c r="H26" i="9" s="1"/>
  <c r="R26" i="9" s="1"/>
  <c r="H12" i="10"/>
  <c r="I40" i="10"/>
  <c r="M42" i="9" s="1"/>
  <c r="G60" i="8"/>
  <c r="E62" i="9" s="1"/>
  <c r="O62" i="9" s="1"/>
  <c r="R25" i="9"/>
  <c r="H9" i="10"/>
  <c r="I38" i="8"/>
  <c r="H40" i="9" s="1"/>
  <c r="R40" i="9" s="1"/>
  <c r="I18" i="8"/>
  <c r="H20" i="9" s="1"/>
  <c r="R20" i="9" s="1"/>
  <c r="I42" i="10"/>
  <c r="M44" i="9" s="1"/>
  <c r="R44" i="9" s="1"/>
  <c r="I27" i="8"/>
  <c r="H29" i="9" s="1"/>
  <c r="M37" i="9"/>
  <c r="R37" i="9" s="1"/>
  <c r="I9" i="10"/>
  <c r="M9" i="9" s="1"/>
  <c r="J32" i="9"/>
  <c r="O32" i="9" s="1"/>
  <c r="F30" i="10"/>
  <c r="L32" i="9" s="1"/>
  <c r="G8" i="10"/>
  <c r="J8" i="9" s="1"/>
  <c r="M50" i="9"/>
  <c r="R50" i="9" s="1"/>
  <c r="I11" i="10"/>
  <c r="M11" i="9" s="1"/>
  <c r="J47" i="9"/>
  <c r="O47" i="9" s="1"/>
  <c r="G11" i="10"/>
  <c r="J11" i="9" s="1"/>
  <c r="M29" i="9"/>
  <c r="I7" i="10"/>
  <c r="M7" i="9" s="1"/>
  <c r="I28" i="8"/>
  <c r="H30" i="9" s="1"/>
  <c r="R30" i="9" s="1"/>
  <c r="M53" i="9"/>
  <c r="R53" i="9" s="1"/>
  <c r="I12" i="10"/>
  <c r="M12" i="9" s="1"/>
  <c r="I57" i="9"/>
  <c r="D13" i="10"/>
  <c r="I50" i="9"/>
  <c r="D11" i="10"/>
  <c r="I11" i="9" s="1"/>
  <c r="K53" i="9"/>
  <c r="P53" i="9" s="1"/>
  <c r="E12" i="10"/>
  <c r="K12" i="9" s="1"/>
  <c r="I25" i="8"/>
  <c r="H27" i="9" s="1"/>
  <c r="R27" i="9" s="1"/>
  <c r="I40" i="8"/>
  <c r="H42" i="9" s="1"/>
  <c r="E61" i="10"/>
  <c r="K63" i="9" s="1"/>
  <c r="I30" i="10"/>
  <c r="I34" i="8"/>
  <c r="H36" i="9" s="1"/>
  <c r="R36" i="9" s="1"/>
  <c r="I21" i="8"/>
  <c r="K47" i="9"/>
  <c r="P47" i="9" s="1"/>
  <c r="E11" i="10"/>
  <c r="K11" i="9" s="1"/>
  <c r="K28" i="9"/>
  <c r="P28" i="9" s="1"/>
  <c r="E7" i="10"/>
  <c r="K7" i="9" s="1"/>
  <c r="M57" i="9"/>
  <c r="R57" i="9" s="1"/>
  <c r="I13" i="10"/>
  <c r="M13" i="9" s="1"/>
  <c r="D14" i="10"/>
  <c r="I14" i="9" s="1"/>
  <c r="G42" i="10"/>
  <c r="H11" i="10"/>
  <c r="K57" i="9"/>
  <c r="P57" i="9" s="1"/>
  <c r="E13" i="10"/>
  <c r="K13" i="9" s="1"/>
  <c r="G25" i="8"/>
  <c r="E27" i="9" s="1"/>
  <c r="O27" i="9" s="1"/>
  <c r="I53" i="8"/>
  <c r="H55" i="9" s="1"/>
  <c r="R55" i="9" s="1"/>
  <c r="J60" i="9"/>
  <c r="O60" i="9" s="1"/>
  <c r="G14" i="10"/>
  <c r="J14" i="9" s="1"/>
  <c r="M60" i="9"/>
  <c r="R60" i="9" s="1"/>
  <c r="I14" i="10"/>
  <c r="M14" i="9" s="1"/>
  <c r="K60" i="9"/>
  <c r="P60" i="9" s="1"/>
  <c r="E14" i="10"/>
  <c r="K14" i="9" s="1"/>
  <c r="G9" i="10"/>
  <c r="J9" i="9" s="1"/>
  <c r="G44" i="8"/>
  <c r="E46" i="9" s="1"/>
  <c r="O46" i="9" s="1"/>
  <c r="F58" i="10"/>
  <c r="L60" i="9" s="1"/>
  <c r="J53" i="9"/>
  <c r="O53" i="9" s="1"/>
  <c r="G12" i="10"/>
  <c r="J12" i="9" s="1"/>
  <c r="K41" i="9"/>
  <c r="P41" i="9" s="1"/>
  <c r="E10" i="10"/>
  <c r="K10" i="9" s="1"/>
  <c r="I6" i="10"/>
  <c r="M6" i="9" s="1"/>
  <c r="I56" i="8"/>
  <c r="H58" i="9" s="1"/>
  <c r="R58" i="9" s="1"/>
  <c r="I29" i="8"/>
  <c r="H31" i="9" s="1"/>
  <c r="R31" i="9" s="1"/>
  <c r="I53" i="9"/>
  <c r="D12" i="10"/>
  <c r="I12" i="9" s="1"/>
  <c r="J19" i="10"/>
  <c r="K19" i="10" s="1"/>
  <c r="G38" i="8"/>
  <c r="E40" i="9" s="1"/>
  <c r="O40" i="9" s="1"/>
  <c r="G13" i="10"/>
  <c r="J13" i="9" s="1"/>
  <c r="I60" i="8"/>
  <c r="H62" i="9" s="1"/>
  <c r="R62" i="9" s="1"/>
  <c r="I44" i="8"/>
  <c r="H46" i="9" s="1"/>
  <c r="R46" i="9" s="1"/>
  <c r="F13" i="10" l="1"/>
  <c r="L13" i="9" s="1"/>
  <c r="J10" i="10"/>
  <c r="K10" i="10" s="1"/>
  <c r="F12" i="10"/>
  <c r="L12" i="9" s="1"/>
  <c r="F14" i="10"/>
  <c r="L14" i="9" s="1"/>
  <c r="F7" i="10"/>
  <c r="L7" i="9" s="1"/>
  <c r="J6" i="10"/>
  <c r="K6" i="10" s="1"/>
  <c r="J8" i="10"/>
  <c r="K8" i="10" s="1"/>
  <c r="J7" i="10"/>
  <c r="K7" i="10" s="1"/>
  <c r="F8" i="10"/>
  <c r="L8" i="9" s="1"/>
  <c r="F11" i="10"/>
  <c r="L11" i="9" s="1"/>
  <c r="F6" i="10"/>
  <c r="L6" i="9" s="1"/>
  <c r="J61" i="10"/>
  <c r="K61" i="10" s="1"/>
  <c r="F9" i="10"/>
  <c r="L9" i="9" s="1"/>
  <c r="R42" i="9"/>
  <c r="H15" i="10"/>
  <c r="R29" i="9"/>
  <c r="J9" i="10"/>
  <c r="K9" i="10" s="1"/>
  <c r="D15" i="10"/>
  <c r="I15" i="9" s="1"/>
  <c r="I10" i="10"/>
  <c r="M10" i="9" s="1"/>
  <c r="J11" i="10"/>
  <c r="K11" i="10" s="1"/>
  <c r="H23" i="9"/>
  <c r="R23" i="9" s="1"/>
  <c r="I61" i="8"/>
  <c r="H63" i="9" s="1"/>
  <c r="J44" i="9"/>
  <c r="O44" i="9" s="1"/>
  <c r="F42" i="10"/>
  <c r="G10" i="10"/>
  <c r="G61" i="10"/>
  <c r="J63" i="9" s="1"/>
  <c r="J12" i="10"/>
  <c r="K12" i="10" s="1"/>
  <c r="M32" i="9"/>
  <c r="R32" i="9" s="1"/>
  <c r="I8" i="10"/>
  <c r="I61" i="10"/>
  <c r="M63" i="9" s="1"/>
  <c r="R63" i="9" s="1"/>
  <c r="I13" i="9"/>
  <c r="J13" i="10"/>
  <c r="K13" i="10" s="1"/>
  <c r="J14" i="10"/>
  <c r="K14" i="10" s="1"/>
  <c r="E15" i="10"/>
  <c r="K15" i="9" s="1"/>
  <c r="J15" i="10" l="1"/>
  <c r="K15" i="10" s="1"/>
  <c r="L44" i="9"/>
  <c r="F10" i="10"/>
  <c r="F61" i="10"/>
  <c r="L63" i="9" s="1"/>
  <c r="M8" i="9"/>
  <c r="I15" i="10"/>
  <c r="M15" i="9" s="1"/>
  <c r="J10" i="9"/>
  <c r="G15" i="10"/>
  <c r="J15" i="9" s="1"/>
  <c r="H18" i="8"/>
  <c r="G18" i="8"/>
  <c r="E20" i="9" s="1"/>
  <c r="O20" i="9" s="1"/>
  <c r="E18" i="8"/>
  <c r="F20" i="9" s="1"/>
  <c r="P20" i="9" s="1"/>
  <c r="D60" i="8"/>
  <c r="D62" i="9" s="1"/>
  <c r="N62" i="9" s="1"/>
  <c r="D59" i="8"/>
  <c r="D61" i="9" s="1"/>
  <c r="N61" i="9" s="1"/>
  <c r="D58" i="8"/>
  <c r="D60" i="9" s="1"/>
  <c r="N60" i="9" s="1"/>
  <c r="D57" i="8"/>
  <c r="D59" i="9" s="1"/>
  <c r="N59" i="9" s="1"/>
  <c r="D56" i="8"/>
  <c r="D58" i="9" s="1"/>
  <c r="N58" i="9" s="1"/>
  <c r="D55" i="8"/>
  <c r="D57" i="9" s="1"/>
  <c r="N57" i="9" s="1"/>
  <c r="D54" i="8"/>
  <c r="D56" i="9" s="1"/>
  <c r="N56" i="9" s="1"/>
  <c r="D53" i="8"/>
  <c r="D55" i="9" s="1"/>
  <c r="N55" i="9" s="1"/>
  <c r="D52" i="8"/>
  <c r="D54" i="9" s="1"/>
  <c r="N54" i="9" s="1"/>
  <c r="D51" i="8"/>
  <c r="D53" i="9" s="1"/>
  <c r="N53" i="9" s="1"/>
  <c r="D50" i="8"/>
  <c r="D52" i="9" s="1"/>
  <c r="N52" i="9" s="1"/>
  <c r="D49" i="8"/>
  <c r="D51" i="9" s="1"/>
  <c r="N51" i="9" s="1"/>
  <c r="D48" i="8"/>
  <c r="D50" i="9" s="1"/>
  <c r="N50" i="9" s="1"/>
  <c r="D47" i="8"/>
  <c r="D49" i="9" s="1"/>
  <c r="N49" i="9" s="1"/>
  <c r="D46" i="8"/>
  <c r="D48" i="9" s="1"/>
  <c r="N48" i="9" s="1"/>
  <c r="D45" i="8"/>
  <c r="D47" i="9" s="1"/>
  <c r="N47" i="9" s="1"/>
  <c r="D44" i="8"/>
  <c r="D46" i="9" s="1"/>
  <c r="N46" i="9" s="1"/>
  <c r="D43" i="8"/>
  <c r="D45" i="9" s="1"/>
  <c r="N45" i="9" s="1"/>
  <c r="D42" i="8"/>
  <c r="D44" i="9" s="1"/>
  <c r="N44" i="9" s="1"/>
  <c r="D41" i="8"/>
  <c r="D43" i="9" s="1"/>
  <c r="N43" i="9" s="1"/>
  <c r="D40" i="8"/>
  <c r="D42" i="9" s="1"/>
  <c r="N42" i="9" s="1"/>
  <c r="D39" i="8"/>
  <c r="D41" i="9" s="1"/>
  <c r="N41" i="9" s="1"/>
  <c r="D38" i="8"/>
  <c r="D40" i="9" s="1"/>
  <c r="N40" i="9" s="1"/>
  <c r="D37" i="8"/>
  <c r="D39" i="9" s="1"/>
  <c r="N39" i="9" s="1"/>
  <c r="D36" i="8"/>
  <c r="D38" i="9" s="1"/>
  <c r="N38" i="9" s="1"/>
  <c r="D35" i="8"/>
  <c r="D37" i="9" s="1"/>
  <c r="N37" i="9" s="1"/>
  <c r="D34" i="8"/>
  <c r="D36" i="9" s="1"/>
  <c r="N36" i="9" s="1"/>
  <c r="D33" i="8"/>
  <c r="D35" i="9" s="1"/>
  <c r="N35" i="9" s="1"/>
  <c r="D32" i="8"/>
  <c r="D34" i="9" s="1"/>
  <c r="N34" i="9" s="1"/>
  <c r="D31" i="8"/>
  <c r="D33" i="9" s="1"/>
  <c r="N33" i="9" s="1"/>
  <c r="D30" i="8"/>
  <c r="D32" i="9" s="1"/>
  <c r="N32" i="9" s="1"/>
  <c r="D29" i="8"/>
  <c r="D31" i="9" s="1"/>
  <c r="N31" i="9" s="1"/>
  <c r="D28" i="8"/>
  <c r="D30" i="9" s="1"/>
  <c r="N30" i="9" s="1"/>
  <c r="D27" i="8"/>
  <c r="D29" i="9" s="1"/>
  <c r="N29" i="9" s="1"/>
  <c r="D26" i="8"/>
  <c r="D28" i="9" s="1"/>
  <c r="N28" i="9" s="1"/>
  <c r="D25" i="8"/>
  <c r="D27" i="9" s="1"/>
  <c r="N27" i="9" s="1"/>
  <c r="D24" i="8"/>
  <c r="D26" i="9" s="1"/>
  <c r="N26" i="9" s="1"/>
  <c r="D23" i="8"/>
  <c r="D25" i="9" s="1"/>
  <c r="N25" i="9" s="1"/>
  <c r="D22" i="8"/>
  <c r="D24" i="9" s="1"/>
  <c r="N24" i="9" s="1"/>
  <c r="D21" i="8"/>
  <c r="D23" i="9" s="1"/>
  <c r="N23" i="9" s="1"/>
  <c r="D20" i="8"/>
  <c r="D22" i="9" s="1"/>
  <c r="N22" i="9" s="1"/>
  <c r="D19" i="8"/>
  <c r="D21" i="9" s="1"/>
  <c r="N21" i="9" s="1"/>
  <c r="D18" i="8"/>
  <c r="I14" i="8"/>
  <c r="H14" i="9" s="1"/>
  <c r="R14" i="9" s="1"/>
  <c r="H14" i="8"/>
  <c r="G14" i="8"/>
  <c r="E14" i="9" s="1"/>
  <c r="O14" i="9" s="1"/>
  <c r="E14" i="8"/>
  <c r="F14" i="9" s="1"/>
  <c r="P14" i="9" s="1"/>
  <c r="I13" i="8"/>
  <c r="H13" i="9" s="1"/>
  <c r="R13" i="9" s="1"/>
  <c r="H13" i="8"/>
  <c r="G13" i="8"/>
  <c r="E13" i="9" s="1"/>
  <c r="O13" i="9" s="1"/>
  <c r="E13" i="8"/>
  <c r="F13" i="9" s="1"/>
  <c r="P13" i="9" s="1"/>
  <c r="I12" i="8"/>
  <c r="H12" i="9" s="1"/>
  <c r="R12" i="9" s="1"/>
  <c r="H12" i="8"/>
  <c r="G12" i="8"/>
  <c r="E12" i="9" s="1"/>
  <c r="O12" i="9" s="1"/>
  <c r="E12" i="8"/>
  <c r="F12" i="9" s="1"/>
  <c r="P12" i="9" s="1"/>
  <c r="I11" i="8"/>
  <c r="H11" i="9" s="1"/>
  <c r="R11" i="9" s="1"/>
  <c r="H11" i="8"/>
  <c r="G11" i="8"/>
  <c r="E11" i="9" s="1"/>
  <c r="O11" i="9" s="1"/>
  <c r="E11" i="8"/>
  <c r="F11" i="9" s="1"/>
  <c r="P11" i="9" s="1"/>
  <c r="I10" i="8"/>
  <c r="H10" i="9" s="1"/>
  <c r="R10" i="9" s="1"/>
  <c r="H10" i="8"/>
  <c r="G10" i="8"/>
  <c r="E10" i="9" s="1"/>
  <c r="E10" i="8"/>
  <c r="F10" i="9" s="1"/>
  <c r="P10" i="9" s="1"/>
  <c r="I9" i="8"/>
  <c r="H9" i="9" s="1"/>
  <c r="R9" i="9" s="1"/>
  <c r="H9" i="8"/>
  <c r="G9" i="8"/>
  <c r="E9" i="9" s="1"/>
  <c r="O9" i="9" s="1"/>
  <c r="E9" i="8"/>
  <c r="F9" i="9" s="1"/>
  <c r="P9" i="9" s="1"/>
  <c r="I8" i="8"/>
  <c r="H8" i="9" s="1"/>
  <c r="H8" i="8"/>
  <c r="G8" i="8"/>
  <c r="E8" i="9" s="1"/>
  <c r="O8" i="9" s="1"/>
  <c r="E8" i="8"/>
  <c r="F8" i="9" s="1"/>
  <c r="P8" i="9" s="1"/>
  <c r="I7" i="8"/>
  <c r="H7" i="9" s="1"/>
  <c r="R7" i="9" s="1"/>
  <c r="H7" i="8"/>
  <c r="G7" i="8"/>
  <c r="E7" i="9" s="1"/>
  <c r="O7" i="9" s="1"/>
  <c r="E7" i="8"/>
  <c r="F7" i="9" s="1"/>
  <c r="P7" i="9" s="1"/>
  <c r="I6" i="8"/>
  <c r="H6" i="9" s="1"/>
  <c r="R6" i="9" s="1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D7" i="6"/>
  <c r="C7" i="6"/>
  <c r="C7" i="4" s="1"/>
  <c r="D6" i="6"/>
  <c r="D6" i="4" s="1"/>
  <c r="C6" i="6"/>
  <c r="C6" i="4" s="1"/>
  <c r="K7" i="6"/>
  <c r="J7" i="6"/>
  <c r="I7" i="6"/>
  <c r="I7" i="4" s="1"/>
  <c r="H7" i="6"/>
  <c r="H7" i="4" s="1"/>
  <c r="K6" i="6"/>
  <c r="J6" i="6"/>
  <c r="J6" i="4" s="1"/>
  <c r="I6" i="6"/>
  <c r="I6" i="4" s="1"/>
  <c r="H6" i="6"/>
  <c r="H6" i="4" s="1"/>
  <c r="K7" i="4"/>
  <c r="J7" i="4"/>
  <c r="CT169" i="7"/>
  <c r="CS169" i="7"/>
  <c r="CR169" i="7"/>
  <c r="CQ169" i="7"/>
  <c r="CP169" i="7"/>
  <c r="CO169" i="7"/>
  <c r="CN169" i="7"/>
  <c r="CM169" i="7"/>
  <c r="CL169" i="7"/>
  <c r="CK169" i="7"/>
  <c r="CJ169" i="7"/>
  <c r="CI169" i="7"/>
  <c r="CH169" i="7"/>
  <c r="CG169" i="7"/>
  <c r="CF169" i="7"/>
  <c r="CE169" i="7"/>
  <c r="CD169" i="7"/>
  <c r="CC169" i="7"/>
  <c r="CB169" i="7"/>
  <c r="CA169" i="7"/>
  <c r="BZ169" i="7"/>
  <c r="BY169" i="7"/>
  <c r="BX169" i="7"/>
  <c r="BW169" i="7"/>
  <c r="BV169" i="7"/>
  <c r="BU169" i="7"/>
  <c r="BT169" i="7"/>
  <c r="BS169" i="7"/>
  <c r="BR169" i="7"/>
  <c r="BQ169" i="7"/>
  <c r="BP169" i="7"/>
  <c r="CT168" i="7"/>
  <c r="CS168" i="7"/>
  <c r="CR168" i="7"/>
  <c r="CQ168" i="7"/>
  <c r="CP168" i="7"/>
  <c r="CO168" i="7"/>
  <c r="CN168" i="7"/>
  <c r="CM168" i="7"/>
  <c r="CL168" i="7"/>
  <c r="CK168" i="7"/>
  <c r="CJ168" i="7"/>
  <c r="CI168" i="7"/>
  <c r="CF168" i="7"/>
  <c r="CD168" i="7"/>
  <c r="CD170" i="7" s="1"/>
  <c r="CC168" i="7"/>
  <c r="CC170" i="7" s="1"/>
  <c r="CB168" i="7"/>
  <c r="CB170" i="7" s="1"/>
  <c r="CA168" i="7"/>
  <c r="BZ168" i="7"/>
  <c r="BZ170" i="7" s="1"/>
  <c r="BY168" i="7"/>
  <c r="BY170" i="7" s="1"/>
  <c r="BW168" i="7"/>
  <c r="BV168" i="7"/>
  <c r="BU168" i="7"/>
  <c r="BT168" i="7"/>
  <c r="BQ168" i="7"/>
  <c r="BP168" i="7"/>
  <c r="CT166" i="7"/>
  <c r="CS166" i="7"/>
  <c r="CR166" i="7"/>
  <c r="CQ166" i="7"/>
  <c r="CP166" i="7"/>
  <c r="CO166" i="7"/>
  <c r="CN166" i="7"/>
  <c r="CM166" i="7"/>
  <c r="CL166" i="7"/>
  <c r="CK166" i="7"/>
  <c r="CJ166" i="7"/>
  <c r="CI166" i="7"/>
  <c r="CH166" i="7"/>
  <c r="CG166" i="7"/>
  <c r="CF166" i="7"/>
  <c r="CE166" i="7"/>
  <c r="CD166" i="7"/>
  <c r="CC166" i="7"/>
  <c r="CB166" i="7"/>
  <c r="CA166" i="7"/>
  <c r="BZ166" i="7"/>
  <c r="BY166" i="7"/>
  <c r="BX166" i="7"/>
  <c r="BW166" i="7"/>
  <c r="BV166" i="7"/>
  <c r="BU166" i="7"/>
  <c r="BT166" i="7"/>
  <c r="BS166" i="7"/>
  <c r="BR166" i="7"/>
  <c r="BQ166" i="7"/>
  <c r="BP166" i="7"/>
  <c r="CT165" i="7"/>
  <c r="CS165" i="7"/>
  <c r="CR165" i="7"/>
  <c r="CQ165" i="7"/>
  <c r="CP165" i="7"/>
  <c r="CO165" i="7"/>
  <c r="CN165" i="7"/>
  <c r="CM165" i="7"/>
  <c r="CL165" i="7"/>
  <c r="CK165" i="7"/>
  <c r="CJ165" i="7"/>
  <c r="CI165" i="7"/>
  <c r="CH165" i="7"/>
  <c r="CG165" i="7"/>
  <c r="CE165" i="7"/>
  <c r="CD165" i="7"/>
  <c r="CC165" i="7"/>
  <c r="CA165" i="7"/>
  <c r="BZ165" i="7"/>
  <c r="BX165" i="7"/>
  <c r="BX167" i="7" s="1"/>
  <c r="BV165" i="7"/>
  <c r="BU165" i="7"/>
  <c r="BT165" i="7"/>
  <c r="BS165" i="7"/>
  <c r="BQ165" i="7"/>
  <c r="BP165" i="7"/>
  <c r="CT163" i="7"/>
  <c r="CS163" i="7"/>
  <c r="CR163" i="7"/>
  <c r="CQ163" i="7"/>
  <c r="CP163" i="7"/>
  <c r="CO163" i="7"/>
  <c r="CN163" i="7"/>
  <c r="CM163" i="7"/>
  <c r="CL163" i="7"/>
  <c r="CK163" i="7"/>
  <c r="CJ163" i="7"/>
  <c r="CI163" i="7"/>
  <c r="CH163" i="7"/>
  <c r="CG163" i="7"/>
  <c r="CF163" i="7"/>
  <c r="CE163" i="7"/>
  <c r="CD163" i="7"/>
  <c r="CC163" i="7"/>
  <c r="CB163" i="7"/>
  <c r="CA163" i="7"/>
  <c r="BZ163" i="7"/>
  <c r="BY163" i="7"/>
  <c r="BX163" i="7"/>
  <c r="BW163" i="7"/>
  <c r="BV163" i="7"/>
  <c r="BU163" i="7"/>
  <c r="BT163" i="7"/>
  <c r="BS163" i="7"/>
  <c r="BR163" i="7"/>
  <c r="BQ163" i="7"/>
  <c r="BP163" i="7"/>
  <c r="CT162" i="7"/>
  <c r="CS162" i="7"/>
  <c r="CR162" i="7"/>
  <c r="CQ162" i="7"/>
  <c r="CP162" i="7"/>
  <c r="CO162" i="7"/>
  <c r="CN162" i="7"/>
  <c r="CM162" i="7"/>
  <c r="CL162" i="7"/>
  <c r="CK162" i="7"/>
  <c r="CJ162" i="7"/>
  <c r="CI162" i="7"/>
  <c r="CH162" i="7"/>
  <c r="CG162" i="7"/>
  <c r="CF162" i="7"/>
  <c r="CD162" i="7"/>
  <c r="CC162" i="7"/>
  <c r="CB162" i="7"/>
  <c r="CA162" i="7"/>
  <c r="BZ162" i="7"/>
  <c r="BY162" i="7"/>
  <c r="BX162" i="7"/>
  <c r="BW162" i="7"/>
  <c r="BV162" i="7"/>
  <c r="BU162" i="7"/>
  <c r="BU36" i="7" s="1"/>
  <c r="BS162" i="7"/>
  <c r="BQ162" i="7"/>
  <c r="BQ164" i="7" s="1"/>
  <c r="BP162" i="7"/>
  <c r="BP164" i="7" s="1"/>
  <c r="CT160" i="7"/>
  <c r="CS160" i="7"/>
  <c r="CR160" i="7"/>
  <c r="CQ160" i="7"/>
  <c r="CP160" i="7"/>
  <c r="CO160" i="7"/>
  <c r="CN160" i="7"/>
  <c r="CM160" i="7"/>
  <c r="CL160" i="7"/>
  <c r="CK160" i="7"/>
  <c r="CJ160" i="7"/>
  <c r="CI160" i="7"/>
  <c r="CH160" i="7"/>
  <c r="CG160" i="7"/>
  <c r="CF160" i="7"/>
  <c r="CE160" i="7"/>
  <c r="CD160" i="7"/>
  <c r="CC160" i="7"/>
  <c r="CB160" i="7"/>
  <c r="CA160" i="7"/>
  <c r="BZ160" i="7"/>
  <c r="BY160" i="7"/>
  <c r="BX160" i="7"/>
  <c r="BW160" i="7"/>
  <c r="BV160" i="7"/>
  <c r="BU160" i="7"/>
  <c r="BT160" i="7"/>
  <c r="BS160" i="7"/>
  <c r="BR160" i="7"/>
  <c r="BQ160" i="7"/>
  <c r="BP160" i="7"/>
  <c r="CT159" i="7"/>
  <c r="CS159" i="7"/>
  <c r="CR159" i="7"/>
  <c r="CQ159" i="7"/>
  <c r="CP159" i="7"/>
  <c r="CO159" i="7"/>
  <c r="CN159" i="7"/>
  <c r="CM159" i="7"/>
  <c r="CL159" i="7"/>
  <c r="CK159" i="7"/>
  <c r="CJ159" i="7"/>
  <c r="CI159" i="7"/>
  <c r="CH159" i="7"/>
  <c r="CG159" i="7"/>
  <c r="CF159" i="7"/>
  <c r="CE159" i="7"/>
  <c r="CD159" i="7"/>
  <c r="CC159" i="7"/>
  <c r="CB159" i="7"/>
  <c r="CA159" i="7"/>
  <c r="BZ159" i="7"/>
  <c r="BY159" i="7"/>
  <c r="BX159" i="7"/>
  <c r="BW159" i="7"/>
  <c r="BV159" i="7"/>
  <c r="BU159" i="7"/>
  <c r="BT159" i="7"/>
  <c r="BQ159" i="7"/>
  <c r="BP159" i="7"/>
  <c r="CT157" i="7"/>
  <c r="CS157" i="7"/>
  <c r="CR157" i="7"/>
  <c r="CQ157" i="7"/>
  <c r="CP157" i="7"/>
  <c r="CO157" i="7"/>
  <c r="CN157" i="7"/>
  <c r="CM157" i="7"/>
  <c r="CL157" i="7"/>
  <c r="CK157" i="7"/>
  <c r="CJ157" i="7"/>
  <c r="CI157" i="7"/>
  <c r="CH157" i="7"/>
  <c r="CG157" i="7"/>
  <c r="CF157" i="7"/>
  <c r="CE157" i="7"/>
  <c r="CD157" i="7"/>
  <c r="CC157" i="7"/>
  <c r="CB157" i="7"/>
  <c r="CA157" i="7"/>
  <c r="BZ157" i="7"/>
  <c r="BY157" i="7"/>
  <c r="BX157" i="7"/>
  <c r="BW157" i="7"/>
  <c r="BV157" i="7"/>
  <c r="BU157" i="7"/>
  <c r="BT157" i="7"/>
  <c r="BS157" i="7"/>
  <c r="BR157" i="7"/>
  <c r="BQ157" i="7"/>
  <c r="BP157" i="7"/>
  <c r="CT156" i="7"/>
  <c r="CS156" i="7"/>
  <c r="CR156" i="7"/>
  <c r="CQ156" i="7"/>
  <c r="CP156" i="7"/>
  <c r="CO156" i="7"/>
  <c r="CN156" i="7"/>
  <c r="CM156" i="7"/>
  <c r="CL156" i="7"/>
  <c r="CK156" i="7"/>
  <c r="CH156" i="7"/>
  <c r="CG156" i="7"/>
  <c r="CF156" i="7"/>
  <c r="CD156" i="7"/>
  <c r="CD158" i="7" s="1"/>
  <c r="CC156" i="7"/>
  <c r="CC158" i="7" s="1"/>
  <c r="CB156" i="7"/>
  <c r="CB158" i="7" s="1"/>
  <c r="CA156" i="7"/>
  <c r="CA158" i="7" s="1"/>
  <c r="BZ156" i="7"/>
  <c r="BZ158" i="7" s="1"/>
  <c r="BY156" i="7"/>
  <c r="BY158" i="7" s="1"/>
  <c r="BX156" i="7"/>
  <c r="BX158" i="7" s="1"/>
  <c r="BW156" i="7"/>
  <c r="BW158" i="7" s="1"/>
  <c r="BV156" i="7"/>
  <c r="BV158" i="7" s="1"/>
  <c r="BU156" i="7"/>
  <c r="BU158" i="7" s="1"/>
  <c r="BT156" i="7"/>
  <c r="BT158" i="7" s="1"/>
  <c r="BS156" i="7"/>
  <c r="BS158" i="7" s="1"/>
  <c r="BR156" i="7"/>
  <c r="BR158" i="7" s="1"/>
  <c r="BP156" i="7"/>
  <c r="CT154" i="7"/>
  <c r="CS154" i="7"/>
  <c r="CR154" i="7"/>
  <c r="CQ154" i="7"/>
  <c r="CP154" i="7"/>
  <c r="CO154" i="7"/>
  <c r="CN154" i="7"/>
  <c r="CM154" i="7"/>
  <c r="CL154" i="7"/>
  <c r="CK154" i="7"/>
  <c r="CJ154" i="7"/>
  <c r="CI154" i="7"/>
  <c r="CH154" i="7"/>
  <c r="CG154" i="7"/>
  <c r="CF154" i="7"/>
  <c r="CE154" i="7"/>
  <c r="CD154" i="7"/>
  <c r="CC154" i="7"/>
  <c r="CB154" i="7"/>
  <c r="CA154" i="7"/>
  <c r="BZ154" i="7"/>
  <c r="BY154" i="7"/>
  <c r="BX154" i="7"/>
  <c r="BW154" i="7"/>
  <c r="BV154" i="7"/>
  <c r="BU154" i="7"/>
  <c r="BT154" i="7"/>
  <c r="BS154" i="7"/>
  <c r="BR154" i="7"/>
  <c r="BQ154" i="7"/>
  <c r="BP154" i="7"/>
  <c r="CT153" i="7"/>
  <c r="CS153" i="7"/>
  <c r="CR153" i="7"/>
  <c r="CQ153" i="7"/>
  <c r="CP153" i="7"/>
  <c r="CO153" i="7"/>
  <c r="CN153" i="7"/>
  <c r="CM153" i="7"/>
  <c r="CL153" i="7"/>
  <c r="CK153" i="7"/>
  <c r="CI153" i="7"/>
  <c r="CH153" i="7"/>
  <c r="CG153" i="7"/>
  <c r="CF153" i="7"/>
  <c r="CE153" i="7"/>
  <c r="CD153" i="7"/>
  <c r="CC153" i="7"/>
  <c r="CB153" i="7"/>
  <c r="CA153" i="7"/>
  <c r="BZ153" i="7"/>
  <c r="BY153" i="7"/>
  <c r="BX153" i="7"/>
  <c r="BW153" i="7"/>
  <c r="BV153" i="7"/>
  <c r="BU153" i="7"/>
  <c r="BT153" i="7"/>
  <c r="BS153" i="7"/>
  <c r="BR153" i="7"/>
  <c r="BQ153" i="7"/>
  <c r="BP153" i="7"/>
  <c r="CT151" i="7"/>
  <c r="CS151" i="7"/>
  <c r="CR151" i="7"/>
  <c r="CQ151" i="7"/>
  <c r="CP151" i="7"/>
  <c r="CO151" i="7"/>
  <c r="CN151" i="7"/>
  <c r="CM151" i="7"/>
  <c r="CL151" i="7"/>
  <c r="CK151" i="7"/>
  <c r="CJ151" i="7"/>
  <c r="CI151" i="7"/>
  <c r="CH151" i="7"/>
  <c r="CG151" i="7"/>
  <c r="CF151" i="7"/>
  <c r="CE151" i="7"/>
  <c r="CD151" i="7"/>
  <c r="CC151" i="7"/>
  <c r="CB151" i="7"/>
  <c r="CA151" i="7"/>
  <c r="BZ151" i="7"/>
  <c r="BY151" i="7"/>
  <c r="BX151" i="7"/>
  <c r="BW151" i="7"/>
  <c r="BV151" i="7"/>
  <c r="BU151" i="7"/>
  <c r="BT151" i="7"/>
  <c r="BS151" i="7"/>
  <c r="BR151" i="7"/>
  <c r="BQ151" i="7"/>
  <c r="BP151" i="7"/>
  <c r="CT150" i="7"/>
  <c r="CS150" i="7"/>
  <c r="CR150" i="7"/>
  <c r="CQ150" i="7"/>
  <c r="CP150" i="7"/>
  <c r="CO150" i="7"/>
  <c r="CN150" i="7"/>
  <c r="CM150" i="7"/>
  <c r="CK150" i="7"/>
  <c r="CJ150" i="7"/>
  <c r="CI150" i="7"/>
  <c r="CH150" i="7"/>
  <c r="CG150" i="7"/>
  <c r="CF150" i="7"/>
  <c r="CE150" i="7"/>
  <c r="CD150" i="7"/>
  <c r="CC150" i="7"/>
  <c r="CB150" i="7"/>
  <c r="CA150" i="7"/>
  <c r="BZ150" i="7"/>
  <c r="BY150" i="7"/>
  <c r="BX150" i="7"/>
  <c r="BW150" i="7"/>
  <c r="BV150" i="7"/>
  <c r="BU150" i="7"/>
  <c r="BT150" i="7"/>
  <c r="BS150" i="7"/>
  <c r="BR150" i="7"/>
  <c r="BQ150" i="7"/>
  <c r="BP150" i="7"/>
  <c r="CT148" i="7"/>
  <c r="CS148" i="7"/>
  <c r="CR148" i="7"/>
  <c r="CQ148" i="7"/>
  <c r="CP148" i="7"/>
  <c r="CO148" i="7"/>
  <c r="CN148" i="7"/>
  <c r="CM148" i="7"/>
  <c r="CL148" i="7"/>
  <c r="CK148" i="7"/>
  <c r="CJ148" i="7"/>
  <c r="CI148" i="7"/>
  <c r="CH148" i="7"/>
  <c r="CG148" i="7"/>
  <c r="CF148" i="7"/>
  <c r="CE148" i="7"/>
  <c r="CD148" i="7"/>
  <c r="CC148" i="7"/>
  <c r="CB148" i="7"/>
  <c r="CA148" i="7"/>
  <c r="BZ148" i="7"/>
  <c r="BY148" i="7"/>
  <c r="BX148" i="7"/>
  <c r="BW148" i="7"/>
  <c r="BV148" i="7"/>
  <c r="BU148" i="7"/>
  <c r="BT148" i="7"/>
  <c r="BS148" i="7"/>
  <c r="BR148" i="7"/>
  <c r="BQ148" i="7"/>
  <c r="BP148" i="7"/>
  <c r="CT147" i="7"/>
  <c r="CS147" i="7"/>
  <c r="CR147" i="7"/>
  <c r="CQ147" i="7"/>
  <c r="CP147" i="7"/>
  <c r="CO147" i="7"/>
  <c r="CN147" i="7"/>
  <c r="CM147" i="7"/>
  <c r="CL147" i="7"/>
  <c r="CK147" i="7"/>
  <c r="CJ147" i="7"/>
  <c r="CI147" i="7"/>
  <c r="CH147" i="7"/>
  <c r="CG147" i="7"/>
  <c r="CF147" i="7"/>
  <c r="CE147" i="7"/>
  <c r="CD147" i="7"/>
  <c r="CC147" i="7"/>
  <c r="CB147" i="7"/>
  <c r="CA147" i="7"/>
  <c r="BZ147" i="7"/>
  <c r="BY147" i="7"/>
  <c r="BX147" i="7"/>
  <c r="BW147" i="7"/>
  <c r="BV147" i="7"/>
  <c r="BU147" i="7"/>
  <c r="BT147" i="7"/>
  <c r="BS147" i="7"/>
  <c r="BR147" i="7"/>
  <c r="BQ147" i="7"/>
  <c r="BP147" i="7"/>
  <c r="CT145" i="7"/>
  <c r="CS145" i="7"/>
  <c r="CR145" i="7"/>
  <c r="CQ145" i="7"/>
  <c r="CP145" i="7"/>
  <c r="CO145" i="7"/>
  <c r="CN145" i="7"/>
  <c r="CM145" i="7"/>
  <c r="CL145" i="7"/>
  <c r="CK145" i="7"/>
  <c r="CJ145" i="7"/>
  <c r="CI145" i="7"/>
  <c r="CH145" i="7"/>
  <c r="CG145" i="7"/>
  <c r="CF145" i="7"/>
  <c r="CE145" i="7"/>
  <c r="CD145" i="7"/>
  <c r="CC145" i="7"/>
  <c r="CB145" i="7"/>
  <c r="CA145" i="7"/>
  <c r="BZ145" i="7"/>
  <c r="BY145" i="7"/>
  <c r="BX145" i="7"/>
  <c r="BW145" i="7"/>
  <c r="BV145" i="7"/>
  <c r="BU145" i="7"/>
  <c r="BT145" i="7"/>
  <c r="BS145" i="7"/>
  <c r="BR145" i="7"/>
  <c r="BQ145" i="7"/>
  <c r="BP145" i="7"/>
  <c r="CT144" i="7"/>
  <c r="CS144" i="7"/>
  <c r="CR144" i="7"/>
  <c r="CQ144" i="7"/>
  <c r="CP144" i="7"/>
  <c r="CO144" i="7"/>
  <c r="CN144" i="7"/>
  <c r="CM144" i="7"/>
  <c r="CL144" i="7"/>
  <c r="CK144" i="7"/>
  <c r="CJ144" i="7"/>
  <c r="CI144" i="7"/>
  <c r="CH144" i="7"/>
  <c r="CG144" i="7"/>
  <c r="CF144" i="7"/>
  <c r="CE144" i="7"/>
  <c r="CD144" i="7"/>
  <c r="CC144" i="7"/>
  <c r="CB144" i="7"/>
  <c r="CA144" i="7"/>
  <c r="BZ144" i="7"/>
  <c r="BY144" i="7"/>
  <c r="BX144" i="7"/>
  <c r="BW144" i="7"/>
  <c r="BV144" i="7"/>
  <c r="BU144" i="7"/>
  <c r="BT144" i="7"/>
  <c r="BS144" i="7"/>
  <c r="BR144" i="7"/>
  <c r="BQ144" i="7"/>
  <c r="BP144" i="7"/>
  <c r="CT142" i="7"/>
  <c r="CS142" i="7"/>
  <c r="CR142" i="7"/>
  <c r="CQ142" i="7"/>
  <c r="CP142" i="7"/>
  <c r="CO142" i="7"/>
  <c r="CN142" i="7"/>
  <c r="CM142" i="7"/>
  <c r="CL142" i="7"/>
  <c r="CK142" i="7"/>
  <c r="CJ142" i="7"/>
  <c r="CI142" i="7"/>
  <c r="CH142" i="7"/>
  <c r="CG142" i="7"/>
  <c r="CF142" i="7"/>
  <c r="CE142" i="7"/>
  <c r="CD142" i="7"/>
  <c r="CC142" i="7"/>
  <c r="CB142" i="7"/>
  <c r="CA142" i="7"/>
  <c r="BZ142" i="7"/>
  <c r="BY142" i="7"/>
  <c r="BX142" i="7"/>
  <c r="BW142" i="7"/>
  <c r="BV142" i="7"/>
  <c r="BU142" i="7"/>
  <c r="BT142" i="7"/>
  <c r="BS142" i="7"/>
  <c r="BR142" i="7"/>
  <c r="BQ142" i="7"/>
  <c r="BP142" i="7"/>
  <c r="CT141" i="7"/>
  <c r="CS141" i="7"/>
  <c r="CR141" i="7"/>
  <c r="CQ141" i="7"/>
  <c r="CP141" i="7"/>
  <c r="CO141" i="7"/>
  <c r="CN141" i="7"/>
  <c r="CM141" i="7"/>
  <c r="CL141" i="7"/>
  <c r="CK141" i="7"/>
  <c r="CJ141" i="7"/>
  <c r="CI141" i="7"/>
  <c r="CH141" i="7"/>
  <c r="CG141" i="7"/>
  <c r="CF141" i="7"/>
  <c r="CE141" i="7"/>
  <c r="CD141" i="7"/>
  <c r="CC141" i="7"/>
  <c r="CB141" i="7"/>
  <c r="CA141" i="7"/>
  <c r="BZ141" i="7"/>
  <c r="BY141" i="7"/>
  <c r="BX141" i="7"/>
  <c r="BW141" i="7"/>
  <c r="BV141" i="7"/>
  <c r="BU141" i="7"/>
  <c r="BT141" i="7"/>
  <c r="BS141" i="7"/>
  <c r="BR141" i="7"/>
  <c r="BQ141" i="7"/>
  <c r="BP141" i="7"/>
  <c r="CT139" i="7"/>
  <c r="CS139" i="7"/>
  <c r="CR139" i="7"/>
  <c r="CQ139" i="7"/>
  <c r="CP139" i="7"/>
  <c r="CO139" i="7"/>
  <c r="CN139" i="7"/>
  <c r="CM139" i="7"/>
  <c r="CL139" i="7"/>
  <c r="CK139" i="7"/>
  <c r="CJ139" i="7"/>
  <c r="CI139" i="7"/>
  <c r="CH139" i="7"/>
  <c r="CG139" i="7"/>
  <c r="CF139" i="7"/>
  <c r="CE139" i="7"/>
  <c r="CD139" i="7"/>
  <c r="CC139" i="7"/>
  <c r="CB139" i="7"/>
  <c r="CA139" i="7"/>
  <c r="BZ139" i="7"/>
  <c r="BY139" i="7"/>
  <c r="BX139" i="7"/>
  <c r="BW139" i="7"/>
  <c r="BV139" i="7"/>
  <c r="BU139" i="7"/>
  <c r="BT139" i="7"/>
  <c r="BS139" i="7"/>
  <c r="BR139" i="7"/>
  <c r="BQ139" i="7"/>
  <c r="BP139" i="7"/>
  <c r="CT138" i="7"/>
  <c r="CS138" i="7"/>
  <c r="CR138" i="7"/>
  <c r="CQ138" i="7"/>
  <c r="CP138" i="7"/>
  <c r="CO138" i="7"/>
  <c r="CN138" i="7"/>
  <c r="CM138" i="7"/>
  <c r="CL138" i="7"/>
  <c r="CK138" i="7"/>
  <c r="CJ138" i="7"/>
  <c r="CI138" i="7"/>
  <c r="CH138" i="7"/>
  <c r="CG138" i="7"/>
  <c r="CF138" i="7"/>
  <c r="CE138" i="7"/>
  <c r="CD138" i="7"/>
  <c r="CC138" i="7"/>
  <c r="CB138" i="7"/>
  <c r="BZ138" i="7"/>
  <c r="BY138" i="7"/>
  <c r="BX138" i="7"/>
  <c r="BW138" i="7"/>
  <c r="BV138" i="7"/>
  <c r="BU138" i="7"/>
  <c r="BT138" i="7"/>
  <c r="BS138" i="7"/>
  <c r="BQ138" i="7"/>
  <c r="BP138" i="7"/>
  <c r="CT136" i="7"/>
  <c r="CS136" i="7"/>
  <c r="CR136" i="7"/>
  <c r="CQ136" i="7"/>
  <c r="CP136" i="7"/>
  <c r="CO136" i="7"/>
  <c r="CN136" i="7"/>
  <c r="CM136" i="7"/>
  <c r="CL136" i="7"/>
  <c r="CK136" i="7"/>
  <c r="CJ136" i="7"/>
  <c r="CI136" i="7"/>
  <c r="CH136" i="7"/>
  <c r="CG136" i="7"/>
  <c r="CF136" i="7"/>
  <c r="CE136" i="7"/>
  <c r="CD136" i="7"/>
  <c r="CC136" i="7"/>
  <c r="CB136" i="7"/>
  <c r="CA136" i="7"/>
  <c r="BZ136" i="7"/>
  <c r="BY136" i="7"/>
  <c r="BX136" i="7"/>
  <c r="BW136" i="7"/>
  <c r="BV136" i="7"/>
  <c r="BU136" i="7"/>
  <c r="BT136" i="7"/>
  <c r="BS136" i="7"/>
  <c r="BR136" i="7"/>
  <c r="BQ136" i="7"/>
  <c r="BP136" i="7"/>
  <c r="CT135" i="7"/>
  <c r="CS135" i="7"/>
  <c r="CR135" i="7"/>
  <c r="CQ135" i="7"/>
  <c r="CP135" i="7"/>
  <c r="CO135" i="7"/>
  <c r="CN135" i="7"/>
  <c r="CM135" i="7"/>
  <c r="CL135" i="7"/>
  <c r="CJ135" i="7"/>
  <c r="CI135" i="7"/>
  <c r="CH135" i="7"/>
  <c r="CG135" i="7"/>
  <c r="CF135" i="7"/>
  <c r="CE135" i="7"/>
  <c r="CD135" i="7"/>
  <c r="CC135" i="7"/>
  <c r="CB135" i="7"/>
  <c r="CA135" i="7"/>
  <c r="BZ135" i="7"/>
  <c r="BY135" i="7"/>
  <c r="BX135" i="7"/>
  <c r="BW135" i="7"/>
  <c r="BV135" i="7"/>
  <c r="BU135" i="7"/>
  <c r="BT135" i="7"/>
  <c r="BS135" i="7"/>
  <c r="BR135" i="7"/>
  <c r="BQ135" i="7"/>
  <c r="BP135" i="7"/>
  <c r="CT133" i="7"/>
  <c r="CS133" i="7"/>
  <c r="CQ133" i="7"/>
  <c r="CP133" i="7"/>
  <c r="CO133" i="7"/>
  <c r="CN133" i="7"/>
  <c r="CM133" i="7"/>
  <c r="CL133" i="7"/>
  <c r="CK133" i="7"/>
  <c r="CJ133" i="7"/>
  <c r="CI133" i="7"/>
  <c r="CH133" i="7"/>
  <c r="CG133" i="7"/>
  <c r="CF133" i="7"/>
  <c r="CE133" i="7"/>
  <c r="CD133" i="7"/>
  <c r="CC133" i="7"/>
  <c r="CB133" i="7"/>
  <c r="CA133" i="7"/>
  <c r="BZ133" i="7"/>
  <c r="BY133" i="7"/>
  <c r="BX133" i="7"/>
  <c r="BW133" i="7"/>
  <c r="BV133" i="7"/>
  <c r="BU133" i="7"/>
  <c r="BT133" i="7"/>
  <c r="BS133" i="7"/>
  <c r="BR133" i="7"/>
  <c r="BQ133" i="7"/>
  <c r="BP133" i="7"/>
  <c r="CT132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V132" i="7"/>
  <c r="BU132" i="7"/>
  <c r="BT132" i="7"/>
  <c r="BS132" i="7"/>
  <c r="BQ132" i="7"/>
  <c r="BP132" i="7"/>
  <c r="CT130" i="7"/>
  <c r="CS130" i="7"/>
  <c r="CR130" i="7"/>
  <c r="CQ130" i="7"/>
  <c r="CP130" i="7"/>
  <c r="CO130" i="7"/>
  <c r="CN130" i="7"/>
  <c r="CM130" i="7"/>
  <c r="CL130" i="7"/>
  <c r="CK130" i="7"/>
  <c r="CJ130" i="7"/>
  <c r="CI130" i="7"/>
  <c r="CH130" i="7"/>
  <c r="CG130" i="7"/>
  <c r="CF130" i="7"/>
  <c r="CE130" i="7"/>
  <c r="CD130" i="7"/>
  <c r="CC130" i="7"/>
  <c r="CB130" i="7"/>
  <c r="CA130" i="7"/>
  <c r="BZ130" i="7"/>
  <c r="BY130" i="7"/>
  <c r="BX130" i="7"/>
  <c r="BW130" i="7"/>
  <c r="BV130" i="7"/>
  <c r="BU130" i="7"/>
  <c r="BT130" i="7"/>
  <c r="BS130" i="7"/>
  <c r="BR130" i="7"/>
  <c r="BQ130" i="7"/>
  <c r="BP130" i="7"/>
  <c r="CT129" i="7"/>
  <c r="CS129" i="7"/>
  <c r="CR129" i="7"/>
  <c r="CQ129" i="7"/>
  <c r="CP129" i="7"/>
  <c r="CO129" i="7"/>
  <c r="CN129" i="7"/>
  <c r="CM129" i="7"/>
  <c r="CL129" i="7"/>
  <c r="CK129" i="7"/>
  <c r="CJ129" i="7"/>
  <c r="CI129" i="7"/>
  <c r="CH129" i="7"/>
  <c r="CG129" i="7"/>
  <c r="CF129" i="7"/>
  <c r="CE129" i="7"/>
  <c r="CD129" i="7"/>
  <c r="CC129" i="7"/>
  <c r="CB129" i="7"/>
  <c r="CA129" i="7"/>
  <c r="BZ129" i="7"/>
  <c r="BY129" i="7"/>
  <c r="BX129" i="7"/>
  <c r="BW129" i="7"/>
  <c r="BV129" i="7"/>
  <c r="BU129" i="7"/>
  <c r="BT129" i="7"/>
  <c r="BS129" i="7"/>
  <c r="BR129" i="7"/>
  <c r="BQ129" i="7"/>
  <c r="BP129" i="7"/>
  <c r="CT127" i="7"/>
  <c r="CS127" i="7"/>
  <c r="CR127" i="7"/>
  <c r="CQ127" i="7"/>
  <c r="CP127" i="7"/>
  <c r="CO127" i="7"/>
  <c r="CN127" i="7"/>
  <c r="CM127" i="7"/>
  <c r="CL127" i="7"/>
  <c r="CK127" i="7"/>
  <c r="CJ127" i="7"/>
  <c r="CI127" i="7"/>
  <c r="CH127" i="7"/>
  <c r="CG127" i="7"/>
  <c r="CF127" i="7"/>
  <c r="CE127" i="7"/>
  <c r="CD127" i="7"/>
  <c r="CC127" i="7"/>
  <c r="CB127" i="7"/>
  <c r="CA127" i="7"/>
  <c r="BZ127" i="7"/>
  <c r="BY127" i="7"/>
  <c r="BX127" i="7"/>
  <c r="BW127" i="7"/>
  <c r="BV127" i="7"/>
  <c r="BU127" i="7"/>
  <c r="BT127" i="7"/>
  <c r="BS127" i="7"/>
  <c r="BR127" i="7"/>
  <c r="BQ127" i="7"/>
  <c r="BP127" i="7"/>
  <c r="CT126" i="7"/>
  <c r="CS126" i="7"/>
  <c r="CR126" i="7"/>
  <c r="CQ126" i="7"/>
  <c r="CP126" i="7"/>
  <c r="CO126" i="7"/>
  <c r="CN126" i="7"/>
  <c r="CM126" i="7"/>
  <c r="CL126" i="7"/>
  <c r="CK126" i="7"/>
  <c r="CJ126" i="7"/>
  <c r="CI126" i="7"/>
  <c r="CG126" i="7"/>
  <c r="CF126" i="7"/>
  <c r="CD126" i="7"/>
  <c r="CC126" i="7"/>
  <c r="CB126" i="7"/>
  <c r="CA126" i="7"/>
  <c r="BZ126" i="7"/>
  <c r="BY126" i="7"/>
  <c r="BX126" i="7"/>
  <c r="BW126" i="7"/>
  <c r="BV126" i="7"/>
  <c r="BU126" i="7"/>
  <c r="BT126" i="7"/>
  <c r="BS126" i="7"/>
  <c r="BR126" i="7"/>
  <c r="BQ126" i="7"/>
  <c r="BP126" i="7"/>
  <c r="CT124" i="7"/>
  <c r="CS124" i="7"/>
  <c r="CR124" i="7"/>
  <c r="CQ124" i="7"/>
  <c r="CP124" i="7"/>
  <c r="CO124" i="7"/>
  <c r="CN124" i="7"/>
  <c r="CM124" i="7"/>
  <c r="CL124" i="7"/>
  <c r="CK124" i="7"/>
  <c r="CJ124" i="7"/>
  <c r="CI124" i="7"/>
  <c r="CH124" i="7"/>
  <c r="CG124" i="7"/>
  <c r="CF124" i="7"/>
  <c r="CE124" i="7"/>
  <c r="CD124" i="7"/>
  <c r="CC124" i="7"/>
  <c r="CB124" i="7"/>
  <c r="CA124" i="7"/>
  <c r="BZ124" i="7"/>
  <c r="BY124" i="7"/>
  <c r="BX124" i="7"/>
  <c r="BW124" i="7"/>
  <c r="BV124" i="7"/>
  <c r="BU124" i="7"/>
  <c r="BT124" i="7"/>
  <c r="BS124" i="7"/>
  <c r="BR124" i="7"/>
  <c r="BQ124" i="7"/>
  <c r="BP124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V123" i="7"/>
  <c r="BU123" i="7"/>
  <c r="BS123" i="7"/>
  <c r="BQ123" i="7"/>
  <c r="BP123" i="7"/>
  <c r="CT121" i="7"/>
  <c r="CS121" i="7"/>
  <c r="CR121" i="7"/>
  <c r="CQ121" i="7"/>
  <c r="CP121" i="7"/>
  <c r="CO121" i="7"/>
  <c r="CN121" i="7"/>
  <c r="CM121" i="7"/>
  <c r="CL121" i="7"/>
  <c r="CK121" i="7"/>
  <c r="CJ121" i="7"/>
  <c r="CI121" i="7"/>
  <c r="CH121" i="7"/>
  <c r="CG121" i="7"/>
  <c r="CF121" i="7"/>
  <c r="CE121" i="7"/>
  <c r="CD121" i="7"/>
  <c r="CC121" i="7"/>
  <c r="CB121" i="7"/>
  <c r="CA121" i="7"/>
  <c r="BZ121" i="7"/>
  <c r="BY121" i="7"/>
  <c r="BX121" i="7"/>
  <c r="BW121" i="7"/>
  <c r="BV121" i="7"/>
  <c r="BU121" i="7"/>
  <c r="BT121" i="7"/>
  <c r="BS121" i="7"/>
  <c r="BR121" i="7"/>
  <c r="BQ121" i="7"/>
  <c r="BP121" i="7"/>
  <c r="CT120" i="7"/>
  <c r="CS120" i="7"/>
  <c r="CQ120" i="7"/>
  <c r="CP120" i="7"/>
  <c r="CO120" i="7"/>
  <c r="CN120" i="7"/>
  <c r="CM120" i="7"/>
  <c r="CL120" i="7"/>
  <c r="CK120" i="7"/>
  <c r="CJ120" i="7"/>
  <c r="CI120" i="7"/>
  <c r="CH120" i="7"/>
  <c r="CG120" i="7"/>
  <c r="CE120" i="7"/>
  <c r="CD120" i="7"/>
  <c r="CC120" i="7"/>
  <c r="CB120" i="7"/>
  <c r="CA120" i="7"/>
  <c r="BZ120" i="7"/>
  <c r="BY120" i="7"/>
  <c r="BX120" i="7"/>
  <c r="BW120" i="7"/>
  <c r="BV120" i="7"/>
  <c r="BS120" i="7"/>
  <c r="BQ120" i="7"/>
  <c r="BP120" i="7"/>
  <c r="CT118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V118" i="7"/>
  <c r="BU118" i="7"/>
  <c r="BT118" i="7"/>
  <c r="BS118" i="7"/>
  <c r="BR118" i="7"/>
  <c r="BQ118" i="7"/>
  <c r="BP118" i="7"/>
  <c r="CT117" i="7"/>
  <c r="CS117" i="7"/>
  <c r="CR117" i="7"/>
  <c r="CQ117" i="7"/>
  <c r="CP117" i="7"/>
  <c r="CO117" i="7"/>
  <c r="CN117" i="7"/>
  <c r="CM117" i="7"/>
  <c r="CL117" i="7"/>
  <c r="CK117" i="7"/>
  <c r="CJ117" i="7"/>
  <c r="CI117" i="7"/>
  <c r="CH117" i="7"/>
  <c r="CF117" i="7"/>
  <c r="CE117" i="7"/>
  <c r="CD117" i="7"/>
  <c r="CC117" i="7"/>
  <c r="CB117" i="7"/>
  <c r="CA117" i="7"/>
  <c r="BZ117" i="7"/>
  <c r="BY117" i="7"/>
  <c r="BX117" i="7"/>
  <c r="BW117" i="7"/>
  <c r="BV117" i="7"/>
  <c r="BU117" i="7"/>
  <c r="BT117" i="7"/>
  <c r="BS117" i="7"/>
  <c r="BQ117" i="7"/>
  <c r="BP117" i="7"/>
  <c r="CT115" i="7"/>
  <c r="CS115" i="7"/>
  <c r="CQ115" i="7"/>
  <c r="CP115" i="7"/>
  <c r="CO115" i="7"/>
  <c r="CN115" i="7"/>
  <c r="CM115" i="7"/>
  <c r="CL115" i="7"/>
  <c r="CK115" i="7"/>
  <c r="CI115" i="7"/>
  <c r="CG115" i="7"/>
  <c r="CE115" i="7"/>
  <c r="CC115" i="7"/>
  <c r="CB115" i="7"/>
  <c r="CA115" i="7"/>
  <c r="BZ115" i="7"/>
  <c r="BX115" i="7"/>
  <c r="BW115" i="7"/>
  <c r="BV115" i="7"/>
  <c r="BU115" i="7"/>
  <c r="BT115" i="7"/>
  <c r="BS115" i="7"/>
  <c r="BQ115" i="7"/>
  <c r="BP115" i="7"/>
  <c r="CT114" i="7"/>
  <c r="CT116" i="7" s="1"/>
  <c r="CS114" i="7"/>
  <c r="CS116" i="7" s="1"/>
  <c r="CR114" i="7"/>
  <c r="CQ114" i="7"/>
  <c r="CP114" i="7"/>
  <c r="CO114" i="7"/>
  <c r="CN114" i="7"/>
  <c r="CM114" i="7"/>
  <c r="CL114" i="7"/>
  <c r="CK114" i="7"/>
  <c r="CJ114" i="7"/>
  <c r="CI114" i="7"/>
  <c r="CH114" i="7"/>
  <c r="CG114" i="7"/>
  <c r="CF114" i="7"/>
  <c r="CE114" i="7"/>
  <c r="CE116" i="7" s="1"/>
  <c r="CD114" i="7"/>
  <c r="CC114" i="7"/>
  <c r="CB114" i="7"/>
  <c r="CA114" i="7"/>
  <c r="BZ114" i="7"/>
  <c r="BY114" i="7"/>
  <c r="BX114" i="7"/>
  <c r="BW114" i="7"/>
  <c r="BV114" i="7"/>
  <c r="BU114" i="7"/>
  <c r="BT114" i="7"/>
  <c r="BS114" i="7"/>
  <c r="BR114" i="7"/>
  <c r="BQ114" i="7"/>
  <c r="BP114" i="7"/>
  <c r="CT112" i="7"/>
  <c r="CS112" i="7"/>
  <c r="CR112" i="7"/>
  <c r="CQ112" i="7"/>
  <c r="CP112" i="7"/>
  <c r="CO112" i="7"/>
  <c r="CN112" i="7"/>
  <c r="CM112" i="7"/>
  <c r="CL112" i="7"/>
  <c r="CK112" i="7"/>
  <c r="CJ112" i="7"/>
  <c r="CI112" i="7"/>
  <c r="CH112" i="7"/>
  <c r="CG112" i="7"/>
  <c r="CF112" i="7"/>
  <c r="CE112" i="7"/>
  <c r="CD112" i="7"/>
  <c r="CC112" i="7"/>
  <c r="CB112" i="7"/>
  <c r="CA112" i="7"/>
  <c r="BZ112" i="7"/>
  <c r="BY112" i="7"/>
  <c r="BX112" i="7"/>
  <c r="BW112" i="7"/>
  <c r="BV112" i="7"/>
  <c r="BU112" i="7"/>
  <c r="BT112" i="7"/>
  <c r="BS112" i="7"/>
  <c r="BR112" i="7"/>
  <c r="BQ112" i="7"/>
  <c r="BP112" i="7"/>
  <c r="CT111" i="7"/>
  <c r="CS111" i="7"/>
  <c r="CR111" i="7"/>
  <c r="CQ111" i="7"/>
  <c r="CP111" i="7"/>
  <c r="CO111" i="7"/>
  <c r="CN111" i="7"/>
  <c r="CM111" i="7"/>
  <c r="CL111" i="7"/>
  <c r="CK111" i="7"/>
  <c r="CJ111" i="7"/>
  <c r="CI111" i="7"/>
  <c r="CH111" i="7"/>
  <c r="CG111" i="7"/>
  <c r="CF111" i="7"/>
  <c r="CD111" i="7"/>
  <c r="CB111" i="7"/>
  <c r="CA111" i="7"/>
  <c r="BZ111" i="7"/>
  <c r="BY111" i="7"/>
  <c r="BX111" i="7"/>
  <c r="BW111" i="7"/>
  <c r="BV111" i="7"/>
  <c r="BU111" i="7"/>
  <c r="BT111" i="7"/>
  <c r="BS111" i="7"/>
  <c r="BQ111" i="7"/>
  <c r="BQ113" i="7" s="1"/>
  <c r="BP111" i="7"/>
  <c r="CT109" i="7"/>
  <c r="CS109" i="7"/>
  <c r="CR109" i="7"/>
  <c r="CQ109" i="7"/>
  <c r="CP109" i="7"/>
  <c r="CO109" i="7"/>
  <c r="CN109" i="7"/>
  <c r="CM109" i="7"/>
  <c r="CL109" i="7"/>
  <c r="CK109" i="7"/>
  <c r="CJ109" i="7"/>
  <c r="CI109" i="7"/>
  <c r="CH109" i="7"/>
  <c r="CG109" i="7"/>
  <c r="CF109" i="7"/>
  <c r="CE109" i="7"/>
  <c r="CD109" i="7"/>
  <c r="CC109" i="7"/>
  <c r="CB109" i="7"/>
  <c r="CA109" i="7"/>
  <c r="BZ109" i="7"/>
  <c r="BX109" i="7"/>
  <c r="BW109" i="7"/>
  <c r="BV109" i="7"/>
  <c r="BU109" i="7"/>
  <c r="BT109" i="7"/>
  <c r="BS109" i="7"/>
  <c r="BR109" i="7"/>
  <c r="BQ109" i="7"/>
  <c r="BP109" i="7"/>
  <c r="CT108" i="7"/>
  <c r="CS108" i="7"/>
  <c r="CR108" i="7"/>
  <c r="CQ108" i="7"/>
  <c r="CP108" i="7"/>
  <c r="CO108" i="7"/>
  <c r="CM108" i="7"/>
  <c r="CL108" i="7"/>
  <c r="CK108" i="7"/>
  <c r="CJ108" i="7"/>
  <c r="CI108" i="7"/>
  <c r="CH108" i="7"/>
  <c r="CG108" i="7"/>
  <c r="CF108" i="7"/>
  <c r="CE108" i="7"/>
  <c r="CD108" i="7"/>
  <c r="CB108" i="7"/>
  <c r="CB110" i="7" s="1"/>
  <c r="CA108" i="7"/>
  <c r="CA110" i="7" s="1"/>
  <c r="BZ108" i="7"/>
  <c r="BZ110" i="7" s="1"/>
  <c r="BY108" i="7"/>
  <c r="BX108" i="7"/>
  <c r="BW108" i="7"/>
  <c r="BV108" i="7"/>
  <c r="BU108" i="7"/>
  <c r="BT108" i="7"/>
  <c r="BS108" i="7"/>
  <c r="BQ108" i="7"/>
  <c r="BQ110" i="7" s="1"/>
  <c r="BP108" i="7"/>
  <c r="CT106" i="7"/>
  <c r="CS106" i="7"/>
  <c r="CR106" i="7"/>
  <c r="CQ106" i="7"/>
  <c r="CP106" i="7"/>
  <c r="CO106" i="7"/>
  <c r="CN106" i="7"/>
  <c r="CM106" i="7"/>
  <c r="CL106" i="7"/>
  <c r="CK106" i="7"/>
  <c r="CJ106" i="7"/>
  <c r="CI106" i="7"/>
  <c r="CH106" i="7"/>
  <c r="CG106" i="7"/>
  <c r="CF106" i="7"/>
  <c r="CE106" i="7"/>
  <c r="CD106" i="7"/>
  <c r="CC106" i="7"/>
  <c r="CB106" i="7"/>
  <c r="CA106" i="7"/>
  <c r="BZ106" i="7"/>
  <c r="BY106" i="7"/>
  <c r="BX106" i="7"/>
  <c r="BW106" i="7"/>
  <c r="BV106" i="7"/>
  <c r="BU106" i="7"/>
  <c r="BT106" i="7"/>
  <c r="BS106" i="7"/>
  <c r="BR106" i="7"/>
  <c r="BQ106" i="7"/>
  <c r="BP106" i="7"/>
  <c r="CT105" i="7"/>
  <c r="CS105" i="7"/>
  <c r="CR105" i="7"/>
  <c r="CQ105" i="7"/>
  <c r="CP105" i="7"/>
  <c r="CO105" i="7"/>
  <c r="CN105" i="7"/>
  <c r="CM105" i="7"/>
  <c r="CI105" i="7"/>
  <c r="CI107" i="7" s="1"/>
  <c r="CH105" i="7"/>
  <c r="CH107" i="7" s="1"/>
  <c r="CG105" i="7"/>
  <c r="CG107" i="7" s="1"/>
  <c r="CF105" i="7"/>
  <c r="CF107" i="7" s="1"/>
  <c r="CE105" i="7"/>
  <c r="CE107" i="7" s="1"/>
  <c r="CD105" i="7"/>
  <c r="CD107" i="7" s="1"/>
  <c r="CC105" i="7"/>
  <c r="CC107" i="7" s="1"/>
  <c r="CB105" i="7"/>
  <c r="CB107" i="7" s="1"/>
  <c r="BZ105" i="7"/>
  <c r="BY105" i="7"/>
  <c r="BX105" i="7"/>
  <c r="BW105" i="7"/>
  <c r="BV105" i="7"/>
  <c r="BU105" i="7"/>
  <c r="BS105" i="7"/>
  <c r="BQ105" i="7"/>
  <c r="BP105" i="7"/>
  <c r="CT103" i="7"/>
  <c r="CS103" i="7"/>
  <c r="CR103" i="7"/>
  <c r="CQ103" i="7"/>
  <c r="CP103" i="7"/>
  <c r="CO103" i="7"/>
  <c r="CN103" i="7"/>
  <c r="CM103" i="7"/>
  <c r="CL103" i="7"/>
  <c r="CK103" i="7"/>
  <c r="CJ103" i="7"/>
  <c r="CI103" i="7"/>
  <c r="CG103" i="7"/>
  <c r="CF103" i="7"/>
  <c r="CE103" i="7"/>
  <c r="CD103" i="7"/>
  <c r="CC103" i="7"/>
  <c r="CB103" i="7"/>
  <c r="CA103" i="7"/>
  <c r="BZ103" i="7"/>
  <c r="BY103" i="7"/>
  <c r="BX103" i="7"/>
  <c r="BW103" i="7"/>
  <c r="BV103" i="7"/>
  <c r="BU103" i="7"/>
  <c r="BT103" i="7"/>
  <c r="BS103" i="7"/>
  <c r="BR103" i="7"/>
  <c r="BQ103" i="7"/>
  <c r="BP103" i="7"/>
  <c r="CT102" i="7"/>
  <c r="CS102" i="7"/>
  <c r="CR102" i="7"/>
  <c r="CQ102" i="7"/>
  <c r="CP102" i="7"/>
  <c r="CO102" i="7"/>
  <c r="CN102" i="7"/>
  <c r="CK102" i="7"/>
  <c r="CJ102" i="7"/>
  <c r="CJ104" i="7" s="1"/>
  <c r="CI102" i="7"/>
  <c r="CI104" i="7" s="1"/>
  <c r="CH102" i="7"/>
  <c r="CG102" i="7"/>
  <c r="CF102" i="7"/>
  <c r="CE102" i="7"/>
  <c r="CD102" i="7"/>
  <c r="CC102" i="7"/>
  <c r="CB102" i="7"/>
  <c r="CA102" i="7"/>
  <c r="BZ102" i="7"/>
  <c r="BY102" i="7"/>
  <c r="BX102" i="7"/>
  <c r="BW102" i="7"/>
  <c r="BV102" i="7"/>
  <c r="BU102" i="7"/>
  <c r="BT102" i="7"/>
  <c r="BS102" i="7"/>
  <c r="BQ102" i="7"/>
  <c r="BQ104" i="7" s="1"/>
  <c r="BP102" i="7"/>
  <c r="CT100" i="7"/>
  <c r="CS100" i="7"/>
  <c r="CR100" i="7"/>
  <c r="CQ100" i="7"/>
  <c r="CP100" i="7"/>
  <c r="CO100" i="7"/>
  <c r="CN100" i="7"/>
  <c r="CM100" i="7"/>
  <c r="CL100" i="7"/>
  <c r="CK100" i="7"/>
  <c r="CJ100" i="7"/>
  <c r="CI100" i="7"/>
  <c r="CH100" i="7"/>
  <c r="CG100" i="7"/>
  <c r="CF100" i="7"/>
  <c r="CE100" i="7"/>
  <c r="CD100" i="7"/>
  <c r="CC100" i="7"/>
  <c r="CB100" i="7"/>
  <c r="CA100" i="7"/>
  <c r="BZ100" i="7"/>
  <c r="BY100" i="7"/>
  <c r="BX100" i="7"/>
  <c r="BW100" i="7"/>
  <c r="BV100" i="7"/>
  <c r="BU100" i="7"/>
  <c r="BT100" i="7"/>
  <c r="BS100" i="7"/>
  <c r="BR100" i="7"/>
  <c r="BQ100" i="7"/>
  <c r="BP100" i="7"/>
  <c r="CT99" i="7"/>
  <c r="CS99" i="7"/>
  <c r="CR99" i="7"/>
  <c r="CQ99" i="7"/>
  <c r="CP99" i="7"/>
  <c r="CO99" i="7"/>
  <c r="CN99" i="7"/>
  <c r="CM99" i="7"/>
  <c r="CL99" i="7"/>
  <c r="CK99" i="7"/>
  <c r="CI99" i="7"/>
  <c r="CH99" i="7"/>
  <c r="CG99" i="7"/>
  <c r="CF99" i="7"/>
  <c r="CE99" i="7"/>
  <c r="CD99" i="7"/>
  <c r="CC99" i="7"/>
  <c r="CB99" i="7"/>
  <c r="CA99" i="7"/>
  <c r="BZ99" i="7"/>
  <c r="BY99" i="7"/>
  <c r="BX99" i="7"/>
  <c r="BW99" i="7"/>
  <c r="BV99" i="7"/>
  <c r="BU99" i="7"/>
  <c r="BT99" i="7"/>
  <c r="BS99" i="7"/>
  <c r="BQ99" i="7"/>
  <c r="BP99" i="7"/>
  <c r="CT97" i="7"/>
  <c r="CS97" i="7"/>
  <c r="CR97" i="7"/>
  <c r="CQ97" i="7"/>
  <c r="CP97" i="7"/>
  <c r="CO97" i="7"/>
  <c r="CN97" i="7"/>
  <c r="CM97" i="7"/>
  <c r="CL97" i="7"/>
  <c r="CK97" i="7"/>
  <c r="CJ97" i="7"/>
  <c r="CI97" i="7"/>
  <c r="CH97" i="7"/>
  <c r="CG97" i="7"/>
  <c r="CF97" i="7"/>
  <c r="CE97" i="7"/>
  <c r="CD97" i="7"/>
  <c r="CC97" i="7"/>
  <c r="CB97" i="7"/>
  <c r="CA97" i="7"/>
  <c r="BZ97" i="7"/>
  <c r="BY97" i="7"/>
  <c r="BX97" i="7"/>
  <c r="BW97" i="7"/>
  <c r="BV97" i="7"/>
  <c r="BU97" i="7"/>
  <c r="BT97" i="7"/>
  <c r="BS97" i="7"/>
  <c r="BR97" i="7"/>
  <c r="BQ97" i="7"/>
  <c r="BP97" i="7"/>
  <c r="CT96" i="7"/>
  <c r="CS96" i="7"/>
  <c r="CR96" i="7"/>
  <c r="CQ96" i="7"/>
  <c r="CP96" i="7"/>
  <c r="CO96" i="7"/>
  <c r="CN96" i="7"/>
  <c r="CM96" i="7"/>
  <c r="CL96" i="7"/>
  <c r="CK96" i="7"/>
  <c r="CJ96" i="7"/>
  <c r="CI96" i="7"/>
  <c r="CH96" i="7"/>
  <c r="CG96" i="7"/>
  <c r="CF96" i="7"/>
  <c r="CE96" i="7"/>
  <c r="CD96" i="7"/>
  <c r="CC96" i="7"/>
  <c r="CB96" i="7"/>
  <c r="CA96" i="7"/>
  <c r="BZ96" i="7"/>
  <c r="BY96" i="7"/>
  <c r="BX96" i="7"/>
  <c r="BW96" i="7"/>
  <c r="BV96" i="7"/>
  <c r="BU96" i="7"/>
  <c r="BT96" i="7"/>
  <c r="BS96" i="7"/>
  <c r="BR96" i="7"/>
  <c r="BQ96" i="7"/>
  <c r="BP96" i="7"/>
  <c r="CT94" i="7"/>
  <c r="CS94" i="7"/>
  <c r="CR94" i="7"/>
  <c r="CQ94" i="7"/>
  <c r="CP94" i="7"/>
  <c r="CO94" i="7"/>
  <c r="CN94" i="7"/>
  <c r="CM94" i="7"/>
  <c r="CL94" i="7"/>
  <c r="CK94" i="7"/>
  <c r="CJ94" i="7"/>
  <c r="CH94" i="7"/>
  <c r="CG94" i="7"/>
  <c r="CF94" i="7"/>
  <c r="CD94" i="7"/>
  <c r="CC94" i="7"/>
  <c r="CB94" i="7"/>
  <c r="CA94" i="7"/>
  <c r="BZ94" i="7"/>
  <c r="BY94" i="7"/>
  <c r="BX94" i="7"/>
  <c r="BW94" i="7"/>
  <c r="BV94" i="7"/>
  <c r="BU94" i="7"/>
  <c r="BT94" i="7"/>
  <c r="BS94" i="7"/>
  <c r="BR94" i="7"/>
  <c r="BQ94" i="7"/>
  <c r="BP94" i="7"/>
  <c r="CR93" i="7"/>
  <c r="CQ93" i="7"/>
  <c r="CP93" i="7"/>
  <c r="CO93" i="7"/>
  <c r="CN93" i="7"/>
  <c r="CM93" i="7"/>
  <c r="CL93" i="7"/>
  <c r="CK93" i="7"/>
  <c r="CJ93" i="7"/>
  <c r="CI93" i="7"/>
  <c r="CF93" i="7"/>
  <c r="CE93" i="7"/>
  <c r="CD93" i="7"/>
  <c r="CC93" i="7"/>
  <c r="CB93" i="7"/>
  <c r="CA93" i="7"/>
  <c r="BZ93" i="7"/>
  <c r="BY93" i="7"/>
  <c r="BX93" i="7"/>
  <c r="BW93" i="7"/>
  <c r="BV93" i="7"/>
  <c r="BU93" i="7"/>
  <c r="BT93" i="7"/>
  <c r="BS93" i="7"/>
  <c r="BR93" i="7"/>
  <c r="BQ93" i="7"/>
  <c r="BP93" i="7"/>
  <c r="CT91" i="7"/>
  <c r="CS91" i="7"/>
  <c r="CR91" i="7"/>
  <c r="CQ91" i="7"/>
  <c r="CP91" i="7"/>
  <c r="CO91" i="7"/>
  <c r="CN91" i="7"/>
  <c r="CM91" i="7"/>
  <c r="CL91" i="7"/>
  <c r="CK91" i="7"/>
  <c r="CJ91" i="7"/>
  <c r="CI91" i="7"/>
  <c r="CH91" i="7"/>
  <c r="CG91" i="7"/>
  <c r="CF91" i="7"/>
  <c r="CE91" i="7"/>
  <c r="CD91" i="7"/>
  <c r="CC91" i="7"/>
  <c r="CB91" i="7"/>
  <c r="CA91" i="7"/>
  <c r="BZ91" i="7"/>
  <c r="BY91" i="7"/>
  <c r="BX91" i="7"/>
  <c r="BW91" i="7"/>
  <c r="BV91" i="7"/>
  <c r="BU91" i="7"/>
  <c r="BT91" i="7"/>
  <c r="BS91" i="7"/>
  <c r="BR91" i="7"/>
  <c r="BQ91" i="7"/>
  <c r="BP91" i="7"/>
  <c r="CT90" i="7"/>
  <c r="CS90" i="7"/>
  <c r="CQ90" i="7"/>
  <c r="CP90" i="7"/>
  <c r="CO90" i="7"/>
  <c r="CN90" i="7"/>
  <c r="CM90" i="7"/>
  <c r="CL90" i="7"/>
  <c r="CK90" i="7"/>
  <c r="CJ90" i="7"/>
  <c r="CI90" i="7"/>
  <c r="CH90" i="7"/>
  <c r="CG90" i="7"/>
  <c r="CF90" i="7"/>
  <c r="CE90" i="7"/>
  <c r="CD90" i="7"/>
  <c r="CC90" i="7"/>
  <c r="CB90" i="7"/>
  <c r="CA90" i="7"/>
  <c r="BZ90" i="7"/>
  <c r="BY90" i="7"/>
  <c r="BX90" i="7"/>
  <c r="BW90" i="7"/>
  <c r="BV90" i="7"/>
  <c r="BU90" i="7"/>
  <c r="BT90" i="7"/>
  <c r="BS90" i="7"/>
  <c r="BR90" i="7"/>
  <c r="BQ90" i="7"/>
  <c r="BP90" i="7"/>
  <c r="CT88" i="7"/>
  <c r="CS88" i="7"/>
  <c r="CR88" i="7"/>
  <c r="CQ88" i="7"/>
  <c r="CP88" i="7"/>
  <c r="CO88" i="7"/>
  <c r="CN88" i="7"/>
  <c r="CM88" i="7"/>
  <c r="CL88" i="7"/>
  <c r="CK88" i="7"/>
  <c r="CJ88" i="7"/>
  <c r="CI88" i="7"/>
  <c r="CH88" i="7"/>
  <c r="CG88" i="7"/>
  <c r="CF88" i="7"/>
  <c r="CE88" i="7"/>
  <c r="CD88" i="7"/>
  <c r="CC88" i="7"/>
  <c r="CB88" i="7"/>
  <c r="CA88" i="7"/>
  <c r="BZ88" i="7"/>
  <c r="BY88" i="7"/>
  <c r="BX88" i="7"/>
  <c r="BW88" i="7"/>
  <c r="BV88" i="7"/>
  <c r="BU88" i="7"/>
  <c r="BT88" i="7"/>
  <c r="BS88" i="7"/>
  <c r="BR88" i="7"/>
  <c r="BQ88" i="7"/>
  <c r="BP88" i="7"/>
  <c r="CT87" i="7"/>
  <c r="CS87" i="7"/>
  <c r="CR87" i="7"/>
  <c r="CQ87" i="7"/>
  <c r="CP87" i="7"/>
  <c r="CO87" i="7"/>
  <c r="CN87" i="7"/>
  <c r="CM87" i="7"/>
  <c r="CL87" i="7"/>
  <c r="CK87" i="7"/>
  <c r="CJ87" i="7"/>
  <c r="CH87" i="7"/>
  <c r="CG87" i="7"/>
  <c r="CF87" i="7"/>
  <c r="CE87" i="7"/>
  <c r="CD87" i="7"/>
  <c r="CC87" i="7"/>
  <c r="CB87" i="7"/>
  <c r="CA87" i="7"/>
  <c r="BZ87" i="7"/>
  <c r="BY87" i="7"/>
  <c r="BX87" i="7"/>
  <c r="BW87" i="7"/>
  <c r="BV87" i="7"/>
  <c r="BU87" i="7"/>
  <c r="BT87" i="7"/>
  <c r="BS87" i="7"/>
  <c r="BQ87" i="7"/>
  <c r="BP87" i="7"/>
  <c r="CT85" i="7"/>
  <c r="CS85" i="7"/>
  <c r="CR85" i="7"/>
  <c r="CQ85" i="7"/>
  <c r="CP85" i="7"/>
  <c r="CO85" i="7"/>
  <c r="CN85" i="7"/>
  <c r="CM85" i="7"/>
  <c r="CL85" i="7"/>
  <c r="CK85" i="7"/>
  <c r="CJ85" i="7"/>
  <c r="CI85" i="7"/>
  <c r="CH85" i="7"/>
  <c r="CG85" i="7"/>
  <c r="CF85" i="7"/>
  <c r="CE85" i="7"/>
  <c r="CD85" i="7"/>
  <c r="CC85" i="7"/>
  <c r="CB85" i="7"/>
  <c r="CA85" i="7"/>
  <c r="BZ85" i="7"/>
  <c r="BY85" i="7"/>
  <c r="BX85" i="7"/>
  <c r="BW85" i="7"/>
  <c r="BV85" i="7"/>
  <c r="BU85" i="7"/>
  <c r="BT85" i="7"/>
  <c r="BS85" i="7"/>
  <c r="BQ85" i="7"/>
  <c r="BP85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V84" i="7"/>
  <c r="BU84" i="7"/>
  <c r="BT84" i="7"/>
  <c r="BS84" i="7"/>
  <c r="BQ84" i="7"/>
  <c r="BP84" i="7"/>
  <c r="CT82" i="7"/>
  <c r="CS82" i="7"/>
  <c r="CQ82" i="7"/>
  <c r="CP82" i="7"/>
  <c r="CO82" i="7"/>
  <c r="CN82" i="7"/>
  <c r="CM82" i="7"/>
  <c r="CL82" i="7"/>
  <c r="CK82" i="7"/>
  <c r="CJ82" i="7"/>
  <c r="CI82" i="7"/>
  <c r="CH82" i="7"/>
  <c r="CG82" i="7"/>
  <c r="CF82" i="7"/>
  <c r="CE82" i="7"/>
  <c r="CD82" i="7"/>
  <c r="CC82" i="7"/>
  <c r="CB82" i="7"/>
  <c r="CA82" i="7"/>
  <c r="BZ82" i="7"/>
  <c r="BY82" i="7"/>
  <c r="BX82" i="7"/>
  <c r="BW82" i="7"/>
  <c r="BV82" i="7"/>
  <c r="BU82" i="7"/>
  <c r="BT82" i="7"/>
  <c r="BS82" i="7"/>
  <c r="BQ82" i="7"/>
  <c r="BP82" i="7"/>
  <c r="CT81" i="7"/>
  <c r="CS81" i="7"/>
  <c r="CQ81" i="7"/>
  <c r="CP81" i="7"/>
  <c r="CO81" i="7"/>
  <c r="CN81" i="7"/>
  <c r="CM81" i="7"/>
  <c r="CL81" i="7"/>
  <c r="CK81" i="7"/>
  <c r="CJ81" i="7"/>
  <c r="CI81" i="7"/>
  <c r="CH81" i="7"/>
  <c r="CG81" i="7"/>
  <c r="CF81" i="7"/>
  <c r="CE81" i="7"/>
  <c r="CD81" i="7"/>
  <c r="CC81" i="7"/>
  <c r="CB81" i="7"/>
  <c r="CA81" i="7"/>
  <c r="BZ81" i="7"/>
  <c r="BY81" i="7"/>
  <c r="BX81" i="7"/>
  <c r="BW81" i="7"/>
  <c r="BV81" i="7"/>
  <c r="BU81" i="7"/>
  <c r="BT81" i="7"/>
  <c r="BS81" i="7"/>
  <c r="BQ81" i="7"/>
  <c r="BP81" i="7"/>
  <c r="CT79" i="7"/>
  <c r="CS79" i="7"/>
  <c r="CQ79" i="7"/>
  <c r="CP79" i="7"/>
  <c r="CO79" i="7"/>
  <c r="CN79" i="7"/>
  <c r="CM79" i="7"/>
  <c r="CL79" i="7"/>
  <c r="CK79" i="7"/>
  <c r="CJ79" i="7"/>
  <c r="CI79" i="7"/>
  <c r="CH79" i="7"/>
  <c r="CG79" i="7"/>
  <c r="CF79" i="7"/>
  <c r="CE79" i="7"/>
  <c r="CD79" i="7"/>
  <c r="CC79" i="7"/>
  <c r="CB79" i="7"/>
  <c r="CA79" i="7"/>
  <c r="BZ79" i="7"/>
  <c r="BY79" i="7"/>
  <c r="BX79" i="7"/>
  <c r="BW79" i="7"/>
  <c r="BV79" i="7"/>
  <c r="BU79" i="7"/>
  <c r="BT79" i="7"/>
  <c r="BS79" i="7"/>
  <c r="BR79" i="7"/>
  <c r="BQ79" i="7"/>
  <c r="BP79" i="7"/>
  <c r="CT78" i="7"/>
  <c r="CS78" i="7"/>
  <c r="CR78" i="7"/>
  <c r="CQ78" i="7"/>
  <c r="CP78" i="7"/>
  <c r="CO78" i="7"/>
  <c r="CN78" i="7"/>
  <c r="CM78" i="7"/>
  <c r="CL78" i="7"/>
  <c r="CK78" i="7"/>
  <c r="CJ78" i="7"/>
  <c r="CI78" i="7"/>
  <c r="CH78" i="7"/>
  <c r="CG78" i="7"/>
  <c r="CF78" i="7"/>
  <c r="CE78" i="7"/>
  <c r="CD78" i="7"/>
  <c r="CC78" i="7"/>
  <c r="CB78" i="7"/>
  <c r="CA78" i="7"/>
  <c r="BZ78" i="7"/>
  <c r="BY78" i="7"/>
  <c r="BV78" i="7"/>
  <c r="BU78" i="7"/>
  <c r="BT78" i="7"/>
  <c r="BS78" i="7"/>
  <c r="BQ78" i="7"/>
  <c r="BQ80" i="7" s="1"/>
  <c r="BP78" i="7"/>
  <c r="CT76" i="7"/>
  <c r="CS76" i="7"/>
  <c r="CR76" i="7"/>
  <c r="CQ76" i="7"/>
  <c r="CP76" i="7"/>
  <c r="CO76" i="7"/>
  <c r="CN76" i="7"/>
  <c r="CM76" i="7"/>
  <c r="CL76" i="7"/>
  <c r="CK76" i="7"/>
  <c r="CJ76" i="7"/>
  <c r="CI76" i="7"/>
  <c r="CH76" i="7"/>
  <c r="CG76" i="7"/>
  <c r="CF76" i="7"/>
  <c r="CE76" i="7"/>
  <c r="CD76" i="7"/>
  <c r="CC76" i="7"/>
  <c r="CB76" i="7"/>
  <c r="CA76" i="7"/>
  <c r="BZ76" i="7"/>
  <c r="BY76" i="7"/>
  <c r="BX76" i="7"/>
  <c r="BW76" i="7"/>
  <c r="BV76" i="7"/>
  <c r="BU76" i="7"/>
  <c r="BT76" i="7"/>
  <c r="BS76" i="7"/>
  <c r="BR76" i="7"/>
  <c r="BQ76" i="7"/>
  <c r="BP76" i="7"/>
  <c r="CT75" i="7"/>
  <c r="CS75" i="7"/>
  <c r="CR75" i="7"/>
  <c r="CQ75" i="7"/>
  <c r="CP75" i="7"/>
  <c r="CO75" i="7"/>
  <c r="CN75" i="7"/>
  <c r="CM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W75" i="7"/>
  <c r="BV75" i="7"/>
  <c r="BU75" i="7"/>
  <c r="BT75" i="7"/>
  <c r="BS75" i="7"/>
  <c r="BQ75" i="7"/>
  <c r="BQ77" i="7" s="1"/>
  <c r="BP75" i="7"/>
  <c r="CT73" i="7"/>
  <c r="CS73" i="7"/>
  <c r="CR73" i="7"/>
  <c r="CQ73" i="7"/>
  <c r="CP73" i="7"/>
  <c r="CO73" i="7"/>
  <c r="CN73" i="7"/>
  <c r="CM73" i="7"/>
  <c r="CL73" i="7"/>
  <c r="CK73" i="7"/>
  <c r="CJ73" i="7"/>
  <c r="CI73" i="7"/>
  <c r="CH73" i="7"/>
  <c r="CG73" i="7"/>
  <c r="CF73" i="7"/>
  <c r="CE73" i="7"/>
  <c r="CD73" i="7"/>
  <c r="CC73" i="7"/>
  <c r="CB73" i="7"/>
  <c r="CA73" i="7"/>
  <c r="BZ73" i="7"/>
  <c r="BY73" i="7"/>
  <c r="BX73" i="7"/>
  <c r="BW73" i="7"/>
  <c r="BV73" i="7"/>
  <c r="BU73" i="7"/>
  <c r="BT73" i="7"/>
  <c r="BS73" i="7"/>
  <c r="BR73" i="7"/>
  <c r="BQ73" i="7"/>
  <c r="BP73" i="7"/>
  <c r="CT72" i="7"/>
  <c r="CS72" i="7"/>
  <c r="CR72" i="7"/>
  <c r="CQ72" i="7"/>
  <c r="CP72" i="7"/>
  <c r="CO72" i="7"/>
  <c r="CN72" i="7"/>
  <c r="CM72" i="7"/>
  <c r="CL72" i="7"/>
  <c r="CK72" i="7"/>
  <c r="CJ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V72" i="7"/>
  <c r="BU72" i="7"/>
  <c r="BT72" i="7"/>
  <c r="BS72" i="7"/>
  <c r="BQ72" i="7"/>
  <c r="BP72" i="7"/>
  <c r="CT70" i="7"/>
  <c r="CS70" i="7"/>
  <c r="CR70" i="7"/>
  <c r="CQ70" i="7"/>
  <c r="CP70" i="7"/>
  <c r="CO70" i="7"/>
  <c r="CN70" i="7"/>
  <c r="CM70" i="7"/>
  <c r="CL70" i="7"/>
  <c r="CK70" i="7"/>
  <c r="CJ70" i="7"/>
  <c r="CI70" i="7"/>
  <c r="CH70" i="7"/>
  <c r="CG70" i="7"/>
  <c r="CF70" i="7"/>
  <c r="CE70" i="7"/>
  <c r="CD70" i="7"/>
  <c r="CC70" i="7"/>
  <c r="CB70" i="7"/>
  <c r="CA70" i="7"/>
  <c r="BZ70" i="7"/>
  <c r="BY70" i="7"/>
  <c r="BX70" i="7"/>
  <c r="BW70" i="7"/>
  <c r="BV70" i="7"/>
  <c r="BU70" i="7"/>
  <c r="BT70" i="7"/>
  <c r="BS70" i="7"/>
  <c r="BR70" i="7"/>
  <c r="BQ70" i="7"/>
  <c r="BP70" i="7"/>
  <c r="CT69" i="7"/>
  <c r="CS69" i="7"/>
  <c r="CR69" i="7"/>
  <c r="CQ69" i="7"/>
  <c r="CP69" i="7"/>
  <c r="CO69" i="7"/>
  <c r="CN69" i="7"/>
  <c r="CM69" i="7"/>
  <c r="CL69" i="7"/>
  <c r="CK69" i="7"/>
  <c r="CJ69" i="7"/>
  <c r="CI69" i="7"/>
  <c r="CH69" i="7"/>
  <c r="CG69" i="7"/>
  <c r="CF69" i="7"/>
  <c r="CE69" i="7"/>
  <c r="CD69" i="7"/>
  <c r="CC69" i="7"/>
  <c r="CB69" i="7"/>
  <c r="CA69" i="7"/>
  <c r="BZ69" i="7"/>
  <c r="BY69" i="7"/>
  <c r="BX69" i="7"/>
  <c r="BW69" i="7"/>
  <c r="BV69" i="7"/>
  <c r="BU69" i="7"/>
  <c r="BT69" i="7"/>
  <c r="BS69" i="7"/>
  <c r="BQ69" i="7"/>
  <c r="BP69" i="7"/>
  <c r="CT67" i="7"/>
  <c r="CS67" i="7"/>
  <c r="CR67" i="7"/>
  <c r="CQ67" i="7"/>
  <c r="CP67" i="7"/>
  <c r="CO67" i="7"/>
  <c r="CN67" i="7"/>
  <c r="CM67" i="7"/>
  <c r="CL67" i="7"/>
  <c r="CK67" i="7"/>
  <c r="CJ67" i="7"/>
  <c r="CI67" i="7"/>
  <c r="CH67" i="7"/>
  <c r="CG67" i="7"/>
  <c r="CF67" i="7"/>
  <c r="CE67" i="7"/>
  <c r="CD67" i="7"/>
  <c r="CC67" i="7"/>
  <c r="CB67" i="7"/>
  <c r="CA67" i="7"/>
  <c r="BZ67" i="7"/>
  <c r="BY67" i="7"/>
  <c r="BX67" i="7"/>
  <c r="BW67" i="7"/>
  <c r="BV67" i="7"/>
  <c r="BU67" i="7"/>
  <c r="BT67" i="7"/>
  <c r="BS67" i="7"/>
  <c r="BR67" i="7"/>
  <c r="BQ67" i="7"/>
  <c r="BP67" i="7"/>
  <c r="CT66" i="7"/>
  <c r="CS66" i="7"/>
  <c r="CR66" i="7"/>
  <c r="CQ66" i="7"/>
  <c r="CP66" i="7"/>
  <c r="CO66" i="7"/>
  <c r="CN66" i="7"/>
  <c r="CM66" i="7"/>
  <c r="CL66" i="7"/>
  <c r="CJ66" i="7"/>
  <c r="CJ15" i="7" s="1"/>
  <c r="CI66" i="7"/>
  <c r="CH66" i="7"/>
  <c r="CG66" i="7"/>
  <c r="CF66" i="7"/>
  <c r="CE66" i="7"/>
  <c r="CD66" i="7"/>
  <c r="CB66" i="7"/>
  <c r="CA66" i="7"/>
  <c r="BZ66" i="7"/>
  <c r="BY66" i="7"/>
  <c r="BX66" i="7"/>
  <c r="BW66" i="7"/>
  <c r="BV66" i="7"/>
  <c r="BU66" i="7"/>
  <c r="BT66" i="7"/>
  <c r="BS66" i="7"/>
  <c r="BQ66" i="7"/>
  <c r="BP66" i="7"/>
  <c r="CT64" i="7"/>
  <c r="CS64" i="7"/>
  <c r="CR64" i="7"/>
  <c r="CQ64" i="7"/>
  <c r="CP64" i="7"/>
  <c r="CO64" i="7"/>
  <c r="CN64" i="7"/>
  <c r="CM64" i="7"/>
  <c r="CL64" i="7"/>
  <c r="CK64" i="7"/>
  <c r="CJ64" i="7"/>
  <c r="CI64" i="7"/>
  <c r="CH64" i="7"/>
  <c r="CG64" i="7"/>
  <c r="CF64" i="7"/>
  <c r="CE64" i="7"/>
  <c r="CD64" i="7"/>
  <c r="CC64" i="7"/>
  <c r="CB64" i="7"/>
  <c r="CA64" i="7"/>
  <c r="BZ64" i="7"/>
  <c r="BY64" i="7"/>
  <c r="BX64" i="7"/>
  <c r="BW64" i="7"/>
  <c r="BV64" i="7"/>
  <c r="BU64" i="7"/>
  <c r="BT64" i="7"/>
  <c r="BS64" i="7"/>
  <c r="BR64" i="7"/>
  <c r="BQ64" i="7"/>
  <c r="BP64" i="7"/>
  <c r="CT63" i="7"/>
  <c r="CS63" i="7"/>
  <c r="CR63" i="7"/>
  <c r="CQ63" i="7"/>
  <c r="CP63" i="7"/>
  <c r="CO63" i="7"/>
  <c r="CN63" i="7"/>
  <c r="CM63" i="7"/>
  <c r="CL63" i="7"/>
  <c r="CK63" i="7"/>
  <c r="CJ63" i="7"/>
  <c r="CH63" i="7"/>
  <c r="CE63" i="7"/>
  <c r="CE65" i="7" s="1"/>
  <c r="CD63" i="7"/>
  <c r="CD65" i="7" s="1"/>
  <c r="CC63" i="7"/>
  <c r="CC65" i="7" s="1"/>
  <c r="CB63" i="7"/>
  <c r="BZ63" i="7"/>
  <c r="BX63" i="7"/>
  <c r="BW63" i="7"/>
  <c r="BV63" i="7"/>
  <c r="BT63" i="7"/>
  <c r="BS63" i="7"/>
  <c r="BR63" i="7"/>
  <c r="BQ63" i="7"/>
  <c r="BP63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V61" i="7"/>
  <c r="BU61" i="7"/>
  <c r="BT61" i="7"/>
  <c r="BS61" i="7"/>
  <c r="BR61" i="7"/>
  <c r="BQ61" i="7"/>
  <c r="BP61" i="7"/>
  <c r="CT60" i="7"/>
  <c r="CS60" i="7"/>
  <c r="CR60" i="7"/>
  <c r="CQ60" i="7"/>
  <c r="CP60" i="7"/>
  <c r="CO60" i="7"/>
  <c r="CN60" i="7"/>
  <c r="CM60" i="7"/>
  <c r="CL60" i="7"/>
  <c r="CK60" i="7"/>
  <c r="CJ60" i="7"/>
  <c r="CI60" i="7"/>
  <c r="CH60" i="7"/>
  <c r="CG60" i="7"/>
  <c r="CF60" i="7"/>
  <c r="CE60" i="7"/>
  <c r="CD60" i="7"/>
  <c r="CC60" i="7"/>
  <c r="CB60" i="7"/>
  <c r="CA60" i="7"/>
  <c r="BZ60" i="7"/>
  <c r="BY60" i="7"/>
  <c r="BX60" i="7"/>
  <c r="BW60" i="7"/>
  <c r="BV60" i="7"/>
  <c r="BU60" i="7"/>
  <c r="BS60" i="7"/>
  <c r="BQ60" i="7"/>
  <c r="BP60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V58" i="7"/>
  <c r="BU58" i="7"/>
  <c r="BT58" i="7"/>
  <c r="BS58" i="7"/>
  <c r="BR58" i="7"/>
  <c r="BQ58" i="7"/>
  <c r="BP58" i="7"/>
  <c r="CT57" i="7"/>
  <c r="CS57" i="7"/>
  <c r="CR57" i="7"/>
  <c r="CQ57" i="7"/>
  <c r="CP57" i="7"/>
  <c r="CO57" i="7"/>
  <c r="CN57" i="7"/>
  <c r="CM57" i="7"/>
  <c r="CL57" i="7"/>
  <c r="CK57" i="7"/>
  <c r="CJ57" i="7"/>
  <c r="CI57" i="7"/>
  <c r="CH57" i="7"/>
  <c r="CG57" i="7"/>
  <c r="CF57" i="7"/>
  <c r="CE57" i="7"/>
  <c r="CD57" i="7"/>
  <c r="CC57" i="7"/>
  <c r="CB57" i="7"/>
  <c r="CA57" i="7"/>
  <c r="BZ57" i="7"/>
  <c r="BY57" i="7"/>
  <c r="BX57" i="7"/>
  <c r="BW57" i="7"/>
  <c r="BV57" i="7"/>
  <c r="BU57" i="7"/>
  <c r="BT57" i="7"/>
  <c r="BS57" i="7"/>
  <c r="BR57" i="7"/>
  <c r="BQ57" i="7"/>
  <c r="BP57" i="7"/>
  <c r="CT55" i="7"/>
  <c r="CS55" i="7"/>
  <c r="CR55" i="7"/>
  <c r="CQ55" i="7"/>
  <c r="CP55" i="7"/>
  <c r="CO55" i="7"/>
  <c r="CN55" i="7"/>
  <c r="CM55" i="7"/>
  <c r="CL55" i="7"/>
  <c r="CK55" i="7"/>
  <c r="CJ55" i="7"/>
  <c r="CI55" i="7"/>
  <c r="CH55" i="7"/>
  <c r="CG55" i="7"/>
  <c r="CF55" i="7"/>
  <c r="CE55" i="7"/>
  <c r="CD55" i="7"/>
  <c r="CC55" i="7"/>
  <c r="CB55" i="7"/>
  <c r="CA55" i="7"/>
  <c r="BZ55" i="7"/>
  <c r="BY55" i="7"/>
  <c r="BX55" i="7"/>
  <c r="BW55" i="7"/>
  <c r="BV55" i="7"/>
  <c r="BU55" i="7"/>
  <c r="BT55" i="7"/>
  <c r="BS55" i="7"/>
  <c r="BR55" i="7"/>
  <c r="BQ55" i="7"/>
  <c r="BP55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X54" i="7"/>
  <c r="BW54" i="7"/>
  <c r="BV54" i="7"/>
  <c r="BU54" i="7"/>
  <c r="BT54" i="7"/>
  <c r="BS54" i="7"/>
  <c r="BQ54" i="7"/>
  <c r="BP54" i="7"/>
  <c r="CT52" i="7"/>
  <c r="CS52" i="7"/>
  <c r="CR52" i="7"/>
  <c r="CQ52" i="7"/>
  <c r="CP52" i="7"/>
  <c r="CO52" i="7"/>
  <c r="CN52" i="7"/>
  <c r="CM52" i="7"/>
  <c r="CL52" i="7"/>
  <c r="CK52" i="7"/>
  <c r="CJ52" i="7"/>
  <c r="CI52" i="7"/>
  <c r="CH52" i="7"/>
  <c r="CG52" i="7"/>
  <c r="CF52" i="7"/>
  <c r="CE52" i="7"/>
  <c r="CD52" i="7"/>
  <c r="CC52" i="7"/>
  <c r="CB52" i="7"/>
  <c r="CA52" i="7"/>
  <c r="BZ52" i="7"/>
  <c r="BY52" i="7"/>
  <c r="BX52" i="7"/>
  <c r="BW52" i="7"/>
  <c r="BV52" i="7"/>
  <c r="BU52" i="7"/>
  <c r="BT52" i="7"/>
  <c r="BS52" i="7"/>
  <c r="BR52" i="7"/>
  <c r="BQ52" i="7"/>
  <c r="BP52" i="7"/>
  <c r="CT51" i="7"/>
  <c r="CS51" i="7"/>
  <c r="CR51" i="7"/>
  <c r="CQ51" i="7"/>
  <c r="CP51" i="7"/>
  <c r="CO51" i="7"/>
  <c r="CN51" i="7"/>
  <c r="CM51" i="7"/>
  <c r="CL51" i="7"/>
  <c r="CK51" i="7"/>
  <c r="CJ51" i="7"/>
  <c r="CI51" i="7"/>
  <c r="CH51" i="7"/>
  <c r="CF51" i="7"/>
  <c r="CD51" i="7"/>
  <c r="CC51" i="7"/>
  <c r="CB51" i="7"/>
  <c r="CA51" i="7"/>
  <c r="BZ51" i="7"/>
  <c r="BY51" i="7"/>
  <c r="BX51" i="7"/>
  <c r="BW51" i="7"/>
  <c r="BV51" i="7"/>
  <c r="BU51" i="7"/>
  <c r="BT51" i="7"/>
  <c r="BS51" i="7"/>
  <c r="BQ51" i="7"/>
  <c r="BQ53" i="7" s="1"/>
  <c r="BP51" i="7"/>
  <c r="CT49" i="7"/>
  <c r="CS49" i="7"/>
  <c r="CR49" i="7"/>
  <c r="CQ49" i="7"/>
  <c r="CP49" i="7"/>
  <c r="CO49" i="7"/>
  <c r="CN49" i="7"/>
  <c r="CM49" i="7"/>
  <c r="CL49" i="7"/>
  <c r="CK49" i="7"/>
  <c r="CJ49" i="7"/>
  <c r="CI49" i="7"/>
  <c r="CH49" i="7"/>
  <c r="CG49" i="7"/>
  <c r="CF49" i="7"/>
  <c r="CE49" i="7"/>
  <c r="CD49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BP49" i="7"/>
  <c r="CT48" i="7"/>
  <c r="CS48" i="7"/>
  <c r="CR48" i="7"/>
  <c r="CQ48" i="7"/>
  <c r="CP48" i="7"/>
  <c r="CO48" i="7"/>
  <c r="CN48" i="7"/>
  <c r="CM48" i="7"/>
  <c r="CL48" i="7"/>
  <c r="CK48" i="7"/>
  <c r="CJ48" i="7"/>
  <c r="CH48" i="7"/>
  <c r="CG48" i="7"/>
  <c r="CF48" i="7"/>
  <c r="CE48" i="7"/>
  <c r="CD48" i="7"/>
  <c r="CC48" i="7"/>
  <c r="CB48" i="7"/>
  <c r="CA48" i="7"/>
  <c r="BZ48" i="7"/>
  <c r="BY48" i="7"/>
  <c r="BX48" i="7"/>
  <c r="BW48" i="7"/>
  <c r="BV48" i="7"/>
  <c r="BU48" i="7"/>
  <c r="BT48" i="7"/>
  <c r="BS48" i="7"/>
  <c r="BR48" i="7"/>
  <c r="BQ48" i="7"/>
  <c r="BP48" i="7"/>
  <c r="CT46" i="7"/>
  <c r="CS46" i="7"/>
  <c r="CR46" i="7"/>
  <c r="CQ46" i="7"/>
  <c r="CP46" i="7"/>
  <c r="CO46" i="7"/>
  <c r="CN46" i="7"/>
  <c r="CM46" i="7"/>
  <c r="CL46" i="7"/>
  <c r="CK46" i="7"/>
  <c r="CJ46" i="7"/>
  <c r="CI46" i="7"/>
  <c r="CH46" i="7"/>
  <c r="CG46" i="7"/>
  <c r="CF46" i="7"/>
  <c r="CE46" i="7"/>
  <c r="CD46" i="7"/>
  <c r="CC46" i="7"/>
  <c r="CB46" i="7"/>
  <c r="CA46" i="7"/>
  <c r="BZ46" i="7"/>
  <c r="BY46" i="7"/>
  <c r="BX46" i="7"/>
  <c r="BW46" i="7"/>
  <c r="BV46" i="7"/>
  <c r="BU46" i="7"/>
  <c r="BT46" i="7"/>
  <c r="BS46" i="7"/>
  <c r="BR46" i="7"/>
  <c r="BQ46" i="7"/>
  <c r="BP46" i="7"/>
  <c r="CT45" i="7"/>
  <c r="CS45" i="7"/>
  <c r="CR45" i="7"/>
  <c r="CQ45" i="7"/>
  <c r="CP45" i="7"/>
  <c r="CO45" i="7"/>
  <c r="CN45" i="7"/>
  <c r="CM45" i="7"/>
  <c r="CL45" i="7"/>
  <c r="CK45" i="7"/>
  <c r="CJ45" i="7"/>
  <c r="CI45" i="7"/>
  <c r="CH45" i="7"/>
  <c r="CG45" i="7"/>
  <c r="CF45" i="7"/>
  <c r="CE45" i="7"/>
  <c r="CD45" i="7"/>
  <c r="CC45" i="7"/>
  <c r="CB45" i="7"/>
  <c r="CA45" i="7"/>
  <c r="BZ45" i="7"/>
  <c r="BY45" i="7"/>
  <c r="BW45" i="7"/>
  <c r="BV45" i="7"/>
  <c r="BU45" i="7"/>
  <c r="BT45" i="7"/>
  <c r="BS45" i="7"/>
  <c r="BR45" i="7"/>
  <c r="BQ45" i="7"/>
  <c r="BP45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V43" i="7"/>
  <c r="BU43" i="7"/>
  <c r="BT43" i="7"/>
  <c r="BS43" i="7"/>
  <c r="BR43" i="7"/>
  <c r="BQ43" i="7"/>
  <c r="BP43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W42" i="7"/>
  <c r="BV42" i="7"/>
  <c r="BU42" i="7"/>
  <c r="BS42" i="7"/>
  <c r="BQ42" i="7"/>
  <c r="BP42" i="7"/>
  <c r="BO169" i="7"/>
  <c r="BN169" i="7"/>
  <c r="BM169" i="7"/>
  <c r="BL169" i="7"/>
  <c r="BK169" i="7"/>
  <c r="BJ169" i="7"/>
  <c r="BI169" i="7"/>
  <c r="BH169" i="7"/>
  <c r="BG169" i="7"/>
  <c r="BF169" i="7"/>
  <c r="BE169" i="7"/>
  <c r="BD169" i="7"/>
  <c r="BC169" i="7"/>
  <c r="BB169" i="7"/>
  <c r="BA169" i="7"/>
  <c r="AZ169" i="7"/>
  <c r="AY169" i="7"/>
  <c r="AX169" i="7"/>
  <c r="AW169" i="7"/>
  <c r="AV169" i="7"/>
  <c r="AU169" i="7"/>
  <c r="AT169" i="7"/>
  <c r="AS169" i="7"/>
  <c r="AR169" i="7"/>
  <c r="AQ169" i="7"/>
  <c r="AP169" i="7"/>
  <c r="AO169" i="7"/>
  <c r="AN169" i="7"/>
  <c r="AM169" i="7"/>
  <c r="AL169" i="7"/>
  <c r="AK169" i="7"/>
  <c r="BO168" i="7"/>
  <c r="BN168" i="7"/>
  <c r="BM168" i="7"/>
  <c r="BL168" i="7"/>
  <c r="BK168" i="7"/>
  <c r="BJ168" i="7"/>
  <c r="BI168" i="7"/>
  <c r="BH168" i="7"/>
  <c r="BG168" i="7"/>
  <c r="BF168" i="7"/>
  <c r="BE168" i="7"/>
  <c r="BD168" i="7"/>
  <c r="BC168" i="7"/>
  <c r="BB168" i="7"/>
  <c r="BA168" i="7"/>
  <c r="AZ168" i="7"/>
  <c r="AY168" i="7"/>
  <c r="AX168" i="7"/>
  <c r="AW168" i="7"/>
  <c r="AV168" i="7"/>
  <c r="AU168" i="7"/>
  <c r="AT168" i="7"/>
  <c r="AS168" i="7"/>
  <c r="AR168" i="7"/>
  <c r="AQ168" i="7"/>
  <c r="AP168" i="7"/>
  <c r="AO168" i="7"/>
  <c r="AN168" i="7"/>
  <c r="AM168" i="7"/>
  <c r="AL168" i="7"/>
  <c r="AK168" i="7"/>
  <c r="BO166" i="7"/>
  <c r="BN166" i="7"/>
  <c r="BM166" i="7"/>
  <c r="BL166" i="7"/>
  <c r="BK166" i="7"/>
  <c r="BJ166" i="7"/>
  <c r="BI166" i="7"/>
  <c r="BH166" i="7"/>
  <c r="BG166" i="7"/>
  <c r="BF166" i="7"/>
  <c r="BE166" i="7"/>
  <c r="BD166" i="7"/>
  <c r="BC166" i="7"/>
  <c r="BB166" i="7"/>
  <c r="BA166" i="7"/>
  <c r="AZ166" i="7"/>
  <c r="AY166" i="7"/>
  <c r="AX166" i="7"/>
  <c r="AW166" i="7"/>
  <c r="AV166" i="7"/>
  <c r="AU166" i="7"/>
  <c r="AT166" i="7"/>
  <c r="AS166" i="7"/>
  <c r="AR166" i="7"/>
  <c r="AQ166" i="7"/>
  <c r="AP166" i="7"/>
  <c r="AO166" i="7"/>
  <c r="AN166" i="7"/>
  <c r="AM166" i="7"/>
  <c r="AL166" i="7"/>
  <c r="AK166" i="7"/>
  <c r="BO165" i="7"/>
  <c r="BN165" i="7"/>
  <c r="BM165" i="7"/>
  <c r="BL165" i="7"/>
  <c r="BK165" i="7"/>
  <c r="BJ165" i="7"/>
  <c r="BI165" i="7"/>
  <c r="BH165" i="7"/>
  <c r="BG165" i="7"/>
  <c r="BF165" i="7"/>
  <c r="BE165" i="7"/>
  <c r="BD165" i="7"/>
  <c r="BC165" i="7"/>
  <c r="BB165" i="7"/>
  <c r="BA165" i="7"/>
  <c r="AZ165" i="7"/>
  <c r="AY165" i="7"/>
  <c r="AX165" i="7"/>
  <c r="AW165" i="7"/>
  <c r="AV165" i="7"/>
  <c r="AU165" i="7"/>
  <c r="AT165" i="7"/>
  <c r="AS165" i="7"/>
  <c r="AR165" i="7"/>
  <c r="AQ165" i="7"/>
  <c r="AP165" i="7"/>
  <c r="AO165" i="7"/>
  <c r="AN165" i="7"/>
  <c r="AM165" i="7"/>
  <c r="AL165" i="7"/>
  <c r="AK165" i="7"/>
  <c r="BO163" i="7"/>
  <c r="BN163" i="7"/>
  <c r="BM163" i="7"/>
  <c r="BL163" i="7"/>
  <c r="BK163" i="7"/>
  <c r="BJ163" i="7"/>
  <c r="BI163" i="7"/>
  <c r="BH163" i="7"/>
  <c r="BG163" i="7"/>
  <c r="BF163" i="7"/>
  <c r="BE163" i="7"/>
  <c r="BD163" i="7"/>
  <c r="BC163" i="7"/>
  <c r="BB163" i="7"/>
  <c r="BA163" i="7"/>
  <c r="AZ163" i="7"/>
  <c r="AY163" i="7"/>
  <c r="AX163" i="7"/>
  <c r="AW163" i="7"/>
  <c r="AV163" i="7"/>
  <c r="AU163" i="7"/>
  <c r="AT163" i="7"/>
  <c r="AS163" i="7"/>
  <c r="AR163" i="7"/>
  <c r="AQ163" i="7"/>
  <c r="AP163" i="7"/>
  <c r="AO163" i="7"/>
  <c r="AN163" i="7"/>
  <c r="AM163" i="7"/>
  <c r="AL163" i="7"/>
  <c r="AK163" i="7"/>
  <c r="BO162" i="7"/>
  <c r="BN162" i="7"/>
  <c r="BM162" i="7"/>
  <c r="BL162" i="7"/>
  <c r="BK162" i="7"/>
  <c r="BJ162" i="7"/>
  <c r="BI162" i="7"/>
  <c r="BH162" i="7"/>
  <c r="BG162" i="7"/>
  <c r="BF162" i="7"/>
  <c r="BE162" i="7"/>
  <c r="BD162" i="7"/>
  <c r="BC162" i="7"/>
  <c r="BB162" i="7"/>
  <c r="BA162" i="7"/>
  <c r="AZ162" i="7"/>
  <c r="AY162" i="7"/>
  <c r="AX162" i="7"/>
  <c r="AW162" i="7"/>
  <c r="AV162" i="7"/>
  <c r="AU162" i="7"/>
  <c r="AT162" i="7"/>
  <c r="AS162" i="7"/>
  <c r="AR162" i="7"/>
  <c r="AQ162" i="7"/>
  <c r="AP162" i="7"/>
  <c r="AO162" i="7"/>
  <c r="AN162" i="7"/>
  <c r="AM162" i="7"/>
  <c r="AL162" i="7"/>
  <c r="AK162" i="7"/>
  <c r="BO160" i="7"/>
  <c r="BN160" i="7"/>
  <c r="BM160" i="7"/>
  <c r="BL160" i="7"/>
  <c r="BK160" i="7"/>
  <c r="BJ160" i="7"/>
  <c r="BI160" i="7"/>
  <c r="BH160" i="7"/>
  <c r="BG160" i="7"/>
  <c r="BF160" i="7"/>
  <c r="BE160" i="7"/>
  <c r="BD160" i="7"/>
  <c r="BC160" i="7"/>
  <c r="BB160" i="7"/>
  <c r="BA160" i="7"/>
  <c r="AZ160" i="7"/>
  <c r="AY160" i="7"/>
  <c r="AX160" i="7"/>
  <c r="AW160" i="7"/>
  <c r="AV160" i="7"/>
  <c r="AU160" i="7"/>
  <c r="AT160" i="7"/>
  <c r="AS160" i="7"/>
  <c r="AR160" i="7"/>
  <c r="AQ160" i="7"/>
  <c r="AP160" i="7"/>
  <c r="AO160" i="7"/>
  <c r="AN160" i="7"/>
  <c r="AM160" i="7"/>
  <c r="AL160" i="7"/>
  <c r="AK160" i="7"/>
  <c r="BO159" i="7"/>
  <c r="BN159" i="7"/>
  <c r="BM159" i="7"/>
  <c r="BL159" i="7"/>
  <c r="BK159" i="7"/>
  <c r="BJ159" i="7"/>
  <c r="BI159" i="7"/>
  <c r="BH159" i="7"/>
  <c r="BG159" i="7"/>
  <c r="BF159" i="7"/>
  <c r="BE159" i="7"/>
  <c r="BD159" i="7"/>
  <c r="BC159" i="7"/>
  <c r="BB159" i="7"/>
  <c r="BA159" i="7"/>
  <c r="AZ159" i="7"/>
  <c r="AY159" i="7"/>
  <c r="AX159" i="7"/>
  <c r="AW159" i="7"/>
  <c r="AV159" i="7"/>
  <c r="AU159" i="7"/>
  <c r="AT159" i="7"/>
  <c r="AS159" i="7"/>
  <c r="AR159" i="7"/>
  <c r="AQ159" i="7"/>
  <c r="AP159" i="7"/>
  <c r="AO159" i="7"/>
  <c r="AN159" i="7"/>
  <c r="AM159" i="7"/>
  <c r="AL159" i="7"/>
  <c r="AK159" i="7"/>
  <c r="BO157" i="7"/>
  <c r="BN157" i="7"/>
  <c r="BM157" i="7"/>
  <c r="BL157" i="7"/>
  <c r="BK157" i="7"/>
  <c r="BJ157" i="7"/>
  <c r="BI157" i="7"/>
  <c r="BH157" i="7"/>
  <c r="BG157" i="7"/>
  <c r="BF157" i="7"/>
  <c r="BE157" i="7"/>
  <c r="BD157" i="7"/>
  <c r="BC157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AP157" i="7"/>
  <c r="AO157" i="7"/>
  <c r="AN157" i="7"/>
  <c r="AM157" i="7"/>
  <c r="AL157" i="7"/>
  <c r="AK157" i="7"/>
  <c r="BO156" i="7"/>
  <c r="BN156" i="7"/>
  <c r="BM156" i="7"/>
  <c r="BL156" i="7"/>
  <c r="BK156" i="7"/>
  <c r="BJ156" i="7"/>
  <c r="BI156" i="7"/>
  <c r="BH156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S156" i="7"/>
  <c r="AR156" i="7"/>
  <c r="AQ156" i="7"/>
  <c r="AP156" i="7"/>
  <c r="AO156" i="7"/>
  <c r="AN156" i="7"/>
  <c r="AM156" i="7"/>
  <c r="AL156" i="7"/>
  <c r="AK156" i="7"/>
  <c r="BO154" i="7"/>
  <c r="BN154" i="7"/>
  <c r="BM154" i="7"/>
  <c r="BL154" i="7"/>
  <c r="BK154" i="7"/>
  <c r="BJ154" i="7"/>
  <c r="BI154" i="7"/>
  <c r="BH154" i="7"/>
  <c r="BG154" i="7"/>
  <c r="BF154" i="7"/>
  <c r="BE154" i="7"/>
  <c r="BD154" i="7"/>
  <c r="BC154" i="7"/>
  <c r="BB154" i="7"/>
  <c r="BA154" i="7"/>
  <c r="AZ154" i="7"/>
  <c r="AY154" i="7"/>
  <c r="AX154" i="7"/>
  <c r="AW154" i="7"/>
  <c r="AV154" i="7"/>
  <c r="AU154" i="7"/>
  <c r="AT154" i="7"/>
  <c r="AS154" i="7"/>
  <c r="AR154" i="7"/>
  <c r="AQ154" i="7"/>
  <c r="AP154" i="7"/>
  <c r="AO154" i="7"/>
  <c r="AN154" i="7"/>
  <c r="AM154" i="7"/>
  <c r="AL154" i="7"/>
  <c r="AK154" i="7"/>
  <c r="BO153" i="7"/>
  <c r="BN153" i="7"/>
  <c r="BM153" i="7"/>
  <c r="BL153" i="7"/>
  <c r="BK153" i="7"/>
  <c r="BJ153" i="7"/>
  <c r="BI153" i="7"/>
  <c r="BH153" i="7"/>
  <c r="BG153" i="7"/>
  <c r="BF153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Q153" i="7"/>
  <c r="AP153" i="7"/>
  <c r="AO153" i="7"/>
  <c r="AN153" i="7"/>
  <c r="AM153" i="7"/>
  <c r="AL153" i="7"/>
  <c r="AK153" i="7"/>
  <c r="BO151" i="7"/>
  <c r="BN151" i="7"/>
  <c r="BM151" i="7"/>
  <c r="BL151" i="7"/>
  <c r="BK151" i="7"/>
  <c r="BJ151" i="7"/>
  <c r="BI151" i="7"/>
  <c r="BH151" i="7"/>
  <c r="BG151" i="7"/>
  <c r="BF151" i="7"/>
  <c r="BE151" i="7"/>
  <c r="BD151" i="7"/>
  <c r="BC151" i="7"/>
  <c r="BB151" i="7"/>
  <c r="BA151" i="7"/>
  <c r="AZ151" i="7"/>
  <c r="AY151" i="7"/>
  <c r="AX151" i="7"/>
  <c r="AW151" i="7"/>
  <c r="AV151" i="7"/>
  <c r="AU151" i="7"/>
  <c r="AT151" i="7"/>
  <c r="AS151" i="7"/>
  <c r="AR151" i="7"/>
  <c r="AQ151" i="7"/>
  <c r="AP151" i="7"/>
  <c r="AO151" i="7"/>
  <c r="AN151" i="7"/>
  <c r="AM151" i="7"/>
  <c r="AL151" i="7"/>
  <c r="AK151" i="7"/>
  <c r="BO150" i="7"/>
  <c r="BN150" i="7"/>
  <c r="BM150" i="7"/>
  <c r="BL150" i="7"/>
  <c r="BK150" i="7"/>
  <c r="BJ150" i="7"/>
  <c r="BI150" i="7"/>
  <c r="BH150" i="7"/>
  <c r="BG150" i="7"/>
  <c r="BF150" i="7"/>
  <c r="BE150" i="7"/>
  <c r="BD150" i="7"/>
  <c r="BC150" i="7"/>
  <c r="BB150" i="7"/>
  <c r="BA150" i="7"/>
  <c r="AZ150" i="7"/>
  <c r="AY150" i="7"/>
  <c r="AX150" i="7"/>
  <c r="AW150" i="7"/>
  <c r="AV150" i="7"/>
  <c r="AU150" i="7"/>
  <c r="AT150" i="7"/>
  <c r="AS150" i="7"/>
  <c r="AR150" i="7"/>
  <c r="AQ150" i="7"/>
  <c r="AP150" i="7"/>
  <c r="AO150" i="7"/>
  <c r="AN150" i="7"/>
  <c r="AM150" i="7"/>
  <c r="AL150" i="7"/>
  <c r="AK150" i="7"/>
  <c r="BO148" i="7"/>
  <c r="BN148" i="7"/>
  <c r="BM148" i="7"/>
  <c r="BL148" i="7"/>
  <c r="BK148" i="7"/>
  <c r="BJ148" i="7"/>
  <c r="BI148" i="7"/>
  <c r="BH148" i="7"/>
  <c r="BG148" i="7"/>
  <c r="BF148" i="7"/>
  <c r="BE148" i="7"/>
  <c r="BD148" i="7"/>
  <c r="BC148" i="7"/>
  <c r="BB148" i="7"/>
  <c r="BA148" i="7"/>
  <c r="AZ148" i="7"/>
  <c r="AY148" i="7"/>
  <c r="AX148" i="7"/>
  <c r="AW148" i="7"/>
  <c r="AV148" i="7"/>
  <c r="AU148" i="7"/>
  <c r="AT148" i="7"/>
  <c r="AS148" i="7"/>
  <c r="AR148" i="7"/>
  <c r="AQ148" i="7"/>
  <c r="AP148" i="7"/>
  <c r="AO148" i="7"/>
  <c r="AN148" i="7"/>
  <c r="AM148" i="7"/>
  <c r="AL148" i="7"/>
  <c r="AK148" i="7"/>
  <c r="BO147" i="7"/>
  <c r="BN147" i="7"/>
  <c r="BM147" i="7"/>
  <c r="BL147" i="7"/>
  <c r="BK147" i="7"/>
  <c r="BJ147" i="7"/>
  <c r="BI147" i="7"/>
  <c r="BH147" i="7"/>
  <c r="BG147" i="7"/>
  <c r="BF147" i="7"/>
  <c r="BE147" i="7"/>
  <c r="BD147" i="7"/>
  <c r="BC147" i="7"/>
  <c r="BB147" i="7"/>
  <c r="BA147" i="7"/>
  <c r="AZ147" i="7"/>
  <c r="AY147" i="7"/>
  <c r="AX147" i="7"/>
  <c r="AW147" i="7"/>
  <c r="AV147" i="7"/>
  <c r="AU147" i="7"/>
  <c r="AT147" i="7"/>
  <c r="AS147" i="7"/>
  <c r="AR147" i="7"/>
  <c r="AQ147" i="7"/>
  <c r="AP147" i="7"/>
  <c r="AO147" i="7"/>
  <c r="AN147" i="7"/>
  <c r="AM147" i="7"/>
  <c r="AL147" i="7"/>
  <c r="AK147" i="7"/>
  <c r="BO145" i="7"/>
  <c r="BN145" i="7"/>
  <c r="BM145" i="7"/>
  <c r="BL145" i="7"/>
  <c r="BK145" i="7"/>
  <c r="BJ145" i="7"/>
  <c r="BI145" i="7"/>
  <c r="BH145" i="7"/>
  <c r="BG145" i="7"/>
  <c r="BF145" i="7"/>
  <c r="BE145" i="7"/>
  <c r="BD145" i="7"/>
  <c r="BC145" i="7"/>
  <c r="BB145" i="7"/>
  <c r="BA145" i="7"/>
  <c r="AZ145" i="7"/>
  <c r="AY145" i="7"/>
  <c r="AX145" i="7"/>
  <c r="AW145" i="7"/>
  <c r="AV145" i="7"/>
  <c r="AU145" i="7"/>
  <c r="AT145" i="7"/>
  <c r="AS145" i="7"/>
  <c r="AR145" i="7"/>
  <c r="AQ145" i="7"/>
  <c r="AP145" i="7"/>
  <c r="AO145" i="7"/>
  <c r="AN145" i="7"/>
  <c r="AM145" i="7"/>
  <c r="AL145" i="7"/>
  <c r="AK145" i="7"/>
  <c r="BO144" i="7"/>
  <c r="BN144" i="7"/>
  <c r="BM144" i="7"/>
  <c r="BL144" i="7"/>
  <c r="BK144" i="7"/>
  <c r="BJ144" i="7"/>
  <c r="BI144" i="7"/>
  <c r="BH144" i="7"/>
  <c r="BG144" i="7"/>
  <c r="BF144" i="7"/>
  <c r="BE144" i="7"/>
  <c r="BD144" i="7"/>
  <c r="BC144" i="7"/>
  <c r="BB144" i="7"/>
  <c r="BA144" i="7"/>
  <c r="AZ144" i="7"/>
  <c r="AY144" i="7"/>
  <c r="AX144" i="7"/>
  <c r="AW144" i="7"/>
  <c r="AV144" i="7"/>
  <c r="AU144" i="7"/>
  <c r="AT144" i="7"/>
  <c r="AS144" i="7"/>
  <c r="AR144" i="7"/>
  <c r="AQ144" i="7"/>
  <c r="AP144" i="7"/>
  <c r="AO144" i="7"/>
  <c r="AN144" i="7"/>
  <c r="AM144" i="7"/>
  <c r="AL144" i="7"/>
  <c r="AK144" i="7"/>
  <c r="BO142" i="7"/>
  <c r="BN142" i="7"/>
  <c r="BM142" i="7"/>
  <c r="BL142" i="7"/>
  <c r="BK142" i="7"/>
  <c r="BJ142" i="7"/>
  <c r="BI142" i="7"/>
  <c r="BH142" i="7"/>
  <c r="BG142" i="7"/>
  <c r="BF142" i="7"/>
  <c r="BE142" i="7"/>
  <c r="BD142" i="7"/>
  <c r="BC142" i="7"/>
  <c r="BB142" i="7"/>
  <c r="BA142" i="7"/>
  <c r="AZ142" i="7"/>
  <c r="AY142" i="7"/>
  <c r="AX142" i="7"/>
  <c r="AW142" i="7"/>
  <c r="AV142" i="7"/>
  <c r="AU142" i="7"/>
  <c r="AT142" i="7"/>
  <c r="AS142" i="7"/>
  <c r="AR142" i="7"/>
  <c r="AQ142" i="7"/>
  <c r="AP142" i="7"/>
  <c r="AO142" i="7"/>
  <c r="AN142" i="7"/>
  <c r="AM142" i="7"/>
  <c r="AL142" i="7"/>
  <c r="AK142" i="7"/>
  <c r="BO141" i="7"/>
  <c r="BN141" i="7"/>
  <c r="BM141" i="7"/>
  <c r="BL141" i="7"/>
  <c r="BK141" i="7"/>
  <c r="BJ141" i="7"/>
  <c r="BI141" i="7"/>
  <c r="BH141" i="7"/>
  <c r="BG141" i="7"/>
  <c r="BF141" i="7"/>
  <c r="BE141" i="7"/>
  <c r="BD141" i="7"/>
  <c r="BC141" i="7"/>
  <c r="BB141" i="7"/>
  <c r="BA141" i="7"/>
  <c r="AZ141" i="7"/>
  <c r="AY141" i="7"/>
  <c r="AX141" i="7"/>
  <c r="AW141" i="7"/>
  <c r="AV141" i="7"/>
  <c r="AU141" i="7"/>
  <c r="AT141" i="7"/>
  <c r="AS141" i="7"/>
  <c r="AR141" i="7"/>
  <c r="AQ141" i="7"/>
  <c r="AP141" i="7"/>
  <c r="AO141" i="7"/>
  <c r="AN141" i="7"/>
  <c r="AM141" i="7"/>
  <c r="AL141" i="7"/>
  <c r="AK141" i="7"/>
  <c r="BO139" i="7"/>
  <c r="BN139" i="7"/>
  <c r="BM139" i="7"/>
  <c r="BL139" i="7"/>
  <c r="BK139" i="7"/>
  <c r="BJ139" i="7"/>
  <c r="BI139" i="7"/>
  <c r="BH139" i="7"/>
  <c r="BG139" i="7"/>
  <c r="BF139" i="7"/>
  <c r="BE139" i="7"/>
  <c r="BD139" i="7"/>
  <c r="BC139" i="7"/>
  <c r="BB139" i="7"/>
  <c r="BA139" i="7"/>
  <c r="AZ139" i="7"/>
  <c r="AY139" i="7"/>
  <c r="AX139" i="7"/>
  <c r="AW139" i="7"/>
  <c r="AV139" i="7"/>
  <c r="AU139" i="7"/>
  <c r="AT139" i="7"/>
  <c r="AS139" i="7"/>
  <c r="AR139" i="7"/>
  <c r="AQ139" i="7"/>
  <c r="AP139" i="7"/>
  <c r="AO139" i="7"/>
  <c r="AN139" i="7"/>
  <c r="AM139" i="7"/>
  <c r="AL139" i="7"/>
  <c r="AK139" i="7"/>
  <c r="BO138" i="7"/>
  <c r="BN138" i="7"/>
  <c r="BM138" i="7"/>
  <c r="BL138" i="7"/>
  <c r="BK138" i="7"/>
  <c r="BJ138" i="7"/>
  <c r="BI138" i="7"/>
  <c r="BH138" i="7"/>
  <c r="BG138" i="7"/>
  <c r="BF138" i="7"/>
  <c r="BE138" i="7"/>
  <c r="BD138" i="7"/>
  <c r="BC138" i="7"/>
  <c r="BB138" i="7"/>
  <c r="BA138" i="7"/>
  <c r="AZ138" i="7"/>
  <c r="AY138" i="7"/>
  <c r="AX138" i="7"/>
  <c r="AW138" i="7"/>
  <c r="AV138" i="7"/>
  <c r="AU138" i="7"/>
  <c r="AT138" i="7"/>
  <c r="AS138" i="7"/>
  <c r="AR138" i="7"/>
  <c r="AQ138" i="7"/>
  <c r="AP138" i="7"/>
  <c r="AO138" i="7"/>
  <c r="AN138" i="7"/>
  <c r="AM138" i="7"/>
  <c r="AL138" i="7"/>
  <c r="AK138" i="7"/>
  <c r="BO136" i="7"/>
  <c r="BN136" i="7"/>
  <c r="BM136" i="7"/>
  <c r="BL136" i="7"/>
  <c r="BK136" i="7"/>
  <c r="BJ136" i="7"/>
  <c r="BI136" i="7"/>
  <c r="BH136" i="7"/>
  <c r="BG136" i="7"/>
  <c r="BF136" i="7"/>
  <c r="BE136" i="7"/>
  <c r="BD136" i="7"/>
  <c r="BC136" i="7"/>
  <c r="BB136" i="7"/>
  <c r="BA136" i="7"/>
  <c r="AZ136" i="7"/>
  <c r="AY136" i="7"/>
  <c r="AX136" i="7"/>
  <c r="AW136" i="7"/>
  <c r="AV136" i="7"/>
  <c r="AU136" i="7"/>
  <c r="AT136" i="7"/>
  <c r="AS136" i="7"/>
  <c r="AR136" i="7"/>
  <c r="AQ136" i="7"/>
  <c r="AP136" i="7"/>
  <c r="AO136" i="7"/>
  <c r="AN136" i="7"/>
  <c r="AM136" i="7"/>
  <c r="AL136" i="7"/>
  <c r="AK136" i="7"/>
  <c r="BO135" i="7"/>
  <c r="BN135" i="7"/>
  <c r="BM135" i="7"/>
  <c r="BL135" i="7"/>
  <c r="BK135" i="7"/>
  <c r="BJ135" i="7"/>
  <c r="BI135" i="7"/>
  <c r="BH135" i="7"/>
  <c r="BG135" i="7"/>
  <c r="BF135" i="7"/>
  <c r="BE135" i="7"/>
  <c r="BD135" i="7"/>
  <c r="BC135" i="7"/>
  <c r="BB135" i="7"/>
  <c r="BA135" i="7"/>
  <c r="AZ135" i="7"/>
  <c r="AY135" i="7"/>
  <c r="AX135" i="7"/>
  <c r="AW135" i="7"/>
  <c r="AV135" i="7"/>
  <c r="AU135" i="7"/>
  <c r="AT135" i="7"/>
  <c r="AS135" i="7"/>
  <c r="AR135" i="7"/>
  <c r="AQ135" i="7"/>
  <c r="AP135" i="7"/>
  <c r="AO135" i="7"/>
  <c r="AN135" i="7"/>
  <c r="AM135" i="7"/>
  <c r="AL135" i="7"/>
  <c r="AK135" i="7"/>
  <c r="BO133" i="7"/>
  <c r="BN133" i="7"/>
  <c r="BM133" i="7"/>
  <c r="BL133" i="7"/>
  <c r="BK133" i="7"/>
  <c r="BJ133" i="7"/>
  <c r="BI133" i="7"/>
  <c r="BH133" i="7"/>
  <c r="BG133" i="7"/>
  <c r="BF133" i="7"/>
  <c r="BE133" i="7"/>
  <c r="BD133" i="7"/>
  <c r="BC133" i="7"/>
  <c r="BB133" i="7"/>
  <c r="BA133" i="7"/>
  <c r="AZ133" i="7"/>
  <c r="AY133" i="7"/>
  <c r="AX133" i="7"/>
  <c r="AW133" i="7"/>
  <c r="AV133" i="7"/>
  <c r="AU133" i="7"/>
  <c r="AT133" i="7"/>
  <c r="AS133" i="7"/>
  <c r="AR133" i="7"/>
  <c r="AQ133" i="7"/>
  <c r="AP133" i="7"/>
  <c r="AO133" i="7"/>
  <c r="AN133" i="7"/>
  <c r="AM133" i="7"/>
  <c r="AL133" i="7"/>
  <c r="AK133" i="7"/>
  <c r="BO132" i="7"/>
  <c r="BN132" i="7"/>
  <c r="BM132" i="7"/>
  <c r="BL132" i="7"/>
  <c r="BK132" i="7"/>
  <c r="BJ132" i="7"/>
  <c r="BI132" i="7"/>
  <c r="BH132" i="7"/>
  <c r="BG132" i="7"/>
  <c r="BF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P132" i="7"/>
  <c r="AO132" i="7"/>
  <c r="AN132" i="7"/>
  <c r="AM132" i="7"/>
  <c r="AL132" i="7"/>
  <c r="AK132" i="7"/>
  <c r="BO130" i="7"/>
  <c r="BN130" i="7"/>
  <c r="BM130" i="7"/>
  <c r="BL130" i="7"/>
  <c r="BK130" i="7"/>
  <c r="BJ130" i="7"/>
  <c r="BI130" i="7"/>
  <c r="BH130" i="7"/>
  <c r="BG130" i="7"/>
  <c r="BF130" i="7"/>
  <c r="BE130" i="7"/>
  <c r="BD130" i="7"/>
  <c r="BC130" i="7"/>
  <c r="BB130" i="7"/>
  <c r="BA130" i="7"/>
  <c r="AZ130" i="7"/>
  <c r="AY130" i="7"/>
  <c r="AX130" i="7"/>
  <c r="AW130" i="7"/>
  <c r="AV130" i="7"/>
  <c r="AU130" i="7"/>
  <c r="AT130" i="7"/>
  <c r="AS130" i="7"/>
  <c r="AR130" i="7"/>
  <c r="AQ130" i="7"/>
  <c r="AP130" i="7"/>
  <c r="AO130" i="7"/>
  <c r="AN130" i="7"/>
  <c r="AM130" i="7"/>
  <c r="AL130" i="7"/>
  <c r="AK130" i="7"/>
  <c r="BO129" i="7"/>
  <c r="BN129" i="7"/>
  <c r="BM129" i="7"/>
  <c r="BL129" i="7"/>
  <c r="BK129" i="7"/>
  <c r="BJ129" i="7"/>
  <c r="BI129" i="7"/>
  <c r="BH129" i="7"/>
  <c r="BG129" i="7"/>
  <c r="BF129" i="7"/>
  <c r="BE129" i="7"/>
  <c r="BD129" i="7"/>
  <c r="BC129" i="7"/>
  <c r="BB129" i="7"/>
  <c r="BA129" i="7"/>
  <c r="AZ129" i="7"/>
  <c r="AY129" i="7"/>
  <c r="AX129" i="7"/>
  <c r="AW129" i="7"/>
  <c r="AV129" i="7"/>
  <c r="AU129" i="7"/>
  <c r="AT129" i="7"/>
  <c r="AS129" i="7"/>
  <c r="AR129" i="7"/>
  <c r="AQ129" i="7"/>
  <c r="AP129" i="7"/>
  <c r="AO129" i="7"/>
  <c r="AN129" i="7"/>
  <c r="AM129" i="7"/>
  <c r="AL129" i="7"/>
  <c r="AK129" i="7"/>
  <c r="BO127" i="7"/>
  <c r="BN127" i="7"/>
  <c r="BM127" i="7"/>
  <c r="BL127" i="7"/>
  <c r="BK127" i="7"/>
  <c r="BJ127" i="7"/>
  <c r="BI127" i="7"/>
  <c r="BH127" i="7"/>
  <c r="BG127" i="7"/>
  <c r="BF127" i="7"/>
  <c r="BE127" i="7"/>
  <c r="BD127" i="7"/>
  <c r="BC127" i="7"/>
  <c r="BB127" i="7"/>
  <c r="BA127" i="7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BO126" i="7"/>
  <c r="BN126" i="7"/>
  <c r="BM126" i="7"/>
  <c r="BL126" i="7"/>
  <c r="BK126" i="7"/>
  <c r="BJ126" i="7"/>
  <c r="BI126" i="7"/>
  <c r="BH126" i="7"/>
  <c r="BG126" i="7"/>
  <c r="BF126" i="7"/>
  <c r="BE126" i="7"/>
  <c r="BD126" i="7"/>
  <c r="BC126" i="7"/>
  <c r="BB126" i="7"/>
  <c r="BA126" i="7"/>
  <c r="AZ126" i="7"/>
  <c r="AY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BO124" i="7"/>
  <c r="BN124" i="7"/>
  <c r="BM124" i="7"/>
  <c r="BL124" i="7"/>
  <c r="BK124" i="7"/>
  <c r="BJ124" i="7"/>
  <c r="BI124" i="7"/>
  <c r="BH124" i="7"/>
  <c r="BG124" i="7"/>
  <c r="BF124" i="7"/>
  <c r="BE124" i="7"/>
  <c r="BD124" i="7"/>
  <c r="BC124" i="7"/>
  <c r="BB124" i="7"/>
  <c r="BA124" i="7"/>
  <c r="AZ124" i="7"/>
  <c r="AY124" i="7"/>
  <c r="AX124" i="7"/>
  <c r="AW124" i="7"/>
  <c r="AV124" i="7"/>
  <c r="AU124" i="7"/>
  <c r="AT124" i="7"/>
  <c r="AS124" i="7"/>
  <c r="AR124" i="7"/>
  <c r="AQ124" i="7"/>
  <c r="AP124" i="7"/>
  <c r="AO124" i="7"/>
  <c r="AN124" i="7"/>
  <c r="AM124" i="7"/>
  <c r="AL124" i="7"/>
  <c r="AK124" i="7"/>
  <c r="BO123" i="7"/>
  <c r="BN123" i="7"/>
  <c r="BM123" i="7"/>
  <c r="BL123" i="7"/>
  <c r="BK123" i="7"/>
  <c r="BJ123" i="7"/>
  <c r="BI123" i="7"/>
  <c r="BH123" i="7"/>
  <c r="BG123" i="7"/>
  <c r="BF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P123" i="7"/>
  <c r="AO123" i="7"/>
  <c r="AN123" i="7"/>
  <c r="AM123" i="7"/>
  <c r="AL123" i="7"/>
  <c r="AK123" i="7"/>
  <c r="BO121" i="7"/>
  <c r="BN121" i="7"/>
  <c r="BM121" i="7"/>
  <c r="BL121" i="7"/>
  <c r="BK121" i="7"/>
  <c r="BJ121" i="7"/>
  <c r="BI121" i="7"/>
  <c r="BH121" i="7"/>
  <c r="BG121" i="7"/>
  <c r="BF121" i="7"/>
  <c r="BE121" i="7"/>
  <c r="BD121" i="7"/>
  <c r="BC121" i="7"/>
  <c r="BB121" i="7"/>
  <c r="BA121" i="7"/>
  <c r="AZ121" i="7"/>
  <c r="AY121" i="7"/>
  <c r="AX121" i="7"/>
  <c r="AW121" i="7"/>
  <c r="AV121" i="7"/>
  <c r="AU121" i="7"/>
  <c r="AT121" i="7"/>
  <c r="AS121" i="7"/>
  <c r="AR121" i="7"/>
  <c r="AQ121" i="7"/>
  <c r="AP121" i="7"/>
  <c r="AO121" i="7"/>
  <c r="AN121" i="7"/>
  <c r="AM121" i="7"/>
  <c r="AL121" i="7"/>
  <c r="AK121" i="7"/>
  <c r="BO120" i="7"/>
  <c r="BN120" i="7"/>
  <c r="BM120" i="7"/>
  <c r="BL120" i="7"/>
  <c r="BK120" i="7"/>
  <c r="BJ120" i="7"/>
  <c r="BI120" i="7"/>
  <c r="BH120" i="7"/>
  <c r="BG120" i="7"/>
  <c r="BF120" i="7"/>
  <c r="BE120" i="7"/>
  <c r="BD120" i="7"/>
  <c r="BC120" i="7"/>
  <c r="BB120" i="7"/>
  <c r="BA120" i="7"/>
  <c r="AZ120" i="7"/>
  <c r="AY120" i="7"/>
  <c r="AX120" i="7"/>
  <c r="AW120" i="7"/>
  <c r="AV120" i="7"/>
  <c r="AU120" i="7"/>
  <c r="AT120" i="7"/>
  <c r="AS120" i="7"/>
  <c r="AR120" i="7"/>
  <c r="AQ120" i="7"/>
  <c r="AP120" i="7"/>
  <c r="AO120" i="7"/>
  <c r="AN120" i="7"/>
  <c r="AM120" i="7"/>
  <c r="AL120" i="7"/>
  <c r="AK120" i="7"/>
  <c r="BO118" i="7"/>
  <c r="BN118" i="7"/>
  <c r="BM118" i="7"/>
  <c r="BL118" i="7"/>
  <c r="BK118" i="7"/>
  <c r="BJ118" i="7"/>
  <c r="BI118" i="7"/>
  <c r="BH118" i="7"/>
  <c r="BG118" i="7"/>
  <c r="BF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P118" i="7"/>
  <c r="AO118" i="7"/>
  <c r="AN118" i="7"/>
  <c r="AM118" i="7"/>
  <c r="AL118" i="7"/>
  <c r="AK118" i="7"/>
  <c r="BO117" i="7"/>
  <c r="BN117" i="7"/>
  <c r="BM117" i="7"/>
  <c r="BL117" i="7"/>
  <c r="BK117" i="7"/>
  <c r="BJ117" i="7"/>
  <c r="BI117" i="7"/>
  <c r="BH117" i="7"/>
  <c r="BG117" i="7"/>
  <c r="BF117" i="7"/>
  <c r="BE117" i="7"/>
  <c r="BD117" i="7"/>
  <c r="BC117" i="7"/>
  <c r="BB117" i="7"/>
  <c r="BA117" i="7"/>
  <c r="AZ117" i="7"/>
  <c r="AY117" i="7"/>
  <c r="AX117" i="7"/>
  <c r="AW117" i="7"/>
  <c r="AV117" i="7"/>
  <c r="AU117" i="7"/>
  <c r="AT117" i="7"/>
  <c r="AS117" i="7"/>
  <c r="AR117" i="7"/>
  <c r="AQ117" i="7"/>
  <c r="AP117" i="7"/>
  <c r="AO117" i="7"/>
  <c r="AN117" i="7"/>
  <c r="AM117" i="7"/>
  <c r="AL117" i="7"/>
  <c r="AK117" i="7"/>
  <c r="BO115" i="7"/>
  <c r="BN115" i="7"/>
  <c r="BM115" i="7"/>
  <c r="BL115" i="7"/>
  <c r="BK115" i="7"/>
  <c r="BJ115" i="7"/>
  <c r="BI115" i="7"/>
  <c r="BH115" i="7"/>
  <c r="BG115" i="7"/>
  <c r="BF115" i="7"/>
  <c r="BE115" i="7"/>
  <c r="BD115" i="7"/>
  <c r="BC115" i="7"/>
  <c r="BB115" i="7"/>
  <c r="BA115" i="7"/>
  <c r="AZ115" i="7"/>
  <c r="AY115" i="7"/>
  <c r="AX115" i="7"/>
  <c r="AW115" i="7"/>
  <c r="AV115" i="7"/>
  <c r="AU115" i="7"/>
  <c r="AT115" i="7"/>
  <c r="AS115" i="7"/>
  <c r="AR115" i="7"/>
  <c r="AQ115" i="7"/>
  <c r="AP115" i="7"/>
  <c r="AO115" i="7"/>
  <c r="AN115" i="7"/>
  <c r="AM115" i="7"/>
  <c r="AL115" i="7"/>
  <c r="AK115" i="7"/>
  <c r="BO114" i="7"/>
  <c r="BN114" i="7"/>
  <c r="BM114" i="7"/>
  <c r="BL114" i="7"/>
  <c r="BK114" i="7"/>
  <c r="BJ114" i="7"/>
  <c r="BI114" i="7"/>
  <c r="BH114" i="7"/>
  <c r="BG114" i="7"/>
  <c r="BF114" i="7"/>
  <c r="BE114" i="7"/>
  <c r="BD114" i="7"/>
  <c r="BC114" i="7"/>
  <c r="BB114" i="7"/>
  <c r="BA114" i="7"/>
  <c r="AZ114" i="7"/>
  <c r="AY114" i="7"/>
  <c r="AX114" i="7"/>
  <c r="AW114" i="7"/>
  <c r="AV114" i="7"/>
  <c r="AU114" i="7"/>
  <c r="AT114" i="7"/>
  <c r="AS114" i="7"/>
  <c r="AR114" i="7"/>
  <c r="AQ114" i="7"/>
  <c r="AP114" i="7"/>
  <c r="AO114" i="7"/>
  <c r="AN114" i="7"/>
  <c r="AM114" i="7"/>
  <c r="AL114" i="7"/>
  <c r="AK114" i="7"/>
  <c r="BO112" i="7"/>
  <c r="BN112" i="7"/>
  <c r="BM112" i="7"/>
  <c r="BL112" i="7"/>
  <c r="BK112" i="7"/>
  <c r="BJ112" i="7"/>
  <c r="BI112" i="7"/>
  <c r="BH112" i="7"/>
  <c r="BG112" i="7"/>
  <c r="BF112" i="7"/>
  <c r="BE112" i="7"/>
  <c r="BD112" i="7"/>
  <c r="BC112" i="7"/>
  <c r="BB112" i="7"/>
  <c r="BA112" i="7"/>
  <c r="AZ112" i="7"/>
  <c r="AY112" i="7"/>
  <c r="AX112" i="7"/>
  <c r="AW112" i="7"/>
  <c r="AV112" i="7"/>
  <c r="AU112" i="7"/>
  <c r="AT112" i="7"/>
  <c r="AS112" i="7"/>
  <c r="AR112" i="7"/>
  <c r="AQ112" i="7"/>
  <c r="AP112" i="7"/>
  <c r="AO112" i="7"/>
  <c r="AN112" i="7"/>
  <c r="AM112" i="7"/>
  <c r="AL112" i="7"/>
  <c r="AK112" i="7"/>
  <c r="BO111" i="7"/>
  <c r="BN111" i="7"/>
  <c r="BM111" i="7"/>
  <c r="BL111" i="7"/>
  <c r="BK111" i="7"/>
  <c r="BJ111" i="7"/>
  <c r="BI111" i="7"/>
  <c r="BH111" i="7"/>
  <c r="BG111" i="7"/>
  <c r="BF111" i="7"/>
  <c r="BE111" i="7"/>
  <c r="BD111" i="7"/>
  <c r="BC111" i="7"/>
  <c r="BB111" i="7"/>
  <c r="BA111" i="7"/>
  <c r="AZ111" i="7"/>
  <c r="AY111" i="7"/>
  <c r="AX111" i="7"/>
  <c r="AW111" i="7"/>
  <c r="AV111" i="7"/>
  <c r="AU111" i="7"/>
  <c r="AT111" i="7"/>
  <c r="AS111" i="7"/>
  <c r="AR111" i="7"/>
  <c r="AQ111" i="7"/>
  <c r="AP111" i="7"/>
  <c r="AO111" i="7"/>
  <c r="AN111" i="7"/>
  <c r="AM111" i="7"/>
  <c r="AL111" i="7"/>
  <c r="AK111" i="7"/>
  <c r="BO109" i="7"/>
  <c r="BN109" i="7"/>
  <c r="BM109" i="7"/>
  <c r="BL109" i="7"/>
  <c r="BK109" i="7"/>
  <c r="BJ109" i="7"/>
  <c r="BI109" i="7"/>
  <c r="BH109" i="7"/>
  <c r="BG109" i="7"/>
  <c r="BF109" i="7"/>
  <c r="BE109" i="7"/>
  <c r="BD109" i="7"/>
  <c r="BC109" i="7"/>
  <c r="BB109" i="7"/>
  <c r="BA109" i="7"/>
  <c r="AZ109" i="7"/>
  <c r="AY109" i="7"/>
  <c r="AX109" i="7"/>
  <c r="AW109" i="7"/>
  <c r="AV109" i="7"/>
  <c r="AU109" i="7"/>
  <c r="AT109" i="7"/>
  <c r="AS109" i="7"/>
  <c r="AR109" i="7"/>
  <c r="AQ109" i="7"/>
  <c r="AP109" i="7"/>
  <c r="AO109" i="7"/>
  <c r="AN109" i="7"/>
  <c r="AM109" i="7"/>
  <c r="AL109" i="7"/>
  <c r="AK109" i="7"/>
  <c r="BO108" i="7"/>
  <c r="BN108" i="7"/>
  <c r="BM108" i="7"/>
  <c r="BL108" i="7"/>
  <c r="BK108" i="7"/>
  <c r="BJ108" i="7"/>
  <c r="BI108" i="7"/>
  <c r="BH108" i="7"/>
  <c r="BG108" i="7"/>
  <c r="BF108" i="7"/>
  <c r="BE108" i="7"/>
  <c r="BD108" i="7"/>
  <c r="BC108" i="7"/>
  <c r="BB108" i="7"/>
  <c r="BA108" i="7"/>
  <c r="AZ108" i="7"/>
  <c r="AY108" i="7"/>
  <c r="AX108" i="7"/>
  <c r="AW108" i="7"/>
  <c r="AV108" i="7"/>
  <c r="AU108" i="7"/>
  <c r="AT108" i="7"/>
  <c r="AS108" i="7"/>
  <c r="AR108" i="7"/>
  <c r="AQ108" i="7"/>
  <c r="AP108" i="7"/>
  <c r="AO108" i="7"/>
  <c r="AN108" i="7"/>
  <c r="AM108" i="7"/>
  <c r="AL108" i="7"/>
  <c r="AK108" i="7"/>
  <c r="BO106" i="7"/>
  <c r="BN106" i="7"/>
  <c r="BM106" i="7"/>
  <c r="BL106" i="7"/>
  <c r="BK106" i="7"/>
  <c r="BJ106" i="7"/>
  <c r="BI106" i="7"/>
  <c r="BH106" i="7"/>
  <c r="BG106" i="7"/>
  <c r="BF106" i="7"/>
  <c r="BE106" i="7"/>
  <c r="BD106" i="7"/>
  <c r="BC106" i="7"/>
  <c r="BB106" i="7"/>
  <c r="BA106" i="7"/>
  <c r="AZ106" i="7"/>
  <c r="AY106" i="7"/>
  <c r="AX106" i="7"/>
  <c r="AW106" i="7"/>
  <c r="AV106" i="7"/>
  <c r="AU106" i="7"/>
  <c r="AT106" i="7"/>
  <c r="AS106" i="7"/>
  <c r="AR106" i="7"/>
  <c r="AQ106" i="7"/>
  <c r="AP106" i="7"/>
  <c r="AO106" i="7"/>
  <c r="AN106" i="7"/>
  <c r="AM106" i="7"/>
  <c r="AL106" i="7"/>
  <c r="AK106" i="7"/>
  <c r="BO105" i="7"/>
  <c r="BN105" i="7"/>
  <c r="BM105" i="7"/>
  <c r="BL105" i="7"/>
  <c r="BK105" i="7"/>
  <c r="BJ105" i="7"/>
  <c r="BI105" i="7"/>
  <c r="BH105" i="7"/>
  <c r="BG105" i="7"/>
  <c r="BF105" i="7"/>
  <c r="BE105" i="7"/>
  <c r="BD105" i="7"/>
  <c r="BC105" i="7"/>
  <c r="BB105" i="7"/>
  <c r="BA105" i="7"/>
  <c r="AZ105" i="7"/>
  <c r="AY105" i="7"/>
  <c r="AX105" i="7"/>
  <c r="AW105" i="7"/>
  <c r="AV105" i="7"/>
  <c r="AU105" i="7"/>
  <c r="AT105" i="7"/>
  <c r="AS105" i="7"/>
  <c r="AR105" i="7"/>
  <c r="AQ105" i="7"/>
  <c r="AP105" i="7"/>
  <c r="AO105" i="7"/>
  <c r="AN105" i="7"/>
  <c r="AM105" i="7"/>
  <c r="AL105" i="7"/>
  <c r="AK105" i="7"/>
  <c r="BO103" i="7"/>
  <c r="BN103" i="7"/>
  <c r="BM103" i="7"/>
  <c r="BL103" i="7"/>
  <c r="BK103" i="7"/>
  <c r="BJ103" i="7"/>
  <c r="BI103" i="7"/>
  <c r="BH103" i="7"/>
  <c r="BG103" i="7"/>
  <c r="BF103" i="7"/>
  <c r="BE103" i="7"/>
  <c r="BD103" i="7"/>
  <c r="BC103" i="7"/>
  <c r="BB103" i="7"/>
  <c r="BA103" i="7"/>
  <c r="AZ103" i="7"/>
  <c r="AY103" i="7"/>
  <c r="AX103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K103" i="7"/>
  <c r="BO102" i="7"/>
  <c r="BN102" i="7"/>
  <c r="BM102" i="7"/>
  <c r="BL102" i="7"/>
  <c r="BK102" i="7"/>
  <c r="BJ102" i="7"/>
  <c r="BI102" i="7"/>
  <c r="BH102" i="7"/>
  <c r="BG102" i="7"/>
  <c r="BF102" i="7"/>
  <c r="BE102" i="7"/>
  <c r="BD102" i="7"/>
  <c r="BC102" i="7"/>
  <c r="BB102" i="7"/>
  <c r="BA102" i="7"/>
  <c r="AZ102" i="7"/>
  <c r="AY102" i="7"/>
  <c r="AX102" i="7"/>
  <c r="AW102" i="7"/>
  <c r="AV102" i="7"/>
  <c r="AU102" i="7"/>
  <c r="AT102" i="7"/>
  <c r="AS102" i="7"/>
  <c r="AR102" i="7"/>
  <c r="AQ102" i="7"/>
  <c r="AP102" i="7"/>
  <c r="AO102" i="7"/>
  <c r="AN102" i="7"/>
  <c r="AM102" i="7"/>
  <c r="AL102" i="7"/>
  <c r="AK102" i="7"/>
  <c r="BO100" i="7"/>
  <c r="BN100" i="7"/>
  <c r="BM100" i="7"/>
  <c r="BL100" i="7"/>
  <c r="BK100" i="7"/>
  <c r="BJ100" i="7"/>
  <c r="BI100" i="7"/>
  <c r="BH100" i="7"/>
  <c r="BG100" i="7"/>
  <c r="BF100" i="7"/>
  <c r="BE100" i="7"/>
  <c r="BD100" i="7"/>
  <c r="BC100" i="7"/>
  <c r="BB100" i="7"/>
  <c r="BA100" i="7"/>
  <c r="AZ100" i="7"/>
  <c r="AY100" i="7"/>
  <c r="AX100" i="7"/>
  <c r="AW100" i="7"/>
  <c r="AV100" i="7"/>
  <c r="AU100" i="7"/>
  <c r="AT100" i="7"/>
  <c r="AS100" i="7"/>
  <c r="AR100" i="7"/>
  <c r="AQ100" i="7"/>
  <c r="AP100" i="7"/>
  <c r="AO100" i="7"/>
  <c r="AN100" i="7"/>
  <c r="AM100" i="7"/>
  <c r="AL100" i="7"/>
  <c r="AK100" i="7"/>
  <c r="BO99" i="7"/>
  <c r="BN99" i="7"/>
  <c r="BM99" i="7"/>
  <c r="BL99" i="7"/>
  <c r="BK99" i="7"/>
  <c r="BJ99" i="7"/>
  <c r="BI99" i="7"/>
  <c r="BH99" i="7"/>
  <c r="BG99" i="7"/>
  <c r="BF99" i="7"/>
  <c r="BE99" i="7"/>
  <c r="BD99" i="7"/>
  <c r="BC99" i="7"/>
  <c r="BB99" i="7"/>
  <c r="BA99" i="7"/>
  <c r="AZ99" i="7"/>
  <c r="AY99" i="7"/>
  <c r="AX99" i="7"/>
  <c r="AW99" i="7"/>
  <c r="AV99" i="7"/>
  <c r="AU99" i="7"/>
  <c r="AT99" i="7"/>
  <c r="AS99" i="7"/>
  <c r="AR99" i="7"/>
  <c r="AQ99" i="7"/>
  <c r="AP99" i="7"/>
  <c r="AO99" i="7"/>
  <c r="AN99" i="7"/>
  <c r="AM99" i="7"/>
  <c r="AL99" i="7"/>
  <c r="AK99" i="7"/>
  <c r="BO97" i="7"/>
  <c r="BN97" i="7"/>
  <c r="BM97" i="7"/>
  <c r="BL97" i="7"/>
  <c r="BK97" i="7"/>
  <c r="BJ97" i="7"/>
  <c r="BI97" i="7"/>
  <c r="BH97" i="7"/>
  <c r="BG97" i="7"/>
  <c r="BF97" i="7"/>
  <c r="BE97" i="7"/>
  <c r="BD97" i="7"/>
  <c r="BC97" i="7"/>
  <c r="BB97" i="7"/>
  <c r="BA97" i="7"/>
  <c r="AZ97" i="7"/>
  <c r="AY97" i="7"/>
  <c r="AX97" i="7"/>
  <c r="AW97" i="7"/>
  <c r="AV97" i="7"/>
  <c r="AU97" i="7"/>
  <c r="AT97" i="7"/>
  <c r="AS97" i="7"/>
  <c r="AR97" i="7"/>
  <c r="AQ97" i="7"/>
  <c r="AP97" i="7"/>
  <c r="AO97" i="7"/>
  <c r="AN97" i="7"/>
  <c r="AM97" i="7"/>
  <c r="AL97" i="7"/>
  <c r="AK97" i="7"/>
  <c r="BO96" i="7"/>
  <c r="BN96" i="7"/>
  <c r="BM96" i="7"/>
  <c r="BL96" i="7"/>
  <c r="BK96" i="7"/>
  <c r="BJ96" i="7"/>
  <c r="BI96" i="7"/>
  <c r="BH96" i="7"/>
  <c r="BG96" i="7"/>
  <c r="BF96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BO94" i="7"/>
  <c r="BN94" i="7"/>
  <c r="BM94" i="7"/>
  <c r="BL94" i="7"/>
  <c r="BK94" i="7"/>
  <c r="BJ94" i="7"/>
  <c r="BI94" i="7"/>
  <c r="BH94" i="7"/>
  <c r="BG94" i="7"/>
  <c r="BF94" i="7"/>
  <c r="BE94" i="7"/>
  <c r="BD94" i="7"/>
  <c r="BC94" i="7"/>
  <c r="BB94" i="7"/>
  <c r="BA94" i="7"/>
  <c r="AZ94" i="7"/>
  <c r="AY94" i="7"/>
  <c r="AX94" i="7"/>
  <c r="AW94" i="7"/>
  <c r="AV94" i="7"/>
  <c r="AU94" i="7"/>
  <c r="AT94" i="7"/>
  <c r="AS94" i="7"/>
  <c r="AR94" i="7"/>
  <c r="AQ94" i="7"/>
  <c r="AP94" i="7"/>
  <c r="AO94" i="7"/>
  <c r="AN94" i="7"/>
  <c r="AM94" i="7"/>
  <c r="AL94" i="7"/>
  <c r="AK94" i="7"/>
  <c r="BO93" i="7"/>
  <c r="BN93" i="7"/>
  <c r="BM93" i="7"/>
  <c r="BL93" i="7"/>
  <c r="BK93" i="7"/>
  <c r="BJ93" i="7"/>
  <c r="BI93" i="7"/>
  <c r="BH93" i="7"/>
  <c r="BG93" i="7"/>
  <c r="BF93" i="7"/>
  <c r="BE93" i="7"/>
  <c r="BD93" i="7"/>
  <c r="BC93" i="7"/>
  <c r="BB93" i="7"/>
  <c r="BA93" i="7"/>
  <c r="AZ93" i="7"/>
  <c r="AY93" i="7"/>
  <c r="AX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K93" i="7"/>
  <c r="BO91" i="7"/>
  <c r="BN91" i="7"/>
  <c r="BM91" i="7"/>
  <c r="BL91" i="7"/>
  <c r="BK91" i="7"/>
  <c r="BJ91" i="7"/>
  <c r="BI91" i="7"/>
  <c r="BH91" i="7"/>
  <c r="BG91" i="7"/>
  <c r="BF91" i="7"/>
  <c r="BE91" i="7"/>
  <c r="BD91" i="7"/>
  <c r="BC91" i="7"/>
  <c r="BB91" i="7"/>
  <c r="BA91" i="7"/>
  <c r="AZ91" i="7"/>
  <c r="AY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K91" i="7"/>
  <c r="BO90" i="7"/>
  <c r="BN90" i="7"/>
  <c r="BM90" i="7"/>
  <c r="BL90" i="7"/>
  <c r="BK90" i="7"/>
  <c r="BJ90" i="7"/>
  <c r="BI90" i="7"/>
  <c r="BH90" i="7"/>
  <c r="BG90" i="7"/>
  <c r="BF90" i="7"/>
  <c r="BE90" i="7"/>
  <c r="BD90" i="7"/>
  <c r="BC90" i="7"/>
  <c r="BB90" i="7"/>
  <c r="BA90" i="7"/>
  <c r="AZ90" i="7"/>
  <c r="AY90" i="7"/>
  <c r="AX90" i="7"/>
  <c r="AW90" i="7"/>
  <c r="AV90" i="7"/>
  <c r="AU90" i="7"/>
  <c r="AT90" i="7"/>
  <c r="AS90" i="7"/>
  <c r="AR90" i="7"/>
  <c r="AQ90" i="7"/>
  <c r="AP90" i="7"/>
  <c r="AO90" i="7"/>
  <c r="AN90" i="7"/>
  <c r="AM90" i="7"/>
  <c r="AL90" i="7"/>
  <c r="AK90" i="7"/>
  <c r="BO88" i="7"/>
  <c r="BN88" i="7"/>
  <c r="BM88" i="7"/>
  <c r="BL88" i="7"/>
  <c r="BK88" i="7"/>
  <c r="BJ88" i="7"/>
  <c r="BI88" i="7"/>
  <c r="BH88" i="7"/>
  <c r="BG88" i="7"/>
  <c r="BF88" i="7"/>
  <c r="BE88" i="7"/>
  <c r="BD88" i="7"/>
  <c r="BC88" i="7"/>
  <c r="BB88" i="7"/>
  <c r="BA88" i="7"/>
  <c r="AZ88" i="7"/>
  <c r="AY88" i="7"/>
  <c r="AX88" i="7"/>
  <c r="AW88" i="7"/>
  <c r="AV88" i="7"/>
  <c r="AU88" i="7"/>
  <c r="AT88" i="7"/>
  <c r="AS88" i="7"/>
  <c r="AR88" i="7"/>
  <c r="AQ88" i="7"/>
  <c r="AP88" i="7"/>
  <c r="AO88" i="7"/>
  <c r="AN88" i="7"/>
  <c r="AM88" i="7"/>
  <c r="AL88" i="7"/>
  <c r="AK88" i="7"/>
  <c r="BO87" i="7"/>
  <c r="BN87" i="7"/>
  <c r="BM87" i="7"/>
  <c r="BL87" i="7"/>
  <c r="BK87" i="7"/>
  <c r="BJ87" i="7"/>
  <c r="BI87" i="7"/>
  <c r="BH87" i="7"/>
  <c r="BG87" i="7"/>
  <c r="BF87" i="7"/>
  <c r="BE87" i="7"/>
  <c r="BD87" i="7"/>
  <c r="BC87" i="7"/>
  <c r="BB87" i="7"/>
  <c r="BA87" i="7"/>
  <c r="AZ87" i="7"/>
  <c r="AY87" i="7"/>
  <c r="AX87" i="7"/>
  <c r="AW87" i="7"/>
  <c r="AV87" i="7"/>
  <c r="AU87" i="7"/>
  <c r="AT87" i="7"/>
  <c r="AS87" i="7"/>
  <c r="AR87" i="7"/>
  <c r="AQ87" i="7"/>
  <c r="AP87" i="7"/>
  <c r="AO87" i="7"/>
  <c r="AN87" i="7"/>
  <c r="AM87" i="7"/>
  <c r="AL87" i="7"/>
  <c r="AK87" i="7"/>
  <c r="BO85" i="7"/>
  <c r="BN85" i="7"/>
  <c r="BM85" i="7"/>
  <c r="BL85" i="7"/>
  <c r="BK85" i="7"/>
  <c r="BJ85" i="7"/>
  <c r="BI85" i="7"/>
  <c r="BH85" i="7"/>
  <c r="BG85" i="7"/>
  <c r="BF85" i="7"/>
  <c r="BE85" i="7"/>
  <c r="BD85" i="7"/>
  <c r="BC85" i="7"/>
  <c r="BB85" i="7"/>
  <c r="BA85" i="7"/>
  <c r="AZ85" i="7"/>
  <c r="AY85" i="7"/>
  <c r="AX85" i="7"/>
  <c r="AW85" i="7"/>
  <c r="AV85" i="7"/>
  <c r="AU85" i="7"/>
  <c r="AT85" i="7"/>
  <c r="AS85" i="7"/>
  <c r="AR85" i="7"/>
  <c r="AQ85" i="7"/>
  <c r="AP85" i="7"/>
  <c r="AO85" i="7"/>
  <c r="AN85" i="7"/>
  <c r="AM85" i="7"/>
  <c r="AL85" i="7"/>
  <c r="AK85" i="7"/>
  <c r="BO84" i="7"/>
  <c r="BN84" i="7"/>
  <c r="BM84" i="7"/>
  <c r="BL84" i="7"/>
  <c r="BK84" i="7"/>
  <c r="BJ84" i="7"/>
  <c r="BI84" i="7"/>
  <c r="BH84" i="7"/>
  <c r="BG84" i="7"/>
  <c r="BF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P84" i="7"/>
  <c r="AO84" i="7"/>
  <c r="AN84" i="7"/>
  <c r="AM84" i="7"/>
  <c r="AL84" i="7"/>
  <c r="AK84" i="7"/>
  <c r="BO82" i="7"/>
  <c r="BN82" i="7"/>
  <c r="BM82" i="7"/>
  <c r="BL82" i="7"/>
  <c r="BK82" i="7"/>
  <c r="BJ82" i="7"/>
  <c r="BI82" i="7"/>
  <c r="BH82" i="7"/>
  <c r="BG82" i="7"/>
  <c r="BF82" i="7"/>
  <c r="BE82" i="7"/>
  <c r="BD82" i="7"/>
  <c r="BC82" i="7"/>
  <c r="BB82" i="7"/>
  <c r="BA82" i="7"/>
  <c r="AZ82" i="7"/>
  <c r="AY82" i="7"/>
  <c r="AX82" i="7"/>
  <c r="AW82" i="7"/>
  <c r="AV82" i="7"/>
  <c r="AU82" i="7"/>
  <c r="AT82" i="7"/>
  <c r="AS82" i="7"/>
  <c r="AR82" i="7"/>
  <c r="AQ82" i="7"/>
  <c r="AP82" i="7"/>
  <c r="AO82" i="7"/>
  <c r="AN82" i="7"/>
  <c r="AM82" i="7"/>
  <c r="AL82" i="7"/>
  <c r="AK82" i="7"/>
  <c r="BO81" i="7"/>
  <c r="BN81" i="7"/>
  <c r="BM81" i="7"/>
  <c r="BL81" i="7"/>
  <c r="BK81" i="7"/>
  <c r="BJ81" i="7"/>
  <c r="BI81" i="7"/>
  <c r="BH81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AT81" i="7"/>
  <c r="AS81" i="7"/>
  <c r="AR81" i="7"/>
  <c r="AQ81" i="7"/>
  <c r="AP81" i="7"/>
  <c r="AO81" i="7"/>
  <c r="AN81" i="7"/>
  <c r="AM81" i="7"/>
  <c r="AL81" i="7"/>
  <c r="AK81" i="7"/>
  <c r="BO79" i="7"/>
  <c r="BN79" i="7"/>
  <c r="BM79" i="7"/>
  <c r="BL79" i="7"/>
  <c r="BK79" i="7"/>
  <c r="BJ79" i="7"/>
  <c r="BI79" i="7"/>
  <c r="BH79" i="7"/>
  <c r="BG79" i="7"/>
  <c r="BF79" i="7"/>
  <c r="BE79" i="7"/>
  <c r="BD79" i="7"/>
  <c r="BC79" i="7"/>
  <c r="BB79" i="7"/>
  <c r="BA79" i="7"/>
  <c r="AZ79" i="7"/>
  <c r="AY79" i="7"/>
  <c r="AX79" i="7"/>
  <c r="AW79" i="7"/>
  <c r="AV79" i="7"/>
  <c r="AU79" i="7"/>
  <c r="AT79" i="7"/>
  <c r="AS79" i="7"/>
  <c r="AR79" i="7"/>
  <c r="AQ79" i="7"/>
  <c r="AP79" i="7"/>
  <c r="AO79" i="7"/>
  <c r="AN79" i="7"/>
  <c r="AM79" i="7"/>
  <c r="AL79" i="7"/>
  <c r="AK79" i="7"/>
  <c r="BO78" i="7"/>
  <c r="BN78" i="7"/>
  <c r="BM78" i="7"/>
  <c r="BL78" i="7"/>
  <c r="BK78" i="7"/>
  <c r="BJ78" i="7"/>
  <c r="BI78" i="7"/>
  <c r="BH78" i="7"/>
  <c r="BG78" i="7"/>
  <c r="BF78" i="7"/>
  <c r="BE78" i="7"/>
  <c r="BD78" i="7"/>
  <c r="BC78" i="7"/>
  <c r="BB78" i="7"/>
  <c r="BA78" i="7"/>
  <c r="AZ78" i="7"/>
  <c r="AY78" i="7"/>
  <c r="AX78" i="7"/>
  <c r="AW78" i="7"/>
  <c r="AV78" i="7"/>
  <c r="AU78" i="7"/>
  <c r="AT78" i="7"/>
  <c r="AS78" i="7"/>
  <c r="AR78" i="7"/>
  <c r="AQ78" i="7"/>
  <c r="AP78" i="7"/>
  <c r="AO78" i="7"/>
  <c r="AN78" i="7"/>
  <c r="AM78" i="7"/>
  <c r="AL78" i="7"/>
  <c r="AK78" i="7"/>
  <c r="BO76" i="7"/>
  <c r="BN76" i="7"/>
  <c r="BM76" i="7"/>
  <c r="BL76" i="7"/>
  <c r="BK76" i="7"/>
  <c r="BJ76" i="7"/>
  <c r="BI76" i="7"/>
  <c r="BH76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U76" i="7"/>
  <c r="AT76" i="7"/>
  <c r="AS76" i="7"/>
  <c r="AR76" i="7"/>
  <c r="AQ76" i="7"/>
  <c r="AP76" i="7"/>
  <c r="AO76" i="7"/>
  <c r="AN76" i="7"/>
  <c r="AM76" i="7"/>
  <c r="AL76" i="7"/>
  <c r="AK76" i="7"/>
  <c r="BO75" i="7"/>
  <c r="BN75" i="7"/>
  <c r="BM75" i="7"/>
  <c r="BL75" i="7"/>
  <c r="BK75" i="7"/>
  <c r="BJ75" i="7"/>
  <c r="BI75" i="7"/>
  <c r="BH75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K75" i="7"/>
  <c r="BO73" i="7"/>
  <c r="BN73" i="7"/>
  <c r="BM73" i="7"/>
  <c r="BL73" i="7"/>
  <c r="BK73" i="7"/>
  <c r="BJ73" i="7"/>
  <c r="BI73" i="7"/>
  <c r="BH73" i="7"/>
  <c r="BG73" i="7"/>
  <c r="BF73" i="7"/>
  <c r="BE73" i="7"/>
  <c r="BD73" i="7"/>
  <c r="BC73" i="7"/>
  <c r="BB73" i="7"/>
  <c r="BA73" i="7"/>
  <c r="AZ73" i="7"/>
  <c r="AY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K73" i="7"/>
  <c r="BO72" i="7"/>
  <c r="BN72" i="7"/>
  <c r="BM72" i="7"/>
  <c r="BL72" i="7"/>
  <c r="BK72" i="7"/>
  <c r="BJ72" i="7"/>
  <c r="BI72" i="7"/>
  <c r="BH72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BO70" i="7"/>
  <c r="BN70" i="7"/>
  <c r="BM70" i="7"/>
  <c r="BL70" i="7"/>
  <c r="BK70" i="7"/>
  <c r="BJ70" i="7"/>
  <c r="BI70" i="7"/>
  <c r="BH70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BO69" i="7"/>
  <c r="BN69" i="7"/>
  <c r="BM69" i="7"/>
  <c r="BL69" i="7"/>
  <c r="BK69" i="7"/>
  <c r="BJ69" i="7"/>
  <c r="BI69" i="7"/>
  <c r="BH69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BO67" i="7"/>
  <c r="BN67" i="7"/>
  <c r="BM67" i="7"/>
  <c r="BL67" i="7"/>
  <c r="BK67" i="7"/>
  <c r="BJ67" i="7"/>
  <c r="BI67" i="7"/>
  <c r="BH67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BO66" i="7"/>
  <c r="BN66" i="7"/>
  <c r="BM66" i="7"/>
  <c r="BL66" i="7"/>
  <c r="BK66" i="7"/>
  <c r="BJ66" i="7"/>
  <c r="BI66" i="7"/>
  <c r="BH66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BO64" i="7"/>
  <c r="BN64" i="7"/>
  <c r="BM64" i="7"/>
  <c r="BL64" i="7"/>
  <c r="BK64" i="7"/>
  <c r="BJ64" i="7"/>
  <c r="BI64" i="7"/>
  <c r="BH64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BO63" i="7"/>
  <c r="BN63" i="7"/>
  <c r="BM63" i="7"/>
  <c r="BL63" i="7"/>
  <c r="BK63" i="7"/>
  <c r="BJ63" i="7"/>
  <c r="BI63" i="7"/>
  <c r="BH63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BO61" i="7"/>
  <c r="BN61" i="7"/>
  <c r="BM61" i="7"/>
  <c r="BL61" i="7"/>
  <c r="BK61" i="7"/>
  <c r="BJ61" i="7"/>
  <c r="BI61" i="7"/>
  <c r="BH61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BO60" i="7"/>
  <c r="BN60" i="7"/>
  <c r="BM60" i="7"/>
  <c r="BL60" i="7"/>
  <c r="BK60" i="7"/>
  <c r="BJ60" i="7"/>
  <c r="BI60" i="7"/>
  <c r="BH60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BO58" i="7"/>
  <c r="BN58" i="7"/>
  <c r="BM58" i="7"/>
  <c r="BL58" i="7"/>
  <c r="BK58" i="7"/>
  <c r="BJ58" i="7"/>
  <c r="BI58" i="7"/>
  <c r="BH58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BO57" i="7"/>
  <c r="BN57" i="7"/>
  <c r="BM57" i="7"/>
  <c r="BL57" i="7"/>
  <c r="BK57" i="7"/>
  <c r="BJ57" i="7"/>
  <c r="BI57" i="7"/>
  <c r="BH57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BO55" i="7"/>
  <c r="BN55" i="7"/>
  <c r="BM55" i="7"/>
  <c r="BL55" i="7"/>
  <c r="BK55" i="7"/>
  <c r="BJ55" i="7"/>
  <c r="BI55" i="7"/>
  <c r="BH55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BO54" i="7"/>
  <c r="BN54" i="7"/>
  <c r="BM54" i="7"/>
  <c r="BL54" i="7"/>
  <c r="BK54" i="7"/>
  <c r="BJ54" i="7"/>
  <c r="BI54" i="7"/>
  <c r="BH54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BO52" i="7"/>
  <c r="BN52" i="7"/>
  <c r="BM52" i="7"/>
  <c r="BL52" i="7"/>
  <c r="BK52" i="7"/>
  <c r="BJ52" i="7"/>
  <c r="BI52" i="7"/>
  <c r="BH52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BO51" i="7"/>
  <c r="BN51" i="7"/>
  <c r="BM51" i="7"/>
  <c r="BL51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BO48" i="7"/>
  <c r="BN48" i="7"/>
  <c r="BM48" i="7"/>
  <c r="BL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BO46" i="7"/>
  <c r="BN46" i="7"/>
  <c r="BM46" i="7"/>
  <c r="BL46" i="7"/>
  <c r="BK46" i="7"/>
  <c r="BJ46" i="7"/>
  <c r="BI46" i="7"/>
  <c r="BH46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BO45" i="7"/>
  <c r="BN45" i="7"/>
  <c r="BM45" i="7"/>
  <c r="BL45" i="7"/>
  <c r="BK45" i="7"/>
  <c r="BJ45" i="7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BO43" i="7"/>
  <c r="BN43" i="7"/>
  <c r="BM43" i="7"/>
  <c r="BL43" i="7"/>
  <c r="BK43" i="7"/>
  <c r="BJ43" i="7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CB37" i="7"/>
  <c r="BX37" i="7"/>
  <c r="CI36" i="7"/>
  <c r="BV36" i="7"/>
  <c r="CD34" i="7"/>
  <c r="BT34" i="7"/>
  <c r="BY30" i="7"/>
  <c r="CF15" i="7"/>
  <c r="AG16" i="6"/>
  <c r="AC16" i="6"/>
  <c r="S16" i="6"/>
  <c r="Q16" i="6"/>
  <c r="E16" i="6"/>
  <c r="H4" i="4"/>
  <c r="H4" i="6"/>
  <c r="J8" i="6"/>
  <c r="L22" i="6" l="1"/>
  <c r="CM36" i="7"/>
  <c r="CQ36" i="7"/>
  <c r="CN37" i="7"/>
  <c r="CR37" i="7"/>
  <c r="P28" i="6"/>
  <c r="K22" i="6"/>
  <c r="W22" i="6"/>
  <c r="AA22" i="6"/>
  <c r="I16" i="6"/>
  <c r="M16" i="6"/>
  <c r="U16" i="6"/>
  <c r="Y16" i="6"/>
  <c r="C22" i="6"/>
  <c r="G22" i="6"/>
  <c r="O22" i="6"/>
  <c r="S22" i="6"/>
  <c r="AE22" i="6"/>
  <c r="I8" i="6"/>
  <c r="CG44" i="7"/>
  <c r="CL28" i="7"/>
  <c r="R8" i="9"/>
  <c r="CH37" i="7"/>
  <c r="O10" i="9"/>
  <c r="CC22" i="7"/>
  <c r="AV25" i="7"/>
  <c r="BI33" i="7"/>
  <c r="AY36" i="7"/>
  <c r="CQ33" i="7"/>
  <c r="K16" i="6"/>
  <c r="H28" i="6"/>
  <c r="CB21" i="7"/>
  <c r="D22" i="6"/>
  <c r="T22" i="6"/>
  <c r="AB22" i="6"/>
  <c r="AO33" i="7"/>
  <c r="BQ21" i="7"/>
  <c r="U37" i="7"/>
  <c r="AY18" i="7"/>
  <c r="BB25" i="7"/>
  <c r="AP28" i="7"/>
  <c r="CI30" i="7"/>
  <c r="BR34" i="7"/>
  <c r="BC30" i="7"/>
  <c r="BK30" i="7"/>
  <c r="AM21" i="7"/>
  <c r="AQ24" i="7"/>
  <c r="AY24" i="7"/>
  <c r="BC27" i="7"/>
  <c r="AO27" i="7"/>
  <c r="AP34" i="7"/>
  <c r="AO36" i="7"/>
  <c r="AT37" i="7"/>
  <c r="CR31" i="7"/>
  <c r="BQ31" i="7"/>
  <c r="AE28" i="6"/>
  <c r="BK15" i="7"/>
  <c r="AE28" i="7"/>
  <c r="J30" i="7"/>
  <c r="K31" i="7"/>
  <c r="U31" i="7"/>
  <c r="AE34" i="7"/>
  <c r="AM12" i="7"/>
  <c r="AN13" i="7"/>
  <c r="AT13" i="7"/>
  <c r="AZ16" i="7"/>
  <c r="BH16" i="7"/>
  <c r="BK18" i="7"/>
  <c r="BL19" i="7"/>
  <c r="BH22" i="7"/>
  <c r="M7" i="6"/>
  <c r="H24" i="7"/>
  <c r="Z27" i="7"/>
  <c r="Z30" i="7"/>
  <c r="N33" i="7"/>
  <c r="K34" i="7"/>
  <c r="S37" i="7"/>
  <c r="AY12" i="7"/>
  <c r="BG12" i="7"/>
  <c r="BH13" i="7"/>
  <c r="AQ15" i="7"/>
  <c r="AP19" i="7"/>
  <c r="AX19" i="7"/>
  <c r="CT15" i="7"/>
  <c r="CE16" i="7"/>
  <c r="BW25" i="7"/>
  <c r="S25" i="7"/>
  <c r="AJ30" i="7"/>
  <c r="AF33" i="7"/>
  <c r="L36" i="7"/>
  <c r="X36" i="7"/>
  <c r="AP16" i="7"/>
  <c r="AQ18" i="7"/>
  <c r="BI21" i="7"/>
  <c r="AL22" i="7"/>
  <c r="AT22" i="7"/>
  <c r="AU21" i="7"/>
  <c r="BM24" i="7"/>
  <c r="BK27" i="7"/>
  <c r="BD28" i="7"/>
  <c r="BL28" i="7"/>
  <c r="AN31" i="7"/>
  <c r="AZ31" i="7"/>
  <c r="CD27" i="7"/>
  <c r="BF34" i="7"/>
  <c r="AZ37" i="7"/>
  <c r="BM36" i="7"/>
  <c r="CL22" i="7"/>
  <c r="BP30" i="7"/>
  <c r="BT30" i="7"/>
  <c r="CF30" i="7"/>
  <c r="CJ30" i="7"/>
  <c r="CP33" i="7"/>
  <c r="CT33" i="7"/>
  <c r="BW34" i="7"/>
  <c r="CA34" i="7"/>
  <c r="CM34" i="7"/>
  <c r="CQ34" i="7"/>
  <c r="CQ22" i="7"/>
  <c r="BY21" i="7"/>
  <c r="CH15" i="7"/>
  <c r="BT21" i="7"/>
  <c r="BX21" i="7"/>
  <c r="CF21" i="7"/>
  <c r="CP21" i="7"/>
  <c r="CC31" i="7"/>
  <c r="CG31" i="7"/>
  <c r="CS31" i="7"/>
  <c r="CK36" i="7"/>
  <c r="CO36" i="7"/>
  <c r="CS36" i="7"/>
  <c r="BR37" i="7"/>
  <c r="BV37" i="7"/>
  <c r="BZ37" i="7"/>
  <c r="CD37" i="7"/>
  <c r="CL37" i="7"/>
  <c r="CP37" i="7"/>
  <c r="CT37" i="7"/>
  <c r="X22" i="6"/>
  <c r="AF22" i="6"/>
  <c r="K24" i="7"/>
  <c r="W24" i="7"/>
  <c r="L25" i="7"/>
  <c r="T25" i="7"/>
  <c r="F28" i="7"/>
  <c r="V28" i="7"/>
  <c r="AX15" i="7"/>
  <c r="AU16" i="7"/>
  <c r="BN33" i="7"/>
  <c r="BL36" i="7"/>
  <c r="BD30" i="7"/>
  <c r="AS34" i="7"/>
  <c r="AD12" i="7"/>
  <c r="V15" i="7"/>
  <c r="AF15" i="7"/>
  <c r="Y16" i="7"/>
  <c r="L18" i="7"/>
  <c r="AF18" i="7"/>
  <c r="N18" i="7"/>
  <c r="AD18" i="7"/>
  <c r="AA19" i="7"/>
  <c r="I22" i="7"/>
  <c r="M22" i="7"/>
  <c r="Y22" i="7"/>
  <c r="AC22" i="7"/>
  <c r="F21" i="7"/>
  <c r="N21" i="7"/>
  <c r="R21" i="7"/>
  <c r="V21" i="7"/>
  <c r="Z21" i="7"/>
  <c r="L24" i="7"/>
  <c r="L26" i="7" s="1"/>
  <c r="P24" i="7"/>
  <c r="X24" i="7"/>
  <c r="AB24" i="7"/>
  <c r="AF24" i="7"/>
  <c r="G25" i="7"/>
  <c r="O25" i="7"/>
  <c r="W25" i="7"/>
  <c r="AE25" i="7"/>
  <c r="AI25" i="7"/>
  <c r="F27" i="7"/>
  <c r="J27" i="7"/>
  <c r="N27" i="7"/>
  <c r="V27" i="7"/>
  <c r="AD27" i="7"/>
  <c r="K28" i="7"/>
  <c r="O28" i="7"/>
  <c r="S28" i="7"/>
  <c r="AA28" i="7"/>
  <c r="AI28" i="7"/>
  <c r="F30" i="7"/>
  <c r="N30" i="7"/>
  <c r="R30" i="7"/>
  <c r="V30" i="7"/>
  <c r="AD30" i="7"/>
  <c r="AH30" i="7"/>
  <c r="G31" i="7"/>
  <c r="O31" i="7"/>
  <c r="S31" i="7"/>
  <c r="W31" i="7"/>
  <c r="AA31" i="7"/>
  <c r="AE31" i="7"/>
  <c r="AI31" i="7"/>
  <c r="F33" i="7"/>
  <c r="J33" i="7"/>
  <c r="R33" i="7"/>
  <c r="V33" i="7"/>
  <c r="Z33" i="7"/>
  <c r="AD33" i="7"/>
  <c r="AH33" i="7"/>
  <c r="G34" i="7"/>
  <c r="H27" i="7"/>
  <c r="L27" i="7"/>
  <c r="O34" i="7"/>
  <c r="S34" i="7"/>
  <c r="W34" i="7"/>
  <c r="AA34" i="7"/>
  <c r="AI34" i="7"/>
  <c r="AM15" i="7"/>
  <c r="AU15" i="7"/>
  <c r="AY15" i="7"/>
  <c r="BC15" i="7"/>
  <c r="BG15" i="7"/>
  <c r="BO15" i="7"/>
  <c r="AN16" i="7"/>
  <c r="AR16" i="7"/>
  <c r="AV16" i="7"/>
  <c r="BD16" i="7"/>
  <c r="BL16" i="7"/>
  <c r="AK18" i="7"/>
  <c r="AO18" i="7"/>
  <c r="AS18" i="7"/>
  <c r="AW18" i="7"/>
  <c r="BA18" i="7"/>
  <c r="BE18" i="7"/>
  <c r="BI18" i="7"/>
  <c r="BM18" i="7"/>
  <c r="AL19" i="7"/>
  <c r="AT19" i="7"/>
  <c r="BB19" i="7"/>
  <c r="BF19" i="7"/>
  <c r="BJ19" i="7"/>
  <c r="BN19" i="7"/>
  <c r="H30" i="7"/>
  <c r="L30" i="7"/>
  <c r="P30" i="7"/>
  <c r="T30" i="7"/>
  <c r="X30" i="7"/>
  <c r="AB30" i="7"/>
  <c r="AF30" i="7"/>
  <c r="I31" i="7"/>
  <c r="M31" i="7"/>
  <c r="Q31" i="7"/>
  <c r="Y31" i="7"/>
  <c r="AC31" i="7"/>
  <c r="AG31" i="7"/>
  <c r="H33" i="7"/>
  <c r="L33" i="7"/>
  <c r="P33" i="7"/>
  <c r="T33" i="7"/>
  <c r="X33" i="7"/>
  <c r="AB33" i="7"/>
  <c r="AJ33" i="7"/>
  <c r="I34" i="7"/>
  <c r="M34" i="7"/>
  <c r="Q34" i="7"/>
  <c r="U34" i="7"/>
  <c r="Y34" i="7"/>
  <c r="AC34" i="7"/>
  <c r="AG34" i="7"/>
  <c r="F36" i="7"/>
  <c r="J36" i="7"/>
  <c r="N36" i="7"/>
  <c r="R36" i="7"/>
  <c r="V36" i="7"/>
  <c r="Z36" i="7"/>
  <c r="AD36" i="7"/>
  <c r="AH36" i="7"/>
  <c r="G37" i="7"/>
  <c r="K37" i="7"/>
  <c r="O37" i="7"/>
  <c r="W37" i="7"/>
  <c r="AA37" i="7"/>
  <c r="AE37" i="7"/>
  <c r="AI37" i="7"/>
  <c r="H36" i="7"/>
  <c r="P36" i="7"/>
  <c r="T36" i="7"/>
  <c r="AB36" i="7"/>
  <c r="AF36" i="7"/>
  <c r="AJ36" i="7"/>
  <c r="I37" i="7"/>
  <c r="M37" i="7"/>
  <c r="Q37" i="7"/>
  <c r="Y37" i="7"/>
  <c r="AC37" i="7"/>
  <c r="AG37" i="7"/>
  <c r="AQ12" i="7"/>
  <c r="AU12" i="7"/>
  <c r="BK12" i="7"/>
  <c r="BO12" i="7"/>
  <c r="AR13" i="7"/>
  <c r="AV13" i="7"/>
  <c r="AZ13" i="7"/>
  <c r="BD13" i="7"/>
  <c r="BL13" i="7"/>
  <c r="AK12" i="7"/>
  <c r="AO12" i="7"/>
  <c r="AS12" i="7"/>
  <c r="AW12" i="7"/>
  <c r="BA12" i="7"/>
  <c r="BE12" i="7"/>
  <c r="BI12" i="7"/>
  <c r="BM12" i="7"/>
  <c r="AL13" i="7"/>
  <c r="AP13" i="7"/>
  <c r="AX13" i="7"/>
  <c r="BB13" i="7"/>
  <c r="BF13" i="7"/>
  <c r="BJ13" i="7"/>
  <c r="BN13" i="7"/>
  <c r="AK15" i="7"/>
  <c r="AO15" i="7"/>
  <c r="AS15" i="7"/>
  <c r="AW15" i="7"/>
  <c r="BA15" i="7"/>
  <c r="BE15" i="7"/>
  <c r="BI15" i="7"/>
  <c r="BM15" i="7"/>
  <c r="AL16" i="7"/>
  <c r="AT16" i="7"/>
  <c r="AX16" i="7"/>
  <c r="BB16" i="7"/>
  <c r="BF16" i="7"/>
  <c r="BJ16" i="7"/>
  <c r="BN16" i="7"/>
  <c r="AM18" i="7"/>
  <c r="AU18" i="7"/>
  <c r="BC18" i="7"/>
  <c r="BG18" i="7"/>
  <c r="BO18" i="7"/>
  <c r="AN19" i="7"/>
  <c r="AR19" i="7"/>
  <c r="AV19" i="7"/>
  <c r="AZ19" i="7"/>
  <c r="BD19" i="7"/>
  <c r="BH19" i="7"/>
  <c r="AK21" i="7"/>
  <c r="AO21" i="7"/>
  <c r="AS21" i="7"/>
  <c r="AW21" i="7"/>
  <c r="BA21" i="7"/>
  <c r="BE21" i="7"/>
  <c r="BM21" i="7"/>
  <c r="AP22" i="7"/>
  <c r="AX22" i="7"/>
  <c r="BB22" i="7"/>
  <c r="BF22" i="7"/>
  <c r="BJ22" i="7"/>
  <c r="BN22" i="7"/>
  <c r="AQ21" i="7"/>
  <c r="AY21" i="7"/>
  <c r="BC21" i="7"/>
  <c r="BG21" i="7"/>
  <c r="BK21" i="7"/>
  <c r="BO21" i="7"/>
  <c r="AN22" i="7"/>
  <c r="AR22" i="7"/>
  <c r="AV22" i="7"/>
  <c r="AZ22" i="7"/>
  <c r="BD22" i="7"/>
  <c r="BL22" i="7"/>
  <c r="AK24" i="7"/>
  <c r="AO24" i="7"/>
  <c r="AS24" i="7"/>
  <c r="AW24" i="7"/>
  <c r="BA24" i="7"/>
  <c r="BE24" i="7"/>
  <c r="BI24" i="7"/>
  <c r="AL25" i="7"/>
  <c r="AP25" i="7"/>
  <c r="AT25" i="7"/>
  <c r="AX25" i="7"/>
  <c r="BF25" i="7"/>
  <c r="BJ25" i="7"/>
  <c r="BN25" i="7"/>
  <c r="AM24" i="7"/>
  <c r="AU24" i="7"/>
  <c r="BC24" i="7"/>
  <c r="BG24" i="7"/>
  <c r="BK24" i="7"/>
  <c r="BO24" i="7"/>
  <c r="AN25" i="7"/>
  <c r="AR25" i="7"/>
  <c r="CM15" i="7"/>
  <c r="BV24" i="7"/>
  <c r="BZ24" i="7"/>
  <c r="CT24" i="7"/>
  <c r="BV28" i="7"/>
  <c r="BW27" i="7"/>
  <c r="BU33" i="7"/>
  <c r="BY33" i="7"/>
  <c r="CC33" i="7"/>
  <c r="CG33" i="7"/>
  <c r="F16" i="6"/>
  <c r="J16" i="6"/>
  <c r="N16" i="6"/>
  <c r="R16" i="6"/>
  <c r="V16" i="6"/>
  <c r="Z16" i="6"/>
  <c r="AD16" i="6"/>
  <c r="H22" i="6"/>
  <c r="P22" i="6"/>
  <c r="AZ25" i="7"/>
  <c r="BD25" i="7"/>
  <c r="BH25" i="7"/>
  <c r="BL25" i="7"/>
  <c r="AM27" i="7"/>
  <c r="AQ27" i="7"/>
  <c r="AU27" i="7"/>
  <c r="AY27" i="7"/>
  <c r="BG27" i="7"/>
  <c r="BO27" i="7"/>
  <c r="AN28" i="7"/>
  <c r="AR28" i="7"/>
  <c r="AV28" i="7"/>
  <c r="AZ28" i="7"/>
  <c r="BH28" i="7"/>
  <c r="AK27" i="7"/>
  <c r="AS27" i="7"/>
  <c r="AW27" i="7"/>
  <c r="BA27" i="7"/>
  <c r="BE27" i="7"/>
  <c r="BI27" i="7"/>
  <c r="BM27" i="7"/>
  <c r="AL28" i="7"/>
  <c r="AT28" i="7"/>
  <c r="AX28" i="7"/>
  <c r="BB28" i="7"/>
  <c r="BF28" i="7"/>
  <c r="BJ28" i="7"/>
  <c r="BN28" i="7"/>
  <c r="AM30" i="7"/>
  <c r="AQ30" i="7"/>
  <c r="AU30" i="7"/>
  <c r="AY30" i="7"/>
  <c r="BG30" i="7"/>
  <c r="BO30" i="7"/>
  <c r="AR31" i="7"/>
  <c r="AV31" i="7"/>
  <c r="BD31" i="7"/>
  <c r="BH31" i="7"/>
  <c r="BL31" i="7"/>
  <c r="AK30" i="7"/>
  <c r="AO30" i="7"/>
  <c r="AS30" i="7"/>
  <c r="AW30" i="7"/>
  <c r="BA30" i="7"/>
  <c r="BE30" i="7"/>
  <c r="BI30" i="7"/>
  <c r="AM33" i="7"/>
  <c r="AQ33" i="7"/>
  <c r="AU33" i="7"/>
  <c r="AY33" i="7"/>
  <c r="BC33" i="7"/>
  <c r="BG33" i="7"/>
  <c r="BK33" i="7"/>
  <c r="BO33" i="7"/>
  <c r="AN34" i="7"/>
  <c r="AR34" i="7"/>
  <c r="AV34" i="7"/>
  <c r="AZ34" i="7"/>
  <c r="BD34" i="7"/>
  <c r="BH34" i="7"/>
  <c r="BL34" i="7"/>
  <c r="BQ24" i="7"/>
  <c r="BQ30" i="7"/>
  <c r="BU30" i="7"/>
  <c r="CC30" i="7"/>
  <c r="CG30" i="7"/>
  <c r="CK30" i="7"/>
  <c r="CO30" i="7"/>
  <c r="BR31" i="7"/>
  <c r="BV31" i="7"/>
  <c r="CH31" i="7"/>
  <c r="CL31" i="7"/>
  <c r="BS30" i="7"/>
  <c r="BW30" i="7"/>
  <c r="CA30" i="7"/>
  <c r="CE30" i="7"/>
  <c r="CM33" i="7"/>
  <c r="BP34" i="7"/>
  <c r="BX34" i="7"/>
  <c r="CB34" i="7"/>
  <c r="CF34" i="7"/>
  <c r="CJ34" i="7"/>
  <c r="CN34" i="7"/>
  <c r="CR34" i="7"/>
  <c r="BP37" i="7"/>
  <c r="BT37" i="7"/>
  <c r="CF37" i="7"/>
  <c r="CJ37" i="7"/>
  <c r="BR22" i="7"/>
  <c r="CM24" i="7"/>
  <c r="CA28" i="7"/>
  <c r="CO33" i="7"/>
  <c r="CS33" i="7"/>
  <c r="AM25" i="7"/>
  <c r="CJ36" i="7"/>
  <c r="Q21" i="7"/>
  <c r="AO13" i="7"/>
  <c r="BN18" i="7"/>
  <c r="CC44" i="7"/>
  <c r="CJ13" i="7"/>
  <c r="BP15" i="7"/>
  <c r="BU15" i="7"/>
  <c r="CL15" i="7"/>
  <c r="CP15" i="7"/>
  <c r="BS16" i="7"/>
  <c r="BW16" i="7"/>
  <c r="CA16" i="7"/>
  <c r="CI16" i="7"/>
  <c r="CM16" i="7"/>
  <c r="CQ16" i="7"/>
  <c r="CG15" i="7"/>
  <c r="BP18" i="7"/>
  <c r="BQ22" i="7"/>
  <c r="BU22" i="7"/>
  <c r="BY22" i="7"/>
  <c r="BY23" i="7" s="1"/>
  <c r="CG22" i="7"/>
  <c r="BS21" i="7"/>
  <c r="BW21" i="7"/>
  <c r="CA21" i="7"/>
  <c r="CE21" i="7"/>
  <c r="CO21" i="7"/>
  <c r="CB31" i="7"/>
  <c r="CF31" i="7"/>
  <c r="CN31" i="7"/>
  <c r="BX33" i="7"/>
  <c r="CN36" i="7"/>
  <c r="CN38" i="7" s="1"/>
  <c r="CR36" i="7"/>
  <c r="CR38" i="7" s="1"/>
  <c r="BQ37" i="7"/>
  <c r="BU37" i="7"/>
  <c r="BU38" i="7" s="1"/>
  <c r="BY37" i="7"/>
  <c r="CC37" i="7"/>
  <c r="CG37" i="7"/>
  <c r="CK37" i="7"/>
  <c r="CO37" i="7"/>
  <c r="CS37" i="7"/>
  <c r="W16" i="6"/>
  <c r="AH21" i="6"/>
  <c r="G28" i="6"/>
  <c r="S28" i="6"/>
  <c r="AA28" i="6"/>
  <c r="BM30" i="7"/>
  <c r="AL31" i="7"/>
  <c r="AP31" i="7"/>
  <c r="AT31" i="7"/>
  <c r="AX31" i="7"/>
  <c r="BB31" i="7"/>
  <c r="BF31" i="7"/>
  <c r="BJ31" i="7"/>
  <c r="BN31" i="7"/>
  <c r="AK33" i="7"/>
  <c r="AS33" i="7"/>
  <c r="AW33" i="7"/>
  <c r="BA33" i="7"/>
  <c r="BE33" i="7"/>
  <c r="BM33" i="7"/>
  <c r="AL34" i="7"/>
  <c r="AT34" i="7"/>
  <c r="AX34" i="7"/>
  <c r="BB34" i="7"/>
  <c r="BJ34" i="7"/>
  <c r="BN34" i="7"/>
  <c r="AM36" i="7"/>
  <c r="AQ36" i="7"/>
  <c r="AU36" i="7"/>
  <c r="BC36" i="7"/>
  <c r="BG36" i="7"/>
  <c r="BK36" i="7"/>
  <c r="BO36" i="7"/>
  <c r="AN37" i="7"/>
  <c r="AR37" i="7"/>
  <c r="AV37" i="7"/>
  <c r="BD37" i="7"/>
  <c r="BH37" i="7"/>
  <c r="BL37" i="7"/>
  <c r="AK36" i="7"/>
  <c r="AS36" i="7"/>
  <c r="AW36" i="7"/>
  <c r="BA36" i="7"/>
  <c r="BE36" i="7"/>
  <c r="BI36" i="7"/>
  <c r="AL37" i="7"/>
  <c r="AP37" i="7"/>
  <c r="AX37" i="7"/>
  <c r="BB37" i="7"/>
  <c r="BF37" i="7"/>
  <c r="BJ37" i="7"/>
  <c r="BN37" i="7"/>
  <c r="CC18" i="7"/>
  <c r="CJ22" i="7"/>
  <c r="CN22" i="7"/>
  <c r="CR22" i="7"/>
  <c r="CP22" i="7"/>
  <c r="CT22" i="7"/>
  <c r="BS22" i="7"/>
  <c r="BV34" i="7"/>
  <c r="BZ34" i="7"/>
  <c r="CH34" i="7"/>
  <c r="CL34" i="7"/>
  <c r="CP34" i="7"/>
  <c r="CT34" i="7"/>
  <c r="F22" i="6"/>
  <c r="J22" i="6"/>
  <c r="N22" i="6"/>
  <c r="R22" i="6"/>
  <c r="V22" i="6"/>
  <c r="Z22" i="6"/>
  <c r="AD22" i="6"/>
  <c r="D28" i="6"/>
  <c r="L28" i="6"/>
  <c r="T28" i="6"/>
  <c r="X28" i="6"/>
  <c r="AB28" i="6"/>
  <c r="AF28" i="6"/>
  <c r="BT15" i="7"/>
  <c r="BX15" i="7"/>
  <c r="CB15" i="7"/>
  <c r="BV21" i="7"/>
  <c r="BZ21" i="7"/>
  <c r="CD21" i="7"/>
  <c r="CF22" i="7"/>
  <c r="BP22" i="7"/>
  <c r="BT22" i="7"/>
  <c r="BX22" i="7"/>
  <c r="CB22" i="7"/>
  <c r="K6" i="4"/>
  <c r="K8" i="4" s="1"/>
  <c r="K8" i="6"/>
  <c r="BC44" i="7"/>
  <c r="BC12" i="7"/>
  <c r="AH20" i="6"/>
  <c r="BY19" i="7"/>
  <c r="CG18" i="7"/>
  <c r="BV22" i="7"/>
  <c r="CD22" i="7"/>
  <c r="CL25" i="7"/>
  <c r="CT25" i="7"/>
  <c r="BP27" i="7"/>
  <c r="BZ27" i="7"/>
  <c r="CP27" i="7"/>
  <c r="BS28" i="7"/>
  <c r="CI28" i="7"/>
  <c r="CQ28" i="7"/>
  <c r="CP12" i="7"/>
  <c r="BY18" i="7"/>
  <c r="CI21" i="7"/>
  <c r="BZ22" i="7"/>
  <c r="CP25" i="7"/>
  <c r="BV27" i="7"/>
  <c r="CL27" i="7"/>
  <c r="CT27" i="7"/>
  <c r="BW28" i="7"/>
  <c r="CE28" i="7"/>
  <c r="CM28" i="7"/>
  <c r="CM30" i="7"/>
  <c r="CQ30" i="7"/>
  <c r="C16" i="6"/>
  <c r="G16" i="6"/>
  <c r="AA16" i="6"/>
  <c r="E22" i="6"/>
  <c r="I22" i="6"/>
  <c r="M22" i="6"/>
  <c r="Q22" i="6"/>
  <c r="U22" i="6"/>
  <c r="Y22" i="6"/>
  <c r="AC22" i="6"/>
  <c r="AG22" i="6"/>
  <c r="C28" i="6"/>
  <c r="K28" i="6"/>
  <c r="O28" i="6"/>
  <c r="W28" i="6"/>
  <c r="BP31" i="7"/>
  <c r="BT31" i="7"/>
  <c r="BX31" i="7"/>
  <c r="CJ31" i="7"/>
  <c r="O16" i="6"/>
  <c r="AE16" i="6"/>
  <c r="H8" i="6"/>
  <c r="AH14" i="6"/>
  <c r="I21" i="7"/>
  <c r="M21" i="7"/>
  <c r="U21" i="7"/>
  <c r="AC21" i="7"/>
  <c r="AG21" i="7"/>
  <c r="J22" i="7"/>
  <c r="N22" i="7"/>
  <c r="R22" i="7"/>
  <c r="Z22" i="7"/>
  <c r="AD22" i="7"/>
  <c r="AH22" i="7"/>
  <c r="G21" i="7"/>
  <c r="K21" i="7"/>
  <c r="O21" i="7"/>
  <c r="S21" i="7"/>
  <c r="W21" i="7"/>
  <c r="AA21" i="7"/>
  <c r="AE21" i="7"/>
  <c r="AI21" i="7"/>
  <c r="H22" i="7"/>
  <c r="L22" i="7"/>
  <c r="P22" i="7"/>
  <c r="T22" i="7"/>
  <c r="X22" i="7"/>
  <c r="AB22" i="7"/>
  <c r="AF22" i="7"/>
  <c r="AJ22" i="7"/>
  <c r="I24" i="7"/>
  <c r="M24" i="7"/>
  <c r="Q24" i="7"/>
  <c r="U24" i="7"/>
  <c r="Y24" i="7"/>
  <c r="AC24" i="7"/>
  <c r="AG24" i="7"/>
  <c r="F25" i="7"/>
  <c r="J25" i="7"/>
  <c r="N25" i="7"/>
  <c r="R25" i="7"/>
  <c r="V25" i="7"/>
  <c r="Z25" i="7"/>
  <c r="AD25" i="7"/>
  <c r="AH25" i="7"/>
  <c r="G24" i="7"/>
  <c r="O24" i="7"/>
  <c r="S24" i="7"/>
  <c r="AA24" i="7"/>
  <c r="AE24" i="7"/>
  <c r="AI24" i="7"/>
  <c r="H25" i="7"/>
  <c r="P25" i="7"/>
  <c r="X25" i="7"/>
  <c r="AB25" i="7"/>
  <c r="AF25" i="7"/>
  <c r="AJ25" i="7"/>
  <c r="AI27" i="7"/>
  <c r="AI29" i="7" s="1"/>
  <c r="X28" i="7"/>
  <c r="I27" i="7"/>
  <c r="M27" i="7"/>
  <c r="Q27" i="7"/>
  <c r="U27" i="7"/>
  <c r="Y27" i="7"/>
  <c r="AC27" i="7"/>
  <c r="AG27" i="7"/>
  <c r="J28" i="7"/>
  <c r="N28" i="7"/>
  <c r="R28" i="7"/>
  <c r="Z28" i="7"/>
  <c r="AD28" i="7"/>
  <c r="AH28" i="7"/>
  <c r="W30" i="7"/>
  <c r="H34" i="7"/>
  <c r="X34" i="7"/>
  <c r="U33" i="7"/>
  <c r="S36" i="7"/>
  <c r="N37" i="7"/>
  <c r="BL44" i="7"/>
  <c r="AK13" i="7"/>
  <c r="AS13" i="7"/>
  <c r="AS14" i="7" s="1"/>
  <c r="AW13" i="7"/>
  <c r="BA13" i="7"/>
  <c r="BE13" i="7"/>
  <c r="BI13" i="7"/>
  <c r="BM13" i="7"/>
  <c r="AL15" i="7"/>
  <c r="AP15" i="7"/>
  <c r="AP17" i="7" s="1"/>
  <c r="AT15" i="7"/>
  <c r="BB15" i="7"/>
  <c r="BF15" i="7"/>
  <c r="BJ15" i="7"/>
  <c r="BN15" i="7"/>
  <c r="AM16" i="7"/>
  <c r="AQ16" i="7"/>
  <c r="AY16" i="7"/>
  <c r="BC16" i="7"/>
  <c r="BG16" i="7"/>
  <c r="BK16" i="7"/>
  <c r="BO16" i="7"/>
  <c r="AL18" i="7"/>
  <c r="AP18" i="7"/>
  <c r="AT18" i="7"/>
  <c r="AX18" i="7"/>
  <c r="BB18" i="7"/>
  <c r="BF18" i="7"/>
  <c r="BJ18" i="7"/>
  <c r="AQ19" i="7"/>
  <c r="AU19" i="7"/>
  <c r="AY25" i="7"/>
  <c r="BG19" i="7"/>
  <c r="BK19" i="7"/>
  <c r="AP21" i="7"/>
  <c r="AT21" i="7"/>
  <c r="BF21" i="7"/>
  <c r="BJ21" i="7"/>
  <c r="AS22" i="7"/>
  <c r="AW22" i="7"/>
  <c r="BI22" i="7"/>
  <c r="BM22" i="7"/>
  <c r="AQ25" i="7"/>
  <c r="AU25" i="7"/>
  <c r="BC25" i="7"/>
  <c r="BG25" i="7"/>
  <c r="BK25" i="7"/>
  <c r="BO25" i="7"/>
  <c r="AR24" i="7"/>
  <c r="AV24" i="7"/>
  <c r="AZ24" i="7"/>
  <c r="BH24" i="7"/>
  <c r="BL24" i="7"/>
  <c r="AP27" i="7"/>
  <c r="AT27" i="7"/>
  <c r="BF27" i="7"/>
  <c r="BJ27" i="7"/>
  <c r="AU28" i="7"/>
  <c r="AY28" i="7"/>
  <c r="BK28" i="7"/>
  <c r="O16" i="7"/>
  <c r="F18" i="7"/>
  <c r="V18" i="7"/>
  <c r="G19" i="7"/>
  <c r="W19" i="7"/>
  <c r="X18" i="7"/>
  <c r="J21" i="7"/>
  <c r="AH21" i="7"/>
  <c r="K25" i="7"/>
  <c r="AA25" i="7"/>
  <c r="T24" i="7"/>
  <c r="AJ24" i="7"/>
  <c r="BO28" i="7"/>
  <c r="AN30" i="7"/>
  <c r="AR30" i="7"/>
  <c r="AV30" i="7"/>
  <c r="AZ30" i="7"/>
  <c r="BH30" i="7"/>
  <c r="BL30" i="7"/>
  <c r="AL30" i="7"/>
  <c r="AP30" i="7"/>
  <c r="AT30" i="7"/>
  <c r="AX30" i="7"/>
  <c r="BB30" i="7"/>
  <c r="BF30" i="7"/>
  <c r="BJ30" i="7"/>
  <c r="BN30" i="7"/>
  <c r="AM31" i="7"/>
  <c r="AU31" i="7"/>
  <c r="AY31" i="7"/>
  <c r="BC31" i="7"/>
  <c r="BK31" i="7"/>
  <c r="BO31" i="7"/>
  <c r="AK34" i="7"/>
  <c r="AO34" i="7"/>
  <c r="AW34" i="7"/>
  <c r="BA34" i="7"/>
  <c r="BE34" i="7"/>
  <c r="BI34" i="7"/>
  <c r="BM34" i="7"/>
  <c r="AL33" i="7"/>
  <c r="AP33" i="7"/>
  <c r="AT33" i="7"/>
  <c r="AX33" i="7"/>
  <c r="BB33" i="7"/>
  <c r="BF33" i="7"/>
  <c r="BJ33" i="7"/>
  <c r="AN36" i="7"/>
  <c r="AR36" i="7"/>
  <c r="AV36" i="7"/>
  <c r="AZ36" i="7"/>
  <c r="BD36" i="7"/>
  <c r="BH36" i="7"/>
  <c r="AK37" i="7"/>
  <c r="AO37" i="7"/>
  <c r="AO38" i="7" s="1"/>
  <c r="AS37" i="7"/>
  <c r="AW37" i="7"/>
  <c r="BA37" i="7"/>
  <c r="BE37" i="7"/>
  <c r="BI37" i="7"/>
  <c r="BM37" i="7"/>
  <c r="AL36" i="7"/>
  <c r="AP36" i="7"/>
  <c r="AT36" i="7"/>
  <c r="AX36" i="7"/>
  <c r="BB36" i="7"/>
  <c r="BF36" i="7"/>
  <c r="BJ36" i="7"/>
  <c r="BN36" i="7"/>
  <c r="AM37" i="7"/>
  <c r="AQ37" i="7"/>
  <c r="AU37" i="7"/>
  <c r="AY37" i="7"/>
  <c r="BC37" i="7"/>
  <c r="BG37" i="7"/>
  <c r="BK37" i="7"/>
  <c r="BO37" i="7"/>
  <c r="BW12" i="7"/>
  <c r="BP13" i="7"/>
  <c r="BT13" i="7"/>
  <c r="CF13" i="7"/>
  <c r="BZ12" i="7"/>
  <c r="CH12" i="7"/>
  <c r="CT12" i="7"/>
  <c r="CA13" i="7"/>
  <c r="CE13" i="7"/>
  <c r="CQ13" i="7"/>
  <c r="BP12" i="7"/>
  <c r="CK12" i="7"/>
  <c r="CO12" i="7"/>
  <c r="BV13" i="7"/>
  <c r="BZ13" i="7"/>
  <c r="CL13" i="7"/>
  <c r="CP13" i="7"/>
  <c r="BW15" i="7"/>
  <c r="CA15" i="7"/>
  <c r="CN15" i="7"/>
  <c r="CR15" i="7"/>
  <c r="BU16" i="7"/>
  <c r="CC16" i="7"/>
  <c r="CK16" i="7"/>
  <c r="CS16" i="7"/>
  <c r="CB18" i="7"/>
  <c r="CF18" i="7"/>
  <c r="CJ18" i="7"/>
  <c r="CT19" i="7"/>
  <c r="BZ18" i="7"/>
  <c r="CD18" i="7"/>
  <c r="CH18" i="7"/>
  <c r="BW19" i="7"/>
  <c r="CE19" i="7"/>
  <c r="CM19" i="7"/>
  <c r="BQ18" i="7"/>
  <c r="BV18" i="7"/>
  <c r="BU19" i="7"/>
  <c r="CC19" i="7"/>
  <c r="CG19" i="7"/>
  <c r="CK19" i="7"/>
  <c r="CO19" i="7"/>
  <c r="CN18" i="7"/>
  <c r="CM18" i="7"/>
  <c r="CN21" i="7"/>
  <c r="CR21" i="7"/>
  <c r="BW22" i="7"/>
  <c r="CA22" i="7"/>
  <c r="CK22" i="7"/>
  <c r="CO22" i="7"/>
  <c r="CS22" i="7"/>
  <c r="CM22" i="7"/>
  <c r="BP21" i="7"/>
  <c r="BU21" i="7"/>
  <c r="CC21" i="7"/>
  <c r="CQ21" i="7"/>
  <c r="CQ23" i="7" s="1"/>
  <c r="BS24" i="7"/>
  <c r="BX24" i="7"/>
  <c r="BQ25" i="7"/>
  <c r="BU25" i="7"/>
  <c r="CC25" i="7"/>
  <c r="CG25" i="7"/>
  <c r="CK25" i="7"/>
  <c r="CO25" i="7"/>
  <c r="CS25" i="7"/>
  <c r="BW24" i="7"/>
  <c r="CO24" i="7"/>
  <c r="CS24" i="7"/>
  <c r="BV25" i="7"/>
  <c r="CA25" i="7"/>
  <c r="CE25" i="7"/>
  <c r="CI25" i="7"/>
  <c r="CM25" i="7"/>
  <c r="CQ25" i="7"/>
  <c r="BP24" i="7"/>
  <c r="CB24" i="7"/>
  <c r="BY24" i="7"/>
  <c r="CD24" i="7"/>
  <c r="CI24" i="7"/>
  <c r="CQ24" i="7"/>
  <c r="BP25" i="7"/>
  <c r="BT25" i="7"/>
  <c r="BX25" i="7"/>
  <c r="CB25" i="7"/>
  <c r="CN25" i="7"/>
  <c r="BS25" i="7"/>
  <c r="CH24" i="7"/>
  <c r="CP24" i="7"/>
  <c r="BQ27" i="7"/>
  <c r="CI27" i="7"/>
  <c r="CM27" i="7"/>
  <c r="CM29" i="7" s="1"/>
  <c r="CQ27" i="7"/>
  <c r="CQ29" i="7" s="1"/>
  <c r="BP28" i="7"/>
  <c r="BT28" i="7"/>
  <c r="BX28" i="7"/>
  <c r="CB28" i="7"/>
  <c r="CF28" i="7"/>
  <c r="CJ28" i="7"/>
  <c r="CN28" i="7"/>
  <c r="BU27" i="7"/>
  <c r="BY27" i="7"/>
  <c r="CC27" i="7"/>
  <c r="CG27" i="7"/>
  <c r="CO27" i="7"/>
  <c r="CS27" i="7"/>
  <c r="BR28" i="7"/>
  <c r="BZ28" i="7"/>
  <c r="CD28" i="7"/>
  <c r="CH28" i="7"/>
  <c r="CP28" i="7"/>
  <c r="CT28" i="7"/>
  <c r="BX27" i="7"/>
  <c r="CB27" i="7"/>
  <c r="CF27" i="7"/>
  <c r="CJ27" i="7"/>
  <c r="CN27" i="7"/>
  <c r="CR27" i="7"/>
  <c r="BQ28" i="7"/>
  <c r="BU28" i="7"/>
  <c r="BY28" i="7"/>
  <c r="CC28" i="7"/>
  <c r="CG28" i="7"/>
  <c r="CK28" i="7"/>
  <c r="CO28" i="7"/>
  <c r="BS27" i="7"/>
  <c r="CS28" i="7"/>
  <c r="BR30" i="7"/>
  <c r="BV30" i="7"/>
  <c r="BZ30" i="7"/>
  <c r="CD30" i="7"/>
  <c r="CH30" i="7"/>
  <c r="CP30" i="7"/>
  <c r="CT30" i="7"/>
  <c r="BS31" i="7"/>
  <c r="BW31" i="7"/>
  <c r="CA31" i="7"/>
  <c r="CE31" i="7"/>
  <c r="CI31" i="7"/>
  <c r="CM31" i="7"/>
  <c r="CQ31" i="7"/>
  <c r="BX30" i="7"/>
  <c r="CB30" i="7"/>
  <c r="CN30" i="7"/>
  <c r="CN32" i="7" s="1"/>
  <c r="CR30" i="7"/>
  <c r="BU31" i="7"/>
  <c r="BY31" i="7"/>
  <c r="BY32" i="7" s="1"/>
  <c r="CK31" i="7"/>
  <c r="CO31" i="7"/>
  <c r="CS30" i="7"/>
  <c r="CS32" i="7" s="1"/>
  <c r="BZ31" i="7"/>
  <c r="CD31" i="7"/>
  <c r="CP31" i="7"/>
  <c r="CT31" i="7"/>
  <c r="BW33" i="7"/>
  <c r="CA33" i="7"/>
  <c r="CN33" i="7"/>
  <c r="CR33" i="7"/>
  <c r="BQ34" i="7"/>
  <c r="BU34" i="7"/>
  <c r="BY34" i="7"/>
  <c r="CC34" i="7"/>
  <c r="CG34" i="7"/>
  <c r="CK34" i="7"/>
  <c r="CO34" i="7"/>
  <c r="CS34" i="7"/>
  <c r="CF33" i="7"/>
  <c r="BS34" i="7"/>
  <c r="CE34" i="7"/>
  <c r="CI34" i="7"/>
  <c r="BP33" i="7"/>
  <c r="BT33" i="7"/>
  <c r="BT35" i="7" s="1"/>
  <c r="CB33" i="7"/>
  <c r="CK33" i="7"/>
  <c r="BV33" i="7"/>
  <c r="BV35" i="7" s="1"/>
  <c r="BZ33" i="7"/>
  <c r="BZ35" i="7" s="1"/>
  <c r="CD33" i="7"/>
  <c r="CD35" i="7" s="1"/>
  <c r="BZ36" i="7"/>
  <c r="CD36" i="7"/>
  <c r="BQ36" i="7"/>
  <c r="BQ38" i="7" s="1"/>
  <c r="CC36" i="7"/>
  <c r="CL36" i="7"/>
  <c r="CL38" i="7" s="1"/>
  <c r="CP36" i="7"/>
  <c r="CP38" i="7" s="1"/>
  <c r="CT36" i="7"/>
  <c r="CT38" i="7" s="1"/>
  <c r="BS37" i="7"/>
  <c r="BW37" i="7"/>
  <c r="CA37" i="7"/>
  <c r="CE37" i="7"/>
  <c r="CI37" i="7"/>
  <c r="CI38" i="7" s="1"/>
  <c r="CM37" i="7"/>
  <c r="CM38" i="7" s="1"/>
  <c r="CQ37" i="7"/>
  <c r="CK104" i="7"/>
  <c r="CK21" i="7"/>
  <c r="BP36" i="7"/>
  <c r="CA170" i="7"/>
  <c r="CA36" i="7"/>
  <c r="AC13" i="7"/>
  <c r="D14" i="8"/>
  <c r="D14" i="9" s="1"/>
  <c r="N14" i="9" s="1"/>
  <c r="Q12" i="7"/>
  <c r="U12" i="7"/>
  <c r="Y12" i="7"/>
  <c r="AC12" i="7"/>
  <c r="X16" i="7"/>
  <c r="J19" i="7"/>
  <c r="Z19" i="7"/>
  <c r="K18" i="7"/>
  <c r="AA18" i="7"/>
  <c r="AA20" i="7" s="1"/>
  <c r="AJ19" i="7"/>
  <c r="Y21" i="7"/>
  <c r="F22" i="7"/>
  <c r="V22" i="7"/>
  <c r="V23" i="7" s="1"/>
  <c r="N7" i="6"/>
  <c r="D7" i="4"/>
  <c r="N7" i="4" s="1"/>
  <c r="CG164" i="7"/>
  <c r="CK164" i="7"/>
  <c r="CO164" i="7"/>
  <c r="CS164" i="7"/>
  <c r="BT167" i="7"/>
  <c r="CJ167" i="7"/>
  <c r="CN167" i="7"/>
  <c r="CR167" i="7"/>
  <c r="BT170" i="7"/>
  <c r="CJ170" i="7"/>
  <c r="CN170" i="7"/>
  <c r="CR170" i="7"/>
  <c r="E28" i="6"/>
  <c r="I28" i="6"/>
  <c r="M28" i="6"/>
  <c r="Q28" i="6"/>
  <c r="U28" i="6"/>
  <c r="Y28" i="6"/>
  <c r="AC28" i="6"/>
  <c r="AG28" i="6"/>
  <c r="BU164" i="7"/>
  <c r="BY164" i="7"/>
  <c r="CC164" i="7"/>
  <c r="BP167" i="7"/>
  <c r="BP170" i="7"/>
  <c r="CF170" i="7"/>
  <c r="D10" i="8"/>
  <c r="D10" i="9" s="1"/>
  <c r="N10" i="9" s="1"/>
  <c r="N12" i="7"/>
  <c r="V12" i="7"/>
  <c r="J15" i="7"/>
  <c r="H18" i="7"/>
  <c r="P18" i="7"/>
  <c r="AB18" i="7"/>
  <c r="H21" i="7"/>
  <c r="L21" i="7"/>
  <c r="P21" i="7"/>
  <c r="T21" i="7"/>
  <c r="Q22" i="7"/>
  <c r="U22" i="7"/>
  <c r="U23" i="7" s="1"/>
  <c r="AG22" i="7"/>
  <c r="I13" i="7"/>
  <c r="M13" i="7"/>
  <c r="Y13" i="7"/>
  <c r="M16" i="7"/>
  <c r="AC16" i="7"/>
  <c r="R18" i="7"/>
  <c r="AH18" i="7"/>
  <c r="K19" i="7"/>
  <c r="O19" i="7"/>
  <c r="AE19" i="7"/>
  <c r="AD21" i="7"/>
  <c r="P16" i="6"/>
  <c r="T16" i="6"/>
  <c r="X16" i="6"/>
  <c r="AB16" i="6"/>
  <c r="AF16" i="6"/>
  <c r="D8" i="6"/>
  <c r="BR146" i="7"/>
  <c r="BV146" i="7"/>
  <c r="BZ146" i="7"/>
  <c r="CD146" i="7"/>
  <c r="CH146" i="7"/>
  <c r="CL146" i="7"/>
  <c r="CP146" i="7"/>
  <c r="CT146" i="7"/>
  <c r="BP149" i="7"/>
  <c r="BT149" i="7"/>
  <c r="BX149" i="7"/>
  <c r="CB149" i="7"/>
  <c r="CF149" i="7"/>
  <c r="CJ149" i="7"/>
  <c r="CN149" i="7"/>
  <c r="CR149" i="7"/>
  <c r="CM152" i="7"/>
  <c r="CQ152" i="7"/>
  <c r="CL155" i="7"/>
  <c r="CP155" i="7"/>
  <c r="CT155" i="7"/>
  <c r="BP158" i="7"/>
  <c r="CN158" i="7"/>
  <c r="CR158" i="7"/>
  <c r="BT161" i="7"/>
  <c r="BX161" i="7"/>
  <c r="CB161" i="7"/>
  <c r="CF161" i="7"/>
  <c r="CJ161" i="7"/>
  <c r="CN161" i="7"/>
  <c r="CR161" i="7"/>
  <c r="BS152" i="7"/>
  <c r="BW152" i="7"/>
  <c r="CA152" i="7"/>
  <c r="CE152" i="7"/>
  <c r="CI152" i="7"/>
  <c r="BR155" i="7"/>
  <c r="BV155" i="7"/>
  <c r="BZ155" i="7"/>
  <c r="CD155" i="7"/>
  <c r="CH155" i="7"/>
  <c r="N6" i="6"/>
  <c r="D16" i="6"/>
  <c r="H16" i="6"/>
  <c r="L16" i="6"/>
  <c r="I12" i="7"/>
  <c r="BS131" i="7"/>
  <c r="BW131" i="7"/>
  <c r="CA131" i="7"/>
  <c r="CE131" i="7"/>
  <c r="CI131" i="7"/>
  <c r="CM131" i="7"/>
  <c r="CQ131" i="7"/>
  <c r="BV134" i="7"/>
  <c r="BZ134" i="7"/>
  <c r="CD134" i="7"/>
  <c r="CH134" i="7"/>
  <c r="CL134" i="7"/>
  <c r="CP134" i="7"/>
  <c r="CL137" i="7"/>
  <c r="CP137" i="7"/>
  <c r="CT137" i="7"/>
  <c r="BY15" i="7"/>
  <c r="BU125" i="7"/>
  <c r="BY125" i="7"/>
  <c r="CC125" i="7"/>
  <c r="CG125" i="7"/>
  <c r="CK125" i="7"/>
  <c r="CO125" i="7"/>
  <c r="CS125" i="7"/>
  <c r="CE15" i="7"/>
  <c r="BT53" i="7"/>
  <c r="BX53" i="7"/>
  <c r="CB53" i="7"/>
  <c r="BR65" i="7"/>
  <c r="BS68" i="7"/>
  <c r="BW68" i="7"/>
  <c r="CA68" i="7"/>
  <c r="CO15" i="7"/>
  <c r="CS15" i="7"/>
  <c r="BR16" i="7"/>
  <c r="BV16" i="7"/>
  <c r="BZ16" i="7"/>
  <c r="CD16" i="7"/>
  <c r="CH16" i="7"/>
  <c r="CH17" i="7" s="1"/>
  <c r="CL16" i="7"/>
  <c r="CP16" i="7"/>
  <c r="CT16" i="7"/>
  <c r="CT17" i="7" s="1"/>
  <c r="CC116" i="7"/>
  <c r="BY122" i="7"/>
  <c r="CC122" i="7"/>
  <c r="BQ125" i="7"/>
  <c r="BQ16" i="7"/>
  <c r="BY16" i="7"/>
  <c r="CG16" i="7"/>
  <c r="CO16" i="7"/>
  <c r="BQ143" i="7"/>
  <c r="BU143" i="7"/>
  <c r="BY143" i="7"/>
  <c r="CC143" i="7"/>
  <c r="CG143" i="7"/>
  <c r="CK143" i="7"/>
  <c r="CO143" i="7"/>
  <c r="CS143" i="7"/>
  <c r="C8" i="6"/>
  <c r="M6" i="6"/>
  <c r="R12" i="7"/>
  <c r="Z12" i="7"/>
  <c r="AH12" i="7"/>
  <c r="Q13" i="7"/>
  <c r="U13" i="7"/>
  <c r="AG13" i="7"/>
  <c r="N15" i="7"/>
  <c r="R15" i="7"/>
  <c r="Z15" i="7"/>
  <c r="AD15" i="7"/>
  <c r="AH15" i="7"/>
  <c r="G16" i="7"/>
  <c r="K16" i="7"/>
  <c r="S16" i="7"/>
  <c r="W16" i="7"/>
  <c r="AA16" i="7"/>
  <c r="AE16" i="7"/>
  <c r="AI16" i="7"/>
  <c r="L15" i="7"/>
  <c r="P15" i="7"/>
  <c r="AB15" i="7"/>
  <c r="I16" i="7"/>
  <c r="Q16" i="7"/>
  <c r="U16" i="7"/>
  <c r="AG16" i="7"/>
  <c r="T18" i="7"/>
  <c r="AJ18" i="7"/>
  <c r="I19" i="7"/>
  <c r="M19" i="7"/>
  <c r="Q19" i="7"/>
  <c r="U19" i="7"/>
  <c r="Y19" i="7"/>
  <c r="AC19" i="7"/>
  <c r="AG19" i="7"/>
  <c r="X21" i="7"/>
  <c r="AB21" i="7"/>
  <c r="AF21" i="7"/>
  <c r="AJ21" i="7"/>
  <c r="I25" i="7"/>
  <c r="M25" i="7"/>
  <c r="Q25" i="7"/>
  <c r="U25" i="7"/>
  <c r="Y25" i="7"/>
  <c r="AC25" i="7"/>
  <c r="AG25" i="7"/>
  <c r="M12" i="7"/>
  <c r="AG12" i="7"/>
  <c r="G12" i="7"/>
  <c r="K12" i="7"/>
  <c r="O12" i="7"/>
  <c r="S12" i="7"/>
  <c r="W12" i="7"/>
  <c r="AA12" i="7"/>
  <c r="AE12" i="7"/>
  <c r="AI12" i="7"/>
  <c r="L13" i="7"/>
  <c r="P13" i="7"/>
  <c r="T13" i="7"/>
  <c r="X13" i="7"/>
  <c r="AB13" i="7"/>
  <c r="AF13" i="7"/>
  <c r="AJ13" i="7"/>
  <c r="I15" i="7"/>
  <c r="M15" i="7"/>
  <c r="Q15" i="7"/>
  <c r="U15" i="7"/>
  <c r="Y15" i="7"/>
  <c r="AC15" i="7"/>
  <c r="AG15" i="7"/>
  <c r="AG17" i="7" s="1"/>
  <c r="F16" i="7"/>
  <c r="J16" i="7"/>
  <c r="N16" i="7"/>
  <c r="R16" i="7"/>
  <c r="V16" i="7"/>
  <c r="Z16" i="7"/>
  <c r="AD16" i="7"/>
  <c r="AH16" i="7"/>
  <c r="G15" i="7"/>
  <c r="K15" i="7"/>
  <c r="O15" i="7"/>
  <c r="S15" i="7"/>
  <c r="W15" i="7"/>
  <c r="AA15" i="7"/>
  <c r="AE15" i="7"/>
  <c r="AI15" i="7"/>
  <c r="L16" i="7"/>
  <c r="P16" i="7"/>
  <c r="T16" i="7"/>
  <c r="AB16" i="7"/>
  <c r="AF16" i="7"/>
  <c r="AJ16" i="7"/>
  <c r="G18" i="7"/>
  <c r="O18" i="7"/>
  <c r="S18" i="7"/>
  <c r="W18" i="7"/>
  <c r="AE18" i="7"/>
  <c r="AI18" i="7"/>
  <c r="H19" i="7"/>
  <c r="L19" i="7"/>
  <c r="L20" i="7" s="1"/>
  <c r="P19" i="7"/>
  <c r="T19" i="7"/>
  <c r="X19" i="7"/>
  <c r="X20" i="7" s="1"/>
  <c r="AB19" i="7"/>
  <c r="AF19" i="7"/>
  <c r="I18" i="7"/>
  <c r="M18" i="7"/>
  <c r="Q18" i="7"/>
  <c r="U18" i="7"/>
  <c r="Y18" i="7"/>
  <c r="AC18" i="7"/>
  <c r="AG18" i="7"/>
  <c r="F19" i="7"/>
  <c r="N19" i="7"/>
  <c r="R19" i="7"/>
  <c r="V19" i="7"/>
  <c r="AD19" i="7"/>
  <c r="AH19" i="7"/>
  <c r="I30" i="7"/>
  <c r="M30" i="7"/>
  <c r="Q30" i="7"/>
  <c r="U30" i="7"/>
  <c r="Y30" i="7"/>
  <c r="AC30" i="7"/>
  <c r="AG30" i="7"/>
  <c r="F31" i="7"/>
  <c r="J31" i="7"/>
  <c r="R31" i="7"/>
  <c r="R32" i="7" s="1"/>
  <c r="V31" i="7"/>
  <c r="V32" i="7" s="1"/>
  <c r="Z31" i="7"/>
  <c r="AH31" i="7"/>
  <c r="AH32" i="7" s="1"/>
  <c r="G146" i="7"/>
  <c r="S146" i="7"/>
  <c r="W146" i="7"/>
  <c r="AI146" i="7"/>
  <c r="H31" i="7"/>
  <c r="L31" i="7"/>
  <c r="P31" i="7"/>
  <c r="T31" i="7"/>
  <c r="X31" i="7"/>
  <c r="AB31" i="7"/>
  <c r="AF31" i="7"/>
  <c r="AJ31" i="7"/>
  <c r="AJ32" i="7" s="1"/>
  <c r="I149" i="7"/>
  <c r="M149" i="7"/>
  <c r="Q149" i="7"/>
  <c r="U149" i="7"/>
  <c r="Y149" i="7"/>
  <c r="AC149" i="7"/>
  <c r="AG149" i="7"/>
  <c r="G152" i="7"/>
  <c r="K152" i="7"/>
  <c r="O152" i="7"/>
  <c r="S152" i="7"/>
  <c r="W152" i="7"/>
  <c r="AA152" i="7"/>
  <c r="AE152" i="7"/>
  <c r="AI152" i="7"/>
  <c r="I155" i="7"/>
  <c r="M155" i="7"/>
  <c r="Q155" i="7"/>
  <c r="U155" i="7"/>
  <c r="Y155" i="7"/>
  <c r="AC155" i="7"/>
  <c r="AG155" i="7"/>
  <c r="F34" i="7"/>
  <c r="J34" i="7"/>
  <c r="J35" i="7" s="1"/>
  <c r="N34" i="7"/>
  <c r="R34" i="7"/>
  <c r="R35" i="7" s="1"/>
  <c r="V34" i="7"/>
  <c r="Z34" i="7"/>
  <c r="Z35" i="7" s="1"/>
  <c r="AD34" i="7"/>
  <c r="AD35" i="7" s="1"/>
  <c r="AH34" i="7"/>
  <c r="G161" i="7"/>
  <c r="K161" i="7"/>
  <c r="O161" i="7"/>
  <c r="S161" i="7"/>
  <c r="W161" i="7"/>
  <c r="AA161" i="7"/>
  <c r="AE161" i="7"/>
  <c r="AI161" i="7"/>
  <c r="F37" i="7"/>
  <c r="J37" i="7"/>
  <c r="J38" i="7" s="1"/>
  <c r="R37" i="7"/>
  <c r="V37" i="7"/>
  <c r="Z37" i="7"/>
  <c r="AD37" i="7"/>
  <c r="AD38" i="7" s="1"/>
  <c r="AH37" i="7"/>
  <c r="G167" i="7"/>
  <c r="S167" i="7"/>
  <c r="W167" i="7"/>
  <c r="AI167" i="7"/>
  <c r="I170" i="7"/>
  <c r="M170" i="7"/>
  <c r="Q170" i="7"/>
  <c r="U170" i="7"/>
  <c r="Y170" i="7"/>
  <c r="AC170" i="7"/>
  <c r="AG170" i="7"/>
  <c r="AL12" i="7"/>
  <c r="AP44" i="7"/>
  <c r="AT44" i="7"/>
  <c r="AX44" i="7"/>
  <c r="BB44" i="7"/>
  <c r="BF44" i="7"/>
  <c r="BJ44" i="7"/>
  <c r="BN44" i="7"/>
  <c r="AM13" i="7"/>
  <c r="BC13" i="7"/>
  <c r="BJ68" i="7"/>
  <c r="AN18" i="7"/>
  <c r="AR18" i="7"/>
  <c r="AV18" i="7"/>
  <c r="AZ18" i="7"/>
  <c r="BD18" i="7"/>
  <c r="BH18" i="7"/>
  <c r="BL18" i="7"/>
  <c r="AK19" i="7"/>
  <c r="AO19" i="7"/>
  <c r="AN21" i="7"/>
  <c r="AR21" i="7"/>
  <c r="AV21" i="7"/>
  <c r="AZ21" i="7"/>
  <c r="BD21" i="7"/>
  <c r="BH21" i="7"/>
  <c r="BH23" i="7" s="1"/>
  <c r="BL21" i="7"/>
  <c r="AK22" i="7"/>
  <c r="AK23" i="7" s="1"/>
  <c r="AN24" i="7"/>
  <c r="AN26" i="7" s="1"/>
  <c r="J44" i="7"/>
  <c r="CB140" i="7"/>
  <c r="CF140" i="7"/>
  <c r="CJ140" i="7"/>
  <c r="CN140" i="7"/>
  <c r="CR140" i="7"/>
  <c r="BR143" i="7"/>
  <c r="BV143" i="7"/>
  <c r="BZ143" i="7"/>
  <c r="CD143" i="7"/>
  <c r="CH143" i="7"/>
  <c r="CL143" i="7"/>
  <c r="CP143" i="7"/>
  <c r="CT143" i="7"/>
  <c r="BP146" i="7"/>
  <c r="BT146" i="7"/>
  <c r="BX146" i="7"/>
  <c r="CB146" i="7"/>
  <c r="CF146" i="7"/>
  <c r="CJ146" i="7"/>
  <c r="CN146" i="7"/>
  <c r="CR146" i="7"/>
  <c r="BV149" i="7"/>
  <c r="BZ149" i="7"/>
  <c r="CD149" i="7"/>
  <c r="CH149" i="7"/>
  <c r="CL149" i="7"/>
  <c r="CP149" i="7"/>
  <c r="CT149" i="7"/>
  <c r="CO152" i="7"/>
  <c r="CS152" i="7"/>
  <c r="CN155" i="7"/>
  <c r="CR155" i="7"/>
  <c r="CL158" i="7"/>
  <c r="CP158" i="7"/>
  <c r="CT158" i="7"/>
  <c r="BV161" i="7"/>
  <c r="BZ161" i="7"/>
  <c r="CD161" i="7"/>
  <c r="CH161" i="7"/>
  <c r="CL161" i="7"/>
  <c r="CP161" i="7"/>
  <c r="CT161" i="7"/>
  <c r="CI164" i="7"/>
  <c r="CM164" i="7"/>
  <c r="CQ164" i="7"/>
  <c r="BV167" i="7"/>
  <c r="CH167" i="7"/>
  <c r="CL167" i="7"/>
  <c r="CP167" i="7"/>
  <c r="CT167" i="7"/>
  <c r="BV170" i="7"/>
  <c r="CL170" i="7"/>
  <c r="CP170" i="7"/>
  <c r="CT170" i="7"/>
  <c r="F15" i="7"/>
  <c r="J12" i="7"/>
  <c r="BT140" i="7"/>
  <c r="BX140" i="7"/>
  <c r="CD167" i="7"/>
  <c r="AD44" i="7"/>
  <c r="L34" i="7"/>
  <c r="P34" i="7"/>
  <c r="T34" i="7"/>
  <c r="AB34" i="7"/>
  <c r="AF34" i="7"/>
  <c r="AJ34" i="7"/>
  <c r="H37" i="7"/>
  <c r="L37" i="7"/>
  <c r="P37" i="7"/>
  <c r="T37" i="7"/>
  <c r="X37" i="7"/>
  <c r="AB37" i="7"/>
  <c r="AF37" i="7"/>
  <c r="AJ37" i="7"/>
  <c r="AN12" i="7"/>
  <c r="AR12" i="7"/>
  <c r="AV12" i="7"/>
  <c r="AZ12" i="7"/>
  <c r="BD12" i="7"/>
  <c r="BH12" i="7"/>
  <c r="BL12" i="7"/>
  <c r="AN15" i="7"/>
  <c r="AS19" i="7"/>
  <c r="AW19" i="7"/>
  <c r="BA19" i="7"/>
  <c r="BE19" i="7"/>
  <c r="BI19" i="7"/>
  <c r="BM19" i="7"/>
  <c r="AO22" i="7"/>
  <c r="BA22" i="7"/>
  <c r="BE22" i="7"/>
  <c r="BD24" i="7"/>
  <c r="AK25" i="7"/>
  <c r="AO25" i="7"/>
  <c r="AS25" i="7"/>
  <c r="AW25" i="7"/>
  <c r="BA25" i="7"/>
  <c r="BE25" i="7"/>
  <c r="BI25" i="7"/>
  <c r="BM25" i="7"/>
  <c r="AL27" i="7"/>
  <c r="BV80" i="7"/>
  <c r="BT83" i="7"/>
  <c r="BX83" i="7"/>
  <c r="CB83" i="7"/>
  <c r="CF83" i="7"/>
  <c r="CJ83" i="7"/>
  <c r="CN83" i="7"/>
  <c r="CS83" i="7"/>
  <c r="BQ89" i="7"/>
  <c r="BS104" i="7"/>
  <c r="BW104" i="7"/>
  <c r="CA104" i="7"/>
  <c r="CE104" i="7"/>
  <c r="BU110" i="7"/>
  <c r="CD110" i="7"/>
  <c r="CH110" i="7"/>
  <c r="CL110" i="7"/>
  <c r="BS113" i="7"/>
  <c r="BW113" i="7"/>
  <c r="CA113" i="7"/>
  <c r="BW122" i="7"/>
  <c r="CA122" i="7"/>
  <c r="CE122" i="7"/>
  <c r="BS128" i="7"/>
  <c r="BW128" i="7"/>
  <c r="CA128" i="7"/>
  <c r="BP140" i="7"/>
  <c r="BS164" i="7"/>
  <c r="BZ167" i="7"/>
  <c r="AQ44" i="7"/>
  <c r="AU44" i="7"/>
  <c r="AY44" i="7"/>
  <c r="BG44" i="7"/>
  <c r="BK44" i="7"/>
  <c r="BO44" i="7"/>
  <c r="BU77" i="7"/>
  <c r="L10" i="9"/>
  <c r="F15" i="10"/>
  <c r="L15" i="9" s="1"/>
  <c r="BI50" i="7"/>
  <c r="BM50" i="7"/>
  <c r="AM53" i="7"/>
  <c r="AQ53" i="7"/>
  <c r="AU53" i="7"/>
  <c r="AY53" i="7"/>
  <c r="BC53" i="7"/>
  <c r="BG53" i="7"/>
  <c r="BK53" i="7"/>
  <c r="BO53" i="7"/>
  <c r="AO56" i="7"/>
  <c r="AS56" i="7"/>
  <c r="AW56" i="7"/>
  <c r="BA56" i="7"/>
  <c r="BE56" i="7"/>
  <c r="BI56" i="7"/>
  <c r="BM56" i="7"/>
  <c r="AM59" i="7"/>
  <c r="AQ59" i="7"/>
  <c r="AU59" i="7"/>
  <c r="AY59" i="7"/>
  <c r="BC59" i="7"/>
  <c r="BG59" i="7"/>
  <c r="BK59" i="7"/>
  <c r="BO59" i="7"/>
  <c r="AO62" i="7"/>
  <c r="AS62" i="7"/>
  <c r="AR15" i="7"/>
  <c r="AV15" i="7"/>
  <c r="AZ15" i="7"/>
  <c r="BD15" i="7"/>
  <c r="BH15" i="7"/>
  <c r="BL15" i="7"/>
  <c r="AK16" i="7"/>
  <c r="AO16" i="7"/>
  <c r="AS16" i="7"/>
  <c r="AW16" i="7"/>
  <c r="BA16" i="7"/>
  <c r="BE16" i="7"/>
  <c r="BI16" i="7"/>
  <c r="BM16" i="7"/>
  <c r="BS140" i="7"/>
  <c r="BW140" i="7"/>
  <c r="CF158" i="7"/>
  <c r="BP161" i="7"/>
  <c r="AW62" i="7"/>
  <c r="BA62" i="7"/>
  <c r="BE62" i="7"/>
  <c r="BI62" i="7"/>
  <c r="BM62" i="7"/>
  <c r="AM65" i="7"/>
  <c r="AQ65" i="7"/>
  <c r="AU65" i="7"/>
  <c r="AM146" i="7"/>
  <c r="AQ146" i="7"/>
  <c r="AU146" i="7"/>
  <c r="AY146" i="7"/>
  <c r="BC146" i="7"/>
  <c r="BG146" i="7"/>
  <c r="BK146" i="7"/>
  <c r="BO146" i="7"/>
  <c r="BA149" i="7"/>
  <c r="BE149" i="7"/>
  <c r="BI149" i="7"/>
  <c r="BM149" i="7"/>
  <c r="AM152" i="7"/>
  <c r="AQ152" i="7"/>
  <c r="AU152" i="7"/>
  <c r="AY152" i="7"/>
  <c r="BC152" i="7"/>
  <c r="BG152" i="7"/>
  <c r="BK152" i="7"/>
  <c r="BO152" i="7"/>
  <c r="AK155" i="7"/>
  <c r="AO155" i="7"/>
  <c r="AS155" i="7"/>
  <c r="AW155" i="7"/>
  <c r="BA155" i="7"/>
  <c r="BE155" i="7"/>
  <c r="BI155" i="7"/>
  <c r="BM155" i="7"/>
  <c r="AM158" i="7"/>
  <c r="AQ158" i="7"/>
  <c r="AU158" i="7"/>
  <c r="AY158" i="7"/>
  <c r="BC158" i="7"/>
  <c r="BG158" i="7"/>
  <c r="BK158" i="7"/>
  <c r="BO158" i="7"/>
  <c r="AM161" i="7"/>
  <c r="AQ161" i="7"/>
  <c r="AU161" i="7"/>
  <c r="AY161" i="7"/>
  <c r="BC161" i="7"/>
  <c r="BG161" i="7"/>
  <c r="BK161" i="7"/>
  <c r="BO161" i="7"/>
  <c r="AK164" i="7"/>
  <c r="AO164" i="7"/>
  <c r="AS164" i="7"/>
  <c r="AW164" i="7"/>
  <c r="BA164" i="7"/>
  <c r="BE164" i="7"/>
  <c r="BI164" i="7"/>
  <c r="BM164" i="7"/>
  <c r="AM167" i="7"/>
  <c r="AQ167" i="7"/>
  <c r="AU167" i="7"/>
  <c r="AY167" i="7"/>
  <c r="BC167" i="7"/>
  <c r="BG167" i="7"/>
  <c r="BK167" i="7"/>
  <c r="BO167" i="7"/>
  <c r="AK170" i="7"/>
  <c r="AO170" i="7"/>
  <c r="AS170" i="7"/>
  <c r="AW170" i="7"/>
  <c r="BA170" i="7"/>
  <c r="BE170" i="7"/>
  <c r="BI170" i="7"/>
  <c r="BM170" i="7"/>
  <c r="CJ44" i="7"/>
  <c r="AM19" i="7"/>
  <c r="AY19" i="7"/>
  <c r="BC19" i="7"/>
  <c r="BO19" i="7"/>
  <c r="AL21" i="7"/>
  <c r="AX21" i="7"/>
  <c r="BB21" i="7"/>
  <c r="BN21" i="7"/>
  <c r="AM22" i="7"/>
  <c r="AQ22" i="7"/>
  <c r="AU22" i="7"/>
  <c r="AY22" i="7"/>
  <c r="BC22" i="7"/>
  <c r="BG22" i="7"/>
  <c r="BK22" i="7"/>
  <c r="BO22" i="7"/>
  <c r="AL24" i="7"/>
  <c r="AP24" i="7"/>
  <c r="AT24" i="7"/>
  <c r="AX27" i="7"/>
  <c r="BB27" i="7"/>
  <c r="BN27" i="7"/>
  <c r="AM28" i="7"/>
  <c r="AQ28" i="7"/>
  <c r="BC28" i="7"/>
  <c r="BC29" i="7" s="1"/>
  <c r="BG28" i="7"/>
  <c r="AQ31" i="7"/>
  <c r="BG31" i="7"/>
  <c r="AM34" i="7"/>
  <c r="AQ34" i="7"/>
  <c r="AU34" i="7"/>
  <c r="AY34" i="7"/>
  <c r="BC34" i="7"/>
  <c r="M7" i="4"/>
  <c r="H8" i="4"/>
  <c r="F13" i="7"/>
  <c r="J13" i="7"/>
  <c r="N13" i="7"/>
  <c r="R13" i="7"/>
  <c r="V13" i="7"/>
  <c r="Z13" i="7"/>
  <c r="AD13" i="7"/>
  <c r="AD14" i="7" s="1"/>
  <c r="AH13" i="7"/>
  <c r="G27" i="7"/>
  <c r="K27" i="7"/>
  <c r="O27" i="7"/>
  <c r="S27" i="7"/>
  <c r="W27" i="7"/>
  <c r="AA27" i="7"/>
  <c r="AA29" i="7" s="1"/>
  <c r="AE27" i="7"/>
  <c r="H28" i="7"/>
  <c r="L28" i="7"/>
  <c r="P28" i="7"/>
  <c r="T28" i="7"/>
  <c r="AB28" i="7"/>
  <c r="AF28" i="7"/>
  <c r="AJ28" i="7"/>
  <c r="N31" i="7"/>
  <c r="AD31" i="7"/>
  <c r="AX24" i="7"/>
  <c r="BB24" i="7"/>
  <c r="BB26" i="7" s="1"/>
  <c r="BF24" i="7"/>
  <c r="BJ24" i="7"/>
  <c r="BN24" i="7"/>
  <c r="AN27" i="7"/>
  <c r="AR27" i="7"/>
  <c r="AV27" i="7"/>
  <c r="AZ27" i="7"/>
  <c r="BD27" i="7"/>
  <c r="BD29" i="7" s="1"/>
  <c r="BH27" i="7"/>
  <c r="BL27" i="7"/>
  <c r="AK28" i="7"/>
  <c r="AO28" i="7"/>
  <c r="AS28" i="7"/>
  <c r="AW28" i="7"/>
  <c r="BA28" i="7"/>
  <c r="BE28" i="7"/>
  <c r="BI28" i="7"/>
  <c r="BM28" i="7"/>
  <c r="AK31" i="7"/>
  <c r="AO31" i="7"/>
  <c r="AS31" i="7"/>
  <c r="AW31" i="7"/>
  <c r="BA31" i="7"/>
  <c r="BE31" i="7"/>
  <c r="BI31" i="7"/>
  <c r="BM31" i="7"/>
  <c r="BG34" i="7"/>
  <c r="BK34" i="7"/>
  <c r="BO34" i="7"/>
  <c r="AN33" i="7"/>
  <c r="AR33" i="7"/>
  <c r="AV33" i="7"/>
  <c r="AZ33" i="7"/>
  <c r="BD33" i="7"/>
  <c r="BH33" i="7"/>
  <c r="BL33" i="7"/>
  <c r="L6" i="6"/>
  <c r="L6" i="4" s="1"/>
  <c r="K13" i="7"/>
  <c r="O13" i="7"/>
  <c r="S13" i="7"/>
  <c r="W13" i="7"/>
  <c r="AA13" i="7"/>
  <c r="AE13" i="7"/>
  <c r="AI13" i="7"/>
  <c r="J18" i="7"/>
  <c r="Z18" i="7"/>
  <c r="S19" i="7"/>
  <c r="AI19" i="7"/>
  <c r="G22" i="7"/>
  <c r="K22" i="7"/>
  <c r="O22" i="7"/>
  <c r="S22" i="7"/>
  <c r="W22" i="7"/>
  <c r="AA22" i="7"/>
  <c r="AE22" i="7"/>
  <c r="AI22" i="7"/>
  <c r="F24" i="7"/>
  <c r="J24" i="7"/>
  <c r="N24" i="7"/>
  <c r="R24" i="7"/>
  <c r="V24" i="7"/>
  <c r="Z24" i="7"/>
  <c r="AD24" i="7"/>
  <c r="AH24" i="7"/>
  <c r="R27" i="7"/>
  <c r="AH27" i="7"/>
  <c r="G28" i="7"/>
  <c r="G29" i="7" s="1"/>
  <c r="W28" i="7"/>
  <c r="P27" i="7"/>
  <c r="T27" i="7"/>
  <c r="X27" i="7"/>
  <c r="AB27" i="7"/>
  <c r="AF27" i="7"/>
  <c r="AJ27" i="7"/>
  <c r="I28" i="7"/>
  <c r="M28" i="7"/>
  <c r="Q28" i="7"/>
  <c r="U28" i="7"/>
  <c r="Y28" i="7"/>
  <c r="AC28" i="7"/>
  <c r="AG28" i="7"/>
  <c r="AH137" i="7"/>
  <c r="BS15" i="7"/>
  <c r="BU18" i="7"/>
  <c r="BT19" i="7"/>
  <c r="BX19" i="7"/>
  <c r="CB19" i="7"/>
  <c r="CF19" i="7"/>
  <c r="CJ19" i="7"/>
  <c r="CN19" i="7"/>
  <c r="AH15" i="6"/>
  <c r="L7" i="6"/>
  <c r="F28" i="6"/>
  <c r="J28" i="6"/>
  <c r="N28" i="6"/>
  <c r="R28" i="6"/>
  <c r="V28" i="6"/>
  <c r="Z28" i="6"/>
  <c r="AD28" i="6"/>
  <c r="F18" i="8"/>
  <c r="G20" i="9" s="1"/>
  <c r="Q20" i="9" s="1"/>
  <c r="D20" i="9"/>
  <c r="N20" i="9" s="1"/>
  <c r="F7" i="6"/>
  <c r="D12" i="8"/>
  <c r="D12" i="9" s="1"/>
  <c r="N12" i="9" s="1"/>
  <c r="D13" i="8"/>
  <c r="D13" i="9" s="1"/>
  <c r="N13" i="9" s="1"/>
  <c r="D7" i="8"/>
  <c r="D7" i="9" s="1"/>
  <c r="N7" i="9" s="1"/>
  <c r="D9" i="8"/>
  <c r="D11" i="8"/>
  <c r="D11" i="9" s="1"/>
  <c r="N11" i="9" s="1"/>
  <c r="D8" i="8"/>
  <c r="J21" i="8"/>
  <c r="K21" i="8" s="1"/>
  <c r="F21" i="8"/>
  <c r="G23" i="9" s="1"/>
  <c r="Q23" i="9" s="1"/>
  <c r="F25" i="8"/>
  <c r="G27" i="9" s="1"/>
  <c r="Q27" i="9" s="1"/>
  <c r="J25" i="8"/>
  <c r="K25" i="8" s="1"/>
  <c r="F29" i="8"/>
  <c r="G31" i="9" s="1"/>
  <c r="Q31" i="9" s="1"/>
  <c r="J29" i="8"/>
  <c r="K29" i="8" s="1"/>
  <c r="F33" i="8"/>
  <c r="G35" i="9" s="1"/>
  <c r="Q35" i="9" s="1"/>
  <c r="J33" i="8"/>
  <c r="K33" i="8" s="1"/>
  <c r="F37" i="8"/>
  <c r="G39" i="9" s="1"/>
  <c r="Q39" i="9" s="1"/>
  <c r="J37" i="8"/>
  <c r="K37" i="8" s="1"/>
  <c r="F44" i="8"/>
  <c r="G46" i="9" s="1"/>
  <c r="Q46" i="9" s="1"/>
  <c r="J44" i="8"/>
  <c r="K44" i="8" s="1"/>
  <c r="F48" i="8"/>
  <c r="G50" i="9" s="1"/>
  <c r="Q50" i="9" s="1"/>
  <c r="J48" i="8"/>
  <c r="K48" i="8" s="1"/>
  <c r="F52" i="8"/>
  <c r="G54" i="9" s="1"/>
  <c r="Q54" i="9" s="1"/>
  <c r="J52" i="8"/>
  <c r="K52" i="8" s="1"/>
  <c r="F56" i="8"/>
  <c r="G58" i="9" s="1"/>
  <c r="Q58" i="9" s="1"/>
  <c r="J56" i="8"/>
  <c r="K56" i="8" s="1"/>
  <c r="F59" i="8"/>
  <c r="G61" i="9" s="1"/>
  <c r="Q61" i="9" s="1"/>
  <c r="J59" i="8"/>
  <c r="K59" i="8" s="1"/>
  <c r="F22" i="8"/>
  <c r="G24" i="9" s="1"/>
  <c r="Q24" i="9" s="1"/>
  <c r="J22" i="8"/>
  <c r="K22" i="8" s="1"/>
  <c r="F26" i="8"/>
  <c r="G28" i="9" s="1"/>
  <c r="Q28" i="9" s="1"/>
  <c r="J26" i="8"/>
  <c r="K26" i="8" s="1"/>
  <c r="J30" i="8"/>
  <c r="K30" i="8" s="1"/>
  <c r="F30" i="8"/>
  <c r="G32" i="9" s="1"/>
  <c r="Q32" i="9" s="1"/>
  <c r="J34" i="8"/>
  <c r="K34" i="8" s="1"/>
  <c r="F34" i="8"/>
  <c r="G36" i="9" s="1"/>
  <c r="Q36" i="9" s="1"/>
  <c r="J38" i="8"/>
  <c r="K38" i="8" s="1"/>
  <c r="F38" i="8"/>
  <c r="G40" i="9" s="1"/>
  <c r="Q40" i="9" s="1"/>
  <c r="F41" i="8"/>
  <c r="G43" i="9" s="1"/>
  <c r="Q43" i="9" s="1"/>
  <c r="J41" i="8"/>
  <c r="K41" i="8" s="1"/>
  <c r="F45" i="8"/>
  <c r="G47" i="9" s="1"/>
  <c r="Q47" i="9" s="1"/>
  <c r="J45" i="8"/>
  <c r="K45" i="8" s="1"/>
  <c r="J49" i="8"/>
  <c r="K49" i="8" s="1"/>
  <c r="F49" i="8"/>
  <c r="G51" i="9" s="1"/>
  <c r="Q51" i="9" s="1"/>
  <c r="J53" i="8"/>
  <c r="K53" i="8" s="1"/>
  <c r="F53" i="8"/>
  <c r="G55" i="9" s="1"/>
  <c r="Q55" i="9" s="1"/>
  <c r="F60" i="8"/>
  <c r="G62" i="9" s="1"/>
  <c r="Q62" i="9" s="1"/>
  <c r="J60" i="8"/>
  <c r="K60" i="8" s="1"/>
  <c r="G6" i="8"/>
  <c r="G61" i="8"/>
  <c r="E63" i="9" s="1"/>
  <c r="O63" i="9" s="1"/>
  <c r="F19" i="8"/>
  <c r="G21" i="9" s="1"/>
  <c r="Q21" i="9" s="1"/>
  <c r="J19" i="8"/>
  <c r="K19" i="8" s="1"/>
  <c r="F23" i="8"/>
  <c r="G25" i="9" s="1"/>
  <c r="Q25" i="9" s="1"/>
  <c r="J23" i="8"/>
  <c r="K23" i="8" s="1"/>
  <c r="J27" i="8"/>
  <c r="K27" i="8" s="1"/>
  <c r="F27" i="8"/>
  <c r="G29" i="9" s="1"/>
  <c r="Q29" i="9" s="1"/>
  <c r="F31" i="8"/>
  <c r="G33" i="9" s="1"/>
  <c r="Q33" i="9" s="1"/>
  <c r="J31" i="8"/>
  <c r="K31" i="8" s="1"/>
  <c r="J35" i="8"/>
  <c r="K35" i="8" s="1"/>
  <c r="F35" i="8"/>
  <c r="G37" i="9" s="1"/>
  <c r="Q37" i="9" s="1"/>
  <c r="J39" i="8"/>
  <c r="K39" i="8" s="1"/>
  <c r="F39" i="8"/>
  <c r="G41" i="9" s="1"/>
  <c r="Q41" i="9" s="1"/>
  <c r="F42" i="8"/>
  <c r="G44" i="9" s="1"/>
  <c r="Q44" i="9" s="1"/>
  <c r="J42" i="8"/>
  <c r="K42" i="8" s="1"/>
  <c r="F46" i="8"/>
  <c r="G48" i="9" s="1"/>
  <c r="Q48" i="9" s="1"/>
  <c r="J46" i="8"/>
  <c r="K46" i="8" s="1"/>
  <c r="F50" i="8"/>
  <c r="G52" i="9" s="1"/>
  <c r="Q52" i="9" s="1"/>
  <c r="J50" i="8"/>
  <c r="K50" i="8" s="1"/>
  <c r="F54" i="8"/>
  <c r="G56" i="9" s="1"/>
  <c r="Q56" i="9" s="1"/>
  <c r="J54" i="8"/>
  <c r="K54" i="8" s="1"/>
  <c r="F57" i="8"/>
  <c r="G59" i="9" s="1"/>
  <c r="Q59" i="9" s="1"/>
  <c r="J57" i="8"/>
  <c r="K57" i="8" s="1"/>
  <c r="D61" i="8"/>
  <c r="D63" i="9" s="1"/>
  <c r="N63" i="9" s="1"/>
  <c r="H6" i="8"/>
  <c r="H15" i="8" s="1"/>
  <c r="J18" i="8"/>
  <c r="K18" i="8" s="1"/>
  <c r="H61" i="8"/>
  <c r="J20" i="8"/>
  <c r="K20" i="8" s="1"/>
  <c r="F20" i="8"/>
  <c r="G22" i="9" s="1"/>
  <c r="Q22" i="9" s="1"/>
  <c r="F24" i="8"/>
  <c r="G26" i="9" s="1"/>
  <c r="Q26" i="9" s="1"/>
  <c r="J24" i="8"/>
  <c r="K24" i="8" s="1"/>
  <c r="J28" i="8"/>
  <c r="K28" i="8" s="1"/>
  <c r="F28" i="8"/>
  <c r="G30" i="9" s="1"/>
  <c r="Q30" i="9" s="1"/>
  <c r="J32" i="8"/>
  <c r="K32" i="8" s="1"/>
  <c r="F32" i="8"/>
  <c r="G34" i="9" s="1"/>
  <c r="Q34" i="9" s="1"/>
  <c r="F36" i="8"/>
  <c r="G38" i="9" s="1"/>
  <c r="Q38" i="9" s="1"/>
  <c r="J36" i="8"/>
  <c r="K36" i="8" s="1"/>
  <c r="J40" i="8"/>
  <c r="K40" i="8" s="1"/>
  <c r="F40" i="8"/>
  <c r="G42" i="9" s="1"/>
  <c r="Q42" i="9" s="1"/>
  <c r="J43" i="8"/>
  <c r="K43" i="8" s="1"/>
  <c r="F43" i="8"/>
  <c r="G45" i="9" s="1"/>
  <c r="Q45" i="9" s="1"/>
  <c r="F47" i="8"/>
  <c r="G49" i="9" s="1"/>
  <c r="Q49" i="9" s="1"/>
  <c r="J47" i="8"/>
  <c r="K47" i="8" s="1"/>
  <c r="F51" i="8"/>
  <c r="G53" i="9" s="1"/>
  <c r="Q53" i="9" s="1"/>
  <c r="J51" i="8"/>
  <c r="K51" i="8" s="1"/>
  <c r="F55" i="8"/>
  <c r="G57" i="9" s="1"/>
  <c r="Q57" i="9" s="1"/>
  <c r="J55" i="8"/>
  <c r="K55" i="8" s="1"/>
  <c r="F58" i="8"/>
  <c r="J58" i="8"/>
  <c r="K58" i="8" s="1"/>
  <c r="E6" i="8"/>
  <c r="E61" i="8"/>
  <c r="F63" i="9" s="1"/>
  <c r="P63" i="9" s="1"/>
  <c r="I15" i="8"/>
  <c r="H15" i="9" s="1"/>
  <c r="R15" i="9" s="1"/>
  <c r="D6" i="8"/>
  <c r="BR149" i="7"/>
  <c r="AK149" i="7"/>
  <c r="AO149" i="7"/>
  <c r="AS149" i="7"/>
  <c r="AW149" i="7"/>
  <c r="O146" i="7"/>
  <c r="O30" i="7"/>
  <c r="AA146" i="7"/>
  <c r="AA30" i="7"/>
  <c r="G158" i="7"/>
  <c r="G33" i="7"/>
  <c r="W158" i="7"/>
  <c r="W33" i="7"/>
  <c r="I164" i="7"/>
  <c r="I36" i="7"/>
  <c r="Y164" i="7"/>
  <c r="Y36" i="7"/>
  <c r="K167" i="7"/>
  <c r="K36" i="7"/>
  <c r="AA167" i="7"/>
  <c r="AA36" i="7"/>
  <c r="O158" i="7"/>
  <c r="O33" i="7"/>
  <c r="AE158" i="7"/>
  <c r="AE33" i="7"/>
  <c r="U164" i="7"/>
  <c r="U36" i="7"/>
  <c r="AG164" i="7"/>
  <c r="AG36" i="7"/>
  <c r="AG38" i="7" s="1"/>
  <c r="AP12" i="7"/>
  <c r="AP14" i="7" s="1"/>
  <c r="BB12" i="7"/>
  <c r="Q33" i="7"/>
  <c r="AG33" i="7"/>
  <c r="AL44" i="7"/>
  <c r="P47" i="7"/>
  <c r="AB47" i="7"/>
  <c r="P71" i="7"/>
  <c r="T71" i="7"/>
  <c r="X71" i="7"/>
  <c r="AB71" i="7"/>
  <c r="J74" i="7"/>
  <c r="N74" i="7"/>
  <c r="R74" i="7"/>
  <c r="V74" i="7"/>
  <c r="Z74" i="7"/>
  <c r="AD74" i="7"/>
  <c r="AH74" i="7"/>
  <c r="N80" i="7"/>
  <c r="V80" i="7"/>
  <c r="AD80" i="7"/>
  <c r="AH80" i="7"/>
  <c r="K158" i="7"/>
  <c r="K33" i="7"/>
  <c r="AA158" i="7"/>
  <c r="AA33" i="7"/>
  <c r="Q164" i="7"/>
  <c r="Q36" i="7"/>
  <c r="AC164" i="7"/>
  <c r="AC36" i="7"/>
  <c r="AT12" i="7"/>
  <c r="AT14" i="7" s="1"/>
  <c r="S30" i="7"/>
  <c r="G36" i="7"/>
  <c r="L47" i="7"/>
  <c r="X47" i="7"/>
  <c r="AJ47" i="7"/>
  <c r="H71" i="7"/>
  <c r="AJ71" i="7"/>
  <c r="AQ13" i="7"/>
  <c r="AY13" i="7"/>
  <c r="BG13" i="7"/>
  <c r="BO13" i="7"/>
  <c r="X15" i="7"/>
  <c r="G30" i="7"/>
  <c r="G32" i="7" s="1"/>
  <c r="M33" i="7"/>
  <c r="AC33" i="7"/>
  <c r="AI36" i="7"/>
  <c r="AI38" i="7" s="1"/>
  <c r="AM44" i="7"/>
  <c r="K146" i="7"/>
  <c r="K30" i="7"/>
  <c r="AE146" i="7"/>
  <c r="AE30" i="7"/>
  <c r="S158" i="7"/>
  <c r="S33" i="7"/>
  <c r="AI158" i="7"/>
  <c r="AI33" i="7"/>
  <c r="M164" i="7"/>
  <c r="M36" i="7"/>
  <c r="O167" i="7"/>
  <c r="O36" i="7"/>
  <c r="AE167" i="7"/>
  <c r="AE36" i="7"/>
  <c r="AX12" i="7"/>
  <c r="BF12" i="7"/>
  <c r="BJ12" i="7"/>
  <c r="BN12" i="7"/>
  <c r="H47" i="7"/>
  <c r="T47" i="7"/>
  <c r="AF47" i="7"/>
  <c r="L71" i="7"/>
  <c r="AF71" i="7"/>
  <c r="AU13" i="7"/>
  <c r="BK13" i="7"/>
  <c r="L12" i="7"/>
  <c r="P12" i="7"/>
  <c r="T12" i="7"/>
  <c r="X12" i="7"/>
  <c r="AB12" i="7"/>
  <c r="AF12" i="7"/>
  <c r="AJ12" i="7"/>
  <c r="T15" i="7"/>
  <c r="AJ15" i="7"/>
  <c r="AI30" i="7"/>
  <c r="I33" i="7"/>
  <c r="Y33" i="7"/>
  <c r="W36" i="7"/>
  <c r="G50" i="7"/>
  <c r="K50" i="7"/>
  <c r="O50" i="7"/>
  <c r="S50" i="7"/>
  <c r="W50" i="7"/>
  <c r="AA50" i="7"/>
  <c r="AE50" i="7"/>
  <c r="AI50" i="7"/>
  <c r="G56" i="7"/>
  <c r="K56" i="7"/>
  <c r="O56" i="7"/>
  <c r="S56" i="7"/>
  <c r="W56" i="7"/>
  <c r="AA56" i="7"/>
  <c r="AE56" i="7"/>
  <c r="AI56" i="7"/>
  <c r="I59" i="7"/>
  <c r="M59" i="7"/>
  <c r="Q59" i="7"/>
  <c r="U59" i="7"/>
  <c r="Y59" i="7"/>
  <c r="AC59" i="7"/>
  <c r="AG59" i="7"/>
  <c r="K68" i="7"/>
  <c r="O68" i="7"/>
  <c r="S68" i="7"/>
  <c r="W68" i="7"/>
  <c r="AA68" i="7"/>
  <c r="AI68" i="7"/>
  <c r="I83" i="7"/>
  <c r="M83" i="7"/>
  <c r="Q83" i="7"/>
  <c r="U83" i="7"/>
  <c r="Y83" i="7"/>
  <c r="AC83" i="7"/>
  <c r="AG83" i="7"/>
  <c r="K98" i="7"/>
  <c r="AA98" i="7"/>
  <c r="AQ80" i="7"/>
  <c r="AS89" i="7"/>
  <c r="AW89" i="7"/>
  <c r="BA89" i="7"/>
  <c r="BE89" i="7"/>
  <c r="BI89" i="7"/>
  <c r="AM92" i="7"/>
  <c r="AQ92" i="7"/>
  <c r="AU92" i="7"/>
  <c r="AY92" i="7"/>
  <c r="BC92" i="7"/>
  <c r="BG92" i="7"/>
  <c r="BK92" i="7"/>
  <c r="BO92" i="7"/>
  <c r="AO95" i="7"/>
  <c r="AS95" i="7"/>
  <c r="AW95" i="7"/>
  <c r="BA95" i="7"/>
  <c r="BE95" i="7"/>
  <c r="BI95" i="7"/>
  <c r="BM95" i="7"/>
  <c r="AM98" i="7"/>
  <c r="AQ98" i="7"/>
  <c r="AU98" i="7"/>
  <c r="AY98" i="7"/>
  <c r="BC98" i="7"/>
  <c r="BG98" i="7"/>
  <c r="BK98" i="7"/>
  <c r="BO98" i="7"/>
  <c r="AO101" i="7"/>
  <c r="AS101" i="7"/>
  <c r="AW101" i="7"/>
  <c r="BA101" i="7"/>
  <c r="BE101" i="7"/>
  <c r="BI101" i="7"/>
  <c r="BM101" i="7"/>
  <c r="AM104" i="7"/>
  <c r="AQ104" i="7"/>
  <c r="AU104" i="7"/>
  <c r="AY104" i="7"/>
  <c r="BC104" i="7"/>
  <c r="BG104" i="7"/>
  <c r="BK104" i="7"/>
  <c r="BO104" i="7"/>
  <c r="AO107" i="7"/>
  <c r="AS107" i="7"/>
  <c r="AW107" i="7"/>
  <c r="BA107" i="7"/>
  <c r="BE107" i="7"/>
  <c r="BI107" i="7"/>
  <c r="BM107" i="7"/>
  <c r="AM110" i="7"/>
  <c r="AQ110" i="7"/>
  <c r="AU110" i="7"/>
  <c r="AY110" i="7"/>
  <c r="BC110" i="7"/>
  <c r="BG110" i="7"/>
  <c r="BK110" i="7"/>
  <c r="BO110" i="7"/>
  <c r="AM113" i="7"/>
  <c r="AQ113" i="7"/>
  <c r="AU113" i="7"/>
  <c r="AY113" i="7"/>
  <c r="BC113" i="7"/>
  <c r="BG113" i="7"/>
  <c r="BK113" i="7"/>
  <c r="BO113" i="7"/>
  <c r="AK116" i="7"/>
  <c r="AO116" i="7"/>
  <c r="AS116" i="7"/>
  <c r="AW116" i="7"/>
  <c r="BA116" i="7"/>
  <c r="BE116" i="7"/>
  <c r="BI116" i="7"/>
  <c r="BM116" i="7"/>
  <c r="AM119" i="7"/>
  <c r="AQ119" i="7"/>
  <c r="AU119" i="7"/>
  <c r="AY119" i="7"/>
  <c r="BC119" i="7"/>
  <c r="BG119" i="7"/>
  <c r="BK119" i="7"/>
  <c r="BO119" i="7"/>
  <c r="AK122" i="7"/>
  <c r="AO122" i="7"/>
  <c r="AS122" i="7"/>
  <c r="AW122" i="7"/>
  <c r="BA122" i="7"/>
  <c r="BE122" i="7"/>
  <c r="BI122" i="7"/>
  <c r="BM122" i="7"/>
  <c r="AK128" i="7"/>
  <c r="AO128" i="7"/>
  <c r="AS128" i="7"/>
  <c r="AW128" i="7"/>
  <c r="N44" i="7"/>
  <c r="V44" i="7"/>
  <c r="Z44" i="7"/>
  <c r="J71" i="7"/>
  <c r="N71" i="7"/>
  <c r="R71" i="7"/>
  <c r="V71" i="7"/>
  <c r="Z71" i="7"/>
  <c r="AD71" i="7"/>
  <c r="AH71" i="7"/>
  <c r="Y74" i="7"/>
  <c r="J116" i="7"/>
  <c r="N116" i="7"/>
  <c r="R116" i="7"/>
  <c r="V116" i="7"/>
  <c r="Z116" i="7"/>
  <c r="AD116" i="7"/>
  <c r="AH116" i="7"/>
  <c r="G116" i="7"/>
  <c r="K116" i="7"/>
  <c r="O116" i="7"/>
  <c r="S116" i="7"/>
  <c r="W116" i="7"/>
  <c r="AA116" i="7"/>
  <c r="J122" i="7"/>
  <c r="N122" i="7"/>
  <c r="R122" i="7"/>
  <c r="V122" i="7"/>
  <c r="Z122" i="7"/>
  <c r="AD122" i="7"/>
  <c r="AH122" i="7"/>
  <c r="H125" i="7"/>
  <c r="L125" i="7"/>
  <c r="P125" i="7"/>
  <c r="T125" i="7"/>
  <c r="X125" i="7"/>
  <c r="AB125" i="7"/>
  <c r="AF125" i="7"/>
  <c r="AJ125" i="7"/>
  <c r="J128" i="7"/>
  <c r="N128" i="7"/>
  <c r="R128" i="7"/>
  <c r="V128" i="7"/>
  <c r="Z128" i="7"/>
  <c r="AD128" i="7"/>
  <c r="AH128" i="7"/>
  <c r="H131" i="7"/>
  <c r="P131" i="7"/>
  <c r="X131" i="7"/>
  <c r="K143" i="7"/>
  <c r="S143" i="7"/>
  <c r="AI143" i="7"/>
  <c r="AL71" i="7"/>
  <c r="AP71" i="7"/>
  <c r="AT71" i="7"/>
  <c r="AX71" i="7"/>
  <c r="BB71" i="7"/>
  <c r="BF71" i="7"/>
  <c r="BJ71" i="7"/>
  <c r="BN71" i="7"/>
  <c r="AN74" i="7"/>
  <c r="AR74" i="7"/>
  <c r="AV74" i="7"/>
  <c r="AZ74" i="7"/>
  <c r="BD74" i="7"/>
  <c r="BH74" i="7"/>
  <c r="BL74" i="7"/>
  <c r="AL77" i="7"/>
  <c r="AP77" i="7"/>
  <c r="AT77" i="7"/>
  <c r="AX77" i="7"/>
  <c r="BB77" i="7"/>
  <c r="BF77" i="7"/>
  <c r="BJ77" i="7"/>
  <c r="BN77" i="7"/>
  <c r="AN80" i="7"/>
  <c r="AR80" i="7"/>
  <c r="AV80" i="7"/>
  <c r="AZ80" i="7"/>
  <c r="BD80" i="7"/>
  <c r="BH80" i="7"/>
  <c r="BL80" i="7"/>
  <c r="AL83" i="7"/>
  <c r="AP83" i="7"/>
  <c r="AT83" i="7"/>
  <c r="AX83" i="7"/>
  <c r="BB83" i="7"/>
  <c r="BF83" i="7"/>
  <c r="BJ83" i="7"/>
  <c r="BN83" i="7"/>
  <c r="AY65" i="7"/>
  <c r="BC65" i="7"/>
  <c r="BG65" i="7"/>
  <c r="BK65" i="7"/>
  <c r="BO65" i="7"/>
  <c r="BA128" i="7"/>
  <c r="BE128" i="7"/>
  <c r="BI128" i="7"/>
  <c r="BM128" i="7"/>
  <c r="AM131" i="7"/>
  <c r="AQ131" i="7"/>
  <c r="AU131" i="7"/>
  <c r="AY131" i="7"/>
  <c r="BC131" i="7"/>
  <c r="BG131" i="7"/>
  <c r="BK131" i="7"/>
  <c r="BO131" i="7"/>
  <c r="AK134" i="7"/>
  <c r="AO134" i="7"/>
  <c r="AS134" i="7"/>
  <c r="AW134" i="7"/>
  <c r="BA134" i="7"/>
  <c r="BE134" i="7"/>
  <c r="BI134" i="7"/>
  <c r="BM134" i="7"/>
  <c r="AM137" i="7"/>
  <c r="AQ137" i="7"/>
  <c r="AU137" i="7"/>
  <c r="AY137" i="7"/>
  <c r="BC137" i="7"/>
  <c r="BG137" i="7"/>
  <c r="BK137" i="7"/>
  <c r="BO137" i="7"/>
  <c r="AK140" i="7"/>
  <c r="AO140" i="7"/>
  <c r="AS140" i="7"/>
  <c r="AW140" i="7"/>
  <c r="BA140" i="7"/>
  <c r="BE140" i="7"/>
  <c r="BI140" i="7"/>
  <c r="BM140" i="7"/>
  <c r="AM143" i="7"/>
  <c r="AQ143" i="7"/>
  <c r="AU143" i="7"/>
  <c r="AY143" i="7"/>
  <c r="BC143" i="7"/>
  <c r="BG143" i="7"/>
  <c r="BK143" i="7"/>
  <c r="BO143" i="7"/>
  <c r="BT18" i="7"/>
  <c r="CK18" i="7"/>
  <c r="CP18" i="7"/>
  <c r="CT18" i="7"/>
  <c r="BS19" i="7"/>
  <c r="CA19" i="7"/>
  <c r="CI19" i="7"/>
  <c r="CQ19" i="7"/>
  <c r="CA18" i="7"/>
  <c r="CE18" i="7"/>
  <c r="CQ18" i="7"/>
  <c r="BP19" i="7"/>
  <c r="CS19" i="7"/>
  <c r="BS18" i="7"/>
  <c r="BQ19" i="7"/>
  <c r="BV19" i="7"/>
  <c r="BZ19" i="7"/>
  <c r="CD19" i="7"/>
  <c r="CH19" i="7"/>
  <c r="CL19" i="7"/>
  <c r="CP19" i="7"/>
  <c r="CO18" i="7"/>
  <c r="CS18" i="7"/>
  <c r="BW161" i="7"/>
  <c r="CA161" i="7"/>
  <c r="CE161" i="7"/>
  <c r="CI161" i="7"/>
  <c r="CM161" i="7"/>
  <c r="CQ161" i="7"/>
  <c r="CF164" i="7"/>
  <c r="CJ164" i="7"/>
  <c r="CN164" i="7"/>
  <c r="CR164" i="7"/>
  <c r="BS167" i="7"/>
  <c r="CI167" i="7"/>
  <c r="CM167" i="7"/>
  <c r="CQ167" i="7"/>
  <c r="BW170" i="7"/>
  <c r="CI170" i="7"/>
  <c r="CM170" i="7"/>
  <c r="CQ170" i="7"/>
  <c r="CF68" i="7"/>
  <c r="CJ68" i="7"/>
  <c r="BS74" i="7"/>
  <c r="BW74" i="7"/>
  <c r="CA74" i="7"/>
  <c r="CE74" i="7"/>
  <c r="BZ77" i="7"/>
  <c r="CD77" i="7"/>
  <c r="CH77" i="7"/>
  <c r="BV86" i="7"/>
  <c r="BZ86" i="7"/>
  <c r="CD86" i="7"/>
  <c r="CH86" i="7"/>
  <c r="CL86" i="7"/>
  <c r="CP86" i="7"/>
  <c r="CT86" i="7"/>
  <c r="BV89" i="7"/>
  <c r="BZ89" i="7"/>
  <c r="CD89" i="7"/>
  <c r="CH89" i="7"/>
  <c r="CM89" i="7"/>
  <c r="CQ89" i="7"/>
  <c r="BQ92" i="7"/>
  <c r="BU92" i="7"/>
  <c r="BY92" i="7"/>
  <c r="CC92" i="7"/>
  <c r="CG92" i="7"/>
  <c r="CK92" i="7"/>
  <c r="CO92" i="7"/>
  <c r="CT92" i="7"/>
  <c r="BT95" i="7"/>
  <c r="BX95" i="7"/>
  <c r="CB95" i="7"/>
  <c r="CF95" i="7"/>
  <c r="CL95" i="7"/>
  <c r="CP95" i="7"/>
  <c r="BT98" i="7"/>
  <c r="BX98" i="7"/>
  <c r="CB98" i="7"/>
  <c r="CF98" i="7"/>
  <c r="CJ98" i="7"/>
  <c r="CN98" i="7"/>
  <c r="CR98" i="7"/>
  <c r="BS101" i="7"/>
  <c r="BW101" i="7"/>
  <c r="CA101" i="7"/>
  <c r="CE101" i="7"/>
  <c r="CI101" i="7"/>
  <c r="CN101" i="7"/>
  <c r="CR101" i="7"/>
  <c r="CO104" i="7"/>
  <c r="CS104" i="7"/>
  <c r="BV107" i="7"/>
  <c r="BZ107" i="7"/>
  <c r="CP107" i="7"/>
  <c r="CT107" i="7"/>
  <c r="CQ110" i="7"/>
  <c r="CG113" i="7"/>
  <c r="CK113" i="7"/>
  <c r="CO113" i="7"/>
  <c r="CS113" i="7"/>
  <c r="BS116" i="7"/>
  <c r="BW116" i="7"/>
  <c r="CI116" i="7"/>
  <c r="BY119" i="7"/>
  <c r="CH119" i="7"/>
  <c r="CL119" i="7"/>
  <c r="CP119" i="7"/>
  <c r="CT119" i="7"/>
  <c r="CS122" i="7"/>
  <c r="CF128" i="7"/>
  <c r="BQ134" i="7"/>
  <c r="CT134" i="7"/>
  <c r="BQ137" i="7"/>
  <c r="BU137" i="7"/>
  <c r="BY137" i="7"/>
  <c r="CC137" i="7"/>
  <c r="CG137" i="7"/>
  <c r="BX164" i="7"/>
  <c r="CB164" i="7"/>
  <c r="CE167" i="7"/>
  <c r="BV77" i="7"/>
  <c r="BS80" i="7"/>
  <c r="BU83" i="7"/>
  <c r="BY83" i="7"/>
  <c r="CC83" i="7"/>
  <c r="CG83" i="7"/>
  <c r="CK83" i="7"/>
  <c r="CO83" i="7"/>
  <c r="CT83" i="7"/>
  <c r="BT104" i="7"/>
  <c r="BX104" i="7"/>
  <c r="CB104" i="7"/>
  <c r="CF104" i="7"/>
  <c r="BQ107" i="7"/>
  <c r="BV110" i="7"/>
  <c r="CE110" i="7"/>
  <c r="CI110" i="7"/>
  <c r="CA167" i="7"/>
  <c r="G44" i="7"/>
  <c r="K44" i="7"/>
  <c r="O44" i="7"/>
  <c r="S44" i="7"/>
  <c r="W44" i="7"/>
  <c r="AA44" i="7"/>
  <c r="AE44" i="7"/>
  <c r="AI44" i="7"/>
  <c r="I50" i="7"/>
  <c r="M50" i="7"/>
  <c r="Q50" i="7"/>
  <c r="U50" i="7"/>
  <c r="Y50" i="7"/>
  <c r="AC50" i="7"/>
  <c r="AG50" i="7"/>
  <c r="G53" i="7"/>
  <c r="K53" i="7"/>
  <c r="O53" i="7"/>
  <c r="S53" i="7"/>
  <c r="W53" i="7"/>
  <c r="AE53" i="7"/>
  <c r="G83" i="7"/>
  <c r="K83" i="7"/>
  <c r="O83" i="7"/>
  <c r="S83" i="7"/>
  <c r="W83" i="7"/>
  <c r="AA83" i="7"/>
  <c r="AE83" i="7"/>
  <c r="AI83" i="7"/>
  <c r="H83" i="7"/>
  <c r="L83" i="7"/>
  <c r="P83" i="7"/>
  <c r="T83" i="7"/>
  <c r="X83" i="7"/>
  <c r="AB83" i="7"/>
  <c r="AF83" i="7"/>
  <c r="AJ83" i="7"/>
  <c r="G89" i="7"/>
  <c r="O89" i="7"/>
  <c r="W89" i="7"/>
  <c r="AE89" i="7"/>
  <c r="AI89" i="7"/>
  <c r="G95" i="7"/>
  <c r="K95" i="7"/>
  <c r="O95" i="7"/>
  <c r="S95" i="7"/>
  <c r="W95" i="7"/>
  <c r="AA95" i="7"/>
  <c r="AE95" i="7"/>
  <c r="AI95" i="7"/>
  <c r="I98" i="7"/>
  <c r="M98" i="7"/>
  <c r="Q98" i="7"/>
  <c r="U98" i="7"/>
  <c r="Y98" i="7"/>
  <c r="AC98" i="7"/>
  <c r="AG98" i="7"/>
  <c r="G101" i="7"/>
  <c r="K101" i="7"/>
  <c r="O101" i="7"/>
  <c r="S101" i="7"/>
  <c r="W101" i="7"/>
  <c r="AA101" i="7"/>
  <c r="AE101" i="7"/>
  <c r="AI101" i="7"/>
  <c r="I104" i="7"/>
  <c r="M104" i="7"/>
  <c r="Q104" i="7"/>
  <c r="U104" i="7"/>
  <c r="Y104" i="7"/>
  <c r="AC104" i="7"/>
  <c r="AG104" i="7"/>
  <c r="AM50" i="7"/>
  <c r="AQ50" i="7"/>
  <c r="AU50" i="7"/>
  <c r="AY50" i="7"/>
  <c r="BC50" i="7"/>
  <c r="BG50" i="7"/>
  <c r="BK50" i="7"/>
  <c r="BO50" i="7"/>
  <c r="AC47" i="7"/>
  <c r="I71" i="7"/>
  <c r="M71" i="7"/>
  <c r="Q71" i="7"/>
  <c r="U71" i="7"/>
  <c r="Y71" i="7"/>
  <c r="AC71" i="7"/>
  <c r="AG71" i="7"/>
  <c r="H107" i="7"/>
  <c r="L107" i="7"/>
  <c r="P107" i="7"/>
  <c r="T107" i="7"/>
  <c r="X107" i="7"/>
  <c r="AB107" i="7"/>
  <c r="AF107" i="7"/>
  <c r="AJ107" i="7"/>
  <c r="J113" i="7"/>
  <c r="N113" i="7"/>
  <c r="R113" i="7"/>
  <c r="V113" i="7"/>
  <c r="Z113" i="7"/>
  <c r="AD113" i="7"/>
  <c r="AH113" i="7"/>
  <c r="H116" i="7"/>
  <c r="L116" i="7"/>
  <c r="P116" i="7"/>
  <c r="T116" i="7"/>
  <c r="X116" i="7"/>
  <c r="AB116" i="7"/>
  <c r="AF116" i="7"/>
  <c r="AJ116" i="7"/>
  <c r="H122" i="7"/>
  <c r="L122" i="7"/>
  <c r="P122" i="7"/>
  <c r="T122" i="7"/>
  <c r="X122" i="7"/>
  <c r="AB122" i="7"/>
  <c r="AF122" i="7"/>
  <c r="AJ122" i="7"/>
  <c r="J125" i="7"/>
  <c r="N125" i="7"/>
  <c r="R125" i="7"/>
  <c r="V125" i="7"/>
  <c r="Z125" i="7"/>
  <c r="AD125" i="7"/>
  <c r="AH125" i="7"/>
  <c r="I128" i="7"/>
  <c r="Q128" i="7"/>
  <c r="U128" i="7"/>
  <c r="Y128" i="7"/>
  <c r="AG128" i="7"/>
  <c r="J131" i="7"/>
  <c r="N131" i="7"/>
  <c r="R131" i="7"/>
  <c r="V131" i="7"/>
  <c r="Z131" i="7"/>
  <c r="AD131" i="7"/>
  <c r="AH131" i="7"/>
  <c r="H134" i="7"/>
  <c r="L134" i="7"/>
  <c r="P134" i="7"/>
  <c r="T134" i="7"/>
  <c r="X134" i="7"/>
  <c r="AB134" i="7"/>
  <c r="AF134" i="7"/>
  <c r="AJ134" i="7"/>
  <c r="J137" i="7"/>
  <c r="N137" i="7"/>
  <c r="R137" i="7"/>
  <c r="V137" i="7"/>
  <c r="Z137" i="7"/>
  <c r="AD137" i="7"/>
  <c r="I143" i="7"/>
  <c r="M143" i="7"/>
  <c r="Q143" i="7"/>
  <c r="U143" i="7"/>
  <c r="Y143" i="7"/>
  <c r="AC143" i="7"/>
  <c r="AG143" i="7"/>
  <c r="I146" i="7"/>
  <c r="M146" i="7"/>
  <c r="Q146" i="7"/>
  <c r="U146" i="7"/>
  <c r="Y146" i="7"/>
  <c r="AC146" i="7"/>
  <c r="AG146" i="7"/>
  <c r="G149" i="7"/>
  <c r="K149" i="7"/>
  <c r="O149" i="7"/>
  <c r="S149" i="7"/>
  <c r="W149" i="7"/>
  <c r="AA149" i="7"/>
  <c r="AE149" i="7"/>
  <c r="AI149" i="7"/>
  <c r="I152" i="7"/>
  <c r="M152" i="7"/>
  <c r="Q152" i="7"/>
  <c r="U152" i="7"/>
  <c r="Y152" i="7"/>
  <c r="AC152" i="7"/>
  <c r="AG152" i="7"/>
  <c r="G155" i="7"/>
  <c r="K155" i="7"/>
  <c r="O155" i="7"/>
  <c r="S155" i="7"/>
  <c r="W155" i="7"/>
  <c r="AA155" i="7"/>
  <c r="AE155" i="7"/>
  <c r="AI155" i="7"/>
  <c r="I158" i="7"/>
  <c r="M158" i="7"/>
  <c r="Q158" i="7"/>
  <c r="U158" i="7"/>
  <c r="Y158" i="7"/>
  <c r="AC158" i="7"/>
  <c r="AG158" i="7"/>
  <c r="I161" i="7"/>
  <c r="M161" i="7"/>
  <c r="Q161" i="7"/>
  <c r="U161" i="7"/>
  <c r="Y161" i="7"/>
  <c r="AC161" i="7"/>
  <c r="AG161" i="7"/>
  <c r="CV160" i="7"/>
  <c r="G164" i="7"/>
  <c r="K164" i="7"/>
  <c r="O164" i="7"/>
  <c r="S164" i="7"/>
  <c r="W164" i="7"/>
  <c r="AA164" i="7"/>
  <c r="AE164" i="7"/>
  <c r="AI164" i="7"/>
  <c r="I167" i="7"/>
  <c r="M167" i="7"/>
  <c r="Q167" i="7"/>
  <c r="U167" i="7"/>
  <c r="Y167" i="7"/>
  <c r="AC167" i="7"/>
  <c r="AG167" i="7"/>
  <c r="CV166" i="7"/>
  <c r="G170" i="7"/>
  <c r="K170" i="7"/>
  <c r="O170" i="7"/>
  <c r="S170" i="7"/>
  <c r="W170" i="7"/>
  <c r="AA170" i="7"/>
  <c r="AE170" i="7"/>
  <c r="AI170" i="7"/>
  <c r="AN44" i="7"/>
  <c r="AR44" i="7"/>
  <c r="AV44" i="7"/>
  <c r="AZ44" i="7"/>
  <c r="BD44" i="7"/>
  <c r="BH44" i="7"/>
  <c r="AL47" i="7"/>
  <c r="AP47" i="7"/>
  <c r="AT47" i="7"/>
  <c r="AX47" i="7"/>
  <c r="BB47" i="7"/>
  <c r="BF47" i="7"/>
  <c r="BJ47" i="7"/>
  <c r="BN47" i="7"/>
  <c r="R44" i="7"/>
  <c r="AH44" i="7"/>
  <c r="AJ50" i="7"/>
  <c r="AM68" i="7"/>
  <c r="AQ68" i="7"/>
  <c r="AU68" i="7"/>
  <c r="AY68" i="7"/>
  <c r="BC68" i="7"/>
  <c r="BG68" i="7"/>
  <c r="BK68" i="7"/>
  <c r="BO68" i="7"/>
  <c r="AN71" i="7"/>
  <c r="AR71" i="7"/>
  <c r="AZ71" i="7"/>
  <c r="BD71" i="7"/>
  <c r="BH71" i="7"/>
  <c r="AL74" i="7"/>
  <c r="AP74" i="7"/>
  <c r="AT74" i="7"/>
  <c r="BB74" i="7"/>
  <c r="BJ74" i="7"/>
  <c r="AN77" i="7"/>
  <c r="AR77" i="7"/>
  <c r="AV77" i="7"/>
  <c r="AZ77" i="7"/>
  <c r="BD77" i="7"/>
  <c r="BH77" i="7"/>
  <c r="BL77" i="7"/>
  <c r="CW76" i="7"/>
  <c r="AY80" i="7"/>
  <c r="BG80" i="7"/>
  <c r="BO80" i="7"/>
  <c r="AN83" i="7"/>
  <c r="AR83" i="7"/>
  <c r="AV83" i="7"/>
  <c r="AZ83" i="7"/>
  <c r="BD83" i="7"/>
  <c r="BH83" i="7"/>
  <c r="BL83" i="7"/>
  <c r="CW82" i="7"/>
  <c r="AO53" i="7"/>
  <c r="AS53" i="7"/>
  <c r="AW53" i="7"/>
  <c r="BA53" i="7"/>
  <c r="BE53" i="7"/>
  <c r="BI53" i="7"/>
  <c r="BM53" i="7"/>
  <c r="AM56" i="7"/>
  <c r="AQ56" i="7"/>
  <c r="AU56" i="7"/>
  <c r="BC56" i="7"/>
  <c r="BK56" i="7"/>
  <c r="AO65" i="7"/>
  <c r="AS65" i="7"/>
  <c r="AW65" i="7"/>
  <c r="BA65" i="7"/>
  <c r="BE65" i="7"/>
  <c r="BI65" i="7"/>
  <c r="BM65" i="7"/>
  <c r="AO86" i="7"/>
  <c r="AS86" i="7"/>
  <c r="AW86" i="7"/>
  <c r="BA86" i="7"/>
  <c r="BE86" i="7"/>
  <c r="BI86" i="7"/>
  <c r="BM86" i="7"/>
  <c r="AO92" i="7"/>
  <c r="AS92" i="7"/>
  <c r="AW92" i="7"/>
  <c r="BA92" i="7"/>
  <c r="BE92" i="7"/>
  <c r="BI92" i="7"/>
  <c r="BM92" i="7"/>
  <c r="AM95" i="7"/>
  <c r="AQ95" i="7"/>
  <c r="AU95" i="7"/>
  <c r="AY95" i="7"/>
  <c r="BC95" i="7"/>
  <c r="BG95" i="7"/>
  <c r="BK95" i="7"/>
  <c r="BO95" i="7"/>
  <c r="AO98" i="7"/>
  <c r="AS98" i="7"/>
  <c r="AW98" i="7"/>
  <c r="BA98" i="7"/>
  <c r="BE98" i="7"/>
  <c r="BI98" i="7"/>
  <c r="BM98" i="7"/>
  <c r="AM101" i="7"/>
  <c r="AQ101" i="7"/>
  <c r="AU101" i="7"/>
  <c r="AY101" i="7"/>
  <c r="BC101" i="7"/>
  <c r="BG101" i="7"/>
  <c r="BK101" i="7"/>
  <c r="BO101" i="7"/>
  <c r="AO104" i="7"/>
  <c r="AS104" i="7"/>
  <c r="AW104" i="7"/>
  <c r="BA104" i="7"/>
  <c r="BE104" i="7"/>
  <c r="BI104" i="7"/>
  <c r="BM104" i="7"/>
  <c r="AM107" i="7"/>
  <c r="AQ107" i="7"/>
  <c r="AU107" i="7"/>
  <c r="AY107" i="7"/>
  <c r="BC107" i="7"/>
  <c r="BG107" i="7"/>
  <c r="BK107" i="7"/>
  <c r="BO107" i="7"/>
  <c r="AO110" i="7"/>
  <c r="AS110" i="7"/>
  <c r="AW110" i="7"/>
  <c r="BA110" i="7"/>
  <c r="BE110" i="7"/>
  <c r="BI110" i="7"/>
  <c r="BM110" i="7"/>
  <c r="BY44" i="7"/>
  <c r="BU53" i="7"/>
  <c r="BY53" i="7"/>
  <c r="CC53" i="7"/>
  <c r="BQ56" i="7"/>
  <c r="BS65" i="7"/>
  <c r="BT68" i="7"/>
  <c r="BX68" i="7"/>
  <c r="CB68" i="7"/>
  <c r="AK113" i="7"/>
  <c r="AO113" i="7"/>
  <c r="AS113" i="7"/>
  <c r="AW113" i="7"/>
  <c r="BA113" i="7"/>
  <c r="BE113" i="7"/>
  <c r="BI113" i="7"/>
  <c r="BM113" i="7"/>
  <c r="AM116" i="7"/>
  <c r="AQ116" i="7"/>
  <c r="AU116" i="7"/>
  <c r="AY116" i="7"/>
  <c r="BC116" i="7"/>
  <c r="BG116" i="7"/>
  <c r="BK116" i="7"/>
  <c r="BO116" i="7"/>
  <c r="AK119" i="7"/>
  <c r="AO119" i="7"/>
  <c r="AS119" i="7"/>
  <c r="AW119" i="7"/>
  <c r="BA119" i="7"/>
  <c r="BE119" i="7"/>
  <c r="BI119" i="7"/>
  <c r="BM119" i="7"/>
  <c r="AM122" i="7"/>
  <c r="AQ122" i="7"/>
  <c r="AU122" i="7"/>
  <c r="AY122" i="7"/>
  <c r="BC122" i="7"/>
  <c r="BG122" i="7"/>
  <c r="BK122" i="7"/>
  <c r="AK137" i="7"/>
  <c r="AO137" i="7"/>
  <c r="AS137" i="7"/>
  <c r="AW137" i="7"/>
  <c r="BA137" i="7"/>
  <c r="BE137" i="7"/>
  <c r="BI137" i="7"/>
  <c r="BM137" i="7"/>
  <c r="AM140" i="7"/>
  <c r="AQ140" i="7"/>
  <c r="AU140" i="7"/>
  <c r="AY140" i="7"/>
  <c r="BC140" i="7"/>
  <c r="BG140" i="7"/>
  <c r="BK140" i="7"/>
  <c r="BO140" i="7"/>
  <c r="CW141" i="7"/>
  <c r="AO143" i="7"/>
  <c r="AS143" i="7"/>
  <c r="AW143" i="7"/>
  <c r="BA143" i="7"/>
  <c r="BE143" i="7"/>
  <c r="BI143" i="7"/>
  <c r="BM143" i="7"/>
  <c r="AK146" i="7"/>
  <c r="AO146" i="7"/>
  <c r="AS146" i="7"/>
  <c r="AW146" i="7"/>
  <c r="BA146" i="7"/>
  <c r="BE146" i="7"/>
  <c r="BI146" i="7"/>
  <c r="BM146" i="7"/>
  <c r="AM149" i="7"/>
  <c r="AQ149" i="7"/>
  <c r="AU149" i="7"/>
  <c r="AY149" i="7"/>
  <c r="BC149" i="7"/>
  <c r="BG149" i="7"/>
  <c r="BK149" i="7"/>
  <c r="BO149" i="7"/>
  <c r="AK152" i="7"/>
  <c r="AO152" i="7"/>
  <c r="AS152" i="7"/>
  <c r="AW152" i="7"/>
  <c r="BA152" i="7"/>
  <c r="BE152" i="7"/>
  <c r="BI152" i="7"/>
  <c r="BM152" i="7"/>
  <c r="AM155" i="7"/>
  <c r="AQ155" i="7"/>
  <c r="AU155" i="7"/>
  <c r="AY155" i="7"/>
  <c r="BC155" i="7"/>
  <c r="BG155" i="7"/>
  <c r="BK155" i="7"/>
  <c r="BO155" i="7"/>
  <c r="AK158" i="7"/>
  <c r="AO158" i="7"/>
  <c r="AS158" i="7"/>
  <c r="AW158" i="7"/>
  <c r="BA158" i="7"/>
  <c r="BE158" i="7"/>
  <c r="BI158" i="7"/>
  <c r="BM158" i="7"/>
  <c r="AK161" i="7"/>
  <c r="AO161" i="7"/>
  <c r="AS161" i="7"/>
  <c r="AW161" i="7"/>
  <c r="BA161" i="7"/>
  <c r="BE161" i="7"/>
  <c r="BI161" i="7"/>
  <c r="BM161" i="7"/>
  <c r="AM164" i="7"/>
  <c r="AQ164" i="7"/>
  <c r="AU164" i="7"/>
  <c r="AY164" i="7"/>
  <c r="BC164" i="7"/>
  <c r="BG164" i="7"/>
  <c r="BK164" i="7"/>
  <c r="BO164" i="7"/>
  <c r="AK167" i="7"/>
  <c r="AO167" i="7"/>
  <c r="AS167" i="7"/>
  <c r="AW167" i="7"/>
  <c r="BA167" i="7"/>
  <c r="BE167" i="7"/>
  <c r="BI167" i="7"/>
  <c r="BM167" i="7"/>
  <c r="AM170" i="7"/>
  <c r="AQ170" i="7"/>
  <c r="AU170" i="7"/>
  <c r="AY170" i="7"/>
  <c r="BC170" i="7"/>
  <c r="BG170" i="7"/>
  <c r="BK170" i="7"/>
  <c r="BO170" i="7"/>
  <c r="BV12" i="7"/>
  <c r="CD44" i="7"/>
  <c r="CH44" i="7"/>
  <c r="CL44" i="7"/>
  <c r="CP44" i="7"/>
  <c r="CT44" i="7"/>
  <c r="BS13" i="7"/>
  <c r="BW13" i="7"/>
  <c r="CI13" i="7"/>
  <c r="CM13" i="7"/>
  <c r="CC12" i="7"/>
  <c r="CS12" i="7"/>
  <c r="BR13" i="7"/>
  <c r="CD13" i="7"/>
  <c r="CH13" i="7"/>
  <c r="CT13" i="7"/>
  <c r="BV15" i="7"/>
  <c r="BZ15" i="7"/>
  <c r="CQ15" i="7"/>
  <c r="BP16" i="7"/>
  <c r="BT16" i="7"/>
  <c r="BX16" i="7"/>
  <c r="CB16" i="7"/>
  <c r="CF16" i="7"/>
  <c r="CF17" i="7" s="1"/>
  <c r="CJ16" i="7"/>
  <c r="CJ17" i="7" s="1"/>
  <c r="CN16" i="7"/>
  <c r="CR16" i="7"/>
  <c r="CD15" i="7"/>
  <c r="BQ47" i="7"/>
  <c r="BU47" i="7"/>
  <c r="BT50" i="7"/>
  <c r="BX50" i="7"/>
  <c r="CB50" i="7"/>
  <c r="CF50" i="7"/>
  <c r="BU56" i="7"/>
  <c r="BS62" i="7"/>
  <c r="BW65" i="7"/>
  <c r="I44" i="7"/>
  <c r="M44" i="7"/>
  <c r="Q44" i="7"/>
  <c r="U44" i="7"/>
  <c r="Y44" i="7"/>
  <c r="AC44" i="7"/>
  <c r="AG44" i="7"/>
  <c r="I47" i="7"/>
  <c r="M47" i="7"/>
  <c r="Q47" i="7"/>
  <c r="U47" i="7"/>
  <c r="Y47" i="7"/>
  <c r="AG47" i="7"/>
  <c r="CV45" i="7"/>
  <c r="J47" i="7"/>
  <c r="N47" i="7"/>
  <c r="R47" i="7"/>
  <c r="V47" i="7"/>
  <c r="Z47" i="7"/>
  <c r="AD47" i="7"/>
  <c r="AH47" i="7"/>
  <c r="H50" i="7"/>
  <c r="L50" i="7"/>
  <c r="P50" i="7"/>
  <c r="T50" i="7"/>
  <c r="X50" i="7"/>
  <c r="AB50" i="7"/>
  <c r="AF50" i="7"/>
  <c r="J53" i="7"/>
  <c r="N53" i="7"/>
  <c r="R53" i="7"/>
  <c r="V53" i="7"/>
  <c r="Z53" i="7"/>
  <c r="AD53" i="7"/>
  <c r="AH53" i="7"/>
  <c r="AA53" i="7"/>
  <c r="AI53" i="7"/>
  <c r="H56" i="7"/>
  <c r="L56" i="7"/>
  <c r="P56" i="7"/>
  <c r="T56" i="7"/>
  <c r="X56" i="7"/>
  <c r="AB56" i="7"/>
  <c r="AF56" i="7"/>
  <c r="AJ56" i="7"/>
  <c r="F59" i="7"/>
  <c r="J59" i="7"/>
  <c r="N59" i="7"/>
  <c r="R59" i="7"/>
  <c r="V59" i="7"/>
  <c r="Z59" i="7"/>
  <c r="AD59" i="7"/>
  <c r="AH59" i="7"/>
  <c r="H62" i="7"/>
  <c r="L62" i="7"/>
  <c r="P62" i="7"/>
  <c r="T62" i="7"/>
  <c r="X62" i="7"/>
  <c r="AB62" i="7"/>
  <c r="AF62" i="7"/>
  <c r="AJ62" i="7"/>
  <c r="J65" i="7"/>
  <c r="N65" i="7"/>
  <c r="R65" i="7"/>
  <c r="V65" i="7"/>
  <c r="Z65" i="7"/>
  <c r="AD65" i="7"/>
  <c r="AH65" i="7"/>
  <c r="G65" i="7"/>
  <c r="K65" i="7"/>
  <c r="O65" i="7"/>
  <c r="S65" i="7"/>
  <c r="W65" i="7"/>
  <c r="AA65" i="7"/>
  <c r="AE65" i="7"/>
  <c r="AI65" i="7"/>
  <c r="H68" i="7"/>
  <c r="L68" i="7"/>
  <c r="P68" i="7"/>
  <c r="T68" i="7"/>
  <c r="X68" i="7"/>
  <c r="AB68" i="7"/>
  <c r="AF68" i="7"/>
  <c r="AJ68" i="7"/>
  <c r="I77" i="7"/>
  <c r="M77" i="7"/>
  <c r="Q77" i="7"/>
  <c r="U77" i="7"/>
  <c r="Y77" i="7"/>
  <c r="AC77" i="7"/>
  <c r="AG77" i="7"/>
  <c r="J77" i="7"/>
  <c r="N77" i="7"/>
  <c r="R77" i="7"/>
  <c r="V77" i="7"/>
  <c r="Z77" i="7"/>
  <c r="AD77" i="7"/>
  <c r="AH77" i="7"/>
  <c r="G80" i="7"/>
  <c r="K80" i="7"/>
  <c r="O80" i="7"/>
  <c r="S80" i="7"/>
  <c r="W80" i="7"/>
  <c r="AA80" i="7"/>
  <c r="AE80" i="7"/>
  <c r="AI80" i="7"/>
  <c r="J86" i="7"/>
  <c r="N86" i="7"/>
  <c r="R86" i="7"/>
  <c r="V86" i="7"/>
  <c r="Z86" i="7"/>
  <c r="AD86" i="7"/>
  <c r="AH86" i="7"/>
  <c r="G86" i="7"/>
  <c r="K86" i="7"/>
  <c r="O86" i="7"/>
  <c r="S86" i="7"/>
  <c r="W86" i="7"/>
  <c r="AA86" i="7"/>
  <c r="AE86" i="7"/>
  <c r="AI86" i="7"/>
  <c r="H89" i="7"/>
  <c r="L89" i="7"/>
  <c r="P89" i="7"/>
  <c r="T89" i="7"/>
  <c r="X89" i="7"/>
  <c r="AB89" i="7"/>
  <c r="AF89" i="7"/>
  <c r="CV49" i="7"/>
  <c r="CV69" i="7"/>
  <c r="CV82" i="7"/>
  <c r="H53" i="7"/>
  <c r="L53" i="7"/>
  <c r="P53" i="7"/>
  <c r="T53" i="7"/>
  <c r="X53" i="7"/>
  <c r="AB53" i="7"/>
  <c r="AF53" i="7"/>
  <c r="AJ53" i="7"/>
  <c r="CV54" i="7"/>
  <c r="J56" i="7"/>
  <c r="N56" i="7"/>
  <c r="R56" i="7"/>
  <c r="V56" i="7"/>
  <c r="Z56" i="7"/>
  <c r="AD56" i="7"/>
  <c r="AH56" i="7"/>
  <c r="H65" i="7"/>
  <c r="L65" i="7"/>
  <c r="P65" i="7"/>
  <c r="T65" i="7"/>
  <c r="X65" i="7"/>
  <c r="AB65" i="7"/>
  <c r="AF65" i="7"/>
  <c r="AJ65" i="7"/>
  <c r="G68" i="7"/>
  <c r="AE68" i="7"/>
  <c r="I74" i="7"/>
  <c r="M74" i="7"/>
  <c r="Q74" i="7"/>
  <c r="U74" i="7"/>
  <c r="AC74" i="7"/>
  <c r="AG74" i="7"/>
  <c r="G77" i="7"/>
  <c r="K77" i="7"/>
  <c r="O77" i="7"/>
  <c r="S77" i="7"/>
  <c r="W77" i="7"/>
  <c r="AA77" i="7"/>
  <c r="AE77" i="7"/>
  <c r="AI77" i="7"/>
  <c r="J80" i="7"/>
  <c r="R80" i="7"/>
  <c r="Z80" i="7"/>
  <c r="H86" i="7"/>
  <c r="L86" i="7"/>
  <c r="P86" i="7"/>
  <c r="T86" i="7"/>
  <c r="X86" i="7"/>
  <c r="AB86" i="7"/>
  <c r="AF86" i="7"/>
  <c r="AJ86" i="7"/>
  <c r="CV87" i="7"/>
  <c r="S89" i="7"/>
  <c r="H92" i="7"/>
  <c r="L92" i="7"/>
  <c r="P92" i="7"/>
  <c r="T92" i="7"/>
  <c r="X92" i="7"/>
  <c r="AB92" i="7"/>
  <c r="AF92" i="7"/>
  <c r="AJ92" i="7"/>
  <c r="AJ89" i="7"/>
  <c r="J92" i="7"/>
  <c r="N92" i="7"/>
  <c r="R92" i="7"/>
  <c r="V92" i="7"/>
  <c r="Z92" i="7"/>
  <c r="AD92" i="7"/>
  <c r="AH92" i="7"/>
  <c r="P95" i="7"/>
  <c r="AF95" i="7"/>
  <c r="CV96" i="7"/>
  <c r="G98" i="7"/>
  <c r="W98" i="7"/>
  <c r="H101" i="7"/>
  <c r="L101" i="7"/>
  <c r="P101" i="7"/>
  <c r="T101" i="7"/>
  <c r="X101" i="7"/>
  <c r="AB101" i="7"/>
  <c r="AF101" i="7"/>
  <c r="AJ101" i="7"/>
  <c r="I101" i="7"/>
  <c r="M101" i="7"/>
  <c r="Q101" i="7"/>
  <c r="U101" i="7"/>
  <c r="Y101" i="7"/>
  <c r="AC101" i="7"/>
  <c r="AG101" i="7"/>
  <c r="J104" i="7"/>
  <c r="N104" i="7"/>
  <c r="R104" i="7"/>
  <c r="V104" i="7"/>
  <c r="Z104" i="7"/>
  <c r="AD104" i="7"/>
  <c r="AH104" i="7"/>
  <c r="I110" i="7"/>
  <c r="M110" i="7"/>
  <c r="Q110" i="7"/>
  <c r="U110" i="7"/>
  <c r="Y110" i="7"/>
  <c r="AC110" i="7"/>
  <c r="AG110" i="7"/>
  <c r="I113" i="7"/>
  <c r="M113" i="7"/>
  <c r="Q113" i="7"/>
  <c r="U113" i="7"/>
  <c r="Y113" i="7"/>
  <c r="AC113" i="7"/>
  <c r="AG113" i="7"/>
  <c r="I119" i="7"/>
  <c r="M119" i="7"/>
  <c r="Q119" i="7"/>
  <c r="U119" i="7"/>
  <c r="Y119" i="7"/>
  <c r="AC119" i="7"/>
  <c r="AG119" i="7"/>
  <c r="CV118" i="7"/>
  <c r="G122" i="7"/>
  <c r="K122" i="7"/>
  <c r="O122" i="7"/>
  <c r="S122" i="7"/>
  <c r="W122" i="7"/>
  <c r="AA122" i="7"/>
  <c r="AE122" i="7"/>
  <c r="AI122" i="7"/>
  <c r="G128" i="7"/>
  <c r="K128" i="7"/>
  <c r="O128" i="7"/>
  <c r="S128" i="7"/>
  <c r="W128" i="7"/>
  <c r="AA128" i="7"/>
  <c r="CV123" i="7"/>
  <c r="J95" i="7"/>
  <c r="N95" i="7"/>
  <c r="R95" i="7"/>
  <c r="V95" i="7"/>
  <c r="Z95" i="7"/>
  <c r="AD95" i="7"/>
  <c r="AH95" i="7"/>
  <c r="H98" i="7"/>
  <c r="L98" i="7"/>
  <c r="P98" i="7"/>
  <c r="T98" i="7"/>
  <c r="X98" i="7"/>
  <c r="AB98" i="7"/>
  <c r="AF98" i="7"/>
  <c r="AJ98" i="7"/>
  <c r="J101" i="7"/>
  <c r="N101" i="7"/>
  <c r="R101" i="7"/>
  <c r="V101" i="7"/>
  <c r="Z101" i="7"/>
  <c r="AD101" i="7"/>
  <c r="AH101" i="7"/>
  <c r="I107" i="7"/>
  <c r="M107" i="7"/>
  <c r="Q107" i="7"/>
  <c r="U107" i="7"/>
  <c r="Y107" i="7"/>
  <c r="AC107" i="7"/>
  <c r="AG107" i="7"/>
  <c r="CV106" i="7"/>
  <c r="G110" i="7"/>
  <c r="K110" i="7"/>
  <c r="O110" i="7"/>
  <c r="S110" i="7"/>
  <c r="W110" i="7"/>
  <c r="AA110" i="7"/>
  <c r="AE110" i="7"/>
  <c r="AI110" i="7"/>
  <c r="G113" i="7"/>
  <c r="K113" i="7"/>
  <c r="O113" i="7"/>
  <c r="S113" i="7"/>
  <c r="W113" i="7"/>
  <c r="AA113" i="7"/>
  <c r="AE113" i="7"/>
  <c r="AI113" i="7"/>
  <c r="H113" i="7"/>
  <c r="L113" i="7"/>
  <c r="P113" i="7"/>
  <c r="T113" i="7"/>
  <c r="X113" i="7"/>
  <c r="AB113" i="7"/>
  <c r="AF113" i="7"/>
  <c r="AJ113" i="7"/>
  <c r="I116" i="7"/>
  <c r="M116" i="7"/>
  <c r="Q116" i="7"/>
  <c r="U116" i="7"/>
  <c r="Y116" i="7"/>
  <c r="AC116" i="7"/>
  <c r="AG116" i="7"/>
  <c r="G119" i="7"/>
  <c r="K119" i="7"/>
  <c r="O119" i="7"/>
  <c r="S119" i="7"/>
  <c r="W119" i="7"/>
  <c r="AA119" i="7"/>
  <c r="AE119" i="7"/>
  <c r="AI119" i="7"/>
  <c r="M128" i="7"/>
  <c r="AC128" i="7"/>
  <c r="L131" i="7"/>
  <c r="T131" i="7"/>
  <c r="AB131" i="7"/>
  <c r="AF131" i="7"/>
  <c r="AJ131" i="7"/>
  <c r="I134" i="7"/>
  <c r="M134" i="7"/>
  <c r="CV148" i="7"/>
  <c r="CV154" i="7"/>
  <c r="Q134" i="7"/>
  <c r="U134" i="7"/>
  <c r="Y134" i="7"/>
  <c r="AC134" i="7"/>
  <c r="AG134" i="7"/>
  <c r="J134" i="7"/>
  <c r="N134" i="7"/>
  <c r="R134" i="7"/>
  <c r="V134" i="7"/>
  <c r="Z134" i="7"/>
  <c r="AD134" i="7"/>
  <c r="AH134" i="7"/>
  <c r="G137" i="7"/>
  <c r="K137" i="7"/>
  <c r="O137" i="7"/>
  <c r="S137" i="7"/>
  <c r="W137" i="7"/>
  <c r="AA137" i="7"/>
  <c r="AE137" i="7"/>
  <c r="AI137" i="7"/>
  <c r="J140" i="7"/>
  <c r="N140" i="7"/>
  <c r="R140" i="7"/>
  <c r="V140" i="7"/>
  <c r="Z140" i="7"/>
  <c r="AD140" i="7"/>
  <c r="AH140" i="7"/>
  <c r="H143" i="7"/>
  <c r="L143" i="7"/>
  <c r="P143" i="7"/>
  <c r="T143" i="7"/>
  <c r="X143" i="7"/>
  <c r="AB143" i="7"/>
  <c r="AF143" i="7"/>
  <c r="AJ143" i="7"/>
  <c r="H161" i="7"/>
  <c r="L161" i="7"/>
  <c r="P161" i="7"/>
  <c r="T161" i="7"/>
  <c r="X161" i="7"/>
  <c r="AB161" i="7"/>
  <c r="AF161" i="7"/>
  <c r="AJ161" i="7"/>
  <c r="J164" i="7"/>
  <c r="N164" i="7"/>
  <c r="R164" i="7"/>
  <c r="V164" i="7"/>
  <c r="Z164" i="7"/>
  <c r="AD164" i="7"/>
  <c r="AH164" i="7"/>
  <c r="H167" i="7"/>
  <c r="L167" i="7"/>
  <c r="P167" i="7"/>
  <c r="T167" i="7"/>
  <c r="X167" i="7"/>
  <c r="AB167" i="7"/>
  <c r="AF167" i="7"/>
  <c r="AJ167" i="7"/>
  <c r="J170" i="7"/>
  <c r="N170" i="7"/>
  <c r="R170" i="7"/>
  <c r="V170" i="7"/>
  <c r="Z170" i="7"/>
  <c r="AD170" i="7"/>
  <c r="AH170" i="7"/>
  <c r="AO47" i="7"/>
  <c r="AS47" i="7"/>
  <c r="AW47" i="7"/>
  <c r="BA47" i="7"/>
  <c r="BE47" i="7"/>
  <c r="BI47" i="7"/>
  <c r="BM47" i="7"/>
  <c r="AL50" i="7"/>
  <c r="AP50" i="7"/>
  <c r="AT50" i="7"/>
  <c r="AX50" i="7"/>
  <c r="BB50" i="7"/>
  <c r="BF50" i="7"/>
  <c r="BJ50" i="7"/>
  <c r="BN50" i="7"/>
  <c r="AN53" i="7"/>
  <c r="AR53" i="7"/>
  <c r="AV53" i="7"/>
  <c r="AZ53" i="7"/>
  <c r="BD53" i="7"/>
  <c r="BH53" i="7"/>
  <c r="BL53" i="7"/>
  <c r="AL56" i="7"/>
  <c r="AP56" i="7"/>
  <c r="AT56" i="7"/>
  <c r="AX56" i="7"/>
  <c r="BB56" i="7"/>
  <c r="BF56" i="7"/>
  <c r="BJ56" i="7"/>
  <c r="BN56" i="7"/>
  <c r="AY56" i="7"/>
  <c r="BG56" i="7"/>
  <c r="BO56" i="7"/>
  <c r="AN59" i="7"/>
  <c r="AR59" i="7"/>
  <c r="AV59" i="7"/>
  <c r="AZ59" i="7"/>
  <c r="BD59" i="7"/>
  <c r="BH59" i="7"/>
  <c r="BL59" i="7"/>
  <c r="AL62" i="7"/>
  <c r="AP62" i="7"/>
  <c r="AT62" i="7"/>
  <c r="AX62" i="7"/>
  <c r="BB62" i="7"/>
  <c r="BF62" i="7"/>
  <c r="BJ62" i="7"/>
  <c r="BN62" i="7"/>
  <c r="AN65" i="7"/>
  <c r="AR65" i="7"/>
  <c r="AV65" i="7"/>
  <c r="AZ65" i="7"/>
  <c r="BD65" i="7"/>
  <c r="BH65" i="7"/>
  <c r="BL65" i="7"/>
  <c r="AL68" i="7"/>
  <c r="AP68" i="7"/>
  <c r="AT68" i="7"/>
  <c r="AX68" i="7"/>
  <c r="BB68" i="7"/>
  <c r="BF68" i="7"/>
  <c r="BN68" i="7"/>
  <c r="AO74" i="7"/>
  <c r="AS74" i="7"/>
  <c r="AW74" i="7"/>
  <c r="BA74" i="7"/>
  <c r="BE74" i="7"/>
  <c r="BI74" i="7"/>
  <c r="BM74" i="7"/>
  <c r="AO80" i="7"/>
  <c r="AS80" i="7"/>
  <c r="AW80" i="7"/>
  <c r="BA80" i="7"/>
  <c r="BE80" i="7"/>
  <c r="BI80" i="7"/>
  <c r="BM80" i="7"/>
  <c r="AM83" i="7"/>
  <c r="AQ83" i="7"/>
  <c r="AU83" i="7"/>
  <c r="AY83" i="7"/>
  <c r="BC83" i="7"/>
  <c r="BG83" i="7"/>
  <c r="BK83" i="7"/>
  <c r="BO83" i="7"/>
  <c r="AN86" i="7"/>
  <c r="AR86" i="7"/>
  <c r="AV86" i="7"/>
  <c r="AZ86" i="7"/>
  <c r="BD86" i="7"/>
  <c r="BH86" i="7"/>
  <c r="BL86" i="7"/>
  <c r="AL89" i="7"/>
  <c r="AP89" i="7"/>
  <c r="AT89" i="7"/>
  <c r="AX89" i="7"/>
  <c r="AE128" i="7"/>
  <c r="AI128" i="7"/>
  <c r="I131" i="7"/>
  <c r="M131" i="7"/>
  <c r="Q131" i="7"/>
  <c r="U131" i="7"/>
  <c r="Y131" i="7"/>
  <c r="AC131" i="7"/>
  <c r="AG131" i="7"/>
  <c r="G134" i="7"/>
  <c r="K134" i="7"/>
  <c r="O134" i="7"/>
  <c r="S134" i="7"/>
  <c r="W134" i="7"/>
  <c r="AA134" i="7"/>
  <c r="AE134" i="7"/>
  <c r="AI134" i="7"/>
  <c r="H140" i="7"/>
  <c r="L140" i="7"/>
  <c r="P140" i="7"/>
  <c r="T140" i="7"/>
  <c r="X140" i="7"/>
  <c r="AB140" i="7"/>
  <c r="AF140" i="7"/>
  <c r="AJ140" i="7"/>
  <c r="J143" i="7"/>
  <c r="N143" i="7"/>
  <c r="R143" i="7"/>
  <c r="V143" i="7"/>
  <c r="Z143" i="7"/>
  <c r="AD143" i="7"/>
  <c r="AH143" i="7"/>
  <c r="G143" i="7"/>
  <c r="O143" i="7"/>
  <c r="W143" i="7"/>
  <c r="AA143" i="7"/>
  <c r="AE143" i="7"/>
  <c r="J161" i="7"/>
  <c r="N161" i="7"/>
  <c r="R161" i="7"/>
  <c r="V161" i="7"/>
  <c r="Z161" i="7"/>
  <c r="AD161" i="7"/>
  <c r="AH161" i="7"/>
  <c r="H164" i="7"/>
  <c r="L164" i="7"/>
  <c r="P164" i="7"/>
  <c r="T164" i="7"/>
  <c r="X164" i="7"/>
  <c r="AB164" i="7"/>
  <c r="AF164" i="7"/>
  <c r="AJ164" i="7"/>
  <c r="J167" i="7"/>
  <c r="N167" i="7"/>
  <c r="R167" i="7"/>
  <c r="V167" i="7"/>
  <c r="Z167" i="7"/>
  <c r="AD167" i="7"/>
  <c r="AH167" i="7"/>
  <c r="H170" i="7"/>
  <c r="L170" i="7"/>
  <c r="P170" i="7"/>
  <c r="T170" i="7"/>
  <c r="X170" i="7"/>
  <c r="AB170" i="7"/>
  <c r="AF170" i="7"/>
  <c r="AJ170" i="7"/>
  <c r="CW42" i="7"/>
  <c r="AO44" i="7"/>
  <c r="AS44" i="7"/>
  <c r="AW44" i="7"/>
  <c r="BA44" i="7"/>
  <c r="BE44" i="7"/>
  <c r="BI44" i="7"/>
  <c r="BM44" i="7"/>
  <c r="AM47" i="7"/>
  <c r="AQ47" i="7"/>
  <c r="AU47" i="7"/>
  <c r="AY47" i="7"/>
  <c r="BC47" i="7"/>
  <c r="BG47" i="7"/>
  <c r="BK47" i="7"/>
  <c r="BO47" i="7"/>
  <c r="AN50" i="7"/>
  <c r="AR50" i="7"/>
  <c r="AV50" i="7"/>
  <c r="AZ50" i="7"/>
  <c r="BD50" i="7"/>
  <c r="BH50" i="7"/>
  <c r="BL50" i="7"/>
  <c r="CW49" i="7"/>
  <c r="AL53" i="7"/>
  <c r="AP53" i="7"/>
  <c r="AT53" i="7"/>
  <c r="AX53" i="7"/>
  <c r="BB53" i="7"/>
  <c r="BF53" i="7"/>
  <c r="BJ53" i="7"/>
  <c r="BN53" i="7"/>
  <c r="AN56" i="7"/>
  <c r="AR56" i="7"/>
  <c r="AV56" i="7"/>
  <c r="AZ56" i="7"/>
  <c r="BD56" i="7"/>
  <c r="BH56" i="7"/>
  <c r="BL56" i="7"/>
  <c r="AT59" i="7"/>
  <c r="AN62" i="7"/>
  <c r="AR62" i="7"/>
  <c r="AV62" i="7"/>
  <c r="AZ62" i="7"/>
  <c r="BD62" i="7"/>
  <c r="BH62" i="7"/>
  <c r="BL62" i="7"/>
  <c r="AN68" i="7"/>
  <c r="AR68" i="7"/>
  <c r="AV68" i="7"/>
  <c r="AZ68" i="7"/>
  <c r="BD68" i="7"/>
  <c r="BH68" i="7"/>
  <c r="BL68" i="7"/>
  <c r="CW67" i="7"/>
  <c r="AO71" i="7"/>
  <c r="AS71" i="7"/>
  <c r="AW71" i="7"/>
  <c r="BA71" i="7"/>
  <c r="BE71" i="7"/>
  <c r="BI71" i="7"/>
  <c r="BM71" i="7"/>
  <c r="AM74" i="7"/>
  <c r="AQ74" i="7"/>
  <c r="AU74" i="7"/>
  <c r="AY74" i="7"/>
  <c r="BC74" i="7"/>
  <c r="BG74" i="7"/>
  <c r="BK74" i="7"/>
  <c r="BO74" i="7"/>
  <c r="AK77" i="7"/>
  <c r="AO77" i="7"/>
  <c r="AS77" i="7"/>
  <c r="AW77" i="7"/>
  <c r="BE77" i="7"/>
  <c r="BI77" i="7"/>
  <c r="BM77" i="7"/>
  <c r="AM80" i="7"/>
  <c r="AU80" i="7"/>
  <c r="BC80" i="7"/>
  <c r="BK80" i="7"/>
  <c r="AL86" i="7"/>
  <c r="AP86" i="7"/>
  <c r="AT86" i="7"/>
  <c r="AX86" i="7"/>
  <c r="BB86" i="7"/>
  <c r="BF86" i="7"/>
  <c r="BJ86" i="7"/>
  <c r="BB89" i="7"/>
  <c r="BF89" i="7"/>
  <c r="BJ89" i="7"/>
  <c r="BN89" i="7"/>
  <c r="AN92" i="7"/>
  <c r="AR92" i="7"/>
  <c r="AV92" i="7"/>
  <c r="AZ92" i="7"/>
  <c r="BD92" i="7"/>
  <c r="BH92" i="7"/>
  <c r="BL92" i="7"/>
  <c r="AL95" i="7"/>
  <c r="AP95" i="7"/>
  <c r="AT95" i="7"/>
  <c r="AX95" i="7"/>
  <c r="BB95" i="7"/>
  <c r="BF95" i="7"/>
  <c r="BJ95" i="7"/>
  <c r="BN95" i="7"/>
  <c r="AN98" i="7"/>
  <c r="AR98" i="7"/>
  <c r="AV98" i="7"/>
  <c r="AZ98" i="7"/>
  <c r="BD98" i="7"/>
  <c r="BH98" i="7"/>
  <c r="BL98" i="7"/>
  <c r="AL101" i="7"/>
  <c r="AP101" i="7"/>
  <c r="AT101" i="7"/>
  <c r="AX101" i="7"/>
  <c r="BB101" i="7"/>
  <c r="BF101" i="7"/>
  <c r="BJ101" i="7"/>
  <c r="BN101" i="7"/>
  <c r="AN104" i="7"/>
  <c r="AR104" i="7"/>
  <c r="AV104" i="7"/>
  <c r="AZ104" i="7"/>
  <c r="BD104" i="7"/>
  <c r="BH104" i="7"/>
  <c r="BL104" i="7"/>
  <c r="AL107" i="7"/>
  <c r="AP107" i="7"/>
  <c r="AT107" i="7"/>
  <c r="AX107" i="7"/>
  <c r="BB107" i="7"/>
  <c r="BF107" i="7"/>
  <c r="BJ107" i="7"/>
  <c r="BN107" i="7"/>
  <c r="AN110" i="7"/>
  <c r="AR110" i="7"/>
  <c r="AV110" i="7"/>
  <c r="AZ110" i="7"/>
  <c r="BD110" i="7"/>
  <c r="BH110" i="7"/>
  <c r="BL110" i="7"/>
  <c r="AN113" i="7"/>
  <c r="AR113" i="7"/>
  <c r="AV113" i="7"/>
  <c r="AZ113" i="7"/>
  <c r="BD113" i="7"/>
  <c r="BH113" i="7"/>
  <c r="BL113" i="7"/>
  <c r="CW112" i="7"/>
  <c r="AL116" i="7"/>
  <c r="AP116" i="7"/>
  <c r="AT116" i="7"/>
  <c r="AX116" i="7"/>
  <c r="BB116" i="7"/>
  <c r="BF116" i="7"/>
  <c r="BJ116" i="7"/>
  <c r="BN116" i="7"/>
  <c r="AN119" i="7"/>
  <c r="AR119" i="7"/>
  <c r="AV119" i="7"/>
  <c r="AZ119" i="7"/>
  <c r="BD119" i="7"/>
  <c r="BH119" i="7"/>
  <c r="BL119" i="7"/>
  <c r="CW118" i="7"/>
  <c r="AL122" i="7"/>
  <c r="AP122" i="7"/>
  <c r="AT122" i="7"/>
  <c r="AX122" i="7"/>
  <c r="BB122" i="7"/>
  <c r="BF122" i="7"/>
  <c r="BJ122" i="7"/>
  <c r="BN122" i="7"/>
  <c r="BO122" i="7"/>
  <c r="AN125" i="7"/>
  <c r="AR125" i="7"/>
  <c r="AV125" i="7"/>
  <c r="AZ125" i="7"/>
  <c r="BD125" i="7"/>
  <c r="BH125" i="7"/>
  <c r="BL125" i="7"/>
  <c r="CW124" i="7"/>
  <c r="BB128" i="7"/>
  <c r="BF128" i="7"/>
  <c r="BJ128" i="7"/>
  <c r="BN128" i="7"/>
  <c r="AN131" i="7"/>
  <c r="AR131" i="7"/>
  <c r="AV131" i="7"/>
  <c r="AZ131" i="7"/>
  <c r="BD131" i="7"/>
  <c r="BH131" i="7"/>
  <c r="BL131" i="7"/>
  <c r="CW130" i="7"/>
  <c r="AL134" i="7"/>
  <c r="AP134" i="7"/>
  <c r="AT134" i="7"/>
  <c r="AX134" i="7"/>
  <c r="BB134" i="7"/>
  <c r="BF134" i="7"/>
  <c r="BJ134" i="7"/>
  <c r="BN134" i="7"/>
  <c r="AN137" i="7"/>
  <c r="AR137" i="7"/>
  <c r="AV137" i="7"/>
  <c r="AZ137" i="7"/>
  <c r="BD137" i="7"/>
  <c r="BH137" i="7"/>
  <c r="BL137" i="7"/>
  <c r="CW136" i="7"/>
  <c r="AN140" i="7"/>
  <c r="AR140" i="7"/>
  <c r="AV140" i="7"/>
  <c r="AZ140" i="7"/>
  <c r="BD140" i="7"/>
  <c r="BH140" i="7"/>
  <c r="BL140" i="7"/>
  <c r="CW139" i="7"/>
  <c r="AL143" i="7"/>
  <c r="AP143" i="7"/>
  <c r="AT143" i="7"/>
  <c r="AX143" i="7"/>
  <c r="BB143" i="7"/>
  <c r="BF143" i="7"/>
  <c r="BJ143" i="7"/>
  <c r="BN143" i="7"/>
  <c r="AL146" i="7"/>
  <c r="AP146" i="7"/>
  <c r="AT146" i="7"/>
  <c r="AX146" i="7"/>
  <c r="BB146" i="7"/>
  <c r="CW123" i="7"/>
  <c r="BN86" i="7"/>
  <c r="AN89" i="7"/>
  <c r="AR89" i="7"/>
  <c r="AV89" i="7"/>
  <c r="AZ89" i="7"/>
  <c r="BD89" i="7"/>
  <c r="BH89" i="7"/>
  <c r="BL89" i="7"/>
  <c r="CW88" i="7"/>
  <c r="BM89" i="7"/>
  <c r="CW115" i="7"/>
  <c r="BN119" i="7"/>
  <c r="AN122" i="7"/>
  <c r="AR122" i="7"/>
  <c r="AV122" i="7"/>
  <c r="AZ122" i="7"/>
  <c r="BD122" i="7"/>
  <c r="BH122" i="7"/>
  <c r="BL122" i="7"/>
  <c r="CW121" i="7"/>
  <c r="AL125" i="7"/>
  <c r="AP125" i="7"/>
  <c r="AT125" i="7"/>
  <c r="AX125" i="7"/>
  <c r="BB125" i="7"/>
  <c r="BF125" i="7"/>
  <c r="BJ125" i="7"/>
  <c r="BN125" i="7"/>
  <c r="BL128" i="7"/>
  <c r="CW127" i="7"/>
  <c r="AL131" i="7"/>
  <c r="AP131" i="7"/>
  <c r="AT131" i="7"/>
  <c r="AX131" i="7"/>
  <c r="BB131" i="7"/>
  <c r="BF131" i="7"/>
  <c r="BJ131" i="7"/>
  <c r="BN131" i="7"/>
  <c r="AN134" i="7"/>
  <c r="AR134" i="7"/>
  <c r="AV134" i="7"/>
  <c r="AZ134" i="7"/>
  <c r="BD134" i="7"/>
  <c r="BH134" i="7"/>
  <c r="BL134" i="7"/>
  <c r="CW133" i="7"/>
  <c r="AL137" i="7"/>
  <c r="AP137" i="7"/>
  <c r="AT137" i="7"/>
  <c r="AX137" i="7"/>
  <c r="BB137" i="7"/>
  <c r="BF137" i="7"/>
  <c r="BJ137" i="7"/>
  <c r="BN137" i="7"/>
  <c r="AL140" i="7"/>
  <c r="AP140" i="7"/>
  <c r="AT140" i="7"/>
  <c r="AX140" i="7"/>
  <c r="BB140" i="7"/>
  <c r="BF140" i="7"/>
  <c r="BJ140" i="7"/>
  <c r="BN140" i="7"/>
  <c r="AN143" i="7"/>
  <c r="AR143" i="7"/>
  <c r="AV143" i="7"/>
  <c r="AZ143" i="7"/>
  <c r="BD143" i="7"/>
  <c r="BH143" i="7"/>
  <c r="BL143" i="7"/>
  <c r="CW142" i="7"/>
  <c r="BS12" i="7"/>
  <c r="CJ12" i="7"/>
  <c r="CN12" i="7"/>
  <c r="CR12" i="7"/>
  <c r="BQ13" i="7"/>
  <c r="BU13" i="7"/>
  <c r="BY13" i="7"/>
  <c r="CC13" i="7"/>
  <c r="CG13" i="7"/>
  <c r="CK13" i="7"/>
  <c r="CO13" i="7"/>
  <c r="CS13" i="7"/>
  <c r="CM12" i="7"/>
  <c r="CQ12" i="7"/>
  <c r="BX13" i="7"/>
  <c r="CB13" i="7"/>
  <c r="CN13" i="7"/>
  <c r="CR13" i="7"/>
  <c r="BQ12" i="7"/>
  <c r="BF146" i="7"/>
  <c r="BJ146" i="7"/>
  <c r="BN146" i="7"/>
  <c r="AN149" i="7"/>
  <c r="AR149" i="7"/>
  <c r="AV149" i="7"/>
  <c r="AZ149" i="7"/>
  <c r="BD149" i="7"/>
  <c r="BH149" i="7"/>
  <c r="BL149" i="7"/>
  <c r="CW148" i="7"/>
  <c r="AL152" i="7"/>
  <c r="AP152" i="7"/>
  <c r="AT152" i="7"/>
  <c r="AX152" i="7"/>
  <c r="BB152" i="7"/>
  <c r="BF152" i="7"/>
  <c r="BJ152" i="7"/>
  <c r="BN152" i="7"/>
  <c r="AN155" i="7"/>
  <c r="AR155" i="7"/>
  <c r="AV155" i="7"/>
  <c r="AZ155" i="7"/>
  <c r="BD155" i="7"/>
  <c r="BH155" i="7"/>
  <c r="BL155" i="7"/>
  <c r="CW154" i="7"/>
  <c r="AL158" i="7"/>
  <c r="AP158" i="7"/>
  <c r="AT158" i="7"/>
  <c r="AX158" i="7"/>
  <c r="BB158" i="7"/>
  <c r="BF158" i="7"/>
  <c r="BJ158" i="7"/>
  <c r="BN158" i="7"/>
  <c r="AL161" i="7"/>
  <c r="AP161" i="7"/>
  <c r="AT161" i="7"/>
  <c r="AX161" i="7"/>
  <c r="BB161" i="7"/>
  <c r="BF161" i="7"/>
  <c r="BJ161" i="7"/>
  <c r="BN161" i="7"/>
  <c r="AN164" i="7"/>
  <c r="AR164" i="7"/>
  <c r="AV164" i="7"/>
  <c r="AZ164" i="7"/>
  <c r="BD164" i="7"/>
  <c r="BH164" i="7"/>
  <c r="BL164" i="7"/>
  <c r="CW163" i="7"/>
  <c r="AL167" i="7"/>
  <c r="AP167" i="7"/>
  <c r="AT167" i="7"/>
  <c r="AX167" i="7"/>
  <c r="BB167" i="7"/>
  <c r="BF167" i="7"/>
  <c r="BJ167" i="7"/>
  <c r="BN167" i="7"/>
  <c r="AN170" i="7"/>
  <c r="AR170" i="7"/>
  <c r="AV170" i="7"/>
  <c r="AZ170" i="7"/>
  <c r="BD170" i="7"/>
  <c r="BH170" i="7"/>
  <c r="BL170" i="7"/>
  <c r="CW169" i="7"/>
  <c r="BQ44" i="7"/>
  <c r="AN146" i="7"/>
  <c r="AR146" i="7"/>
  <c r="AV146" i="7"/>
  <c r="AZ146" i="7"/>
  <c r="BD146" i="7"/>
  <c r="BH146" i="7"/>
  <c r="BL146" i="7"/>
  <c r="CW145" i="7"/>
  <c r="AL149" i="7"/>
  <c r="AP149" i="7"/>
  <c r="AT149" i="7"/>
  <c r="AX149" i="7"/>
  <c r="BB149" i="7"/>
  <c r="BF149" i="7"/>
  <c r="BJ149" i="7"/>
  <c r="BN149" i="7"/>
  <c r="AN152" i="7"/>
  <c r="AR152" i="7"/>
  <c r="AV152" i="7"/>
  <c r="AZ152" i="7"/>
  <c r="BD152" i="7"/>
  <c r="BH152" i="7"/>
  <c r="BL152" i="7"/>
  <c r="CW151" i="7"/>
  <c r="AL155" i="7"/>
  <c r="AP155" i="7"/>
  <c r="AT155" i="7"/>
  <c r="AX155" i="7"/>
  <c r="BB155" i="7"/>
  <c r="BF155" i="7"/>
  <c r="BJ155" i="7"/>
  <c r="BN155" i="7"/>
  <c r="AN158" i="7"/>
  <c r="AR158" i="7"/>
  <c r="AV158" i="7"/>
  <c r="AZ158" i="7"/>
  <c r="BD158" i="7"/>
  <c r="BH158" i="7"/>
  <c r="BL158" i="7"/>
  <c r="CW157" i="7"/>
  <c r="AN161" i="7"/>
  <c r="AR161" i="7"/>
  <c r="AV161" i="7"/>
  <c r="AZ161" i="7"/>
  <c r="BD161" i="7"/>
  <c r="BH161" i="7"/>
  <c r="BL161" i="7"/>
  <c r="CW160" i="7"/>
  <c r="AL164" i="7"/>
  <c r="AP164" i="7"/>
  <c r="AT164" i="7"/>
  <c r="AX164" i="7"/>
  <c r="BB164" i="7"/>
  <c r="BF164" i="7"/>
  <c r="BJ164" i="7"/>
  <c r="BN164" i="7"/>
  <c r="AN167" i="7"/>
  <c r="AR167" i="7"/>
  <c r="AV167" i="7"/>
  <c r="AZ167" i="7"/>
  <c r="BD167" i="7"/>
  <c r="BH167" i="7"/>
  <c r="BL167" i="7"/>
  <c r="CW166" i="7"/>
  <c r="AL170" i="7"/>
  <c r="AP170" i="7"/>
  <c r="AT170" i="7"/>
  <c r="AX170" i="7"/>
  <c r="BB170" i="7"/>
  <c r="BF170" i="7"/>
  <c r="BJ170" i="7"/>
  <c r="BN170" i="7"/>
  <c r="I62" i="7"/>
  <c r="M62" i="7"/>
  <c r="Q62" i="7"/>
  <c r="U62" i="7"/>
  <c r="Y62" i="7"/>
  <c r="AC62" i="7"/>
  <c r="AG62" i="7"/>
  <c r="CW58" i="7"/>
  <c r="AL59" i="7"/>
  <c r="AP59" i="7"/>
  <c r="AX59" i="7"/>
  <c r="BB59" i="7"/>
  <c r="BF59" i="7"/>
  <c r="BJ59" i="7"/>
  <c r="BN59" i="7"/>
  <c r="AK59" i="7"/>
  <c r="AO59" i="7"/>
  <c r="AS59" i="7"/>
  <c r="AW59" i="7"/>
  <c r="BA59" i="7"/>
  <c r="BE59" i="7"/>
  <c r="BI59" i="7"/>
  <c r="BM59" i="7"/>
  <c r="AH26" i="6"/>
  <c r="AH27" i="6"/>
  <c r="F6" i="6"/>
  <c r="F6" i="4" s="1"/>
  <c r="C8" i="4"/>
  <c r="M6" i="4"/>
  <c r="J8" i="4"/>
  <c r="N6" i="4"/>
  <c r="I8" i="4"/>
  <c r="AK44" i="7"/>
  <c r="CW45" i="7"/>
  <c r="CW43" i="7"/>
  <c r="AK47" i="7"/>
  <c r="AN47" i="7"/>
  <c r="AR47" i="7"/>
  <c r="AV47" i="7"/>
  <c r="AZ47" i="7"/>
  <c r="BD47" i="7"/>
  <c r="BH47" i="7"/>
  <c r="BL47" i="7"/>
  <c r="CW46" i="7"/>
  <c r="AK50" i="7"/>
  <c r="AO50" i="7"/>
  <c r="AS50" i="7"/>
  <c r="AW50" i="7"/>
  <c r="BA50" i="7"/>
  <c r="BE50" i="7"/>
  <c r="AK56" i="7"/>
  <c r="CW54" i="7"/>
  <c r="CW60" i="7"/>
  <c r="CW64" i="7"/>
  <c r="CW69" i="7"/>
  <c r="AK74" i="7"/>
  <c r="CW72" i="7"/>
  <c r="AX74" i="7"/>
  <c r="BF74" i="7"/>
  <c r="BN74" i="7"/>
  <c r="CW79" i="7"/>
  <c r="AK65" i="7"/>
  <c r="CW63" i="7"/>
  <c r="AK80" i="7"/>
  <c r="CW78" i="7"/>
  <c r="CW48" i="7"/>
  <c r="CW52" i="7"/>
  <c r="CW57" i="7"/>
  <c r="AM62" i="7"/>
  <c r="AQ62" i="7"/>
  <c r="AU62" i="7"/>
  <c r="AY62" i="7"/>
  <c r="BC62" i="7"/>
  <c r="BG62" i="7"/>
  <c r="BK62" i="7"/>
  <c r="BO62" i="7"/>
  <c r="AK62" i="7"/>
  <c r="AL65" i="7"/>
  <c r="AP65" i="7"/>
  <c r="AT65" i="7"/>
  <c r="AX65" i="7"/>
  <c r="BB65" i="7"/>
  <c r="BF65" i="7"/>
  <c r="BJ65" i="7"/>
  <c r="BN65" i="7"/>
  <c r="AK68" i="7"/>
  <c r="CW66" i="7"/>
  <c r="AO68" i="7"/>
  <c r="AS68" i="7"/>
  <c r="AW68" i="7"/>
  <c r="BA68" i="7"/>
  <c r="BE68" i="7"/>
  <c r="BI68" i="7"/>
  <c r="BM68" i="7"/>
  <c r="AM71" i="7"/>
  <c r="AQ71" i="7"/>
  <c r="AU71" i="7"/>
  <c r="AY71" i="7"/>
  <c r="BC71" i="7"/>
  <c r="BG71" i="7"/>
  <c r="BK71" i="7"/>
  <c r="BO71" i="7"/>
  <c r="AV71" i="7"/>
  <c r="BL71" i="7"/>
  <c r="AK71" i="7"/>
  <c r="CW75" i="7"/>
  <c r="BA77" i="7"/>
  <c r="AK53" i="7"/>
  <c r="CW51" i="7"/>
  <c r="CW55" i="7"/>
  <c r="CW61" i="7"/>
  <c r="CW70" i="7"/>
  <c r="CW73" i="7"/>
  <c r="CW85" i="7"/>
  <c r="AK95" i="7"/>
  <c r="CW93" i="7"/>
  <c r="AK101" i="7"/>
  <c r="CW99" i="7"/>
  <c r="AK107" i="7"/>
  <c r="CW105" i="7"/>
  <c r="CW84" i="7"/>
  <c r="CW91" i="7"/>
  <c r="CW97" i="7"/>
  <c r="CW103" i="7"/>
  <c r="CW109" i="7"/>
  <c r="AK92" i="7"/>
  <c r="CW90" i="7"/>
  <c r="AK98" i="7"/>
  <c r="CW96" i="7"/>
  <c r="AK104" i="7"/>
  <c r="CW102" i="7"/>
  <c r="AK110" i="7"/>
  <c r="CW108" i="7"/>
  <c r="CW110" i="7" s="1"/>
  <c r="CW81" i="7"/>
  <c r="AM86" i="7"/>
  <c r="AQ86" i="7"/>
  <c r="AU86" i="7"/>
  <c r="AY86" i="7"/>
  <c r="BC86" i="7"/>
  <c r="BG86" i="7"/>
  <c r="BK86" i="7"/>
  <c r="BO86" i="7"/>
  <c r="AK86" i="7"/>
  <c r="AK89" i="7"/>
  <c r="CW87" i="7"/>
  <c r="AO89" i="7"/>
  <c r="AL92" i="7"/>
  <c r="AP92" i="7"/>
  <c r="AT92" i="7"/>
  <c r="AX92" i="7"/>
  <c r="BB92" i="7"/>
  <c r="BF92" i="7"/>
  <c r="BJ92" i="7"/>
  <c r="BN92" i="7"/>
  <c r="AN95" i="7"/>
  <c r="AR95" i="7"/>
  <c r="AV95" i="7"/>
  <c r="AZ95" i="7"/>
  <c r="BD95" i="7"/>
  <c r="BH95" i="7"/>
  <c r="BL95" i="7"/>
  <c r="CW94" i="7"/>
  <c r="AL98" i="7"/>
  <c r="AP98" i="7"/>
  <c r="AT98" i="7"/>
  <c r="AX98" i="7"/>
  <c r="BB98" i="7"/>
  <c r="BF98" i="7"/>
  <c r="BJ98" i="7"/>
  <c r="BN98" i="7"/>
  <c r="AN101" i="7"/>
  <c r="AR101" i="7"/>
  <c r="AV101" i="7"/>
  <c r="AZ101" i="7"/>
  <c r="BD101" i="7"/>
  <c r="BH101" i="7"/>
  <c r="BL101" i="7"/>
  <c r="CW100" i="7"/>
  <c r="AL104" i="7"/>
  <c r="AP104" i="7"/>
  <c r="AT104" i="7"/>
  <c r="AX104" i="7"/>
  <c r="BB104" i="7"/>
  <c r="BF104" i="7"/>
  <c r="BJ104" i="7"/>
  <c r="BN104" i="7"/>
  <c r="AN107" i="7"/>
  <c r="AR107" i="7"/>
  <c r="AV107" i="7"/>
  <c r="AZ107" i="7"/>
  <c r="BD107" i="7"/>
  <c r="BH107" i="7"/>
  <c r="BL107" i="7"/>
  <c r="CW106" i="7"/>
  <c r="AL110" i="7"/>
  <c r="AP110" i="7"/>
  <c r="AT110" i="7"/>
  <c r="AX110" i="7"/>
  <c r="BB110" i="7"/>
  <c r="BF110" i="7"/>
  <c r="BJ110" i="7"/>
  <c r="BN110" i="7"/>
  <c r="AL113" i="7"/>
  <c r="AP113" i="7"/>
  <c r="AT113" i="7"/>
  <c r="AX113" i="7"/>
  <c r="BB113" i="7"/>
  <c r="BF113" i="7"/>
  <c r="BJ113" i="7"/>
  <c r="BN113" i="7"/>
  <c r="AN116" i="7"/>
  <c r="AR116" i="7"/>
  <c r="AV116" i="7"/>
  <c r="AZ116" i="7"/>
  <c r="BD116" i="7"/>
  <c r="BH116" i="7"/>
  <c r="BL116" i="7"/>
  <c r="AL119" i="7"/>
  <c r="AP119" i="7"/>
  <c r="AT119" i="7"/>
  <c r="AX119" i="7"/>
  <c r="BB119" i="7"/>
  <c r="BF119" i="7"/>
  <c r="BJ119" i="7"/>
  <c r="AM128" i="7"/>
  <c r="AQ128" i="7"/>
  <c r="AU128" i="7"/>
  <c r="AY128" i="7"/>
  <c r="BC128" i="7"/>
  <c r="BG128" i="7"/>
  <c r="BK128" i="7"/>
  <c r="BO128" i="7"/>
  <c r="AK131" i="7"/>
  <c r="AO131" i="7"/>
  <c r="AS131" i="7"/>
  <c r="AW131" i="7"/>
  <c r="BA131" i="7"/>
  <c r="BE131" i="7"/>
  <c r="BI131" i="7"/>
  <c r="BM131" i="7"/>
  <c r="AM134" i="7"/>
  <c r="AQ134" i="7"/>
  <c r="AU134" i="7"/>
  <c r="AY134" i="7"/>
  <c r="BC134" i="7"/>
  <c r="BG134" i="7"/>
  <c r="BK134" i="7"/>
  <c r="BO134" i="7"/>
  <c r="CW111" i="7"/>
  <c r="CW117" i="7"/>
  <c r="CW129" i="7"/>
  <c r="CW135" i="7"/>
  <c r="CW138" i="7"/>
  <c r="CW147" i="7"/>
  <c r="CW153" i="7"/>
  <c r="CW162" i="7"/>
  <c r="CW168" i="7"/>
  <c r="AK143" i="7"/>
  <c r="CW114" i="7"/>
  <c r="CW120" i="7"/>
  <c r="CW126" i="7"/>
  <c r="CW132" i="7"/>
  <c r="CW144" i="7"/>
  <c r="CW150" i="7"/>
  <c r="CW156" i="7"/>
  <c r="CW159" i="7"/>
  <c r="CW165" i="7"/>
  <c r="BQ68" i="7"/>
  <c r="BQ15" i="7"/>
  <c r="CL12" i="7"/>
  <c r="CB65" i="7"/>
  <c r="CB12" i="7"/>
  <c r="CD12" i="7"/>
  <c r="BW44" i="7"/>
  <c r="CA44" i="7"/>
  <c r="CE44" i="7"/>
  <c r="CI44" i="7"/>
  <c r="CM44" i="7"/>
  <c r="CQ44" i="7"/>
  <c r="BZ47" i="7"/>
  <c r="CD47" i="7"/>
  <c r="CH47" i="7"/>
  <c r="CL47" i="7"/>
  <c r="CP47" i="7"/>
  <c r="CT47" i="7"/>
  <c r="CK50" i="7"/>
  <c r="CO50" i="7"/>
  <c r="CS50" i="7"/>
  <c r="CH53" i="7"/>
  <c r="CL53" i="7"/>
  <c r="CP53" i="7"/>
  <c r="CT53" i="7"/>
  <c r="BZ56" i="7"/>
  <c r="CD56" i="7"/>
  <c r="CH56" i="7"/>
  <c r="CL56" i="7"/>
  <c r="CP56" i="7"/>
  <c r="CT56" i="7"/>
  <c r="CX57" i="7"/>
  <c r="BT59" i="7"/>
  <c r="BX59" i="7"/>
  <c r="CB59" i="7"/>
  <c r="CF59" i="7"/>
  <c r="CJ59" i="7"/>
  <c r="CN59" i="7"/>
  <c r="CR59" i="7"/>
  <c r="BX62" i="7"/>
  <c r="CB62" i="7"/>
  <c r="CF62" i="7"/>
  <c r="CJ62" i="7"/>
  <c r="CN62" i="7"/>
  <c r="CJ65" i="7"/>
  <c r="CN65" i="7"/>
  <c r="CR65" i="7"/>
  <c r="CO68" i="7"/>
  <c r="CS68" i="7"/>
  <c r="BT71" i="7"/>
  <c r="BX71" i="7"/>
  <c r="CB71" i="7"/>
  <c r="CF71" i="7"/>
  <c r="CJ71" i="7"/>
  <c r="CN71" i="7"/>
  <c r="CR71" i="7"/>
  <c r="CJ74" i="7"/>
  <c r="CN74" i="7"/>
  <c r="CR74" i="7"/>
  <c r="CM77" i="7"/>
  <c r="CQ77" i="7"/>
  <c r="CX76" i="7"/>
  <c r="CB80" i="7"/>
  <c r="CF80" i="7"/>
  <c r="CJ80" i="7"/>
  <c r="CN80" i="7"/>
  <c r="BS44" i="7"/>
  <c r="BQ146" i="7"/>
  <c r="BU146" i="7"/>
  <c r="BY146" i="7"/>
  <c r="CC146" i="7"/>
  <c r="CG146" i="7"/>
  <c r="CK146" i="7"/>
  <c r="CO146" i="7"/>
  <c r="CS146" i="7"/>
  <c r="BS149" i="7"/>
  <c r="BW149" i="7"/>
  <c r="CA149" i="7"/>
  <c r="CE149" i="7"/>
  <c r="CI149" i="7"/>
  <c r="CM149" i="7"/>
  <c r="CQ149" i="7"/>
  <c r="CP152" i="7"/>
  <c r="CT152" i="7"/>
  <c r="CK155" i="7"/>
  <c r="CO155" i="7"/>
  <c r="CS155" i="7"/>
  <c r="CM158" i="7"/>
  <c r="CQ158" i="7"/>
  <c r="BP44" i="7"/>
  <c r="BR152" i="7"/>
  <c r="BV152" i="7"/>
  <c r="BZ152" i="7"/>
  <c r="CD152" i="7"/>
  <c r="CH152" i="7"/>
  <c r="CX151" i="7"/>
  <c r="BQ155" i="7"/>
  <c r="BU155" i="7"/>
  <c r="BY155" i="7"/>
  <c r="CC155" i="7"/>
  <c r="CG155" i="7"/>
  <c r="CH158" i="7"/>
  <c r="BU44" i="7"/>
  <c r="CO44" i="7"/>
  <c r="CK44" i="7"/>
  <c r="CS44" i="7"/>
  <c r="CM50" i="7"/>
  <c r="CQ50" i="7"/>
  <c r="CL65" i="7"/>
  <c r="CP65" i="7"/>
  <c r="CT65" i="7"/>
  <c r="CM68" i="7"/>
  <c r="CQ68" i="7"/>
  <c r="BS77" i="7"/>
  <c r="BW77" i="7"/>
  <c r="BT80" i="7"/>
  <c r="BQ83" i="7"/>
  <c r="BV83" i="7"/>
  <c r="BZ83" i="7"/>
  <c r="CD83" i="7"/>
  <c r="CH83" i="7"/>
  <c r="CL83" i="7"/>
  <c r="CP83" i="7"/>
  <c r="BP101" i="7"/>
  <c r="BU104" i="7"/>
  <c r="BY104" i="7"/>
  <c r="CC104" i="7"/>
  <c r="CG104" i="7"/>
  <c r="BS110" i="7"/>
  <c r="BW110" i="7"/>
  <c r="CF110" i="7"/>
  <c r="CJ110" i="7"/>
  <c r="BU113" i="7"/>
  <c r="BY113" i="7"/>
  <c r="BX44" i="7"/>
  <c r="CB44" i="7"/>
  <c r="CF44" i="7"/>
  <c r="CN44" i="7"/>
  <c r="CR44" i="7"/>
  <c r="CA116" i="7"/>
  <c r="CM116" i="7"/>
  <c r="CQ116" i="7"/>
  <c r="CB47" i="7"/>
  <c r="CF47" i="7"/>
  <c r="CJ47" i="7"/>
  <c r="CN47" i="7"/>
  <c r="CR47" i="7"/>
  <c r="BV44" i="7"/>
  <c r="BZ44" i="7"/>
  <c r="BP47" i="7"/>
  <c r="BT47" i="7"/>
  <c r="CJ53" i="7"/>
  <c r="CN53" i="7"/>
  <c r="CR53" i="7"/>
  <c r="CB56" i="7"/>
  <c r="CF56" i="7"/>
  <c r="CJ56" i="7"/>
  <c r="CN56" i="7"/>
  <c r="CR56" i="7"/>
  <c r="BR59" i="7"/>
  <c r="BV59" i="7"/>
  <c r="BZ59" i="7"/>
  <c r="CD59" i="7"/>
  <c r="CH59" i="7"/>
  <c r="CL59" i="7"/>
  <c r="CP59" i="7"/>
  <c r="CT59" i="7"/>
  <c r="BV62" i="7"/>
  <c r="BZ62" i="7"/>
  <c r="CD62" i="7"/>
  <c r="CH62" i="7"/>
  <c r="CL62" i="7"/>
  <c r="CP62" i="7"/>
  <c r="CT62" i="7"/>
  <c r="BZ65" i="7"/>
  <c r="BV71" i="7"/>
  <c r="BZ71" i="7"/>
  <c r="CD71" i="7"/>
  <c r="CH71" i="7"/>
  <c r="CL71" i="7"/>
  <c r="CP71" i="7"/>
  <c r="CT71" i="7"/>
  <c r="CL74" i="7"/>
  <c r="CP74" i="7"/>
  <c r="CT74" i="7"/>
  <c r="CO77" i="7"/>
  <c r="CS77" i="7"/>
  <c r="BZ80" i="7"/>
  <c r="CD80" i="7"/>
  <c r="CH80" i="7"/>
  <c r="CL80" i="7"/>
  <c r="CP80" i="7"/>
  <c r="CK89" i="7"/>
  <c r="CO89" i="7"/>
  <c r="CS89" i="7"/>
  <c r="BR95" i="7"/>
  <c r="BV95" i="7"/>
  <c r="BZ95" i="7"/>
  <c r="BY47" i="7"/>
  <c r="CC47" i="7"/>
  <c r="CG47" i="7"/>
  <c r="CK47" i="7"/>
  <c r="CO47" i="7"/>
  <c r="CS47" i="7"/>
  <c r="BS50" i="7"/>
  <c r="BW50" i="7"/>
  <c r="CA50" i="7"/>
  <c r="CE50" i="7"/>
  <c r="CJ50" i="7"/>
  <c r="CN50" i="7"/>
  <c r="CR50" i="7"/>
  <c r="CF53" i="7"/>
  <c r="CK53" i="7"/>
  <c r="CO53" i="7"/>
  <c r="CS53" i="7"/>
  <c r="BT56" i="7"/>
  <c r="BX56" i="7"/>
  <c r="CC56" i="7"/>
  <c r="CG56" i="7"/>
  <c r="CK56" i="7"/>
  <c r="CO56" i="7"/>
  <c r="CS56" i="7"/>
  <c r="BS59" i="7"/>
  <c r="BW59" i="7"/>
  <c r="CA59" i="7"/>
  <c r="CE59" i="7"/>
  <c r="CI59" i="7"/>
  <c r="CM59" i="7"/>
  <c r="CQ59" i="7"/>
  <c r="BW62" i="7"/>
  <c r="CA62" i="7"/>
  <c r="CE62" i="7"/>
  <c r="CI62" i="7"/>
  <c r="CM62" i="7"/>
  <c r="CQ62" i="7"/>
  <c r="BV65" i="7"/>
  <c r="CH65" i="7"/>
  <c r="CM65" i="7"/>
  <c r="CQ65" i="7"/>
  <c r="CE68" i="7"/>
  <c r="CI68" i="7"/>
  <c r="CN68" i="7"/>
  <c r="CR68" i="7"/>
  <c r="BS71" i="7"/>
  <c r="BW71" i="7"/>
  <c r="CA71" i="7"/>
  <c r="CE71" i="7"/>
  <c r="CI71" i="7"/>
  <c r="CM71" i="7"/>
  <c r="CQ71" i="7"/>
  <c r="BV74" i="7"/>
  <c r="BZ74" i="7"/>
  <c r="CD74" i="7"/>
  <c r="CH74" i="7"/>
  <c r="CM74" i="7"/>
  <c r="CQ74" i="7"/>
  <c r="BY77" i="7"/>
  <c r="CC77" i="7"/>
  <c r="CG77" i="7"/>
  <c r="CK77" i="7"/>
  <c r="CP77" i="7"/>
  <c r="CT77" i="7"/>
  <c r="CA80" i="7"/>
  <c r="CE80" i="7"/>
  <c r="CI80" i="7"/>
  <c r="CM80" i="7"/>
  <c r="CQ80" i="7"/>
  <c r="BP86" i="7"/>
  <c r="BU89" i="7"/>
  <c r="BY89" i="7"/>
  <c r="CC89" i="7"/>
  <c r="CG89" i="7"/>
  <c r="CL89" i="7"/>
  <c r="CP89" i="7"/>
  <c r="CT89" i="7"/>
  <c r="CD95" i="7"/>
  <c r="CJ95" i="7"/>
  <c r="CN95" i="7"/>
  <c r="CR95" i="7"/>
  <c r="BR98" i="7"/>
  <c r="BV98" i="7"/>
  <c r="BZ98" i="7"/>
  <c r="CD98" i="7"/>
  <c r="CH98" i="7"/>
  <c r="CL98" i="7"/>
  <c r="CP98" i="7"/>
  <c r="CT98" i="7"/>
  <c r="CL101" i="7"/>
  <c r="CP101" i="7"/>
  <c r="CT101" i="7"/>
  <c r="BX107" i="7"/>
  <c r="CN107" i="7"/>
  <c r="CR107" i="7"/>
  <c r="CI113" i="7"/>
  <c r="CM113" i="7"/>
  <c r="CQ113" i="7"/>
  <c r="BQ116" i="7"/>
  <c r="CG116" i="7"/>
  <c r="CJ119" i="7"/>
  <c r="CN119" i="7"/>
  <c r="CR119" i="7"/>
  <c r="BS122" i="7"/>
  <c r="BW125" i="7"/>
  <c r="CE125" i="7"/>
  <c r="CM125" i="7"/>
  <c r="CI128" i="7"/>
  <c r="CM128" i="7"/>
  <c r="CQ128" i="7"/>
  <c r="BQ131" i="7"/>
  <c r="BU131" i="7"/>
  <c r="BY131" i="7"/>
  <c r="CC131" i="7"/>
  <c r="CG131" i="7"/>
  <c r="CK131" i="7"/>
  <c r="CO131" i="7"/>
  <c r="CS131" i="7"/>
  <c r="BT134" i="7"/>
  <c r="BX134" i="7"/>
  <c r="CB134" i="7"/>
  <c r="CF134" i="7"/>
  <c r="CJ134" i="7"/>
  <c r="CN134" i="7"/>
  <c r="CN137" i="7"/>
  <c r="CR137" i="7"/>
  <c r="CD140" i="7"/>
  <c r="CH140" i="7"/>
  <c r="CL140" i="7"/>
  <c r="CP140" i="7"/>
  <c r="CT140" i="7"/>
  <c r="BP143" i="7"/>
  <c r="BT143" i="7"/>
  <c r="BX143" i="7"/>
  <c r="CB143" i="7"/>
  <c r="CF143" i="7"/>
  <c r="CJ143" i="7"/>
  <c r="CN143" i="7"/>
  <c r="CR143" i="7"/>
  <c r="BT92" i="7"/>
  <c r="BX92" i="7"/>
  <c r="CB92" i="7"/>
  <c r="CF92" i="7"/>
  <c r="CJ92" i="7"/>
  <c r="CN92" i="7"/>
  <c r="CS92" i="7"/>
  <c r="BS95" i="7"/>
  <c r="BW95" i="7"/>
  <c r="CA95" i="7"/>
  <c r="CK95" i="7"/>
  <c r="CO95" i="7"/>
  <c r="BV101" i="7"/>
  <c r="BZ101" i="7"/>
  <c r="CD101" i="7"/>
  <c r="CH101" i="7"/>
  <c r="CM101" i="7"/>
  <c r="CQ101" i="7"/>
  <c r="CN104" i="7"/>
  <c r="CR104" i="7"/>
  <c r="BU107" i="7"/>
  <c r="BY107" i="7"/>
  <c r="CO107" i="7"/>
  <c r="CS107" i="7"/>
  <c r="CP110" i="7"/>
  <c r="CT110" i="7"/>
  <c r="CF113" i="7"/>
  <c r="CJ113" i="7"/>
  <c r="CN113" i="7"/>
  <c r="CR113" i="7"/>
  <c r="BV116" i="7"/>
  <c r="BT119" i="7"/>
  <c r="BX119" i="7"/>
  <c r="CB119" i="7"/>
  <c r="CF119" i="7"/>
  <c r="CO119" i="7"/>
  <c r="CI122" i="7"/>
  <c r="CM122" i="7"/>
  <c r="CQ122" i="7"/>
  <c r="BX125" i="7"/>
  <c r="CB125" i="7"/>
  <c r="CF125" i="7"/>
  <c r="CJ125" i="7"/>
  <c r="CN125" i="7"/>
  <c r="CR125" i="7"/>
  <c r="CJ128" i="7"/>
  <c r="CN128" i="7"/>
  <c r="CR128" i="7"/>
  <c r="BR131" i="7"/>
  <c r="BV131" i="7"/>
  <c r="BZ131" i="7"/>
  <c r="CD131" i="7"/>
  <c r="CH131" i="7"/>
  <c r="CL131" i="7"/>
  <c r="CP131" i="7"/>
  <c r="CT131" i="7"/>
  <c r="BU134" i="7"/>
  <c r="BY134" i="7"/>
  <c r="CC134" i="7"/>
  <c r="CG134" i="7"/>
  <c r="CK134" i="7"/>
  <c r="CO134" i="7"/>
  <c r="CS134" i="7"/>
  <c r="BP137" i="7"/>
  <c r="BT137" i="7"/>
  <c r="BX137" i="7"/>
  <c r="CB137" i="7"/>
  <c r="CO137" i="7"/>
  <c r="CS137" i="7"/>
  <c r="CE140" i="7"/>
  <c r="CI140" i="7"/>
  <c r="CM140" i="7"/>
  <c r="CQ140" i="7"/>
  <c r="BR47" i="7"/>
  <c r="BV47" i="7"/>
  <c r="BQ50" i="7"/>
  <c r="BU50" i="7"/>
  <c r="BY50" i="7"/>
  <c r="CC50" i="7"/>
  <c r="CG50" i="7"/>
  <c r="BV56" i="7"/>
  <c r="BX65" i="7"/>
  <c r="CG68" i="7"/>
  <c r="BT74" i="7"/>
  <c r="BV53" i="7"/>
  <c r="BZ53" i="7"/>
  <c r="CD53" i="7"/>
  <c r="BT65" i="7"/>
  <c r="BU68" i="7"/>
  <c r="BY68" i="7"/>
  <c r="CK116" i="7"/>
  <c r="CO116" i="7"/>
  <c r="BX74" i="7"/>
  <c r="CB74" i="7"/>
  <c r="CF74" i="7"/>
  <c r="CA77" i="7"/>
  <c r="CE77" i="7"/>
  <c r="CI77" i="7"/>
  <c r="CS80" i="7"/>
  <c r="BS86" i="7"/>
  <c r="BW86" i="7"/>
  <c r="CA86" i="7"/>
  <c r="CE86" i="7"/>
  <c r="CI86" i="7"/>
  <c r="CM86" i="7"/>
  <c r="CQ86" i="7"/>
  <c r="BS89" i="7"/>
  <c r="BW89" i="7"/>
  <c r="CA89" i="7"/>
  <c r="CE89" i="7"/>
  <c r="BR92" i="7"/>
  <c r="BV92" i="7"/>
  <c r="BZ92" i="7"/>
  <c r="CD92" i="7"/>
  <c r="CH92" i="7"/>
  <c r="CL92" i="7"/>
  <c r="CP92" i="7"/>
  <c r="BT101" i="7"/>
  <c r="BX101" i="7"/>
  <c r="CB101" i="7"/>
  <c r="CF101" i="7"/>
  <c r="CM110" i="7"/>
  <c r="CR110" i="7"/>
  <c r="BT113" i="7"/>
  <c r="BX113" i="7"/>
  <c r="CB113" i="7"/>
  <c r="BT116" i="7"/>
  <c r="BX116" i="7"/>
  <c r="CB116" i="7"/>
  <c r="CN116" i="7"/>
  <c r="BV119" i="7"/>
  <c r="BZ119" i="7"/>
  <c r="CD119" i="7"/>
  <c r="BQ122" i="7"/>
  <c r="CG122" i="7"/>
  <c r="CK122" i="7"/>
  <c r="CO122" i="7"/>
  <c r="BP125" i="7"/>
  <c r="BT128" i="7"/>
  <c r="BX128" i="7"/>
  <c r="CB128" i="7"/>
  <c r="BR137" i="7"/>
  <c r="BV137" i="7"/>
  <c r="BZ137" i="7"/>
  <c r="CD137" i="7"/>
  <c r="CH137" i="7"/>
  <c r="BT123" i="7"/>
  <c r="BT27" i="7" s="1"/>
  <c r="CC111" i="7"/>
  <c r="CC113" i="7" s="1"/>
  <c r="CA105" i="7"/>
  <c r="CA24" i="7" s="1"/>
  <c r="CJ105" i="7"/>
  <c r="CJ24" i="7" s="1"/>
  <c r="BS168" i="7"/>
  <c r="BS36" i="7" s="1"/>
  <c r="CI87" i="7"/>
  <c r="CI89" i="7" s="1"/>
  <c r="CI156" i="7"/>
  <c r="CI158" i="7" s="1"/>
  <c r="CG93" i="7"/>
  <c r="CG21" i="7" s="1"/>
  <c r="BR78" i="7"/>
  <c r="BR80" i="7" s="1"/>
  <c r="BR75" i="7"/>
  <c r="BR77" i="7" s="1"/>
  <c r="BX45" i="7"/>
  <c r="BX47" i="7" s="1"/>
  <c r="CR81" i="7"/>
  <c r="BR72" i="7"/>
  <c r="BR74" i="7" s="1"/>
  <c r="BU63" i="7"/>
  <c r="BU65" i="7" s="1"/>
  <c r="BT42" i="7"/>
  <c r="BT44" i="7" s="1"/>
  <c r="CC66" i="7"/>
  <c r="CC68" i="7" s="1"/>
  <c r="CL102" i="7"/>
  <c r="CL21" i="7" s="1"/>
  <c r="BR162" i="7"/>
  <c r="BR164" i="7" s="1"/>
  <c r="BY54" i="7"/>
  <c r="BY56" i="7" s="1"/>
  <c r="CR115" i="7"/>
  <c r="CR25" i="7" s="1"/>
  <c r="CH115" i="7"/>
  <c r="CH25" i="7" s="1"/>
  <c r="CI94" i="7"/>
  <c r="CI22" i="7" s="1"/>
  <c r="BR82" i="7"/>
  <c r="CR120" i="7"/>
  <c r="CR24" i="7" s="1"/>
  <c r="BR138" i="7"/>
  <c r="BR140" i="7" s="1"/>
  <c r="BR123" i="7"/>
  <c r="BR125" i="7" s="1"/>
  <c r="CE111" i="7"/>
  <c r="CE113" i="7" s="1"/>
  <c r="BR84" i="7"/>
  <c r="CX84" i="7" s="1"/>
  <c r="CF165" i="7"/>
  <c r="CF167" i="7" s="1"/>
  <c r="BT105" i="7"/>
  <c r="BT107" i="7" s="1"/>
  <c r="BX168" i="7"/>
  <c r="BX170" i="7" s="1"/>
  <c r="CE168" i="7"/>
  <c r="CE170" i="7" s="1"/>
  <c r="CJ153" i="7"/>
  <c r="CJ155" i="7" s="1"/>
  <c r="CJ156" i="7"/>
  <c r="CJ158" i="7" s="1"/>
  <c r="CN108" i="7"/>
  <c r="CN110" i="7" s="1"/>
  <c r="BS159" i="7"/>
  <c r="BS161" i="7" s="1"/>
  <c r="CS93" i="7"/>
  <c r="CS21" i="7" s="1"/>
  <c r="BT60" i="7"/>
  <c r="BT62" i="7" s="1"/>
  <c r="CL75" i="7"/>
  <c r="CL77" i="7" s="1"/>
  <c r="BR117" i="7"/>
  <c r="BR119" i="7" s="1"/>
  <c r="BY63" i="7"/>
  <c r="BY65" i="7" s="1"/>
  <c r="CK66" i="7"/>
  <c r="CK68" i="7" s="1"/>
  <c r="CE162" i="7"/>
  <c r="CE164" i="7" s="1"/>
  <c r="BR54" i="7"/>
  <c r="BR56" i="7" s="1"/>
  <c r="CJ115" i="7"/>
  <c r="CJ25" i="7" s="1"/>
  <c r="BY115" i="7"/>
  <c r="BY116" i="7" s="1"/>
  <c r="CE94" i="7"/>
  <c r="CE22" i="7" s="1"/>
  <c r="BR85" i="7"/>
  <c r="CX85" i="7" s="1"/>
  <c r="BU120" i="7"/>
  <c r="BU122" i="7" s="1"/>
  <c r="CI48" i="7"/>
  <c r="CI50" i="7" s="1"/>
  <c r="CL150" i="7"/>
  <c r="CL30" i="7" s="1"/>
  <c r="CB165" i="7"/>
  <c r="CB36" i="7" s="1"/>
  <c r="BY165" i="7"/>
  <c r="BY167" i="7" s="1"/>
  <c r="CK105" i="7"/>
  <c r="CK107" i="7" s="1"/>
  <c r="CG168" i="7"/>
  <c r="CG170" i="7" s="1"/>
  <c r="CE156" i="7"/>
  <c r="CE158" i="7" s="1"/>
  <c r="CC108" i="7"/>
  <c r="CC110" i="7" s="1"/>
  <c r="CT93" i="7"/>
  <c r="CT21" i="7" s="1"/>
  <c r="BR51" i="7"/>
  <c r="BR53" i="7" s="1"/>
  <c r="BW78" i="7"/>
  <c r="BW80" i="7" s="1"/>
  <c r="BR60" i="7"/>
  <c r="BR62" i="7" s="1"/>
  <c r="CJ99" i="7"/>
  <c r="CJ101" i="7" s="1"/>
  <c r="CG117" i="7"/>
  <c r="CG119" i="7" s="1"/>
  <c r="CR90" i="7"/>
  <c r="CR92" i="7" s="1"/>
  <c r="CI63" i="7"/>
  <c r="CI65" i="7" s="1"/>
  <c r="BR42" i="7"/>
  <c r="BR44" i="7" s="1"/>
  <c r="CM102" i="7"/>
  <c r="CM104" i="7" s="1"/>
  <c r="CR79" i="7"/>
  <c r="CR80" i="7" s="1"/>
  <c r="CF115" i="7"/>
  <c r="CF25" i="7" s="1"/>
  <c r="BR115" i="7"/>
  <c r="BR25" i="7" s="1"/>
  <c r="CH103" i="7"/>
  <c r="CH22" i="7" s="1"/>
  <c r="BY109" i="7"/>
  <c r="BY110" i="7" s="1"/>
  <c r="CH126" i="7"/>
  <c r="CH27" i="7" s="1"/>
  <c r="CK135" i="7"/>
  <c r="CK137" i="7" s="1"/>
  <c r="BR111" i="7"/>
  <c r="BR113" i="7" s="1"/>
  <c r="BW165" i="7"/>
  <c r="BW167" i="7" s="1"/>
  <c r="BR165" i="7"/>
  <c r="BR167" i="7" s="1"/>
  <c r="CL105" i="7"/>
  <c r="BR87" i="7"/>
  <c r="BR89" i="7" s="1"/>
  <c r="BQ156" i="7"/>
  <c r="BQ33" i="7" s="1"/>
  <c r="CH93" i="7"/>
  <c r="CH21" i="7" s="1"/>
  <c r="CE51" i="7"/>
  <c r="CE53" i="7" s="1"/>
  <c r="BX78" i="7"/>
  <c r="BX80" i="7" s="1"/>
  <c r="BX75" i="7"/>
  <c r="BR99" i="7"/>
  <c r="BR101" i="7" s="1"/>
  <c r="CI72" i="7"/>
  <c r="CI15" i="7" s="1"/>
  <c r="CA63" i="7"/>
  <c r="CA65" i="7" s="1"/>
  <c r="CG63" i="7"/>
  <c r="CG65" i="7" s="1"/>
  <c r="BR66" i="7"/>
  <c r="BR68" i="7" s="1"/>
  <c r="BT162" i="7"/>
  <c r="BT36" i="7" s="1"/>
  <c r="BZ25" i="7"/>
  <c r="CD115" i="7"/>
  <c r="CD25" i="7" s="1"/>
  <c r="CR133" i="7"/>
  <c r="CR28" i="7" s="1"/>
  <c r="CR82" i="7"/>
  <c r="CF120" i="7"/>
  <c r="CF24" i="7" s="1"/>
  <c r="BT120" i="7"/>
  <c r="BT122" i="7" s="1"/>
  <c r="CA138" i="7"/>
  <c r="CA27" i="7" s="1"/>
  <c r="CE126" i="7"/>
  <c r="CE128" i="7" s="1"/>
  <c r="CA47" i="7"/>
  <c r="CE47" i="7"/>
  <c r="CI47" i="7"/>
  <c r="CM47" i="7"/>
  <c r="CQ47" i="7"/>
  <c r="CX46" i="7"/>
  <c r="CL50" i="7"/>
  <c r="CP50" i="7"/>
  <c r="CT50" i="7"/>
  <c r="CI53" i="7"/>
  <c r="CM53" i="7"/>
  <c r="CQ53" i="7"/>
  <c r="CA56" i="7"/>
  <c r="CE56" i="7"/>
  <c r="CI56" i="7"/>
  <c r="CM56" i="7"/>
  <c r="CQ56" i="7"/>
  <c r="BQ59" i="7"/>
  <c r="BU59" i="7"/>
  <c r="BY59" i="7"/>
  <c r="CC59" i="7"/>
  <c r="CG59" i="7"/>
  <c r="CK59" i="7"/>
  <c r="CO59" i="7"/>
  <c r="CS59" i="7"/>
  <c r="BU62" i="7"/>
  <c r="BY62" i="7"/>
  <c r="CC62" i="7"/>
  <c r="CG62" i="7"/>
  <c r="CK62" i="7"/>
  <c r="CO62" i="7"/>
  <c r="CS62" i="7"/>
  <c r="CK65" i="7"/>
  <c r="CO65" i="7"/>
  <c r="CS65" i="7"/>
  <c r="CL68" i="7"/>
  <c r="CP68" i="7"/>
  <c r="CT68" i="7"/>
  <c r="BU71" i="7"/>
  <c r="BY71" i="7"/>
  <c r="CC71" i="7"/>
  <c r="CG71" i="7"/>
  <c r="CK71" i="7"/>
  <c r="CO71" i="7"/>
  <c r="CS71" i="7"/>
  <c r="CK74" i="7"/>
  <c r="CO74" i="7"/>
  <c r="CS74" i="7"/>
  <c r="CN77" i="7"/>
  <c r="CR77" i="7"/>
  <c r="BY80" i="7"/>
  <c r="CC80" i="7"/>
  <c r="CG80" i="7"/>
  <c r="CK80" i="7"/>
  <c r="CO80" i="7"/>
  <c r="CJ89" i="7"/>
  <c r="CN89" i="7"/>
  <c r="CR89" i="7"/>
  <c r="BQ95" i="7"/>
  <c r="BU95" i="7"/>
  <c r="BY95" i="7"/>
  <c r="CC95" i="7"/>
  <c r="CM95" i="7"/>
  <c r="CQ95" i="7"/>
  <c r="BQ98" i="7"/>
  <c r="BU98" i="7"/>
  <c r="BY98" i="7"/>
  <c r="CC98" i="7"/>
  <c r="CK98" i="7"/>
  <c r="CS98" i="7"/>
  <c r="CK101" i="7"/>
  <c r="CO101" i="7"/>
  <c r="CS101" i="7"/>
  <c r="BW107" i="7"/>
  <c r="CM107" i="7"/>
  <c r="CQ107" i="7"/>
  <c r="CH113" i="7"/>
  <c r="CL113" i="7"/>
  <c r="CP113" i="7"/>
  <c r="CT113" i="7"/>
  <c r="CI119" i="7"/>
  <c r="CM119" i="7"/>
  <c r="CQ119" i="7"/>
  <c r="CT122" i="7"/>
  <c r="CL128" i="7"/>
  <c r="CP128" i="7"/>
  <c r="CT128" i="7"/>
  <c r="CB131" i="7"/>
  <c r="CF131" i="7"/>
  <c r="CJ131" i="7"/>
  <c r="CN131" i="7"/>
  <c r="CR131" i="7"/>
  <c r="BS134" i="7"/>
  <c r="BW134" i="7"/>
  <c r="CA134" i="7"/>
  <c r="CE134" i="7"/>
  <c r="CI134" i="7"/>
  <c r="CM134" i="7"/>
  <c r="CQ134" i="7"/>
  <c r="CM137" i="7"/>
  <c r="CQ137" i="7"/>
  <c r="CX136" i="7"/>
  <c r="CC140" i="7"/>
  <c r="CG140" i="7"/>
  <c r="CK140" i="7"/>
  <c r="CO140" i="7"/>
  <c r="CS140" i="7"/>
  <c r="BS47" i="7"/>
  <c r="BW47" i="7"/>
  <c r="BR50" i="7"/>
  <c r="BV50" i="7"/>
  <c r="BZ50" i="7"/>
  <c r="CD50" i="7"/>
  <c r="CH50" i="7"/>
  <c r="BS56" i="7"/>
  <c r="BW56" i="7"/>
  <c r="CD68" i="7"/>
  <c r="CH68" i="7"/>
  <c r="CX67" i="7"/>
  <c r="BQ71" i="7"/>
  <c r="BU74" i="7"/>
  <c r="BY74" i="7"/>
  <c r="CC74" i="7"/>
  <c r="CG74" i="7"/>
  <c r="CB77" i="7"/>
  <c r="CF77" i="7"/>
  <c r="CJ77" i="7"/>
  <c r="CT80" i="7"/>
  <c r="BT86" i="7"/>
  <c r="BX86" i="7"/>
  <c r="CB86" i="7"/>
  <c r="CF86" i="7"/>
  <c r="CJ86" i="7"/>
  <c r="CN86" i="7"/>
  <c r="CR86" i="7"/>
  <c r="BT89" i="7"/>
  <c r="BX89" i="7"/>
  <c r="CB89" i="7"/>
  <c r="CF89" i="7"/>
  <c r="BS92" i="7"/>
  <c r="BW92" i="7"/>
  <c r="CA92" i="7"/>
  <c r="CE92" i="7"/>
  <c r="CI92" i="7"/>
  <c r="CM92" i="7"/>
  <c r="CQ92" i="7"/>
  <c r="BU101" i="7"/>
  <c r="BY101" i="7"/>
  <c r="CC101" i="7"/>
  <c r="CG101" i="7"/>
  <c r="CQ104" i="7"/>
  <c r="BS107" i="7"/>
  <c r="CO110" i="7"/>
  <c r="CS110" i="7"/>
  <c r="CD113" i="7"/>
  <c r="CX112" i="7"/>
  <c r="BU116" i="7"/>
  <c r="BS119" i="7"/>
  <c r="BW119" i="7"/>
  <c r="CA119" i="7"/>
  <c r="CE119" i="7"/>
  <c r="CH122" i="7"/>
  <c r="CL122" i="7"/>
  <c r="CP122" i="7"/>
  <c r="CX127" i="7"/>
  <c r="BS137" i="7"/>
  <c r="BW137" i="7"/>
  <c r="CA137" i="7"/>
  <c r="CE137" i="7"/>
  <c r="CI137" i="7"/>
  <c r="BU140" i="7"/>
  <c r="BY140" i="7"/>
  <c r="BS53" i="7"/>
  <c r="BW53" i="7"/>
  <c r="CA53" i="7"/>
  <c r="BQ62" i="7"/>
  <c r="BQ65" i="7"/>
  <c r="BV68" i="7"/>
  <c r="BZ68" i="7"/>
  <c r="BQ74" i="7"/>
  <c r="CX73" i="7"/>
  <c r="BT77" i="7"/>
  <c r="BU80" i="7"/>
  <c r="BQ101" i="7"/>
  <c r="BT110" i="7"/>
  <c r="BX110" i="7"/>
  <c r="CG110" i="7"/>
  <c r="CK110" i="7"/>
  <c r="BV113" i="7"/>
  <c r="BZ113" i="7"/>
  <c r="BZ116" i="7"/>
  <c r="CL116" i="7"/>
  <c r="CP116" i="7"/>
  <c r="BV122" i="7"/>
  <c r="BZ122" i="7"/>
  <c r="CD122" i="7"/>
  <c r="BR128" i="7"/>
  <c r="BV128" i="7"/>
  <c r="BZ128" i="7"/>
  <c r="CD128" i="7"/>
  <c r="CF137" i="7"/>
  <c r="CJ137" i="7"/>
  <c r="BQ140" i="7"/>
  <c r="BV140" i="7"/>
  <c r="BZ140" i="7"/>
  <c r="CX139" i="7"/>
  <c r="BS143" i="7"/>
  <c r="BW143" i="7"/>
  <c r="CA143" i="7"/>
  <c r="CE143" i="7"/>
  <c r="CI143" i="7"/>
  <c r="CM143" i="7"/>
  <c r="CQ143" i="7"/>
  <c r="CX142" i="7"/>
  <c r="BS146" i="7"/>
  <c r="BW146" i="7"/>
  <c r="CA146" i="7"/>
  <c r="CE146" i="7"/>
  <c r="CI146" i="7"/>
  <c r="CM146" i="7"/>
  <c r="CQ146" i="7"/>
  <c r="CX145" i="7"/>
  <c r="BQ149" i="7"/>
  <c r="BU149" i="7"/>
  <c r="BY149" i="7"/>
  <c r="CC149" i="7"/>
  <c r="CG149" i="7"/>
  <c r="CK149" i="7"/>
  <c r="CO149" i="7"/>
  <c r="CS149" i="7"/>
  <c r="CN152" i="7"/>
  <c r="CR152" i="7"/>
  <c r="CM155" i="7"/>
  <c r="CQ155" i="7"/>
  <c r="CX154" i="7"/>
  <c r="CK158" i="7"/>
  <c r="CO158" i="7"/>
  <c r="CS158" i="7"/>
  <c r="BU161" i="7"/>
  <c r="BY161" i="7"/>
  <c r="CC161" i="7"/>
  <c r="CG161" i="7"/>
  <c r="CK161" i="7"/>
  <c r="CO161" i="7"/>
  <c r="CS161" i="7"/>
  <c r="CH164" i="7"/>
  <c r="CL164" i="7"/>
  <c r="CP164" i="7"/>
  <c r="CT164" i="7"/>
  <c r="BU167" i="7"/>
  <c r="CG167" i="7"/>
  <c r="CK167" i="7"/>
  <c r="CO167" i="7"/>
  <c r="CS167" i="7"/>
  <c r="BU170" i="7"/>
  <c r="CK170" i="7"/>
  <c r="CO170" i="7"/>
  <c r="CS170" i="7"/>
  <c r="BP152" i="7"/>
  <c r="BT152" i="7"/>
  <c r="BX152" i="7"/>
  <c r="CB152" i="7"/>
  <c r="CF152" i="7"/>
  <c r="CJ152" i="7"/>
  <c r="BS155" i="7"/>
  <c r="BW155" i="7"/>
  <c r="CA155" i="7"/>
  <c r="CE155" i="7"/>
  <c r="CI155" i="7"/>
  <c r="BV164" i="7"/>
  <c r="BZ164" i="7"/>
  <c r="CD164" i="7"/>
  <c r="CX163" i="7"/>
  <c r="BQ167" i="7"/>
  <c r="CC167" i="7"/>
  <c r="CX148" i="7"/>
  <c r="BQ152" i="7"/>
  <c r="BU152" i="7"/>
  <c r="BY152" i="7"/>
  <c r="CC152" i="7"/>
  <c r="CG152" i="7"/>
  <c r="CK152" i="7"/>
  <c r="BP155" i="7"/>
  <c r="BT155" i="7"/>
  <c r="BX155" i="7"/>
  <c r="CB155" i="7"/>
  <c r="CF155" i="7"/>
  <c r="CG158" i="7"/>
  <c r="CX157" i="7"/>
  <c r="BQ161" i="7"/>
  <c r="CX160" i="7"/>
  <c r="BW164" i="7"/>
  <c r="CA164" i="7"/>
  <c r="CX166" i="7"/>
  <c r="BQ170" i="7"/>
  <c r="CX169" i="7"/>
  <c r="BR105" i="7"/>
  <c r="CH168" i="7"/>
  <c r="BR108" i="7"/>
  <c r="BR110" i="7" s="1"/>
  <c r="CG51" i="7"/>
  <c r="BR81" i="7"/>
  <c r="CF63" i="7"/>
  <c r="BR102" i="7"/>
  <c r="BR120" i="7"/>
  <c r="BR122" i="7" s="1"/>
  <c r="BR168" i="7"/>
  <c r="BR170" i="7" s="1"/>
  <c r="BR132" i="7"/>
  <c r="BR134" i="7" s="1"/>
  <c r="BR69" i="7"/>
  <c r="BR71" i="7" s="1"/>
  <c r="CV42" i="7"/>
  <c r="CV46" i="7"/>
  <c r="I56" i="7"/>
  <c r="M56" i="7"/>
  <c r="Q56" i="7"/>
  <c r="U56" i="7"/>
  <c r="Y56" i="7"/>
  <c r="AC56" i="7"/>
  <c r="AG56" i="7"/>
  <c r="CV55" i="7"/>
  <c r="G59" i="7"/>
  <c r="K59" i="7"/>
  <c r="O59" i="7"/>
  <c r="S59" i="7"/>
  <c r="W59" i="7"/>
  <c r="AA59" i="7"/>
  <c r="AE59" i="7"/>
  <c r="AI59" i="7"/>
  <c r="F62" i="7"/>
  <c r="CV60" i="7"/>
  <c r="J62" i="7"/>
  <c r="N62" i="7"/>
  <c r="R62" i="7"/>
  <c r="V62" i="7"/>
  <c r="Z62" i="7"/>
  <c r="AD62" i="7"/>
  <c r="AH62" i="7"/>
  <c r="I65" i="7"/>
  <c r="M65" i="7"/>
  <c r="Q65" i="7"/>
  <c r="U65" i="7"/>
  <c r="Y65" i="7"/>
  <c r="AC65" i="7"/>
  <c r="AG65" i="7"/>
  <c r="CV64" i="7"/>
  <c r="CV70" i="7"/>
  <c r="G74" i="7"/>
  <c r="K74" i="7"/>
  <c r="O74" i="7"/>
  <c r="S74" i="7"/>
  <c r="W74" i="7"/>
  <c r="AA74" i="7"/>
  <c r="AE74" i="7"/>
  <c r="AI74" i="7"/>
  <c r="H74" i="7"/>
  <c r="L74" i="7"/>
  <c r="P74" i="7"/>
  <c r="T74" i="7"/>
  <c r="X74" i="7"/>
  <c r="AB74" i="7"/>
  <c r="AF74" i="7"/>
  <c r="AJ74" i="7"/>
  <c r="H77" i="7"/>
  <c r="L77" i="7"/>
  <c r="P77" i="7"/>
  <c r="T77" i="7"/>
  <c r="X77" i="7"/>
  <c r="AB77" i="7"/>
  <c r="AF77" i="7"/>
  <c r="AJ77" i="7"/>
  <c r="CV78" i="7"/>
  <c r="I89" i="7"/>
  <c r="M89" i="7"/>
  <c r="Q89" i="7"/>
  <c r="U89" i="7"/>
  <c r="Y89" i="7"/>
  <c r="AC89" i="7"/>
  <c r="AG89" i="7"/>
  <c r="F65" i="7"/>
  <c r="CV63" i="7"/>
  <c r="F77" i="7"/>
  <c r="CV76" i="7"/>
  <c r="CV90" i="7"/>
  <c r="F92" i="7"/>
  <c r="H44" i="7"/>
  <c r="L44" i="7"/>
  <c r="P44" i="7"/>
  <c r="T44" i="7"/>
  <c r="X44" i="7"/>
  <c r="AB44" i="7"/>
  <c r="AF44" i="7"/>
  <c r="AJ44" i="7"/>
  <c r="F12" i="7"/>
  <c r="G47" i="7"/>
  <c r="K47" i="7"/>
  <c r="O47" i="7"/>
  <c r="S47" i="7"/>
  <c r="W47" i="7"/>
  <c r="AA47" i="7"/>
  <c r="AE47" i="7"/>
  <c r="AI47" i="7"/>
  <c r="F50" i="7"/>
  <c r="CV48" i="7"/>
  <c r="J50" i="7"/>
  <c r="N50" i="7"/>
  <c r="R50" i="7"/>
  <c r="V50" i="7"/>
  <c r="Z50" i="7"/>
  <c r="AD50" i="7"/>
  <c r="AH50" i="7"/>
  <c r="I53" i="7"/>
  <c r="M53" i="7"/>
  <c r="Q53" i="7"/>
  <c r="U53" i="7"/>
  <c r="Y53" i="7"/>
  <c r="AC53" i="7"/>
  <c r="AG53" i="7"/>
  <c r="CV52" i="7"/>
  <c r="CV58" i="7"/>
  <c r="I68" i="7"/>
  <c r="M68" i="7"/>
  <c r="Q68" i="7"/>
  <c r="U68" i="7"/>
  <c r="Y68" i="7"/>
  <c r="AC68" i="7"/>
  <c r="AG68" i="7"/>
  <c r="F68" i="7"/>
  <c r="CV67" i="7"/>
  <c r="J68" i="7"/>
  <c r="N68" i="7"/>
  <c r="R68" i="7"/>
  <c r="V68" i="7"/>
  <c r="Z68" i="7"/>
  <c r="AD68" i="7"/>
  <c r="AH68" i="7"/>
  <c r="G71" i="7"/>
  <c r="K71" i="7"/>
  <c r="O71" i="7"/>
  <c r="S71" i="7"/>
  <c r="W71" i="7"/>
  <c r="AA71" i="7"/>
  <c r="AE71" i="7"/>
  <c r="AI71" i="7"/>
  <c r="CV73" i="7"/>
  <c r="CV75" i="7"/>
  <c r="H80" i="7"/>
  <c r="L80" i="7"/>
  <c r="P80" i="7"/>
  <c r="T80" i="7"/>
  <c r="X80" i="7"/>
  <c r="AB80" i="7"/>
  <c r="AF80" i="7"/>
  <c r="AJ80" i="7"/>
  <c r="I80" i="7"/>
  <c r="M80" i="7"/>
  <c r="Q80" i="7"/>
  <c r="U80" i="7"/>
  <c r="Y80" i="7"/>
  <c r="AC80" i="7"/>
  <c r="AG80" i="7"/>
  <c r="F80" i="7"/>
  <c r="F83" i="7"/>
  <c r="CV81" i="7"/>
  <c r="J83" i="7"/>
  <c r="N83" i="7"/>
  <c r="R83" i="7"/>
  <c r="V83" i="7"/>
  <c r="Z83" i="7"/>
  <c r="AD83" i="7"/>
  <c r="AH83" i="7"/>
  <c r="I86" i="7"/>
  <c r="M86" i="7"/>
  <c r="Q86" i="7"/>
  <c r="U86" i="7"/>
  <c r="Y86" i="7"/>
  <c r="AC86" i="7"/>
  <c r="AG86" i="7"/>
  <c r="CV85" i="7"/>
  <c r="K89" i="7"/>
  <c r="AA89" i="7"/>
  <c r="CV43" i="7"/>
  <c r="F47" i="7"/>
  <c r="F53" i="7"/>
  <c r="CV51" i="7"/>
  <c r="F56" i="7"/>
  <c r="CV57" i="7"/>
  <c r="CV61" i="7"/>
  <c r="CV66" i="7"/>
  <c r="F71" i="7"/>
  <c r="F74" i="7"/>
  <c r="CV72" i="7"/>
  <c r="CV79" i="7"/>
  <c r="F86" i="7"/>
  <c r="CV84" i="7"/>
  <c r="I92" i="7"/>
  <c r="M92" i="7"/>
  <c r="Q92" i="7"/>
  <c r="U92" i="7"/>
  <c r="Y92" i="7"/>
  <c r="AC92" i="7"/>
  <c r="AG92" i="7"/>
  <c r="F95" i="7"/>
  <c r="CV93" i="7"/>
  <c r="CV99" i="7"/>
  <c r="F110" i="7"/>
  <c r="CV109" i="7"/>
  <c r="J110" i="7"/>
  <c r="N110" i="7"/>
  <c r="R110" i="7"/>
  <c r="V110" i="7"/>
  <c r="Z110" i="7"/>
  <c r="AD110" i="7"/>
  <c r="AH110" i="7"/>
  <c r="CV112" i="7"/>
  <c r="H119" i="7"/>
  <c r="L119" i="7"/>
  <c r="P119" i="7"/>
  <c r="T119" i="7"/>
  <c r="X119" i="7"/>
  <c r="AB119" i="7"/>
  <c r="AF119" i="7"/>
  <c r="AJ119" i="7"/>
  <c r="F122" i="7"/>
  <c r="CV120" i="7"/>
  <c r="I125" i="7"/>
  <c r="M125" i="7"/>
  <c r="Q125" i="7"/>
  <c r="U125" i="7"/>
  <c r="Y125" i="7"/>
  <c r="AC125" i="7"/>
  <c r="AG125" i="7"/>
  <c r="F125" i="7"/>
  <c r="F128" i="7"/>
  <c r="CV126" i="7"/>
  <c r="CV130" i="7"/>
  <c r="CV136" i="7"/>
  <c r="F140" i="7"/>
  <c r="CV138" i="7"/>
  <c r="G140" i="7"/>
  <c r="K140" i="7"/>
  <c r="O140" i="7"/>
  <c r="S140" i="7"/>
  <c r="W140" i="7"/>
  <c r="AA140" i="7"/>
  <c r="AE140" i="7"/>
  <c r="AI140" i="7"/>
  <c r="CV91" i="7"/>
  <c r="H95" i="7"/>
  <c r="L95" i="7"/>
  <c r="T95" i="7"/>
  <c r="X95" i="7"/>
  <c r="AB95" i="7"/>
  <c r="AJ95" i="7"/>
  <c r="F98" i="7"/>
  <c r="CV97" i="7"/>
  <c r="J98" i="7"/>
  <c r="N98" i="7"/>
  <c r="R98" i="7"/>
  <c r="V98" i="7"/>
  <c r="Z98" i="7"/>
  <c r="AD98" i="7"/>
  <c r="AH98" i="7"/>
  <c r="CV103" i="7"/>
  <c r="CV108" i="7"/>
  <c r="F113" i="7"/>
  <c r="CV111" i="7"/>
  <c r="CV115" i="7"/>
  <c r="CV124" i="7"/>
  <c r="H128" i="7"/>
  <c r="L128" i="7"/>
  <c r="P128" i="7"/>
  <c r="T128" i="7"/>
  <c r="X128" i="7"/>
  <c r="AB128" i="7"/>
  <c r="AF128" i="7"/>
  <c r="AJ128" i="7"/>
  <c r="F131" i="7"/>
  <c r="CV129" i="7"/>
  <c r="G131" i="7"/>
  <c r="K131" i="7"/>
  <c r="O131" i="7"/>
  <c r="S131" i="7"/>
  <c r="W131" i="7"/>
  <c r="AA131" i="7"/>
  <c r="AE131" i="7"/>
  <c r="AI131" i="7"/>
  <c r="CV135" i="7"/>
  <c r="CV142" i="7"/>
  <c r="F101" i="7"/>
  <c r="F104" i="7"/>
  <c r="CV102" i="7"/>
  <c r="F116" i="7"/>
  <c r="CV114" i="7"/>
  <c r="F134" i="7"/>
  <c r="CV133" i="7"/>
  <c r="F143" i="7"/>
  <c r="CV141" i="7"/>
  <c r="F89" i="7"/>
  <c r="CV88" i="7"/>
  <c r="J89" i="7"/>
  <c r="N89" i="7"/>
  <c r="R89" i="7"/>
  <c r="V89" i="7"/>
  <c r="Z89" i="7"/>
  <c r="AD89" i="7"/>
  <c r="AH89" i="7"/>
  <c r="G92" i="7"/>
  <c r="K92" i="7"/>
  <c r="O92" i="7"/>
  <c r="S92" i="7"/>
  <c r="W92" i="7"/>
  <c r="AA92" i="7"/>
  <c r="AE92" i="7"/>
  <c r="AI92" i="7"/>
  <c r="I95" i="7"/>
  <c r="M95" i="7"/>
  <c r="Q95" i="7"/>
  <c r="U95" i="7"/>
  <c r="Y95" i="7"/>
  <c r="AC95" i="7"/>
  <c r="AG95" i="7"/>
  <c r="CV94" i="7"/>
  <c r="O98" i="7"/>
  <c r="S98" i="7"/>
  <c r="AE98" i="7"/>
  <c r="AI98" i="7"/>
  <c r="CV100" i="7"/>
  <c r="G104" i="7"/>
  <c r="K104" i="7"/>
  <c r="O104" i="7"/>
  <c r="S104" i="7"/>
  <c r="W104" i="7"/>
  <c r="AA104" i="7"/>
  <c r="AE104" i="7"/>
  <c r="AI104" i="7"/>
  <c r="H104" i="7"/>
  <c r="L104" i="7"/>
  <c r="P104" i="7"/>
  <c r="T104" i="7"/>
  <c r="X104" i="7"/>
  <c r="AB104" i="7"/>
  <c r="AF104" i="7"/>
  <c r="AJ104" i="7"/>
  <c r="F107" i="7"/>
  <c r="CV105" i="7"/>
  <c r="J107" i="7"/>
  <c r="N107" i="7"/>
  <c r="R107" i="7"/>
  <c r="V107" i="7"/>
  <c r="Z107" i="7"/>
  <c r="AD107" i="7"/>
  <c r="AH107" i="7"/>
  <c r="G107" i="7"/>
  <c r="K107" i="7"/>
  <c r="O107" i="7"/>
  <c r="S107" i="7"/>
  <c r="W107" i="7"/>
  <c r="AA107" i="7"/>
  <c r="AE107" i="7"/>
  <c r="AI107" i="7"/>
  <c r="H110" i="7"/>
  <c r="L110" i="7"/>
  <c r="P110" i="7"/>
  <c r="T110" i="7"/>
  <c r="X110" i="7"/>
  <c r="AB110" i="7"/>
  <c r="AF110" i="7"/>
  <c r="AJ110" i="7"/>
  <c r="F119" i="7"/>
  <c r="CV117" i="7"/>
  <c r="J119" i="7"/>
  <c r="N119" i="7"/>
  <c r="R119" i="7"/>
  <c r="V119" i="7"/>
  <c r="Z119" i="7"/>
  <c r="AD119" i="7"/>
  <c r="AH119" i="7"/>
  <c r="I122" i="7"/>
  <c r="M122" i="7"/>
  <c r="Q122" i="7"/>
  <c r="U122" i="7"/>
  <c r="Y122" i="7"/>
  <c r="AC122" i="7"/>
  <c r="AG122" i="7"/>
  <c r="CV121" i="7"/>
  <c r="G125" i="7"/>
  <c r="K125" i="7"/>
  <c r="O125" i="7"/>
  <c r="S125" i="7"/>
  <c r="W125" i="7"/>
  <c r="AA125" i="7"/>
  <c r="AE125" i="7"/>
  <c r="AI125" i="7"/>
  <c r="CV127" i="7"/>
  <c r="CV132" i="7"/>
  <c r="H137" i="7"/>
  <c r="L137" i="7"/>
  <c r="P137" i="7"/>
  <c r="T137" i="7"/>
  <c r="X137" i="7"/>
  <c r="AB137" i="7"/>
  <c r="AF137" i="7"/>
  <c r="AJ137" i="7"/>
  <c r="I137" i="7"/>
  <c r="M137" i="7"/>
  <c r="Q137" i="7"/>
  <c r="U137" i="7"/>
  <c r="Y137" i="7"/>
  <c r="AC137" i="7"/>
  <c r="AG137" i="7"/>
  <c r="F137" i="7"/>
  <c r="I140" i="7"/>
  <c r="M140" i="7"/>
  <c r="Q140" i="7"/>
  <c r="U140" i="7"/>
  <c r="Y140" i="7"/>
  <c r="AC140" i="7"/>
  <c r="AG140" i="7"/>
  <c r="CV139" i="7"/>
  <c r="H146" i="7"/>
  <c r="L146" i="7"/>
  <c r="P146" i="7"/>
  <c r="T146" i="7"/>
  <c r="X146" i="7"/>
  <c r="AB146" i="7"/>
  <c r="AF146" i="7"/>
  <c r="AJ146" i="7"/>
  <c r="F149" i="7"/>
  <c r="CV147" i="7"/>
  <c r="J149" i="7"/>
  <c r="N149" i="7"/>
  <c r="R149" i="7"/>
  <c r="V149" i="7"/>
  <c r="Z149" i="7"/>
  <c r="AD149" i="7"/>
  <c r="AH149" i="7"/>
  <c r="H152" i="7"/>
  <c r="L152" i="7"/>
  <c r="P152" i="7"/>
  <c r="T152" i="7"/>
  <c r="X152" i="7"/>
  <c r="AB152" i="7"/>
  <c r="AF152" i="7"/>
  <c r="AJ152" i="7"/>
  <c r="F155" i="7"/>
  <c r="CV153" i="7"/>
  <c r="J155" i="7"/>
  <c r="N155" i="7"/>
  <c r="R155" i="7"/>
  <c r="V155" i="7"/>
  <c r="Z155" i="7"/>
  <c r="AD155" i="7"/>
  <c r="AH155" i="7"/>
  <c r="H158" i="7"/>
  <c r="L158" i="7"/>
  <c r="P158" i="7"/>
  <c r="T158" i="7"/>
  <c r="X158" i="7"/>
  <c r="AB158" i="7"/>
  <c r="AF158" i="7"/>
  <c r="AJ158" i="7"/>
  <c r="F164" i="7"/>
  <c r="CV162" i="7"/>
  <c r="F170" i="7"/>
  <c r="CV168" i="7"/>
  <c r="BP50" i="7"/>
  <c r="CX52" i="7"/>
  <c r="CX58" i="7"/>
  <c r="BP65" i="7"/>
  <c r="BP71" i="7"/>
  <c r="BP83" i="7"/>
  <c r="CV145" i="7"/>
  <c r="CV151" i="7"/>
  <c r="CV157" i="7"/>
  <c r="BP53" i="7"/>
  <c r="F146" i="7"/>
  <c r="CV144" i="7"/>
  <c r="J146" i="7"/>
  <c r="N146" i="7"/>
  <c r="R146" i="7"/>
  <c r="V146" i="7"/>
  <c r="Z146" i="7"/>
  <c r="AD146" i="7"/>
  <c r="AH146" i="7"/>
  <c r="H149" i="7"/>
  <c r="L149" i="7"/>
  <c r="P149" i="7"/>
  <c r="T149" i="7"/>
  <c r="X149" i="7"/>
  <c r="AB149" i="7"/>
  <c r="AF149" i="7"/>
  <c r="AJ149" i="7"/>
  <c r="F152" i="7"/>
  <c r="CV150" i="7"/>
  <c r="J152" i="7"/>
  <c r="N152" i="7"/>
  <c r="R152" i="7"/>
  <c r="V152" i="7"/>
  <c r="Z152" i="7"/>
  <c r="AD152" i="7"/>
  <c r="AH152" i="7"/>
  <c r="H155" i="7"/>
  <c r="L155" i="7"/>
  <c r="P155" i="7"/>
  <c r="T155" i="7"/>
  <c r="X155" i="7"/>
  <c r="AB155" i="7"/>
  <c r="AF155" i="7"/>
  <c r="AJ155" i="7"/>
  <c r="F158" i="7"/>
  <c r="CV156" i="7"/>
  <c r="J158" i="7"/>
  <c r="N158" i="7"/>
  <c r="R158" i="7"/>
  <c r="V158" i="7"/>
  <c r="Z158" i="7"/>
  <c r="AD158" i="7"/>
  <c r="AH158" i="7"/>
  <c r="F161" i="7"/>
  <c r="CV159" i="7"/>
  <c r="F167" i="7"/>
  <c r="CV165" i="7"/>
  <c r="CX55" i="7"/>
  <c r="CX61" i="7"/>
  <c r="CR62" i="7"/>
  <c r="BP68" i="7"/>
  <c r="BP74" i="7"/>
  <c r="BP77" i="7"/>
  <c r="CV163" i="7"/>
  <c r="CV169" i="7"/>
  <c r="CX43" i="7"/>
  <c r="CX49" i="7"/>
  <c r="BP56" i="7"/>
  <c r="BP59" i="7"/>
  <c r="BP62" i="7"/>
  <c r="CX64" i="7"/>
  <c r="CX70" i="7"/>
  <c r="BP80" i="7"/>
  <c r="BP89" i="7"/>
  <c r="CX91" i="7"/>
  <c r="CX97" i="7"/>
  <c r="BP104" i="7"/>
  <c r="CX106" i="7"/>
  <c r="BP116" i="7"/>
  <c r="CX114" i="7"/>
  <c r="BS125" i="7"/>
  <c r="CA125" i="7"/>
  <c r="CI125" i="7"/>
  <c r="CQ125" i="7"/>
  <c r="CX129" i="7"/>
  <c r="BP92" i="7"/>
  <c r="CX96" i="7"/>
  <c r="CG98" i="7"/>
  <c r="CO98" i="7"/>
  <c r="CX100" i="7"/>
  <c r="BP107" i="7"/>
  <c r="CX118" i="7"/>
  <c r="CX124" i="7"/>
  <c r="BP119" i="7"/>
  <c r="BQ119" i="7"/>
  <c r="BU119" i="7"/>
  <c r="CC119" i="7"/>
  <c r="CK119" i="7"/>
  <c r="CS119" i="7"/>
  <c r="BS83" i="7"/>
  <c r="BW83" i="7"/>
  <c r="CA83" i="7"/>
  <c r="CE83" i="7"/>
  <c r="CI83" i="7"/>
  <c r="CM83" i="7"/>
  <c r="CQ83" i="7"/>
  <c r="BQ86" i="7"/>
  <c r="BU86" i="7"/>
  <c r="BY86" i="7"/>
  <c r="CC86" i="7"/>
  <c r="CG86" i="7"/>
  <c r="CK86" i="7"/>
  <c r="CO86" i="7"/>
  <c r="CS86" i="7"/>
  <c r="CX88" i="7"/>
  <c r="BP95" i="7"/>
  <c r="BP98" i="7"/>
  <c r="BP110" i="7"/>
  <c r="BP113" i="7"/>
  <c r="BP122" i="7"/>
  <c r="CX121" i="7"/>
  <c r="BX122" i="7"/>
  <c r="CB122" i="7"/>
  <c r="CJ122" i="7"/>
  <c r="CN122" i="7"/>
  <c r="BP128" i="7"/>
  <c r="CX130" i="7"/>
  <c r="BP134" i="7"/>
  <c r="CX141" i="7"/>
  <c r="CX144" i="7"/>
  <c r="CX147" i="7"/>
  <c r="BS98" i="7"/>
  <c r="BW98" i="7"/>
  <c r="CA98" i="7"/>
  <c r="CE98" i="7"/>
  <c r="CI98" i="7"/>
  <c r="CM98" i="7"/>
  <c r="CQ98" i="7"/>
  <c r="BV104" i="7"/>
  <c r="BZ104" i="7"/>
  <c r="CD104" i="7"/>
  <c r="CP104" i="7"/>
  <c r="CT104" i="7"/>
  <c r="BV125" i="7"/>
  <c r="BZ125" i="7"/>
  <c r="CD125" i="7"/>
  <c r="CH125" i="7"/>
  <c r="CL125" i="7"/>
  <c r="CP125" i="7"/>
  <c r="CT125" i="7"/>
  <c r="BQ128" i="7"/>
  <c r="BU128" i="7"/>
  <c r="BY128" i="7"/>
  <c r="CC128" i="7"/>
  <c r="CG128" i="7"/>
  <c r="CK128" i="7"/>
  <c r="CO128" i="7"/>
  <c r="CS128" i="7"/>
  <c r="BP131" i="7"/>
  <c r="BT131" i="7"/>
  <c r="BX131" i="7"/>
  <c r="AM77" i="7"/>
  <c r="AQ77" i="7"/>
  <c r="AU77" i="7"/>
  <c r="AY77" i="7"/>
  <c r="BC77" i="7"/>
  <c r="BG77" i="7"/>
  <c r="BK77" i="7"/>
  <c r="BO77" i="7"/>
  <c r="AL80" i="7"/>
  <c r="AP80" i="7"/>
  <c r="AT80" i="7"/>
  <c r="AX80" i="7"/>
  <c r="BB80" i="7"/>
  <c r="BF80" i="7"/>
  <c r="BJ80" i="7"/>
  <c r="BN80" i="7"/>
  <c r="AK83" i="7"/>
  <c r="AO83" i="7"/>
  <c r="AS83" i="7"/>
  <c r="AW83" i="7"/>
  <c r="BA83" i="7"/>
  <c r="BE83" i="7"/>
  <c r="BI83" i="7"/>
  <c r="BM83" i="7"/>
  <c r="AM89" i="7"/>
  <c r="AQ89" i="7"/>
  <c r="AU89" i="7"/>
  <c r="AY89" i="7"/>
  <c r="BC89" i="7"/>
  <c r="BG89" i="7"/>
  <c r="BK89" i="7"/>
  <c r="BO89" i="7"/>
  <c r="AM125" i="7"/>
  <c r="AQ125" i="7"/>
  <c r="AU125" i="7"/>
  <c r="AY125" i="7"/>
  <c r="BC125" i="7"/>
  <c r="BG125" i="7"/>
  <c r="BK125" i="7"/>
  <c r="BO125" i="7"/>
  <c r="AL128" i="7"/>
  <c r="AP128" i="7"/>
  <c r="AT128" i="7"/>
  <c r="AX128" i="7"/>
  <c r="AK125" i="7"/>
  <c r="AO125" i="7"/>
  <c r="AS125" i="7"/>
  <c r="AW125" i="7"/>
  <c r="BA125" i="7"/>
  <c r="BE125" i="7"/>
  <c r="BI125" i="7"/>
  <c r="BM125" i="7"/>
  <c r="AN128" i="7"/>
  <c r="AR128" i="7"/>
  <c r="AV128" i="7"/>
  <c r="AZ128" i="7"/>
  <c r="BD128" i="7"/>
  <c r="BH128" i="7"/>
  <c r="H59" i="7"/>
  <c r="L59" i="7"/>
  <c r="P59" i="7"/>
  <c r="T59" i="7"/>
  <c r="X59" i="7"/>
  <c r="AB59" i="7"/>
  <c r="AF59" i="7"/>
  <c r="AJ59" i="7"/>
  <c r="G62" i="7"/>
  <c r="K62" i="7"/>
  <c r="O62" i="7"/>
  <c r="S62" i="7"/>
  <c r="W62" i="7"/>
  <c r="AA62" i="7"/>
  <c r="AE62" i="7"/>
  <c r="AI62" i="7"/>
  <c r="H13" i="7"/>
  <c r="AE116" i="7"/>
  <c r="AI116" i="7"/>
  <c r="H15" i="7"/>
  <c r="G13" i="7"/>
  <c r="H16" i="7"/>
  <c r="H12" i="7"/>
  <c r="F44" i="7"/>
  <c r="B2" i="4"/>
  <c r="B2" i="9" s="1"/>
  <c r="AX26" i="7" l="1"/>
  <c r="R29" i="7"/>
  <c r="AP20" i="7"/>
  <c r="AT20" i="7"/>
  <c r="AT29" i="7"/>
  <c r="AH23" i="7"/>
  <c r="T26" i="7"/>
  <c r="AR32" i="7"/>
  <c r="AV32" i="7"/>
  <c r="AZ32" i="7"/>
  <c r="BH32" i="7"/>
  <c r="BL32" i="7"/>
  <c r="AW35" i="7"/>
  <c r="BD38" i="7"/>
  <c r="BH38" i="7"/>
  <c r="AU38" i="7"/>
  <c r="CC20" i="7"/>
  <c r="CN23" i="7"/>
  <c r="CR23" i="7"/>
  <c r="P38" i="7"/>
  <c r="T38" i="7"/>
  <c r="AV14" i="7"/>
  <c r="BD14" i="7"/>
  <c r="AN17" i="7"/>
  <c r="BA23" i="7"/>
  <c r="BE23" i="7"/>
  <c r="AW26" i="7"/>
  <c r="BD17" i="7"/>
  <c r="AM20" i="7"/>
  <c r="AQ23" i="7"/>
  <c r="AL26" i="7"/>
  <c r="AP26" i="7"/>
  <c r="AN29" i="7"/>
  <c r="AR29" i="7"/>
  <c r="BV14" i="7"/>
  <c r="BT17" i="7"/>
  <c r="CO14" i="7"/>
  <c r="CP35" i="7"/>
  <c r="BO17" i="7"/>
  <c r="BW29" i="7"/>
  <c r="BV38" i="7"/>
  <c r="CP29" i="7"/>
  <c r="CA29" i="7"/>
  <c r="CG35" i="7"/>
  <c r="BP32" i="7"/>
  <c r="BK20" i="7"/>
  <c r="AV38" i="7"/>
  <c r="BE35" i="7"/>
  <c r="S38" i="7"/>
  <c r="F29" i="7"/>
  <c r="AZ14" i="7"/>
  <c r="J23" i="7"/>
  <c r="BV26" i="7"/>
  <c r="BZ20" i="7"/>
  <c r="AP38" i="7"/>
  <c r="BN32" i="7"/>
  <c r="S26" i="7"/>
  <c r="CQ38" i="7"/>
  <c r="BI35" i="7"/>
  <c r="AT17" i="7"/>
  <c r="BQ32" i="7"/>
  <c r="BF14" i="7"/>
  <c r="N8" i="6"/>
  <c r="CL14" i="7"/>
  <c r="V20" i="7"/>
  <c r="BE38" i="7"/>
  <c r="AQ38" i="7"/>
  <c r="AY29" i="7"/>
  <c r="BI14" i="7"/>
  <c r="BE29" i="7"/>
  <c r="AM35" i="7"/>
  <c r="BF35" i="7"/>
  <c r="AP29" i="7"/>
  <c r="BT29" i="7"/>
  <c r="BC35" i="7"/>
  <c r="BN14" i="7"/>
  <c r="M38" i="7"/>
  <c r="AC35" i="7"/>
  <c r="AK29" i="7"/>
  <c r="L29" i="7"/>
  <c r="BO20" i="7"/>
  <c r="BA26" i="7"/>
  <c r="AK26" i="7"/>
  <c r="AO23" i="7"/>
  <c r="AF35" i="7"/>
  <c r="AV23" i="7"/>
  <c r="AZ20" i="7"/>
  <c r="U32" i="7"/>
  <c r="CE17" i="7"/>
  <c r="BK17" i="7"/>
  <c r="CE20" i="7"/>
  <c r="M35" i="7"/>
  <c r="BO14" i="7"/>
  <c r="AA35" i="7"/>
  <c r="BD35" i="7"/>
  <c r="AN35" i="7"/>
  <c r="AW32" i="7"/>
  <c r="BL29" i="7"/>
  <c r="BK23" i="7"/>
  <c r="AU23" i="7"/>
  <c r="BB23" i="7"/>
  <c r="BM17" i="7"/>
  <c r="AW17" i="7"/>
  <c r="BL17" i="7"/>
  <c r="BM20" i="7"/>
  <c r="AW20" i="7"/>
  <c r="AB38" i="7"/>
  <c r="BL20" i="7"/>
  <c r="AB32" i="7"/>
  <c r="L32" i="7"/>
  <c r="Q32" i="7"/>
  <c r="CL17" i="7"/>
  <c r="BU35" i="7"/>
  <c r="CC23" i="7"/>
  <c r="AT38" i="7"/>
  <c r="BK32" i="7"/>
  <c r="Z29" i="7"/>
  <c r="CL29" i="7"/>
  <c r="CD26" i="7"/>
  <c r="BU20" i="7"/>
  <c r="AC29" i="7"/>
  <c r="M29" i="7"/>
  <c r="AH26" i="7"/>
  <c r="R26" i="7"/>
  <c r="AQ20" i="7"/>
  <c r="BQ35" i="7"/>
  <c r="CA26" i="7"/>
  <c r="CQ14" i="7"/>
  <c r="CH14" i="7"/>
  <c r="CB20" i="7"/>
  <c r="AE23" i="7"/>
  <c r="O23" i="7"/>
  <c r="K26" i="7"/>
  <c r="AQ17" i="7"/>
  <c r="AY17" i="7"/>
  <c r="AG26" i="7"/>
  <c r="Q26" i="7"/>
  <c r="AF23" i="7"/>
  <c r="CG17" i="7"/>
  <c r="P23" i="7"/>
  <c r="CC38" i="7"/>
  <c r="CN35" i="7"/>
  <c r="CA32" i="7"/>
  <c r="X35" i="7"/>
  <c r="AD29" i="7"/>
  <c r="O26" i="7"/>
  <c r="AC23" i="7"/>
  <c r="BN35" i="7"/>
  <c r="CK38" i="7"/>
  <c r="BQ23" i="7"/>
  <c r="AD23" i="7"/>
  <c r="CK32" i="7"/>
  <c r="CH32" i="7"/>
  <c r="CA17" i="7"/>
  <c r="BF20" i="7"/>
  <c r="BB17" i="7"/>
  <c r="N38" i="7"/>
  <c r="H35" i="7"/>
  <c r="X26" i="7"/>
  <c r="CP23" i="7"/>
  <c r="BS29" i="7"/>
  <c r="CA23" i="7"/>
  <c r="BN38" i="7"/>
  <c r="AX38" i="7"/>
  <c r="BB35" i="7"/>
  <c r="AU32" i="7"/>
  <c r="BF32" i="7"/>
  <c r="BJ29" i="7"/>
  <c r="BL26" i="7"/>
  <c r="BC26" i="7"/>
  <c r="CM35" i="7"/>
  <c r="CQ35" i="7"/>
  <c r="CK23" i="7"/>
  <c r="AS23" i="7"/>
  <c r="CI32" i="7"/>
  <c r="BP20" i="7"/>
  <c r="AE35" i="7"/>
  <c r="AE29" i="7"/>
  <c r="AO29" i="7"/>
  <c r="AM23" i="7"/>
  <c r="AV26" i="7"/>
  <c r="U38" i="7"/>
  <c r="AZ17" i="7"/>
  <c r="CO29" i="7"/>
  <c r="CD23" i="7"/>
  <c r="BF38" i="7"/>
  <c r="AW38" i="7"/>
  <c r="CF35" i="7"/>
  <c r="BS32" i="7"/>
  <c r="BK26" i="7"/>
  <c r="BA14" i="7"/>
  <c r="U35" i="7"/>
  <c r="BN20" i="7"/>
  <c r="CD38" i="7"/>
  <c r="BS38" i="7"/>
  <c r="AY20" i="7"/>
  <c r="BH17" i="7"/>
  <c r="BD23" i="7"/>
  <c r="AN23" i="7"/>
  <c r="BH20" i="7"/>
  <c r="AR20" i="7"/>
  <c r="AM14" i="7"/>
  <c r="AL14" i="7"/>
  <c r="BP17" i="7"/>
  <c r="G35" i="7"/>
  <c r="BL35" i="7"/>
  <c r="AV35" i="7"/>
  <c r="BK35" i="7"/>
  <c r="BE32" i="7"/>
  <c r="AO32" i="7"/>
  <c r="BB29" i="7"/>
  <c r="BC23" i="7"/>
  <c r="AL23" i="7"/>
  <c r="T32" i="7"/>
  <c r="J32" i="7"/>
  <c r="I32" i="7"/>
  <c r="AK14" i="7"/>
  <c r="N29" i="7"/>
  <c r="AK17" i="7"/>
  <c r="AK20" i="7"/>
  <c r="CP17" i="7"/>
  <c r="CR32" i="7"/>
  <c r="AK38" i="7"/>
  <c r="AA26" i="7"/>
  <c r="CF29" i="7"/>
  <c r="BY20" i="7"/>
  <c r="BQ29" i="7"/>
  <c r="BS26" i="7"/>
  <c r="CP14" i="7"/>
  <c r="BA38" i="7"/>
  <c r="AR38" i="7"/>
  <c r="BG38" i="7"/>
  <c r="AM38" i="7"/>
  <c r="AK35" i="7"/>
  <c r="CB32" i="7"/>
  <c r="BU23" i="7"/>
  <c r="BU17" i="7"/>
  <c r="CM26" i="7"/>
  <c r="BP35" i="7"/>
  <c r="AU29" i="7"/>
  <c r="BN17" i="7"/>
  <c r="BI5" i="7"/>
  <c r="BE14" i="7"/>
  <c r="BK5" i="7"/>
  <c r="BB20" i="7"/>
  <c r="AU5" i="7"/>
  <c r="W32" i="7"/>
  <c r="P26" i="7"/>
  <c r="AD20" i="7"/>
  <c r="AS35" i="7"/>
  <c r="CJ32" i="7"/>
  <c r="AT23" i="7"/>
  <c r="H26" i="7"/>
  <c r="BC32" i="7"/>
  <c r="AO35" i="7"/>
  <c r="AD26" i="7"/>
  <c r="N26" i="7"/>
  <c r="BA29" i="7"/>
  <c r="AY35" i="7"/>
  <c r="BN23" i="7"/>
  <c r="AL29" i="7"/>
  <c r="BL23" i="7"/>
  <c r="Z38" i="7"/>
  <c r="F35" i="7"/>
  <c r="Y23" i="7"/>
  <c r="CD29" i="7"/>
  <c r="AY38" i="7"/>
  <c r="CD17" i="7"/>
  <c r="BW14" i="7"/>
  <c r="BV20" i="7"/>
  <c r="K35" i="7"/>
  <c r="I29" i="7"/>
  <c r="CR29" i="7"/>
  <c r="CH29" i="7"/>
  <c r="CL23" i="7"/>
  <c r="AU17" i="7"/>
  <c r="CR17" i="7"/>
  <c r="CQ17" i="7"/>
  <c r="AE38" i="7"/>
  <c r="K32" i="7"/>
  <c r="H29" i="7"/>
  <c r="S29" i="7"/>
  <c r="BH14" i="7"/>
  <c r="AR23" i="7"/>
  <c r="AV20" i="7"/>
  <c r="AG32" i="7"/>
  <c r="CA35" i="7"/>
  <c r="AY26" i="7"/>
  <c r="BT38" i="7"/>
  <c r="Y29" i="7"/>
  <c r="Y35" i="7"/>
  <c r="BK14" i="7"/>
  <c r="BJ14" i="7"/>
  <c r="AC38" i="7"/>
  <c r="K38" i="7"/>
  <c r="I38" i="7"/>
  <c r="AZ35" i="7"/>
  <c r="BO35" i="7"/>
  <c r="BI32" i="7"/>
  <c r="AS32" i="7"/>
  <c r="BH29" i="7"/>
  <c r="BF26" i="7"/>
  <c r="N32" i="7"/>
  <c r="BG23" i="7"/>
  <c r="AX23" i="7"/>
  <c r="BI17" i="7"/>
  <c r="AS17" i="7"/>
  <c r="BI20" i="7"/>
  <c r="AS20" i="7"/>
  <c r="AN14" i="7"/>
  <c r="T35" i="7"/>
  <c r="X32" i="7"/>
  <c r="H32" i="7"/>
  <c r="Y17" i="7"/>
  <c r="O20" i="7"/>
  <c r="CT32" i="7"/>
  <c r="AG23" i="7"/>
  <c r="CQ32" i="7"/>
  <c r="CP26" i="7"/>
  <c r="BO32" i="7"/>
  <c r="BG20" i="7"/>
  <c r="AI26" i="7"/>
  <c r="R23" i="7"/>
  <c r="AO14" i="7"/>
  <c r="CB23" i="7"/>
  <c r="BX35" i="7"/>
  <c r="AI20" i="7"/>
  <c r="M20" i="7"/>
  <c r="BZ23" i="7"/>
  <c r="Y20" i="7"/>
  <c r="AH17" i="7"/>
  <c r="CQ26" i="7"/>
  <c r="AC14" i="7"/>
  <c r="CP32" i="7"/>
  <c r="CB29" i="7"/>
  <c r="CB26" i="7"/>
  <c r="CS26" i="7"/>
  <c r="W20" i="7"/>
  <c r="H23" i="7"/>
  <c r="BP23" i="7"/>
  <c r="AL38" i="7"/>
  <c r="BC38" i="7"/>
  <c r="AT35" i="7"/>
  <c r="BA35" i="7"/>
  <c r="AX32" i="7"/>
  <c r="BS23" i="7"/>
  <c r="CS35" i="7"/>
  <c r="BP38" i="7"/>
  <c r="BO29" i="7"/>
  <c r="CC35" i="7"/>
  <c r="BV29" i="7"/>
  <c r="CM17" i="7"/>
  <c r="AM26" i="7"/>
  <c r="BJ23" i="7"/>
  <c r="AP23" i="7"/>
  <c r="BJ17" i="7"/>
  <c r="AT6" i="7"/>
  <c r="V38" i="7"/>
  <c r="AO20" i="7"/>
  <c r="BG17" i="7"/>
  <c r="V35" i="7"/>
  <c r="F32" i="7"/>
  <c r="AF26" i="7"/>
  <c r="M23" i="7"/>
  <c r="N20" i="7"/>
  <c r="BD32" i="7"/>
  <c r="AX17" i="7"/>
  <c r="CS38" i="7"/>
  <c r="CG32" i="7"/>
  <c r="BX23" i="7"/>
  <c r="BW35" i="7"/>
  <c r="CF32" i="7"/>
  <c r="BM38" i="7"/>
  <c r="AX20" i="7"/>
  <c r="AP35" i="7"/>
  <c r="AQ26" i="7"/>
  <c r="AB17" i="7"/>
  <c r="BS17" i="7"/>
  <c r="X29" i="7"/>
  <c r="AQ29" i="7"/>
  <c r="BE17" i="7"/>
  <c r="AM32" i="7"/>
  <c r="BK29" i="7"/>
  <c r="AW23" i="7"/>
  <c r="AM17" i="7"/>
  <c r="AE26" i="7"/>
  <c r="N23" i="7"/>
  <c r="CH20" i="7"/>
  <c r="AI32" i="7"/>
  <c r="G38" i="7"/>
  <c r="AZ29" i="7"/>
  <c r="AO17" i="7"/>
  <c r="CN17" i="7"/>
  <c r="CA6" i="7"/>
  <c r="S35" i="7"/>
  <c r="S32" i="7"/>
  <c r="AA38" i="7"/>
  <c r="Y38" i="7"/>
  <c r="CN20" i="7"/>
  <c r="Z26" i="7"/>
  <c r="J26" i="7"/>
  <c r="BM32" i="7"/>
  <c r="BM29" i="7"/>
  <c r="AW29" i="7"/>
  <c r="AV29" i="7"/>
  <c r="AD32" i="7"/>
  <c r="AU35" i="7"/>
  <c r="AM29" i="7"/>
  <c r="AT26" i="7"/>
  <c r="BC20" i="7"/>
  <c r="BI26" i="7"/>
  <c r="AS26" i="7"/>
  <c r="X38" i="7"/>
  <c r="H38" i="7"/>
  <c r="F38" i="7"/>
  <c r="G20" i="7"/>
  <c r="O17" i="7"/>
  <c r="BG14" i="7"/>
  <c r="BG32" i="7"/>
  <c r="BD26" i="7"/>
  <c r="CM32" i="7"/>
  <c r="BR32" i="7"/>
  <c r="W23" i="7"/>
  <c r="G23" i="7"/>
  <c r="O29" i="7"/>
  <c r="AV17" i="7"/>
  <c r="BE20" i="7"/>
  <c r="AJ38" i="7"/>
  <c r="AJ35" i="7"/>
  <c r="P35" i="7"/>
  <c r="N35" i="7"/>
  <c r="AC32" i="7"/>
  <c r="CT29" i="7"/>
  <c r="BZ29" i="7"/>
  <c r="AN38" i="7"/>
  <c r="CC29" i="7"/>
  <c r="BY29" i="7"/>
  <c r="BZ32" i="7"/>
  <c r="BB32" i="7"/>
  <c r="CK20" i="7"/>
  <c r="BV32" i="7"/>
  <c r="AA23" i="7"/>
  <c r="K23" i="7"/>
  <c r="F20" i="7"/>
  <c r="AE17" i="7"/>
  <c r="AD17" i="7"/>
  <c r="AC26" i="7"/>
  <c r="M26" i="7"/>
  <c r="AB23" i="7"/>
  <c r="L23" i="7"/>
  <c r="BW32" i="7"/>
  <c r="BQ26" i="7"/>
  <c r="BW23" i="7"/>
  <c r="BF29" i="7"/>
  <c r="BH26" i="7"/>
  <c r="BO26" i="7"/>
  <c r="AU26" i="7"/>
  <c r="G26" i="7"/>
  <c r="CF23" i="7"/>
  <c r="BQ17" i="7"/>
  <c r="CT20" i="7"/>
  <c r="BW17" i="7"/>
  <c r="BK38" i="7"/>
  <c r="AJ26" i="7"/>
  <c r="Y14" i="7"/>
  <c r="CA38" i="7"/>
  <c r="BU29" i="7"/>
  <c r="BX26" i="7"/>
  <c r="CI26" i="7"/>
  <c r="CO26" i="7"/>
  <c r="BV23" i="7"/>
  <c r="BC5" i="7"/>
  <c r="BP5" i="7"/>
  <c r="AL5" i="7"/>
  <c r="T23" i="7"/>
  <c r="BX32" i="7"/>
  <c r="AH22" i="6"/>
  <c r="CI29" i="7"/>
  <c r="BP29" i="7"/>
  <c r="BB38" i="7"/>
  <c r="BI38" i="7"/>
  <c r="AS38" i="7"/>
  <c r="BO38" i="7"/>
  <c r="BJ35" i="7"/>
  <c r="AL35" i="7"/>
  <c r="BJ32" i="7"/>
  <c r="AT32" i="7"/>
  <c r="CO35" i="7"/>
  <c r="CJ38" i="7"/>
  <c r="CR35" i="7"/>
  <c r="CB35" i="7"/>
  <c r="CE32" i="7"/>
  <c r="CO32" i="7"/>
  <c r="BU32" i="7"/>
  <c r="BH6" i="7"/>
  <c r="AY32" i="7"/>
  <c r="AX6" i="7"/>
  <c r="AM5" i="7"/>
  <c r="AZ26" i="7"/>
  <c r="BY35" i="7"/>
  <c r="CT26" i="7"/>
  <c r="AR26" i="7"/>
  <c r="BG26" i="7"/>
  <c r="BE26" i="7"/>
  <c r="AO5" i="7"/>
  <c r="AZ23" i="7"/>
  <c r="AY23" i="7"/>
  <c r="BF23" i="7"/>
  <c r="BM23" i="7"/>
  <c r="AN6" i="7"/>
  <c r="AU20" i="7"/>
  <c r="BL6" i="7"/>
  <c r="AR14" i="7"/>
  <c r="Y32" i="7"/>
  <c r="AF32" i="7"/>
  <c r="AL20" i="7"/>
  <c r="BC17" i="7"/>
  <c r="J29" i="7"/>
  <c r="AB26" i="7"/>
  <c r="Z23" i="7"/>
  <c r="F23" i="7"/>
  <c r="I23" i="7"/>
  <c r="BL38" i="7"/>
  <c r="V29" i="7"/>
  <c r="BZ38" i="7"/>
  <c r="CO38" i="7"/>
  <c r="CC32" i="7"/>
  <c r="BT23" i="7"/>
  <c r="BT32" i="7"/>
  <c r="AZ38" i="7"/>
  <c r="AN32" i="7"/>
  <c r="BI23" i="7"/>
  <c r="BW26" i="7"/>
  <c r="AP6" i="7"/>
  <c r="Z32" i="7"/>
  <c r="BN6" i="7"/>
  <c r="AL6" i="7"/>
  <c r="BB6" i="7"/>
  <c r="AH35" i="7"/>
  <c r="W26" i="7"/>
  <c r="CT35" i="7"/>
  <c r="AY5" i="7"/>
  <c r="AZ6" i="7"/>
  <c r="AN20" i="7"/>
  <c r="AV6" i="7"/>
  <c r="BO5" i="7"/>
  <c r="AS5" i="7"/>
  <c r="BA5" i="7"/>
  <c r="BM14" i="7"/>
  <c r="AQ5" i="7"/>
  <c r="AF20" i="7"/>
  <c r="BD6" i="7"/>
  <c r="BF6" i="7"/>
  <c r="AK5" i="7"/>
  <c r="AW14" i="7"/>
  <c r="BJ6" i="7"/>
  <c r="AW5" i="7"/>
  <c r="AL17" i="7"/>
  <c r="CI17" i="7"/>
  <c r="CL32" i="7"/>
  <c r="CG23" i="7"/>
  <c r="CJ14" i="7"/>
  <c r="AY14" i="7"/>
  <c r="BJ20" i="7"/>
  <c r="AQ14" i="7"/>
  <c r="Q38" i="7"/>
  <c r="AG35" i="7"/>
  <c r="V26" i="7"/>
  <c r="F26" i="7"/>
  <c r="BI29" i="7"/>
  <c r="AS29" i="7"/>
  <c r="AQ35" i="7"/>
  <c r="BG29" i="7"/>
  <c r="BN29" i="7"/>
  <c r="AO26" i="7"/>
  <c r="BC14" i="7"/>
  <c r="Q23" i="7"/>
  <c r="BE5" i="7"/>
  <c r="AR6" i="7"/>
  <c r="CI23" i="7"/>
  <c r="BG5" i="7"/>
  <c r="CC6" i="7"/>
  <c r="W38" i="7"/>
  <c r="Q35" i="7"/>
  <c r="BM5" i="7"/>
  <c r="AI23" i="7"/>
  <c r="S23" i="7"/>
  <c r="K29" i="7"/>
  <c r="AR17" i="7"/>
  <c r="BA20" i="7"/>
  <c r="BL14" i="7"/>
  <c r="AF38" i="7"/>
  <c r="L35" i="7"/>
  <c r="AH38" i="7"/>
  <c r="R38" i="7"/>
  <c r="V17" i="7"/>
  <c r="U26" i="7"/>
  <c r="AJ23" i="7"/>
  <c r="M8" i="6"/>
  <c r="BD20" i="7"/>
  <c r="CS23" i="7"/>
  <c r="BF17" i="7"/>
  <c r="CB17" i="7"/>
  <c r="BB14" i="7"/>
  <c r="O35" i="7"/>
  <c r="O32" i="7"/>
  <c r="BH35" i="7"/>
  <c r="AR35" i="7"/>
  <c r="BG35" i="7"/>
  <c r="BA32" i="7"/>
  <c r="AK32" i="7"/>
  <c r="BN26" i="7"/>
  <c r="AX29" i="7"/>
  <c r="BO23" i="7"/>
  <c r="BM26" i="7"/>
  <c r="L38" i="7"/>
  <c r="AB35" i="7"/>
  <c r="P32" i="7"/>
  <c r="CR26" i="7"/>
  <c r="P20" i="7"/>
  <c r="BJ38" i="7"/>
  <c r="AX35" i="7"/>
  <c r="AL32" i="7"/>
  <c r="CM20" i="7"/>
  <c r="J14" i="8"/>
  <c r="K14" i="8" s="1"/>
  <c r="BZ14" i="7"/>
  <c r="V14" i="7"/>
  <c r="CJ29" i="7"/>
  <c r="BP14" i="7"/>
  <c r="BM35" i="7"/>
  <c r="CG20" i="7"/>
  <c r="AP32" i="7"/>
  <c r="CG29" i="7"/>
  <c r="CN29" i="7"/>
  <c r="BX29" i="7"/>
  <c r="U20" i="7"/>
  <c r="S14" i="7"/>
  <c r="I20" i="7"/>
  <c r="P17" i="7"/>
  <c r="G17" i="7"/>
  <c r="R17" i="7"/>
  <c r="AH20" i="7"/>
  <c r="U14" i="7"/>
  <c r="BP26" i="7"/>
  <c r="CH26" i="7"/>
  <c r="CM6" i="7"/>
  <c r="CE6" i="7"/>
  <c r="CK6" i="7"/>
  <c r="BU6" i="7"/>
  <c r="CF20" i="7"/>
  <c r="G14" i="7"/>
  <c r="CT14" i="7"/>
  <c r="CD20" i="7"/>
  <c r="CD32" i="7"/>
  <c r="CK35" i="7"/>
  <c r="CS17" i="7"/>
  <c r="BZ5" i="7"/>
  <c r="AJ20" i="7"/>
  <c r="L6" i="7"/>
  <c r="M14" i="7"/>
  <c r="AA14" i="7"/>
  <c r="K14" i="7"/>
  <c r="AC17" i="7"/>
  <c r="I26" i="7"/>
  <c r="X23" i="7"/>
  <c r="T17" i="7"/>
  <c r="Z20" i="7"/>
  <c r="CO23" i="7"/>
  <c r="W29" i="7"/>
  <c r="CO17" i="7"/>
  <c r="CQ6" i="7"/>
  <c r="H20" i="7"/>
  <c r="BQ20" i="7"/>
  <c r="CP5" i="7"/>
  <c r="CJ20" i="7"/>
  <c r="J20" i="7"/>
  <c r="U6" i="7"/>
  <c r="W17" i="7"/>
  <c r="BS6" i="7"/>
  <c r="BS14" i="7"/>
  <c r="U17" i="7"/>
  <c r="CS29" i="7"/>
  <c r="AC20" i="7"/>
  <c r="AF6" i="7"/>
  <c r="F17" i="7"/>
  <c r="AE14" i="7"/>
  <c r="O14" i="7"/>
  <c r="T20" i="7"/>
  <c r="AI17" i="7"/>
  <c r="S17" i="7"/>
  <c r="I14" i="7"/>
  <c r="AE20" i="7"/>
  <c r="D8" i="4"/>
  <c r="N8" i="4" s="1"/>
  <c r="R20" i="7"/>
  <c r="M6" i="7"/>
  <c r="AI6" i="7"/>
  <c r="CL6" i="7"/>
  <c r="AJ14" i="7"/>
  <c r="AC6" i="7"/>
  <c r="Z14" i="7"/>
  <c r="R5" i="7"/>
  <c r="F6" i="7"/>
  <c r="AF17" i="7"/>
  <c r="BV17" i="7"/>
  <c r="P14" i="7"/>
  <c r="X17" i="7"/>
  <c r="S20" i="7"/>
  <c r="AB20" i="7"/>
  <c r="CY106" i="7"/>
  <c r="CZ106" i="7" s="1"/>
  <c r="J17" i="7"/>
  <c r="Q14" i="7"/>
  <c r="AH6" i="7"/>
  <c r="R6" i="7"/>
  <c r="AA17" i="7"/>
  <c r="W14" i="7"/>
  <c r="AD5" i="7"/>
  <c r="S6" i="7"/>
  <c r="AE6" i="7"/>
  <c r="O6" i="7"/>
  <c r="AB6" i="7"/>
  <c r="CV89" i="7"/>
  <c r="AF29" i="7"/>
  <c r="T29" i="7"/>
  <c r="BY17" i="7"/>
  <c r="X5" i="7"/>
  <c r="P5" i="7"/>
  <c r="CO5" i="7"/>
  <c r="AX5" i="7"/>
  <c r="U5" i="7"/>
  <c r="CP6" i="7"/>
  <c r="J10" i="8"/>
  <c r="K10" i="8" s="1"/>
  <c r="AG20" i="7"/>
  <c r="CI18" i="7"/>
  <c r="CI20" i="7" s="1"/>
  <c r="CS95" i="7"/>
  <c r="CF116" i="7"/>
  <c r="BU12" i="7"/>
  <c r="BU14" i="7" s="1"/>
  <c r="CT5" i="7"/>
  <c r="CX45" i="7"/>
  <c r="CX47" i="7" s="1"/>
  <c r="AJ29" i="7"/>
  <c r="K17" i="7"/>
  <c r="Z17" i="7"/>
  <c r="K20" i="7"/>
  <c r="P29" i="7"/>
  <c r="G5" i="7"/>
  <c r="CX153" i="7"/>
  <c r="CX155" i="7" s="1"/>
  <c r="CI95" i="7"/>
  <c r="BU24" i="7"/>
  <c r="BU26" i="7" s="1"/>
  <c r="CA107" i="7"/>
  <c r="L8" i="6"/>
  <c r="I17" i="7"/>
  <c r="CX123" i="7"/>
  <c r="CY123" i="7" s="1"/>
  <c r="CZ123" i="7" s="1"/>
  <c r="BZ6" i="7"/>
  <c r="CS6" i="7"/>
  <c r="J14" i="7"/>
  <c r="S5" i="7"/>
  <c r="N14" i="7"/>
  <c r="CW80" i="7"/>
  <c r="AK6" i="7"/>
  <c r="CN24" i="7"/>
  <c r="CN26" i="7" s="1"/>
  <c r="AG6" i="7"/>
  <c r="CX150" i="7"/>
  <c r="CX30" i="7" s="1"/>
  <c r="CX94" i="7"/>
  <c r="CY94" i="7" s="1"/>
  <c r="CV83" i="7"/>
  <c r="CW71" i="7"/>
  <c r="N6" i="7"/>
  <c r="CO6" i="7"/>
  <c r="CY118" i="7"/>
  <c r="CZ118" i="7" s="1"/>
  <c r="CI12" i="7"/>
  <c r="CI14" i="7" s="1"/>
  <c r="BR83" i="7"/>
  <c r="CJ107" i="7"/>
  <c r="CW50" i="7"/>
  <c r="AH16" i="6"/>
  <c r="CI6" i="7"/>
  <c r="CS20" i="7"/>
  <c r="M5" i="7"/>
  <c r="Q5" i="7"/>
  <c r="AJ6" i="7"/>
  <c r="P6" i="7"/>
  <c r="X6" i="7"/>
  <c r="AI14" i="7"/>
  <c r="Y6" i="7"/>
  <c r="L17" i="7"/>
  <c r="N5" i="7"/>
  <c r="AH14" i="7"/>
  <c r="M17" i="7"/>
  <c r="I6" i="7"/>
  <c r="Y26" i="7"/>
  <c r="Q20" i="7"/>
  <c r="CH116" i="7"/>
  <c r="CY157" i="7"/>
  <c r="CZ157" i="7" s="1"/>
  <c r="BS170" i="7"/>
  <c r="CG6" i="7"/>
  <c r="AA6" i="7"/>
  <c r="X14" i="7"/>
  <c r="T6" i="7"/>
  <c r="CL104" i="7"/>
  <c r="CB167" i="7"/>
  <c r="CW122" i="7"/>
  <c r="CW68" i="7"/>
  <c r="BG6" i="7"/>
  <c r="AZ5" i="7"/>
  <c r="AJ17" i="7"/>
  <c r="L5" i="7"/>
  <c r="N17" i="7"/>
  <c r="M32" i="7"/>
  <c r="BB5" i="7"/>
  <c r="AT5" i="7"/>
  <c r="CP20" i="7"/>
  <c r="AM6" i="7"/>
  <c r="AD6" i="7"/>
  <c r="I5" i="7"/>
  <c r="K5" i="7"/>
  <c r="AH28" i="6"/>
  <c r="AH5" i="7"/>
  <c r="Z5" i="7"/>
  <c r="BM6" i="7"/>
  <c r="AW6" i="7"/>
  <c r="BJ5" i="7"/>
  <c r="AQ6" i="7"/>
  <c r="BA6" i="7"/>
  <c r="BH5" i="7"/>
  <c r="AR5" i="7"/>
  <c r="BL5" i="7"/>
  <c r="AV5" i="7"/>
  <c r="BC6" i="7"/>
  <c r="V6" i="7"/>
  <c r="Z6" i="7"/>
  <c r="J6" i="7"/>
  <c r="Q17" i="7"/>
  <c r="M8" i="4"/>
  <c r="AP5" i="7"/>
  <c r="AB29" i="7"/>
  <c r="AQ32" i="7"/>
  <c r="CX60" i="7"/>
  <c r="CX62" i="7" s="1"/>
  <c r="CK15" i="7"/>
  <c r="CK17" i="7" s="1"/>
  <c r="CJ33" i="7"/>
  <c r="CJ35" i="7" s="1"/>
  <c r="CE24" i="7"/>
  <c r="CE26" i="7" s="1"/>
  <c r="CH128" i="7"/>
  <c r="BA17" i="7"/>
  <c r="R14" i="7"/>
  <c r="J13" i="8"/>
  <c r="K13" i="8" s="1"/>
  <c r="BT20" i="7"/>
  <c r="Q6" i="7"/>
  <c r="BJ26" i="7"/>
  <c r="AH29" i="7"/>
  <c r="K6" i="7"/>
  <c r="CX48" i="7"/>
  <c r="CX50" i="7" s="1"/>
  <c r="CV71" i="7"/>
  <c r="CH95" i="7"/>
  <c r="CL33" i="7"/>
  <c r="CL35" i="7" s="1"/>
  <c r="CK24" i="7"/>
  <c r="CK26" i="7" s="1"/>
  <c r="BX12" i="7"/>
  <c r="BX14" i="7" s="1"/>
  <c r="CI33" i="7"/>
  <c r="CI35" i="7" s="1"/>
  <c r="CW74" i="7"/>
  <c r="AY6" i="7"/>
  <c r="L7" i="4"/>
  <c r="L8" i="4" s="1"/>
  <c r="T5" i="7"/>
  <c r="AU6" i="7"/>
  <c r="AU7" i="7" s="1"/>
  <c r="W5" i="7"/>
  <c r="AA5" i="7"/>
  <c r="CK14" i="7"/>
  <c r="U29" i="7"/>
  <c r="CX99" i="7"/>
  <c r="CY99" i="7" s="1"/>
  <c r="CY151" i="7"/>
  <c r="CZ151" i="7" s="1"/>
  <c r="CV107" i="7"/>
  <c r="CX82" i="7"/>
  <c r="CY82" i="7" s="1"/>
  <c r="CZ82" i="7" s="1"/>
  <c r="AA32" i="7"/>
  <c r="BF5" i="7"/>
  <c r="V5" i="7"/>
  <c r="T14" i="7"/>
  <c r="CC14" i="7"/>
  <c r="W35" i="7"/>
  <c r="AG29" i="7"/>
  <c r="Q29" i="7"/>
  <c r="CV167" i="7"/>
  <c r="CY57" i="7"/>
  <c r="CZ57" i="7" s="1"/>
  <c r="CV56" i="7"/>
  <c r="CV47" i="7"/>
  <c r="BT125" i="7"/>
  <c r="CY166" i="7"/>
  <c r="CZ166" i="7" s="1"/>
  <c r="J12" i="8"/>
  <c r="K12" i="8" s="1"/>
  <c r="CX103" i="7"/>
  <c r="CV161" i="7"/>
  <c r="CG95" i="7"/>
  <c r="BW6" i="7"/>
  <c r="AF5" i="7"/>
  <c r="W6" i="7"/>
  <c r="J5" i="7"/>
  <c r="AU14" i="7"/>
  <c r="CR122" i="7"/>
  <c r="CR116" i="7"/>
  <c r="CX59" i="7"/>
  <c r="CV125" i="7"/>
  <c r="F5" i="7"/>
  <c r="BX36" i="7"/>
  <c r="BX38" i="7" s="1"/>
  <c r="CC15" i="7"/>
  <c r="CC17" i="7" s="1"/>
  <c r="CY160" i="7"/>
  <c r="CZ160" i="7" s="1"/>
  <c r="CX75" i="7"/>
  <c r="CX77" i="7" s="1"/>
  <c r="CF6" i="7"/>
  <c r="CW140" i="7"/>
  <c r="BO6" i="7"/>
  <c r="CX109" i="7"/>
  <c r="CY109" i="7" s="1"/>
  <c r="CZ109" i="7" s="1"/>
  <c r="CF122" i="7"/>
  <c r="CX72" i="7"/>
  <c r="CX74" i="7" s="1"/>
  <c r="CX78" i="7"/>
  <c r="CY78" i="7" s="1"/>
  <c r="CY49" i="7"/>
  <c r="CZ49" i="7" s="1"/>
  <c r="CA140" i="7"/>
  <c r="CC24" i="7"/>
  <c r="CC26" i="7" s="1"/>
  <c r="CV119" i="7"/>
  <c r="O5" i="7"/>
  <c r="CT95" i="7"/>
  <c r="CJ21" i="7"/>
  <c r="CJ23" i="7" s="1"/>
  <c r="BR116" i="7"/>
  <c r="CX42" i="7"/>
  <c r="CY42" i="7" s="1"/>
  <c r="CW167" i="7"/>
  <c r="CW146" i="7"/>
  <c r="CB6" i="7"/>
  <c r="AG14" i="7"/>
  <c r="BD5" i="7"/>
  <c r="AN5" i="7"/>
  <c r="BI6" i="7"/>
  <c r="AS6" i="7"/>
  <c r="AO6" i="7"/>
  <c r="CX138" i="7"/>
  <c r="CX140" i="7" s="1"/>
  <c r="CX79" i="7"/>
  <c r="BW36" i="7"/>
  <c r="BW38" i="7" s="1"/>
  <c r="BY36" i="7"/>
  <c r="BY38" i="7" s="1"/>
  <c r="CX63" i="7"/>
  <c r="CY63" i="7" s="1"/>
  <c r="CW116" i="7"/>
  <c r="CW137" i="7"/>
  <c r="AB5" i="7"/>
  <c r="CV128" i="7"/>
  <c r="CX165" i="7"/>
  <c r="CX167" i="7" s="1"/>
  <c r="CX111" i="7"/>
  <c r="CX113" i="7" s="1"/>
  <c r="CX90" i="7"/>
  <c r="CX92" i="7" s="1"/>
  <c r="CX87" i="7"/>
  <c r="CY87" i="7" s="1"/>
  <c r="CZ87" i="7" s="1"/>
  <c r="CX54" i="7"/>
  <c r="CX56" i="7" s="1"/>
  <c r="CY136" i="7"/>
  <c r="CZ136" i="7" s="1"/>
  <c r="CY76" i="7"/>
  <c r="CZ76" i="7" s="1"/>
  <c r="CE33" i="7"/>
  <c r="CE35" i="7" s="1"/>
  <c r="BS33" i="7"/>
  <c r="BS5" i="7" s="1"/>
  <c r="CF36" i="7"/>
  <c r="CF38" i="7" s="1"/>
  <c r="BW18" i="7"/>
  <c r="BW20" i="7" s="1"/>
  <c r="CW83" i="7"/>
  <c r="CN6" i="7"/>
  <c r="CM14" i="7"/>
  <c r="CY88" i="7"/>
  <c r="CZ88" i="7" s="1"/>
  <c r="CX93" i="7"/>
  <c r="BT24" i="7"/>
  <c r="BT26" i="7" s="1"/>
  <c r="BE6" i="7"/>
  <c r="BE7" i="7" s="1"/>
  <c r="CQ5" i="7"/>
  <c r="CJ116" i="7"/>
  <c r="CY169" i="7"/>
  <c r="CZ169" i="7" s="1"/>
  <c r="CI74" i="7"/>
  <c r="CM21" i="7"/>
  <c r="CM23" i="7" s="1"/>
  <c r="CL152" i="7"/>
  <c r="BR21" i="7"/>
  <c r="BR23" i="7" s="1"/>
  <c r="CG36" i="7"/>
  <c r="CG38" i="7" s="1"/>
  <c r="BY12" i="7"/>
  <c r="BY14" i="7" s="1"/>
  <c r="BY25" i="7"/>
  <c r="BY6" i="7" s="1"/>
  <c r="CW161" i="7"/>
  <c r="CW134" i="7"/>
  <c r="CW131" i="7"/>
  <c r="CW44" i="7"/>
  <c r="CR14" i="7"/>
  <c r="BS20" i="7"/>
  <c r="CA20" i="7"/>
  <c r="BK6" i="7"/>
  <c r="BK7" i="7" s="1"/>
  <c r="CW119" i="7"/>
  <c r="CW152" i="7"/>
  <c r="CW113" i="7"/>
  <c r="CW89" i="7"/>
  <c r="CW143" i="7"/>
  <c r="CX105" i="7"/>
  <c r="CR83" i="7"/>
  <c r="CW158" i="7"/>
  <c r="CW170" i="7"/>
  <c r="CV170" i="7"/>
  <c r="CV95" i="7"/>
  <c r="CW125" i="7"/>
  <c r="CH104" i="7"/>
  <c r="CX162" i="7"/>
  <c r="CY162" i="7" s="1"/>
  <c r="CZ162" i="7" s="1"/>
  <c r="CX146" i="7"/>
  <c r="CX126" i="7"/>
  <c r="CX128" i="7" s="1"/>
  <c r="CE95" i="7"/>
  <c r="CL24" i="7"/>
  <c r="CL26" i="7" s="1"/>
  <c r="CE12" i="7"/>
  <c r="CE14" i="7" s="1"/>
  <c r="CL18" i="7"/>
  <c r="CL20" i="7" s="1"/>
  <c r="CR18" i="7"/>
  <c r="CR5" i="7" s="1"/>
  <c r="CX135" i="7"/>
  <c r="CX137" i="7" s="1"/>
  <c r="CY145" i="7"/>
  <c r="CZ145" i="7" s="1"/>
  <c r="CY73" i="7"/>
  <c r="CZ73" i="7" s="1"/>
  <c r="CH23" i="7"/>
  <c r="CL107" i="7"/>
  <c r="CK27" i="7"/>
  <c r="CK29" i="7" s="1"/>
  <c r="CG24" i="7"/>
  <c r="CG26" i="7" s="1"/>
  <c r="BR12" i="7"/>
  <c r="BR14" i="7" s="1"/>
  <c r="CE36" i="7"/>
  <c r="CE38" i="7" s="1"/>
  <c r="CH33" i="7"/>
  <c r="CH35" i="7" s="1"/>
  <c r="CX117" i="7"/>
  <c r="CX119" i="7" s="1"/>
  <c r="CE23" i="7"/>
  <c r="CX51" i="7"/>
  <c r="CX53" i="7" s="1"/>
  <c r="J11" i="8"/>
  <c r="K11" i="8" s="1"/>
  <c r="AJ5" i="7"/>
  <c r="CV146" i="7"/>
  <c r="BQ14" i="7"/>
  <c r="J8" i="8"/>
  <c r="K8" i="8" s="1"/>
  <c r="D8" i="9"/>
  <c r="N8" i="9" s="1"/>
  <c r="J9" i="8"/>
  <c r="K9" i="8" s="1"/>
  <c r="D9" i="9"/>
  <c r="N9" i="9" s="1"/>
  <c r="B3" i="10"/>
  <c r="B3" i="8"/>
  <c r="B2" i="6"/>
  <c r="B11" i="6" s="1"/>
  <c r="E15" i="8"/>
  <c r="F15" i="9" s="1"/>
  <c r="P15" i="9" s="1"/>
  <c r="F6" i="9"/>
  <c r="P6" i="9" s="1"/>
  <c r="CV68" i="7"/>
  <c r="CQ20" i="7"/>
  <c r="D15" i="8"/>
  <c r="D15" i="9" s="1"/>
  <c r="N15" i="9" s="1"/>
  <c r="D6" i="9"/>
  <c r="N6" i="9" s="1"/>
  <c r="F14" i="8"/>
  <c r="G14" i="9" s="1"/>
  <c r="Q14" i="9" s="1"/>
  <c r="G60" i="9"/>
  <c r="Q60" i="9" s="1"/>
  <c r="G15" i="8"/>
  <c r="E15" i="9" s="1"/>
  <c r="O15" i="9" s="1"/>
  <c r="E6" i="9"/>
  <c r="O6" i="9" s="1"/>
  <c r="J7" i="8"/>
  <c r="K7" i="8" s="1"/>
  <c r="E7" i="6"/>
  <c r="G7" i="6" s="1"/>
  <c r="G7" i="4" s="1"/>
  <c r="F7" i="4"/>
  <c r="P7" i="4" s="1"/>
  <c r="P7" i="6"/>
  <c r="F12" i="8"/>
  <c r="G12" i="9" s="1"/>
  <c r="Q12" i="9" s="1"/>
  <c r="F13" i="8"/>
  <c r="G13" i="9" s="1"/>
  <c r="Q13" i="9" s="1"/>
  <c r="F61" i="8"/>
  <c r="G63" i="9" s="1"/>
  <c r="Q63" i="9" s="1"/>
  <c r="J61" i="8"/>
  <c r="K61" i="8" s="1"/>
  <c r="F6" i="8"/>
  <c r="G6" i="9" s="1"/>
  <c r="Q6" i="9" s="1"/>
  <c r="F7" i="8"/>
  <c r="G7" i="9" s="1"/>
  <c r="Q7" i="9" s="1"/>
  <c r="F9" i="8"/>
  <c r="G9" i="9" s="1"/>
  <c r="Q9" i="9" s="1"/>
  <c r="F8" i="8"/>
  <c r="G8" i="9" s="1"/>
  <c r="Q8" i="9" s="1"/>
  <c r="F11" i="8"/>
  <c r="G11" i="9" s="1"/>
  <c r="Q11" i="9" s="1"/>
  <c r="J6" i="8"/>
  <c r="K6" i="8" s="1"/>
  <c r="F10" i="8"/>
  <c r="G10" i="9" s="1"/>
  <c r="Q10" i="9" s="1"/>
  <c r="L14" i="7"/>
  <c r="AG5" i="7"/>
  <c r="BV5" i="7"/>
  <c r="AB14" i="7"/>
  <c r="CT6" i="7"/>
  <c r="CW149" i="7"/>
  <c r="CO20" i="7"/>
  <c r="CB14" i="7"/>
  <c r="AC5" i="7"/>
  <c r="BN5" i="7"/>
  <c r="I35" i="7"/>
  <c r="CV149" i="7"/>
  <c r="CD6" i="7"/>
  <c r="BX6" i="7"/>
  <c r="BP6" i="7"/>
  <c r="AI5" i="7"/>
  <c r="AE5" i="7"/>
  <c r="CN14" i="7"/>
  <c r="AF14" i="7"/>
  <c r="BV6" i="7"/>
  <c r="BX17" i="7"/>
  <c r="AI35" i="7"/>
  <c r="CY148" i="7"/>
  <c r="CZ148" i="7" s="1"/>
  <c r="CD14" i="7"/>
  <c r="CS14" i="7"/>
  <c r="O38" i="7"/>
  <c r="AE32" i="7"/>
  <c r="CJ6" i="7"/>
  <c r="BT6" i="7"/>
  <c r="BQ6" i="7"/>
  <c r="AX14" i="7"/>
  <c r="Y5" i="7"/>
  <c r="BZ17" i="7"/>
  <c r="CD5" i="7"/>
  <c r="CV113" i="7"/>
  <c r="CV134" i="7"/>
  <c r="CV116" i="7"/>
  <c r="CV86" i="7"/>
  <c r="CD116" i="7"/>
  <c r="CY127" i="7"/>
  <c r="CZ127" i="7" s="1"/>
  <c r="CV143" i="7"/>
  <c r="CV122" i="7"/>
  <c r="CW104" i="7"/>
  <c r="CX115" i="7"/>
  <c r="CY115" i="7" s="1"/>
  <c r="CZ115" i="7" s="1"/>
  <c r="CV131" i="7"/>
  <c r="CW86" i="7"/>
  <c r="CV158" i="7"/>
  <c r="CV104" i="7"/>
  <c r="CV74" i="7"/>
  <c r="CW13" i="7"/>
  <c r="CW25" i="7"/>
  <c r="CW16" i="7"/>
  <c r="CW53" i="7"/>
  <c r="H6" i="7"/>
  <c r="CW37" i="7"/>
  <c r="CW34" i="7"/>
  <c r="CW15" i="7"/>
  <c r="CW31" i="7"/>
  <c r="CW28" i="7"/>
  <c r="BT12" i="7"/>
  <c r="BT14" i="7" s="1"/>
  <c r="F14" i="7"/>
  <c r="CH6" i="7"/>
  <c r="CW59" i="7"/>
  <c r="CT23" i="7"/>
  <c r="CF26" i="7"/>
  <c r="CJ26" i="7"/>
  <c r="CV12" i="7"/>
  <c r="P6" i="4"/>
  <c r="F8" i="6"/>
  <c r="P8" i="6" s="1"/>
  <c r="P6" i="6"/>
  <c r="E6" i="6"/>
  <c r="CW155" i="7"/>
  <c r="CW33" i="7"/>
  <c r="CW22" i="7"/>
  <c r="CW92" i="7"/>
  <c r="CW77" i="7"/>
  <c r="CW18" i="7"/>
  <c r="CW128" i="7"/>
  <c r="CW27" i="7"/>
  <c r="CW107" i="7"/>
  <c r="CW24" i="7"/>
  <c r="CW95" i="7"/>
  <c r="CW21" i="7"/>
  <c r="CW19" i="7"/>
  <c r="CW164" i="7"/>
  <c r="CW36" i="7"/>
  <c r="CW30" i="7"/>
  <c r="CW98" i="7"/>
  <c r="CW62" i="7"/>
  <c r="CW101" i="7"/>
  <c r="CW65" i="7"/>
  <c r="CW56" i="7"/>
  <c r="CW47" i="7"/>
  <c r="CW12" i="7"/>
  <c r="CS5" i="7"/>
  <c r="BR104" i="7"/>
  <c r="CX102" i="7"/>
  <c r="CY102" i="7" s="1"/>
  <c r="CZ102" i="7" s="1"/>
  <c r="BX18" i="7"/>
  <c r="BX20" i="7" s="1"/>
  <c r="CY97" i="7"/>
  <c r="CZ97" i="7" s="1"/>
  <c r="CX37" i="7"/>
  <c r="CE27" i="7"/>
  <c r="CE29" i="7" s="1"/>
  <c r="CB38" i="7"/>
  <c r="CB5" i="7"/>
  <c r="CX168" i="7"/>
  <c r="CX170" i="7" s="1"/>
  <c r="CX132" i="7"/>
  <c r="CY132" i="7" s="1"/>
  <c r="CX120" i="7"/>
  <c r="CY120" i="7" s="1"/>
  <c r="CZ120" i="7" s="1"/>
  <c r="CX81" i="7"/>
  <c r="CY81" i="7" s="1"/>
  <c r="CX69" i="7"/>
  <c r="CY69" i="7" s="1"/>
  <c r="CZ69" i="7" s="1"/>
  <c r="BR159" i="7"/>
  <c r="CX159" i="7" s="1"/>
  <c r="CX161" i="7" s="1"/>
  <c r="BR86" i="7"/>
  <c r="BR15" i="7"/>
  <c r="BR17" i="7" s="1"/>
  <c r="CR19" i="7"/>
  <c r="CR6" i="7" s="1"/>
  <c r="BR19" i="7"/>
  <c r="BR6" i="7" s="1"/>
  <c r="CX16" i="7"/>
  <c r="CX156" i="7"/>
  <c r="CX158" i="7" s="1"/>
  <c r="CR134" i="7"/>
  <c r="CX66" i="7"/>
  <c r="CX68" i="7" s="1"/>
  <c r="CY55" i="7"/>
  <c r="CZ55" i="7" s="1"/>
  <c r="CY46" i="7"/>
  <c r="CZ46" i="7" s="1"/>
  <c r="BZ26" i="7"/>
  <c r="BT164" i="7"/>
  <c r="BX77" i="7"/>
  <c r="BQ158" i="7"/>
  <c r="CX31" i="7"/>
  <c r="CX108" i="7"/>
  <c r="CY108" i="7" s="1"/>
  <c r="CZ108" i="7" s="1"/>
  <c r="CX98" i="7"/>
  <c r="CY139" i="7"/>
  <c r="CZ139" i="7" s="1"/>
  <c r="CY112" i="7"/>
  <c r="CZ112" i="7" s="1"/>
  <c r="CY61" i="7"/>
  <c r="CZ61" i="7" s="1"/>
  <c r="CY58" i="7"/>
  <c r="CZ58" i="7" s="1"/>
  <c r="CX149" i="7"/>
  <c r="CX133" i="7"/>
  <c r="CX28" i="7" s="1"/>
  <c r="CX13" i="7"/>
  <c r="CY100" i="7"/>
  <c r="CZ100" i="7" s="1"/>
  <c r="CA12" i="7"/>
  <c r="CA14" i="7" s="1"/>
  <c r="CX34" i="7"/>
  <c r="CY154" i="7"/>
  <c r="CZ154" i="7" s="1"/>
  <c r="CV101" i="7"/>
  <c r="CY96" i="7"/>
  <c r="CZ96" i="7" s="1"/>
  <c r="CY84" i="7"/>
  <c r="CZ84" i="7" s="1"/>
  <c r="CX143" i="7"/>
  <c r="CX86" i="7"/>
  <c r="CV34" i="7"/>
  <c r="CY141" i="7"/>
  <c r="CV30" i="7"/>
  <c r="CV98" i="7"/>
  <c r="CV110" i="7"/>
  <c r="CV59" i="7"/>
  <c r="CY85" i="7"/>
  <c r="CZ85" i="7" s="1"/>
  <c r="CY52" i="7"/>
  <c r="CZ52" i="7" s="1"/>
  <c r="CV92" i="7"/>
  <c r="CY64" i="7"/>
  <c r="CZ64" i="7" s="1"/>
  <c r="BR107" i="7"/>
  <c r="BR24" i="7"/>
  <c r="BR26" i="7" s="1"/>
  <c r="CY142" i="7"/>
  <c r="CV31" i="7"/>
  <c r="CY124" i="7"/>
  <c r="CV28" i="7"/>
  <c r="CY91" i="7"/>
  <c r="CZ91" i="7" s="1"/>
  <c r="CY43" i="7"/>
  <c r="CV13" i="7"/>
  <c r="CV18" i="7"/>
  <c r="CV80" i="7"/>
  <c r="BR36" i="7"/>
  <c r="BR38" i="7" s="1"/>
  <c r="BR18" i="7"/>
  <c r="CV152" i="7"/>
  <c r="CY147" i="7"/>
  <c r="CZ147" i="7" s="1"/>
  <c r="CY129" i="7"/>
  <c r="CZ129" i="7" s="1"/>
  <c r="CY144" i="7"/>
  <c r="CV155" i="7"/>
  <c r="CV33" i="7"/>
  <c r="CY121" i="7"/>
  <c r="CZ121" i="7" s="1"/>
  <c r="CV22" i="7"/>
  <c r="CY114" i="7"/>
  <c r="CV137" i="7"/>
  <c r="CY130" i="7"/>
  <c r="CZ130" i="7" s="1"/>
  <c r="CV21" i="7"/>
  <c r="CV15" i="7"/>
  <c r="CV53" i="7"/>
  <c r="CY67" i="7"/>
  <c r="CZ67" i="7" s="1"/>
  <c r="CV16" i="7"/>
  <c r="CV65" i="7"/>
  <c r="CV44" i="7"/>
  <c r="BQ5" i="7"/>
  <c r="BR27" i="7"/>
  <c r="BR29" i="7" s="1"/>
  <c r="CX131" i="7"/>
  <c r="CY163" i="7"/>
  <c r="CV37" i="7"/>
  <c r="CV164" i="7"/>
  <c r="CV36" i="7"/>
  <c r="CV24" i="7"/>
  <c r="CV140" i="7"/>
  <c r="CV27" i="7"/>
  <c r="CV25" i="7"/>
  <c r="CV50" i="7"/>
  <c r="CV77" i="7"/>
  <c r="CV19" i="7"/>
  <c r="CY70" i="7"/>
  <c r="CZ70" i="7" s="1"/>
  <c r="CV62" i="7"/>
  <c r="CF65" i="7"/>
  <c r="CF12" i="7"/>
  <c r="CG53" i="7"/>
  <c r="CG12" i="7"/>
  <c r="CH170" i="7"/>
  <c r="CH36" i="7"/>
  <c r="CH38" i="7" s="1"/>
  <c r="H5" i="7"/>
  <c r="H14" i="7"/>
  <c r="H17" i="7"/>
  <c r="G6" i="7"/>
  <c r="R7" i="7" l="1"/>
  <c r="U7" i="7"/>
  <c r="BI7" i="7"/>
  <c r="AS7" i="7"/>
  <c r="BJ7" i="7"/>
  <c r="AH7" i="7"/>
  <c r="AD7" i="7"/>
  <c r="BD7" i="7"/>
  <c r="BH7" i="7"/>
  <c r="AZ7" i="7"/>
  <c r="BZ7" i="7"/>
  <c r="AT7" i="7"/>
  <c r="X7" i="7"/>
  <c r="AM7" i="7"/>
  <c r="AO7" i="7"/>
  <c r="AW7" i="7"/>
  <c r="BP7" i="7"/>
  <c r="BF7" i="7"/>
  <c r="AV7" i="7"/>
  <c r="BM7" i="7"/>
  <c r="BG7" i="7"/>
  <c r="AI7" i="7"/>
  <c r="AL7" i="7"/>
  <c r="AN7" i="7"/>
  <c r="BO7" i="7"/>
  <c r="AY7" i="7"/>
  <c r="AP7" i="7"/>
  <c r="AQ7" i="7"/>
  <c r="BB7" i="7"/>
  <c r="AK7" i="7"/>
  <c r="BC7" i="7"/>
  <c r="BN7" i="7"/>
  <c r="BA7" i="7"/>
  <c r="BL7" i="7"/>
  <c r="AX7" i="7"/>
  <c r="AR7" i="7"/>
  <c r="L7" i="7"/>
  <c r="CX125" i="7"/>
  <c r="AF7" i="7"/>
  <c r="CY60" i="7"/>
  <c r="CY62" i="7" s="1"/>
  <c r="CY72" i="7"/>
  <c r="CZ72" i="7" s="1"/>
  <c r="CZ74" i="7" s="1"/>
  <c r="V7" i="7"/>
  <c r="CY45" i="7"/>
  <c r="CZ45" i="7" s="1"/>
  <c r="CZ47" i="7" s="1"/>
  <c r="CO7" i="7"/>
  <c r="BS7" i="7"/>
  <c r="O7" i="7"/>
  <c r="CX22" i="7"/>
  <c r="AC7" i="7"/>
  <c r="CX95" i="7"/>
  <c r="M7" i="7"/>
  <c r="CY111" i="7"/>
  <c r="CZ111" i="7" s="1"/>
  <c r="CZ113" i="7" s="1"/>
  <c r="CQ7" i="7"/>
  <c r="CP7" i="7"/>
  <c r="BS35" i="7"/>
  <c r="CY150" i="7"/>
  <c r="CY152" i="7" s="1"/>
  <c r="CY54" i="7"/>
  <c r="CY56" i="7" s="1"/>
  <c r="CY103" i="7"/>
  <c r="CZ103" i="7" s="1"/>
  <c r="CZ104" i="7" s="1"/>
  <c r="AE7" i="7"/>
  <c r="CT7" i="7"/>
  <c r="K7" i="7"/>
  <c r="P7" i="7"/>
  <c r="CY165" i="7"/>
  <c r="CY167" i="7" s="1"/>
  <c r="Q7" i="4"/>
  <c r="CY138" i="7"/>
  <c r="CZ138" i="7" s="1"/>
  <c r="CZ140" i="7" s="1"/>
  <c r="CY153" i="7"/>
  <c r="CZ153" i="7" s="1"/>
  <c r="CZ155" i="7" s="1"/>
  <c r="J7" i="7"/>
  <c r="CX152" i="7"/>
  <c r="Q7" i="7"/>
  <c r="CS7" i="7"/>
  <c r="CY48" i="7"/>
  <c r="CZ48" i="7" s="1"/>
  <c r="CZ50" i="7" s="1"/>
  <c r="CX101" i="7"/>
  <c r="F7" i="7"/>
  <c r="CZ98" i="7"/>
  <c r="T7" i="7"/>
  <c r="G7" i="7"/>
  <c r="CX116" i="7"/>
  <c r="CI5" i="7"/>
  <c r="CI7" i="7" s="1"/>
  <c r="BY26" i="7"/>
  <c r="CJ5" i="7"/>
  <c r="CJ7" i="7" s="1"/>
  <c r="CY126" i="7"/>
  <c r="CZ126" i="7" s="1"/>
  <c r="CZ128" i="7" s="1"/>
  <c r="BW5" i="7"/>
  <c r="BW7" i="7" s="1"/>
  <c r="CY117" i="7"/>
  <c r="CY119" i="7" s="1"/>
  <c r="AG7" i="7"/>
  <c r="CY90" i="7"/>
  <c r="CZ90" i="7" s="1"/>
  <c r="CZ92" i="7" s="1"/>
  <c r="S7" i="7"/>
  <c r="N7" i="7"/>
  <c r="CN5" i="7"/>
  <c r="CN7" i="7" s="1"/>
  <c r="CX65" i="7"/>
  <c r="CM5" i="7"/>
  <c r="CM7" i="7" s="1"/>
  <c r="CX44" i="7"/>
  <c r="CX164" i="7"/>
  <c r="Y7" i="7"/>
  <c r="CZ149" i="7"/>
  <c r="CY75" i="7"/>
  <c r="CZ75" i="7" s="1"/>
  <c r="CZ77" i="7" s="1"/>
  <c r="BU5" i="7"/>
  <c r="BU7" i="7" s="1"/>
  <c r="AB7" i="7"/>
  <c r="CY51" i="7"/>
  <c r="CZ51" i="7" s="1"/>
  <c r="CZ53" i="7" s="1"/>
  <c r="CY135" i="7"/>
  <c r="CZ135" i="7" s="1"/>
  <c r="CZ137" i="7" s="1"/>
  <c r="AJ7" i="7"/>
  <c r="CY59" i="7"/>
  <c r="CX110" i="7"/>
  <c r="BV7" i="7"/>
  <c r="CX80" i="7"/>
  <c r="CY168" i="7"/>
  <c r="CY170" i="7" s="1"/>
  <c r="BR33" i="7"/>
  <c r="BR35" i="7" s="1"/>
  <c r="CY98" i="7"/>
  <c r="CY86" i="7"/>
  <c r="CY164" i="7"/>
  <c r="CX18" i="7"/>
  <c r="CX25" i="7"/>
  <c r="CX15" i="7"/>
  <c r="CX17" i="7" s="1"/>
  <c r="CZ89" i="7"/>
  <c r="I7" i="7"/>
  <c r="CY89" i="7"/>
  <c r="CX19" i="7"/>
  <c r="CY79" i="7"/>
  <c r="CZ79" i="7" s="1"/>
  <c r="CZ19" i="7" s="1"/>
  <c r="CX27" i="7"/>
  <c r="CX29" i="7" s="1"/>
  <c r="CY93" i="7"/>
  <c r="CY21" i="7" s="1"/>
  <c r="CY133" i="7"/>
  <c r="CZ133" i="7" s="1"/>
  <c r="CX89" i="7"/>
  <c r="CK5" i="7"/>
  <c r="CK7" i="7" s="1"/>
  <c r="CC5" i="7"/>
  <c r="CC7" i="7" s="1"/>
  <c r="AA7" i="7"/>
  <c r="W7" i="7"/>
  <c r="Z7" i="7"/>
  <c r="CZ59" i="7"/>
  <c r="CW17" i="7"/>
  <c r="CX24" i="7"/>
  <c r="CL5" i="7"/>
  <c r="CL7" i="7" s="1"/>
  <c r="CW26" i="7"/>
  <c r="BY5" i="7"/>
  <c r="BY7" i="7" s="1"/>
  <c r="BX5" i="7"/>
  <c r="BX7" i="7" s="1"/>
  <c r="CX107" i="7"/>
  <c r="CY105" i="7"/>
  <c r="CY107" i="7" s="1"/>
  <c r="BT5" i="7"/>
  <c r="BT7" i="7" s="1"/>
  <c r="CX12" i="7"/>
  <c r="CX14" i="7" s="1"/>
  <c r="CY125" i="7"/>
  <c r="CB7" i="7"/>
  <c r="CZ42" i="7"/>
  <c r="CY44" i="7"/>
  <c r="CX83" i="7"/>
  <c r="BR161" i="7"/>
  <c r="CX21" i="7"/>
  <c r="CZ86" i="7"/>
  <c r="CX104" i="7"/>
  <c r="CY149" i="7"/>
  <c r="CY66" i="7"/>
  <c r="CY159" i="7"/>
  <c r="CZ159" i="7" s="1"/>
  <c r="CZ161" i="7" s="1"/>
  <c r="F8" i="4"/>
  <c r="P8" i="4" s="1"/>
  <c r="CX36" i="7"/>
  <c r="CX38" i="7" s="1"/>
  <c r="CZ81" i="7"/>
  <c r="CZ83" i="7" s="1"/>
  <c r="CZ25" i="7"/>
  <c r="CX71" i="7"/>
  <c r="CY110" i="7"/>
  <c r="CV35" i="7"/>
  <c r="CX33" i="7"/>
  <c r="CX35" i="7" s="1"/>
  <c r="CY156" i="7"/>
  <c r="CY158" i="7" s="1"/>
  <c r="CD7" i="7"/>
  <c r="H7" i="7"/>
  <c r="CW35" i="7"/>
  <c r="CY25" i="7"/>
  <c r="CX32" i="7"/>
  <c r="CZ110" i="7"/>
  <c r="CX122" i="7"/>
  <c r="CW38" i="7"/>
  <c r="J15" i="8"/>
  <c r="K15" i="8" s="1"/>
  <c r="Q7" i="6"/>
  <c r="E7" i="4"/>
  <c r="O7" i="4" s="1"/>
  <c r="O7" i="6"/>
  <c r="F15" i="8"/>
  <c r="G15" i="9" s="1"/>
  <c r="Q15" i="9" s="1"/>
  <c r="CW29" i="7"/>
  <c r="CW32" i="7"/>
  <c r="BQ7" i="7"/>
  <c r="CA5" i="7"/>
  <c r="CA7" i="7" s="1"/>
  <c r="CV29" i="7"/>
  <c r="CV38" i="7"/>
  <c r="CW6" i="7"/>
  <c r="CR7" i="7"/>
  <c r="CW23" i="7"/>
  <c r="G6" i="6"/>
  <c r="E6" i="4"/>
  <c r="O6" i="6"/>
  <c r="E8" i="6"/>
  <c r="O8" i="6" s="1"/>
  <c r="CW14" i="7"/>
  <c r="CW5" i="7"/>
  <c r="CW20" i="7"/>
  <c r="CZ122" i="7"/>
  <c r="CY34" i="7"/>
  <c r="CZ34" i="7"/>
  <c r="CY83" i="7"/>
  <c r="CZ131" i="7"/>
  <c r="CY71" i="7"/>
  <c r="CY131" i="7"/>
  <c r="CZ71" i="7"/>
  <c r="CY16" i="7"/>
  <c r="CR20" i="7"/>
  <c r="CE5" i="7"/>
  <c r="CE7" i="7" s="1"/>
  <c r="CX134" i="7"/>
  <c r="CZ99" i="7"/>
  <c r="CZ101" i="7" s="1"/>
  <c r="CY101" i="7"/>
  <c r="CZ16" i="7"/>
  <c r="CG5" i="7"/>
  <c r="CG7" i="7" s="1"/>
  <c r="CG14" i="7"/>
  <c r="CV23" i="7"/>
  <c r="CZ94" i="7"/>
  <c r="CZ78" i="7"/>
  <c r="CV6" i="7"/>
  <c r="CZ124" i="7"/>
  <c r="CV32" i="7"/>
  <c r="CH5" i="7"/>
  <c r="CH7" i="7" s="1"/>
  <c r="CV26" i="7"/>
  <c r="CV17" i="7"/>
  <c r="CY116" i="7"/>
  <c r="CZ114" i="7"/>
  <c r="CZ116" i="7" s="1"/>
  <c r="CY146" i="7"/>
  <c r="CZ144" i="7"/>
  <c r="CZ146" i="7" s="1"/>
  <c r="BR20" i="7"/>
  <c r="CZ43" i="7"/>
  <c r="CY13" i="7"/>
  <c r="CZ141" i="7"/>
  <c r="CY143" i="7"/>
  <c r="CV14" i="7"/>
  <c r="CF5" i="7"/>
  <c r="CF7" i="7" s="1"/>
  <c r="CF14" i="7"/>
  <c r="CV20" i="7"/>
  <c r="CZ142" i="7"/>
  <c r="CZ31" i="7" s="1"/>
  <c r="CY31" i="7"/>
  <c r="CZ132" i="7"/>
  <c r="CV5" i="7"/>
  <c r="CY122" i="7"/>
  <c r="CZ163" i="7"/>
  <c r="CZ37" i="7" s="1"/>
  <c r="CY37" i="7"/>
  <c r="CY65" i="7"/>
  <c r="CZ63" i="7"/>
  <c r="CZ65" i="7" s="1"/>
  <c r="CY50" i="7" l="1"/>
  <c r="CZ22" i="7"/>
  <c r="CY22" i="7"/>
  <c r="CY23" i="7" s="1"/>
  <c r="CY15" i="7"/>
  <c r="CY17" i="7" s="1"/>
  <c r="CZ165" i="7"/>
  <c r="CZ167" i="7" s="1"/>
  <c r="CY36" i="7"/>
  <c r="CY38" i="7" s="1"/>
  <c r="CY47" i="7"/>
  <c r="CY30" i="7"/>
  <c r="CY32" i="7" s="1"/>
  <c r="CZ150" i="7"/>
  <c r="CZ152" i="7" s="1"/>
  <c r="CX26" i="7"/>
  <c r="CZ54" i="7"/>
  <c r="CZ56" i="7" s="1"/>
  <c r="CZ60" i="7"/>
  <c r="CZ62" i="7" s="1"/>
  <c r="CY140" i="7"/>
  <c r="CX23" i="7"/>
  <c r="CZ117" i="7"/>
  <c r="CZ119" i="7" s="1"/>
  <c r="CY113" i="7"/>
  <c r="CY104" i="7"/>
  <c r="CY74" i="7"/>
  <c r="CY155" i="7"/>
  <c r="CY19" i="7"/>
  <c r="CY18" i="7"/>
  <c r="CY28" i="7"/>
  <c r="CY27" i="7"/>
  <c r="CY128" i="7"/>
  <c r="CY68" i="7"/>
  <c r="CZ66" i="7"/>
  <c r="CZ68" i="7" s="1"/>
  <c r="CY92" i="7"/>
  <c r="BR5" i="7"/>
  <c r="BR7" i="7" s="1"/>
  <c r="CY53" i="7"/>
  <c r="CY77" i="7"/>
  <c r="CY12" i="7"/>
  <c r="CY14" i="7" s="1"/>
  <c r="CY161" i="7"/>
  <c r="CY137" i="7"/>
  <c r="CX20" i="7"/>
  <c r="CY134" i="7"/>
  <c r="CZ105" i="7"/>
  <c r="CZ107" i="7" s="1"/>
  <c r="CZ28" i="7"/>
  <c r="CX6" i="7"/>
  <c r="CZ134" i="7"/>
  <c r="CZ168" i="7"/>
  <c r="CZ170" i="7" s="1"/>
  <c r="CZ156" i="7"/>
  <c r="CZ158" i="7" s="1"/>
  <c r="CZ125" i="7"/>
  <c r="CY80" i="7"/>
  <c r="CZ80" i="7"/>
  <c r="CZ93" i="7"/>
  <c r="CZ95" i="7" s="1"/>
  <c r="CY95" i="7"/>
  <c r="CY24" i="7"/>
  <c r="CY26" i="7" s="1"/>
  <c r="CY33" i="7"/>
  <c r="CX5" i="7"/>
  <c r="CZ18" i="7"/>
  <c r="CZ20" i="7" s="1"/>
  <c r="CV7" i="7"/>
  <c r="CW7" i="7"/>
  <c r="E8" i="4"/>
  <c r="O8" i="4" s="1"/>
  <c r="O6" i="4"/>
  <c r="G8" i="6"/>
  <c r="Q8" i="6" s="1"/>
  <c r="Q6" i="6"/>
  <c r="G6" i="4"/>
  <c r="CZ164" i="7"/>
  <c r="CZ27" i="7"/>
  <c r="CZ143" i="7"/>
  <c r="CZ13" i="7"/>
  <c r="CZ44" i="7"/>
  <c r="CZ12" i="7" l="1"/>
  <c r="CZ14" i="7" s="1"/>
  <c r="CY6" i="7"/>
  <c r="CZ30" i="7"/>
  <c r="CZ32" i="7" s="1"/>
  <c r="CY20" i="7"/>
  <c r="CY29" i="7"/>
  <c r="CZ15" i="7"/>
  <c r="CZ17" i="7" s="1"/>
  <c r="CZ21" i="7"/>
  <c r="CZ23" i="7" s="1"/>
  <c r="CZ6" i="7"/>
  <c r="CZ29" i="7"/>
  <c r="CZ36" i="7"/>
  <c r="CZ38" i="7" s="1"/>
  <c r="CZ24" i="7"/>
  <c r="CZ26" i="7" s="1"/>
  <c r="CX7" i="7"/>
  <c r="CZ33" i="7"/>
  <c r="CZ35" i="7" s="1"/>
  <c r="CY5" i="7"/>
  <c r="CY35" i="7"/>
  <c r="Q6" i="4"/>
  <c r="G8" i="4"/>
  <c r="Q8" i="4" s="1"/>
  <c r="CY7" i="7" l="1"/>
  <c r="CZ5" i="7"/>
  <c r="CZ7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DB CWO 1" description="Data Bulan Ini" type="5" refreshedVersion="8" savePassword="1" background="1" saveData="1">
    <dbPr connection="Provider=SQLOLEDB.1;Password=sfi.100;Persist Security Info=True;User ID=usersfi;Initial Catalog=SFI_DWH;Data Source=172.16.0.239;Use Procedure for Prepare=1;Auto Translate=True;Packet Size=4096;Workstation ID=HOC0LL05;Use Encryption for Data=False;Tag with column collation when possible=False" command="EXEC DailyCollectibilityUpgrade_Dashboard_New_Data_CWO_CHECK_M2"/>
  </connection>
  <connection id="2" xr16:uid="{00000000-0015-0000-FFFF-FFFF01000000}" keepAlive="1" name="DB CWO 2" description="Data Bulan Lalu" type="5" refreshedVersion="8" savePassword="1" background="1" saveData="1">
    <dbPr connection="Provider=SQLOLEDB.1;Password=sfi.100;Persist Security Info=True;User ID=usersfi;Initial Catalog=SFI_DWH;Data Source=172.16.0.239;Use Procedure for Prepare=1;Auto Translate=True;Packet Size=4096;Workstation ID=HOC0LL05;Use Encryption for Data=False;Tag with column collation when possible=False" command="EXEC DailyCollectibilityUpgrade_Dashboard_New_Data_CWO_CHECK_M1"/>
  </connection>
</connections>
</file>

<file path=xl/sharedStrings.xml><?xml version="1.0" encoding="utf-8"?>
<sst xmlns="http://schemas.openxmlformats.org/spreadsheetml/2006/main" count="10720" uniqueCount="3001">
  <si>
    <t>BEKASI</t>
  </si>
  <si>
    <t>1506</t>
  </si>
  <si>
    <t>DEWI SARTIKA</t>
  </si>
  <si>
    <t>1518</t>
  </si>
  <si>
    <t/>
  </si>
  <si>
    <t>SERANG</t>
  </si>
  <si>
    <t>1516</t>
  </si>
  <si>
    <t>DEPOK</t>
  </si>
  <si>
    <t>1543</t>
  </si>
  <si>
    <t>SUNTER</t>
  </si>
  <si>
    <t>1502</t>
  </si>
  <si>
    <t>BOGOR</t>
  </si>
  <si>
    <t>1512</t>
  </si>
  <si>
    <t>KEDOYA</t>
  </si>
  <si>
    <t>1501</t>
  </si>
  <si>
    <t>TANGERANG</t>
  </si>
  <si>
    <t>1507</t>
  </si>
  <si>
    <t>BranchName</t>
  </si>
  <si>
    <t>BranchID</t>
  </si>
  <si>
    <t>Transdate</t>
  </si>
  <si>
    <t>TglJatuhTempo</t>
  </si>
  <si>
    <t>TglPPD</t>
  </si>
  <si>
    <t>CustomerID</t>
  </si>
  <si>
    <t>ContractID</t>
  </si>
  <si>
    <t>NamaCustomer</t>
  </si>
  <si>
    <t>Alamat</t>
  </si>
  <si>
    <t>KodePos</t>
  </si>
  <si>
    <t>SubZipCode</t>
  </si>
  <si>
    <t>KodePos2</t>
  </si>
  <si>
    <t>Kelurahan</t>
  </si>
  <si>
    <t>Kecamatan</t>
  </si>
  <si>
    <t>Kota</t>
  </si>
  <si>
    <t>KodeDCS</t>
  </si>
  <si>
    <t>NamaDCS</t>
  </si>
  <si>
    <t>GroupID</t>
  </si>
  <si>
    <t>NamaCustomerGroup</t>
  </si>
  <si>
    <t>TlpRumah</t>
  </si>
  <si>
    <t>TlpKantor</t>
  </si>
  <si>
    <t>MobilePhone</t>
  </si>
  <si>
    <t>ObjectDesc</t>
  </si>
  <si>
    <t>BrandDesc</t>
  </si>
  <si>
    <t>TypeDesc1</t>
  </si>
  <si>
    <t>TypeDesc2</t>
  </si>
  <si>
    <t>RangkaNumber</t>
  </si>
  <si>
    <t>EngineNumber</t>
  </si>
  <si>
    <t>PoliceNumber</t>
  </si>
  <si>
    <t>OtsBalance</t>
  </si>
  <si>
    <t>OtsPokok</t>
  </si>
  <si>
    <t>NYD</t>
  </si>
  <si>
    <t>AMOVD</t>
  </si>
  <si>
    <t>Denda</t>
  </si>
  <si>
    <t>Titipan</t>
  </si>
  <si>
    <t>Installment</t>
  </si>
  <si>
    <t>DaysOD</t>
  </si>
  <si>
    <t>JumlahAngsuranOD</t>
  </si>
  <si>
    <t>SequenceID</t>
  </si>
  <si>
    <t>CreditPeriod</t>
  </si>
  <si>
    <t>OD1</t>
  </si>
  <si>
    <t>OD2</t>
  </si>
  <si>
    <t>OD3</t>
  </si>
  <si>
    <t>CollectorID</t>
  </si>
  <si>
    <t>CollectorNIK</t>
  </si>
  <si>
    <t>PIC</t>
  </si>
  <si>
    <t>CoordinatorID</t>
  </si>
  <si>
    <t>CoordinatorNIK</t>
  </si>
  <si>
    <t>Coordinator</t>
  </si>
  <si>
    <t>CoordPost</t>
  </si>
  <si>
    <t>HeadID</t>
  </si>
  <si>
    <t>HeadNIK</t>
  </si>
  <si>
    <t>Head</t>
  </si>
  <si>
    <t>HeadPost</t>
  </si>
  <si>
    <t>CHID</t>
  </si>
  <si>
    <t>CHNIK</t>
  </si>
  <si>
    <t>CH</t>
  </si>
  <si>
    <t>CHPost</t>
  </si>
  <si>
    <t>Status</t>
  </si>
  <si>
    <t>InstDue</t>
  </si>
  <si>
    <t>InstDueRp</t>
  </si>
  <si>
    <t>TglTebus</t>
  </si>
  <si>
    <t>TglTarik</t>
  </si>
  <si>
    <t>TglProsesAsr</t>
  </si>
  <si>
    <t>PrevPIC</t>
  </si>
  <si>
    <t>EndDateProcess</t>
  </si>
  <si>
    <t>Unit</t>
  </si>
  <si>
    <t>RunningReportDate</t>
  </si>
  <si>
    <t>DailyCollectibility</t>
  </si>
  <si>
    <t>OvdDaysHarian</t>
  </si>
  <si>
    <t>TglJatuhTempoHarian</t>
  </si>
  <si>
    <t>EAR</t>
  </si>
  <si>
    <t>ARIN</t>
  </si>
  <si>
    <t>FlowUp</t>
  </si>
  <si>
    <t>PaidOff</t>
  </si>
  <si>
    <t>RR</t>
  </si>
  <si>
    <t>InstPaidReal</t>
  </si>
  <si>
    <t>InstPaid</t>
  </si>
  <si>
    <t>InstPaidRealRp</t>
  </si>
  <si>
    <t>InstPaidRp</t>
  </si>
  <si>
    <t>TglTarikHarian</t>
  </si>
  <si>
    <t>Ditarik</t>
  </si>
  <si>
    <t>TglTebusHarian</t>
  </si>
  <si>
    <t>Ditebus</t>
  </si>
  <si>
    <t>TglInvHarian</t>
  </si>
  <si>
    <t>ADP</t>
  </si>
  <si>
    <t>TglProses AsrHarian</t>
  </si>
  <si>
    <t>ProsesAsrHarian</t>
  </si>
  <si>
    <t>TglTerimaKlaim</t>
  </si>
  <si>
    <t>KlaimAsr</t>
  </si>
  <si>
    <t>Period</t>
  </si>
  <si>
    <t>Product</t>
  </si>
  <si>
    <t>Amount_CWO</t>
  </si>
  <si>
    <t>Amount_WO</t>
  </si>
  <si>
    <t>Hari_WO</t>
  </si>
  <si>
    <t>Tanggal_Sukses</t>
  </si>
  <si>
    <t>Keterangan_Sukses</t>
  </si>
  <si>
    <t>Success_Amt</t>
  </si>
  <si>
    <t>BranchName-</t>
  </si>
  <si>
    <t>New Area</t>
  </si>
  <si>
    <t>reportDate</t>
  </si>
  <si>
    <t>DENPASAR</t>
  </si>
  <si>
    <t>1503</t>
  </si>
  <si>
    <t>MOBIL Baru</t>
  </si>
  <si>
    <t>SUZUKI</t>
  </si>
  <si>
    <t>SPRESSO</t>
  </si>
  <si>
    <t>06.151-180</t>
  </si>
  <si>
    <t>03.RO</t>
  </si>
  <si>
    <t>00000000000</t>
  </si>
  <si>
    <t>TIDAK ADA</t>
  </si>
  <si>
    <t>RMC</t>
  </si>
  <si>
    <t>RMH</t>
  </si>
  <si>
    <t>Coll-Head</t>
  </si>
  <si>
    <t>Collectible</t>
  </si>
  <si>
    <t>Coll Harian</t>
  </si>
  <si>
    <t>4W</t>
  </si>
  <si>
    <t>DENPASAR - MBL</t>
  </si>
  <si>
    <t>11. Bali &amp; Nusa Tenggara</t>
  </si>
  <si>
    <t>08123*******</t>
  </si>
  <si>
    <t>CARRY PU 1.5</t>
  </si>
  <si>
    <t>NEW CARRY PU FD</t>
  </si>
  <si>
    <t>SURABAYA</t>
  </si>
  <si>
    <t>1504</t>
  </si>
  <si>
    <t>SIDOARJO</t>
  </si>
  <si>
    <t>08125*******</t>
  </si>
  <si>
    <t>NEW CARRY PU FD AC PS</t>
  </si>
  <si>
    <t>1504ARC001</t>
  </si>
  <si>
    <t>15040000003</t>
  </si>
  <si>
    <t>tidak ada</t>
  </si>
  <si>
    <t>1504CH0001</t>
  </si>
  <si>
    <t>15040000001</t>
  </si>
  <si>
    <t>SURABAYA - MBL</t>
  </si>
  <si>
    <t>05. Jawa Timur</t>
  </si>
  <si>
    <t>15040000</t>
  </si>
  <si>
    <t xml:space="preserve"> Surabaya</t>
  </si>
  <si>
    <t>08135*******</t>
  </si>
  <si>
    <t>147215</t>
  </si>
  <si>
    <t>20060802253</t>
  </si>
  <si>
    <t>ZAINI</t>
  </si>
  <si>
    <t>08133*******</t>
  </si>
  <si>
    <t>GRESIK</t>
  </si>
  <si>
    <t>BANDUNG</t>
  </si>
  <si>
    <t>1505</t>
  </si>
  <si>
    <t>15050000</t>
  </si>
  <si>
    <t>Bandung</t>
  </si>
  <si>
    <t>TDK ADA</t>
  </si>
  <si>
    <t>BANDUNG - MBL</t>
  </si>
  <si>
    <t>03. Jawa Barat</t>
  </si>
  <si>
    <t>15070000</t>
  </si>
  <si>
    <t xml:space="preserve"> Tangerang</t>
  </si>
  <si>
    <t>TANGERANG - MBL</t>
  </si>
  <si>
    <t>01. Jakarta 1</t>
  </si>
  <si>
    <t>08571*******</t>
  </si>
  <si>
    <t>08211*******</t>
  </si>
  <si>
    <t>08131*******</t>
  </si>
  <si>
    <t>08129*******</t>
  </si>
  <si>
    <t>KARAWANG</t>
  </si>
  <si>
    <t>1508</t>
  </si>
  <si>
    <t>SUBANG</t>
  </si>
  <si>
    <t>KARAWANG - MBL</t>
  </si>
  <si>
    <t>YOGYAKARTA</t>
  </si>
  <si>
    <t>1509</t>
  </si>
  <si>
    <t>15090000</t>
  </si>
  <si>
    <t>Yogyakarta</t>
  </si>
  <si>
    <t>YOGYAKARTA - MBL</t>
  </si>
  <si>
    <t>04. Jawa Tengah</t>
  </si>
  <si>
    <t>SEMARANG</t>
  </si>
  <si>
    <t>1510</t>
  </si>
  <si>
    <t>SEMARANG - MBL</t>
  </si>
  <si>
    <t xml:space="preserve"> Bandung</t>
  </si>
  <si>
    <t>MOBIL Bekas</t>
  </si>
  <si>
    <t>15060000</t>
  </si>
  <si>
    <t>NEW CARRY PU WD AC PS</t>
  </si>
  <si>
    <t>00000000001</t>
  </si>
  <si>
    <t>BEKASI - MBL</t>
  </si>
  <si>
    <t>02. Jakarta 2</t>
  </si>
  <si>
    <t>SAMARINDA</t>
  </si>
  <si>
    <t>1511</t>
  </si>
  <si>
    <t>KUTAI BARAT</t>
  </si>
  <si>
    <t>159800</t>
  </si>
  <si>
    <t>20250824331</t>
  </si>
  <si>
    <t>EKO DWANS PUTRA SIANTURI</t>
  </si>
  <si>
    <t>1511ARC001</t>
  </si>
  <si>
    <t>152179</t>
  </si>
  <si>
    <t>20220923433</t>
  </si>
  <si>
    <t>ANDY PRIHADY</t>
  </si>
  <si>
    <t>1511CH0001</t>
  </si>
  <si>
    <t>SAMARINDA - MBL</t>
  </si>
  <si>
    <t>09. Kalimantan</t>
  </si>
  <si>
    <t>15120000</t>
  </si>
  <si>
    <t xml:space="preserve"> Bogor</t>
  </si>
  <si>
    <t>BOGOR - MBL</t>
  </si>
  <si>
    <t>MALANG</t>
  </si>
  <si>
    <t>1513</t>
  </si>
  <si>
    <t>MALANG - MBL</t>
  </si>
  <si>
    <t>KUDUS</t>
  </si>
  <si>
    <t>1515</t>
  </si>
  <si>
    <t>REMBANG</t>
  </si>
  <si>
    <t>ERTIGA</t>
  </si>
  <si>
    <t>KUDUS - MBL</t>
  </si>
  <si>
    <t>08132*******</t>
  </si>
  <si>
    <t>15160000</t>
  </si>
  <si>
    <t>SERANG - MBL</t>
  </si>
  <si>
    <t>PURWOKERTO</t>
  </si>
  <si>
    <t>1517</t>
  </si>
  <si>
    <t>08122*******</t>
  </si>
  <si>
    <t>PURWOKERTO - MBL</t>
  </si>
  <si>
    <t>08121*******</t>
  </si>
  <si>
    <t>CILACAP</t>
  </si>
  <si>
    <t>15170001</t>
  </si>
  <si>
    <t>Cilacap</t>
  </si>
  <si>
    <t>1519</t>
  </si>
  <si>
    <t>MOJOKERTO</t>
  </si>
  <si>
    <t>08786*******</t>
  </si>
  <si>
    <t>GRESIK - MBL</t>
  </si>
  <si>
    <t>TUBAN</t>
  </si>
  <si>
    <t>15190100</t>
  </si>
  <si>
    <t>LAMONGAN</t>
  </si>
  <si>
    <t xml:space="preserve"> Mojokerto</t>
  </si>
  <si>
    <t>05.121-150</t>
  </si>
  <si>
    <t>PEKANBARU</t>
  </si>
  <si>
    <t>1520</t>
  </si>
  <si>
    <t>08228*******</t>
  </si>
  <si>
    <t>PEKANBARU - MBL</t>
  </si>
  <si>
    <t>07. Sumatera Tengah</t>
  </si>
  <si>
    <t>MEDAN</t>
  </si>
  <si>
    <t>1522</t>
  </si>
  <si>
    <t>15220000</t>
  </si>
  <si>
    <t>MEDAN - MBL</t>
  </si>
  <si>
    <t>08. Sumatera Utara</t>
  </si>
  <si>
    <t>TEGAL</t>
  </si>
  <si>
    <t>1524</t>
  </si>
  <si>
    <t>TEGAL - MBL</t>
  </si>
  <si>
    <t>MATARAM</t>
  </si>
  <si>
    <t>1526</t>
  </si>
  <si>
    <t>MATARAM - MBL</t>
  </si>
  <si>
    <t>15260000</t>
  </si>
  <si>
    <t xml:space="preserve"> Mataram</t>
  </si>
  <si>
    <t>REPO SEBELUM WO</t>
  </si>
  <si>
    <t>BALIKPAPAN</t>
  </si>
  <si>
    <t>1529</t>
  </si>
  <si>
    <t>08134*******</t>
  </si>
  <si>
    <t>1529ARC003</t>
  </si>
  <si>
    <t>159772</t>
  </si>
  <si>
    <t>20080905969</t>
  </si>
  <si>
    <t>EDI JUNIANTO</t>
  </si>
  <si>
    <t>1529CH003</t>
  </si>
  <si>
    <t>20171100044</t>
  </si>
  <si>
    <t>BALIKPAPAN - MBL</t>
  </si>
  <si>
    <t>15290001</t>
  </si>
  <si>
    <t>TARAKAN</t>
  </si>
  <si>
    <t>XL7</t>
  </si>
  <si>
    <t>KUPANG</t>
  </si>
  <si>
    <t>1531</t>
  </si>
  <si>
    <t>15310002</t>
  </si>
  <si>
    <t>Kefamenanu</t>
  </si>
  <si>
    <t>1531ARC01</t>
  </si>
  <si>
    <t>1531ARHEAD</t>
  </si>
  <si>
    <t>20111111728</t>
  </si>
  <si>
    <t>DONALD E DALLY</t>
  </si>
  <si>
    <t>1531CH01</t>
  </si>
  <si>
    <t>KUPANG - MBL</t>
  </si>
  <si>
    <t>15310000</t>
  </si>
  <si>
    <t>BANJARMASIN</t>
  </si>
  <si>
    <t>1521</t>
  </si>
  <si>
    <t>1521ARH</t>
  </si>
  <si>
    <t>20120512478</t>
  </si>
  <si>
    <t>20120512492</t>
  </si>
  <si>
    <t>THEO TARULI SIHOTANG</t>
  </si>
  <si>
    <t>1521REC001</t>
  </si>
  <si>
    <t>Tidak ada</t>
  </si>
  <si>
    <t>BANJARMASIN - MBL</t>
  </si>
  <si>
    <t>20220123039</t>
  </si>
  <si>
    <t>MUHAMMAD RIFANI</t>
  </si>
  <si>
    <t>143331</t>
  </si>
  <si>
    <t>BANJAR</t>
  </si>
  <si>
    <t>15210100</t>
  </si>
  <si>
    <t>Medan</t>
  </si>
  <si>
    <t>PADANG</t>
  </si>
  <si>
    <t>1527</t>
  </si>
  <si>
    <t>08536*******</t>
  </si>
  <si>
    <t>PADANG - MBL</t>
  </si>
  <si>
    <t>CIREBON</t>
  </si>
  <si>
    <t>1528</t>
  </si>
  <si>
    <t>CIREBON - MBL</t>
  </si>
  <si>
    <t>PALEMBANG</t>
  </si>
  <si>
    <t>1532</t>
  </si>
  <si>
    <t>15320000</t>
  </si>
  <si>
    <t xml:space="preserve"> Bengkulu</t>
  </si>
  <si>
    <t>08218*******</t>
  </si>
  <si>
    <t>PALEMBANG 3 - MBL</t>
  </si>
  <si>
    <t>06. Sumatera Selatan</t>
  </si>
  <si>
    <t>MANADO</t>
  </si>
  <si>
    <t>1533</t>
  </si>
  <si>
    <t>15330000</t>
  </si>
  <si>
    <t xml:space="preserve"> Manado</t>
  </si>
  <si>
    <t>155499</t>
  </si>
  <si>
    <t>20090707178</t>
  </si>
  <si>
    <t>CALVEIN TUPPA</t>
  </si>
  <si>
    <t>1533ARC001</t>
  </si>
  <si>
    <t>152414</t>
  </si>
  <si>
    <t>1533COH</t>
  </si>
  <si>
    <t>MANADO - MBL</t>
  </si>
  <si>
    <t>10. Sulawesi</t>
  </si>
  <si>
    <t>SOLO</t>
  </si>
  <si>
    <t>1534</t>
  </si>
  <si>
    <t>0</t>
  </si>
  <si>
    <t>SOLO - MBL</t>
  </si>
  <si>
    <t>1535</t>
  </si>
  <si>
    <t>15350000</t>
  </si>
  <si>
    <t xml:space="preserve"> Palembang</t>
  </si>
  <si>
    <t>PALEMBANG 4 - MBL</t>
  </si>
  <si>
    <t>GORONTALO</t>
  </si>
  <si>
    <t>1539</t>
  </si>
  <si>
    <t>GORONTALO - MBL</t>
  </si>
  <si>
    <t>08529*******</t>
  </si>
  <si>
    <t>KENDARI</t>
  </si>
  <si>
    <t>1541</t>
  </si>
  <si>
    <t xml:space="preserve">KENDARI - MBL </t>
  </si>
  <si>
    <t>TERNATE</t>
  </si>
  <si>
    <t>1547</t>
  </si>
  <si>
    <t>TERNATE - MBL</t>
  </si>
  <si>
    <t>BARABAI</t>
  </si>
  <si>
    <t>1550</t>
  </si>
  <si>
    <t>08214*******</t>
  </si>
  <si>
    <t>BARABAI - MBL</t>
  </si>
  <si>
    <t>SAMPIT</t>
  </si>
  <si>
    <t>1552</t>
  </si>
  <si>
    <t>SAMPIT - MBL</t>
  </si>
  <si>
    <t>1001</t>
  </si>
  <si>
    <t>MOTOR Bekas</t>
  </si>
  <si>
    <t>HONDA</t>
  </si>
  <si>
    <t>2W</t>
  </si>
  <si>
    <t>08. Kalselteng</t>
  </si>
  <si>
    <t>1014</t>
  </si>
  <si>
    <t xml:space="preserve"> Solo</t>
  </si>
  <si>
    <t>03. JatengSel</t>
  </si>
  <si>
    <t>1015</t>
  </si>
  <si>
    <t>04. Jatengut</t>
  </si>
  <si>
    <t>1016</t>
  </si>
  <si>
    <t>06. JatimUt</t>
  </si>
  <si>
    <t>1019</t>
  </si>
  <si>
    <t>1040</t>
  </si>
  <si>
    <t>10. SulbagUt</t>
  </si>
  <si>
    <t>PONTIANAK</t>
  </si>
  <si>
    <t>1041</t>
  </si>
  <si>
    <t>SCOOPY</t>
  </si>
  <si>
    <t>07. KalTimBar</t>
  </si>
  <si>
    <t>08534*******</t>
  </si>
  <si>
    <t>YAMAHA</t>
  </si>
  <si>
    <t>08582*******</t>
  </si>
  <si>
    <t>1061</t>
  </si>
  <si>
    <t>08225*******</t>
  </si>
  <si>
    <t>1065</t>
  </si>
  <si>
    <t>KEDOYA - MBL</t>
  </si>
  <si>
    <t>15020000</t>
  </si>
  <si>
    <t xml:space="preserve"> Sunter</t>
  </si>
  <si>
    <t>SUNTER - MBL</t>
  </si>
  <si>
    <t>PU-WC</t>
  </si>
  <si>
    <t>1017</t>
  </si>
  <si>
    <t>05. JatimSel</t>
  </si>
  <si>
    <t>08213*******</t>
  </si>
  <si>
    <t>BOJONEGORO</t>
  </si>
  <si>
    <t xml:space="preserve"> Bojonegoro</t>
  </si>
  <si>
    <t>08138*******</t>
  </si>
  <si>
    <t>15110000</t>
  </si>
  <si>
    <t xml:space="preserve"> Samarinda</t>
  </si>
  <si>
    <t>159021</t>
  </si>
  <si>
    <t>20120912996</t>
  </si>
  <si>
    <t>AGUS TRI ANDIKA</t>
  </si>
  <si>
    <t>Bengkulu</t>
  </si>
  <si>
    <t>KARANGANYAR</t>
  </si>
  <si>
    <t>08137*******</t>
  </si>
  <si>
    <t>BANDAR LAMPUNG</t>
  </si>
  <si>
    <t>1536</t>
  </si>
  <si>
    <t>BANDAR LAMPUNG - MBL</t>
  </si>
  <si>
    <t>PALANGKARAYA</t>
  </si>
  <si>
    <t>1537</t>
  </si>
  <si>
    <t>PALANGKARAYA - MBL</t>
  </si>
  <si>
    <t>PANGKAL PINANG</t>
  </si>
  <si>
    <t>1538</t>
  </si>
  <si>
    <t>PANGKALPINANG - MBL</t>
  </si>
  <si>
    <t>PALU</t>
  </si>
  <si>
    <t>1540</t>
  </si>
  <si>
    <t>15400000</t>
  </si>
  <si>
    <t>PALU - MOBIL</t>
  </si>
  <si>
    <t>XL7 BETA MT</t>
  </si>
  <si>
    <t>1553</t>
  </si>
  <si>
    <t>PONTIANAK - MBL</t>
  </si>
  <si>
    <t>SANGGAU</t>
  </si>
  <si>
    <t>1031</t>
  </si>
  <si>
    <t>PEKALONGAN</t>
  </si>
  <si>
    <t>DataPeriod</t>
  </si>
  <si>
    <t>1523</t>
  </si>
  <si>
    <t>BATAM</t>
  </si>
  <si>
    <t>BATAM - MBL</t>
  </si>
  <si>
    <t xml:space="preserve"> Kupang</t>
  </si>
  <si>
    <t>BEKASI (III) - MBL</t>
  </si>
  <si>
    <t>Performance CWO - WO &amp; Estimasi WO</t>
  </si>
  <si>
    <t>Portfolio</t>
  </si>
  <si>
    <t>DIFF</t>
  </si>
  <si>
    <t xml:space="preserve">CWO </t>
  </si>
  <si>
    <t>WO-In</t>
  </si>
  <si>
    <t>Potensi WO</t>
  </si>
  <si>
    <t xml:space="preserve">Success CWO </t>
  </si>
  <si>
    <t>Est WO</t>
  </si>
  <si>
    <t>Total</t>
  </si>
  <si>
    <t>Keterangan</t>
  </si>
  <si>
    <t>CWO</t>
  </si>
  <si>
    <t>: Account yang akan menjadi WO selama bulan berjalan</t>
  </si>
  <si>
    <t>: Account CWO yang sudah menjadi WO selama bulan berjalan</t>
  </si>
  <si>
    <t>: Account CWO yang akan mejadi WO selama bulan berjalan</t>
  </si>
  <si>
    <t>Success CWO</t>
  </si>
  <si>
    <t>: Account CWO yang berhasil dilakukan penyelesaian sebelum masuk ke WO selama bulan berjalan</t>
  </si>
  <si>
    <t>: Estimasi WO sampai dengan akhir bulan.</t>
  </si>
  <si>
    <t>MONTH</t>
  </si>
  <si>
    <t>Tgl WO-in</t>
  </si>
  <si>
    <t>CWO Amt</t>
  </si>
  <si>
    <t>Success CWO Amt</t>
  </si>
  <si>
    <t>WO-In-Amt</t>
  </si>
  <si>
    <t>Tgl Success</t>
  </si>
  <si>
    <t>Potensi WO-Amt</t>
  </si>
  <si>
    <t>Area--</t>
  </si>
  <si>
    <t>Code</t>
  </si>
  <si>
    <t>New Area_Old</t>
  </si>
  <si>
    <t>BranchName_Old</t>
  </si>
  <si>
    <t>New Area_New</t>
  </si>
  <si>
    <t>BranchName_New</t>
  </si>
  <si>
    <t>00.Not Ovd</t>
  </si>
  <si>
    <t>00.Not OD</t>
  </si>
  <si>
    <t>ARO</t>
  </si>
  <si>
    <t>05. Kalimantan</t>
  </si>
  <si>
    <t>BRANCH</t>
  </si>
  <si>
    <t>01.1-30</t>
  </si>
  <si>
    <t>1002</t>
  </si>
  <si>
    <t>MAKASAR</t>
  </si>
  <si>
    <t>09. SulbagSel</t>
  </si>
  <si>
    <t>06. Sulawesi</t>
  </si>
  <si>
    <t>MAKASSAR</t>
  </si>
  <si>
    <t>02.31-60</t>
  </si>
  <si>
    <t>PSO</t>
  </si>
  <si>
    <t>1003</t>
  </si>
  <si>
    <t>03.61-90</t>
  </si>
  <si>
    <t>1004</t>
  </si>
  <si>
    <t>04.91-120</t>
  </si>
  <si>
    <t>REMOFF</t>
  </si>
  <si>
    <t>1005</t>
  </si>
  <si>
    <t>02. Jabotabek</t>
  </si>
  <si>
    <t>01. Jabodetabekser</t>
  </si>
  <si>
    <t>1006</t>
  </si>
  <si>
    <t>1007</t>
  </si>
  <si>
    <t>KEDIRI</t>
  </si>
  <si>
    <t>04. Jawa Timur</t>
  </si>
  <si>
    <t>07.&gt;180</t>
  </si>
  <si>
    <t>PC</t>
  </si>
  <si>
    <t>1008</t>
  </si>
  <si>
    <t>01. Jabar</t>
  </si>
  <si>
    <t>02. Jawa Barat</t>
  </si>
  <si>
    <t>1009</t>
  </si>
  <si>
    <t>MADIUN</t>
  </si>
  <si>
    <t>DCSM MIX</t>
  </si>
  <si>
    <t>1010</t>
  </si>
  <si>
    <t>13. SumbagUt</t>
  </si>
  <si>
    <t>08. Sumbaguteng</t>
  </si>
  <si>
    <t>1011</t>
  </si>
  <si>
    <t>KELAPA GADING</t>
  </si>
  <si>
    <t>KELAPA GADING / SUNTER</t>
  </si>
  <si>
    <t>1012</t>
  </si>
  <si>
    <t>1013</t>
  </si>
  <si>
    <t>YOGYA</t>
  </si>
  <si>
    <t>03. Jawa Tengah</t>
  </si>
  <si>
    <t>1018</t>
  </si>
  <si>
    <t>1020</t>
  </si>
  <si>
    <t>KLATEN</t>
  </si>
  <si>
    <t>1021</t>
  </si>
  <si>
    <t>1022</t>
  </si>
  <si>
    <t>PEKAN BARU</t>
  </si>
  <si>
    <t>12. SumbagTeng</t>
  </si>
  <si>
    <t>1023</t>
  </si>
  <si>
    <t>1024</t>
  </si>
  <si>
    <t>TASIKMALAYA</t>
  </si>
  <si>
    <t>1025</t>
  </si>
  <si>
    <t>11. SumbagSel</t>
  </si>
  <si>
    <t>07. Sumbagsel</t>
  </si>
  <si>
    <t>PALEMBANG 1-4</t>
  </si>
  <si>
    <t>1026</t>
  </si>
  <si>
    <t>1027</t>
  </si>
  <si>
    <t>KISARAN</t>
  </si>
  <si>
    <t>RANTAU PRAPAT</t>
  </si>
  <si>
    <t>1028</t>
  </si>
  <si>
    <t>TEBING TINGGI</t>
  </si>
  <si>
    <t>PEMATANG SIANTAR</t>
  </si>
  <si>
    <t>1029</t>
  </si>
  <si>
    <t>1030</t>
  </si>
  <si>
    <t>1032</t>
  </si>
  <si>
    <t>1033</t>
  </si>
  <si>
    <t>PURWAKARTA</t>
  </si>
  <si>
    <t>1034</t>
  </si>
  <si>
    <t>1035</t>
  </si>
  <si>
    <t>TULUNGAGUNG</t>
  </si>
  <si>
    <t>BLITAR</t>
  </si>
  <si>
    <t>1036</t>
  </si>
  <si>
    <t>JEMBER</t>
  </si>
  <si>
    <t>BANYUWANGI</t>
  </si>
  <si>
    <t>1037</t>
  </si>
  <si>
    <t>1038</t>
  </si>
  <si>
    <t>1042</t>
  </si>
  <si>
    <t>PALOPO</t>
  </si>
  <si>
    <t>PAREPARE</t>
  </si>
  <si>
    <t>PARE PARE</t>
  </si>
  <si>
    <t>1043</t>
  </si>
  <si>
    <t>1044</t>
  </si>
  <si>
    <t>1045</t>
  </si>
  <si>
    <t>1046</t>
  </si>
  <si>
    <t>BANDA ACEH</t>
  </si>
  <si>
    <t>1047</t>
  </si>
  <si>
    <t>1048</t>
  </si>
  <si>
    <t>LHOKSEUMAWE</t>
  </si>
  <si>
    <t>1049</t>
  </si>
  <si>
    <t>BINJAI</t>
  </si>
  <si>
    <t>1050</t>
  </si>
  <si>
    <t>1051</t>
  </si>
  <si>
    <t>1052</t>
  </si>
  <si>
    <t>1053</t>
  </si>
  <si>
    <t>1054</t>
  </si>
  <si>
    <t>POLEWALI</t>
  </si>
  <si>
    <t>1055</t>
  </si>
  <si>
    <t>BONE</t>
  </si>
  <si>
    <t>1056</t>
  </si>
  <si>
    <t>1057</t>
  </si>
  <si>
    <t>1058</t>
  </si>
  <si>
    <t>SUKABUMI</t>
  </si>
  <si>
    <t>1059</t>
  </si>
  <si>
    <t>BANDUNG 2</t>
  </si>
  <si>
    <t>BANDUNG 2 (CIMAHI)</t>
  </si>
  <si>
    <t>1060</t>
  </si>
  <si>
    <t>1062</t>
  </si>
  <si>
    <t>DURI</t>
  </si>
  <si>
    <t>1063</t>
  </si>
  <si>
    <t>JAMBI</t>
  </si>
  <si>
    <t>1064</t>
  </si>
  <si>
    <t>JAKARTA 3 (FATMAWATI)</t>
  </si>
  <si>
    <t>FATMAWATI</t>
  </si>
  <si>
    <t>1066</t>
  </si>
  <si>
    <t>1067</t>
  </si>
  <si>
    <t>MAGELANG</t>
  </si>
  <si>
    <t>1068</t>
  </si>
  <si>
    <t>1069</t>
  </si>
  <si>
    <t>LUBUK PAKAM</t>
  </si>
  <si>
    <t>1070</t>
  </si>
  <si>
    <t>RENGAT</t>
  </si>
  <si>
    <t>1071</t>
  </si>
  <si>
    <t>1072</t>
  </si>
  <si>
    <t>DCS</t>
  </si>
  <si>
    <t>1073</t>
  </si>
  <si>
    <t>BANJAR BARU</t>
  </si>
  <si>
    <t>DCSM</t>
  </si>
  <si>
    <t>1074</t>
  </si>
  <si>
    <t>14. IBT</t>
  </si>
  <si>
    <t>09. IBT</t>
  </si>
  <si>
    <t>1075</t>
  </si>
  <si>
    <t>1076</t>
  </si>
  <si>
    <t>1077</t>
  </si>
  <si>
    <t>1078</t>
  </si>
  <si>
    <t>1079</t>
  </si>
  <si>
    <t>BENGKULU</t>
  </si>
  <si>
    <t>1080</t>
  </si>
  <si>
    <t>BEKASI 2</t>
  </si>
  <si>
    <t>1082</t>
  </si>
  <si>
    <t>UJUNG BATU (ROKAN HULU)</t>
  </si>
  <si>
    <t>UJUNG BATU</t>
  </si>
  <si>
    <t>1083</t>
  </si>
  <si>
    <t>LUBUK LINGGAU</t>
  </si>
  <si>
    <t>1086</t>
  </si>
  <si>
    <t>MAKASSAR 2</t>
  </si>
  <si>
    <t>1087</t>
  </si>
  <si>
    <t>1088</t>
  </si>
  <si>
    <t>BANDAR JAYA</t>
  </si>
  <si>
    <t>1089</t>
  </si>
  <si>
    <t>1090</t>
  </si>
  <si>
    <t>BUKITTINGGI</t>
  </si>
  <si>
    <t>1094</t>
  </si>
  <si>
    <t>MEDAN 2</t>
  </si>
  <si>
    <t>1095</t>
  </si>
  <si>
    <t>MEDAN 3</t>
  </si>
  <si>
    <t>1301</t>
  </si>
  <si>
    <t>BANJARMASIN Syariah</t>
  </si>
  <si>
    <t>1302</t>
  </si>
  <si>
    <t>MAKASAR Syariah</t>
  </si>
  <si>
    <t>1303</t>
  </si>
  <si>
    <t>BALIKPAPAN Syariah</t>
  </si>
  <si>
    <t>1304</t>
  </si>
  <si>
    <t>SAMARINDA Syariah</t>
  </si>
  <si>
    <t>1305</t>
  </si>
  <si>
    <t>BOGOR Syariah</t>
  </si>
  <si>
    <t>1306</t>
  </si>
  <si>
    <t>BEKASI Syariah</t>
  </si>
  <si>
    <t>1307</t>
  </si>
  <si>
    <t>KEDIRI Syariah</t>
  </si>
  <si>
    <t>1308</t>
  </si>
  <si>
    <t>KARAWANG Syariah</t>
  </si>
  <si>
    <t>1310</t>
  </si>
  <si>
    <t>MEDAN Syariah</t>
  </si>
  <si>
    <t>1311</t>
  </si>
  <si>
    <t>KELAPA GADING Syariah</t>
  </si>
  <si>
    <t>1312</t>
  </si>
  <si>
    <t>BANDUNG Syariah</t>
  </si>
  <si>
    <t>1314</t>
  </si>
  <si>
    <t>SOLO Syariah</t>
  </si>
  <si>
    <t>1315</t>
  </si>
  <si>
    <t>SEMARANG Syariah</t>
  </si>
  <si>
    <t>1316</t>
  </si>
  <si>
    <t>SURABAYA Syariah</t>
  </si>
  <si>
    <t>1317</t>
  </si>
  <si>
    <t>MALANG Syariah</t>
  </si>
  <si>
    <t>1318</t>
  </si>
  <si>
    <t>SIDOARJO Syariah</t>
  </si>
  <si>
    <t>1319</t>
  </si>
  <si>
    <t>GRESIK Syariah</t>
  </si>
  <si>
    <t>1320</t>
  </si>
  <si>
    <t>KLATEN Syariah</t>
  </si>
  <si>
    <t>1322</t>
  </si>
  <si>
    <t>PEKAN BARU Syariah</t>
  </si>
  <si>
    <t>1323</t>
  </si>
  <si>
    <t>PADANG Syariah</t>
  </si>
  <si>
    <t>1324</t>
  </si>
  <si>
    <t>TASIKMALAYA Syariah</t>
  </si>
  <si>
    <t>1325</t>
  </si>
  <si>
    <t>PALEMBANG Syariah</t>
  </si>
  <si>
    <t>1326</t>
  </si>
  <si>
    <t>TANGERANG Syariah</t>
  </si>
  <si>
    <t>1329</t>
  </si>
  <si>
    <t>PEMATANG SIANTAR Syariah</t>
  </si>
  <si>
    <t>1330</t>
  </si>
  <si>
    <t>RANTAU PRAPAT Syariah</t>
  </si>
  <si>
    <t>1331</t>
  </si>
  <si>
    <t>PEKALONGAN Syariah</t>
  </si>
  <si>
    <t>1332</t>
  </si>
  <si>
    <t>CIREBON Syariah</t>
  </si>
  <si>
    <t>1333</t>
  </si>
  <si>
    <t>SUBANG Syariah</t>
  </si>
  <si>
    <t>1334</t>
  </si>
  <si>
    <t>DEPOK Syariah</t>
  </si>
  <si>
    <t>1338</t>
  </si>
  <si>
    <t>BANYUWANGI Syariah</t>
  </si>
  <si>
    <t>1340</t>
  </si>
  <si>
    <t>MANADO Syariah</t>
  </si>
  <si>
    <t>1341</t>
  </si>
  <si>
    <t>PONTIANAK Syariah</t>
  </si>
  <si>
    <t>1343</t>
  </si>
  <si>
    <t>MOJOKERTO Syariah</t>
  </si>
  <si>
    <t>1344</t>
  </si>
  <si>
    <t>KUDUS Syariah</t>
  </si>
  <si>
    <t>1345</t>
  </si>
  <si>
    <t>KEDOYA Syariah</t>
  </si>
  <si>
    <t>1347</t>
  </si>
  <si>
    <t>BATAM Syariah</t>
  </si>
  <si>
    <t>1349</t>
  </si>
  <si>
    <t>BINJAI Syariah</t>
  </si>
  <si>
    <t>1350</t>
  </si>
  <si>
    <t>BOJONEGORO Syariah</t>
  </si>
  <si>
    <t>1351</t>
  </si>
  <si>
    <t>TUBAN Syariah</t>
  </si>
  <si>
    <t>1353</t>
  </si>
  <si>
    <t>GORONTALO Syariah</t>
  </si>
  <si>
    <t>1356</t>
  </si>
  <si>
    <t>SERANG Syariah</t>
  </si>
  <si>
    <t>1357</t>
  </si>
  <si>
    <t>PALANGKARAYA Syariah</t>
  </si>
  <si>
    <t>1359</t>
  </si>
  <si>
    <t>BANDUNG 2 Syariah</t>
  </si>
  <si>
    <t>1360</t>
  </si>
  <si>
    <t>BLITAR Syariah</t>
  </si>
  <si>
    <t>1361</t>
  </si>
  <si>
    <t>BARABAI Syariah</t>
  </si>
  <si>
    <t>1362</t>
  </si>
  <si>
    <t>DURI Syariah</t>
  </si>
  <si>
    <t>1363</t>
  </si>
  <si>
    <t>JAMBI Syariah</t>
  </si>
  <si>
    <t>1364</t>
  </si>
  <si>
    <t>JAKARTA 3 (FATMAWATI) Syariah</t>
  </si>
  <si>
    <t>1365</t>
  </si>
  <si>
    <t>PURWOKERTO Syariah</t>
  </si>
  <si>
    <t>1367</t>
  </si>
  <si>
    <t>MAGELANG Syariah</t>
  </si>
  <si>
    <t>1368</t>
  </si>
  <si>
    <t>PAREPARE Syariah</t>
  </si>
  <si>
    <t>1370</t>
  </si>
  <si>
    <t>RENGAT Syariah</t>
  </si>
  <si>
    <t>1371</t>
  </si>
  <si>
    <t>PURWAKARTA Syariah</t>
  </si>
  <si>
    <t>1372</t>
  </si>
  <si>
    <t>TARAKAN Syariah</t>
  </si>
  <si>
    <t>1373</t>
  </si>
  <si>
    <t>BANJAR BARU Syariah</t>
  </si>
  <si>
    <t>1374</t>
  </si>
  <si>
    <t>DENPASAR Syariah</t>
  </si>
  <si>
    <t>1375</t>
  </si>
  <si>
    <t>BANDAR LAMPUNG Syariah</t>
  </si>
  <si>
    <t>1376</t>
  </si>
  <si>
    <t>PALU Syariah</t>
  </si>
  <si>
    <t>1377</t>
  </si>
  <si>
    <t>REMBANG Syariah</t>
  </si>
  <si>
    <t>1378</t>
  </si>
  <si>
    <t>SANGGAU Syariah</t>
  </si>
  <si>
    <t>1380</t>
  </si>
  <si>
    <t>BEKASI 2 Syariah</t>
  </si>
  <si>
    <t>1382</t>
  </si>
  <si>
    <t>UJUNG BATU (ROKAN HULU) Syariah</t>
  </si>
  <si>
    <t>1386</t>
  </si>
  <si>
    <t>MAKASSAR 2 Syariah</t>
  </si>
  <si>
    <t>1387</t>
  </si>
  <si>
    <t>SAMPIT Syariah</t>
  </si>
  <si>
    <t>1388</t>
  </si>
  <si>
    <t>BANDAR JAYA Syariah</t>
  </si>
  <si>
    <t>1389</t>
  </si>
  <si>
    <t>KUPANG Syariah</t>
  </si>
  <si>
    <t>1390</t>
  </si>
  <si>
    <t>BUKITTINGGI Syariah</t>
  </si>
  <si>
    <t>2000</t>
  </si>
  <si>
    <t>DENPASAR FLEXY</t>
  </si>
  <si>
    <t>1097</t>
  </si>
  <si>
    <t>PALEMBANG 2</t>
  </si>
  <si>
    <t>1096</t>
  </si>
  <si>
    <t>1098</t>
  </si>
  <si>
    <t>PANGKALPINANG 2W</t>
  </si>
  <si>
    <t>PANGKALPINANG</t>
  </si>
  <si>
    <t>1099</t>
  </si>
  <si>
    <t>MANADO 2</t>
  </si>
  <si>
    <t>KEMAYORAN - MBL</t>
  </si>
  <si>
    <t>1514</t>
  </si>
  <si>
    <t>MAKASSAR - MBL</t>
  </si>
  <si>
    <t>FATMAWATI - MBL</t>
  </si>
  <si>
    <t>1525</t>
  </si>
  <si>
    <t>KEDIRI - MBL</t>
  </si>
  <si>
    <t>1542</t>
  </si>
  <si>
    <t>JAMBI - MBL</t>
  </si>
  <si>
    <t>1544</t>
  </si>
  <si>
    <t>PEMATANG SIANTAR - MOBIL</t>
  </si>
  <si>
    <t>1545</t>
  </si>
  <si>
    <t>RANTAU PRAPAT - MOBIL</t>
  </si>
  <si>
    <t>1546</t>
  </si>
  <si>
    <t>BANDAR JAYA - MOBIL</t>
  </si>
  <si>
    <t>1548</t>
  </si>
  <si>
    <t>KEDOYA 2 - MBL</t>
  </si>
  <si>
    <t>1549</t>
  </si>
  <si>
    <t>SURABAYA 3 - MBL</t>
  </si>
  <si>
    <t>1551</t>
  </si>
  <si>
    <t>PAREPARE - MBL</t>
  </si>
  <si>
    <t>1554</t>
  </si>
  <si>
    <t>TASIKMALAYA - MBL</t>
  </si>
  <si>
    <t>1039</t>
  </si>
  <si>
    <t>BAWEN</t>
  </si>
  <si>
    <t>1801</t>
  </si>
  <si>
    <t>OBM - SFI KANTOR PUSAT</t>
  </si>
  <si>
    <t>15. OBM</t>
  </si>
  <si>
    <t>OBM</t>
  </si>
  <si>
    <t>10. OBM</t>
  </si>
  <si>
    <t>HO</t>
  </si>
  <si>
    <t>1802</t>
  </si>
  <si>
    <t>OBM - DENPASAR</t>
  </si>
  <si>
    <t>1803</t>
  </si>
  <si>
    <t>OBM - MANADO</t>
  </si>
  <si>
    <t>1000</t>
  </si>
  <si>
    <t>1804</t>
  </si>
  <si>
    <t>OBM - BALIKPAPAN</t>
  </si>
  <si>
    <t>1806</t>
  </si>
  <si>
    <t>OBM - GORONTALO</t>
  </si>
  <si>
    <t>1805</t>
  </si>
  <si>
    <t>OBM - TERNATE</t>
  </si>
  <si>
    <t>Area</t>
  </si>
  <si>
    <t>Cabang</t>
  </si>
  <si>
    <t>Progress WO Compare Bulan lalu</t>
  </si>
  <si>
    <t>Daily Monitoring WO</t>
  </si>
  <si>
    <t>TOTAL</t>
  </si>
  <si>
    <t>Daily WO-in</t>
  </si>
  <si>
    <t>x 1.000.000</t>
  </si>
  <si>
    <t>Nasional</t>
  </si>
  <si>
    <t>Total CWO</t>
  </si>
  <si>
    <t>Estimasi WO</t>
  </si>
  <si>
    <t>NASIONAL</t>
  </si>
  <si>
    <t>NASIONAL Total</t>
  </si>
  <si>
    <t>01. Jabodetabekser Total</t>
  </si>
  <si>
    <t>02. Jawa Barat Total</t>
  </si>
  <si>
    <t>03. Jawa Tengah Total</t>
  </si>
  <si>
    <t>04. Jawa Timur Total</t>
  </si>
  <si>
    <t>05. Kalimantan Total</t>
  </si>
  <si>
    <t>06. Sulawesi Total</t>
  </si>
  <si>
    <t>07. Sumbagsel Total</t>
  </si>
  <si>
    <t>08. Sumbaguteng Total</t>
  </si>
  <si>
    <t>09. IBT Total</t>
  </si>
  <si>
    <t>BEKASI Total</t>
  </si>
  <si>
    <t>BOGOR Total</t>
  </si>
  <si>
    <t>DEPOK Total</t>
  </si>
  <si>
    <t>DEWI SARTIKA Total</t>
  </si>
  <si>
    <t>KEDOYA Total</t>
  </si>
  <si>
    <t>SERANG Total</t>
  </si>
  <si>
    <t>TANGERANG Total</t>
  </si>
  <si>
    <t>BANDUNG Total</t>
  </si>
  <si>
    <t>CIREBON Total</t>
  </si>
  <si>
    <t>KARAWANG Total</t>
  </si>
  <si>
    <t>KUDUS Total</t>
  </si>
  <si>
    <t>PURWOKERTO Total</t>
  </si>
  <si>
    <t>SEMARANG Total</t>
  </si>
  <si>
    <t>SOLO Total</t>
  </si>
  <si>
    <t>TEGAL Total</t>
  </si>
  <si>
    <t>YOGYAKARTA Total</t>
  </si>
  <si>
    <t>GRESIK Total</t>
  </si>
  <si>
    <t>KEDIRI Total</t>
  </si>
  <si>
    <t>MALANG Total</t>
  </si>
  <si>
    <t>SURABAYA Total</t>
  </si>
  <si>
    <t>BALIKPAPAN Total</t>
  </si>
  <si>
    <t>BANJARMASIN Total</t>
  </si>
  <si>
    <t>PALANGKARAYA Total</t>
  </si>
  <si>
    <t>PONTIANAK Total</t>
  </si>
  <si>
    <t>SAMARINDA Total</t>
  </si>
  <si>
    <t>SAMPIT Total</t>
  </si>
  <si>
    <t>GORONTALO Total</t>
  </si>
  <si>
    <t>KENDARI Total</t>
  </si>
  <si>
    <t>MAKASSAR Total</t>
  </si>
  <si>
    <t>MANADO Total</t>
  </si>
  <si>
    <t>PALU Total</t>
  </si>
  <si>
    <t>TERNATE Total</t>
  </si>
  <si>
    <t>BANDAR LAMPUNG Total</t>
  </si>
  <si>
    <t>JAMBI Total</t>
  </si>
  <si>
    <t>PALEMBANG 1-4 Total</t>
  </si>
  <si>
    <t>PANGKAL PINANG Total</t>
  </si>
  <si>
    <t>BATAM Total</t>
  </si>
  <si>
    <t>MEDAN Total</t>
  </si>
  <si>
    <t>PEKANBARU Total</t>
  </si>
  <si>
    <t>DENPASAR Total</t>
  </si>
  <si>
    <t>KUPANG Total</t>
  </si>
  <si>
    <t>MATARAM Total</t>
  </si>
  <si>
    <t>SUNTER Total</t>
  </si>
  <si>
    <t>PALEMBANG Total</t>
  </si>
  <si>
    <t>Progress Performance Cwo Flow ke WO</t>
  </si>
  <si>
    <t xml:space="preserve"> WO In</t>
  </si>
  <si>
    <t>Prediksi WO</t>
  </si>
  <si>
    <t>Sukses CWO</t>
  </si>
  <si>
    <t>Sukses WO</t>
  </si>
  <si>
    <t>% Sukses Cwo</t>
  </si>
  <si>
    <t>% Flow ke WO</t>
  </si>
  <si>
    <t>Summary Performance Cwo Flow ke WO 4W &amp; 2W</t>
  </si>
  <si>
    <t>All Wheel</t>
  </si>
  <si>
    <t>Amount CWO</t>
  </si>
  <si>
    <t>Sukses Sebelum WO</t>
  </si>
  <si>
    <t>Wo In</t>
  </si>
  <si>
    <t>Tanggal_Sukses-new</t>
  </si>
  <si>
    <t>Keterangan_Sukses-new</t>
  </si>
  <si>
    <t>Potensi WO-IN</t>
  </si>
  <si>
    <t>Total WO-IN</t>
  </si>
  <si>
    <t>Cek Result</t>
  </si>
  <si>
    <t>Periode</t>
  </si>
  <si>
    <t>08588*******</t>
  </si>
  <si>
    <t>1532C20230200036</t>
  </si>
  <si>
    <t>1532230000030</t>
  </si>
  <si>
    <t>JUMINI</t>
  </si>
  <si>
    <t>DUSUN 1 RT 02 RW 00 Kel.BUKIT HARAPAN Kec. PINANG RAYA Kota KAB BENGKULU UTARA 38362</t>
  </si>
  <si>
    <t>38362</t>
  </si>
  <si>
    <t>BUKIT HARAPAN</t>
  </si>
  <si>
    <t>PINANG RAYA</t>
  </si>
  <si>
    <t>KAB BENGKULU UTARA</t>
  </si>
  <si>
    <t>MHYHDC61TPJ214338</t>
  </si>
  <si>
    <t>K15BT1500087</t>
  </si>
  <si>
    <t>BD 9674 DF</t>
  </si>
  <si>
    <t>15420000</t>
  </si>
  <si>
    <t>Jambi</t>
  </si>
  <si>
    <t>1542REM051</t>
  </si>
  <si>
    <t>20240724046</t>
  </si>
  <si>
    <t>AGUS PARTY SIMANJUNTAK</t>
  </si>
  <si>
    <t>1542RCC001</t>
  </si>
  <si>
    <t>142737</t>
  </si>
  <si>
    <t>20140315888</t>
  </si>
  <si>
    <t>JUNVICI TERIK LUMBAN GAOL</t>
  </si>
  <si>
    <t>1542CLH002</t>
  </si>
  <si>
    <t xml:space="preserve"> Palu</t>
  </si>
  <si>
    <t>08526*******</t>
  </si>
  <si>
    <t>MALAKA</t>
  </si>
  <si>
    <t>08234*******</t>
  </si>
  <si>
    <t>17530</t>
  </si>
  <si>
    <t>08579*******</t>
  </si>
  <si>
    <t>108824</t>
  </si>
  <si>
    <t>1001CH001</t>
  </si>
  <si>
    <t>15010000</t>
  </si>
  <si>
    <t xml:space="preserve"> Kedoya</t>
  </si>
  <si>
    <t>SUKAJADI</t>
  </si>
  <si>
    <t xml:space="preserve"> Bekasi</t>
  </si>
  <si>
    <t>KUTAI TIMUR</t>
  </si>
  <si>
    <t>15280000</t>
  </si>
  <si>
    <t>15180000</t>
  </si>
  <si>
    <t>DEWI SARTIKA - MBL</t>
  </si>
  <si>
    <t>15190000</t>
  </si>
  <si>
    <t>1519ARC003</t>
  </si>
  <si>
    <t>146729</t>
  </si>
  <si>
    <t>20070102874</t>
  </si>
  <si>
    <t>SUSANTO GRESIK</t>
  </si>
  <si>
    <t>160042</t>
  </si>
  <si>
    <t>20130914748</t>
  </si>
  <si>
    <t>ADHITYA HEINZ PERMANA</t>
  </si>
  <si>
    <t>159872</t>
  </si>
  <si>
    <t>20250824340</t>
  </si>
  <si>
    <t>JIHAD KEYMAS LAKUY</t>
  </si>
  <si>
    <t>08533*******</t>
  </si>
  <si>
    <t>1531REM59</t>
  </si>
  <si>
    <t>20230923758</t>
  </si>
  <si>
    <t>NOVENTIO CORNEL LUDJI</t>
  </si>
  <si>
    <t>15110002</t>
  </si>
  <si>
    <t>Sangatta</t>
  </si>
  <si>
    <t>15100000</t>
  </si>
  <si>
    <t xml:space="preserve"> Semarang</t>
  </si>
  <si>
    <t>08221*******</t>
  </si>
  <si>
    <t>ALL NEW ERTIGA GL DB M/T</t>
  </si>
  <si>
    <t>15030000</t>
  </si>
  <si>
    <t xml:space="preserve"> Denpasar</t>
  </si>
  <si>
    <t>BEKASI UTARA</t>
  </si>
  <si>
    <t>159873</t>
  </si>
  <si>
    <t>1001ARC099</t>
  </si>
  <si>
    <t>20202020202</t>
  </si>
  <si>
    <t>08237*******</t>
  </si>
  <si>
    <t>15360000</t>
  </si>
  <si>
    <t xml:space="preserve"> Bandar Lampung</t>
  </si>
  <si>
    <t xml:space="preserve"> Gorontalo </t>
  </si>
  <si>
    <t>1539ARC001</t>
  </si>
  <si>
    <t>156711</t>
  </si>
  <si>
    <t>20240624040</t>
  </si>
  <si>
    <t>DEFRIN ALI MAHADJANI</t>
  </si>
  <si>
    <t>15390006</t>
  </si>
  <si>
    <t>1552C20220700073</t>
  </si>
  <si>
    <t>1552220000190</t>
  </si>
  <si>
    <t>MATBEDREH</t>
  </si>
  <si>
    <t>JL. DURIAN RT 007 RW 000 Kel.BATU BELAMAN Kec. KUMAI Kota KOTAWARINGIN BARAT 74181</t>
  </si>
  <si>
    <t>74181</t>
  </si>
  <si>
    <t>BATU BELAMAN</t>
  </si>
  <si>
    <t>KUMAI</t>
  </si>
  <si>
    <t>KOTAWARINGIN BARAT</t>
  </si>
  <si>
    <t>15520100</t>
  </si>
  <si>
    <t>Pangkalan Bun</t>
  </si>
  <si>
    <t>5467****</t>
  </si>
  <si>
    <t>08565*******</t>
  </si>
  <si>
    <t>MHYANC22SNJ104170</t>
  </si>
  <si>
    <t>K15BT1378687</t>
  </si>
  <si>
    <t>KH 1447 GV</t>
  </si>
  <si>
    <t>15430000</t>
  </si>
  <si>
    <t>15390000</t>
  </si>
  <si>
    <t>08217*******</t>
  </si>
  <si>
    <t>1535C20220500089</t>
  </si>
  <si>
    <t>1535220000101</t>
  </si>
  <si>
    <t>MUHAMMAD NUR ALI SUYITNO</t>
  </si>
  <si>
    <t>SUKAJADI RT 012 RW 004 Kel.SUKAJADI Kec. LALAN (SUNGAI LALAN) Kota MUSI BANYUASIN 30758</t>
  </si>
  <si>
    <t>30758</t>
  </si>
  <si>
    <t>LALAN (SUNGAI LALAN)</t>
  </si>
  <si>
    <t>MUSI BANYUASIN</t>
  </si>
  <si>
    <t>MHYHDC61TNJ229892</t>
  </si>
  <si>
    <t>K15BT1396281</t>
  </si>
  <si>
    <t>BG 8578 BO</t>
  </si>
  <si>
    <t>159607</t>
  </si>
  <si>
    <t>20250824320</t>
  </si>
  <si>
    <t>REGIAN AKBAR DEFADA</t>
  </si>
  <si>
    <t>1535ARC003</t>
  </si>
  <si>
    <t>156976</t>
  </si>
  <si>
    <t>20151018274</t>
  </si>
  <si>
    <t>SANDY EIGH CRISTIAN HUTAGALUNG</t>
  </si>
  <si>
    <t>1535COH001</t>
  </si>
  <si>
    <t>MINAHASA</t>
  </si>
  <si>
    <t>1533C20210900013</t>
  </si>
  <si>
    <t>1533210000165</t>
  </si>
  <si>
    <t>ALDY FENGLY KEREH</t>
  </si>
  <si>
    <t>JAGA III DESA KOPI WANGKER KEC LANGOWAN BARAT KAB MINAHASA RT 000 RW 000 Kel.KOPIWANGKER Kec. LANGOWAN BARAT Kota MINAHASA 95694</t>
  </si>
  <si>
    <t>95694</t>
  </si>
  <si>
    <t>KOPIWANGKER</t>
  </si>
  <si>
    <t>LANGOWAN BARAT</t>
  </si>
  <si>
    <t>Manado</t>
  </si>
  <si>
    <t>MHYHDC61TMJ237156</t>
  </si>
  <si>
    <t>K15BT1293974</t>
  </si>
  <si>
    <t>DB 8728 BL</t>
  </si>
  <si>
    <t>15310101</t>
  </si>
  <si>
    <t>1531C20230700153</t>
  </si>
  <si>
    <t>1531230000230</t>
  </si>
  <si>
    <t>KRISTIAN DAVID</t>
  </si>
  <si>
    <t>PARITI RT 017 RW 009 Kel.PARITI Kec. SULAMU Kota KUPANG 85368</t>
  </si>
  <si>
    <t>85368</t>
  </si>
  <si>
    <t>PARITI</t>
  </si>
  <si>
    <t>SULAMU</t>
  </si>
  <si>
    <t>MHYHDC61TPJ215633</t>
  </si>
  <si>
    <t>K15BT1503516</t>
  </si>
  <si>
    <t>DH8853BH</t>
  </si>
  <si>
    <t>08177*******</t>
  </si>
  <si>
    <t>00*</t>
  </si>
  <si>
    <t>NEW XL7 BETA AT HYBRID</t>
  </si>
  <si>
    <t>Gresik</t>
  </si>
  <si>
    <t>146755</t>
  </si>
  <si>
    <t>20130514256</t>
  </si>
  <si>
    <t>NUR HIDAYATULLAH</t>
  </si>
  <si>
    <t>BANJARSARI</t>
  </si>
  <si>
    <t>KUTAI KARTANEGARA</t>
  </si>
  <si>
    <t>1511C20220300002</t>
  </si>
  <si>
    <t>1511220000032</t>
  </si>
  <si>
    <t>MARGARETHA LUNAU DAVID</t>
  </si>
  <si>
    <t>JL MERBABU GG SEMANGAT NO 76 B RT 017 RW 000 Kel.JAWA Kec. SAMARINDA ULU Kota SAMARINDA 75122</t>
  </si>
  <si>
    <t>75122</t>
  </si>
  <si>
    <t>JAWA</t>
  </si>
  <si>
    <t>SAMARINDA ULU</t>
  </si>
  <si>
    <t>MHYHDC61TNJ211811</t>
  </si>
  <si>
    <t>K15BT1357745</t>
  </si>
  <si>
    <t>KT 8419 NS</t>
  </si>
  <si>
    <t xml:space="preserve"> Yogyakarta</t>
  </si>
  <si>
    <t>1509C20230300088</t>
  </si>
  <si>
    <t>1509230000072</t>
  </si>
  <si>
    <t>EFA RAHAYU</t>
  </si>
  <si>
    <t>DUSUN GLAPANSARI  RT 005 RW 002 Kel.GLAPANSARI Kec. PARAKAN Kota TEMANGGUNG 56254</t>
  </si>
  <si>
    <t>56254</t>
  </si>
  <si>
    <t>GLAPANSARI</t>
  </si>
  <si>
    <t>PARAKAN</t>
  </si>
  <si>
    <t>TEMANGGUNG</t>
  </si>
  <si>
    <t>1430****</t>
  </si>
  <si>
    <t>08231*******</t>
  </si>
  <si>
    <t>MHYHDC61TPJ214750</t>
  </si>
  <si>
    <t>K15BT1501816</t>
  </si>
  <si>
    <t>AA 9465 EE</t>
  </si>
  <si>
    <t>TARUMAJAYA</t>
  </si>
  <si>
    <t>Bekasi</t>
  </si>
  <si>
    <t>08386*******</t>
  </si>
  <si>
    <t>158891</t>
  </si>
  <si>
    <t>20220123008</t>
  </si>
  <si>
    <t>RANDY PANJI PRASETYO</t>
  </si>
  <si>
    <t>JAKARTA TIMUR</t>
  </si>
  <si>
    <t>1750****</t>
  </si>
  <si>
    <t>08128******</t>
  </si>
  <si>
    <t>15520</t>
  </si>
  <si>
    <t>10190200</t>
  </si>
  <si>
    <t>146766</t>
  </si>
  <si>
    <t>20121213331</t>
  </si>
  <si>
    <t>INDRA RATNA WIDARTA</t>
  </si>
  <si>
    <t>1019COH002</t>
  </si>
  <si>
    <t>146783</t>
  </si>
  <si>
    <t>20160318663</t>
  </si>
  <si>
    <t>ALFONSIUS ROMANUS PAJU</t>
  </si>
  <si>
    <t>1016C20230200076</t>
  </si>
  <si>
    <t>1016230000069</t>
  </si>
  <si>
    <t xml:space="preserve">ELIF SILFIATUL CHOMARIYAH </t>
  </si>
  <si>
    <t>KLAGEN RT 001 RW 001 Kel.WILAYUT Kec. SUKODONO Kota SIDOARJO 61258</t>
  </si>
  <si>
    <t>61258</t>
  </si>
  <si>
    <t>WILAYUT</t>
  </si>
  <si>
    <t>SUKODONO</t>
  </si>
  <si>
    <t>10160200</t>
  </si>
  <si>
    <t xml:space="preserve"> Sidoarjo</t>
  </si>
  <si>
    <t>N-MAX</t>
  </si>
  <si>
    <t>N MAX 155</t>
  </si>
  <si>
    <t>MH3SG3192MK036490</t>
  </si>
  <si>
    <t>G3E4E2100937</t>
  </si>
  <si>
    <t>W 2608 NBK</t>
  </si>
  <si>
    <t>145009</t>
  </si>
  <si>
    <t>20130714589</t>
  </si>
  <si>
    <t>MOHAMMAD NURKASAN</t>
  </si>
  <si>
    <t>1016ARC011</t>
  </si>
  <si>
    <t>146237</t>
  </si>
  <si>
    <t>20121213340</t>
  </si>
  <si>
    <t>IWAN TRIGIANTO</t>
  </si>
  <si>
    <t>1016COH</t>
  </si>
  <si>
    <t>10010100</t>
  </si>
  <si>
    <t xml:space="preserve"> Banjarbaru</t>
  </si>
  <si>
    <t>JAKARTA UTARA</t>
  </si>
  <si>
    <t>152915</t>
  </si>
  <si>
    <t>20171120267</t>
  </si>
  <si>
    <t>YUSUF ARIAWAN</t>
  </si>
  <si>
    <t>1502ARC005</t>
  </si>
  <si>
    <t>150271</t>
  </si>
  <si>
    <t>15040200</t>
  </si>
  <si>
    <t>154500</t>
  </si>
  <si>
    <t>20130614318</t>
  </si>
  <si>
    <t>ADITYA GRAKSA WIRAYAWAN</t>
  </si>
  <si>
    <t>156093</t>
  </si>
  <si>
    <t>159994</t>
  </si>
  <si>
    <t>20080705632</t>
  </si>
  <si>
    <t>ZULFAHMI</t>
  </si>
  <si>
    <t>1505ARC01</t>
  </si>
  <si>
    <t>20100003214</t>
  </si>
  <si>
    <t>145099</t>
  </si>
  <si>
    <t>.</t>
  </si>
  <si>
    <t>1505C20230800071</t>
  </si>
  <si>
    <t>1505230000221</t>
  </si>
  <si>
    <t>SOLEHUDIN</t>
  </si>
  <si>
    <t>JL.BUDHI CILEMBER GG.BUDHI 2 NO.3 RT 003 RW 003 Kel.SUKARAJA Kec. CICENDO Kota BANDUNG 40175</t>
  </si>
  <si>
    <t>40175</t>
  </si>
  <si>
    <t>SUKARAJA</t>
  </si>
  <si>
    <t>CICENDO</t>
  </si>
  <si>
    <t>9568****</t>
  </si>
  <si>
    <t>MHYHDC61TPJ225707</t>
  </si>
  <si>
    <t>K15BT1527115</t>
  </si>
  <si>
    <t>D 8262 FU</t>
  </si>
  <si>
    <t>15810</t>
  </si>
  <si>
    <t>08235*******</t>
  </si>
  <si>
    <t xml:space="preserve"> Malang</t>
  </si>
  <si>
    <t>151698</t>
  </si>
  <si>
    <t>20220823391</t>
  </si>
  <si>
    <t>ANJAR PRATAMA FILLASYAH PUTRA</t>
  </si>
  <si>
    <t>08229*******</t>
  </si>
  <si>
    <t>08127*******</t>
  </si>
  <si>
    <t>156951</t>
  </si>
  <si>
    <t>70714</t>
  </si>
  <si>
    <t>BANJARBARU</t>
  </si>
  <si>
    <t>SPRESSO AGS</t>
  </si>
  <si>
    <t xml:space="preserve"> Cirebon</t>
  </si>
  <si>
    <t>160007</t>
  </si>
  <si>
    <t>20251024356</t>
  </si>
  <si>
    <t>SUPRIYANTO</t>
  </si>
  <si>
    <t>159154</t>
  </si>
  <si>
    <t>20250424231</t>
  </si>
  <si>
    <t>ALEX SANDRA</t>
  </si>
  <si>
    <t>15290000</t>
  </si>
  <si>
    <t>Balikpapan</t>
  </si>
  <si>
    <t>155171</t>
  </si>
  <si>
    <t>20190822175</t>
  </si>
  <si>
    <t>ACHMAD RUSLI ST</t>
  </si>
  <si>
    <t>148436</t>
  </si>
  <si>
    <t>20060802192</t>
  </si>
  <si>
    <t>JONI SUSONO</t>
  </si>
  <si>
    <t xml:space="preserve"> Balikpapan</t>
  </si>
  <si>
    <t>1542C20200100032</t>
  </si>
  <si>
    <t>1542200000071</t>
  </si>
  <si>
    <t>PT JAMBI PRODUKSI MEDIA</t>
  </si>
  <si>
    <t>JL.KAPTEN PATTIMURA RT 034 RW 000 Kel.KENALI BESAR Kec. KOTA BARU Kota JAMBI 36129</t>
  </si>
  <si>
    <t>36129</t>
  </si>
  <si>
    <t>KENALI BESAR</t>
  </si>
  <si>
    <t>KOTA BARU</t>
  </si>
  <si>
    <t>667***</t>
  </si>
  <si>
    <t>ALL NEW ERTIGA SS MT</t>
  </si>
  <si>
    <t>MHYANC22SKJ124539</t>
  </si>
  <si>
    <t>K15BT1125948</t>
  </si>
  <si>
    <t>BH 1883 NR</t>
  </si>
  <si>
    <t xml:space="preserve"> Jambi</t>
  </si>
  <si>
    <t>Depok</t>
  </si>
  <si>
    <t>1529C20230100053</t>
  </si>
  <si>
    <t>1529230000019</t>
  </si>
  <si>
    <t>PARIS</t>
  </si>
  <si>
    <t>JL. PADAT KARYA  RT 003 RW 001 Kel.Sebidai Kec. Sesayap Kota Kab. Tana Tidung 77152</t>
  </si>
  <si>
    <t>77152</t>
  </si>
  <si>
    <t>Sebidai</t>
  </si>
  <si>
    <t>Sesayap</t>
  </si>
  <si>
    <t>Kab. Tana Tidung</t>
  </si>
  <si>
    <t>15290005</t>
  </si>
  <si>
    <t xml:space="preserve">Bulungan </t>
  </si>
  <si>
    <t>5120****</t>
  </si>
  <si>
    <t>MHYHDC61TNJ264912</t>
  </si>
  <si>
    <t>K15BT1482440</t>
  </si>
  <si>
    <t>KU 8155 HB</t>
  </si>
  <si>
    <t>1529C20231100053</t>
  </si>
  <si>
    <t>1529230000402</t>
  </si>
  <si>
    <t>MUHAMMAD LUKMAN</t>
  </si>
  <si>
    <t>JL. SLAMET RIYADI  RT 005 RW 003 Kel.TIDENG PALE Kec. SESAYAP Kota TANA TIDUNG 77152</t>
  </si>
  <si>
    <t>TIDENG PALE</t>
  </si>
  <si>
    <t>SESAYAP</t>
  </si>
  <si>
    <t>TANA TIDUNG</t>
  </si>
  <si>
    <t>Bulungan</t>
  </si>
  <si>
    <t>5011****</t>
  </si>
  <si>
    <t>MHYHDC61TPJ213438</t>
  </si>
  <si>
    <t>K15BT1498478</t>
  </si>
  <si>
    <t>KU 8218 HB</t>
  </si>
  <si>
    <t>1529C20250500042</t>
  </si>
  <si>
    <t>1529250000108</t>
  </si>
  <si>
    <t>SYAHRIL HADI SAPUTRA</t>
  </si>
  <si>
    <t>SEBAKUNG RT 001 RW 000 Kel.SEBAKUNG Kec. LONG KALI Kota PASER 76283</t>
  </si>
  <si>
    <t>76283</t>
  </si>
  <si>
    <t>SEBAKUNG</t>
  </si>
  <si>
    <t>LONG KALI</t>
  </si>
  <si>
    <t>PASER</t>
  </si>
  <si>
    <t>8777****</t>
  </si>
  <si>
    <t>08538*******</t>
  </si>
  <si>
    <t>MHYHDC61TRJ271397</t>
  </si>
  <si>
    <t>K15BT1653631</t>
  </si>
  <si>
    <t>KT 8019 ET</t>
  </si>
  <si>
    <t>1529C20220300068</t>
  </si>
  <si>
    <t>1529220000081</t>
  </si>
  <si>
    <t>JAELANI</t>
  </si>
  <si>
    <t>JL. MARITAM KELUBIR RT 008 RW 003 Kel.KELUBIR Kec. TANJUNG PALAS UTARA Kota BULUNGAN 77253</t>
  </si>
  <si>
    <t>77253</t>
  </si>
  <si>
    <t>KELUBIR</t>
  </si>
  <si>
    <t>TANJUNG PALAS UTARA</t>
  </si>
  <si>
    <t>BULUNGAN</t>
  </si>
  <si>
    <t>4733****</t>
  </si>
  <si>
    <t>MHYHDC61TNJ219900</t>
  </si>
  <si>
    <t>K15BT1374664</t>
  </si>
  <si>
    <t>KU 8605 AC</t>
  </si>
  <si>
    <t>160004</t>
  </si>
  <si>
    <t>20250524282</t>
  </si>
  <si>
    <t>REZKI SUCI</t>
  </si>
  <si>
    <t>1529C20220100004</t>
  </si>
  <si>
    <t>1529220000002</t>
  </si>
  <si>
    <t>ISMAIL</t>
  </si>
  <si>
    <t>JL. SAMBU KPAD GN. TEKHNIK NO. 09  RT 006 RW 000 Kel.PRAPATAN Kec. BALIKPAPAN SELATAN Kota BALIKPAPAN 76111</t>
  </si>
  <si>
    <t>76111</t>
  </si>
  <si>
    <t>PRAPATAN</t>
  </si>
  <si>
    <t>BALIKPAPAN SELATAN</t>
  </si>
  <si>
    <t>5415****</t>
  </si>
  <si>
    <t>MHYHDC61TMJ258287</t>
  </si>
  <si>
    <t>K15BT1345452</t>
  </si>
  <si>
    <t>KT 8149 YT</t>
  </si>
  <si>
    <t>1529C20211000099</t>
  </si>
  <si>
    <t>1529210000251</t>
  </si>
  <si>
    <t>MUHAMMAD DEDY S E</t>
  </si>
  <si>
    <t>JL. RAMANIA NO. 64 RT 029 RW 010 Kel.TANJUNG SELOR HILIR Kec. TANJUNG SELOR Kota BULUNGAN 77212</t>
  </si>
  <si>
    <t>77212</t>
  </si>
  <si>
    <t>TANJUNG SELOR HILIR</t>
  </si>
  <si>
    <t>TANJUNG SELOR</t>
  </si>
  <si>
    <t>5340****</t>
  </si>
  <si>
    <t>XL7 ALPHA MT</t>
  </si>
  <si>
    <t>MHYANC22SMJ119163</t>
  </si>
  <si>
    <t>K15BT1322732</t>
  </si>
  <si>
    <t>KU 1276 AE</t>
  </si>
  <si>
    <t>1528C20241100046</t>
  </si>
  <si>
    <t>1528240000102</t>
  </si>
  <si>
    <t>IMRON PARIS</t>
  </si>
  <si>
    <t>DUSUN II RT 003 RW 003 Kel.BENDUNGAN Kec. PANGENAN Kota CIREBON 45182</t>
  </si>
  <si>
    <t>45182</t>
  </si>
  <si>
    <t>BENDUNGAN</t>
  </si>
  <si>
    <t>PANGENAN</t>
  </si>
  <si>
    <t>089542*******</t>
  </si>
  <si>
    <t>MHYHDC61TRJ225786</t>
  </si>
  <si>
    <t>K15BT1630254</t>
  </si>
  <si>
    <t>E8506MK</t>
  </si>
  <si>
    <t>1526C20241100119</t>
  </si>
  <si>
    <t>1526240000433</t>
  </si>
  <si>
    <t>HASAN</t>
  </si>
  <si>
    <t>BOROK RT 000 RW 000 Kel.Borok Toyang Kec. Sakra Barat Kota Kab. Lombok Timur 83671</t>
  </si>
  <si>
    <t>83671</t>
  </si>
  <si>
    <t>Borok Toyang</t>
  </si>
  <si>
    <t>Sakra Barat</t>
  </si>
  <si>
    <t>Kab. Lombok Timur</t>
  </si>
  <si>
    <t>MHYHDC61TRJ228606</t>
  </si>
  <si>
    <t>K15BT1636725</t>
  </si>
  <si>
    <t>DR 8031 LM</t>
  </si>
  <si>
    <t>1522C20240100022</t>
  </si>
  <si>
    <t>1522240000006</t>
  </si>
  <si>
    <t>ABD MUTHALIB LUBIS</t>
  </si>
  <si>
    <t>JL KEBUN SAYUR NO 171 LK VI RT 000 RW 000 Kel.KOTA BANGUN Kec. MEDAN DELI Kota MEDAN 20243</t>
  </si>
  <si>
    <t>20243</t>
  </si>
  <si>
    <t>KOTA BANGUN</t>
  </si>
  <si>
    <t>MEDAN DELI</t>
  </si>
  <si>
    <t>08537*******</t>
  </si>
  <si>
    <t>MHYHDC61TPJ242313</t>
  </si>
  <si>
    <t>K15BT1563397</t>
  </si>
  <si>
    <t>BK 8955 GI</t>
  </si>
  <si>
    <t>1521C20250700019</t>
  </si>
  <si>
    <t>1521250000057</t>
  </si>
  <si>
    <t>MOCHAMMAD IMAM RIFA I</t>
  </si>
  <si>
    <t>JL. BATU PIRING RT 004 RW 004 Kel.LOKTABAT SELATAN Kec. BANJARBARU SELATAN Kota BANJARBARU 70714</t>
  </si>
  <si>
    <t>LOKTABAT SELATAN</t>
  </si>
  <si>
    <t>BANJARBARU SELATAN</t>
  </si>
  <si>
    <t>NEW XL7 ZETA AT</t>
  </si>
  <si>
    <t>MHYANC22SSJ101514</t>
  </si>
  <si>
    <t>K15BT1678499</t>
  </si>
  <si>
    <t>DA 1205 WP</t>
  </si>
  <si>
    <t>1521C20221000068</t>
  </si>
  <si>
    <t>1521220000354</t>
  </si>
  <si>
    <t>APDALI</t>
  </si>
  <si>
    <t>JL. A YAN IKM 74 KOMPLEK PERMATA BUNDA JL.YAKUT NO18A RT 018 RW 000 Kel.KERTAKHANYAR II Kec. KERTAK HANYAR Kota BANJAR 70654</t>
  </si>
  <si>
    <t>70654</t>
  </si>
  <si>
    <t>KERTAKHANYAR II</t>
  </si>
  <si>
    <t>KERTAK HANYAR</t>
  </si>
  <si>
    <t>MHYHDC61TNJ241829</t>
  </si>
  <si>
    <t>K15BT1422173</t>
  </si>
  <si>
    <t>DA 8865 BZ</t>
  </si>
  <si>
    <t>1520C20240600056</t>
  </si>
  <si>
    <t>1520240000191</t>
  </si>
  <si>
    <t>REFLITA</t>
  </si>
  <si>
    <t>JL LINTAS TIMUR UKUI RT 003 RW 003 Kel.UKUI I (SATU) Kec. UKUI Kota PELALAWAN 28382</t>
  </si>
  <si>
    <t>28382</t>
  </si>
  <si>
    <t>UKUI I (SATU)</t>
  </si>
  <si>
    <t>UKUI</t>
  </si>
  <si>
    <t>PELALAWAN</t>
  </si>
  <si>
    <t>15200004</t>
  </si>
  <si>
    <t>Kerinci</t>
  </si>
  <si>
    <t>NEW XL7 ZETA MT</t>
  </si>
  <si>
    <t>MHYANC22SRJ101888</t>
  </si>
  <si>
    <t>K15BT1610917</t>
  </si>
  <si>
    <t>BM 1314 II</t>
  </si>
  <si>
    <t>1520C20240300017</t>
  </si>
  <si>
    <t>1520240000067</t>
  </si>
  <si>
    <t>JARUNI</t>
  </si>
  <si>
    <t>JL. MAHA RAJA SRI WANGSA GG BUNTU RT 010 RW 007 Kel.PERAWANG Kec. TUALANG Kota SIAK 28772</t>
  </si>
  <si>
    <t>28772</t>
  </si>
  <si>
    <t>PERAWANG</t>
  </si>
  <si>
    <t>TUALANG</t>
  </si>
  <si>
    <t>SIAK</t>
  </si>
  <si>
    <t>08227*******</t>
  </si>
  <si>
    <t>MHYHDC61TPJ245146</t>
  </si>
  <si>
    <t>K15BT1569712</t>
  </si>
  <si>
    <t>BM 8865 SJ</t>
  </si>
  <si>
    <t>1519C20250300043</t>
  </si>
  <si>
    <t>1519250000035</t>
  </si>
  <si>
    <t>MUHAMAD NASRUL TANTOWI</t>
  </si>
  <si>
    <t xml:space="preserve"> JL FIRDAUS BLOK A NO 14 RT 004 RW 010 Kel.BANJARSARI Kec. MANYAR Kota GRESIK 61151</t>
  </si>
  <si>
    <t>61151</t>
  </si>
  <si>
    <t>MANYAR</t>
  </si>
  <si>
    <t xml:space="preserve"> Gresik</t>
  </si>
  <si>
    <t>ALL NEW ERTIGA GL MC AT</t>
  </si>
  <si>
    <t>MHYANC22SSJ100238</t>
  </si>
  <si>
    <t>K15BT1668661</t>
  </si>
  <si>
    <t>S 1632 CF</t>
  </si>
  <si>
    <t>146736</t>
  </si>
  <si>
    <t>20100108296</t>
  </si>
  <si>
    <t>ERIEK KRISTANTO</t>
  </si>
  <si>
    <t>1519C20240800008</t>
  </si>
  <si>
    <t>1519240000059</t>
  </si>
  <si>
    <t>SUBKHAN</t>
  </si>
  <si>
    <t>DADAPAN RT 001 RW 004 Kel.DADAPAN Kec. SOLOKURO Kota LAMONGAN 62265</t>
  </si>
  <si>
    <t>62265</t>
  </si>
  <si>
    <t>DADAPAN</t>
  </si>
  <si>
    <t>SOLOKURO</t>
  </si>
  <si>
    <t>MHYANC22SRJ102509</t>
  </si>
  <si>
    <t>K15BT1615154</t>
  </si>
  <si>
    <t>S 1220 MJ</t>
  </si>
  <si>
    <t>1519C20230200050</t>
  </si>
  <si>
    <t>1519230000040</t>
  </si>
  <si>
    <t>TEKO PRAYITNO</t>
  </si>
  <si>
    <t>DUSUN CENTUNG RT 015 RW 007 Kel.KARANGDAYU Kec. BAURENO Kota BOJONEGORO 62192</t>
  </si>
  <si>
    <t>62192</t>
  </si>
  <si>
    <t>KARANGDAYU</t>
  </si>
  <si>
    <t>BAURENO</t>
  </si>
  <si>
    <t>4447****</t>
  </si>
  <si>
    <t>08224*******</t>
  </si>
  <si>
    <t>MHYHDC61TPJ213872</t>
  </si>
  <si>
    <t>K15BT1499209</t>
  </si>
  <si>
    <t>S 8128 AG</t>
  </si>
  <si>
    <t>1518C20250400050</t>
  </si>
  <si>
    <t>1518250000102</t>
  </si>
  <si>
    <t>HELMIDAWATI</t>
  </si>
  <si>
    <t xml:space="preserve"> JL MANGGA 2 BLOK P NO.7 RT 4 RW 7 Kel.KRAMAT JATI Kec. KRAMAT JATI Kota JAKARTA TIMUR 13510</t>
  </si>
  <si>
    <t>13510</t>
  </si>
  <si>
    <t>KRAMAT JATI</t>
  </si>
  <si>
    <t xml:space="preserve"> Dewi Sartika</t>
  </si>
  <si>
    <t>08595*******</t>
  </si>
  <si>
    <t>MHYANC22SRJ102837</t>
  </si>
  <si>
    <t>K15BT1617772</t>
  </si>
  <si>
    <t>B 2906 FOO</t>
  </si>
  <si>
    <t>1517C20230700011</t>
  </si>
  <si>
    <t>1517230000089</t>
  </si>
  <si>
    <t>ENONG</t>
  </si>
  <si>
    <t>JL. TEMBO NO. 23 RT 009 RW 008 Kel.PAHONJEAN Kec. MAJENANG Kota CILACAP 53257</t>
  </si>
  <si>
    <t>53257</t>
  </si>
  <si>
    <t>PAHONJEAN</t>
  </si>
  <si>
    <t>MAJENANG</t>
  </si>
  <si>
    <t>4407****</t>
  </si>
  <si>
    <t>08784*******</t>
  </si>
  <si>
    <t>MHYHDC61TPJ220013</t>
  </si>
  <si>
    <t>K15BT1513847</t>
  </si>
  <si>
    <t>R 9959 MB</t>
  </si>
  <si>
    <t>1517C20200900034</t>
  </si>
  <si>
    <t>1517220000063</t>
  </si>
  <si>
    <t>ASDIN SANTOSA</t>
  </si>
  <si>
    <t>BANTARWARU GEMAWANG RT 005 RW 002 Kel.SIDARATA Kec. PUNGGELAN Kota BANJARNEGARA 53462</t>
  </si>
  <si>
    <t>53462</t>
  </si>
  <si>
    <t>SIDARATA</t>
  </si>
  <si>
    <t>PUNGGELAN</t>
  </si>
  <si>
    <t>BANJARNEGARA</t>
  </si>
  <si>
    <t>15170002</t>
  </si>
  <si>
    <t>Banjarnegara</t>
  </si>
  <si>
    <t>1765****</t>
  </si>
  <si>
    <t>MHYHDC61TNJ222243</t>
  </si>
  <si>
    <t>K15BT1379586</t>
  </si>
  <si>
    <t>R 8969 BM</t>
  </si>
  <si>
    <t>1516C20220400070</t>
  </si>
  <si>
    <t>1516220000154</t>
  </si>
  <si>
    <t>ROHENAH</t>
  </si>
  <si>
    <t>KP.CIBOGO UTARA RT 001 RW 001 Kel.CILAYANG GUHA Kec. CIKEUSAL Kota SERANG 42116</t>
  </si>
  <si>
    <t>42116</t>
  </si>
  <si>
    <t>CILAYANG GUHA</t>
  </si>
  <si>
    <t>CIKEUSAL</t>
  </si>
  <si>
    <t>08389*******</t>
  </si>
  <si>
    <t>MHYHDC61TNJ226161</t>
  </si>
  <si>
    <t>K15BT1388102</t>
  </si>
  <si>
    <t>A 8476 FH</t>
  </si>
  <si>
    <t>1514C20220800100</t>
  </si>
  <si>
    <t>1514220000236</t>
  </si>
  <si>
    <t>H IKRAR KAMARUDDIN</t>
  </si>
  <si>
    <t>JL SULTAN HASANUDDIN NO 165 RT 000 RW 000 Kel.KALABBIRANG Kec. PATALLASSANG Kota TAKALAR 92211</t>
  </si>
  <si>
    <t>92211</t>
  </si>
  <si>
    <t>KALABBIRANG</t>
  </si>
  <si>
    <t>PATALLASSANG</t>
  </si>
  <si>
    <t>TAKALAR</t>
  </si>
  <si>
    <t>15140000</t>
  </si>
  <si>
    <t xml:space="preserve"> Makassar</t>
  </si>
  <si>
    <t>MHYHDC61TNJ245639</t>
  </si>
  <si>
    <t>K15BT1431864</t>
  </si>
  <si>
    <t>DD8840PB</t>
  </si>
  <si>
    <t>1543C20201000028</t>
  </si>
  <si>
    <t>1512250000102</t>
  </si>
  <si>
    <t>WANTA</t>
  </si>
  <si>
    <t>KP. CIBUNUT RT 012 RW 006 Kel.LIGARMUKTI Kec. KLAPA NUNGGAL (KELAPA NUNGGAL) Kota BOGOR 16710</t>
  </si>
  <si>
    <t>16710</t>
  </si>
  <si>
    <t>LIGARMUKTI</t>
  </si>
  <si>
    <t>KLAPA NUNGGAL (KELAPA NUNGGAL)</t>
  </si>
  <si>
    <t>8704****</t>
  </si>
  <si>
    <t>MHYHDC61TSJ276340</t>
  </si>
  <si>
    <t>K15BT1692573</t>
  </si>
  <si>
    <t>F 8165 HY</t>
  </si>
  <si>
    <t>1511C20201200034</t>
  </si>
  <si>
    <t>1511240000132</t>
  </si>
  <si>
    <t>SUMIRAH</t>
  </si>
  <si>
    <t>JAMBUK MAKMUR RT 011 RW 000 Kel.JAMBUK MAKMUR Kec. BONGAN Kota KUTAI BARAT 75772</t>
  </si>
  <si>
    <t>75772</t>
  </si>
  <si>
    <t>JAMBUK MAKMUR</t>
  </si>
  <si>
    <t>BONGAN</t>
  </si>
  <si>
    <t>MHYHDC61TRJ233127</t>
  </si>
  <si>
    <t>K15BT1648319</t>
  </si>
  <si>
    <t>KT 8042 PK</t>
  </si>
  <si>
    <t>1511C20240400087</t>
  </si>
  <si>
    <t>1511240000076</t>
  </si>
  <si>
    <t>ELIS FARIDA AYU</t>
  </si>
  <si>
    <t>JL. MT. HARYONO  RT 037 RW 000 Kel.API-API Kec. BONTANG UTARA Kota BONTANG 75311</t>
  </si>
  <si>
    <t>75311</t>
  </si>
  <si>
    <t>API-API</t>
  </si>
  <si>
    <t>BONTANG UTARA</t>
  </si>
  <si>
    <t>BONTANG</t>
  </si>
  <si>
    <t>MHYHDC61TRJ210433</t>
  </si>
  <si>
    <t>K15BT1594527</t>
  </si>
  <si>
    <t>KT 8942 DM</t>
  </si>
  <si>
    <t>1511C20230600067</t>
  </si>
  <si>
    <t>1511230000113</t>
  </si>
  <si>
    <t>SYAHRANI</t>
  </si>
  <si>
    <t>JL. MURAI BATU BLOK L (SP3) RT 027 RW 000 Kel.SIDO MUKTI Kec. MUARA KAMAN Kota KUTAI KARTANEGARA 75553</t>
  </si>
  <si>
    <t>75553</t>
  </si>
  <si>
    <t>SIDO MUKTI</t>
  </si>
  <si>
    <t>MUARA KAMAN</t>
  </si>
  <si>
    <t>MHYHDC61TPJ212565</t>
  </si>
  <si>
    <t>K15BT1496181</t>
  </si>
  <si>
    <t>KT 8775 UP</t>
  </si>
  <si>
    <t>1511C20220400015</t>
  </si>
  <si>
    <t>1511220000056</t>
  </si>
  <si>
    <t>YONATHAN ARRANG BALATAU</t>
  </si>
  <si>
    <t>KAMPUNG BUDAYA KERAITAN JL METROWALI RT 002 RW 000 Kel.SEPASO TIMUR Kec. BENGALON Kota KUTAI TIMUR 75618</t>
  </si>
  <si>
    <t>75618</t>
  </si>
  <si>
    <t>SEPASO TIMUR</t>
  </si>
  <si>
    <t>BENGALON</t>
  </si>
  <si>
    <t>08154*******</t>
  </si>
  <si>
    <t>MHYHDC61TNJ222272</t>
  </si>
  <si>
    <t>K15BT1379816</t>
  </si>
  <si>
    <t>KT 8938 RS</t>
  </si>
  <si>
    <t>1510C20221100060</t>
  </si>
  <si>
    <t>1510220000316</t>
  </si>
  <si>
    <t>MUSLEH</t>
  </si>
  <si>
    <t>JL SOEKARNO HATTA RT 002 RW 008 Kel.KALICARI Kec. PEDURUNGAN Kota SEMARANG 50198</t>
  </si>
  <si>
    <t>50198</t>
  </si>
  <si>
    <t>KALICARI</t>
  </si>
  <si>
    <t>PEDURUNGAN</t>
  </si>
  <si>
    <t>08783*******</t>
  </si>
  <si>
    <t>MHYHDC61TNJ251575</t>
  </si>
  <si>
    <t>K15BT1447819</t>
  </si>
  <si>
    <t>H 9282 EA</t>
  </si>
  <si>
    <t>1509C20181000088</t>
  </si>
  <si>
    <t>1509250000045</t>
  </si>
  <si>
    <t>SLAMET NURYANTO</t>
  </si>
  <si>
    <t>DUSUN NGLAWISAN RT 001 RW 012 Kel.TAMANAGUNG Kec. MUNTILAN Kota MAGELANG 56413</t>
  </si>
  <si>
    <t>56413</t>
  </si>
  <si>
    <t>TAMANAGUNG</t>
  </si>
  <si>
    <t>MUNTILAN</t>
  </si>
  <si>
    <t>2856****</t>
  </si>
  <si>
    <t>MHYHDC61TRJ273780</t>
  </si>
  <si>
    <t>K15BT1662026</t>
  </si>
  <si>
    <t>AA 9036 K</t>
  </si>
  <si>
    <t>1509C20220800014</t>
  </si>
  <si>
    <t>1509220000132</t>
  </si>
  <si>
    <t>WAHYONO</t>
  </si>
  <si>
    <t>WONOROTO RT 002 RW 001 Kel.WONOROTO Kec. NGOMBOL Kota PURWOREJO 54172</t>
  </si>
  <si>
    <t>54172</t>
  </si>
  <si>
    <t>WONOROTO</t>
  </si>
  <si>
    <t>NGOMBOL</t>
  </si>
  <si>
    <t>PURWOREJO</t>
  </si>
  <si>
    <t>4384****</t>
  </si>
  <si>
    <t>08564*******</t>
  </si>
  <si>
    <t>MHYHDC61TNJ235603</t>
  </si>
  <si>
    <t>K15BT1408802</t>
  </si>
  <si>
    <t>AA 8139 ZC</t>
  </si>
  <si>
    <t>1508C20211200148</t>
  </si>
  <si>
    <t>1508210000492</t>
  </si>
  <si>
    <t>PT GEMMA TRAIDING MANDIRI</t>
  </si>
  <si>
    <t>KAMPUNG KAMURANG RT 004 RW 002 Kel.PASIRSARI Kec. CIKARANG SELATAN Kota BEKASI 17530</t>
  </si>
  <si>
    <t>PASIRSARI</t>
  </si>
  <si>
    <t>CIKARANG SELATAN</t>
  </si>
  <si>
    <t>10080000</t>
  </si>
  <si>
    <t>Karawang</t>
  </si>
  <si>
    <t>129***</t>
  </si>
  <si>
    <t>MHYHDC61TMJ262002</t>
  </si>
  <si>
    <t>K15BT1352071</t>
  </si>
  <si>
    <t>B9722FAY</t>
  </si>
  <si>
    <t>1507C20240100067</t>
  </si>
  <si>
    <t>1507240000089</t>
  </si>
  <si>
    <t>NURYADI</t>
  </si>
  <si>
    <t>KP. INGGUNG RT 004 RW 002 Kel.RANCA KALAPA Kec. PANONGAN Kota TANGERANG 15710</t>
  </si>
  <si>
    <t>15710</t>
  </si>
  <si>
    <t>RANCA KALAPA</t>
  </si>
  <si>
    <t>PANONGAN</t>
  </si>
  <si>
    <t>MHYHDC61TPJ249613</t>
  </si>
  <si>
    <t>K15BT1579911</t>
  </si>
  <si>
    <t>A8256VB</t>
  </si>
  <si>
    <t>1507C20230800314</t>
  </si>
  <si>
    <t>1507230000516</t>
  </si>
  <si>
    <t>IWAN</t>
  </si>
  <si>
    <t>KP CIPETE NO 124 RT 002 RW 001 Kel.PAKOJAN Kec. PINANG Kota TANGERANG 15142</t>
  </si>
  <si>
    <t>15142</t>
  </si>
  <si>
    <t>PAKOJAN</t>
  </si>
  <si>
    <t>PINANG</t>
  </si>
  <si>
    <t>MHYHDC61TPJ239205</t>
  </si>
  <si>
    <t>K15BT1555739</t>
  </si>
  <si>
    <t>B9908VAH</t>
  </si>
  <si>
    <t>1507C20221000389</t>
  </si>
  <si>
    <t>1507220000515</t>
  </si>
  <si>
    <t>AGUSTINA</t>
  </si>
  <si>
    <t>JL BIDAR XI NO.14 RT 002 RW 007 Kel.PAKULONAN BARAT Kec. KELAPA DUA Kota TANGERANG 15810</t>
  </si>
  <si>
    <t>PAKULONAN BARAT</t>
  </si>
  <si>
    <t>KELAPA DUA</t>
  </si>
  <si>
    <t>08780*******</t>
  </si>
  <si>
    <t>MHYHDC61TNJ248750</t>
  </si>
  <si>
    <t>K15BT1440446</t>
  </si>
  <si>
    <t>B9864JAB</t>
  </si>
  <si>
    <t>1507C20220900172</t>
  </si>
  <si>
    <t>1507220000420</t>
  </si>
  <si>
    <t>SLAMET HARIYANTO</t>
  </si>
  <si>
    <t>JL.IRIGASI SIPON NO. 109 A RT 004 RW 002 Kel.PORIS PLAWAD UTARA Kec. CIPONDOH Kota TANGERANG 15141</t>
  </si>
  <si>
    <t>15141</t>
  </si>
  <si>
    <t>PORIS PLAWAD UTARA</t>
  </si>
  <si>
    <t>CIPONDOH</t>
  </si>
  <si>
    <t>MHYHDC61TNJ253027</t>
  </si>
  <si>
    <t>K15BT1451671</t>
  </si>
  <si>
    <t>A8490ZS</t>
  </si>
  <si>
    <t>1506C20230100253</t>
  </si>
  <si>
    <t>1506230000051</t>
  </si>
  <si>
    <t>SANDI SUTISNA</t>
  </si>
  <si>
    <t>BEKASI TIMUR REGENCY 5 CLUSTER JASMINE BLOK J2 NO. 15 RT 001 RW 008 Kel.SUMUR BATU Kec. BANTAR GEBANG Kota BEKASI 17154</t>
  </si>
  <si>
    <t>17154</t>
  </si>
  <si>
    <t>SUMUR BATU</t>
  </si>
  <si>
    <t>BANTAR GEBANG</t>
  </si>
  <si>
    <t>1653****</t>
  </si>
  <si>
    <t>MHYHDC61TNJ257594</t>
  </si>
  <si>
    <t>K15BT1464234</t>
  </si>
  <si>
    <t>B9752KAW</t>
  </si>
  <si>
    <t>1506C20210800150</t>
  </si>
  <si>
    <t>1506210000296</t>
  </si>
  <si>
    <t>YUSUF</t>
  </si>
  <si>
    <t>CIKEMPONG RT 002 RW 009 Kel.PAKANSARI Kec. CIBINONG Kota BOGOR 16915</t>
  </si>
  <si>
    <t>16915</t>
  </si>
  <si>
    <t>PAKANSARI</t>
  </si>
  <si>
    <t>CIBINONG</t>
  </si>
  <si>
    <t>1831****</t>
  </si>
  <si>
    <t>ALL NEW ERTIGA SS AT</t>
  </si>
  <si>
    <t>MHYANC22SMJ114900</t>
  </si>
  <si>
    <t>K15BT1306535</t>
  </si>
  <si>
    <t>F1493FAC</t>
  </si>
  <si>
    <t>1505C20230600039</t>
  </si>
  <si>
    <t>1505230000159</t>
  </si>
  <si>
    <t>KUSNADI</t>
  </si>
  <si>
    <t>PERUMAHAN AGNES NANJUNG BLOK E NO 8 RT 004 RW 005 Kel.SANGKANHURIP Kec. KATAPANG Kota BANDUNG 40921</t>
  </si>
  <si>
    <t>40921</t>
  </si>
  <si>
    <t>SANGKANHURIP</t>
  </si>
  <si>
    <t>KATAPANG</t>
  </si>
  <si>
    <t>6849****</t>
  </si>
  <si>
    <t>08966*******</t>
  </si>
  <si>
    <t>MA3RFL61SPA426058</t>
  </si>
  <si>
    <t>K10CNC242885</t>
  </si>
  <si>
    <t>D 1399 AKR</t>
  </si>
  <si>
    <t>1505C20230200119</t>
  </si>
  <si>
    <t>1505230000085</t>
  </si>
  <si>
    <t>HUSNI AMRI</t>
  </si>
  <si>
    <t>KP. NAGRAK RT 001 RW 002 Kel.JATISARI Kec. CANGKUANG Kota BANDUNG 40238</t>
  </si>
  <si>
    <t>40238</t>
  </si>
  <si>
    <t>JATISARI</t>
  </si>
  <si>
    <t>CANGKUANG</t>
  </si>
  <si>
    <t>2382****</t>
  </si>
  <si>
    <t>08552*******</t>
  </si>
  <si>
    <t>MHYHDC61TPJ212243</t>
  </si>
  <si>
    <t>K15BT1495348</t>
  </si>
  <si>
    <t>D 8232 ZJ</t>
  </si>
  <si>
    <t>1505C20210800021</t>
  </si>
  <si>
    <t>1505210000183</t>
  </si>
  <si>
    <t>MOHAMAD ALEX YAHYA</t>
  </si>
  <si>
    <t>KP CIPAKU RT 001 RW 003 Kel.TARAJUSARI Kec. BANJARAN Kota BANDUNG 40377</t>
  </si>
  <si>
    <t>40377</t>
  </si>
  <si>
    <t>TARAJUSARI</t>
  </si>
  <si>
    <t>BANJARAN</t>
  </si>
  <si>
    <t>1529****</t>
  </si>
  <si>
    <t>MHYHDC61TMJ235703</t>
  </si>
  <si>
    <t>K15BT1290823</t>
  </si>
  <si>
    <t>D 8035 ZI</t>
  </si>
  <si>
    <t>1504C20180300384</t>
  </si>
  <si>
    <t>1504230000129</t>
  </si>
  <si>
    <t>KAMDANI EFFENDY</t>
  </si>
  <si>
    <t>DSN SALAM RT/RW 018/005 KELURAHAN SUKO KECAMATAN SIDOARJO SIDOARJO RT 018 RW 005 Kel.SUKO Kec. SIDOARJO Kota SIDOARJO 61224</t>
  </si>
  <si>
    <t>61224</t>
  </si>
  <si>
    <t>SUKO</t>
  </si>
  <si>
    <t>MHYHDC61TPJ219192</t>
  </si>
  <si>
    <t>K15BT1512274</t>
  </si>
  <si>
    <t>W 8101 PK</t>
  </si>
  <si>
    <t>10169900041335</t>
  </si>
  <si>
    <t>1504220000373</t>
  </si>
  <si>
    <t>MUHAMMAD EFENDY</t>
  </si>
  <si>
    <t>GUNUNG ANYAR ASRI BLOK A/20  RT 001 RW 006 Kel.GUNUNG ANYAR TAMBAK Kec. GUNUNGANYAR Kota SURABAYA 60294</t>
  </si>
  <si>
    <t>60294</t>
  </si>
  <si>
    <t>GUNUNG ANYAR TAMBAK</t>
  </si>
  <si>
    <t>GUNUNGANYAR</t>
  </si>
  <si>
    <t>MHYHDC61TNJ241684</t>
  </si>
  <si>
    <t>K15BT1421785</t>
  </si>
  <si>
    <t>L 9623 N</t>
  </si>
  <si>
    <t>160109</t>
  </si>
  <si>
    <t>20251124369</t>
  </si>
  <si>
    <t>KARYANTO</t>
  </si>
  <si>
    <t>1504C20220400073</t>
  </si>
  <si>
    <t>1504220000189</t>
  </si>
  <si>
    <t>HALIMAH</t>
  </si>
  <si>
    <t>JL COLIBRI IV AC 13 RT 005 RW 009 Kel.PANGERANAN Kec. BANGKALAN Kota BANGKALAN 69115</t>
  </si>
  <si>
    <t>69115</t>
  </si>
  <si>
    <t>PANGERANAN</t>
  </si>
  <si>
    <t>BANGKALAN</t>
  </si>
  <si>
    <t>3315****</t>
  </si>
  <si>
    <t>08233*******</t>
  </si>
  <si>
    <t>MHYHDC61TNJ222137</t>
  </si>
  <si>
    <t>K15BT1379493</t>
  </si>
  <si>
    <t>M 8511 GB</t>
  </si>
  <si>
    <t>1504C20211100056</t>
  </si>
  <si>
    <t>1504210000598</t>
  </si>
  <si>
    <t xml:space="preserve">IMELDA YULI DWI ASTUTI </t>
  </si>
  <si>
    <t>BANGAH JAYA INDAH KAV POLDA GG II NO 405A RT 025 RW 004 Kel.BANGAH Kec. GEDANGAN Kota SIDOARJO 61254</t>
  </si>
  <si>
    <t>61254</t>
  </si>
  <si>
    <t>BANGAH</t>
  </si>
  <si>
    <t>GEDANGAN</t>
  </si>
  <si>
    <t>Sidoarjo</t>
  </si>
  <si>
    <t>MHYHDC61TMJ252452</t>
  </si>
  <si>
    <t>K15BT1331101</t>
  </si>
  <si>
    <t>W 9636 PC</t>
  </si>
  <si>
    <t>146583</t>
  </si>
  <si>
    <t>146582</t>
  </si>
  <si>
    <t>1503C20240500002</t>
  </si>
  <si>
    <t>1503240000105</t>
  </si>
  <si>
    <t>HANDY PRATAMA PUTRA</t>
  </si>
  <si>
    <t>JL SIULAN GG KAMBOJA NO 9  RT 0 RW 0 Kel.KESIMAN KERTALANGU Kec. DENPASAR TIMUR Kota DENPASAR 80237</t>
  </si>
  <si>
    <t>80237</t>
  </si>
  <si>
    <t>KESIMAN KERTALANGU</t>
  </si>
  <si>
    <t>DENPASAR TIMUR</t>
  </si>
  <si>
    <t>MA3RFL61SPA444463</t>
  </si>
  <si>
    <t>K10CNC314118</t>
  </si>
  <si>
    <t>DK1094PN</t>
  </si>
  <si>
    <t>1548C20180700023</t>
  </si>
  <si>
    <t>1502230000261</t>
  </si>
  <si>
    <t>ENCEP</t>
  </si>
  <si>
    <t>JL. YOS SUDARSO LR 100 TIMUR NO.57A RT 004 RW 002 Kel.KOJA Kec. KOJA Kota JAKARTA UTARA 14111</t>
  </si>
  <si>
    <t>14111</t>
  </si>
  <si>
    <t>KOJA</t>
  </si>
  <si>
    <t>3848*****</t>
  </si>
  <si>
    <t>MHYHDC61TPJ240747</t>
  </si>
  <si>
    <t>K15BT1559240</t>
  </si>
  <si>
    <t>B9879UAT</t>
  </si>
  <si>
    <t>1502C20221200175</t>
  </si>
  <si>
    <t>1502220000598</t>
  </si>
  <si>
    <t>NURMANSYAH</t>
  </si>
  <si>
    <t>KP.TAMBUN SEMER RT 002 RW 003 Kel.PAHLAWAN SETIA Kec. TARUMAJAYA Kota BEKASI 17216</t>
  </si>
  <si>
    <t>17216</t>
  </si>
  <si>
    <t>PAHLAWAN SETIA</t>
  </si>
  <si>
    <t>8586****</t>
  </si>
  <si>
    <t>08788*******</t>
  </si>
  <si>
    <t>MHYHDC61TNJ264772</t>
  </si>
  <si>
    <t>K15BT1482401</t>
  </si>
  <si>
    <t>B9460FVA</t>
  </si>
  <si>
    <t>1502C20200400014</t>
  </si>
  <si>
    <t>1502220000504</t>
  </si>
  <si>
    <t>ASEP SUGIAT SP</t>
  </si>
  <si>
    <t>JL. MARINIR RAYA GANG REJEKI NO. 9 RT 002 RW 005 Kel.PERWIRA Kec. BEKASI UTARA Kota BEKASI 17122</t>
  </si>
  <si>
    <t>17122</t>
  </si>
  <si>
    <t>PERWIRA</t>
  </si>
  <si>
    <t>6683****</t>
  </si>
  <si>
    <t>MHYHDC61TNJ249159</t>
  </si>
  <si>
    <t>K15BT1441629</t>
  </si>
  <si>
    <t>B9489KAW</t>
  </si>
  <si>
    <t>1501C20241100093</t>
  </si>
  <si>
    <t>1501240000559</t>
  </si>
  <si>
    <t xml:space="preserve">TITIN JUNENGSIH </t>
  </si>
  <si>
    <t>KP KARET RT 004 RW 003 Kel.KARET Kec. SEPATAN Kota TANGERANG 15520</t>
  </si>
  <si>
    <t>KARET</t>
  </si>
  <si>
    <t>SEPATAN</t>
  </si>
  <si>
    <t>08829*******</t>
  </si>
  <si>
    <t>MHYHDC61TRJ232202</t>
  </si>
  <si>
    <t>K15BT1646683</t>
  </si>
  <si>
    <t>B 9074 JAD</t>
  </si>
  <si>
    <t>1019C20230500111</t>
  </si>
  <si>
    <t>1019230000200</t>
  </si>
  <si>
    <t>NUR SALIM ZEN</t>
  </si>
  <si>
    <t>DSN MUTERAN RT 003 RW 006 Kel.KEJAGAN Kec. TROWULAN Kota MOJOKERTO 61362</t>
  </si>
  <si>
    <t>61362</t>
  </si>
  <si>
    <t>KEJAGAN</t>
  </si>
  <si>
    <t>TROWULAN</t>
  </si>
  <si>
    <t>CB</t>
  </si>
  <si>
    <t>NEW CB 150 R STREETFIRE</t>
  </si>
  <si>
    <t>MH1KC821XGK052524</t>
  </si>
  <si>
    <t>KC82E1052789</t>
  </si>
  <si>
    <t>S 2407 OBN</t>
  </si>
  <si>
    <t>1017C20220800025</t>
  </si>
  <si>
    <t>1017220000556</t>
  </si>
  <si>
    <t>DIDIN SHODIQIN</t>
  </si>
  <si>
    <t>DSN PAGERGUNUNG  RT 003 RW 002 Kel.GUNUNG SARI Kec. BUMIAJI Kota BATU 65337</t>
  </si>
  <si>
    <t>65337</t>
  </si>
  <si>
    <t>GUNUNG SARI</t>
  </si>
  <si>
    <t>BUMIAJI</t>
  </si>
  <si>
    <t>BATU</t>
  </si>
  <si>
    <t>10170000</t>
  </si>
  <si>
    <t>NEW CB 150R STREETFIRE</t>
  </si>
  <si>
    <t>MH1KC8214GK040207</t>
  </si>
  <si>
    <t>KC82E1038985</t>
  </si>
  <si>
    <t>N 3705 LD</t>
  </si>
  <si>
    <t>1001C20220200021</t>
  </si>
  <si>
    <t>1001230000113</t>
  </si>
  <si>
    <t>ASMANI</t>
  </si>
  <si>
    <t>KELILING BENTENG ULU RT 007 RW 000 Kel.KELILING BENTENG ULU Kec. MARTAPURA BARAT Kota BANJAR 70618</t>
  </si>
  <si>
    <t>70618</t>
  </si>
  <si>
    <t>KELILING BENTENG ULU</t>
  </si>
  <si>
    <t>MARTAPURA BARAT</t>
  </si>
  <si>
    <t>5152****</t>
  </si>
  <si>
    <t>ALL NEW SCOOPY SPORTY</t>
  </si>
  <si>
    <t>MH1JM312XJK111620</t>
  </si>
  <si>
    <t>JM31E2107449</t>
  </si>
  <si>
    <t>DA 6213 BDN</t>
  </si>
  <si>
    <t>1552C20220200004</t>
  </si>
  <si>
    <t>1552240000008</t>
  </si>
  <si>
    <t>MASTARLIM</t>
  </si>
  <si>
    <t>JL. PRATAMA RT 008 RW 002 Kel.ASAM BARU Kec. DANAU SELULUK Kota SERUYAN 74271</t>
  </si>
  <si>
    <t>74271</t>
  </si>
  <si>
    <t>ASAM BARU</t>
  </si>
  <si>
    <t>DANAU SELULUK</t>
  </si>
  <si>
    <t>SERUYAN</t>
  </si>
  <si>
    <t>15520000</t>
  </si>
  <si>
    <t xml:space="preserve"> Sampit</t>
  </si>
  <si>
    <t>5341****</t>
  </si>
  <si>
    <t>NEW CARRY PU FD R14 TYPE S</t>
  </si>
  <si>
    <t>MHYHDC61TPJ231359</t>
  </si>
  <si>
    <t>K15BT1539257</t>
  </si>
  <si>
    <t>KH 8864 PJ</t>
  </si>
  <si>
    <t>1552C20211200167</t>
  </si>
  <si>
    <t>1552210000293</t>
  </si>
  <si>
    <t>M FAUZAN</t>
  </si>
  <si>
    <t>PERUM. DINAS PT. WSSL 02 RT 000 RW 000 Kel.TANJUNG HANAU/HANA Kec. HANAU Kota SERUYAN 74271</t>
  </si>
  <si>
    <t>TANJUNG HANAU/HANA</t>
  </si>
  <si>
    <t>HANAU</t>
  </si>
  <si>
    <t>Sampit</t>
  </si>
  <si>
    <t>4966****</t>
  </si>
  <si>
    <t>XL7 ZETA MT</t>
  </si>
  <si>
    <t>MHYANC22SMJ122915</t>
  </si>
  <si>
    <t>K15BT1344436</t>
  </si>
  <si>
    <t>KH 1820 GT</t>
  </si>
  <si>
    <t>1547C20240300007</t>
  </si>
  <si>
    <t>1547240000022</t>
  </si>
  <si>
    <t>SILVIANUS MORIS YULIS</t>
  </si>
  <si>
    <t>KALI PITU RT 000 RW 000 Kel.KALIPITU Kec. TOBELO TENGAH Kota HALMAHERA UTARA 97762</t>
  </si>
  <si>
    <t>97762</t>
  </si>
  <si>
    <t>KALIPITU</t>
  </si>
  <si>
    <t>TOBELO TENGAH</t>
  </si>
  <si>
    <t>HALMAHERA UTARA</t>
  </si>
  <si>
    <t>15470001</t>
  </si>
  <si>
    <t>Tobelo</t>
  </si>
  <si>
    <t>4350****</t>
  </si>
  <si>
    <t>MHYHDC61TPJ249019</t>
  </si>
  <si>
    <t>K15BT1578890</t>
  </si>
  <si>
    <t>DG 8383 NC</t>
  </si>
  <si>
    <t>156166</t>
  </si>
  <si>
    <t>20240323924</t>
  </si>
  <si>
    <t>CHARLES KABURUANG</t>
  </si>
  <si>
    <t>1547HC03</t>
  </si>
  <si>
    <t>20190121654</t>
  </si>
  <si>
    <t>RIFAL ALI</t>
  </si>
  <si>
    <t>ARC</t>
  </si>
  <si>
    <t>ARH001</t>
  </si>
  <si>
    <t>ARH</t>
  </si>
  <si>
    <t>1547CH01</t>
  </si>
  <si>
    <t>20190000000</t>
  </si>
  <si>
    <t>1545C20211000005</t>
  </si>
  <si>
    <t>1545210000047</t>
  </si>
  <si>
    <t>BAHORI MATONDANG</t>
  </si>
  <si>
    <t>PULO HOPUR RT 000 RW 000 Kel.SILUMAJANG Kec. NA IX-X Kota LABUHAN BATU UTARA 21454</t>
  </si>
  <si>
    <t>21454</t>
  </si>
  <si>
    <t>SILUMAJANG</t>
  </si>
  <si>
    <t>NA IX-X</t>
  </si>
  <si>
    <t>LABUHAN BATU UTARA</t>
  </si>
  <si>
    <t>000***</t>
  </si>
  <si>
    <t>08216*******</t>
  </si>
  <si>
    <t>MHYHDC61TMJ246308</t>
  </si>
  <si>
    <t>K15BT1315780</t>
  </si>
  <si>
    <t>BK8767YO</t>
  </si>
  <si>
    <t>1543C20211200019</t>
  </si>
  <si>
    <t>1543210000212</t>
  </si>
  <si>
    <t>WAHYU HIDAYAT</t>
  </si>
  <si>
    <t>JL ROSE GARDEN 1 RUKO NO 78 RT 002 RW 017 Kel.JAKA SETIA Kec. BEKASI SELATAN Kota BEKASI 17147</t>
  </si>
  <si>
    <t>17147</t>
  </si>
  <si>
    <t>JAKA SETIA</t>
  </si>
  <si>
    <t>BEKASI SELATAN</t>
  </si>
  <si>
    <t>08121******</t>
  </si>
  <si>
    <t>MHYHDC61TMJ256809</t>
  </si>
  <si>
    <t>K15BT1342069</t>
  </si>
  <si>
    <t>B 9113 KAV</t>
  </si>
  <si>
    <t>1542C20210600064</t>
  </si>
  <si>
    <t>1542250000006</t>
  </si>
  <si>
    <t>JUMANTO</t>
  </si>
  <si>
    <t>PEMATANG PAUH RT 02 RW 01 Kel.PEMATANG PAUH Kec. TUNGKAL ULU Kota TANJUNG JABUNG BARAT 36552</t>
  </si>
  <si>
    <t>36552</t>
  </si>
  <si>
    <t>PEMATANG PAUH</t>
  </si>
  <si>
    <t>TUNGKAL ULU</t>
  </si>
  <si>
    <t>TANJUNG JABUNG BARAT</t>
  </si>
  <si>
    <t>MHYHDC61TRJ212858</t>
  </si>
  <si>
    <t>K15BT1601536</t>
  </si>
  <si>
    <t>BH 8439 EN</t>
  </si>
  <si>
    <t>1542C20220200075</t>
  </si>
  <si>
    <t>1542220000037</t>
  </si>
  <si>
    <t>SISWANTO</t>
  </si>
  <si>
    <t>SUBAN RT 1 RW 0 Kel.SUBAN Kec. BATANG ASAM Kota TANJUNG JABUNG BARAT 36552</t>
  </si>
  <si>
    <t>SUBAN</t>
  </si>
  <si>
    <t>BATANG ASAM</t>
  </si>
  <si>
    <t>MHYHDC61TNJ216049</t>
  </si>
  <si>
    <t>K15BT1366270</t>
  </si>
  <si>
    <t>BH 8784 EM</t>
  </si>
  <si>
    <t>1540C20241200009</t>
  </si>
  <si>
    <t>1540240000061</t>
  </si>
  <si>
    <t>MOH DONG</t>
  </si>
  <si>
    <t>JL PUESALANGGA  RT 002 RW 002 Kel.POBOYO Kec. MANTIKULORE Kota KOTA PALU 94115</t>
  </si>
  <si>
    <t>94115</t>
  </si>
  <si>
    <t>POBOYO</t>
  </si>
  <si>
    <t>MANTIKULORE</t>
  </si>
  <si>
    <t>KOTA PALU</t>
  </si>
  <si>
    <t>82349******</t>
  </si>
  <si>
    <t>MHYHDC61TRJ231304</t>
  </si>
  <si>
    <t>K15BT1643493</t>
  </si>
  <si>
    <t>DN 8094 NH</t>
  </si>
  <si>
    <t>1540C20231100006</t>
  </si>
  <si>
    <t>1540230000148</t>
  </si>
  <si>
    <t>MUH RIZAL ARAS</t>
  </si>
  <si>
    <t>JL ADAM MALIK RT 004 RW 006 Kel.PETOBO Kec. PALU SELATAN Kota PALU 94232</t>
  </si>
  <si>
    <t>94232</t>
  </si>
  <si>
    <t>PETOBO</t>
  </si>
  <si>
    <t>PALU SELATAN</t>
  </si>
  <si>
    <t>85298******</t>
  </si>
  <si>
    <t>MHYHDC61TPJ246156</t>
  </si>
  <si>
    <t>K15BT1572213</t>
  </si>
  <si>
    <t>DN 8537 NG</t>
  </si>
  <si>
    <t>1540C20230900018</t>
  </si>
  <si>
    <t>1540230000136</t>
  </si>
  <si>
    <t>MOH ASRAF</t>
  </si>
  <si>
    <t>JL IR SOEKARNO LINGK SALUNGGADUE RT 000 RW 000 Kel.PASANGKAYU Kec. PASANGKAYU Kota KAB PASANGKAYU (MAMUJU UTARA) 91571</t>
  </si>
  <si>
    <t>91571</t>
  </si>
  <si>
    <t>PASANGKAYU</t>
  </si>
  <si>
    <t>KAB PASANGKAYU (MAMUJU UTARA)</t>
  </si>
  <si>
    <t>15400001</t>
  </si>
  <si>
    <t>Pasangkayu</t>
  </si>
  <si>
    <t>85231******</t>
  </si>
  <si>
    <t>08523*******</t>
  </si>
  <si>
    <t>MHYHDC61TPJ234591</t>
  </si>
  <si>
    <t>K15BT1545725</t>
  </si>
  <si>
    <t>DC 8649 XI</t>
  </si>
  <si>
    <t>1539C20240800019</t>
  </si>
  <si>
    <t>1539240000047</t>
  </si>
  <si>
    <t>RANDI HUSAIN</t>
  </si>
  <si>
    <t>DUSUN I WOHU RT 000 RW 000 Kel.OMBULO Kec. LIMBOTO BARAT Kota GORONTALO 96215</t>
  </si>
  <si>
    <t>96215</t>
  </si>
  <si>
    <t>OMBULO</t>
  </si>
  <si>
    <t>LIMBOTO BARAT</t>
  </si>
  <si>
    <t>82292******</t>
  </si>
  <si>
    <t>MHYHDC61TNJ232706</t>
  </si>
  <si>
    <t>K15BT1402134</t>
  </si>
  <si>
    <t>DM 8260 DE</t>
  </si>
  <si>
    <t>154902</t>
  </si>
  <si>
    <t>20231023788</t>
  </si>
  <si>
    <t>SAFRIL R YASIN</t>
  </si>
  <si>
    <t>1537C20230500129</t>
  </si>
  <si>
    <t>1537230000153</t>
  </si>
  <si>
    <t>SIMBUN</t>
  </si>
  <si>
    <t>DESA DAHIAN TUNGGAL  RT 001 RW 001 Kel.DAHIAN TUNGGAL Kec. PULAU MALAN Kota KATINGAN 74453</t>
  </si>
  <si>
    <t>74453</t>
  </si>
  <si>
    <t>DAHIAN TUNGGAL</t>
  </si>
  <si>
    <t>PULAU MALAN</t>
  </si>
  <si>
    <t>KATINGAN</t>
  </si>
  <si>
    <t>15370000</t>
  </si>
  <si>
    <t>Palangkaraya</t>
  </si>
  <si>
    <t>5771****</t>
  </si>
  <si>
    <t>MHYHDC61TPJ212399</t>
  </si>
  <si>
    <t>K15BT1495754</t>
  </si>
  <si>
    <t>KH 8729 NQ</t>
  </si>
  <si>
    <t>160636</t>
  </si>
  <si>
    <t>20260424432</t>
  </si>
  <si>
    <t>KELVIN ANGGRIANES</t>
  </si>
  <si>
    <t>1537COORD0</t>
  </si>
  <si>
    <t>140251</t>
  </si>
  <si>
    <t>20190822174</t>
  </si>
  <si>
    <t>BINAHAR MAROJAHAN NAPITUPULU</t>
  </si>
  <si>
    <t>Tidak Ada</t>
  </si>
  <si>
    <t>1536C20230900024</t>
  </si>
  <si>
    <t>1536230000085</t>
  </si>
  <si>
    <t>JONI SANTOSO</t>
  </si>
  <si>
    <t>GRIYA SINGKEP PERMAI I NO.28 RT 000 RW 000 Kel.SUKARAME BARU  Kec. SUKARAME  Kota BANDAR LAMPUNG  35131</t>
  </si>
  <si>
    <t>35131</t>
  </si>
  <si>
    <t xml:space="preserve">SUKARAME BARU </t>
  </si>
  <si>
    <t xml:space="preserve">SUKARAME </t>
  </si>
  <si>
    <t xml:space="preserve">BANDAR LAMPUNG </t>
  </si>
  <si>
    <t>MHYHDC61TPJ241866</t>
  </si>
  <si>
    <t>K15BT1562002</t>
  </si>
  <si>
    <t xml:space="preserve"> BE 8269 AAC</t>
  </si>
  <si>
    <t>1536C20220100047</t>
  </si>
  <si>
    <t>1536220000012</t>
  </si>
  <si>
    <t>DJAMALUDDIN</t>
  </si>
  <si>
    <t>JL.PULAU BURU NO.72 RT 000 RW 000 Kel.WAY HALIM PERMAI  Kec. WAY HALIM  Kota BANDAR LAMPUNG 35135</t>
  </si>
  <si>
    <t>35135</t>
  </si>
  <si>
    <t xml:space="preserve">WAY HALIM PERMAI </t>
  </si>
  <si>
    <t xml:space="preserve">WAY HALIM </t>
  </si>
  <si>
    <t>Bandar Lampung</t>
  </si>
  <si>
    <t>7951****</t>
  </si>
  <si>
    <t>MHYHDC61TNJ211314</t>
  </si>
  <si>
    <t>K15BT1355336</t>
  </si>
  <si>
    <t>BE 8548 AAA</t>
  </si>
  <si>
    <t>1535C20230100005</t>
  </si>
  <si>
    <t>1535230000002</t>
  </si>
  <si>
    <t>RIKO KRISMANTO</t>
  </si>
  <si>
    <t>DSN IV TANJUNG AGUNG BARAT  RT 000 RW 000 Kel.TANJUNG AGUNG BARAT Kec. LAIS Kota MUSI BANYUASIN 30757</t>
  </si>
  <si>
    <t>30757</t>
  </si>
  <si>
    <t>TANJUNG AGUNG BARAT</t>
  </si>
  <si>
    <t>LAIS</t>
  </si>
  <si>
    <t>MHYHDC61TNJ264258</t>
  </si>
  <si>
    <t>K15BT1481520</t>
  </si>
  <si>
    <t>BG 8026 BQ</t>
  </si>
  <si>
    <t>1534C20240700011</t>
  </si>
  <si>
    <t>1534240000070</t>
  </si>
  <si>
    <t>JOYOTAKAN RT 005 RW 003 Kel.JOYOTAKAN Kec. SERENGAN Kota SURAKARTA (SOLO) 57157</t>
  </si>
  <si>
    <t>57157</t>
  </si>
  <si>
    <t>JOYOTAKAN</t>
  </si>
  <si>
    <t>SERENGAN</t>
  </si>
  <si>
    <t>SURAKARTA (SOLO)</t>
  </si>
  <si>
    <t>15340000</t>
  </si>
  <si>
    <t>MHYHDC61TPJ246029</t>
  </si>
  <si>
    <t>K15BT1571824</t>
  </si>
  <si>
    <t>AD8654BB</t>
  </si>
  <si>
    <t>1534C20240200009</t>
  </si>
  <si>
    <t>1534240000015</t>
  </si>
  <si>
    <t>YAYUK PURWANINGSIH</t>
  </si>
  <si>
    <t>KLEGEN RT 001 RW 005 Kel.JAMBU KIDUL Kec. CEPER Kota KLATEN 57465</t>
  </si>
  <si>
    <t>57465</t>
  </si>
  <si>
    <t>JAMBU KIDUL</t>
  </si>
  <si>
    <t>CEPER</t>
  </si>
  <si>
    <t>Solo</t>
  </si>
  <si>
    <t>MHYANC32SPJ113254</t>
  </si>
  <si>
    <t>K15BT1589233</t>
  </si>
  <si>
    <t>AD1537BV</t>
  </si>
  <si>
    <t>1534C20221200008</t>
  </si>
  <si>
    <t>1534220000162</t>
  </si>
  <si>
    <t>SITI MANDUROH</t>
  </si>
  <si>
    <t>DONGKELAN RT 001 RW 014 Kel.DRONO Kec. NGAWEN Kota KLATEN 57466</t>
  </si>
  <si>
    <t>57466</t>
  </si>
  <si>
    <t>DRONO</t>
  </si>
  <si>
    <t>NGAWEN</t>
  </si>
  <si>
    <t>MHYHDC61TNJ257773</t>
  </si>
  <si>
    <t>K15BT1464230</t>
  </si>
  <si>
    <t>AD9097AC</t>
  </si>
  <si>
    <t>154199</t>
  </si>
  <si>
    <t>20081206507</t>
  </si>
  <si>
    <t>NANANG PRASETYA</t>
  </si>
  <si>
    <t>152071</t>
  </si>
  <si>
    <t>20110410784</t>
  </si>
  <si>
    <t>ANDI BUDIYANTO</t>
  </si>
  <si>
    <t>1534C20190700049</t>
  </si>
  <si>
    <t>1534220000070</t>
  </si>
  <si>
    <t>KUSTINI</t>
  </si>
  <si>
    <t>JL WZ YOHANES 40 RT 003 RW 007 Kel.PURWODININGRATAN Kec. JEBRES Kota SURAKARTA (SOLO) 57128</t>
  </si>
  <si>
    <t>57128</t>
  </si>
  <si>
    <t>PURWODININGRATAN</t>
  </si>
  <si>
    <t>JEBRES</t>
  </si>
  <si>
    <t>153****</t>
  </si>
  <si>
    <t>MHYHDC61TNJ224549</t>
  </si>
  <si>
    <t>K15BT1384742</t>
  </si>
  <si>
    <t>AD9818A</t>
  </si>
  <si>
    <t>1533C20250700027</t>
  </si>
  <si>
    <t>1533250000040</t>
  </si>
  <si>
    <t>JUMAK NUSI</t>
  </si>
  <si>
    <t>JAGA II DESA MINANGA TIGA KEC PUSOMAEN KAB MINHASA TENGGARA RT 000 RW 000 Kel.Minanga Tiga Kec. Pusomaen Kota Kab. Minahasa Tenggara 95997</t>
  </si>
  <si>
    <t>95997</t>
  </si>
  <si>
    <t>Minanga Tiga</t>
  </si>
  <si>
    <t>Pusomaen</t>
  </si>
  <si>
    <t>Kab. Minahasa Tenggara</t>
  </si>
  <si>
    <t>08539*******</t>
  </si>
  <si>
    <t>MHYHDC61TSJ275829</t>
  </si>
  <si>
    <t>K15BT1690836</t>
  </si>
  <si>
    <t>DB 8273 JD</t>
  </si>
  <si>
    <t>1533C20231200004</t>
  </si>
  <si>
    <t>1533230000284</t>
  </si>
  <si>
    <t>MEDIKA ANDARIKA ADATI</t>
  </si>
  <si>
    <t>LINGK II KEL BANJER KEC TIKALA KOTA MANADO RT 000 RW 000 Kel.BANJER Kec. TIKALA Kota MANADO 95125</t>
  </si>
  <si>
    <t>95125</t>
  </si>
  <si>
    <t>BANJER</t>
  </si>
  <si>
    <t>TIKALA</t>
  </si>
  <si>
    <t>MHYHDC61TPJ243785</t>
  </si>
  <si>
    <t>K15BT1567040</t>
  </si>
  <si>
    <t>DB 8589 LP</t>
  </si>
  <si>
    <t>1532C20210500001</t>
  </si>
  <si>
    <t>1532220000037</t>
  </si>
  <si>
    <t>DRS MIRHAN</t>
  </si>
  <si>
    <t>RIGANGAN III RT 000 RW 000 Kel.RIGANGAN III Kec. KELAM TENGAH Kota KAUR 38956</t>
  </si>
  <si>
    <t>38956</t>
  </si>
  <si>
    <t>RIGANGAN III</t>
  </si>
  <si>
    <t>KELAM TENGAH</t>
  </si>
  <si>
    <t>KAUR</t>
  </si>
  <si>
    <t>7804****</t>
  </si>
  <si>
    <t>BALENO</t>
  </si>
  <si>
    <t>NEW BALENO MT</t>
  </si>
  <si>
    <t>MBHEWB52SMG738211</t>
  </si>
  <si>
    <t>K14BN4188857</t>
  </si>
  <si>
    <t>BD 1449 WB</t>
  </si>
  <si>
    <t>1532C20220100013</t>
  </si>
  <si>
    <t>1532220000003</t>
  </si>
  <si>
    <t>SADAR RAMLAN SINAGA</t>
  </si>
  <si>
    <t>PULAI PAYUNG RT 000 RW 000 Kel.PULAI PAYUNG Kec. IPUH Kota KABUPATEN MUKO MUKO 38364</t>
  </si>
  <si>
    <t>38364</t>
  </si>
  <si>
    <t>PULAI PAYUNG</t>
  </si>
  <si>
    <t>IPUH</t>
  </si>
  <si>
    <t>KABUPATEN MUKO MUKO</t>
  </si>
  <si>
    <t>1705****</t>
  </si>
  <si>
    <t>MHYHDC61TMJ258830</t>
  </si>
  <si>
    <t>K15BT1346278</t>
  </si>
  <si>
    <t>BD 9384 ND</t>
  </si>
  <si>
    <t>1532C20211200004</t>
  </si>
  <si>
    <t>1532210000056</t>
  </si>
  <si>
    <t>MEDI RIANSYAH PUTRA</t>
  </si>
  <si>
    <t>JL SAPTA MARGA RT 05 RW 01 Kel.TALANG RIMBO LAMA Kec. CURUP TENGAH Kota REJANG LEBONG 39114</t>
  </si>
  <si>
    <t>39114</t>
  </si>
  <si>
    <t>TALANG RIMBO LAMA</t>
  </si>
  <si>
    <t>CURUP TENGAH</t>
  </si>
  <si>
    <t>REJANG LEBONG</t>
  </si>
  <si>
    <t>7379****</t>
  </si>
  <si>
    <t>MHYHDC61TMJ253507</t>
  </si>
  <si>
    <t>K15BT1331497</t>
  </si>
  <si>
    <t>BD 9164 KC</t>
  </si>
  <si>
    <t>1532C20211100001</t>
  </si>
  <si>
    <t>1532210000049</t>
  </si>
  <si>
    <t>EMI WATI</t>
  </si>
  <si>
    <t>DESA PAGAR BANYU RT 0 RW 0 Kel.PAGAR BANYU Kec. ARGA MAKMUR Kota BENGKULU UTARA 38611</t>
  </si>
  <si>
    <t>38611</t>
  </si>
  <si>
    <t>PAGAR BANYU</t>
  </si>
  <si>
    <t>ARGA MAKMUR</t>
  </si>
  <si>
    <t>BENGKULU UTARA</t>
  </si>
  <si>
    <t>8941****</t>
  </si>
  <si>
    <t>MHYHDC61TMJ246054</t>
  </si>
  <si>
    <t>K15BT1316037</t>
  </si>
  <si>
    <t>BD 9004 DF</t>
  </si>
  <si>
    <t>1531C20241000090</t>
  </si>
  <si>
    <t>1531240000179</t>
  </si>
  <si>
    <t>SAMUEL TEKLIU</t>
  </si>
  <si>
    <t>BESNAEN RT 039 RW 005 Kel.MAUBELI Kec. KOTA KEFAMENANU Kota TIMOR TENGAH UTARA 85617</t>
  </si>
  <si>
    <t>85617</t>
  </si>
  <si>
    <t>MAUBELI</t>
  </si>
  <si>
    <t>KOTA KEFAMENANU</t>
  </si>
  <si>
    <t>TIMOR TENGAH UTARA</t>
  </si>
  <si>
    <t>MHYHDC61TRJ215558</t>
  </si>
  <si>
    <t>K15BT1608076</t>
  </si>
  <si>
    <t>DH 8529 DL</t>
  </si>
  <si>
    <t>156396</t>
  </si>
  <si>
    <t>20240423974</t>
  </si>
  <si>
    <t>ERIK YOHANES F NAISALI</t>
  </si>
  <si>
    <t>1531C20230800026</t>
  </si>
  <si>
    <t>1531230000233</t>
  </si>
  <si>
    <t>VICTOR YONARI NDUN</t>
  </si>
  <si>
    <t>JL CENDAWAN RT 016 RW 004 Kel.LASIANA Kec. KELAPA LIMA Kota KUPANG 85228</t>
  </si>
  <si>
    <t>85228</t>
  </si>
  <si>
    <t>LASIANA</t>
  </si>
  <si>
    <t>KELAPA LIMA</t>
  </si>
  <si>
    <t>MHYHDC61TPJ215365</t>
  </si>
  <si>
    <t>K15BT1503097</t>
  </si>
  <si>
    <t>DH8514AQ</t>
  </si>
  <si>
    <t>1531C20220100144</t>
  </si>
  <si>
    <t>1531220000025</t>
  </si>
  <si>
    <t>DANIEL BERE TEMU</t>
  </si>
  <si>
    <t>SUKABI WEDIK RT 001 RW 001 Kel.KAMANASA Kec. MALAKA TENGAH Kota MALAKA 85762</t>
  </si>
  <si>
    <t>85762</t>
  </si>
  <si>
    <t>KAMANASA</t>
  </si>
  <si>
    <t>MALAKA TENGAH</t>
  </si>
  <si>
    <t>Ende</t>
  </si>
  <si>
    <t>MHYHDC61TMJ260447</t>
  </si>
  <si>
    <t>K15BT1349202</t>
  </si>
  <si>
    <t>DH8834JB</t>
  </si>
  <si>
    <t>1531C20220100075</t>
  </si>
  <si>
    <t>1531220000015</t>
  </si>
  <si>
    <t>SOFYAN</t>
  </si>
  <si>
    <t>JLN TURIN RT 012 RW 004 Kel.OETETE Kec. OEBOBO Kota KUPANG 85112</t>
  </si>
  <si>
    <t>85112</t>
  </si>
  <si>
    <t>OETETE</t>
  </si>
  <si>
    <t>OEBOBO</t>
  </si>
  <si>
    <t>MHYHDC61TMJ260807</t>
  </si>
  <si>
    <t>K15BT1349453</t>
  </si>
  <si>
    <t>DH 8216 AP</t>
  </si>
  <si>
    <t>1531C20200600135</t>
  </si>
  <si>
    <t>1531210000162</t>
  </si>
  <si>
    <t>VICTOR IMANUEL LAY</t>
  </si>
  <si>
    <t>LELOGAMA RT 009 RW 005 Kel.LELOGAMA Kec. AMFOANG SELATAN Kota KUPANG 85364</t>
  </si>
  <si>
    <t>85364</t>
  </si>
  <si>
    <t>LELOGAMA</t>
  </si>
  <si>
    <t>AMFOANG SELATAN</t>
  </si>
  <si>
    <t>Kupang</t>
  </si>
  <si>
    <t>MHYHDC61TMJ229294</t>
  </si>
  <si>
    <t>K15BT1273332</t>
  </si>
  <si>
    <t>DH 8945 BF</t>
  </si>
  <si>
    <t>RB</t>
  </si>
  <si>
    <t>ALL NEW SCOOPY STYLISH</t>
  </si>
  <si>
    <t>Last Month</t>
  </si>
  <si>
    <t>MAGETAN</t>
  </si>
  <si>
    <t>10070000</t>
  </si>
  <si>
    <t>Kediri</t>
  </si>
  <si>
    <t>08585*******</t>
  </si>
  <si>
    <t>PCX</t>
  </si>
  <si>
    <t>VARIO</t>
  </si>
  <si>
    <t>08521*******</t>
  </si>
  <si>
    <t>PENJARINGAN</t>
  </si>
  <si>
    <t>08128*******</t>
  </si>
  <si>
    <t>08577*******</t>
  </si>
  <si>
    <t>15560</t>
  </si>
  <si>
    <t>KUTA JAYA</t>
  </si>
  <si>
    <t>PASAR KEMIS</t>
  </si>
  <si>
    <t>JOMBANG</t>
  </si>
  <si>
    <t>08569*******</t>
  </si>
  <si>
    <t>Samarinda</t>
  </si>
  <si>
    <t>15200100</t>
  </si>
  <si>
    <t>Duri</t>
  </si>
  <si>
    <t>28992</t>
  </si>
  <si>
    <t>ROKAN HILIR</t>
  </si>
  <si>
    <t>28784</t>
  </si>
  <si>
    <t>PINGGIR</t>
  </si>
  <si>
    <t>BENGKALIS</t>
  </si>
  <si>
    <t>SPRESSO MT</t>
  </si>
  <si>
    <t>TANAH LAUT</t>
  </si>
  <si>
    <t>15210000</t>
  </si>
  <si>
    <t>Banjarmasin</t>
  </si>
  <si>
    <t>15210200</t>
  </si>
  <si>
    <t xml:space="preserve"> Batu Licin</t>
  </si>
  <si>
    <t>153355</t>
  </si>
  <si>
    <t>20170319474</t>
  </si>
  <si>
    <t>DONA SYAHPUTRA</t>
  </si>
  <si>
    <t>1522ARC004</t>
  </si>
  <si>
    <t>20060301668</t>
  </si>
  <si>
    <t>SYAHRIL SIDDIK HASIBUAN</t>
  </si>
  <si>
    <t>144575</t>
  </si>
  <si>
    <t>1522CH002</t>
  </si>
  <si>
    <t xml:space="preserve"> Medan</t>
  </si>
  <si>
    <t>157067</t>
  </si>
  <si>
    <t>20080404984</t>
  </si>
  <si>
    <t>MUHAMMAD JUNAIDI</t>
  </si>
  <si>
    <t>157066</t>
  </si>
  <si>
    <t>08572*******</t>
  </si>
  <si>
    <t>KARANG ANYAR</t>
  </si>
  <si>
    <t>08584*******</t>
  </si>
  <si>
    <t>159204</t>
  </si>
  <si>
    <t>20250424249</t>
  </si>
  <si>
    <t>JETRO UNTUNG SITANGGANG</t>
  </si>
  <si>
    <t>08215*******</t>
  </si>
  <si>
    <t>08575*******</t>
  </si>
  <si>
    <t>08524*******</t>
  </si>
  <si>
    <t xml:space="preserve"> Maumere</t>
  </si>
  <si>
    <t xml:space="preserve">Gorontalo </t>
  </si>
  <si>
    <t xml:space="preserve"> Depok</t>
  </si>
  <si>
    <t>15510000</t>
  </si>
  <si>
    <t>Parepare</t>
  </si>
  <si>
    <t>159156</t>
  </si>
  <si>
    <t>20090306663</t>
  </si>
  <si>
    <t>SUPER JAYA</t>
  </si>
  <si>
    <t>1551ARC003</t>
  </si>
  <si>
    <t>143793</t>
  </si>
  <si>
    <t>20080204521</t>
  </si>
  <si>
    <t>AL IMRAN</t>
  </si>
  <si>
    <t>1551CH03</t>
  </si>
  <si>
    <t>1552ARC001</t>
  </si>
  <si>
    <t>159904</t>
  </si>
  <si>
    <t>20240323906</t>
  </si>
  <si>
    <t>MUHAMMAD WAIS ALKARNI</t>
  </si>
  <si>
    <t>1552CH0001</t>
  </si>
  <si>
    <t>1001C20241000008</t>
  </si>
  <si>
    <t>1001240000174</t>
  </si>
  <si>
    <t>AKHYAR RIFANI</t>
  </si>
  <si>
    <t>JL. SEBERANG MESJID RT 005 RW 001 Kel.SEBERANG MESJID Kec. BANJARMASIN TENGAH Kota BANJARMASIN 70231</t>
  </si>
  <si>
    <t>70231</t>
  </si>
  <si>
    <t>SEBERANG MESJID</t>
  </si>
  <si>
    <t>BANJARMASIN TENGAH</t>
  </si>
  <si>
    <t>10010000</t>
  </si>
  <si>
    <t xml:space="preserve"> Banjarmasin</t>
  </si>
  <si>
    <t>08781*******</t>
  </si>
  <si>
    <t>PCX 160 HYBRID</t>
  </si>
  <si>
    <t>MH1KF711XNK330841</t>
  </si>
  <si>
    <t>KF71E1331165</t>
  </si>
  <si>
    <t>DA 4377 AV</t>
  </si>
  <si>
    <t>149633</t>
  </si>
  <si>
    <t>1001RMH008</t>
  </si>
  <si>
    <t>Current Month</t>
  </si>
  <si>
    <t>1001C20241000066</t>
  </si>
  <si>
    <t>1001240000191</t>
  </si>
  <si>
    <t>SUPRIYADI</t>
  </si>
  <si>
    <t>JL. A. YANI KM. 13,300 RT 008 RW 003 Kel.GAMBUT BARAT Kec. GAMBUT Kota BANJAR 70652</t>
  </si>
  <si>
    <t>70652</t>
  </si>
  <si>
    <t>GAMBUT BARAT</t>
  </si>
  <si>
    <t>GAMBUT</t>
  </si>
  <si>
    <t>MH1JM0218NK773898</t>
  </si>
  <si>
    <t>JM02E1773922</t>
  </si>
  <si>
    <t>DA 4643 AW</t>
  </si>
  <si>
    <t>1004C20181000325</t>
  </si>
  <si>
    <t>1004230000026</t>
  </si>
  <si>
    <t>RINO OKTAVIAN</t>
  </si>
  <si>
    <t>JL.CENDANA GG.16 NO.46 RT 014 RW 000 Kel.KARANG ANYAR Kec. SUNGAI KUNJANG Kota SAMARINDA 75125</t>
  </si>
  <si>
    <t>75125</t>
  </si>
  <si>
    <t>SUNGAI KUNJANG</t>
  </si>
  <si>
    <t>10040000</t>
  </si>
  <si>
    <t>MOTOR Baru</t>
  </si>
  <si>
    <t>NEX</t>
  </si>
  <si>
    <t>NEX II STANDARD</t>
  </si>
  <si>
    <t>MH8EB11ANNJ167287</t>
  </si>
  <si>
    <t>AE54ID562803</t>
  </si>
  <si>
    <t>KT 6607 BAL</t>
  </si>
  <si>
    <t>148421</t>
  </si>
  <si>
    <t>1004ARC030</t>
  </si>
  <si>
    <t>152178</t>
  </si>
  <si>
    <t>1004CH003</t>
  </si>
  <si>
    <t>1007C20220800222</t>
  </si>
  <si>
    <t>1007220000730</t>
  </si>
  <si>
    <t>NUREKA FATCHUR ROHMAN</t>
  </si>
  <si>
    <t>JL A YANI RT 002 RW 003 Kel.MANISREJO Kec. KARANGREJO Kota MAGETAN 63395</t>
  </si>
  <si>
    <t>63395</t>
  </si>
  <si>
    <t>MANISREJO</t>
  </si>
  <si>
    <t>KARANGREJO</t>
  </si>
  <si>
    <t>08574*******</t>
  </si>
  <si>
    <t>MH1JM3118HK069885</t>
  </si>
  <si>
    <t>JM31E1072264</t>
  </si>
  <si>
    <t>AE6713MJ</t>
  </si>
  <si>
    <t>1007C20230200013</t>
  </si>
  <si>
    <t>1007230000038</t>
  </si>
  <si>
    <t>SUNANTO</t>
  </si>
  <si>
    <t>DSN PONGGOK RT 011 RW 001 Kel.PONGGOK Kec. MOJO Kota KEDIRI 64162</t>
  </si>
  <si>
    <t>64162</t>
  </si>
  <si>
    <t>PONGGOK</t>
  </si>
  <si>
    <t>MOJO</t>
  </si>
  <si>
    <t xml:space="preserve"> Kediri</t>
  </si>
  <si>
    <t>CBR</t>
  </si>
  <si>
    <t>CBR 150 INJ</t>
  </si>
  <si>
    <t>MH1KC9119HK124161</t>
  </si>
  <si>
    <t>KC91E1119275</t>
  </si>
  <si>
    <t>AG5540ECP</t>
  </si>
  <si>
    <t>1014C20230500065</t>
  </si>
  <si>
    <t>1014230000116</t>
  </si>
  <si>
    <t>SARYANTO</t>
  </si>
  <si>
    <t>KEPUH RT 1 RW 1 Kel.GEDONG Kec. KARANGANYAR Kota KARANGANYAR 57716</t>
  </si>
  <si>
    <t>57716</t>
  </si>
  <si>
    <t>GEDONG</t>
  </si>
  <si>
    <t>10140000</t>
  </si>
  <si>
    <t>08970******</t>
  </si>
  <si>
    <t>BEAT</t>
  </si>
  <si>
    <t>NEW BEAT ESP CW</t>
  </si>
  <si>
    <t>MH1JM8114LK343671</t>
  </si>
  <si>
    <t>JM81E1345535</t>
  </si>
  <si>
    <t>AD3880JB</t>
  </si>
  <si>
    <t>1017C20220600008</t>
  </si>
  <si>
    <t>1017220000404</t>
  </si>
  <si>
    <t>SLAMET WIDODO</t>
  </si>
  <si>
    <t>DUSUN SUMBERSARI  RT 003 RW 005 Kel.SUMBEREJO (SUMBER REJO) Kec. BATU Kota BATU 65318</t>
  </si>
  <si>
    <t>65318</t>
  </si>
  <si>
    <t>SUMBEREJO (SUMBER REJO)</t>
  </si>
  <si>
    <t>08953*******</t>
  </si>
  <si>
    <t>MH1KC8212GK044479</t>
  </si>
  <si>
    <t>KC82E1042892</t>
  </si>
  <si>
    <t>N 5027 ABZ</t>
  </si>
  <si>
    <t>1019C20230100036</t>
  </si>
  <si>
    <t>1019230000012</t>
  </si>
  <si>
    <t>UMAIROH</t>
  </si>
  <si>
    <t>DUSUN SUDIMORO RT 003 RW 002 Kel.KARANGASEM Kec. KUTOREJO Kota MOJOKERTO 61383</t>
  </si>
  <si>
    <t>61383</t>
  </si>
  <si>
    <t>KARANGASEM</t>
  </si>
  <si>
    <t>KUTOREJO</t>
  </si>
  <si>
    <t>08573*******</t>
  </si>
  <si>
    <t>VARIO 125 ESP CBS ISS</t>
  </si>
  <si>
    <t>MH1JFV117GK367039</t>
  </si>
  <si>
    <t>JFV1E1376124</t>
  </si>
  <si>
    <t>S 4211 NBH</t>
  </si>
  <si>
    <t>1502C20230400011</t>
  </si>
  <si>
    <t>1502230000113</t>
  </si>
  <si>
    <t>HENDRA WIDJAJA ST</t>
  </si>
  <si>
    <t>TWON HOUSE EBONG NO.3 BUKIT GOLF MEDITERANIA RT 007 RW 002 Kel.KAMAL MUARA Kec. PENJARINGAN Kota JAKARTA UTARA 14470</t>
  </si>
  <si>
    <t>14470</t>
  </si>
  <si>
    <t>KAMAL MUARA</t>
  </si>
  <si>
    <t>3115*****</t>
  </si>
  <si>
    <t>MHYHDC61TPJ220224</t>
  </si>
  <si>
    <t>K15BT1514355</t>
  </si>
  <si>
    <t>B9486BAY</t>
  </si>
  <si>
    <t>1505C20240300070</t>
  </si>
  <si>
    <t>1505240000058</t>
  </si>
  <si>
    <t>RADEN BISMA BRATAKOESOEMA</t>
  </si>
  <si>
    <t>JL.BUAH BATU NO.3  RT 008 RW 005 Kel.BURANGRANG Kec. LENGKONG Kota BANDUNG 40262</t>
  </si>
  <si>
    <t>40262</t>
  </si>
  <si>
    <t>BURANGRANG</t>
  </si>
  <si>
    <t>LENGKONG</t>
  </si>
  <si>
    <t>6263****</t>
  </si>
  <si>
    <t>08136*******</t>
  </si>
  <si>
    <t>MHYHDC61TRJ210370</t>
  </si>
  <si>
    <t>K15BT1594882</t>
  </si>
  <si>
    <t>D 8123 FV</t>
  </si>
  <si>
    <t>15069900001290</t>
  </si>
  <si>
    <t>1506240000080</t>
  </si>
  <si>
    <t>RISTA SARAGIH S SOS</t>
  </si>
  <si>
    <t>KP GOMBONG RT 002 RW 006 Kel.SUKAKERTA Kec. SUKAWANGI Kota BEKASI 17620</t>
  </si>
  <si>
    <t>17620</t>
  </si>
  <si>
    <t>SUKAKERTA</t>
  </si>
  <si>
    <t>SUKAWANGI</t>
  </si>
  <si>
    <t>8201****</t>
  </si>
  <si>
    <t>NEW XL7 ALPHA AT HYBRID</t>
  </si>
  <si>
    <t>MHYANC32SPJ114040</t>
  </si>
  <si>
    <t>K15BT1593234</t>
  </si>
  <si>
    <t>B2344FOD</t>
  </si>
  <si>
    <t>1506C20240400046</t>
  </si>
  <si>
    <t>1506240000134</t>
  </si>
  <si>
    <t>SUTARSO</t>
  </si>
  <si>
    <t>PERUM MAHKOTA VILLAGE BLOK F 5 NO. 12 RT 001 RW 027 Kel.KERTA MUKTI Kec. CIBITUNG Kota BEKASI 17520</t>
  </si>
  <si>
    <t>17520</t>
  </si>
  <si>
    <t>KERTA MUKTI</t>
  </si>
  <si>
    <t>CIBITUNG</t>
  </si>
  <si>
    <t>4572****</t>
  </si>
  <si>
    <t>MHYHDC61TRJ210952</t>
  </si>
  <si>
    <t>K15BT1596047</t>
  </si>
  <si>
    <t>B9428FVC</t>
  </si>
  <si>
    <t>1506C20240800184</t>
  </si>
  <si>
    <t>1506240000358</t>
  </si>
  <si>
    <t>PT SIGMA TECHNO INDONESIA</t>
  </si>
  <si>
    <t>KP BANGKUANG NO 27 RT 008 RW 004 Kel.CIBATU Kec. CIKARANG SELATAN Kota BEKASI 17530</t>
  </si>
  <si>
    <t>CIBATU</t>
  </si>
  <si>
    <t>8068****</t>
  </si>
  <si>
    <t>8795****</t>
  </si>
  <si>
    <t>MHYHDC61TRJ224698</t>
  </si>
  <si>
    <t>K15BT1628459</t>
  </si>
  <si>
    <t>F8811HW</t>
  </si>
  <si>
    <t>1507C20211100177</t>
  </si>
  <si>
    <t>1507210000569</t>
  </si>
  <si>
    <t>SAMSURI</t>
  </si>
  <si>
    <t>KP CALUNG NO.4 RT 009 RW 005 Kel.TABAN Kec. JAMBE Kota TANGERANG 15720</t>
  </si>
  <si>
    <t>15720</t>
  </si>
  <si>
    <t>TABAN</t>
  </si>
  <si>
    <t>JAMBE</t>
  </si>
  <si>
    <t>Tangerang</t>
  </si>
  <si>
    <t>MHYHDC61TMJ255042</t>
  </si>
  <si>
    <t>K15BT1338023</t>
  </si>
  <si>
    <t>A8276ZT</t>
  </si>
  <si>
    <t>1507C20211100222</t>
  </si>
  <si>
    <t>1507210000615</t>
  </si>
  <si>
    <t>SURYANA</t>
  </si>
  <si>
    <t>KP. RANCA KALAPA RT 002 RW 001 Kel.RANCA KALAPA Kec. PANONGAN Kota TANGERANG 15710</t>
  </si>
  <si>
    <t>08770******</t>
  </si>
  <si>
    <t>MHYHDC61TMJ245116</t>
  </si>
  <si>
    <t>K15BT1319639</t>
  </si>
  <si>
    <t>A8310ZT</t>
  </si>
  <si>
    <t>1507C20211200185</t>
  </si>
  <si>
    <t>1507210000700</t>
  </si>
  <si>
    <t>JAMSARI LUBIS</t>
  </si>
  <si>
    <t>KP.PAGEDANGAN ILIR RT 001 RW 002 Kel.PAGEDANGAN ILIR Kec. KRONJO Kota TANGERANG 15550</t>
  </si>
  <si>
    <t>15550</t>
  </si>
  <si>
    <t>PAGEDANGAN ILIR</t>
  </si>
  <si>
    <t>KRONJO</t>
  </si>
  <si>
    <t>08787*******</t>
  </si>
  <si>
    <t>MHYHDC61TMJ261509</t>
  </si>
  <si>
    <t>K15BT1351214</t>
  </si>
  <si>
    <t>A8403ZT</t>
  </si>
  <si>
    <t>1507C20180800232</t>
  </si>
  <si>
    <t>1507220000260</t>
  </si>
  <si>
    <t>NURHASAN</t>
  </si>
  <si>
    <t>KP PERIUK RT 002 RW 003 Kel.LAKSANA Kec. PAKUHAJI Kota TANGERANG 15570</t>
  </si>
  <si>
    <t>15570</t>
  </si>
  <si>
    <t>LAKSANA</t>
  </si>
  <si>
    <t>PAKUHAJI</t>
  </si>
  <si>
    <t>MHYHDC61TNJ230735</t>
  </si>
  <si>
    <t>K15BT1398400</t>
  </si>
  <si>
    <t>B9562JAB</t>
  </si>
  <si>
    <t>1507C20221000390</t>
  </si>
  <si>
    <t>1507230000199</t>
  </si>
  <si>
    <t>KING JONNY</t>
  </si>
  <si>
    <t>MHYHDC61TPJ214291</t>
  </si>
  <si>
    <t>K15BT1500496</t>
  </si>
  <si>
    <t>B9209JAC</t>
  </si>
  <si>
    <t>1507C20230700126</t>
  </si>
  <si>
    <t>1507230000399</t>
  </si>
  <si>
    <t>AHMAD MAULANA</t>
  </si>
  <si>
    <t>VILA TANGERANG ELOK D-3/28 RT 013 RW 007 Kel.KUTA JAYA Kec. PASAR KEMIS Kota TANGERANG 15560</t>
  </si>
  <si>
    <t>MHYHDC61TPJ224420</t>
  </si>
  <si>
    <t>K15BT1523401</t>
  </si>
  <si>
    <t>A8560ZR</t>
  </si>
  <si>
    <t>1507C20230700187</t>
  </si>
  <si>
    <t>1507230000409</t>
  </si>
  <si>
    <t>WAKHID</t>
  </si>
  <si>
    <t>JL. TANAH SERATUS NO.37 RT 004 RW 011 Kel.SUDIMARA JAYA Kec. CILEDUG Kota TANGERANG 15151</t>
  </si>
  <si>
    <t>15151</t>
  </si>
  <si>
    <t>SUDIMARA JAYA</t>
  </si>
  <si>
    <t>CILEDUG</t>
  </si>
  <si>
    <t>MHYHDC61TPJ230831</t>
  </si>
  <si>
    <t>K15BT1538517</t>
  </si>
  <si>
    <t>B9870VAH</t>
  </si>
  <si>
    <t>1510C20250300052</t>
  </si>
  <si>
    <t>1510250000066</t>
  </si>
  <si>
    <t>HARSONO</t>
  </si>
  <si>
    <t>DUSUN SAMBEN RT 002 RW 005 Kel.PILANGPAYUNG Kec. TOROH Kota GROBOGAN 58171</t>
  </si>
  <si>
    <t>58171</t>
  </si>
  <si>
    <t>PILANGPAYUNG</t>
  </si>
  <si>
    <t>TOROH</t>
  </si>
  <si>
    <t>GROBOGAN</t>
  </si>
  <si>
    <t>15100100</t>
  </si>
  <si>
    <t xml:space="preserve"> Purwodadi</t>
  </si>
  <si>
    <t>MHYHDC61TRJ274537</t>
  </si>
  <si>
    <t>K15BT1663851</t>
  </si>
  <si>
    <t>K 9011 BF</t>
  </si>
  <si>
    <t>1511C20210600056</t>
  </si>
  <si>
    <t>1511210000126</t>
  </si>
  <si>
    <t>KRISTINA KARTINA</t>
  </si>
  <si>
    <t>JL WIRASWASTA RT 007 RW 000 Kel.SIDODADI Kec. SAMARINDA ULU Kota SAMARINDA 75123</t>
  </si>
  <si>
    <t>75123</t>
  </si>
  <si>
    <t>SIDODADI</t>
  </si>
  <si>
    <t>IGNIS</t>
  </si>
  <si>
    <t>IGNIS GX AGS</t>
  </si>
  <si>
    <t>MA3NFG81SM0300519</t>
  </si>
  <si>
    <t>K12MN4709862</t>
  </si>
  <si>
    <t>KT 1365 WR</t>
  </si>
  <si>
    <t>1511C20221200028</t>
  </si>
  <si>
    <t>1511220000216</t>
  </si>
  <si>
    <t>ARBAIN</t>
  </si>
  <si>
    <t>JL. P. SAMOSIR  RT 023 RW 000 Kel.SUMBER SARI Kec. SEBULU Kota KUTAI KARTANEGARA 75552</t>
  </si>
  <si>
    <t>75552</t>
  </si>
  <si>
    <t>SUMBER SARI</t>
  </si>
  <si>
    <t>SEBULU</t>
  </si>
  <si>
    <t>MHYHDC61TNJ262098</t>
  </si>
  <si>
    <t>K15BT1475891</t>
  </si>
  <si>
    <t>KT 8251 UL</t>
  </si>
  <si>
    <t>1511C20230100071</t>
  </si>
  <si>
    <t>1511230000022</t>
  </si>
  <si>
    <t>INDRI PRATAMA</t>
  </si>
  <si>
    <t>JENGAN DANUM RT 006 RW 000 Kel.JENGAN DANUM Kec. DAMAI Kota KUTAI BARAT 75777</t>
  </si>
  <si>
    <t>75777</t>
  </si>
  <si>
    <t>JENGAN DANUM</t>
  </si>
  <si>
    <t>DAMAI</t>
  </si>
  <si>
    <t>15110001</t>
  </si>
  <si>
    <t xml:space="preserve">Melak </t>
  </si>
  <si>
    <t>MHYHDC61TNJ265980</t>
  </si>
  <si>
    <t>K15BT1485003</t>
  </si>
  <si>
    <t>KT 8581 PH</t>
  </si>
  <si>
    <t>1512C20241100032</t>
  </si>
  <si>
    <t>1512240000153</t>
  </si>
  <si>
    <t>DODY MAULANA HAKIM ST</t>
  </si>
  <si>
    <t>KP. BANTAR PEUTEUY  RT 003 RW 002 Kel.TAJUR Kec. BOGOR TIMUR - KOTA Kota BOGOR 16141</t>
  </si>
  <si>
    <t>16141</t>
  </si>
  <si>
    <t>TAJUR</t>
  </si>
  <si>
    <t>BOGOR TIMUR - KOTA</t>
  </si>
  <si>
    <t>MHYANC22SRJ106157</t>
  </si>
  <si>
    <t>K15BT1649299</t>
  </si>
  <si>
    <t>F 1795 VP</t>
  </si>
  <si>
    <t>155118</t>
  </si>
  <si>
    <t>20100709208</t>
  </si>
  <si>
    <t>A BAMBANG SUBIYAKTO</t>
  </si>
  <si>
    <t>ARCORD</t>
  </si>
  <si>
    <t>147145</t>
  </si>
  <si>
    <t>1512CH0000</t>
  </si>
  <si>
    <t>1514C20221100017</t>
  </si>
  <si>
    <t>1514220000303</t>
  </si>
  <si>
    <t>ASRI</t>
  </si>
  <si>
    <t>KALUMEME RT 001 RW 001 Kel.KALUMEME Kec. UJUNG BULU Kota BULUKUMBA 92518</t>
  </si>
  <si>
    <t>92518</t>
  </si>
  <si>
    <t>KALUMEME</t>
  </si>
  <si>
    <t>UJUNG BULU</t>
  </si>
  <si>
    <t>BULUKUMBA</t>
  </si>
  <si>
    <t>15140001</t>
  </si>
  <si>
    <t xml:space="preserve">Bulukumba </t>
  </si>
  <si>
    <t>08152*******</t>
  </si>
  <si>
    <t>MHYHDC61TNJ244262</t>
  </si>
  <si>
    <t>K15BT1428103</t>
  </si>
  <si>
    <t>DD8461HQ</t>
  </si>
  <si>
    <t>1514C20230800026</t>
  </si>
  <si>
    <t>1514230000162</t>
  </si>
  <si>
    <t>SALMA</t>
  </si>
  <si>
    <t>JL RAHMATULLAH NO RT 005 RW 005 Kel.TAMANGAPA Kec. MANGGALA Kota MAKASSAR 90235</t>
  </si>
  <si>
    <t>90235</t>
  </si>
  <si>
    <t>TAMANGAPA</t>
  </si>
  <si>
    <t>MANGGALA</t>
  </si>
  <si>
    <t>MHYHDC61TPJ220647</t>
  </si>
  <si>
    <t>K15BT1515485</t>
  </si>
  <si>
    <t>DD8217UD</t>
  </si>
  <si>
    <t>1516C20211000049</t>
  </si>
  <si>
    <t>1516210000322</t>
  </si>
  <si>
    <t>SUNARDI</t>
  </si>
  <si>
    <t>LINK. SUMAMPIR TIMUR RT 004 RW 004 Kel.KEBONDALEM Kec. PURWAKARTA Kota CILEGON 42433</t>
  </si>
  <si>
    <t>42433</t>
  </si>
  <si>
    <t>KEBONDALEM</t>
  </si>
  <si>
    <t>CILEGON</t>
  </si>
  <si>
    <t>MHYHDC61TMJ248314</t>
  </si>
  <si>
    <t>K15BT1321781</t>
  </si>
  <si>
    <t>A 8904 T</t>
  </si>
  <si>
    <t>1518C20220500043</t>
  </si>
  <si>
    <t>1518220000179</t>
  </si>
  <si>
    <t>PARTI RATIFAH</t>
  </si>
  <si>
    <t>JL. I GUSTI NGURAHRAI RT 003 RW 005 Kel.CIPINANG MUARA Kec. JATINEGARA Kota JAKARTA TIMUR 13420</t>
  </si>
  <si>
    <t>13420</t>
  </si>
  <si>
    <t>CIPINANG MUARA</t>
  </si>
  <si>
    <t>JATINEGARA</t>
  </si>
  <si>
    <t>Dewi Sartika</t>
  </si>
  <si>
    <t>7917****</t>
  </si>
  <si>
    <t>08777*******</t>
  </si>
  <si>
    <t>MHYHDC61TNJ218001</t>
  </si>
  <si>
    <t>K15BT1370728</t>
  </si>
  <si>
    <t>B9340TAZ</t>
  </si>
  <si>
    <t>1520C20211000020</t>
  </si>
  <si>
    <t>1520210000318</t>
  </si>
  <si>
    <t>AGUS HUTAGALUNG</t>
  </si>
  <si>
    <t>JL BAHOROK RT 005 RW 003 Kel.PINGGIR Kec. PINGGIR Kota BENGKALIS 28784</t>
  </si>
  <si>
    <t>08238*******</t>
  </si>
  <si>
    <t>MHYHDC61TMJ247368</t>
  </si>
  <si>
    <t>K15BT1319373</t>
  </si>
  <si>
    <t>BM 8897 DN</t>
  </si>
  <si>
    <t>1520C20211200240</t>
  </si>
  <si>
    <t>1520210000429</t>
  </si>
  <si>
    <t>SAMSIDAR</t>
  </si>
  <si>
    <t>DUSUN BOURTREM RT 027 RW 009 Kel.BANGKO SEMPURNA Kec. BANGKO PUSAKA (PUSAKO) Kota ROKAN HILIR 28992</t>
  </si>
  <si>
    <t>BANGKO SEMPURNA</t>
  </si>
  <si>
    <t>BANGKO PUSAKA (PUSAKO)</t>
  </si>
  <si>
    <t>MHYHDC61TMJ257839</t>
  </si>
  <si>
    <t>K15BT1344545</t>
  </si>
  <si>
    <t>BM 8922 PG</t>
  </si>
  <si>
    <t>1520C20220400057</t>
  </si>
  <si>
    <t>1520220000101</t>
  </si>
  <si>
    <t>RONI JAYUSMAN</t>
  </si>
  <si>
    <t>JL.ARBES RT 002 RW 002 Kel.PANGKALAN KERINCI TIMUR Kec. PANGKALAN KERINCI Kota PELALAWAN 28381</t>
  </si>
  <si>
    <t>28381</t>
  </si>
  <si>
    <t>PANGKALAN KERINCI TIMUR</t>
  </si>
  <si>
    <t>PANGKALAN KERINCI</t>
  </si>
  <si>
    <t xml:space="preserve">Kerinci </t>
  </si>
  <si>
    <t>MHYHDC61TNJ221834</t>
  </si>
  <si>
    <t>K15BT1378461</t>
  </si>
  <si>
    <t>BM 8742 CH</t>
  </si>
  <si>
    <t>1520C20231200132</t>
  </si>
  <si>
    <t>1520230000290</t>
  </si>
  <si>
    <t>IMAM HAMBALI</t>
  </si>
  <si>
    <t>PETAPAHAN JAYA RT 013 RW 006 Kel.PATAHAPAN JAYA (PETAPAHAN JAYA) Kec. TAPUNG Kota KAB KAMPAR 28464</t>
  </si>
  <si>
    <t>28464</t>
  </si>
  <si>
    <t>PATAHAPAN JAYA (PETAPAHAN JAYA)</t>
  </si>
  <si>
    <t>TAPUNG</t>
  </si>
  <si>
    <t>KAB KAMPAR</t>
  </si>
  <si>
    <t>15200000</t>
  </si>
  <si>
    <t xml:space="preserve"> Pekanbaru</t>
  </si>
  <si>
    <t>MHYHDC61TPJ235386</t>
  </si>
  <si>
    <t>K15BT1547107</t>
  </si>
  <si>
    <t>BM 8815 ZB</t>
  </si>
  <si>
    <t>1520C20210200009</t>
  </si>
  <si>
    <t>1520240000179</t>
  </si>
  <si>
    <t>EDI YUNUS ZEGA</t>
  </si>
  <si>
    <t>PEMATANG TEBIH RT 002 RW 001 Kel.PEMATANG TEBIH Kec. UJUNG BATU Kota ROKAN HULU 28554</t>
  </si>
  <si>
    <t>28554</t>
  </si>
  <si>
    <t>PEMATANG TEBIH</t>
  </si>
  <si>
    <t>ROKAN HULU</t>
  </si>
  <si>
    <t>MHYHDC61TMJ212219</t>
  </si>
  <si>
    <t>K15BT1237603</t>
  </si>
  <si>
    <t>BM 8952 MN</t>
  </si>
  <si>
    <t>1521C20211100017</t>
  </si>
  <si>
    <t>1521210000258</t>
  </si>
  <si>
    <t>ABDULLAH AMAT</t>
  </si>
  <si>
    <t>JL. S. PARMAN RT 006 RW 000 Kel.BAGUS Kec. MARABAHAN Kota BARITO KUALA 70511</t>
  </si>
  <si>
    <t>70511</t>
  </si>
  <si>
    <t>BAGUS</t>
  </si>
  <si>
    <t>MARABAHAN</t>
  </si>
  <si>
    <t>BARITO KUALA</t>
  </si>
  <si>
    <t>2165****</t>
  </si>
  <si>
    <t>MHYANC22SMJ117582</t>
  </si>
  <si>
    <t>K15BT1317147</t>
  </si>
  <si>
    <t>DA 1104 MI</t>
  </si>
  <si>
    <t>1521C20240700008</t>
  </si>
  <si>
    <t>1521240000071</t>
  </si>
  <si>
    <t>NURLIANA</t>
  </si>
  <si>
    <t>JL. CEK DAM RT 008 RW 001 Kel.PANDANSARI Kec. KINTAP Kota TANAH LAUT 70883</t>
  </si>
  <si>
    <t>70883</t>
  </si>
  <si>
    <t>PANDANSARI</t>
  </si>
  <si>
    <t>KINTAP</t>
  </si>
  <si>
    <t>MHYHDC61TPJ226177</t>
  </si>
  <si>
    <t>K15BT1527476</t>
  </si>
  <si>
    <t>DA 8189 GM</t>
  </si>
  <si>
    <t>1521C20250500001</t>
  </si>
  <si>
    <t>1521250000035</t>
  </si>
  <si>
    <t>HERI SUSILO</t>
  </si>
  <si>
    <t>SUMBER BARU RT 012 RW 000 Kel.SUMBER BARU Kec. ANGSANA Kota TANAH BUMBU 72275</t>
  </si>
  <si>
    <t>72275</t>
  </si>
  <si>
    <t>SUMBER BARU</t>
  </si>
  <si>
    <t>ANGSANA</t>
  </si>
  <si>
    <t>TANAH BUMBU</t>
  </si>
  <si>
    <t>NEW CARRY FD PICK UP R14</t>
  </si>
  <si>
    <t>MHYHDC61TRJ275386</t>
  </si>
  <si>
    <t>K15BT1665860</t>
  </si>
  <si>
    <t>DA 8756 ZS</t>
  </si>
  <si>
    <t>158988</t>
  </si>
  <si>
    <t>20250224203</t>
  </si>
  <si>
    <t>MUHAMMAD NUR</t>
  </si>
  <si>
    <t>143330</t>
  </si>
  <si>
    <t>1522C20220600058</t>
  </si>
  <si>
    <t>1522220000115</t>
  </si>
  <si>
    <t>MARSENCIUS MARPAUNG</t>
  </si>
  <si>
    <t>DUSUN III KAMPUNG BANJAR RT 000 RW 000 Kel.TANJUNG PASIR Kec. KUALUH SELATAN Kota LABUHAN BATU UTARA 21457</t>
  </si>
  <si>
    <t>21457</t>
  </si>
  <si>
    <t>TANJUNG PASIR</t>
  </si>
  <si>
    <t>KUALUH SELATAN</t>
  </si>
  <si>
    <t>MHYHDC61TNJ222284</t>
  </si>
  <si>
    <t>K15BT1379780</t>
  </si>
  <si>
    <t>BK 8808 YQ</t>
  </si>
  <si>
    <t>1522C20230300095</t>
  </si>
  <si>
    <t>1522230000113</t>
  </si>
  <si>
    <t>ROBINTANG TUA SIBURIAN</t>
  </si>
  <si>
    <t>JL. PERSATUAN / KETAREN RAYA DUSUN IV RT 000 RW 000 Kel.HELVETIA Kec. LABUHAN DELI Kota DELI SERDANG 20373</t>
  </si>
  <si>
    <t>20373</t>
  </si>
  <si>
    <t>HELVETIA</t>
  </si>
  <si>
    <t>LABUHAN DELI</t>
  </si>
  <si>
    <t>DELI SERDANG</t>
  </si>
  <si>
    <t>MHYHDC61TPJ212662</t>
  </si>
  <si>
    <t>K15BT1496332</t>
  </si>
  <si>
    <t>BK 8391 FX</t>
  </si>
  <si>
    <t>160688</t>
  </si>
  <si>
    <t>20091208027</t>
  </si>
  <si>
    <t>SONNY HERYANTO PARLAGUTAN</t>
  </si>
  <si>
    <t>1522C20230700143</t>
  </si>
  <si>
    <t>1522230000253</t>
  </si>
  <si>
    <t>PAISAL</t>
  </si>
  <si>
    <t>JL PERJUANGAN GG MUFAKAT NO. 20 D DUSUN 2B RT 000 RW 000 Kel.TANJUNG ANOM Kec. PANCUR BATU Kota DELI SERDANG 20353</t>
  </si>
  <si>
    <t>20353</t>
  </si>
  <si>
    <t>TANJUNG ANOM</t>
  </si>
  <si>
    <t>PANCUR BATU</t>
  </si>
  <si>
    <t>MHYHDC61TPJ222981</t>
  </si>
  <si>
    <t>K15BT1519949</t>
  </si>
  <si>
    <t>BK 8313 GC</t>
  </si>
  <si>
    <t>159435</t>
  </si>
  <si>
    <t>20140816579</t>
  </si>
  <si>
    <t>ARISTON SARAGIH</t>
  </si>
  <si>
    <t>1525C20220200075</t>
  </si>
  <si>
    <t>1525220000038</t>
  </si>
  <si>
    <t>SOFIA ERVAN SUSANTO</t>
  </si>
  <si>
    <t>DUSUN CABEAN RT 003 RW 001 Kel.KERTOSARI Kec. GEGER Kota MADIUN 63171</t>
  </si>
  <si>
    <t>63171</t>
  </si>
  <si>
    <t>KERTOSARI</t>
  </si>
  <si>
    <t>GEGER</t>
  </si>
  <si>
    <t>15250000</t>
  </si>
  <si>
    <t>08525******</t>
  </si>
  <si>
    <t>MHYHDC61TNJ215789</t>
  </si>
  <si>
    <t>K15BT1366187</t>
  </si>
  <si>
    <t>AE8662GC</t>
  </si>
  <si>
    <t>10439900013422</t>
  </si>
  <si>
    <t>1525220000224</t>
  </si>
  <si>
    <t>MOHAMMAD WAHYUDI ST</t>
  </si>
  <si>
    <t>DSN BANDUNG RT 003 RW 002 Kel.BANDUNG Kec. DIWEK Kota JOMBANG 61471</t>
  </si>
  <si>
    <t>61471</t>
  </si>
  <si>
    <t>DIWEK</t>
  </si>
  <si>
    <t>85859******</t>
  </si>
  <si>
    <t>SUZUKI IGNIS IGNIS GX AT</t>
  </si>
  <si>
    <t>MA3NFG81SN0367184</t>
  </si>
  <si>
    <t>K12MN4794234</t>
  </si>
  <si>
    <t>S1149XQ</t>
  </si>
  <si>
    <t>1526C20230600158</t>
  </si>
  <si>
    <t>1526230000241</t>
  </si>
  <si>
    <t>AHMAD MUGADDAM</t>
  </si>
  <si>
    <t>DUSUN PAPAK RT 009 RW 000 Kel.SEGARA KATON Kec. GANGGA Kota LOMBOK UTARA 83353</t>
  </si>
  <si>
    <t>83353</t>
  </si>
  <si>
    <t>SEGARA KATON</t>
  </si>
  <si>
    <t>GANGGA</t>
  </si>
  <si>
    <t>LOMBOK UTARA</t>
  </si>
  <si>
    <t>MHYHDC61TPJ220155</t>
  </si>
  <si>
    <t>K15BT1514437</t>
  </si>
  <si>
    <t>DR 8184 RD</t>
  </si>
  <si>
    <t>1526C20241000172</t>
  </si>
  <si>
    <t>1526240000382</t>
  </si>
  <si>
    <t>ABDUL HERWIN</t>
  </si>
  <si>
    <t>GUBUK IDE TELAGAWARU  RT 004 RW 000 Kel.TELAGAWARU Kec. LABUAPI Kota LOMBOK BARAT 83361</t>
  </si>
  <si>
    <t>83361</t>
  </si>
  <si>
    <t>TELAGAWARU</t>
  </si>
  <si>
    <t>LABUAPI</t>
  </si>
  <si>
    <t>LOMBOK BARAT</t>
  </si>
  <si>
    <t>MHYHDC61TRJ223025</t>
  </si>
  <si>
    <t>K15BT1624619</t>
  </si>
  <si>
    <t>DR 8078 DP</t>
  </si>
  <si>
    <t>1527C20221000009</t>
  </si>
  <si>
    <t>1527220000067</t>
  </si>
  <si>
    <t>SUMIL LAILA</t>
  </si>
  <si>
    <t>JORONG USAK RT 000 RW 000 Kel.ALAHAN PANJANG Kec. LEMBAH GUMANTI Kota SOLOK 27371</t>
  </si>
  <si>
    <t>27371</t>
  </si>
  <si>
    <t>ALAHAN PANJANG</t>
  </si>
  <si>
    <t>LEMBAH GUMANTI</t>
  </si>
  <si>
    <t>SOLOK</t>
  </si>
  <si>
    <t>15200006</t>
  </si>
  <si>
    <t>Padang</t>
  </si>
  <si>
    <t>7318****</t>
  </si>
  <si>
    <t>MHYHDC61TNJ244517</t>
  </si>
  <si>
    <t>K15BT1428567</t>
  </si>
  <si>
    <t>BA 8102 HA</t>
  </si>
  <si>
    <t>1527C20221100045</t>
  </si>
  <si>
    <t>1527220000079</t>
  </si>
  <si>
    <t>MISWAN</t>
  </si>
  <si>
    <t>PURWAJAYA RT 000 RW 000 Kel.SARILAMAK Kec. HARAU Kota LIMA PULUH KOTO/KOTA 26271</t>
  </si>
  <si>
    <t>26271</t>
  </si>
  <si>
    <t>SARILAMAK</t>
  </si>
  <si>
    <t>HARAU</t>
  </si>
  <si>
    <t>LIMA PULUH KOTO/KOTA</t>
  </si>
  <si>
    <t>9966****</t>
  </si>
  <si>
    <t>MA3RFL41SNA371863</t>
  </si>
  <si>
    <t>K10BN5170765</t>
  </si>
  <si>
    <t>BA 1269 CF</t>
  </si>
  <si>
    <t>1529C20221000006</t>
  </si>
  <si>
    <t>1529220000268</t>
  </si>
  <si>
    <t>HENDRA SUSANTO</t>
  </si>
  <si>
    <t>SELUMIT PANTAI RT.026 RW.000 KEL.SELUMIT PANTAI, KEC. TARAKAN TENGAH RT 026 RW 000 Kel.SELUMIT PANTAI Kec. TARAKAN TENGAH Kota TARAKAN 77113</t>
  </si>
  <si>
    <t>77113</t>
  </si>
  <si>
    <t>SELUMIT PANTAI</t>
  </si>
  <si>
    <t>TARAKAN TENGAH</t>
  </si>
  <si>
    <t>5401****</t>
  </si>
  <si>
    <t>MHYHDC61TNJ210287</t>
  </si>
  <si>
    <t>K15BT1353727</t>
  </si>
  <si>
    <t>KU 8707 GE</t>
  </si>
  <si>
    <t>1529C20230400072</t>
  </si>
  <si>
    <t>1529230000151</t>
  </si>
  <si>
    <t>ABDUL RAHMAN</t>
  </si>
  <si>
    <t>JL. INTAN 1 NO. 09 RT 025 RW 000 Kel.SEPINGGAN Kec. BALIKPAPAN SELATAN Kota BALIKPAPAN 76115</t>
  </si>
  <si>
    <t>76115</t>
  </si>
  <si>
    <t>SEPINGGAN</t>
  </si>
  <si>
    <t>4502****</t>
  </si>
  <si>
    <t>MHYHDC61TPJ218052</t>
  </si>
  <si>
    <t>K15BT1509681</t>
  </si>
  <si>
    <t>KT 8690 NW</t>
  </si>
  <si>
    <t>145998</t>
  </si>
  <si>
    <t>20110410855</t>
  </si>
  <si>
    <t>RESTAN ADI</t>
  </si>
  <si>
    <t>1529C20230800005</t>
  </si>
  <si>
    <t>1529230000276</t>
  </si>
  <si>
    <t>IRWANSYAH</t>
  </si>
  <si>
    <t>JL. PANDAN ARUM NO. 37 RT 027 RW 000 Kel.MARGA SARI Kec. BALIKPAPAN BARAT Kota BALIKPAPAN 76131</t>
  </si>
  <si>
    <t>76131</t>
  </si>
  <si>
    <t>MARGA SARI</t>
  </si>
  <si>
    <t>BALIKPAPAN BARAT</t>
  </si>
  <si>
    <t>7152****</t>
  </si>
  <si>
    <t>MHYHDC61TPJ229685</t>
  </si>
  <si>
    <t>K15BT1535654</t>
  </si>
  <si>
    <t>KT 8863 ZC</t>
  </si>
  <si>
    <t>1529C20231200090</t>
  </si>
  <si>
    <t>1529230000450</t>
  </si>
  <si>
    <t>SLAMET RIYANTO</t>
  </si>
  <si>
    <t>JL. PDAM NO.31 RT 019 RW 000 Kel.KARANG JOANG Kec. BALIKPAPAN UTARA Kota BALIKPAPAN 76127</t>
  </si>
  <si>
    <t>76127</t>
  </si>
  <si>
    <t>KARANG JOANG</t>
  </si>
  <si>
    <t>BALIKPAPAN UTARA</t>
  </si>
  <si>
    <t>4507****</t>
  </si>
  <si>
    <t>MHYHDC61TPJ235791</t>
  </si>
  <si>
    <t>K15BT1547944</t>
  </si>
  <si>
    <t>KT 8042 ZG</t>
  </si>
  <si>
    <t>1529C20240100150</t>
  </si>
  <si>
    <t>1529240000049</t>
  </si>
  <si>
    <t>ALAMUL HUDA</t>
  </si>
  <si>
    <t>JL. DUYAN RT 002 RW 000 Kel.MALINAU KOTA Kec. MALINAU KOTA Kota MALINAU 77554</t>
  </si>
  <si>
    <t>77554</t>
  </si>
  <si>
    <t>MALINAU KOTA</t>
  </si>
  <si>
    <t>MALINAU</t>
  </si>
  <si>
    <t>4728****</t>
  </si>
  <si>
    <t>NEW CARRY PU FD AC PS R14</t>
  </si>
  <si>
    <t>MHYHDC61TPJ251468</t>
  </si>
  <si>
    <t>K15BT1585117</t>
  </si>
  <si>
    <t>KU 8123 SC</t>
  </si>
  <si>
    <t>1531C20211200145</t>
  </si>
  <si>
    <t>1531210000285</t>
  </si>
  <si>
    <t>ENGELBERTHA LELIYANTI KUSMIRA</t>
  </si>
  <si>
    <t>NITA RT 001 RW 001 Kel.NITA Kec. NITA Kota SIKKA 86152</t>
  </si>
  <si>
    <t>86152</t>
  </si>
  <si>
    <t>NITA</t>
  </si>
  <si>
    <t>SIKKA</t>
  </si>
  <si>
    <t>0*</t>
  </si>
  <si>
    <t>ALL NEW ERTIGA GXS MT</t>
  </si>
  <si>
    <t>MHYANC22SMJ106493</t>
  </si>
  <si>
    <t>K15BT1274652</t>
  </si>
  <si>
    <t>EB1937BJ</t>
  </si>
  <si>
    <t>159860</t>
  </si>
  <si>
    <t>20250824337</t>
  </si>
  <si>
    <t>DAMIANUS RUYADI MOA PLAMIN</t>
  </si>
  <si>
    <t>1531C20230500036</t>
  </si>
  <si>
    <t>1531230000130</t>
  </si>
  <si>
    <t>FERY EFRAIM RATU LAO</t>
  </si>
  <si>
    <t>JLN SUKUN I RT 009 RW 004 Kel.OEPURA Kec. MAULAFA Kota KUPANG 85142</t>
  </si>
  <si>
    <t>85142</t>
  </si>
  <si>
    <t>OEPURA</t>
  </si>
  <si>
    <t>MAULAFA</t>
  </si>
  <si>
    <t>IGNIS GX MT</t>
  </si>
  <si>
    <t>MA3NFG81SNO371881</t>
  </si>
  <si>
    <t>K12MN4799172</t>
  </si>
  <si>
    <t>DH1811HU</t>
  </si>
  <si>
    <t>1531C20240200013</t>
  </si>
  <si>
    <t>1531240000018</t>
  </si>
  <si>
    <t>WURING LEKO RT 023 RW 006 Kel.WOLOMARANG Kec. ALOK BARAT Kota SIKKA 86114</t>
  </si>
  <si>
    <t>86114</t>
  </si>
  <si>
    <t>WOLOMARANG</t>
  </si>
  <si>
    <t>ALOK BARAT</t>
  </si>
  <si>
    <t>15310100</t>
  </si>
  <si>
    <t>MHYANC22SPJ101733</t>
  </si>
  <si>
    <t>K15BT1504819</t>
  </si>
  <si>
    <t>EB 1192 BK</t>
  </si>
  <si>
    <t>1531C20250500001</t>
  </si>
  <si>
    <t>1531250000048</t>
  </si>
  <si>
    <t>DOMINGGOS P DE OLIVEIRA</t>
  </si>
  <si>
    <t>DUSUN AITAMAN RT 002 RW 001 Kel.MANLETEN Kec. TASIFETO TIMUR Kota BELU 85771</t>
  </si>
  <si>
    <t>85771</t>
  </si>
  <si>
    <t>MANLETEN</t>
  </si>
  <si>
    <t>TASIFETO TIMUR</t>
  </si>
  <si>
    <t>BELU</t>
  </si>
  <si>
    <t>MHYHDC61TRJ274693</t>
  </si>
  <si>
    <t>K15BT1663726</t>
  </si>
  <si>
    <t>DH 8017 EJ</t>
  </si>
  <si>
    <t>160466</t>
  </si>
  <si>
    <t>20170819872</t>
  </si>
  <si>
    <t>YOSEFUS WATU</t>
  </si>
  <si>
    <t>1534C20240500031</t>
  </si>
  <si>
    <t>1534240000046</t>
  </si>
  <si>
    <t>TEGUH PURWANTO</t>
  </si>
  <si>
    <t>BATU KIDUL RT 002 RW 009 Kel.BATURETNO Kec. BATURETNO Kota WONOGIRI 57673</t>
  </si>
  <si>
    <t>57673</t>
  </si>
  <si>
    <t>BATURETNO</t>
  </si>
  <si>
    <t>WONOGIRI</t>
  </si>
  <si>
    <t>IGNIS GX AGS TWO TONE</t>
  </si>
  <si>
    <t>MA3NFG81SR0431214</t>
  </si>
  <si>
    <t>K12MN4859336</t>
  </si>
  <si>
    <t>AD1165HI</t>
  </si>
  <si>
    <t>1536C20230300038</t>
  </si>
  <si>
    <t>1536230000033</t>
  </si>
  <si>
    <t>BARNAS</t>
  </si>
  <si>
    <t>KEDAMAIAN RT 000 RW 000 Kel.BUAY NYERUPA Kec. SUKAU Kota LAMPUNG BARAT 34879</t>
  </si>
  <si>
    <t>34879</t>
  </si>
  <si>
    <t>BUAY NYERUPA</t>
  </si>
  <si>
    <t>SUKAU</t>
  </si>
  <si>
    <t>LAMPUNG BARAT</t>
  </si>
  <si>
    <t>15360100</t>
  </si>
  <si>
    <t>Bandar Jaya</t>
  </si>
  <si>
    <t>0729****</t>
  </si>
  <si>
    <t>08230*******</t>
  </si>
  <si>
    <t>MHYHDC61TNJ265034</t>
  </si>
  <si>
    <t>K15BT1483217</t>
  </si>
  <si>
    <t>BE 8945 MV</t>
  </si>
  <si>
    <t>1537C20211000038</t>
  </si>
  <si>
    <t>1537210000162</t>
  </si>
  <si>
    <t>RONIE</t>
  </si>
  <si>
    <t>SEI GAWING RT 003 RW 000 Kel.SEI GAWING Kec. MANTANGAI Kota KAPUAS 73553</t>
  </si>
  <si>
    <t>73553</t>
  </si>
  <si>
    <t>SEI GAWING</t>
  </si>
  <si>
    <t>MANTANGAI</t>
  </si>
  <si>
    <t>KAPUAS</t>
  </si>
  <si>
    <t>5456****</t>
  </si>
  <si>
    <t>NEW CARRY PU FD AC PS TYPE S</t>
  </si>
  <si>
    <t>MHYHDC61TMJ246870</t>
  </si>
  <si>
    <t>K15BT1318422</t>
  </si>
  <si>
    <t>KH 8446 BQ</t>
  </si>
  <si>
    <t>159685</t>
  </si>
  <si>
    <t>20250324213</t>
  </si>
  <si>
    <t>MUHAMMAD ALDY</t>
  </si>
  <si>
    <t>Tidak ADA</t>
  </si>
  <si>
    <t>1537C20230800132</t>
  </si>
  <si>
    <t>1537230000276</t>
  </si>
  <si>
    <t>IBRAHIM KAUSE</t>
  </si>
  <si>
    <t>PT. KARYA LUHUR SEJATI AFDELING Q MESS NO. 02 RT 000 RW 000 Kel.Sei/Sungai Pudak (Papuyu III) Kec. Kahayan Kuala Kota Kab. Pulang Pisau 74872</t>
  </si>
  <si>
    <t>74872</t>
  </si>
  <si>
    <t>Sei/Sungai Pudak (Papuyu III)</t>
  </si>
  <si>
    <t>Kahayan Kuala</t>
  </si>
  <si>
    <t>Kab. Pulang Pisau</t>
  </si>
  <si>
    <t>3550****</t>
  </si>
  <si>
    <t>08223*******</t>
  </si>
  <si>
    <t>MHYHDC61TPJ229070</t>
  </si>
  <si>
    <t>K15BT1534203</t>
  </si>
  <si>
    <t>KH 8171 JE</t>
  </si>
  <si>
    <t>1538C20221000028</t>
  </si>
  <si>
    <t>1538220000079</t>
  </si>
  <si>
    <t>BAHARUDIN</t>
  </si>
  <si>
    <t>JLN CAMAR PARIT PEKIR NO. 206 RT 002 RW 000 Kel.SUNGAILIAT Kec. SUNGAI LIAT Kota BANGKA 33211</t>
  </si>
  <si>
    <t>33211</t>
  </si>
  <si>
    <t>SUNGAILIAT</t>
  </si>
  <si>
    <t>SUNGAI LIAT</t>
  </si>
  <si>
    <t>BANGKA</t>
  </si>
  <si>
    <t>15380000</t>
  </si>
  <si>
    <t>Pangkal Pinang</t>
  </si>
  <si>
    <t>8189****</t>
  </si>
  <si>
    <t>ALL NEW ERTIGA HYBRID SS MT</t>
  </si>
  <si>
    <t>MHYANC32SNJ100959</t>
  </si>
  <si>
    <t>K15BT1403408</t>
  </si>
  <si>
    <t>BN 1750 QG</t>
  </si>
  <si>
    <t>1539C20211100043</t>
  </si>
  <si>
    <t>1539210000207</t>
  </si>
  <si>
    <t>RINTO HASAN</t>
  </si>
  <si>
    <t>DUSUN PANCURAN RT 000 RW 000 Kel.ILOPONU Kec. TIBAWA Kota GORONTALO 96251</t>
  </si>
  <si>
    <t>96251</t>
  </si>
  <si>
    <t>ILOPONU</t>
  </si>
  <si>
    <t>TIBAWA</t>
  </si>
  <si>
    <t>MHYHDC61TMJ252634</t>
  </si>
  <si>
    <t>K15BT1331885</t>
  </si>
  <si>
    <t>DM 8372 BM</t>
  </si>
  <si>
    <t>1540C20220700076</t>
  </si>
  <si>
    <t>1540220000190</t>
  </si>
  <si>
    <t>HERLINA MASRAN SE</t>
  </si>
  <si>
    <t>JL LEMBU NO 19 PALU RT 005 RW 003 Kel.TATURA SELATAN Kec. PALU SELATAN Kota PALU 94236</t>
  </si>
  <si>
    <t>94236</t>
  </si>
  <si>
    <t>TATURA SELATAN</t>
  </si>
  <si>
    <t>85241******</t>
  </si>
  <si>
    <t>JIMNY</t>
  </si>
  <si>
    <t>JIMNY AT</t>
  </si>
  <si>
    <t>JSAGJB74VN5101082</t>
  </si>
  <si>
    <t>K15B1190279</t>
  </si>
  <si>
    <t>DN 1900 NZ</t>
  </si>
  <si>
    <t>1540C20221000025</t>
  </si>
  <si>
    <t>1540220000239</t>
  </si>
  <si>
    <t>ABDUL AZIS</t>
  </si>
  <si>
    <t>JL LEKATU NO 86 RT 001 RW 005 Kel.TAWANJUKA Kec. TATANGA Kota KOTA PALU 94127</t>
  </si>
  <si>
    <t>94127</t>
  </si>
  <si>
    <t>TAWANJUKA</t>
  </si>
  <si>
    <t>TATANGA</t>
  </si>
  <si>
    <t>85399******</t>
  </si>
  <si>
    <t>MHYHDC61TNJ224639</t>
  </si>
  <si>
    <t>K15BT1384781</t>
  </si>
  <si>
    <t>DN 8670 NF</t>
  </si>
  <si>
    <t>1542C20210900080</t>
  </si>
  <si>
    <t>1542210000273</t>
  </si>
  <si>
    <t>SUHERMAN</t>
  </si>
  <si>
    <t>DESA LUBUK BIRAH  RT 01 RW 00 Kel.LUBUK BIRAH Kec. MUARA SIAU Kota MERANGIN 37371</t>
  </si>
  <si>
    <t>37371</t>
  </si>
  <si>
    <t>LUBUK BIRAH</t>
  </si>
  <si>
    <t>MUARA SIAU</t>
  </si>
  <si>
    <t>MERANGIN</t>
  </si>
  <si>
    <t>15420002</t>
  </si>
  <si>
    <t>Bangko</t>
  </si>
  <si>
    <t>MHYHDC61TMJ239883</t>
  </si>
  <si>
    <t>K15BT1300064</t>
  </si>
  <si>
    <t>BH 8098 FR</t>
  </si>
  <si>
    <t>1542REM053</t>
  </si>
  <si>
    <t>20210822878</t>
  </si>
  <si>
    <t>HAR ANDARUJATI</t>
  </si>
  <si>
    <t>1543C20241100001</t>
  </si>
  <si>
    <t>1543240000312</t>
  </si>
  <si>
    <t>SRI IRIANI SH</t>
  </si>
  <si>
    <t>CICADAS MAS PERMAI A.1/3 RT 05 RW 05 Kel.CICADAS Kec. GUNUNG PUTRI Kota BOGOR 16964</t>
  </si>
  <si>
    <t>16964</t>
  </si>
  <si>
    <t>CICADAS</t>
  </si>
  <si>
    <t>GUNUNG PUTRI</t>
  </si>
  <si>
    <t>GRAND VITARA</t>
  </si>
  <si>
    <t>GRAND VITARA GLX AT 2TONE</t>
  </si>
  <si>
    <t>MA3TYKL1SRT103252</t>
  </si>
  <si>
    <t>K15CN7416877</t>
  </si>
  <si>
    <t>F 1878 FBW</t>
  </si>
  <si>
    <t>1543C20241000013</t>
  </si>
  <si>
    <t>1543240000328</t>
  </si>
  <si>
    <t>JAMES HARYO</t>
  </si>
  <si>
    <t>GRAND DEPOK CITY ANGGREK 2 BLOK M1 NO. 20 RT 04 RW 09 Kel.TIRTAJAYA Kec. SUKMAJAYA Kota DEPOK 16412</t>
  </si>
  <si>
    <t>16412</t>
  </si>
  <si>
    <t>TIRTAJAYA</t>
  </si>
  <si>
    <t>SUKMAJAYA</t>
  </si>
  <si>
    <t>NEW BALENO AT</t>
  </si>
  <si>
    <t>MBHHWBA3SRG851727</t>
  </si>
  <si>
    <t>K15BN4424435</t>
  </si>
  <si>
    <t>B 1931 EIA</t>
  </si>
  <si>
    <t>1543C20251000083</t>
  </si>
  <si>
    <t>1543250000275</t>
  </si>
  <si>
    <t>PT MEGATAMA SURYA ABADI</t>
  </si>
  <si>
    <t>JL RAYA BOJONG GEDE PARK BLOK C NO.6 RT 00 RW 00 Kel.BOJONG GEDE Kec. BOJONGGEDE Kota BOGOR 16922</t>
  </si>
  <si>
    <t>16922</t>
  </si>
  <si>
    <t>BOJONG GEDE</t>
  </si>
  <si>
    <t>BOJONGGEDE</t>
  </si>
  <si>
    <t>MHYHDC61TSJ285153</t>
  </si>
  <si>
    <t>K15BT1718627</t>
  </si>
  <si>
    <t>B 9854 BVA</t>
  </si>
  <si>
    <t>1551C20220300113</t>
  </si>
  <si>
    <t>1551220000043</t>
  </si>
  <si>
    <t>ANDI FADLI MAKKAROLA</t>
  </si>
  <si>
    <t>DUSUN KAWERANG RT 003 RW 000 Kel.ABBUMPUNGENG Kec. KAJUARA Kota BONE 92776</t>
  </si>
  <si>
    <t>92776</t>
  </si>
  <si>
    <t>ABBUMPUNGENG</t>
  </si>
  <si>
    <t>KAJUARA</t>
  </si>
  <si>
    <t>MHYHDC61TNJ217704</t>
  </si>
  <si>
    <t>K15BT1369890</t>
  </si>
  <si>
    <t>DW 8825 AM</t>
  </si>
  <si>
    <t>1552C20220600119</t>
  </si>
  <si>
    <t>1552220000168</t>
  </si>
  <si>
    <t>RIZZA ASMARA</t>
  </si>
  <si>
    <t>JL WALTER CONDRAD PERUM LESTARI INDAH RT 040 RW 007 Kel.BAAMANG TENGAH Kec. BAAMANG Kota KOTAWARINGIN TIMUR 74312</t>
  </si>
  <si>
    <t>74312</t>
  </si>
  <si>
    <t>BAAMANG TENGAH</t>
  </si>
  <si>
    <t>BAAMANG</t>
  </si>
  <si>
    <t>KOTAWARINGIN TIMUR</t>
  </si>
  <si>
    <t>2193****</t>
  </si>
  <si>
    <t>MHYHDC61TNJ228892</t>
  </si>
  <si>
    <t>K15BT1393889</t>
  </si>
  <si>
    <t>KH 8498 LA</t>
  </si>
  <si>
    <t>160746</t>
  </si>
  <si>
    <t>20260424443</t>
  </si>
  <si>
    <t>ASSDIANUR</t>
  </si>
  <si>
    <t>Non Coll Harian</t>
  </si>
  <si>
    <t>LUNAS SEBELUM 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</si>
</sst>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[$-409]d\-mmm\-yy;@"/>
  </numFmts>
  <fonts count="3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0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4"/>
      <name val="Arial"/>
      <family val="2"/>
    </font>
    <font>
      <sz val="10"/>
      <color theme="0"/>
      <name val="Inter"/>
    </font>
    <font>
      <sz val="10"/>
      <name val="Inter"/>
    </font>
    <font>
      <b/>
      <sz val="10"/>
      <name val="Inter"/>
    </font>
    <font>
      <b/>
      <sz val="10"/>
      <color theme="0"/>
      <name val="Inter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</font>
    <font>
      <sz val="15"/>
      <color theme="0"/>
      <name val="Arial"/>
      <family val="2"/>
    </font>
    <font>
      <b/>
      <u/>
      <sz val="15"/>
      <name val="Arial"/>
      <family val="2"/>
    </font>
    <font>
      <sz val="15"/>
      <name val="Arial"/>
      <family val="2"/>
    </font>
    <font>
      <sz val="15"/>
      <color theme="0"/>
      <name val="Inter"/>
    </font>
    <font>
      <b/>
      <u/>
      <sz val="15"/>
      <name val="Inter"/>
    </font>
    <font>
      <sz val="15"/>
      <name val="Inter"/>
    </font>
    <font>
      <b/>
      <sz val="11"/>
      <name val="Inter"/>
    </font>
    <font>
      <b/>
      <u/>
      <sz val="12.5"/>
      <name val="Inter"/>
    </font>
    <font>
      <sz val="12.5"/>
      <name val="Arial"/>
      <family val="2"/>
    </font>
    <font>
      <b/>
      <sz val="12.5"/>
      <name val="Arial"/>
      <family val="2"/>
    </font>
    <font>
      <b/>
      <u/>
      <sz val="12.5"/>
      <name val="Arial"/>
      <family val="2"/>
    </font>
    <font>
      <b/>
      <sz val="12"/>
      <color theme="0"/>
      <name val="Arial"/>
      <family val="2"/>
    </font>
    <font>
      <sz val="12.5"/>
      <color theme="0"/>
      <name val="Arial"/>
      <family val="2"/>
    </font>
    <font>
      <b/>
      <u/>
      <sz val="12.5"/>
      <color theme="1"/>
      <name val="Arial"/>
      <family val="2"/>
    </font>
    <font>
      <sz val="12.5"/>
      <color theme="1"/>
      <name val="Arial"/>
      <family val="2"/>
    </font>
    <font>
      <b/>
      <sz val="12.5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EBDD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BDE0FE"/>
        <bgColor indexed="64"/>
      </patternFill>
    </fill>
    <fill>
      <patternFill patternType="solid">
        <fgColor rgb="FFA2D2FF"/>
        <bgColor indexed="64"/>
      </patternFill>
    </fill>
    <fill>
      <patternFill patternType="solid">
        <fgColor rgb="FFFDFCDC"/>
        <bgColor indexed="64"/>
      </patternFill>
    </fill>
    <fill>
      <patternFill patternType="solid">
        <fgColor rgb="FF004E64"/>
        <bgColor indexed="64"/>
      </patternFill>
    </fill>
    <fill>
      <patternFill patternType="solid">
        <fgColor rgb="FFFFC8DD"/>
        <bgColor indexed="64"/>
      </patternFill>
    </fill>
    <fill>
      <patternFill patternType="solid">
        <fgColor rgb="FFFFAFCC"/>
        <bgColor indexed="64"/>
      </patternFill>
    </fill>
    <fill>
      <patternFill patternType="solid">
        <fgColor rgb="FFFEFEE3"/>
        <bgColor indexed="64"/>
      </patternFill>
    </fill>
    <fill>
      <patternFill patternType="solid">
        <fgColor rgb="FFFCF5C7"/>
        <bgColor indexed="64"/>
      </patternFill>
    </fill>
    <fill>
      <patternFill patternType="solid">
        <fgColor rgb="FFFCF5C7"/>
        <bgColor theme="6"/>
      </patternFill>
    </fill>
    <fill>
      <patternFill patternType="solid">
        <fgColor rgb="FFA2D2FF"/>
        <bgColor theme="6"/>
      </patternFill>
    </fill>
  </fills>
  <borders count="9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64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/>
      <right style="thin">
        <color indexed="64"/>
      </right>
      <top style="double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64"/>
      </bottom>
      <diagonal/>
    </border>
    <border>
      <left/>
      <right/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/>
      <right/>
      <top style="thin">
        <color theme="6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double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theme="6"/>
      </top>
      <bottom/>
      <diagonal/>
    </border>
    <border>
      <left style="medium">
        <color indexed="64"/>
      </left>
      <right/>
      <top style="thin">
        <color theme="6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6"/>
      </top>
      <bottom/>
      <diagonal/>
    </border>
    <border>
      <left style="medium">
        <color indexed="64"/>
      </left>
      <right style="medium">
        <color indexed="64"/>
      </right>
      <top style="thin">
        <color theme="6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6"/>
      </top>
      <bottom/>
      <diagonal/>
    </border>
    <border>
      <left style="thin">
        <color indexed="64"/>
      </left>
      <right/>
      <top style="thin">
        <color theme="6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theme="6"/>
      </top>
      <bottom/>
      <diagonal/>
    </border>
    <border>
      <left style="thin">
        <color indexed="64"/>
      </left>
      <right style="medium">
        <color indexed="64"/>
      </right>
      <top style="thin">
        <color theme="6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2" fillId="0" borderId="0"/>
  </cellStyleXfs>
  <cellXfs count="327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2" fontId="1" fillId="0" borderId="0" xfId="0" applyNumberFormat="1" applyFont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5" fontId="1" fillId="0" borderId="0" xfId="0" applyNumberFormat="1" applyFont="1" applyAlignment="1">
      <alignment horizontal="left" vertical="center"/>
    </xf>
    <xf numFmtId="49" fontId="3" fillId="4" borderId="13" xfId="0" applyNumberFormat="1" applyFont="1" applyFill="1" applyBorder="1"/>
    <xf numFmtId="0" fontId="3" fillId="4" borderId="14" xfId="0" applyFont="1" applyFill="1" applyBorder="1"/>
    <xf numFmtId="0" fontId="3" fillId="4" borderId="15" xfId="0" applyFont="1" applyFill="1" applyBorder="1"/>
    <xf numFmtId="0" fontId="3" fillId="4" borderId="15" xfId="0" applyFont="1" applyFill="1" applyBorder="1" applyAlignment="1">
      <alignment horizontal="center"/>
    </xf>
    <xf numFmtId="0" fontId="1" fillId="7" borderId="0" xfId="0" applyFont="1" applyFill="1"/>
    <xf numFmtId="0" fontId="1" fillId="0" borderId="0" xfId="0" applyFont="1"/>
    <xf numFmtId="49" fontId="1" fillId="5" borderId="13" xfId="0" applyNumberFormat="1" applyFont="1" applyFill="1" applyBorder="1"/>
    <xf numFmtId="0" fontId="1" fillId="5" borderId="14" xfId="0" applyFont="1" applyFill="1" applyBorder="1"/>
    <xf numFmtId="0" fontId="1" fillId="8" borderId="14" xfId="0" applyFont="1" applyFill="1" applyBorder="1"/>
    <xf numFmtId="0" fontId="1" fillId="5" borderId="15" xfId="0" applyFont="1" applyFill="1" applyBorder="1"/>
    <xf numFmtId="0" fontId="1" fillId="5" borderId="15" xfId="0" applyFont="1" applyFill="1" applyBorder="1" applyAlignment="1">
      <alignment horizontal="center"/>
    </xf>
    <xf numFmtId="49" fontId="1" fillId="0" borderId="13" xfId="0" applyNumberFormat="1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5" xfId="0" applyFont="1" applyBorder="1" applyAlignment="1">
      <alignment horizontal="center"/>
    </xf>
    <xf numFmtId="49" fontId="1" fillId="9" borderId="13" xfId="0" applyNumberFormat="1" applyFont="1" applyFill="1" applyBorder="1"/>
    <xf numFmtId="0" fontId="1" fillId="9" borderId="14" xfId="0" applyFont="1" applyFill="1" applyBorder="1"/>
    <xf numFmtId="0" fontId="1" fillId="9" borderId="15" xfId="0" applyFont="1" applyFill="1" applyBorder="1"/>
    <xf numFmtId="0" fontId="1" fillId="9" borderId="15" xfId="0" applyFont="1" applyFill="1" applyBorder="1" applyAlignment="1">
      <alignment horizontal="center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6" fillId="7" borderId="0" xfId="0" applyFont="1" applyFill="1"/>
    <xf numFmtId="49" fontId="1" fillId="0" borderId="0" xfId="0" quotePrefix="1" applyNumberFormat="1" applyFont="1"/>
    <xf numFmtId="0" fontId="8" fillId="0" borderId="13" xfId="0" quotePrefix="1" applyFont="1" applyBorder="1"/>
    <xf numFmtId="0" fontId="8" fillId="0" borderId="14" xfId="0" applyFont="1" applyBorder="1"/>
    <xf numFmtId="0" fontId="1" fillId="0" borderId="0" xfId="0" quotePrefix="1" applyFont="1"/>
    <xf numFmtId="0" fontId="1" fillId="6" borderId="0" xfId="0" applyFont="1" applyFill="1" applyAlignment="1">
      <alignment horizontal="right" vertical="center"/>
    </xf>
    <xf numFmtId="0" fontId="1" fillId="10" borderId="0" xfId="0" applyFont="1" applyFill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6" fillId="0" borderId="25" xfId="0" applyNumberFormat="1" applyFont="1" applyBorder="1" applyAlignment="1">
      <alignment horizontal="center" vertical="center"/>
    </xf>
    <xf numFmtId="3" fontId="6" fillId="0" borderId="26" xfId="0" applyNumberFormat="1" applyFont="1" applyBorder="1" applyAlignment="1">
      <alignment horizontal="center" vertical="center"/>
    </xf>
    <xf numFmtId="3" fontId="6" fillId="0" borderId="27" xfId="0" applyNumberFormat="1" applyFont="1" applyBorder="1" applyAlignment="1">
      <alignment horizontal="center" vertical="center"/>
    </xf>
    <xf numFmtId="3" fontId="6" fillId="0" borderId="28" xfId="0" applyNumberFormat="1" applyFont="1" applyBorder="1" applyAlignment="1">
      <alignment horizontal="center" vertical="center"/>
    </xf>
    <xf numFmtId="3" fontId="6" fillId="0" borderId="3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9" xfId="0" applyFont="1" applyBorder="1" applyAlignment="1">
      <alignment vertical="center"/>
    </xf>
    <xf numFmtId="0" fontId="6" fillId="0" borderId="19" xfId="0" applyFont="1" applyBorder="1"/>
    <xf numFmtId="0" fontId="6" fillId="0" borderId="43" xfId="0" applyFont="1" applyBorder="1" applyAlignment="1">
      <alignment vertical="center"/>
    </xf>
    <xf numFmtId="3" fontId="6" fillId="0" borderId="19" xfId="0" applyNumberFormat="1" applyFont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 vertical="center"/>
    </xf>
    <xf numFmtId="3" fontId="6" fillId="0" borderId="22" xfId="0" applyNumberFormat="1" applyFont="1" applyBorder="1" applyAlignment="1">
      <alignment horizontal="center" vertical="center"/>
    </xf>
    <xf numFmtId="0" fontId="6" fillId="0" borderId="43" xfId="0" applyFont="1" applyBorder="1"/>
    <xf numFmtId="0" fontId="6" fillId="0" borderId="48" xfId="0" applyFont="1" applyBorder="1"/>
    <xf numFmtId="0" fontId="6" fillId="0" borderId="45" xfId="0" applyFont="1" applyBorder="1"/>
    <xf numFmtId="0" fontId="9" fillId="0" borderId="0" xfId="3" applyFont="1" applyAlignment="1">
      <alignment vertical="center"/>
    </xf>
    <xf numFmtId="0" fontId="1" fillId="0" borderId="0" xfId="3" applyFont="1" applyAlignment="1">
      <alignment vertical="center"/>
    </xf>
    <xf numFmtId="3" fontId="1" fillId="0" borderId="0" xfId="3" applyNumberFormat="1" applyFont="1" applyAlignment="1">
      <alignment vertical="center"/>
    </xf>
    <xf numFmtId="0" fontId="1" fillId="0" borderId="0" xfId="3" applyFont="1" applyAlignment="1">
      <alignment horizontal="center" vertical="center"/>
    </xf>
    <xf numFmtId="164" fontId="13" fillId="0" borderId="0" xfId="3" applyNumberFormat="1" applyFont="1" applyAlignment="1">
      <alignment horizontal="left" vertical="center"/>
    </xf>
    <xf numFmtId="164" fontId="13" fillId="0" borderId="0" xfId="3" applyNumberFormat="1" applyFont="1" applyAlignment="1">
      <alignment vertical="center"/>
    </xf>
    <xf numFmtId="3" fontId="14" fillId="0" borderId="0" xfId="3" applyNumberFormat="1" applyFont="1" applyAlignment="1">
      <alignment vertical="center"/>
    </xf>
    <xf numFmtId="3" fontId="1" fillId="0" borderId="49" xfId="3" applyNumberFormat="1" applyFont="1" applyBorder="1" applyAlignment="1">
      <alignment horizontal="right" vertical="center"/>
    </xf>
    <xf numFmtId="0" fontId="11" fillId="0" borderId="0" xfId="3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2" fontId="1" fillId="0" borderId="0" xfId="0" applyNumberFormat="1" applyFont="1" applyAlignment="1">
      <alignment horizontal="right" vertical="center"/>
    </xf>
    <xf numFmtId="22" fontId="1" fillId="2" borderId="0" xfId="0" applyNumberFormat="1" applyFont="1" applyFill="1" applyAlignment="1">
      <alignment horizontal="right" vertical="center"/>
    </xf>
    <xf numFmtId="22" fontId="1" fillId="12" borderId="0" xfId="0" applyNumberFormat="1" applyFont="1" applyFill="1" applyAlignment="1">
      <alignment horizontal="right" vertical="center"/>
    </xf>
    <xf numFmtId="0" fontId="1" fillId="12" borderId="0" xfId="0" applyFont="1" applyFill="1" applyAlignment="1">
      <alignment horizontal="right" vertical="center"/>
    </xf>
    <xf numFmtId="15" fontId="1" fillId="10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15" fontId="1" fillId="0" borderId="0" xfId="0" applyNumberFormat="1" applyFont="1" applyAlignment="1">
      <alignment horizontal="right" vertical="center"/>
    </xf>
    <xf numFmtId="15" fontId="1" fillId="0" borderId="0" xfId="0" applyNumberFormat="1" applyFont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3" fontId="6" fillId="13" borderId="17" xfId="0" applyNumberFormat="1" applyFont="1" applyFill="1" applyBorder="1" applyAlignment="1">
      <alignment horizontal="center" vertical="center"/>
    </xf>
    <xf numFmtId="3" fontId="6" fillId="13" borderId="30" xfId="3" applyNumberFormat="1" applyFont="1" applyFill="1" applyBorder="1" applyAlignment="1">
      <alignment horizontal="right" vertical="center"/>
    </xf>
    <xf numFmtId="3" fontId="6" fillId="13" borderId="30" xfId="3" applyNumberFormat="1" applyFont="1" applyFill="1" applyBorder="1" applyAlignment="1">
      <alignment vertical="center"/>
    </xf>
    <xf numFmtId="3" fontId="1" fillId="0" borderId="55" xfId="3" applyNumberFormat="1" applyFont="1" applyBorder="1" applyAlignment="1">
      <alignment horizontal="right" vertical="center"/>
    </xf>
    <xf numFmtId="0" fontId="20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1" fillId="0" borderId="49" xfId="3" applyNumberFormat="1" applyFont="1" applyBorder="1" applyAlignment="1">
      <alignment vertical="center"/>
    </xf>
    <xf numFmtId="3" fontId="1" fillId="0" borderId="55" xfId="3" applyNumberFormat="1" applyFont="1" applyBorder="1" applyAlignment="1">
      <alignment vertical="center"/>
    </xf>
    <xf numFmtId="3" fontId="6" fillId="0" borderId="10" xfId="0" applyNumberFormat="1" applyFont="1" applyBorder="1" applyAlignment="1">
      <alignment horizontal="right" vertical="center"/>
    </xf>
    <xf numFmtId="3" fontId="6" fillId="0" borderId="19" xfId="0" applyNumberFormat="1" applyFont="1" applyBorder="1" applyAlignment="1">
      <alignment horizontal="right" vertical="center"/>
    </xf>
    <xf numFmtId="3" fontId="6" fillId="0" borderId="21" xfId="0" applyNumberFormat="1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6" fillId="0" borderId="11" xfId="0" applyNumberFormat="1" applyFont="1" applyBorder="1" applyAlignment="1">
      <alignment horizontal="right" vertical="center"/>
    </xf>
    <xf numFmtId="3" fontId="6" fillId="0" borderId="25" xfId="0" applyNumberFormat="1" applyFont="1" applyBorder="1" applyAlignment="1">
      <alignment horizontal="right" vertical="center"/>
    </xf>
    <xf numFmtId="3" fontId="6" fillId="0" borderId="26" xfId="0" applyNumberFormat="1" applyFont="1" applyBorder="1" applyAlignment="1">
      <alignment horizontal="right" vertical="center"/>
    </xf>
    <xf numFmtId="3" fontId="6" fillId="0" borderId="27" xfId="0" applyNumberFormat="1" applyFont="1" applyBorder="1" applyAlignment="1">
      <alignment horizontal="right" vertical="center"/>
    </xf>
    <xf numFmtId="3" fontId="6" fillId="0" borderId="22" xfId="0" applyNumberFormat="1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right" vertical="center"/>
    </xf>
    <xf numFmtId="0" fontId="6" fillId="10" borderId="0" xfId="2" applyFont="1" applyFill="1" applyAlignment="1">
      <alignment horizontal="center" vertical="center"/>
    </xf>
    <xf numFmtId="15" fontId="6" fillId="12" borderId="0" xfId="0" applyNumberFormat="1" applyFont="1" applyFill="1" applyAlignment="1">
      <alignment horizontal="center" vertical="center"/>
    </xf>
    <xf numFmtId="0" fontId="6" fillId="6" borderId="0" xfId="2" applyFont="1" applyFill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22" fontId="22" fillId="0" borderId="0" xfId="0" applyNumberFormat="1" applyFont="1" applyAlignment="1">
      <alignment horizontal="right" vertical="center"/>
    </xf>
    <xf numFmtId="22" fontId="22" fillId="2" borderId="0" xfId="0" applyNumberFormat="1" applyFont="1" applyFill="1" applyAlignment="1">
      <alignment horizontal="right" vertical="center"/>
    </xf>
    <xf numFmtId="15" fontId="22" fillId="0" borderId="0" xfId="0" applyNumberFormat="1" applyFont="1" applyAlignment="1">
      <alignment horizontal="right" vertical="center"/>
    </xf>
    <xf numFmtId="0" fontId="22" fillId="6" borderId="0" xfId="0" applyFont="1" applyFill="1" applyAlignment="1">
      <alignment horizontal="right" vertical="center"/>
    </xf>
    <xf numFmtId="0" fontId="22" fillId="0" borderId="0" xfId="0" applyFont="1" applyAlignment="1">
      <alignment horizontal="center" vertical="center"/>
    </xf>
    <xf numFmtId="22" fontId="22" fillId="12" borderId="0" xfId="0" applyNumberFormat="1" applyFont="1" applyFill="1" applyAlignment="1">
      <alignment horizontal="right" vertical="center"/>
    </xf>
    <xf numFmtId="0" fontId="22" fillId="12" borderId="0" xfId="0" applyFont="1" applyFill="1" applyAlignment="1">
      <alignment horizontal="right" vertical="center"/>
    </xf>
    <xf numFmtId="0" fontId="22" fillId="10" borderId="0" xfId="0" applyFont="1" applyFill="1" applyAlignment="1">
      <alignment horizontal="right" vertical="center"/>
    </xf>
    <xf numFmtId="15" fontId="22" fillId="10" borderId="0" xfId="0" applyNumberFormat="1" applyFont="1" applyFill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5" fillId="0" borderId="0" xfId="3" applyFont="1" applyAlignment="1">
      <alignment horizontal="left" vertical="center"/>
    </xf>
    <xf numFmtId="164" fontId="13" fillId="0" borderId="0" xfId="3" applyNumberFormat="1" applyFont="1" applyAlignment="1">
      <alignment horizontal="left" vertical="center"/>
    </xf>
    <xf numFmtId="164" fontId="18" fillId="14" borderId="3" xfId="0" applyNumberFormat="1" applyFont="1" applyFill="1" applyBorder="1" applyAlignment="1">
      <alignment horizontal="center" vertical="center" wrapText="1"/>
    </xf>
    <xf numFmtId="164" fontId="18" fillId="14" borderId="4" xfId="0" applyNumberFormat="1" applyFont="1" applyFill="1" applyBorder="1" applyAlignment="1">
      <alignment horizontal="center" vertical="center" wrapText="1"/>
    </xf>
    <xf numFmtId="164" fontId="18" fillId="14" borderId="5" xfId="0" applyNumberFormat="1" applyFont="1" applyFill="1" applyBorder="1" applyAlignment="1">
      <alignment horizontal="center" vertical="center" wrapText="1"/>
    </xf>
    <xf numFmtId="0" fontId="18" fillId="14" borderId="7" xfId="0" applyFont="1" applyFill="1" applyBorder="1" applyAlignment="1">
      <alignment horizontal="center" vertical="center" wrapText="1"/>
    </xf>
    <xf numFmtId="0" fontId="18" fillId="14" borderId="8" xfId="0" applyFont="1" applyFill="1" applyBorder="1" applyAlignment="1">
      <alignment horizontal="center" vertical="center" wrapText="1"/>
    </xf>
    <xf numFmtId="164" fontId="18" fillId="15" borderId="3" xfId="0" applyNumberFormat="1" applyFont="1" applyFill="1" applyBorder="1" applyAlignment="1">
      <alignment horizontal="center" vertical="center" wrapText="1"/>
    </xf>
    <xf numFmtId="164" fontId="18" fillId="15" borderId="4" xfId="0" applyNumberFormat="1" applyFont="1" applyFill="1" applyBorder="1" applyAlignment="1">
      <alignment horizontal="center" vertical="center" wrapText="1"/>
    </xf>
    <xf numFmtId="164" fontId="18" fillId="15" borderId="5" xfId="0" applyNumberFormat="1" applyFont="1" applyFill="1" applyBorder="1" applyAlignment="1">
      <alignment horizontal="center" vertical="center" wrapText="1"/>
    </xf>
    <xf numFmtId="0" fontId="18" fillId="15" borderId="7" xfId="0" applyFont="1" applyFill="1" applyBorder="1" applyAlignment="1">
      <alignment horizontal="center" vertical="center" wrapText="1"/>
    </xf>
    <xf numFmtId="0" fontId="18" fillId="15" borderId="8" xfId="0" applyFont="1" applyFill="1" applyBorder="1" applyAlignment="1">
      <alignment horizontal="center" vertical="center" wrapText="1"/>
    </xf>
    <xf numFmtId="0" fontId="18" fillId="15" borderId="9" xfId="0" applyFont="1" applyFill="1" applyBorder="1" applyAlignment="1">
      <alignment horizontal="center" vertical="center" wrapText="1"/>
    </xf>
    <xf numFmtId="165" fontId="19" fillId="17" borderId="3" xfId="0" applyNumberFormat="1" applyFont="1" applyFill="1" applyBorder="1" applyAlignment="1">
      <alignment horizontal="center" vertical="center" wrapText="1"/>
    </xf>
    <xf numFmtId="165" fontId="19" fillId="17" borderId="4" xfId="0" applyNumberFormat="1" applyFont="1" applyFill="1" applyBorder="1" applyAlignment="1">
      <alignment horizontal="center" vertical="center" wrapText="1"/>
    </xf>
    <xf numFmtId="165" fontId="19" fillId="17" borderId="5" xfId="0" applyNumberFormat="1" applyFont="1" applyFill="1" applyBorder="1" applyAlignment="1">
      <alignment horizontal="center" vertical="center" wrapText="1"/>
    </xf>
    <xf numFmtId="0" fontId="19" fillId="17" borderId="7" xfId="0" applyFont="1" applyFill="1" applyBorder="1" applyAlignment="1">
      <alignment horizontal="center" vertical="center" wrapText="1"/>
    </xf>
    <xf numFmtId="0" fontId="19" fillId="17" borderId="8" xfId="0" applyFont="1" applyFill="1" applyBorder="1" applyAlignment="1">
      <alignment horizontal="center" vertical="center" wrapText="1"/>
    </xf>
    <xf numFmtId="0" fontId="19" fillId="17" borderId="9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7" fillId="15" borderId="5" xfId="0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7" fillId="14" borderId="8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3" fontId="3" fillId="17" borderId="3" xfId="0" applyNumberFormat="1" applyFont="1" applyFill="1" applyBorder="1" applyAlignment="1">
      <alignment horizontal="center" vertical="center"/>
    </xf>
    <xf numFmtId="3" fontId="3" fillId="17" borderId="4" xfId="0" applyNumberFormat="1" applyFont="1" applyFill="1" applyBorder="1" applyAlignment="1">
      <alignment horizontal="center" vertical="center"/>
    </xf>
    <xf numFmtId="3" fontId="3" fillId="17" borderId="18" xfId="0" applyNumberFormat="1" applyFont="1" applyFill="1" applyBorder="1" applyAlignment="1">
      <alignment horizontal="center" vertical="center"/>
    </xf>
    <xf numFmtId="0" fontId="3" fillId="17" borderId="16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29" fillId="16" borderId="12" xfId="0" applyFont="1" applyFill="1" applyBorder="1" applyAlignment="1">
      <alignment horizontal="center" vertical="center"/>
    </xf>
    <xf numFmtId="164" fontId="30" fillId="0" borderId="0" xfId="0" applyNumberFormat="1" applyFont="1" applyAlignment="1">
      <alignment horizontal="left" vertical="center"/>
    </xf>
    <xf numFmtId="164" fontId="18" fillId="14" borderId="57" xfId="0" applyNumberFormat="1" applyFont="1" applyFill="1" applyBorder="1" applyAlignment="1">
      <alignment horizontal="center" vertical="center" wrapText="1"/>
    </xf>
    <xf numFmtId="164" fontId="18" fillId="15" borderId="57" xfId="0" applyNumberFormat="1" applyFont="1" applyFill="1" applyBorder="1" applyAlignment="1">
      <alignment horizontal="center" vertical="center" wrapText="1"/>
    </xf>
    <xf numFmtId="165" fontId="19" fillId="17" borderId="57" xfId="0" applyNumberFormat="1" applyFont="1" applyFill="1" applyBorder="1" applyAlignment="1">
      <alignment horizontal="center" vertical="center" wrapText="1"/>
    </xf>
    <xf numFmtId="165" fontId="19" fillId="17" borderId="58" xfId="0" applyNumberFormat="1" applyFont="1" applyFill="1" applyBorder="1" applyAlignment="1">
      <alignment horizontal="center" vertical="center" wrapText="1"/>
    </xf>
    <xf numFmtId="0" fontId="19" fillId="17" borderId="59" xfId="0" applyFont="1" applyFill="1" applyBorder="1" applyAlignment="1">
      <alignment horizontal="center" vertical="center" wrapText="1"/>
    </xf>
    <xf numFmtId="3" fontId="17" fillId="0" borderId="0" xfId="0" applyNumberFormat="1" applyFont="1" applyFill="1" applyBorder="1" applyAlignment="1">
      <alignment horizontal="center" vertical="center"/>
    </xf>
    <xf numFmtId="3" fontId="17" fillId="0" borderId="61" xfId="0" applyNumberFormat="1" applyFont="1" applyFill="1" applyBorder="1" applyAlignment="1">
      <alignment horizontal="center" vertical="center"/>
    </xf>
    <xf numFmtId="3" fontId="19" fillId="17" borderId="62" xfId="0" applyNumberFormat="1" applyFont="1" applyFill="1" applyBorder="1" applyAlignment="1">
      <alignment horizontal="center" vertical="center"/>
    </xf>
    <xf numFmtId="3" fontId="19" fillId="17" borderId="63" xfId="0" applyNumberFormat="1" applyFont="1" applyFill="1" applyBorder="1" applyAlignment="1">
      <alignment horizontal="center" vertical="center"/>
    </xf>
    <xf numFmtId="0" fontId="17" fillId="0" borderId="66" xfId="0" applyFont="1" applyFill="1" applyBorder="1" applyAlignment="1">
      <alignment horizontal="center" vertical="center"/>
    </xf>
    <xf numFmtId="0" fontId="19" fillId="17" borderId="67" xfId="0" applyFont="1" applyFill="1" applyBorder="1" applyAlignment="1">
      <alignment horizontal="center" vertical="center"/>
    </xf>
    <xf numFmtId="164" fontId="18" fillId="14" borderId="58" xfId="0" applyNumberFormat="1" applyFont="1" applyFill="1" applyBorder="1" applyAlignment="1">
      <alignment horizontal="center" vertical="center" wrapText="1"/>
    </xf>
    <xf numFmtId="0" fontId="18" fillId="14" borderId="59" xfId="0" applyFont="1" applyFill="1" applyBorder="1" applyAlignment="1">
      <alignment horizontal="center" vertical="center" wrapText="1"/>
    </xf>
    <xf numFmtId="164" fontId="18" fillId="15" borderId="58" xfId="0" applyNumberFormat="1" applyFont="1" applyFill="1" applyBorder="1" applyAlignment="1">
      <alignment horizontal="center" vertical="center" wrapText="1"/>
    </xf>
    <xf numFmtId="0" fontId="18" fillId="15" borderId="59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165" fontId="33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7" fillId="14" borderId="23" xfId="0" applyFont="1" applyFill="1" applyBorder="1" applyAlignment="1">
      <alignment horizontal="center" vertical="center"/>
    </xf>
    <xf numFmtId="0" fontId="7" fillId="15" borderId="20" xfId="0" applyFont="1" applyFill="1" applyBorder="1" applyAlignment="1">
      <alignment horizontal="center" vertical="center"/>
    </xf>
    <xf numFmtId="0" fontId="7" fillId="18" borderId="8" xfId="0" applyFont="1" applyFill="1" applyBorder="1" applyAlignment="1">
      <alignment horizontal="center" vertical="center"/>
    </xf>
    <xf numFmtId="0" fontId="7" fillId="19" borderId="4" xfId="0" applyFont="1" applyFill="1" applyBorder="1" applyAlignment="1">
      <alignment horizontal="center" vertical="center"/>
    </xf>
    <xf numFmtId="0" fontId="7" fillId="19" borderId="5" xfId="0" applyFont="1" applyFill="1" applyBorder="1" applyAlignment="1">
      <alignment horizontal="center" vertical="center"/>
    </xf>
    <xf numFmtId="0" fontId="7" fillId="18" borderId="19" xfId="0" applyFont="1" applyFill="1" applyBorder="1" applyAlignment="1">
      <alignment horizontal="center" vertical="center" wrapText="1"/>
    </xf>
    <xf numFmtId="0" fontId="7" fillId="18" borderId="21" xfId="0" applyFont="1" applyFill="1" applyBorder="1" applyAlignment="1">
      <alignment horizontal="center" vertical="center"/>
    </xf>
    <xf numFmtId="0" fontId="7" fillId="18" borderId="21" xfId="0" applyFont="1" applyFill="1" applyBorder="1" applyAlignment="1">
      <alignment horizontal="center" vertical="center" wrapText="1"/>
    </xf>
    <xf numFmtId="0" fontId="7" fillId="18" borderId="22" xfId="0" applyFont="1" applyFill="1" applyBorder="1" applyAlignment="1">
      <alignment horizontal="center" vertical="center" wrapText="1"/>
    </xf>
    <xf numFmtId="0" fontId="7" fillId="18" borderId="52" xfId="0" applyFont="1" applyFill="1" applyBorder="1" applyAlignment="1">
      <alignment horizontal="center" vertical="center" wrapText="1"/>
    </xf>
    <xf numFmtId="0" fontId="7" fillId="18" borderId="53" xfId="0" applyFont="1" applyFill="1" applyBorder="1" applyAlignment="1">
      <alignment horizontal="center" vertical="center"/>
    </xf>
    <xf numFmtId="0" fontId="7" fillId="18" borderId="53" xfId="0" applyFont="1" applyFill="1" applyBorder="1" applyAlignment="1">
      <alignment horizontal="center" vertical="center" wrapText="1"/>
    </xf>
    <xf numFmtId="0" fontId="7" fillId="18" borderId="54" xfId="0" applyFont="1" applyFill="1" applyBorder="1" applyAlignment="1">
      <alignment horizontal="center" vertical="center" wrapText="1"/>
    </xf>
    <xf numFmtId="0" fontId="7" fillId="19" borderId="22" xfId="0" applyFont="1" applyFill="1" applyBorder="1" applyAlignment="1">
      <alignment horizontal="center" vertical="center" wrapText="1"/>
    </xf>
    <xf numFmtId="0" fontId="7" fillId="19" borderId="54" xfId="0" applyFont="1" applyFill="1" applyBorder="1" applyAlignment="1">
      <alignment horizontal="center" vertical="center" wrapText="1"/>
    </xf>
    <xf numFmtId="3" fontId="3" fillId="17" borderId="34" xfId="0" applyNumberFormat="1" applyFont="1" applyFill="1" applyBorder="1" applyAlignment="1">
      <alignment horizontal="center" vertical="center"/>
    </xf>
    <xf numFmtId="3" fontId="3" fillId="17" borderId="35" xfId="0" applyNumberFormat="1" applyFont="1" applyFill="1" applyBorder="1" applyAlignment="1">
      <alignment horizontal="center" vertical="center"/>
    </xf>
    <xf numFmtId="3" fontId="3" fillId="17" borderId="36" xfId="0" applyNumberFormat="1" applyFont="1" applyFill="1" applyBorder="1" applyAlignment="1">
      <alignment horizontal="center" vertical="center"/>
    </xf>
    <xf numFmtId="3" fontId="3" fillId="17" borderId="37" xfId="0" applyNumberFormat="1" applyFont="1" applyFill="1" applyBorder="1" applyAlignment="1">
      <alignment horizontal="center" vertical="center"/>
    </xf>
    <xf numFmtId="3" fontId="3" fillId="17" borderId="38" xfId="0" applyNumberFormat="1" applyFont="1" applyFill="1" applyBorder="1" applyAlignment="1">
      <alignment horizontal="center" vertical="center"/>
    </xf>
    <xf numFmtId="3" fontId="3" fillId="17" borderId="39" xfId="0" applyNumberFormat="1" applyFont="1" applyFill="1" applyBorder="1" applyAlignment="1">
      <alignment horizontal="center" vertical="center"/>
    </xf>
    <xf numFmtId="3" fontId="3" fillId="17" borderId="40" xfId="0" applyNumberFormat="1" applyFont="1" applyFill="1" applyBorder="1" applyAlignment="1">
      <alignment horizontal="center" vertical="center"/>
    </xf>
    <xf numFmtId="3" fontId="3" fillId="17" borderId="41" xfId="0" applyNumberFormat="1" applyFont="1" applyFill="1" applyBorder="1" applyAlignment="1">
      <alignment horizontal="center" vertical="center"/>
    </xf>
    <xf numFmtId="3" fontId="6" fillId="0" borderId="32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5" fontId="23" fillId="11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right" vertical="center"/>
    </xf>
    <xf numFmtId="3" fontId="6" fillId="0" borderId="19" xfId="0" applyNumberFormat="1" applyFont="1" applyBorder="1" applyAlignment="1">
      <alignment horizontal="left" vertical="center"/>
    </xf>
    <xf numFmtId="3" fontId="6" fillId="0" borderId="21" xfId="0" applyNumberFormat="1" applyFont="1" applyBorder="1" applyAlignment="1">
      <alignment horizontal="left" vertical="center"/>
    </xf>
    <xf numFmtId="3" fontId="6" fillId="0" borderId="22" xfId="0" applyNumberFormat="1" applyFont="1" applyBorder="1" applyAlignment="1">
      <alignment horizontal="left" vertical="center"/>
    </xf>
    <xf numFmtId="3" fontId="6" fillId="0" borderId="10" xfId="0" applyNumberFormat="1" applyFont="1" applyBorder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3" fontId="6" fillId="0" borderId="11" xfId="0" applyNumberFormat="1" applyFont="1" applyBorder="1" applyAlignment="1">
      <alignment horizontal="left" vertical="center"/>
    </xf>
    <xf numFmtId="0" fontId="3" fillId="17" borderId="33" xfId="0" applyFont="1" applyFill="1" applyBorder="1" applyAlignment="1">
      <alignment horizontal="center" vertical="center"/>
    </xf>
    <xf numFmtId="0" fontId="3" fillId="17" borderId="36" xfId="0" applyFont="1" applyFill="1" applyBorder="1" applyAlignment="1">
      <alignment horizontal="center" vertical="center"/>
    </xf>
    <xf numFmtId="3" fontId="3" fillId="17" borderId="19" xfId="0" applyNumberFormat="1" applyFont="1" applyFill="1" applyBorder="1" applyAlignment="1">
      <alignment horizontal="center" vertical="center"/>
    </xf>
    <xf numFmtId="3" fontId="3" fillId="17" borderId="21" xfId="0" applyNumberFormat="1" applyFont="1" applyFill="1" applyBorder="1" applyAlignment="1">
      <alignment horizontal="center" vertical="center"/>
    </xf>
    <xf numFmtId="3" fontId="3" fillId="17" borderId="22" xfId="0" applyNumberFormat="1" applyFont="1" applyFill="1" applyBorder="1" applyAlignment="1">
      <alignment horizontal="center" vertical="center"/>
    </xf>
    <xf numFmtId="3" fontId="3" fillId="17" borderId="2" xfId="0" applyNumberFormat="1" applyFont="1" applyFill="1" applyBorder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10" fillId="20" borderId="24" xfId="0" applyFont="1" applyFill="1" applyBorder="1" applyAlignment="1">
      <alignment horizontal="center" vertical="center"/>
    </xf>
    <xf numFmtId="0" fontId="10" fillId="20" borderId="29" xfId="0" applyFont="1" applyFill="1" applyBorder="1" applyAlignment="1">
      <alignment horizontal="center" vertical="center"/>
    </xf>
    <xf numFmtId="0" fontId="6" fillId="20" borderId="42" xfId="0" applyFont="1" applyFill="1" applyBorder="1" applyAlignment="1">
      <alignment horizontal="center" vertical="center" wrapText="1"/>
    </xf>
    <xf numFmtId="0" fontId="6" fillId="20" borderId="44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center"/>
    </xf>
    <xf numFmtId="0" fontId="7" fillId="21" borderId="6" xfId="0" applyFont="1" applyFill="1" applyBorder="1" applyAlignment="1">
      <alignment horizontal="center" vertical="center"/>
    </xf>
    <xf numFmtId="0" fontId="7" fillId="21" borderId="51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 wrapText="1"/>
    </xf>
    <xf numFmtId="0" fontId="7" fillId="21" borderId="6" xfId="0" applyFont="1" applyFill="1" applyBorder="1" applyAlignment="1">
      <alignment horizontal="center" vertical="center" wrapText="1"/>
    </xf>
    <xf numFmtId="0" fontId="18" fillId="21" borderId="64" xfId="0" applyFont="1" applyFill="1" applyBorder="1" applyAlignment="1">
      <alignment horizontal="center" vertical="center" wrapText="1"/>
    </xf>
    <xf numFmtId="0" fontId="18" fillId="21" borderId="65" xfId="0" applyFont="1" applyFill="1" applyBorder="1" applyAlignment="1">
      <alignment horizontal="center" vertical="center" wrapText="1"/>
    </xf>
    <xf numFmtId="3" fontId="3" fillId="17" borderId="5" xfId="0" applyNumberFormat="1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 wrapText="1"/>
    </xf>
    <xf numFmtId="0" fontId="6" fillId="20" borderId="47" xfId="0" applyFont="1" applyFill="1" applyBorder="1" applyAlignment="1">
      <alignment horizontal="center" vertical="center" wrapText="1"/>
    </xf>
    <xf numFmtId="0" fontId="6" fillId="20" borderId="42" xfId="0" applyFont="1" applyFill="1" applyBorder="1" applyAlignment="1">
      <alignment horizontal="center" vertical="center"/>
    </xf>
    <xf numFmtId="0" fontId="6" fillId="20" borderId="44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7" fillId="20" borderId="47" xfId="0" applyFont="1" applyFill="1" applyBorder="1" applyAlignment="1">
      <alignment horizontal="center" vertical="center" wrapText="1"/>
    </xf>
    <xf numFmtId="0" fontId="7" fillId="20" borderId="17" xfId="0" applyFont="1" applyFill="1" applyBorder="1" applyAlignment="1">
      <alignment horizontal="center" vertical="center" wrapText="1"/>
    </xf>
    <xf numFmtId="0" fontId="7" fillId="20" borderId="46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/>
    </xf>
    <xf numFmtId="0" fontId="7" fillId="20" borderId="17" xfId="0" applyFont="1" applyFill="1" applyBorder="1" applyAlignment="1">
      <alignment horizontal="center" vertical="center"/>
    </xf>
    <xf numFmtId="0" fontId="7" fillId="20" borderId="46" xfId="0" applyFont="1" applyFill="1" applyBorder="1" applyAlignment="1">
      <alignment horizontal="center" vertical="center"/>
    </xf>
    <xf numFmtId="0" fontId="7" fillId="20" borderId="44" xfId="0" applyFont="1" applyFill="1" applyBorder="1" applyAlignment="1">
      <alignment horizontal="center" vertical="center"/>
    </xf>
    <xf numFmtId="0" fontId="7" fillId="20" borderId="47" xfId="0" applyFont="1" applyFill="1" applyBorder="1" applyAlignment="1">
      <alignment horizontal="center" vertical="center"/>
    </xf>
    <xf numFmtId="0" fontId="7" fillId="20" borderId="42" xfId="0" applyFont="1" applyFill="1" applyBorder="1" applyAlignment="1">
      <alignment horizontal="center" vertical="center"/>
    </xf>
    <xf numFmtId="0" fontId="7" fillId="21" borderId="56" xfId="3" applyFont="1" applyFill="1" applyBorder="1" applyAlignment="1">
      <alignment horizontal="center" vertical="center"/>
    </xf>
    <xf numFmtId="0" fontId="11" fillId="14" borderId="33" xfId="3" applyFont="1" applyFill="1" applyBorder="1" applyAlignment="1">
      <alignment horizontal="center" vertical="center"/>
    </xf>
    <xf numFmtId="0" fontId="11" fillId="14" borderId="35" xfId="3" applyFont="1" applyFill="1" applyBorder="1" applyAlignment="1">
      <alignment horizontal="center" vertical="center"/>
    </xf>
    <xf numFmtId="0" fontId="11" fillId="14" borderId="37" xfId="3" applyFont="1" applyFill="1" applyBorder="1" applyAlignment="1">
      <alignment horizontal="center" vertical="center"/>
    </xf>
    <xf numFmtId="0" fontId="7" fillId="14" borderId="56" xfId="3" applyFont="1" applyFill="1" applyBorder="1" applyAlignment="1">
      <alignment horizontal="center" vertical="center" wrapText="1"/>
    </xf>
    <xf numFmtId="0" fontId="11" fillId="15" borderId="33" xfId="3" applyFont="1" applyFill="1" applyBorder="1" applyAlignment="1">
      <alignment horizontal="center" vertical="center"/>
    </xf>
    <xf numFmtId="0" fontId="11" fillId="15" borderId="35" xfId="3" applyFont="1" applyFill="1" applyBorder="1" applyAlignment="1">
      <alignment horizontal="center" vertical="center"/>
    </xf>
    <xf numFmtId="0" fontId="11" fillId="15" borderId="37" xfId="3" applyFont="1" applyFill="1" applyBorder="1" applyAlignment="1">
      <alignment horizontal="center" vertical="center"/>
    </xf>
    <xf numFmtId="0" fontId="7" fillId="15" borderId="56" xfId="3" applyFont="1" applyFill="1" applyBorder="1" applyAlignment="1">
      <alignment horizontal="center" vertical="center" wrapText="1"/>
    </xf>
    <xf numFmtId="0" fontId="3" fillId="17" borderId="33" xfId="3" applyFont="1" applyFill="1" applyBorder="1" applyAlignment="1">
      <alignment horizontal="center" vertical="center"/>
    </xf>
    <xf numFmtId="0" fontId="3" fillId="17" borderId="35" xfId="3" applyFont="1" applyFill="1" applyBorder="1" applyAlignment="1">
      <alignment horizontal="center" vertical="center"/>
    </xf>
    <xf numFmtId="0" fontId="3" fillId="17" borderId="37" xfId="3" applyFont="1" applyFill="1" applyBorder="1" applyAlignment="1">
      <alignment horizontal="center" vertical="center"/>
    </xf>
    <xf numFmtId="0" fontId="3" fillId="17" borderId="56" xfId="3" applyFont="1" applyFill="1" applyBorder="1" applyAlignment="1">
      <alignment horizontal="center" vertical="center" wrapText="1"/>
    </xf>
    <xf numFmtId="0" fontId="6" fillId="0" borderId="30" xfId="3" applyFont="1" applyFill="1" applyBorder="1" applyAlignment="1">
      <alignment vertical="center"/>
    </xf>
    <xf numFmtId="3" fontId="6" fillId="0" borderId="30" xfId="3" applyNumberFormat="1" applyFont="1" applyFill="1" applyBorder="1" applyAlignment="1">
      <alignment vertical="center"/>
    </xf>
    <xf numFmtId="3" fontId="6" fillId="0" borderId="30" xfId="3" applyNumberFormat="1" applyFont="1" applyFill="1" applyBorder="1" applyAlignment="1">
      <alignment horizontal="right" vertical="center"/>
    </xf>
    <xf numFmtId="0" fontId="34" fillId="17" borderId="50" xfId="3" applyFont="1" applyFill="1" applyBorder="1" applyAlignment="1">
      <alignment vertical="center"/>
    </xf>
    <xf numFmtId="3" fontId="34" fillId="17" borderId="50" xfId="3" applyNumberFormat="1" applyFont="1" applyFill="1" applyBorder="1" applyAlignment="1">
      <alignment vertical="center"/>
    </xf>
    <xf numFmtId="3" fontId="34" fillId="17" borderId="50" xfId="3" applyNumberFormat="1" applyFont="1" applyFill="1" applyBorder="1" applyAlignment="1">
      <alignment horizontal="right" vertical="center"/>
    </xf>
    <xf numFmtId="0" fontId="1" fillId="0" borderId="30" xfId="3" applyFont="1" applyFill="1" applyBorder="1" applyAlignment="1">
      <alignment vertical="center"/>
    </xf>
    <xf numFmtId="0" fontId="1" fillId="0" borderId="31" xfId="3" applyFont="1" applyFill="1" applyBorder="1" applyAlignment="1">
      <alignment vertical="center"/>
    </xf>
    <xf numFmtId="0" fontId="34" fillId="17" borderId="33" xfId="3" applyFont="1" applyFill="1" applyBorder="1" applyAlignment="1">
      <alignment horizontal="left" vertical="center"/>
    </xf>
    <xf numFmtId="0" fontId="34" fillId="17" borderId="37" xfId="3" applyFont="1" applyFill="1" applyBorder="1" applyAlignment="1">
      <alignment horizontal="left" vertical="center"/>
    </xf>
    <xf numFmtId="22" fontId="1" fillId="0" borderId="0" xfId="0" applyNumberFormat="1" applyFont="1" applyAlignment="1">
      <alignment horizontal="center" vertical="center"/>
    </xf>
    <xf numFmtId="22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1" fillId="0" borderId="0" xfId="3" applyFont="1" applyBorder="1" applyAlignment="1">
      <alignment horizontal="center" vertical="center"/>
    </xf>
    <xf numFmtId="3" fontId="11" fillId="0" borderId="0" xfId="3" applyNumberFormat="1" applyFont="1" applyBorder="1" applyAlignment="1">
      <alignment horizontal="right" vertical="center"/>
    </xf>
    <xf numFmtId="10" fontId="11" fillId="0" borderId="0" xfId="1" applyNumberFormat="1" applyFont="1" applyBorder="1" applyAlignment="1">
      <alignment horizontal="center" vertical="center"/>
    </xf>
    <xf numFmtId="0" fontId="21" fillId="23" borderId="68" xfId="3" applyFont="1" applyFill="1" applyBorder="1" applyAlignment="1">
      <alignment horizontal="center" vertical="center" wrapText="1"/>
    </xf>
    <xf numFmtId="0" fontId="1" fillId="0" borderId="60" xfId="3" applyFont="1" applyBorder="1" applyAlignment="1">
      <alignment vertical="center"/>
    </xf>
    <xf numFmtId="3" fontId="1" fillId="0" borderId="0" xfId="3" applyNumberFormat="1" applyFont="1" applyBorder="1" applyAlignment="1">
      <alignment vertical="center"/>
    </xf>
    <xf numFmtId="0" fontId="1" fillId="0" borderId="69" xfId="3" applyFont="1" applyBorder="1" applyAlignment="1">
      <alignment vertical="center"/>
    </xf>
    <xf numFmtId="0" fontId="1" fillId="0" borderId="70" xfId="3" applyFont="1" applyBorder="1" applyAlignment="1">
      <alignment vertical="center"/>
    </xf>
    <xf numFmtId="3" fontId="34" fillId="17" borderId="12" xfId="3" applyNumberFormat="1" applyFont="1" applyFill="1" applyBorder="1" applyAlignment="1">
      <alignment vertical="center"/>
    </xf>
    <xf numFmtId="0" fontId="21" fillId="22" borderId="71" xfId="3" applyFont="1" applyFill="1" applyBorder="1" applyAlignment="1">
      <alignment horizontal="center" vertical="center" wrapText="1"/>
    </xf>
    <xf numFmtId="0" fontId="1" fillId="0" borderId="66" xfId="3" applyFont="1" applyBorder="1" applyAlignment="1">
      <alignment vertical="center"/>
    </xf>
    <xf numFmtId="0" fontId="1" fillId="0" borderId="72" xfId="3" applyFont="1" applyBorder="1" applyAlignment="1">
      <alignment vertical="center"/>
    </xf>
    <xf numFmtId="0" fontId="1" fillId="0" borderId="73" xfId="3" applyFont="1" applyBorder="1" applyAlignment="1">
      <alignment vertical="center"/>
    </xf>
    <xf numFmtId="0" fontId="34" fillId="17" borderId="74" xfId="3" applyFont="1" applyFill="1" applyBorder="1" applyAlignment="1">
      <alignment horizontal="left" vertical="center"/>
    </xf>
    <xf numFmtId="0" fontId="21" fillId="22" borderId="75" xfId="3" applyFont="1" applyFill="1" applyBorder="1" applyAlignment="1">
      <alignment horizontal="center" vertical="center" wrapText="1"/>
    </xf>
    <xf numFmtId="0" fontId="21" fillId="23" borderId="76" xfId="3" applyFont="1" applyFill="1" applyBorder="1" applyAlignment="1">
      <alignment horizontal="center" vertical="center" wrapText="1"/>
    </xf>
    <xf numFmtId="3" fontId="1" fillId="0" borderId="0" xfId="3" applyNumberFormat="1" applyFont="1" applyBorder="1" applyAlignment="1">
      <alignment horizontal="right" vertical="center"/>
    </xf>
    <xf numFmtId="0" fontId="34" fillId="17" borderId="77" xfId="3" applyFont="1" applyFill="1" applyBorder="1" applyAlignment="1">
      <alignment vertical="center"/>
    </xf>
    <xf numFmtId="0" fontId="34" fillId="17" borderId="78" xfId="3" applyFont="1" applyFill="1" applyBorder="1" applyAlignment="1">
      <alignment vertical="center"/>
    </xf>
    <xf numFmtId="3" fontId="34" fillId="17" borderId="78" xfId="3" applyNumberFormat="1" applyFont="1" applyFill="1" applyBorder="1" applyAlignment="1">
      <alignment horizontal="right" vertical="center"/>
    </xf>
    <xf numFmtId="0" fontId="35" fillId="0" borderId="0" xfId="3" applyFont="1" applyAlignment="1">
      <alignment vertical="center"/>
    </xf>
    <xf numFmtId="0" fontId="36" fillId="0" borderId="0" xfId="3" applyFont="1" applyAlignment="1">
      <alignment vertical="center"/>
    </xf>
    <xf numFmtId="0" fontId="37" fillId="0" borderId="0" xfId="3" applyFont="1" applyAlignment="1">
      <alignment vertical="center"/>
    </xf>
    <xf numFmtId="3" fontId="37" fillId="0" borderId="0" xfId="3" applyNumberFormat="1" applyFont="1" applyAlignment="1">
      <alignment vertical="center"/>
    </xf>
    <xf numFmtId="0" fontId="37" fillId="0" borderId="0" xfId="3" applyFont="1" applyAlignment="1">
      <alignment horizontal="center" vertical="center"/>
    </xf>
    <xf numFmtId="0" fontId="36" fillId="0" borderId="0" xfId="3" applyFont="1" applyAlignment="1">
      <alignment horizontal="left" vertical="center"/>
    </xf>
    <xf numFmtId="164" fontId="38" fillId="0" borderId="0" xfId="3" applyNumberFormat="1" applyFont="1" applyAlignment="1">
      <alignment vertical="center"/>
    </xf>
    <xf numFmtId="164" fontId="38" fillId="0" borderId="0" xfId="3" applyNumberFormat="1" applyFont="1" applyAlignment="1">
      <alignment horizontal="left" vertical="center"/>
    </xf>
    <xf numFmtId="0" fontId="1" fillId="0" borderId="32" xfId="3" applyFont="1" applyBorder="1" applyAlignment="1">
      <alignment vertical="center"/>
    </xf>
    <xf numFmtId="0" fontId="1" fillId="0" borderId="81" xfId="3" applyFont="1" applyBorder="1" applyAlignment="1">
      <alignment vertical="center"/>
    </xf>
    <xf numFmtId="0" fontId="1" fillId="0" borderId="82" xfId="3" applyFont="1" applyBorder="1" applyAlignment="1">
      <alignment vertical="center"/>
    </xf>
    <xf numFmtId="0" fontId="21" fillId="22" borderId="83" xfId="3" applyFont="1" applyFill="1" applyBorder="1" applyAlignment="1">
      <alignment horizontal="center" vertical="center" wrapText="1"/>
    </xf>
    <xf numFmtId="0" fontId="21" fillId="23" borderId="79" xfId="3" applyFont="1" applyFill="1" applyBorder="1" applyAlignment="1">
      <alignment horizontal="center" vertical="center" wrapText="1"/>
    </xf>
    <xf numFmtId="10" fontId="1" fillId="13" borderId="32" xfId="1" applyNumberFormat="1" applyFont="1" applyFill="1" applyBorder="1" applyAlignment="1">
      <alignment horizontal="center" vertical="center"/>
    </xf>
    <xf numFmtId="10" fontId="1" fillId="13" borderId="81" xfId="1" applyNumberFormat="1" applyFont="1" applyFill="1" applyBorder="1" applyAlignment="1">
      <alignment horizontal="center" vertical="center"/>
    </xf>
    <xf numFmtId="10" fontId="1" fillId="13" borderId="82" xfId="1" applyNumberFormat="1" applyFont="1" applyFill="1" applyBorder="1" applyAlignment="1">
      <alignment horizontal="center" vertical="center"/>
    </xf>
    <xf numFmtId="10" fontId="34" fillId="17" borderId="84" xfId="1" applyNumberFormat="1" applyFont="1" applyFill="1" applyBorder="1" applyAlignment="1">
      <alignment horizontal="center" vertical="center"/>
    </xf>
    <xf numFmtId="0" fontId="21" fillId="23" borderId="85" xfId="3" applyFont="1" applyFill="1" applyBorder="1" applyAlignment="1">
      <alignment horizontal="center" vertical="center" wrapText="1"/>
    </xf>
    <xf numFmtId="10" fontId="1" fillId="13" borderId="86" xfId="1" applyNumberFormat="1" applyFont="1" applyFill="1" applyBorder="1" applyAlignment="1">
      <alignment horizontal="center" vertical="center"/>
    </xf>
    <xf numFmtId="10" fontId="1" fillId="13" borderId="87" xfId="1" applyNumberFormat="1" applyFont="1" applyFill="1" applyBorder="1" applyAlignment="1">
      <alignment horizontal="center" vertical="center"/>
    </xf>
    <xf numFmtId="10" fontId="1" fillId="13" borderId="88" xfId="1" applyNumberFormat="1" applyFont="1" applyFill="1" applyBorder="1" applyAlignment="1">
      <alignment horizontal="center" vertical="center"/>
    </xf>
    <xf numFmtId="10" fontId="34" fillId="17" borderId="89" xfId="1" applyNumberFormat="1" applyFont="1" applyFill="1" applyBorder="1" applyAlignment="1">
      <alignment horizontal="center" vertical="center"/>
    </xf>
    <xf numFmtId="0" fontId="21" fillId="23" borderId="83" xfId="3" applyFont="1" applyFill="1" applyBorder="1" applyAlignment="1">
      <alignment horizontal="center" vertical="center" wrapText="1"/>
    </xf>
    <xf numFmtId="10" fontId="34" fillId="17" borderId="90" xfId="1" applyNumberFormat="1" applyFont="1" applyFill="1" applyBorder="1" applyAlignment="1">
      <alignment horizontal="center" vertical="center"/>
    </xf>
    <xf numFmtId="0" fontId="21" fillId="23" borderId="80" xfId="3" applyFont="1" applyFill="1" applyBorder="1" applyAlignment="1">
      <alignment horizontal="center" vertical="center" wrapText="1"/>
    </xf>
    <xf numFmtId="10" fontId="34" fillId="17" borderId="91" xfId="1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5" xfId="2" xr:uid="{00000000-0005-0000-0000-000002000000}"/>
    <cellStyle name="Percent" xfId="1" builtinId="5"/>
  </cellStyles>
  <dxfs count="2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0" formatCode="dd\-mmm\-yy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fill>
        <patternFill patternType="solid">
          <fgColor indexed="64"/>
          <bgColor rgb="FFEBDDFF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0" formatCode="dd\-mmm\-yy"/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5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fill>
        <patternFill patternType="solid">
          <fgColor indexed="64"/>
          <bgColor theme="5" tint="0.3999755851924192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fill>
        <patternFill patternType="solid">
          <fgColor indexed="64"/>
          <bgColor rgb="FFEBDDFF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7" formatCode="dd/mm/yyyy\ hh:m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AFCC"/>
      <color rgb="FFFFC8DD"/>
      <color rgb="FFFCF5C7"/>
      <color rgb="FFA2D2FF"/>
      <color rgb="FFBDE0FE"/>
      <color rgb="FFF0F4FA"/>
      <color rgb="FF004E64"/>
      <color rgb="FFFEFEE3"/>
      <color rgb="FFFDFCDC"/>
      <color rgb="FFEBF0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0000000}" autoFormatId="16" applyNumberFormats="0" applyBorderFormats="0" applyFontFormats="0" applyPatternFormats="0" applyAlignmentFormats="0" applyWidthHeightFormats="0">
  <queryTableRefresh nextId="117" unboundColumnsRight="14">
    <queryTableFields count="116">
      <queryTableField id="1" name="BranchID" tableColumnId="1"/>
      <queryTableField id="2" name="BranchName" tableColumnId="2"/>
      <queryTableField id="3" name="Transdate" tableColumnId="3"/>
      <queryTableField id="4" name="TglJatuhTempo" tableColumnId="4"/>
      <queryTableField id="5" name="TglPPD" tableColumnId="5"/>
      <queryTableField id="6" name="CustomerID" tableColumnId="6"/>
      <queryTableField id="7" name="ContractID" tableColumnId="7"/>
      <queryTableField id="8" name="NamaCustomer" tableColumnId="8"/>
      <queryTableField id="9" name="Alamat" tableColumnId="9"/>
      <queryTableField id="10" name="KodePos" tableColumnId="10"/>
      <queryTableField id="11" name="SubZipCode" tableColumnId="11"/>
      <queryTableField id="12" name="KodePos2" tableColumnId="12"/>
      <queryTableField id="13" name="Kelurahan" tableColumnId="13"/>
      <queryTableField id="14" name="Kecamatan" tableColumnId="14"/>
      <queryTableField id="15" name="Kota" tableColumnId="15"/>
      <queryTableField id="16" name="KodeDCS" tableColumnId="16"/>
      <queryTableField id="17" name="NamaDCS" tableColumnId="17"/>
      <queryTableField id="18" name="GroupID" tableColumnId="18"/>
      <queryTableField id="19" name="NamaCustomerGroup" tableColumnId="19"/>
      <queryTableField id="20" name="TlpRumah" tableColumnId="20"/>
      <queryTableField id="21" name="TlpKantor" tableColumnId="21"/>
      <queryTableField id="22" name="MobilePhone" tableColumnId="22"/>
      <queryTableField id="23" name="ObjectDesc" tableColumnId="23"/>
      <queryTableField id="24" name="BrandDesc" tableColumnId="24"/>
      <queryTableField id="25" name="TypeDesc1" tableColumnId="25"/>
      <queryTableField id="26" name="TypeDesc2" tableColumnId="26"/>
      <queryTableField id="27" name="RangkaNumber" tableColumnId="27"/>
      <queryTableField id="28" name="EngineNumber" tableColumnId="28"/>
      <queryTableField id="29" name="PoliceNumber" tableColumnId="29"/>
      <queryTableField id="30" name="OtsBalance" tableColumnId="30"/>
      <queryTableField id="31" name="OtsPokok" tableColumnId="31"/>
      <queryTableField id="32" name="NYD" tableColumnId="32"/>
      <queryTableField id="33" name="AMOVD" tableColumnId="33"/>
      <queryTableField id="34" name="Denda" tableColumnId="34"/>
      <queryTableField id="35" name="Titipan" tableColumnId="35"/>
      <queryTableField id="36" name="Installment" tableColumnId="36"/>
      <queryTableField id="37" name="DaysOD" tableColumnId="37"/>
      <queryTableField id="38" name="JumlahAngsuranOD" tableColumnId="38"/>
      <queryTableField id="39" name="SequenceID" tableColumnId="39"/>
      <queryTableField id="40" name="CreditPeriod" tableColumnId="40"/>
      <queryTableField id="41" name="OD1" tableColumnId="41"/>
      <queryTableField id="42" name="OD2" tableColumnId="42"/>
      <queryTableField id="43" name="OD3" tableColumnId="43"/>
      <queryTableField id="44" name="CollectorID" tableColumnId="44"/>
      <queryTableField id="45" name="CollectorNIK" tableColumnId="45"/>
      <queryTableField id="46" name="PIC" tableColumnId="46"/>
      <queryTableField id="47" name="CoordinatorID" tableColumnId="47"/>
      <queryTableField id="48" name="CoordinatorNIK" tableColumnId="48"/>
      <queryTableField id="49" name="Coordinator" tableColumnId="49"/>
      <queryTableField id="50" name="CoordPost" tableColumnId="50"/>
      <queryTableField id="51" name="HeadID" tableColumnId="51"/>
      <queryTableField id="52" name="HeadNIK" tableColumnId="52"/>
      <queryTableField id="53" name="Head" tableColumnId="53"/>
      <queryTableField id="54" name="HeadPost" tableColumnId="54"/>
      <queryTableField id="55" name="CHID" tableColumnId="55"/>
      <queryTableField id="56" name="CHNIK" tableColumnId="56"/>
      <queryTableField id="57" name="CH" tableColumnId="57"/>
      <queryTableField id="58" name="CHPost" tableColumnId="58"/>
      <queryTableField id="59" name="Status" tableColumnId="59"/>
      <queryTableField id="60" name="InstDue" tableColumnId="60"/>
      <queryTableField id="61" name="InstDueRp" tableColumnId="61"/>
      <queryTableField id="62" name="TglTebus" tableColumnId="62"/>
      <queryTableField id="63" name="TglTarik" tableColumnId="63"/>
      <queryTableField id="64" name="TglProsesAsr" tableColumnId="64"/>
      <queryTableField id="65" name="PrevPIC" tableColumnId="65"/>
      <queryTableField id="66" name="EndDateProcess" tableColumnId="66"/>
      <queryTableField id="67" name="Unit" tableColumnId="67"/>
      <queryTableField id="68" name="RunningReportDate" tableColumnId="68"/>
      <queryTableField id="69" name="DailyCollectibility" tableColumnId="69"/>
      <queryTableField id="70" name="OvdDaysHarian" tableColumnId="70"/>
      <queryTableField id="71" name="TglJatuhTempoHarian" tableColumnId="71"/>
      <queryTableField id="72" name="EAR" tableColumnId="72"/>
      <queryTableField id="73" name="ARIN" tableColumnId="73"/>
      <queryTableField id="74" name="FlowUp" tableColumnId="74"/>
      <queryTableField id="75" name="PaidOff" tableColumnId="75"/>
      <queryTableField id="76" name="RR" tableColumnId="76"/>
      <queryTableField id="77" name="InstPaidReal" tableColumnId="77"/>
      <queryTableField id="78" name="InstPaid" tableColumnId="78"/>
      <queryTableField id="79" name="InstPaidRealRp" tableColumnId="79"/>
      <queryTableField id="80" name="InstPaidRp" tableColumnId="80"/>
      <queryTableField id="81" name="TglTarikHarian" tableColumnId="81"/>
      <queryTableField id="82" name="Ditarik" tableColumnId="82"/>
      <queryTableField id="83" name="TglTebusHarian" tableColumnId="83"/>
      <queryTableField id="84" name="Ditebus" tableColumnId="84"/>
      <queryTableField id="85" name="TglInvHarian" tableColumnId="85"/>
      <queryTableField id="86" name="ADP" tableColumnId="86"/>
      <queryTableField id="87" name="TglProses AsrHarian" tableColumnId="87"/>
      <queryTableField id="88" name="ProsesAsrHarian" tableColumnId="88"/>
      <queryTableField id="89" name="TglTerimaKlaim" tableColumnId="89"/>
      <queryTableField id="90" name="KlaimAsr" tableColumnId="90"/>
      <queryTableField id="91" name="Period" tableColumnId="91"/>
      <queryTableField id="92" name="Product" tableColumnId="92"/>
      <queryTableField id="93" name="Amount_CWO" tableColumnId="93"/>
      <queryTableField id="94" name="Amount_WO" tableColumnId="94"/>
      <queryTableField id="95" name="Hari_WO" tableColumnId="95"/>
      <queryTableField id="96" name="Tanggal_Sukses" tableColumnId="96"/>
      <queryTableField id="97" name="Keterangan_Sukses" tableColumnId="97"/>
      <queryTableField id="98" name="Success_Amt" tableColumnId="98"/>
      <queryTableField id="99" name="BranchName-" tableColumnId="99"/>
      <queryTableField id="100" name="New Area" tableColumnId="100"/>
      <queryTableField id="101" name="reportDate" tableColumnId="101"/>
      <queryTableField id="102" name="DataPeriod" tableColumnId="102"/>
      <queryTableField id="114" dataBound="0" tableColumnId="103"/>
      <queryTableField id="113" dataBound="0" tableColumnId="104"/>
      <queryTableField id="112" dataBound="0" tableColumnId="105"/>
      <queryTableField id="111" dataBound="0" tableColumnId="106"/>
      <queryTableField id="110" dataBound="0" tableColumnId="107"/>
      <queryTableField id="109" dataBound="0" tableColumnId="108"/>
      <queryTableField id="108" dataBound="0" tableColumnId="109"/>
      <queryTableField id="107" dataBound="0" tableColumnId="110"/>
      <queryTableField id="106" dataBound="0" tableColumnId="111"/>
      <queryTableField id="105" dataBound="0" tableColumnId="112"/>
      <queryTableField id="104" dataBound="0" tableColumnId="113"/>
      <queryTableField id="103" dataBound="0" tableColumnId="114"/>
      <queryTableField id="116" dataBound="0" tableColumnId="115"/>
      <queryTableField id="115" dataBound="0" tableColumnId="1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200-000001000000}" autoFormatId="16" applyNumberFormats="0" applyBorderFormats="0" applyFontFormats="0" applyPatternFormats="0" applyAlignmentFormats="0" applyWidthHeightFormats="0">
  <queryTableRefresh nextId="115" unboundColumnsRight="12">
    <queryTableFields count="114">
      <queryTableField id="1" name="BranchName" tableColumnId="1"/>
      <queryTableField id="2" name="BranchID" tableColumnId="2"/>
      <queryTableField id="3" name="Transdate" tableColumnId="3"/>
      <queryTableField id="4" name="TglJatuhTempo" tableColumnId="4"/>
      <queryTableField id="5" name="TglPPD" tableColumnId="5"/>
      <queryTableField id="6" name="CustomerID" tableColumnId="6"/>
      <queryTableField id="7" name="ContractID" tableColumnId="7"/>
      <queryTableField id="8" name="NamaCustomer" tableColumnId="8"/>
      <queryTableField id="9" name="Alamat" tableColumnId="9"/>
      <queryTableField id="10" name="KodePos" tableColumnId="10"/>
      <queryTableField id="11" name="SubZipCode" tableColumnId="11"/>
      <queryTableField id="12" name="KodePos2" tableColumnId="12"/>
      <queryTableField id="13" name="Kelurahan" tableColumnId="13"/>
      <queryTableField id="14" name="Kecamatan" tableColumnId="14"/>
      <queryTableField id="15" name="Kota" tableColumnId="15"/>
      <queryTableField id="16" name="KodeDCS" tableColumnId="16"/>
      <queryTableField id="17" name="NamaDCS" tableColumnId="17"/>
      <queryTableField id="18" name="GroupID" tableColumnId="18"/>
      <queryTableField id="19" name="NamaCustomerGroup" tableColumnId="19"/>
      <queryTableField id="20" name="TlpRumah" tableColumnId="20"/>
      <queryTableField id="21" name="TlpKantor" tableColumnId="21"/>
      <queryTableField id="22" name="MobilePhone" tableColumnId="22"/>
      <queryTableField id="23" name="ObjectDesc" tableColumnId="23"/>
      <queryTableField id="24" name="BrandDesc" tableColumnId="24"/>
      <queryTableField id="25" name="TypeDesc1" tableColumnId="25"/>
      <queryTableField id="26" name="TypeDesc2" tableColumnId="26"/>
      <queryTableField id="27" name="RangkaNumber" tableColumnId="27"/>
      <queryTableField id="28" name="EngineNumber" tableColumnId="28"/>
      <queryTableField id="29" name="PoliceNumber" tableColumnId="29"/>
      <queryTableField id="30" name="OtsBalance" tableColumnId="30"/>
      <queryTableField id="31" name="OtsPokok" tableColumnId="31"/>
      <queryTableField id="32" name="NYD" tableColumnId="32"/>
      <queryTableField id="33" name="AMOVD" tableColumnId="33"/>
      <queryTableField id="34" name="Denda" tableColumnId="34"/>
      <queryTableField id="35" name="Titipan" tableColumnId="35"/>
      <queryTableField id="36" name="Installment" tableColumnId="36"/>
      <queryTableField id="37" name="DaysOD" tableColumnId="37"/>
      <queryTableField id="38" name="JumlahAngsuranOD" tableColumnId="38"/>
      <queryTableField id="39" name="SequenceID" tableColumnId="39"/>
      <queryTableField id="40" name="CreditPeriod" tableColumnId="40"/>
      <queryTableField id="41" name="OD1" tableColumnId="41"/>
      <queryTableField id="42" name="OD2" tableColumnId="42"/>
      <queryTableField id="43" name="OD3" tableColumnId="43"/>
      <queryTableField id="44" name="CollectorID" tableColumnId="44"/>
      <queryTableField id="45" name="CollectorNIK" tableColumnId="45"/>
      <queryTableField id="46" name="PIC" tableColumnId="46"/>
      <queryTableField id="47" name="CoordinatorID" tableColumnId="47"/>
      <queryTableField id="48" name="CoordinatorNIK" tableColumnId="48"/>
      <queryTableField id="49" name="Coordinator" tableColumnId="49"/>
      <queryTableField id="50" name="CoordPost" tableColumnId="50"/>
      <queryTableField id="51" name="HeadID" tableColumnId="51"/>
      <queryTableField id="52" name="HeadNIK" tableColumnId="52"/>
      <queryTableField id="53" name="Head" tableColumnId="53"/>
      <queryTableField id="54" name="HeadPost" tableColumnId="54"/>
      <queryTableField id="55" name="CHID" tableColumnId="55"/>
      <queryTableField id="56" name="CHNIK" tableColumnId="56"/>
      <queryTableField id="57" name="CH" tableColumnId="57"/>
      <queryTableField id="58" name="CHPost" tableColumnId="58"/>
      <queryTableField id="59" name="Status" tableColumnId="59"/>
      <queryTableField id="60" name="InstDue" tableColumnId="60"/>
      <queryTableField id="61" name="InstDueRp" tableColumnId="61"/>
      <queryTableField id="62" name="TglTebus" tableColumnId="62"/>
      <queryTableField id="63" name="TglTarik" tableColumnId="63"/>
      <queryTableField id="64" name="TglProsesAsr" tableColumnId="64"/>
      <queryTableField id="65" name="PrevPIC" tableColumnId="65"/>
      <queryTableField id="66" name="EndDateProcess" tableColumnId="66"/>
      <queryTableField id="67" name="Unit" tableColumnId="67"/>
      <queryTableField id="68" name="RunningReportDate" tableColumnId="68"/>
      <queryTableField id="69" name="DailyCollectibility" tableColumnId="69"/>
      <queryTableField id="70" name="OvdDaysHarian" tableColumnId="70"/>
      <queryTableField id="71" name="TglJatuhTempoHarian" tableColumnId="71"/>
      <queryTableField id="72" name="EAR" tableColumnId="72"/>
      <queryTableField id="73" name="ARIN" tableColumnId="73"/>
      <queryTableField id="74" name="FlowUp" tableColumnId="74"/>
      <queryTableField id="75" name="PaidOff" tableColumnId="75"/>
      <queryTableField id="76" name="RR" tableColumnId="76"/>
      <queryTableField id="77" name="InstPaidReal" tableColumnId="77"/>
      <queryTableField id="78" name="InstPaid" tableColumnId="78"/>
      <queryTableField id="79" name="InstPaidRealRp" tableColumnId="79"/>
      <queryTableField id="80" name="InstPaidRp" tableColumnId="80"/>
      <queryTableField id="81" name="TglTarikHarian" tableColumnId="81"/>
      <queryTableField id="82" name="Ditarik" tableColumnId="82"/>
      <queryTableField id="83" name="TglTebusHarian" tableColumnId="83"/>
      <queryTableField id="84" name="Ditebus" tableColumnId="84"/>
      <queryTableField id="85" name="TglInvHarian" tableColumnId="85"/>
      <queryTableField id="86" name="ADP" tableColumnId="86"/>
      <queryTableField id="87" name="TglProses AsrHarian" tableColumnId="87"/>
      <queryTableField id="88" name="ProsesAsrHarian" tableColumnId="88"/>
      <queryTableField id="89" name="TglTerimaKlaim" tableColumnId="89"/>
      <queryTableField id="90" name="KlaimAsr" tableColumnId="90"/>
      <queryTableField id="91" name="Period" tableColumnId="91"/>
      <queryTableField id="92" name="Product" tableColumnId="92"/>
      <queryTableField id="93" name="Amount_CWO" tableColumnId="93"/>
      <queryTableField id="94" name="Amount_WO" tableColumnId="94"/>
      <queryTableField id="95" name="Hari_WO" tableColumnId="95"/>
      <queryTableField id="96" name="Tanggal_Sukses" tableColumnId="96"/>
      <queryTableField id="97" name="Keterangan_Sukses" tableColumnId="97"/>
      <queryTableField id="98" name="Success_Amt" tableColumnId="98"/>
      <queryTableField id="99" name="BranchName-" tableColumnId="99"/>
      <queryTableField id="100" name="New Area" tableColumnId="100"/>
      <queryTableField id="101" name="reportDate" tableColumnId="101"/>
      <queryTableField id="102" name="DataPeriod" tableColumnId="102"/>
      <queryTableField id="114" dataBound="0" tableColumnId="103"/>
      <queryTableField id="113" dataBound="0" tableColumnId="104"/>
      <queryTableField id="112" dataBound="0" tableColumnId="105"/>
      <queryTableField id="111" dataBound="0" tableColumnId="106"/>
      <queryTableField id="110" dataBound="0" tableColumnId="107"/>
      <queryTableField id="109" dataBound="0" tableColumnId="108"/>
      <queryTableField id="108" dataBound="0" tableColumnId="109"/>
      <queryTableField id="107" dataBound="0" tableColumnId="110"/>
      <queryTableField id="106" dataBound="0" tableColumnId="111"/>
      <queryTableField id="105" dataBound="0" tableColumnId="112"/>
      <queryTableField id="104" dataBound="0" tableColumnId="113"/>
      <queryTableField id="103" dataBound="0" tableColumnId="1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_ExternalData_14" displayName="Table_ExternalData_14" ref="A1:DL92" tableType="queryTable" totalsRowShown="0" headerRowDxfId="250" dataDxfId="249">
  <autoFilter ref="A1:DL92" xr:uid="{00000000-0009-0000-0100-000003000000}"/>
  <tableColumns count="116">
    <tableColumn id="1" xr3:uid="{00000000-0010-0000-0000-000001000000}" uniqueName="1" name="BranchID" queryTableFieldId="1" dataDxfId="236"/>
    <tableColumn id="2" xr3:uid="{00000000-0010-0000-0000-000002000000}" uniqueName="2" name="BranchName" queryTableFieldId="2" dataDxfId="235"/>
    <tableColumn id="3" xr3:uid="{00000000-0010-0000-0000-000003000000}" uniqueName="3" name="Transdate" queryTableFieldId="3" dataDxfId="17"/>
    <tableColumn id="4" xr3:uid="{00000000-0010-0000-0000-000004000000}" uniqueName="4" name="TglJatuhTempo" queryTableFieldId="4" dataDxfId="15"/>
    <tableColumn id="5" xr3:uid="{00000000-0010-0000-0000-000005000000}" uniqueName="5" name="TglPPD" queryTableFieldId="5" dataDxfId="16"/>
    <tableColumn id="6" xr3:uid="{00000000-0010-0000-0000-000006000000}" uniqueName="6" name="CustomerID" queryTableFieldId="6" dataDxfId="234"/>
    <tableColumn id="7" xr3:uid="{00000000-0010-0000-0000-000007000000}" uniqueName="7" name="ContractID" queryTableFieldId="7" dataDxfId="233"/>
    <tableColumn id="8" xr3:uid="{00000000-0010-0000-0000-000008000000}" uniqueName="8" name="NamaCustomer" queryTableFieldId="8" dataDxfId="232"/>
    <tableColumn id="9" xr3:uid="{00000000-0010-0000-0000-000009000000}" uniqueName="9" name="Alamat" queryTableFieldId="9" dataDxfId="231"/>
    <tableColumn id="10" xr3:uid="{00000000-0010-0000-0000-00000A000000}" uniqueName="10" name="KodePos" queryTableFieldId="10" dataDxfId="230"/>
    <tableColumn id="11" xr3:uid="{00000000-0010-0000-0000-00000B000000}" uniqueName="11" name="SubZipCode" queryTableFieldId="11" dataDxfId="229"/>
    <tableColumn id="12" xr3:uid="{00000000-0010-0000-0000-00000C000000}" uniqueName="12" name="KodePos2" queryTableFieldId="12" dataDxfId="228"/>
    <tableColumn id="13" xr3:uid="{00000000-0010-0000-0000-00000D000000}" uniqueName="13" name="Kelurahan" queryTableFieldId="13" dataDxfId="227"/>
    <tableColumn id="14" xr3:uid="{00000000-0010-0000-0000-00000E000000}" uniqueName="14" name="Kecamatan" queryTableFieldId="14" dataDxfId="226"/>
    <tableColumn id="15" xr3:uid="{00000000-0010-0000-0000-00000F000000}" uniqueName="15" name="Kota" queryTableFieldId="15" dataDxfId="225"/>
    <tableColumn id="16" xr3:uid="{00000000-0010-0000-0000-000010000000}" uniqueName="16" name="KodeDCS" queryTableFieldId="16" dataDxfId="224"/>
    <tableColumn id="17" xr3:uid="{00000000-0010-0000-0000-000011000000}" uniqueName="17" name="NamaDCS" queryTableFieldId="17" dataDxfId="223"/>
    <tableColumn id="18" xr3:uid="{00000000-0010-0000-0000-000012000000}" uniqueName="18" name="GroupID" queryTableFieldId="18" dataDxfId="222"/>
    <tableColumn id="19" xr3:uid="{00000000-0010-0000-0000-000013000000}" uniqueName="19" name="NamaCustomerGroup" queryTableFieldId="19" dataDxfId="221"/>
    <tableColumn id="20" xr3:uid="{00000000-0010-0000-0000-000014000000}" uniqueName="20" name="TlpRumah" queryTableFieldId="20" dataDxfId="220"/>
    <tableColumn id="21" xr3:uid="{00000000-0010-0000-0000-000015000000}" uniqueName="21" name="TlpKantor" queryTableFieldId="21" dataDxfId="219"/>
    <tableColumn id="22" xr3:uid="{00000000-0010-0000-0000-000016000000}" uniqueName="22" name="MobilePhone" queryTableFieldId="22" dataDxfId="218"/>
    <tableColumn id="23" xr3:uid="{00000000-0010-0000-0000-000017000000}" uniqueName="23" name="ObjectDesc" queryTableFieldId="23" dataDxfId="217"/>
    <tableColumn id="24" xr3:uid="{00000000-0010-0000-0000-000018000000}" uniqueName="24" name="BrandDesc" queryTableFieldId="24" dataDxfId="216"/>
    <tableColumn id="25" xr3:uid="{00000000-0010-0000-0000-000019000000}" uniqueName="25" name="TypeDesc1" queryTableFieldId="25" dataDxfId="215"/>
    <tableColumn id="26" xr3:uid="{00000000-0010-0000-0000-00001A000000}" uniqueName="26" name="TypeDesc2" queryTableFieldId="26" dataDxfId="214"/>
    <tableColumn id="27" xr3:uid="{00000000-0010-0000-0000-00001B000000}" uniqueName="27" name="RangkaNumber" queryTableFieldId="27" dataDxfId="213"/>
    <tableColumn id="28" xr3:uid="{00000000-0010-0000-0000-00001C000000}" uniqueName="28" name="EngineNumber" queryTableFieldId="28" dataDxfId="212"/>
    <tableColumn id="29" xr3:uid="{00000000-0010-0000-0000-00001D000000}" uniqueName="29" name="PoliceNumber" queryTableFieldId="29" dataDxfId="211"/>
    <tableColumn id="30" xr3:uid="{00000000-0010-0000-0000-00001E000000}" uniqueName="30" name="OtsBalance" queryTableFieldId="30" dataDxfId="210"/>
    <tableColumn id="31" xr3:uid="{00000000-0010-0000-0000-00001F000000}" uniqueName="31" name="OtsPokok" queryTableFieldId="31" dataDxfId="209"/>
    <tableColumn id="32" xr3:uid="{00000000-0010-0000-0000-000020000000}" uniqueName="32" name="NYD" queryTableFieldId="32" dataDxfId="208"/>
    <tableColumn id="33" xr3:uid="{00000000-0010-0000-0000-000021000000}" uniqueName="33" name="AMOVD" queryTableFieldId="33" dataDxfId="207"/>
    <tableColumn id="34" xr3:uid="{00000000-0010-0000-0000-000022000000}" uniqueName="34" name="Denda" queryTableFieldId="34" dataDxfId="206"/>
    <tableColumn id="35" xr3:uid="{00000000-0010-0000-0000-000023000000}" uniqueName="35" name="Titipan" queryTableFieldId="35" dataDxfId="205"/>
    <tableColumn id="36" xr3:uid="{00000000-0010-0000-0000-000024000000}" uniqueName="36" name="Installment" queryTableFieldId="36" dataDxfId="204"/>
    <tableColumn id="37" xr3:uid="{00000000-0010-0000-0000-000025000000}" uniqueName="37" name="DaysOD" queryTableFieldId="37" dataDxfId="203"/>
    <tableColumn id="38" xr3:uid="{00000000-0010-0000-0000-000026000000}" uniqueName="38" name="JumlahAngsuranOD" queryTableFieldId="38" dataDxfId="202"/>
    <tableColumn id="39" xr3:uid="{00000000-0010-0000-0000-000027000000}" uniqueName="39" name="SequenceID" queryTableFieldId="39" dataDxfId="201"/>
    <tableColumn id="40" xr3:uid="{00000000-0010-0000-0000-000028000000}" uniqueName="40" name="CreditPeriod" queryTableFieldId="40" dataDxfId="200"/>
    <tableColumn id="41" xr3:uid="{00000000-0010-0000-0000-000029000000}" uniqueName="41" name="OD1" queryTableFieldId="41" dataDxfId="199"/>
    <tableColumn id="42" xr3:uid="{00000000-0010-0000-0000-00002A000000}" uniqueName="42" name="OD2" queryTableFieldId="42" dataDxfId="198"/>
    <tableColumn id="43" xr3:uid="{00000000-0010-0000-0000-00002B000000}" uniqueName="43" name="OD3" queryTableFieldId="43" dataDxfId="197"/>
    <tableColumn id="44" xr3:uid="{00000000-0010-0000-0000-00002C000000}" uniqueName="44" name="CollectorID" queryTableFieldId="44" dataDxfId="196"/>
    <tableColumn id="45" xr3:uid="{00000000-0010-0000-0000-00002D000000}" uniqueName="45" name="CollectorNIK" queryTableFieldId="45" dataDxfId="195"/>
    <tableColumn id="46" xr3:uid="{00000000-0010-0000-0000-00002E000000}" uniqueName="46" name="PIC" queryTableFieldId="46" dataDxfId="194"/>
    <tableColumn id="47" xr3:uid="{00000000-0010-0000-0000-00002F000000}" uniqueName="47" name="CoordinatorID" queryTableFieldId="47" dataDxfId="193"/>
    <tableColumn id="48" xr3:uid="{00000000-0010-0000-0000-000030000000}" uniqueName="48" name="CoordinatorNIK" queryTableFieldId="48" dataDxfId="192"/>
    <tableColumn id="49" xr3:uid="{00000000-0010-0000-0000-000031000000}" uniqueName="49" name="Coordinator" queryTableFieldId="49" dataDxfId="191"/>
    <tableColumn id="50" xr3:uid="{00000000-0010-0000-0000-000032000000}" uniqueName="50" name="CoordPost" queryTableFieldId="50" dataDxfId="190"/>
    <tableColumn id="51" xr3:uid="{00000000-0010-0000-0000-000033000000}" uniqueName="51" name="HeadID" queryTableFieldId="51" dataDxfId="189"/>
    <tableColumn id="52" xr3:uid="{00000000-0010-0000-0000-000034000000}" uniqueName="52" name="HeadNIK" queryTableFieldId="52" dataDxfId="188"/>
    <tableColumn id="53" xr3:uid="{00000000-0010-0000-0000-000035000000}" uniqueName="53" name="Head" queryTableFieldId="53" dataDxfId="187"/>
    <tableColumn id="54" xr3:uid="{00000000-0010-0000-0000-000036000000}" uniqueName="54" name="HeadPost" queryTableFieldId="54" dataDxfId="186"/>
    <tableColumn id="55" xr3:uid="{00000000-0010-0000-0000-000037000000}" uniqueName="55" name="CHID" queryTableFieldId="55" dataDxfId="185"/>
    <tableColumn id="56" xr3:uid="{00000000-0010-0000-0000-000038000000}" uniqueName="56" name="CHNIK" queryTableFieldId="56" dataDxfId="184"/>
    <tableColumn id="57" xr3:uid="{00000000-0010-0000-0000-000039000000}" uniqueName="57" name="CH" queryTableFieldId="57" dataDxfId="183"/>
    <tableColumn id="58" xr3:uid="{00000000-0010-0000-0000-00003A000000}" uniqueName="58" name="CHPost" queryTableFieldId="58" dataDxfId="182"/>
    <tableColumn id="59" xr3:uid="{00000000-0010-0000-0000-00003B000000}" uniqueName="59" name="Status" queryTableFieldId="59" dataDxfId="181"/>
    <tableColumn id="60" xr3:uid="{00000000-0010-0000-0000-00003C000000}" uniqueName="60" name="InstDue" queryTableFieldId="60" dataDxfId="180"/>
    <tableColumn id="61" xr3:uid="{00000000-0010-0000-0000-00003D000000}" uniqueName="61" name="InstDueRp" queryTableFieldId="61" dataDxfId="179"/>
    <tableColumn id="62" xr3:uid="{00000000-0010-0000-0000-00003E000000}" uniqueName="62" name="TglTebus" queryTableFieldId="62" dataDxfId="178"/>
    <tableColumn id="63" xr3:uid="{00000000-0010-0000-0000-00003F000000}" uniqueName="63" name="TglTarik" queryTableFieldId="63" dataDxfId="177"/>
    <tableColumn id="64" xr3:uid="{00000000-0010-0000-0000-000040000000}" uniqueName="64" name="TglProsesAsr" queryTableFieldId="64" dataDxfId="176"/>
    <tableColumn id="65" xr3:uid="{00000000-0010-0000-0000-000041000000}" uniqueName="65" name="PrevPIC" queryTableFieldId="65" dataDxfId="175"/>
    <tableColumn id="66" xr3:uid="{00000000-0010-0000-0000-000042000000}" uniqueName="66" name="EndDateProcess" queryTableFieldId="66" dataDxfId="174"/>
    <tableColumn id="67" xr3:uid="{00000000-0010-0000-0000-000043000000}" uniqueName="67" name="Unit" queryTableFieldId="67" dataDxfId="173"/>
    <tableColumn id="68" xr3:uid="{00000000-0010-0000-0000-000044000000}" uniqueName="68" name="RunningReportDate" queryTableFieldId="68" dataDxfId="172"/>
    <tableColumn id="69" xr3:uid="{00000000-0010-0000-0000-000045000000}" uniqueName="69" name="DailyCollectibility" queryTableFieldId="69" dataDxfId="171"/>
    <tableColumn id="70" xr3:uid="{00000000-0010-0000-0000-000046000000}" uniqueName="70" name="OvdDaysHarian" queryTableFieldId="70" dataDxfId="170"/>
    <tableColumn id="71" xr3:uid="{00000000-0010-0000-0000-000047000000}" uniqueName="71" name="TglJatuhTempoHarian" queryTableFieldId="71" dataDxfId="169"/>
    <tableColumn id="72" xr3:uid="{00000000-0010-0000-0000-000048000000}" uniqueName="72" name="EAR" queryTableFieldId="72" dataDxfId="168"/>
    <tableColumn id="73" xr3:uid="{00000000-0010-0000-0000-000049000000}" uniqueName="73" name="ARIN" queryTableFieldId="73" dataDxfId="167"/>
    <tableColumn id="74" xr3:uid="{00000000-0010-0000-0000-00004A000000}" uniqueName="74" name="FlowUp" queryTableFieldId="74" dataDxfId="166"/>
    <tableColumn id="75" xr3:uid="{00000000-0010-0000-0000-00004B000000}" uniqueName="75" name="PaidOff" queryTableFieldId="75" dataDxfId="165"/>
    <tableColumn id="76" xr3:uid="{00000000-0010-0000-0000-00004C000000}" uniqueName="76" name="RR" queryTableFieldId="76" dataDxfId="164"/>
    <tableColumn id="77" xr3:uid="{00000000-0010-0000-0000-00004D000000}" uniqueName="77" name="InstPaidReal" queryTableFieldId="77" dataDxfId="163"/>
    <tableColumn id="78" xr3:uid="{00000000-0010-0000-0000-00004E000000}" uniqueName="78" name="InstPaid" queryTableFieldId="78" dataDxfId="162"/>
    <tableColumn id="79" xr3:uid="{00000000-0010-0000-0000-00004F000000}" uniqueName="79" name="InstPaidRealRp" queryTableFieldId="79" dataDxfId="161"/>
    <tableColumn id="80" xr3:uid="{00000000-0010-0000-0000-000050000000}" uniqueName="80" name="InstPaidRp" queryTableFieldId="80" dataDxfId="160"/>
    <tableColumn id="81" xr3:uid="{00000000-0010-0000-0000-000051000000}" uniqueName="81" name="TglTarikHarian" queryTableFieldId="81" dataDxfId="159"/>
    <tableColumn id="82" xr3:uid="{00000000-0010-0000-0000-000052000000}" uniqueName="82" name="Ditarik" queryTableFieldId="82" dataDxfId="158"/>
    <tableColumn id="83" xr3:uid="{00000000-0010-0000-0000-000053000000}" uniqueName="83" name="TglTebusHarian" queryTableFieldId="83" dataDxfId="157"/>
    <tableColumn id="84" xr3:uid="{00000000-0010-0000-0000-000054000000}" uniqueName="84" name="Ditebus" queryTableFieldId="84" dataDxfId="156"/>
    <tableColumn id="85" xr3:uid="{00000000-0010-0000-0000-000055000000}" uniqueName="85" name="TglInvHarian" queryTableFieldId="85" dataDxfId="155"/>
    <tableColumn id="86" xr3:uid="{00000000-0010-0000-0000-000056000000}" uniqueName="86" name="ADP" queryTableFieldId="86" dataDxfId="154"/>
    <tableColumn id="87" xr3:uid="{00000000-0010-0000-0000-000057000000}" uniqueName="87" name="TglProses AsrHarian" queryTableFieldId="87" dataDxfId="153"/>
    <tableColumn id="88" xr3:uid="{00000000-0010-0000-0000-000058000000}" uniqueName="88" name="ProsesAsrHarian" queryTableFieldId="88" dataDxfId="152"/>
    <tableColumn id="89" xr3:uid="{00000000-0010-0000-0000-000059000000}" uniqueName="89" name="TglTerimaKlaim" queryTableFieldId="89" dataDxfId="151"/>
    <tableColumn id="90" xr3:uid="{00000000-0010-0000-0000-00005A000000}" uniqueName="90" name="KlaimAsr" queryTableFieldId="90" dataDxfId="150"/>
    <tableColumn id="91" xr3:uid="{00000000-0010-0000-0000-00005B000000}" uniqueName="91" name="Period" queryTableFieldId="91" dataDxfId="149"/>
    <tableColumn id="92" xr3:uid="{00000000-0010-0000-0000-00005C000000}" uniqueName="92" name="Product" queryTableFieldId="92" dataDxfId="148"/>
    <tableColumn id="93" xr3:uid="{00000000-0010-0000-0000-00005D000000}" uniqueName="93" name="Amount_CWO" queryTableFieldId="93" dataDxfId="147"/>
    <tableColumn id="94" xr3:uid="{00000000-0010-0000-0000-00005E000000}" uniqueName="94" name="Amount_WO" queryTableFieldId="94" dataDxfId="146"/>
    <tableColumn id="95" xr3:uid="{00000000-0010-0000-0000-00005F000000}" uniqueName="95" name="Hari_WO" queryTableFieldId="95" dataDxfId="145"/>
    <tableColumn id="96" xr3:uid="{00000000-0010-0000-0000-000060000000}" uniqueName="96" name="Tanggal_Sukses" queryTableFieldId="96" dataDxfId="144"/>
    <tableColumn id="97" xr3:uid="{00000000-0010-0000-0000-000061000000}" uniqueName="97" name="Keterangan_Sukses" queryTableFieldId="97" dataDxfId="143"/>
    <tableColumn id="98" xr3:uid="{00000000-0010-0000-0000-000062000000}" uniqueName="98" name="Success_Amt" queryTableFieldId="98" dataDxfId="142"/>
    <tableColumn id="99" xr3:uid="{00000000-0010-0000-0000-000063000000}" uniqueName="99" name="BranchName-" queryTableFieldId="99" dataDxfId="141"/>
    <tableColumn id="100" xr3:uid="{00000000-0010-0000-0000-000064000000}" uniqueName="100" name="New Area" queryTableFieldId="100" dataDxfId="140"/>
    <tableColumn id="101" xr3:uid="{00000000-0010-0000-0000-000065000000}" uniqueName="101" name="reportDate" queryTableFieldId="101" dataDxfId="139"/>
    <tableColumn id="102" xr3:uid="{00000000-0010-0000-0000-000066000000}" uniqueName="102" name="DataPeriod" queryTableFieldId="102" dataDxfId="138"/>
    <tableColumn id="103" xr3:uid="{00000000-0010-0000-0000-000067000000}" uniqueName="103" name="MONTH" queryTableFieldId="114" dataDxfId="137">
      <calculatedColumnFormula>MONTH(Table_ExternalData_14[[#This Row],[RunningReportDate]])</calculatedColumnFormula>
    </tableColumn>
    <tableColumn id="104" xr3:uid="{00000000-0010-0000-0000-000068000000}" uniqueName="104" name="Tgl WO-in" queryTableFieldId="113" dataDxfId="136">
      <calculatedColumnFormula>181-Table_ExternalData_14[[#This Row],[DaysOD]]</calculatedColumnFormula>
    </tableColumn>
    <tableColumn id="105" xr3:uid="{00000000-0010-0000-0000-000069000000}" uniqueName="105" name="CWO Amt" queryTableFieldId="112" dataDxfId="135">
      <calculatedColumnFormula>IF(Table_ExternalData_14[[#This Row],[Status]]="PU-WC",0,Table_ExternalData_14[[#This Row],[Amount_CWO]]/1000000)</calculatedColumnFormula>
    </tableColumn>
    <tableColumn id="106" xr3:uid="{00000000-0010-0000-0000-00006A000000}" uniqueName="106" name="Success CWO" queryTableFieldId="111" dataDxfId="134">
      <calculatedColumnFormula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calculatedColumnFormula>
    </tableColumn>
    <tableColumn id="107" xr3:uid="{00000000-0010-0000-0000-00006B000000}" uniqueName="107" name="Success CWO Amt" queryTableFieldId="110" dataDxfId="133">
      <calculatedColumnFormula>IF(Table_ExternalData_14[[#This Row],[Status]]="PU-WC",0,IF(Table_ExternalData_14[[#This Row],[Success CWO]]=1,Table_ExternalData_14[[#This Row],[CWO Amt]],0))</calculatedColumnFormula>
    </tableColumn>
    <tableColumn id="108" xr3:uid="{00000000-0010-0000-0000-00006C000000}" uniqueName="108" name="WO-In-Amt" queryTableFieldId="109" dataDxfId="132">
      <calculatedColumnFormula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calculatedColumnFormula>
    </tableColumn>
    <tableColumn id="109" xr3:uid="{00000000-0010-0000-0000-00006D000000}" uniqueName="109" name="Tgl Success" queryTableFieldId="108" dataDxfId="131">
      <calculatedColumnFormula>DAY(Table_ExternalData_14[[#This Row],[Tanggal_Sukses-new]])</calculatedColumnFormula>
    </tableColumn>
    <tableColumn id="110" xr3:uid="{00000000-0010-0000-0000-00006E000000}" uniqueName="110" name="Potensi WO" queryTableFieldId="107" dataDxfId="130">
      <calculatedColumnFormula>IF(Table_ExternalData_14[[#This Row],[Status]]="PU-WC",0,IF(SUM(Table_ExternalData_14[[#This Row],[Success CWO]:[WO-In-Amt]])=0,1,0))</calculatedColumnFormula>
    </tableColumn>
    <tableColumn id="111" xr3:uid="{00000000-0010-0000-0000-00006F000000}" uniqueName="111" name="Potensi WO-Amt" queryTableFieldId="106" dataDxfId="129">
      <calculatedColumnFormula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calculatedColumnFormula>
    </tableColumn>
    <tableColumn id="112" xr3:uid="{00000000-0010-0000-0000-000070000000}" uniqueName="112" name="Portfolio" queryTableFieldId="105" dataDxfId="128">
      <calculatedColumnFormula>VLOOKUP(Table_ExternalData_14[[#This Row],[BranchID]],KC!$A:$K,5,0)</calculatedColumnFormula>
    </tableColumn>
    <tableColumn id="113" xr3:uid="{00000000-0010-0000-0000-000071000000}" uniqueName="113" name="Area" queryTableFieldId="104" dataDxfId="127">
      <calculatedColumnFormula>VLOOKUP(Table_ExternalData_14[[#This Row],[BranchID]],KC!$A:$K,8,0)</calculatedColumnFormula>
    </tableColumn>
    <tableColumn id="114" xr3:uid="{00000000-0010-0000-0000-000072000000}" uniqueName="114" name="Cabang" queryTableFieldId="103" dataDxfId="126">
      <calculatedColumnFormula>VLOOKUP(Table_ExternalData_14[[#This Row],[BranchID]],KC!$A:$K,9,0)</calculatedColumnFormula>
    </tableColumn>
    <tableColumn id="115" xr3:uid="{00000000-0010-0000-0000-000073000000}" uniqueName="115" name="Tanggal_Sukses-new" queryTableFieldId="116" dataDxfId="125">
      <calculatedColumnFormula>IF(Table_ExternalData_14[[#This Row],[Tanggal_Sukses]]=" ",Table_ExternalData_14[[#This Row],[Tanggal_Sukses]],VLOOKUP(Table_ExternalData_14[[#This Row],[ContractID]],Bantuan!$A:$C,2,0))</calculatedColumnFormula>
    </tableColumn>
    <tableColumn id="116" xr3:uid="{00000000-0010-0000-0000-000074000000}" uniqueName="116" name="Keterangan_Sukses-new" queryTableFieldId="115" dataDxfId="124">
      <calculatedColumnFormula>IF(Table_ExternalData_14[[#This Row],[Keterangan_Sukses]]=" ",Table_ExternalData_14[[#This Row],[Keterangan_Sukses]],VLOOKUP(Table_ExternalData_14[[#This Row],[ContractID]],Bantuan!$A:$C,3,0))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ExternalData_1" displayName="Table_ExternalData_1" ref="A1:DJ78" tableType="queryTable" totalsRowShown="0" headerRowDxfId="6" dataDxfId="248">
  <autoFilter ref="A1:DJ78" xr:uid="{00000000-0009-0000-0100-000002000000}"/>
  <tableColumns count="114">
    <tableColumn id="1" xr3:uid="{00000000-0010-0000-0100-000001000000}" uniqueName="1" name="BranchName" queryTableFieldId="1" dataDxfId="14"/>
    <tableColumn id="2" xr3:uid="{00000000-0010-0000-0100-000002000000}" uniqueName="2" name="BranchID" queryTableFieldId="2" dataDxfId="13"/>
    <tableColumn id="3" xr3:uid="{00000000-0010-0000-0100-000003000000}" uniqueName="3" name="Transdate" queryTableFieldId="3" dataDxfId="12"/>
    <tableColumn id="4" xr3:uid="{00000000-0010-0000-0100-000004000000}" uniqueName="4" name="TglJatuhTempo" queryTableFieldId="4" dataDxfId="11"/>
    <tableColumn id="5" xr3:uid="{00000000-0010-0000-0100-000005000000}" uniqueName="5" name="TglPPD" queryTableFieldId="5" dataDxfId="10"/>
    <tableColumn id="6" xr3:uid="{00000000-0010-0000-0100-000006000000}" uniqueName="6" name="CustomerID" queryTableFieldId="6" dataDxfId="9"/>
    <tableColumn id="7" xr3:uid="{00000000-0010-0000-0100-000007000000}" uniqueName="7" name="ContractID" queryTableFieldId="7" dataDxfId="7"/>
    <tableColumn id="8" xr3:uid="{00000000-0010-0000-0100-000008000000}" uniqueName="8" name="NamaCustomer" queryTableFieldId="8" dataDxfId="8"/>
    <tableColumn id="9" xr3:uid="{00000000-0010-0000-0100-000009000000}" uniqueName="9" name="Alamat" queryTableFieldId="9" dataDxfId="123"/>
    <tableColumn id="10" xr3:uid="{00000000-0010-0000-0100-00000A000000}" uniqueName="10" name="KodePos" queryTableFieldId="10" dataDxfId="122"/>
    <tableColumn id="11" xr3:uid="{00000000-0010-0000-0100-00000B000000}" uniqueName="11" name="SubZipCode" queryTableFieldId="11" dataDxfId="121"/>
    <tableColumn id="12" xr3:uid="{00000000-0010-0000-0100-00000C000000}" uniqueName="12" name="KodePos2" queryTableFieldId="12" dataDxfId="120"/>
    <tableColumn id="13" xr3:uid="{00000000-0010-0000-0100-00000D000000}" uniqueName="13" name="Kelurahan" queryTableFieldId="13" dataDxfId="119"/>
    <tableColumn id="14" xr3:uid="{00000000-0010-0000-0100-00000E000000}" uniqueName="14" name="Kecamatan" queryTableFieldId="14" dataDxfId="118"/>
    <tableColumn id="15" xr3:uid="{00000000-0010-0000-0100-00000F000000}" uniqueName="15" name="Kota" queryTableFieldId="15" dataDxfId="117"/>
    <tableColumn id="16" xr3:uid="{00000000-0010-0000-0100-000010000000}" uniqueName="16" name="KodeDCS" queryTableFieldId="16" dataDxfId="116"/>
    <tableColumn id="17" xr3:uid="{00000000-0010-0000-0100-000011000000}" uniqueName="17" name="NamaDCS" queryTableFieldId="17" dataDxfId="115"/>
    <tableColumn id="18" xr3:uid="{00000000-0010-0000-0100-000012000000}" uniqueName="18" name="GroupID" queryTableFieldId="18" dataDxfId="114"/>
    <tableColumn id="19" xr3:uid="{00000000-0010-0000-0100-000013000000}" uniqueName="19" name="NamaCustomerGroup" queryTableFieldId="19" dataDxfId="113"/>
    <tableColumn id="20" xr3:uid="{00000000-0010-0000-0100-000014000000}" uniqueName="20" name="TlpRumah" queryTableFieldId="20" dataDxfId="112"/>
    <tableColumn id="21" xr3:uid="{00000000-0010-0000-0100-000015000000}" uniqueName="21" name="TlpKantor" queryTableFieldId="21" dataDxfId="111"/>
    <tableColumn id="22" xr3:uid="{00000000-0010-0000-0100-000016000000}" uniqueName="22" name="MobilePhone" queryTableFieldId="22" dataDxfId="110"/>
    <tableColumn id="23" xr3:uid="{00000000-0010-0000-0100-000017000000}" uniqueName="23" name="ObjectDesc" queryTableFieldId="23" dataDxfId="109"/>
    <tableColumn id="24" xr3:uid="{00000000-0010-0000-0100-000018000000}" uniqueName="24" name="BrandDesc" queryTableFieldId="24" dataDxfId="108"/>
    <tableColumn id="25" xr3:uid="{00000000-0010-0000-0100-000019000000}" uniqueName="25" name="TypeDesc1" queryTableFieldId="25" dataDxfId="107"/>
    <tableColumn id="26" xr3:uid="{00000000-0010-0000-0100-00001A000000}" uniqueName="26" name="TypeDesc2" queryTableFieldId="26" dataDxfId="106"/>
    <tableColumn id="27" xr3:uid="{00000000-0010-0000-0100-00001B000000}" uniqueName="27" name="RangkaNumber" queryTableFieldId="27" dataDxfId="105"/>
    <tableColumn id="28" xr3:uid="{00000000-0010-0000-0100-00001C000000}" uniqueName="28" name="EngineNumber" queryTableFieldId="28" dataDxfId="104"/>
    <tableColumn id="29" xr3:uid="{00000000-0010-0000-0100-00001D000000}" uniqueName="29" name="PoliceNumber" queryTableFieldId="29" dataDxfId="103"/>
    <tableColumn id="30" xr3:uid="{00000000-0010-0000-0100-00001E000000}" uniqueName="30" name="OtsBalance" queryTableFieldId="30" dataDxfId="102"/>
    <tableColumn id="31" xr3:uid="{00000000-0010-0000-0100-00001F000000}" uniqueName="31" name="OtsPokok" queryTableFieldId="31" dataDxfId="101"/>
    <tableColumn id="32" xr3:uid="{00000000-0010-0000-0100-000020000000}" uniqueName="32" name="NYD" queryTableFieldId="32" dataDxfId="100"/>
    <tableColumn id="33" xr3:uid="{00000000-0010-0000-0100-000021000000}" uniqueName="33" name="AMOVD" queryTableFieldId="33" dataDxfId="99"/>
    <tableColumn id="34" xr3:uid="{00000000-0010-0000-0100-000022000000}" uniqueName="34" name="Denda" queryTableFieldId="34" dataDxfId="98"/>
    <tableColumn id="35" xr3:uid="{00000000-0010-0000-0100-000023000000}" uniqueName="35" name="Titipan" queryTableFieldId="35" dataDxfId="97"/>
    <tableColumn id="36" xr3:uid="{00000000-0010-0000-0100-000024000000}" uniqueName="36" name="Installment" queryTableFieldId="36" dataDxfId="96"/>
    <tableColumn id="37" xr3:uid="{00000000-0010-0000-0100-000025000000}" uniqueName="37" name="DaysOD" queryTableFieldId="37" dataDxfId="95"/>
    <tableColumn id="38" xr3:uid="{00000000-0010-0000-0100-000026000000}" uniqueName="38" name="JumlahAngsuranOD" queryTableFieldId="38" dataDxfId="94"/>
    <tableColumn id="39" xr3:uid="{00000000-0010-0000-0100-000027000000}" uniqueName="39" name="SequenceID" queryTableFieldId="39" dataDxfId="93"/>
    <tableColumn id="40" xr3:uid="{00000000-0010-0000-0100-000028000000}" uniqueName="40" name="CreditPeriod" queryTableFieldId="40" dataDxfId="92"/>
    <tableColumn id="41" xr3:uid="{00000000-0010-0000-0100-000029000000}" uniqueName="41" name="OD1" queryTableFieldId="41" dataDxfId="91"/>
    <tableColumn id="42" xr3:uid="{00000000-0010-0000-0100-00002A000000}" uniqueName="42" name="OD2" queryTableFieldId="42" dataDxfId="90"/>
    <tableColumn id="43" xr3:uid="{00000000-0010-0000-0100-00002B000000}" uniqueName="43" name="OD3" queryTableFieldId="43" dataDxfId="89"/>
    <tableColumn id="44" xr3:uid="{00000000-0010-0000-0100-00002C000000}" uniqueName="44" name="CollectorID" queryTableFieldId="44" dataDxfId="88"/>
    <tableColumn id="45" xr3:uid="{00000000-0010-0000-0100-00002D000000}" uniqueName="45" name="CollectorNIK" queryTableFieldId="45" dataDxfId="87"/>
    <tableColumn id="46" xr3:uid="{00000000-0010-0000-0100-00002E000000}" uniqueName="46" name="PIC" queryTableFieldId="46" dataDxfId="86"/>
    <tableColumn id="47" xr3:uid="{00000000-0010-0000-0100-00002F000000}" uniqueName="47" name="CoordinatorID" queryTableFieldId="47" dataDxfId="85"/>
    <tableColumn id="48" xr3:uid="{00000000-0010-0000-0100-000030000000}" uniqueName="48" name="CoordinatorNIK" queryTableFieldId="48" dataDxfId="84"/>
    <tableColumn id="49" xr3:uid="{00000000-0010-0000-0100-000031000000}" uniqueName="49" name="Coordinator" queryTableFieldId="49" dataDxfId="83"/>
    <tableColumn id="50" xr3:uid="{00000000-0010-0000-0100-000032000000}" uniqueName="50" name="CoordPost" queryTableFieldId="50" dataDxfId="82"/>
    <tableColumn id="51" xr3:uid="{00000000-0010-0000-0100-000033000000}" uniqueName="51" name="HeadID" queryTableFieldId="51" dataDxfId="81"/>
    <tableColumn id="52" xr3:uid="{00000000-0010-0000-0100-000034000000}" uniqueName="52" name="HeadNIK" queryTableFieldId="52" dataDxfId="80"/>
    <tableColumn id="53" xr3:uid="{00000000-0010-0000-0100-000035000000}" uniqueName="53" name="Head" queryTableFieldId="53" dataDxfId="79"/>
    <tableColumn id="54" xr3:uid="{00000000-0010-0000-0100-000036000000}" uniqueName="54" name="HeadPost" queryTableFieldId="54" dataDxfId="78"/>
    <tableColumn id="55" xr3:uid="{00000000-0010-0000-0100-000037000000}" uniqueName="55" name="CHID" queryTableFieldId="55" dataDxfId="77"/>
    <tableColumn id="56" xr3:uid="{00000000-0010-0000-0100-000038000000}" uniqueName="56" name="CHNIK" queryTableFieldId="56" dataDxfId="76"/>
    <tableColumn id="57" xr3:uid="{00000000-0010-0000-0100-000039000000}" uniqueName="57" name="CH" queryTableFieldId="57" dataDxfId="75"/>
    <tableColumn id="58" xr3:uid="{00000000-0010-0000-0100-00003A000000}" uniqueName="58" name="CHPost" queryTableFieldId="58" dataDxfId="74"/>
    <tableColumn id="59" xr3:uid="{00000000-0010-0000-0100-00003B000000}" uniqueName="59" name="Status" queryTableFieldId="59" dataDxfId="73"/>
    <tableColumn id="60" xr3:uid="{00000000-0010-0000-0100-00003C000000}" uniqueName="60" name="InstDue" queryTableFieldId="60" dataDxfId="72"/>
    <tableColumn id="61" xr3:uid="{00000000-0010-0000-0100-00003D000000}" uniqueName="61" name="InstDueRp" queryTableFieldId="61" dataDxfId="71"/>
    <tableColumn id="62" xr3:uid="{00000000-0010-0000-0100-00003E000000}" uniqueName="62" name="TglTebus" queryTableFieldId="62" dataDxfId="70"/>
    <tableColumn id="63" xr3:uid="{00000000-0010-0000-0100-00003F000000}" uniqueName="63" name="TglTarik" queryTableFieldId="63" dataDxfId="69"/>
    <tableColumn id="64" xr3:uid="{00000000-0010-0000-0100-000040000000}" uniqueName="64" name="TglProsesAsr" queryTableFieldId="64" dataDxfId="68"/>
    <tableColumn id="65" xr3:uid="{00000000-0010-0000-0100-000041000000}" uniqueName="65" name="PrevPIC" queryTableFieldId="65" dataDxfId="67"/>
    <tableColumn id="66" xr3:uid="{00000000-0010-0000-0100-000042000000}" uniqueName="66" name="EndDateProcess" queryTableFieldId="66" dataDxfId="66"/>
    <tableColumn id="67" xr3:uid="{00000000-0010-0000-0100-000043000000}" uniqueName="67" name="Unit" queryTableFieldId="67" dataDxfId="65"/>
    <tableColumn id="68" xr3:uid="{00000000-0010-0000-0100-000044000000}" uniqueName="68" name="RunningReportDate" queryTableFieldId="68" dataDxfId="64"/>
    <tableColumn id="69" xr3:uid="{00000000-0010-0000-0100-000045000000}" uniqueName="69" name="DailyCollectibility" queryTableFieldId="69" dataDxfId="63"/>
    <tableColumn id="70" xr3:uid="{00000000-0010-0000-0100-000046000000}" uniqueName="70" name="OvdDaysHarian" queryTableFieldId="70" dataDxfId="62"/>
    <tableColumn id="71" xr3:uid="{00000000-0010-0000-0100-000047000000}" uniqueName="71" name="TglJatuhTempoHarian" queryTableFieldId="71" dataDxfId="61"/>
    <tableColumn id="72" xr3:uid="{00000000-0010-0000-0100-000048000000}" uniqueName="72" name="EAR" queryTableFieldId="72" dataDxfId="60"/>
    <tableColumn id="73" xr3:uid="{00000000-0010-0000-0100-000049000000}" uniqueName="73" name="ARIN" queryTableFieldId="73" dataDxfId="59"/>
    <tableColumn id="74" xr3:uid="{00000000-0010-0000-0100-00004A000000}" uniqueName="74" name="FlowUp" queryTableFieldId="74" dataDxfId="58"/>
    <tableColumn id="75" xr3:uid="{00000000-0010-0000-0100-00004B000000}" uniqueName="75" name="PaidOff" queryTableFieldId="75" dataDxfId="57"/>
    <tableColumn id="76" xr3:uid="{00000000-0010-0000-0100-00004C000000}" uniqueName="76" name="RR" queryTableFieldId="76" dataDxfId="56"/>
    <tableColumn id="77" xr3:uid="{00000000-0010-0000-0100-00004D000000}" uniqueName="77" name="InstPaidReal" queryTableFieldId="77" dataDxfId="55"/>
    <tableColumn id="78" xr3:uid="{00000000-0010-0000-0100-00004E000000}" uniqueName="78" name="InstPaid" queryTableFieldId="78" dataDxfId="54"/>
    <tableColumn id="79" xr3:uid="{00000000-0010-0000-0100-00004F000000}" uniqueName="79" name="InstPaidRealRp" queryTableFieldId="79" dataDxfId="53"/>
    <tableColumn id="80" xr3:uid="{00000000-0010-0000-0100-000050000000}" uniqueName="80" name="InstPaidRp" queryTableFieldId="80" dataDxfId="52"/>
    <tableColumn id="81" xr3:uid="{00000000-0010-0000-0100-000051000000}" uniqueName="81" name="TglTarikHarian" queryTableFieldId="81" dataDxfId="51"/>
    <tableColumn id="82" xr3:uid="{00000000-0010-0000-0100-000052000000}" uniqueName="82" name="Ditarik" queryTableFieldId="82" dataDxfId="50"/>
    <tableColumn id="83" xr3:uid="{00000000-0010-0000-0100-000053000000}" uniqueName="83" name="TglTebusHarian" queryTableFieldId="83" dataDxfId="49"/>
    <tableColumn id="84" xr3:uid="{00000000-0010-0000-0100-000054000000}" uniqueName="84" name="Ditebus" queryTableFieldId="84" dataDxfId="48"/>
    <tableColumn id="85" xr3:uid="{00000000-0010-0000-0100-000055000000}" uniqueName="85" name="TglInvHarian" queryTableFieldId="85" dataDxfId="47"/>
    <tableColumn id="86" xr3:uid="{00000000-0010-0000-0100-000056000000}" uniqueName="86" name="ADP" queryTableFieldId="86" dataDxfId="46"/>
    <tableColumn id="87" xr3:uid="{00000000-0010-0000-0100-000057000000}" uniqueName="87" name="TglProses AsrHarian" queryTableFieldId="87" dataDxfId="45"/>
    <tableColumn id="88" xr3:uid="{00000000-0010-0000-0100-000058000000}" uniqueName="88" name="ProsesAsrHarian" queryTableFieldId="88" dataDxfId="44"/>
    <tableColumn id="89" xr3:uid="{00000000-0010-0000-0100-000059000000}" uniqueName="89" name="TglTerimaKlaim" queryTableFieldId="89" dataDxfId="43"/>
    <tableColumn id="90" xr3:uid="{00000000-0010-0000-0100-00005A000000}" uniqueName="90" name="KlaimAsr" queryTableFieldId="90" dataDxfId="42"/>
    <tableColumn id="91" xr3:uid="{00000000-0010-0000-0100-00005B000000}" uniqueName="91" name="Period" queryTableFieldId="91" dataDxfId="41"/>
    <tableColumn id="92" xr3:uid="{00000000-0010-0000-0100-00005C000000}" uniqueName="92" name="Product" queryTableFieldId="92" dataDxfId="40"/>
    <tableColumn id="93" xr3:uid="{00000000-0010-0000-0100-00005D000000}" uniqueName="93" name="Amount_CWO" queryTableFieldId="93" dataDxfId="39"/>
    <tableColumn id="94" xr3:uid="{00000000-0010-0000-0100-00005E000000}" uniqueName="94" name="Amount_WO" queryTableFieldId="94" dataDxfId="38"/>
    <tableColumn id="95" xr3:uid="{00000000-0010-0000-0100-00005F000000}" uniqueName="95" name="Hari_WO" queryTableFieldId="95" dataDxfId="37"/>
    <tableColumn id="96" xr3:uid="{00000000-0010-0000-0100-000060000000}" uniqueName="96" name="Tanggal_Sukses" queryTableFieldId="96" dataDxfId="36"/>
    <tableColumn id="97" xr3:uid="{00000000-0010-0000-0100-000061000000}" uniqueName="97" name="Keterangan_Sukses" queryTableFieldId="97" dataDxfId="35"/>
    <tableColumn id="98" xr3:uid="{00000000-0010-0000-0100-000062000000}" uniqueName="98" name="Success_Amt" queryTableFieldId="98" dataDxfId="34"/>
    <tableColumn id="99" xr3:uid="{00000000-0010-0000-0100-000063000000}" uniqueName="99" name="BranchName-" queryTableFieldId="99" dataDxfId="33"/>
    <tableColumn id="100" xr3:uid="{00000000-0010-0000-0100-000064000000}" uniqueName="100" name="New Area" queryTableFieldId="100" dataDxfId="32"/>
    <tableColumn id="101" xr3:uid="{00000000-0010-0000-0100-000065000000}" uniqueName="101" name="reportDate" queryTableFieldId="101" dataDxfId="31"/>
    <tableColumn id="102" xr3:uid="{00000000-0010-0000-0100-000066000000}" uniqueName="102" name="DataPeriod" queryTableFieldId="102" dataDxfId="30"/>
    <tableColumn id="103" xr3:uid="{00000000-0010-0000-0100-000067000000}" uniqueName="103" name="MONTH" queryTableFieldId="114" dataDxfId="29">
      <calculatedColumnFormula>MONTH(Table_ExternalData_1[[#This Row],[RunningReportDate]])</calculatedColumnFormula>
    </tableColumn>
    <tableColumn id="104" xr3:uid="{00000000-0010-0000-0100-000068000000}" uniqueName="104" name="Tgl WO-in" queryTableFieldId="113" dataDxfId="28">
      <calculatedColumnFormula>181-Table_ExternalData_1[[#This Row],[DaysOD]]</calculatedColumnFormula>
    </tableColumn>
    <tableColumn id="105" xr3:uid="{00000000-0010-0000-0100-000069000000}" uniqueName="105" name="CWO Amt" queryTableFieldId="112" dataDxfId="27">
      <calculatedColumnFormula>IF(Table_ExternalData_1[[#This Row],[Status]]="PU-WC",0,Table_ExternalData_1[[#This Row],[Amount_CWO]]/1000000)</calculatedColumnFormula>
    </tableColumn>
    <tableColumn id="106" xr3:uid="{00000000-0010-0000-0100-00006A000000}" uniqueName="106" name="Success CWO" queryTableFieldId="111" dataDxfId="26">
      <calculatedColumnFormula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calculatedColumnFormula>
    </tableColumn>
    <tableColumn id="107" xr3:uid="{00000000-0010-0000-0100-00006B000000}" uniqueName="107" name="Success CWO Amt" queryTableFieldId="110" dataDxfId="25">
      <calculatedColumnFormula>IF(Table_ExternalData_1[[#This Row],[Status]]="PU-WC",0,IF(Table_ExternalData_1[[#This Row],[Success CWO]]=1,Table_ExternalData_1[[#This Row],[CWO Amt]],0))</calculatedColumnFormula>
    </tableColumn>
    <tableColumn id="108" xr3:uid="{00000000-0010-0000-0100-00006C000000}" uniqueName="108" name="WO-In-Amt" queryTableFieldId="109" dataDxfId="24">
      <calculatedColumnFormula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calculatedColumnFormula>
    </tableColumn>
    <tableColumn id="109" xr3:uid="{00000000-0010-0000-0100-00006D000000}" uniqueName="109" name="Tgl Success" queryTableFieldId="108" dataDxfId="23">
      <calculatedColumnFormula>DAY(Table_ExternalData_1[[#This Row],[Tanggal_Sukses]])</calculatedColumnFormula>
    </tableColumn>
    <tableColumn id="110" xr3:uid="{00000000-0010-0000-0100-00006E000000}" uniqueName="110" name="Potensi WO" queryTableFieldId="107" dataDxfId="22">
      <calculatedColumnFormula>IF(Table_ExternalData_1[[#This Row],[Status]]="PU-WC",0,IF(SUM(Table_ExternalData_1[[#This Row],[Success CWO]:[WO-In-Amt]])=0,1,0))</calculatedColumnFormula>
    </tableColumn>
    <tableColumn id="111" xr3:uid="{00000000-0010-0000-0100-00006F000000}" uniqueName="111" name="Potensi WO-Amt" queryTableFieldId="106" dataDxfId="21">
      <calculatedColumnFormula>IF(AND(Table_ExternalData_1[[#This Row],[Status]]="InsuranceClaim",Table_ExternalData_1[[#This Row],[TglTarik]]&gt;0),0,IF(Table_ExternalData_1[[#This Row],[Status]]="PU-WC",0,IF(Table_ExternalData_1[[#This Row],[Potensi WO]]=1,Table_ExternalData_1[[#This Row],[CWO Amt]],0)))</calculatedColumnFormula>
    </tableColumn>
    <tableColumn id="112" xr3:uid="{00000000-0010-0000-0100-000070000000}" uniqueName="112" name="Portfolio" queryTableFieldId="105" dataDxfId="20">
      <calculatedColumnFormula>VLOOKUP(Table_ExternalData_1[[#This Row],[BranchID]],KC!$A:$K,5,0)</calculatedColumnFormula>
    </tableColumn>
    <tableColumn id="113" xr3:uid="{00000000-0010-0000-0100-000071000000}" uniqueName="113" name="Area" queryTableFieldId="104" dataDxfId="19">
      <calculatedColumnFormula>VLOOKUP(Table_ExternalData_1[[#This Row],[BranchID]],KC!$A:$K,8,0)</calculatedColumnFormula>
    </tableColumn>
    <tableColumn id="114" xr3:uid="{00000000-0010-0000-0100-000072000000}" uniqueName="114" name="Cabang" queryTableFieldId="103" dataDxfId="18">
      <calculatedColumnFormula>VLOOKUP(Table_ExternalData_1[[#This Row],[BranchID]],KC!$A:$K,9,0)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"/>
  <sheetViews>
    <sheetView showGridLines="0" workbookViewId="0">
      <pane xSplit="4" ySplit="7" topLeftCell="E209" activePane="bottomRight" state="frozen"/>
      <selection pane="topRight" activeCell="E1" sqref="E1"/>
      <selection pane="bottomLeft" activeCell="A8" sqref="A8"/>
      <selection pane="bottomRight" sqref="A1:K226"/>
    </sheetView>
  </sheetViews>
  <sheetFormatPr defaultColWidth="9.109375" defaultRowHeight="13.2" x14ac:dyDescent="0.25"/>
  <cols>
    <col min="1" max="1" width="11.109375" style="15" bestFit="1" customWidth="1"/>
    <col min="2" max="2" width="15.109375" style="15" customWidth="1"/>
    <col min="3" max="3" width="16.6640625" style="15" customWidth="1"/>
    <col min="4" max="4" width="16" style="15" customWidth="1"/>
    <col min="5" max="5" width="7.88671875" style="15" bestFit="1" customWidth="1"/>
    <col min="6" max="6" width="18.33203125" style="15" bestFit="1" customWidth="1"/>
    <col min="7" max="7" width="14" style="15" customWidth="1"/>
    <col min="8" max="8" width="18.44140625" style="15" customWidth="1"/>
    <col min="9" max="9" width="24.33203125" style="15" customWidth="1"/>
    <col min="10" max="10" width="10" style="15" bestFit="1" customWidth="1"/>
    <col min="11" max="11" width="10" style="30" bestFit="1" customWidth="1"/>
    <col min="12" max="12" width="1.88671875" style="15" customWidth="1"/>
    <col min="13" max="13" width="7.33203125" style="15" bestFit="1" customWidth="1"/>
    <col min="14" max="14" width="9" style="15" bestFit="1" customWidth="1"/>
    <col min="15" max="16" width="10" style="15" bestFit="1" customWidth="1"/>
    <col min="17" max="16384" width="9.109375" style="15"/>
  </cols>
  <sheetData>
    <row r="1" spans="1:17" x14ac:dyDescent="0.25">
      <c r="A1" s="10" t="s">
        <v>18</v>
      </c>
      <c r="B1" s="11" t="s">
        <v>17</v>
      </c>
      <c r="C1" s="11" t="s">
        <v>115</v>
      </c>
      <c r="D1" s="11" t="s">
        <v>116</v>
      </c>
      <c r="E1" s="11" t="s">
        <v>440</v>
      </c>
      <c r="F1" s="11" t="s">
        <v>441</v>
      </c>
      <c r="G1" s="11" t="s">
        <v>442</v>
      </c>
      <c r="H1" s="11" t="s">
        <v>443</v>
      </c>
      <c r="I1" s="11" t="s">
        <v>444</v>
      </c>
      <c r="J1" s="12" t="s">
        <v>75</v>
      </c>
      <c r="K1" s="13" t="s">
        <v>83</v>
      </c>
      <c r="L1" s="14"/>
      <c r="M1" s="15">
        <v>-10000</v>
      </c>
      <c r="N1" s="15">
        <v>0</v>
      </c>
      <c r="O1" s="15" t="s">
        <v>445</v>
      </c>
      <c r="P1" s="15" t="s">
        <v>446</v>
      </c>
      <c r="Q1" s="15" t="s">
        <v>447</v>
      </c>
    </row>
    <row r="2" spans="1:17" x14ac:dyDescent="0.25">
      <c r="A2" s="16" t="s">
        <v>346</v>
      </c>
      <c r="B2" s="17" t="s">
        <v>280</v>
      </c>
      <c r="C2" s="17" t="s">
        <v>280</v>
      </c>
      <c r="D2" s="17" t="s">
        <v>350</v>
      </c>
      <c r="E2" s="18" t="s">
        <v>349</v>
      </c>
      <c r="F2" s="17" t="s">
        <v>448</v>
      </c>
      <c r="G2" s="17" t="s">
        <v>280</v>
      </c>
      <c r="H2" s="18" t="s">
        <v>448</v>
      </c>
      <c r="I2" s="18" t="s">
        <v>280</v>
      </c>
      <c r="J2" s="19" t="s">
        <v>449</v>
      </c>
      <c r="K2" s="20">
        <v>1</v>
      </c>
      <c r="L2" s="14"/>
      <c r="M2" s="15">
        <v>1</v>
      </c>
      <c r="N2" s="15">
        <v>30</v>
      </c>
      <c r="O2" s="15" t="s">
        <v>450</v>
      </c>
      <c r="P2" s="15" t="s">
        <v>450</v>
      </c>
      <c r="Q2" s="15" t="s">
        <v>447</v>
      </c>
    </row>
    <row r="3" spans="1:17" x14ac:dyDescent="0.25">
      <c r="A3" s="21" t="s">
        <v>451</v>
      </c>
      <c r="B3" s="22" t="s">
        <v>452</v>
      </c>
      <c r="C3" s="22" t="s">
        <v>452</v>
      </c>
      <c r="D3" s="22" t="s">
        <v>453</v>
      </c>
      <c r="E3" s="18" t="s">
        <v>349</v>
      </c>
      <c r="F3" s="22" t="s">
        <v>454</v>
      </c>
      <c r="G3" s="22" t="s">
        <v>455</v>
      </c>
      <c r="H3" s="18" t="s">
        <v>454</v>
      </c>
      <c r="I3" s="18" t="s">
        <v>455</v>
      </c>
      <c r="J3" s="23" t="s">
        <v>449</v>
      </c>
      <c r="K3" s="24">
        <v>1</v>
      </c>
      <c r="L3" s="14"/>
      <c r="M3" s="15">
        <v>31</v>
      </c>
      <c r="N3" s="15">
        <v>60</v>
      </c>
      <c r="O3" s="15" t="s">
        <v>456</v>
      </c>
      <c r="P3" s="15" t="s">
        <v>456</v>
      </c>
      <c r="Q3" s="15" t="s">
        <v>457</v>
      </c>
    </row>
    <row r="4" spans="1:17" x14ac:dyDescent="0.25">
      <c r="A4" s="16" t="s">
        <v>458</v>
      </c>
      <c r="B4" s="17" t="s">
        <v>256</v>
      </c>
      <c r="C4" s="17" t="s">
        <v>256</v>
      </c>
      <c r="D4" s="17" t="s">
        <v>364</v>
      </c>
      <c r="E4" s="18" t="s">
        <v>349</v>
      </c>
      <c r="F4" s="17" t="s">
        <v>448</v>
      </c>
      <c r="G4" s="17" t="s">
        <v>256</v>
      </c>
      <c r="H4" s="18" t="s">
        <v>448</v>
      </c>
      <c r="I4" s="18" t="s">
        <v>256</v>
      </c>
      <c r="J4" s="19" t="s">
        <v>449</v>
      </c>
      <c r="K4" s="20">
        <v>1</v>
      </c>
      <c r="L4" s="14"/>
      <c r="M4" s="15">
        <v>61</v>
      </c>
      <c r="N4" s="15">
        <v>90</v>
      </c>
      <c r="O4" s="15" t="s">
        <v>459</v>
      </c>
      <c r="P4" s="15" t="s">
        <v>459</v>
      </c>
      <c r="Q4" s="15" t="s">
        <v>457</v>
      </c>
    </row>
    <row r="5" spans="1:17" x14ac:dyDescent="0.25">
      <c r="A5" s="21" t="s">
        <v>460</v>
      </c>
      <c r="B5" s="22" t="s">
        <v>193</v>
      </c>
      <c r="C5" s="22" t="s">
        <v>193</v>
      </c>
      <c r="D5" s="22" t="s">
        <v>364</v>
      </c>
      <c r="E5" s="18" t="s">
        <v>349</v>
      </c>
      <c r="F5" s="22" t="s">
        <v>448</v>
      </c>
      <c r="G5" s="22" t="s">
        <v>193</v>
      </c>
      <c r="H5" s="18" t="s">
        <v>448</v>
      </c>
      <c r="I5" s="18" t="s">
        <v>193</v>
      </c>
      <c r="J5" s="23" t="s">
        <v>449</v>
      </c>
      <c r="K5" s="24">
        <v>1</v>
      </c>
      <c r="L5" s="14"/>
      <c r="M5" s="15">
        <v>91</v>
      </c>
      <c r="N5" s="15">
        <v>120</v>
      </c>
      <c r="O5" s="15" t="s">
        <v>461</v>
      </c>
      <c r="P5" s="15" t="s">
        <v>461</v>
      </c>
      <c r="Q5" s="15" t="s">
        <v>462</v>
      </c>
    </row>
    <row r="6" spans="1:17" x14ac:dyDescent="0.25">
      <c r="A6" s="16" t="s">
        <v>463</v>
      </c>
      <c r="B6" s="17" t="s">
        <v>11</v>
      </c>
      <c r="C6" s="17" t="s">
        <v>11</v>
      </c>
      <c r="D6" s="17" t="s">
        <v>464</v>
      </c>
      <c r="E6" s="18" t="s">
        <v>349</v>
      </c>
      <c r="F6" s="17" t="s">
        <v>465</v>
      </c>
      <c r="G6" s="17" t="s">
        <v>11</v>
      </c>
      <c r="H6" s="18" t="s">
        <v>465</v>
      </c>
      <c r="I6" s="18" t="s">
        <v>11</v>
      </c>
      <c r="J6" s="19" t="s">
        <v>449</v>
      </c>
      <c r="K6" s="20">
        <v>1</v>
      </c>
      <c r="L6" s="14"/>
      <c r="M6" s="15">
        <v>121</v>
      </c>
      <c r="N6" s="15">
        <v>150</v>
      </c>
      <c r="O6" s="15" t="s">
        <v>236</v>
      </c>
      <c r="P6" s="15" t="s">
        <v>236</v>
      </c>
      <c r="Q6" s="15" t="s">
        <v>462</v>
      </c>
    </row>
    <row r="7" spans="1:17" x14ac:dyDescent="0.25">
      <c r="A7" s="21" t="s">
        <v>466</v>
      </c>
      <c r="B7" s="22" t="s">
        <v>0</v>
      </c>
      <c r="C7" s="22" t="s">
        <v>0</v>
      </c>
      <c r="D7" s="22" t="s">
        <v>464</v>
      </c>
      <c r="E7" s="18" t="s">
        <v>349</v>
      </c>
      <c r="F7" s="22" t="s">
        <v>465</v>
      </c>
      <c r="G7" s="22" t="s">
        <v>0</v>
      </c>
      <c r="H7" s="18" t="s">
        <v>465</v>
      </c>
      <c r="I7" s="18" t="s">
        <v>0</v>
      </c>
      <c r="J7" s="23" t="s">
        <v>449</v>
      </c>
      <c r="K7" s="24">
        <v>1</v>
      </c>
      <c r="L7" s="14"/>
      <c r="M7" s="15">
        <v>151</v>
      </c>
      <c r="N7" s="15">
        <v>180</v>
      </c>
      <c r="O7" s="15" t="s">
        <v>123</v>
      </c>
      <c r="P7" s="15" t="s">
        <v>123</v>
      </c>
      <c r="Q7" s="15" t="s">
        <v>462</v>
      </c>
    </row>
    <row r="8" spans="1:17" x14ac:dyDescent="0.25">
      <c r="A8" s="16" t="s">
        <v>467</v>
      </c>
      <c r="B8" s="17" t="s">
        <v>468</v>
      </c>
      <c r="C8" s="17" t="s">
        <v>468</v>
      </c>
      <c r="D8" s="17" t="s">
        <v>377</v>
      </c>
      <c r="E8" s="18" t="s">
        <v>349</v>
      </c>
      <c r="F8" s="17" t="s">
        <v>469</v>
      </c>
      <c r="G8" s="17" t="s">
        <v>468</v>
      </c>
      <c r="H8" s="18" t="s">
        <v>469</v>
      </c>
      <c r="I8" s="18" t="s">
        <v>468</v>
      </c>
      <c r="J8" s="19" t="s">
        <v>449</v>
      </c>
      <c r="K8" s="20">
        <v>1</v>
      </c>
      <c r="L8" s="14"/>
      <c r="M8" s="15">
        <v>181</v>
      </c>
      <c r="N8" s="15">
        <v>10000000</v>
      </c>
      <c r="O8" s="15" t="s">
        <v>470</v>
      </c>
      <c r="P8" s="15" t="s">
        <v>470</v>
      </c>
      <c r="Q8" s="15" t="s">
        <v>471</v>
      </c>
    </row>
    <row r="9" spans="1:17" x14ac:dyDescent="0.25">
      <c r="A9" s="21" t="s">
        <v>472</v>
      </c>
      <c r="B9" s="22" t="s">
        <v>173</v>
      </c>
      <c r="C9" s="22" t="s">
        <v>173</v>
      </c>
      <c r="D9" s="22" t="s">
        <v>473</v>
      </c>
      <c r="E9" s="18" t="s">
        <v>349</v>
      </c>
      <c r="F9" s="22" t="s">
        <v>474</v>
      </c>
      <c r="G9" s="22" t="s">
        <v>173</v>
      </c>
      <c r="H9" s="18" t="s">
        <v>474</v>
      </c>
      <c r="I9" s="18" t="s">
        <v>173</v>
      </c>
      <c r="J9" s="23" t="s">
        <v>449</v>
      </c>
      <c r="K9" s="24">
        <v>1</v>
      </c>
      <c r="L9" s="14"/>
    </row>
    <row r="10" spans="1:17" x14ac:dyDescent="0.25">
      <c r="A10" s="16" t="s">
        <v>475</v>
      </c>
      <c r="B10" s="17" t="s">
        <v>476</v>
      </c>
      <c r="C10" s="17" t="s">
        <v>476</v>
      </c>
      <c r="D10" s="17" t="s">
        <v>357</v>
      </c>
      <c r="E10" s="18" t="s">
        <v>349</v>
      </c>
      <c r="F10" s="17" t="s">
        <v>469</v>
      </c>
      <c r="G10" s="17" t="s">
        <v>468</v>
      </c>
      <c r="H10" s="18" t="s">
        <v>469</v>
      </c>
      <c r="I10" s="18" t="s">
        <v>468</v>
      </c>
      <c r="J10" s="19" t="s">
        <v>477</v>
      </c>
      <c r="K10" s="20">
        <v>1</v>
      </c>
      <c r="L10" s="14"/>
    </row>
    <row r="11" spans="1:17" x14ac:dyDescent="0.25">
      <c r="A11" s="21" t="s">
        <v>478</v>
      </c>
      <c r="B11" s="22" t="s">
        <v>242</v>
      </c>
      <c r="C11" s="22" t="s">
        <v>242</v>
      </c>
      <c r="D11" s="22" t="s">
        <v>479</v>
      </c>
      <c r="E11" s="18" t="s">
        <v>349</v>
      </c>
      <c r="F11" s="22" t="s">
        <v>480</v>
      </c>
      <c r="G11" s="22" t="s">
        <v>242</v>
      </c>
      <c r="H11" s="18" t="s">
        <v>480</v>
      </c>
      <c r="I11" s="18" t="s">
        <v>242</v>
      </c>
      <c r="J11" s="23" t="s">
        <v>449</v>
      </c>
      <c r="K11" s="24">
        <v>1</v>
      </c>
      <c r="L11" s="14"/>
    </row>
    <row r="12" spans="1:17" x14ac:dyDescent="0.25">
      <c r="A12" s="16" t="s">
        <v>481</v>
      </c>
      <c r="B12" s="17" t="s">
        <v>482</v>
      </c>
      <c r="C12" s="17" t="s">
        <v>482</v>
      </c>
      <c r="D12" s="17" t="s">
        <v>464</v>
      </c>
      <c r="E12" s="18" t="s">
        <v>349</v>
      </c>
      <c r="F12" s="17" t="s">
        <v>465</v>
      </c>
      <c r="G12" s="17" t="s">
        <v>483</v>
      </c>
      <c r="H12" s="18" t="s">
        <v>465</v>
      </c>
      <c r="I12" s="18" t="s">
        <v>9</v>
      </c>
      <c r="J12" s="19" t="s">
        <v>449</v>
      </c>
      <c r="K12" s="20">
        <v>1</v>
      </c>
      <c r="L12" s="14"/>
    </row>
    <row r="13" spans="1:17" x14ac:dyDescent="0.25">
      <c r="A13" s="21" t="s">
        <v>484</v>
      </c>
      <c r="B13" s="22" t="s">
        <v>158</v>
      </c>
      <c r="C13" s="22" t="s">
        <v>158</v>
      </c>
      <c r="D13" s="22" t="s">
        <v>473</v>
      </c>
      <c r="E13" s="18" t="s">
        <v>349</v>
      </c>
      <c r="F13" s="22" t="s">
        <v>474</v>
      </c>
      <c r="G13" s="22" t="s">
        <v>158</v>
      </c>
      <c r="H13" s="18" t="s">
        <v>474</v>
      </c>
      <c r="I13" s="18" t="s">
        <v>158</v>
      </c>
      <c r="J13" s="23" t="s">
        <v>449</v>
      </c>
      <c r="K13" s="24">
        <v>1</v>
      </c>
      <c r="L13" s="14"/>
    </row>
    <row r="14" spans="1:17" x14ac:dyDescent="0.25">
      <c r="A14" s="16" t="s">
        <v>485</v>
      </c>
      <c r="B14" s="17" t="s">
        <v>486</v>
      </c>
      <c r="C14" s="17" t="s">
        <v>486</v>
      </c>
      <c r="D14" s="17" t="s">
        <v>353</v>
      </c>
      <c r="E14" s="18" t="s">
        <v>349</v>
      </c>
      <c r="F14" s="17" t="s">
        <v>487</v>
      </c>
      <c r="G14" s="17" t="s">
        <v>177</v>
      </c>
      <c r="H14" s="18" t="s">
        <v>487</v>
      </c>
      <c r="I14" s="18" t="s">
        <v>177</v>
      </c>
      <c r="J14" s="19" t="s">
        <v>449</v>
      </c>
      <c r="K14" s="20">
        <v>1</v>
      </c>
      <c r="L14" s="14"/>
    </row>
    <row r="15" spans="1:17" x14ac:dyDescent="0.25">
      <c r="A15" s="21" t="s">
        <v>351</v>
      </c>
      <c r="B15" s="22" t="s">
        <v>321</v>
      </c>
      <c r="C15" s="22" t="s">
        <v>321</v>
      </c>
      <c r="D15" s="22" t="s">
        <v>353</v>
      </c>
      <c r="E15" s="18" t="s">
        <v>349</v>
      </c>
      <c r="F15" s="22" t="s">
        <v>487</v>
      </c>
      <c r="G15" s="22" t="s">
        <v>321</v>
      </c>
      <c r="H15" s="18" t="s">
        <v>487</v>
      </c>
      <c r="I15" s="18" t="s">
        <v>321</v>
      </c>
      <c r="J15" s="23" t="s">
        <v>449</v>
      </c>
      <c r="K15" s="24">
        <v>1</v>
      </c>
      <c r="L15" s="14"/>
    </row>
    <row r="16" spans="1:17" x14ac:dyDescent="0.25">
      <c r="A16" s="16" t="s">
        <v>354</v>
      </c>
      <c r="B16" s="17" t="s">
        <v>183</v>
      </c>
      <c r="C16" s="17" t="s">
        <v>183</v>
      </c>
      <c r="D16" s="17" t="s">
        <v>355</v>
      </c>
      <c r="E16" s="18" t="s">
        <v>349</v>
      </c>
      <c r="F16" s="17" t="s">
        <v>487</v>
      </c>
      <c r="G16" s="17" t="s">
        <v>183</v>
      </c>
      <c r="H16" s="18" t="s">
        <v>487</v>
      </c>
      <c r="I16" s="18" t="s">
        <v>183</v>
      </c>
      <c r="J16" s="19" t="s">
        <v>449</v>
      </c>
      <c r="K16" s="20">
        <v>1</v>
      </c>
      <c r="L16" s="14"/>
    </row>
    <row r="17" spans="1:12" x14ac:dyDescent="0.25">
      <c r="A17" s="21" t="s">
        <v>356</v>
      </c>
      <c r="B17" s="22" t="s">
        <v>138</v>
      </c>
      <c r="C17" s="22" t="s">
        <v>138</v>
      </c>
      <c r="D17" s="22" t="s">
        <v>357</v>
      </c>
      <c r="E17" s="18" t="s">
        <v>349</v>
      </c>
      <c r="F17" s="22" t="s">
        <v>469</v>
      </c>
      <c r="G17" s="22" t="s">
        <v>138</v>
      </c>
      <c r="H17" s="18" t="s">
        <v>469</v>
      </c>
      <c r="I17" s="18" t="s">
        <v>138</v>
      </c>
      <c r="J17" s="23" t="s">
        <v>449</v>
      </c>
      <c r="K17" s="24">
        <v>1</v>
      </c>
      <c r="L17" s="14"/>
    </row>
    <row r="18" spans="1:12" x14ac:dyDescent="0.25">
      <c r="A18" s="16" t="s">
        <v>376</v>
      </c>
      <c r="B18" s="17" t="s">
        <v>209</v>
      </c>
      <c r="C18" s="17" t="s">
        <v>209</v>
      </c>
      <c r="D18" s="17" t="s">
        <v>377</v>
      </c>
      <c r="E18" s="18" t="s">
        <v>349</v>
      </c>
      <c r="F18" s="17" t="s">
        <v>469</v>
      </c>
      <c r="G18" s="17" t="s">
        <v>209</v>
      </c>
      <c r="H18" s="18" t="s">
        <v>469</v>
      </c>
      <c r="I18" s="18" t="s">
        <v>209</v>
      </c>
      <c r="J18" s="19" t="s">
        <v>449</v>
      </c>
      <c r="K18" s="20">
        <v>1</v>
      </c>
      <c r="L18" s="14"/>
    </row>
    <row r="19" spans="1:12" x14ac:dyDescent="0.25">
      <c r="A19" s="21" t="s">
        <v>488</v>
      </c>
      <c r="B19" s="22" t="s">
        <v>140</v>
      </c>
      <c r="C19" s="22" t="s">
        <v>140</v>
      </c>
      <c r="D19" s="22" t="s">
        <v>357</v>
      </c>
      <c r="E19" s="18" t="s">
        <v>349</v>
      </c>
      <c r="F19" s="22" t="s">
        <v>469</v>
      </c>
      <c r="G19" s="22" t="s">
        <v>138</v>
      </c>
      <c r="H19" s="18" t="s">
        <v>469</v>
      </c>
      <c r="I19" s="18" t="s">
        <v>138</v>
      </c>
      <c r="J19" s="23" t="s">
        <v>477</v>
      </c>
      <c r="K19" s="24">
        <v>1</v>
      </c>
      <c r="L19" s="14"/>
    </row>
    <row r="20" spans="1:12" x14ac:dyDescent="0.25">
      <c r="A20" s="16" t="s">
        <v>358</v>
      </c>
      <c r="B20" s="17" t="s">
        <v>157</v>
      </c>
      <c r="C20" s="17" t="s">
        <v>157</v>
      </c>
      <c r="D20" s="17" t="s">
        <v>357</v>
      </c>
      <c r="E20" s="18" t="s">
        <v>349</v>
      </c>
      <c r="F20" s="17" t="s">
        <v>469</v>
      </c>
      <c r="G20" s="17" t="s">
        <v>157</v>
      </c>
      <c r="H20" s="18" t="s">
        <v>469</v>
      </c>
      <c r="I20" s="18" t="s">
        <v>157</v>
      </c>
      <c r="J20" s="19" t="s">
        <v>449</v>
      </c>
      <c r="K20" s="20">
        <v>1</v>
      </c>
      <c r="L20" s="14"/>
    </row>
    <row r="21" spans="1:12" x14ac:dyDescent="0.25">
      <c r="A21" s="21" t="s">
        <v>489</v>
      </c>
      <c r="B21" s="22" t="s">
        <v>490</v>
      </c>
      <c r="C21" s="22" t="s">
        <v>490</v>
      </c>
      <c r="D21" s="22" t="s">
        <v>353</v>
      </c>
      <c r="E21" s="18" t="s">
        <v>349</v>
      </c>
      <c r="F21" s="22" t="s">
        <v>487</v>
      </c>
      <c r="G21" s="22" t="s">
        <v>321</v>
      </c>
      <c r="H21" s="18" t="s">
        <v>487</v>
      </c>
      <c r="I21" s="18" t="s">
        <v>321</v>
      </c>
      <c r="J21" s="23" t="s">
        <v>477</v>
      </c>
      <c r="K21" s="24">
        <v>1</v>
      </c>
      <c r="L21" s="14"/>
    </row>
    <row r="22" spans="1:12" x14ac:dyDescent="0.25">
      <c r="A22" s="16" t="s">
        <v>491</v>
      </c>
      <c r="B22" s="17" t="s">
        <v>388</v>
      </c>
      <c r="C22" s="17" t="s">
        <v>321</v>
      </c>
      <c r="D22" s="17" t="s">
        <v>353</v>
      </c>
      <c r="E22" s="18" t="s">
        <v>349</v>
      </c>
      <c r="F22" s="17" t="s">
        <v>487</v>
      </c>
      <c r="G22" s="17" t="s">
        <v>321</v>
      </c>
      <c r="H22" s="18" t="s">
        <v>487</v>
      </c>
      <c r="I22" s="18" t="s">
        <v>321</v>
      </c>
      <c r="J22" s="19" t="s">
        <v>449</v>
      </c>
      <c r="K22" s="20">
        <v>1</v>
      </c>
      <c r="L22" s="14"/>
    </row>
    <row r="23" spans="1:12" x14ac:dyDescent="0.25">
      <c r="A23" s="21" t="s">
        <v>492</v>
      </c>
      <c r="B23" s="22" t="s">
        <v>493</v>
      </c>
      <c r="C23" s="22" t="s">
        <v>493</v>
      </c>
      <c r="D23" s="22" t="s">
        <v>494</v>
      </c>
      <c r="E23" s="18" t="s">
        <v>349</v>
      </c>
      <c r="F23" s="22" t="s">
        <v>480</v>
      </c>
      <c r="G23" s="22" t="s">
        <v>237</v>
      </c>
      <c r="H23" s="18" t="s">
        <v>480</v>
      </c>
      <c r="I23" s="18" t="s">
        <v>237</v>
      </c>
      <c r="J23" s="23" t="s">
        <v>449</v>
      </c>
      <c r="K23" s="24">
        <v>1</v>
      </c>
      <c r="L23" s="14"/>
    </row>
    <row r="24" spans="1:12" x14ac:dyDescent="0.25">
      <c r="A24" s="16" t="s">
        <v>495</v>
      </c>
      <c r="B24" s="17" t="s">
        <v>295</v>
      </c>
      <c r="C24" s="17" t="s">
        <v>295</v>
      </c>
      <c r="D24" s="17" t="s">
        <v>494</v>
      </c>
      <c r="E24" s="18" t="s">
        <v>349</v>
      </c>
      <c r="F24" s="17" t="s">
        <v>480</v>
      </c>
      <c r="G24" s="17" t="s">
        <v>295</v>
      </c>
      <c r="H24" s="18" t="s">
        <v>480</v>
      </c>
      <c r="I24" s="18" t="s">
        <v>237</v>
      </c>
      <c r="J24" s="19" t="s">
        <v>449</v>
      </c>
      <c r="K24" s="20">
        <v>1</v>
      </c>
      <c r="L24" s="14"/>
    </row>
    <row r="25" spans="1:12" x14ac:dyDescent="0.25">
      <c r="A25" s="21" t="s">
        <v>496</v>
      </c>
      <c r="B25" s="22" t="s">
        <v>497</v>
      </c>
      <c r="C25" s="22" t="s">
        <v>497</v>
      </c>
      <c r="D25" s="22" t="s">
        <v>473</v>
      </c>
      <c r="E25" s="18" t="s">
        <v>349</v>
      </c>
      <c r="F25" s="22" t="s">
        <v>474</v>
      </c>
      <c r="G25" s="22" t="s">
        <v>497</v>
      </c>
      <c r="H25" s="18" t="s">
        <v>474</v>
      </c>
      <c r="I25" s="18" t="s">
        <v>158</v>
      </c>
      <c r="J25" s="23" t="s">
        <v>449</v>
      </c>
      <c r="K25" s="24">
        <v>1</v>
      </c>
      <c r="L25" s="14"/>
    </row>
    <row r="26" spans="1:12" x14ac:dyDescent="0.25">
      <c r="A26" s="21" t="s">
        <v>498</v>
      </c>
      <c r="B26" s="22" t="s">
        <v>302</v>
      </c>
      <c r="C26" s="22" t="s">
        <v>302</v>
      </c>
      <c r="D26" s="22" t="s">
        <v>499</v>
      </c>
      <c r="E26" s="18" t="s">
        <v>349</v>
      </c>
      <c r="F26" s="22" t="s">
        <v>500</v>
      </c>
      <c r="G26" s="22" t="s">
        <v>501</v>
      </c>
      <c r="H26" s="18" t="s">
        <v>500</v>
      </c>
      <c r="I26" s="18" t="s">
        <v>302</v>
      </c>
      <c r="J26" s="23" t="s">
        <v>449</v>
      </c>
      <c r="K26" s="24">
        <v>1</v>
      </c>
      <c r="L26" s="14"/>
    </row>
    <row r="27" spans="1:12" x14ac:dyDescent="0.25">
      <c r="A27" s="21" t="s">
        <v>502</v>
      </c>
      <c r="B27" s="22" t="s">
        <v>15</v>
      </c>
      <c r="C27" s="22" t="s">
        <v>15</v>
      </c>
      <c r="D27" s="22" t="s">
        <v>464</v>
      </c>
      <c r="E27" s="18" t="s">
        <v>349</v>
      </c>
      <c r="F27" s="22" t="s">
        <v>465</v>
      </c>
      <c r="G27" s="22" t="s">
        <v>15</v>
      </c>
      <c r="H27" s="18" t="s">
        <v>465</v>
      </c>
      <c r="I27" s="18" t="s">
        <v>15</v>
      </c>
      <c r="J27" s="23" t="s">
        <v>449</v>
      </c>
      <c r="K27" s="24">
        <v>1</v>
      </c>
      <c r="L27" s="14"/>
    </row>
    <row r="28" spans="1:12" x14ac:dyDescent="0.25">
      <c r="A28" s="16" t="s">
        <v>503</v>
      </c>
      <c r="B28" s="17" t="s">
        <v>504</v>
      </c>
      <c r="C28" s="17" t="s">
        <v>505</v>
      </c>
      <c r="D28" s="17" t="s">
        <v>479</v>
      </c>
      <c r="E28" s="18" t="s">
        <v>349</v>
      </c>
      <c r="F28" s="17" t="s">
        <v>480</v>
      </c>
      <c r="G28" s="17" t="s">
        <v>242</v>
      </c>
      <c r="H28" s="18" t="s">
        <v>480</v>
      </c>
      <c r="I28" s="18" t="s">
        <v>242</v>
      </c>
      <c r="J28" s="19" t="s">
        <v>477</v>
      </c>
      <c r="K28" s="20">
        <v>1</v>
      </c>
      <c r="L28" s="14"/>
    </row>
    <row r="29" spans="1:12" x14ac:dyDescent="0.25">
      <c r="A29" s="21" t="s">
        <v>506</v>
      </c>
      <c r="B29" s="22" t="s">
        <v>507</v>
      </c>
      <c r="C29" s="22" t="s">
        <v>508</v>
      </c>
      <c r="D29" s="22" t="s">
        <v>479</v>
      </c>
      <c r="E29" s="18" t="s">
        <v>349</v>
      </c>
      <c r="F29" s="22" t="s">
        <v>480</v>
      </c>
      <c r="G29" s="22" t="s">
        <v>242</v>
      </c>
      <c r="H29" s="18" t="s">
        <v>480</v>
      </c>
      <c r="I29" s="18" t="s">
        <v>242</v>
      </c>
      <c r="J29" s="23" t="s">
        <v>477</v>
      </c>
      <c r="K29" s="24">
        <v>1</v>
      </c>
      <c r="L29" s="14"/>
    </row>
    <row r="30" spans="1:12" x14ac:dyDescent="0.25">
      <c r="A30" s="16" t="s">
        <v>509</v>
      </c>
      <c r="B30" s="17" t="s">
        <v>508</v>
      </c>
      <c r="C30" s="17" t="s">
        <v>508</v>
      </c>
      <c r="D30" s="17" t="s">
        <v>479</v>
      </c>
      <c r="E30" s="18" t="s">
        <v>349</v>
      </c>
      <c r="F30" s="17" t="s">
        <v>480</v>
      </c>
      <c r="G30" s="17" t="s">
        <v>242</v>
      </c>
      <c r="H30" s="18" t="s">
        <v>480</v>
      </c>
      <c r="I30" s="18" t="s">
        <v>242</v>
      </c>
      <c r="J30" s="19" t="s">
        <v>477</v>
      </c>
      <c r="K30" s="20">
        <v>1</v>
      </c>
      <c r="L30" s="14"/>
    </row>
    <row r="31" spans="1:12" x14ac:dyDescent="0.25">
      <c r="A31" s="21" t="s">
        <v>510</v>
      </c>
      <c r="B31" s="22" t="s">
        <v>505</v>
      </c>
      <c r="C31" s="22" t="s">
        <v>505</v>
      </c>
      <c r="D31" s="22" t="s">
        <v>479</v>
      </c>
      <c r="E31" s="18" t="s">
        <v>349</v>
      </c>
      <c r="F31" s="22" t="s">
        <v>480</v>
      </c>
      <c r="G31" s="17" t="s">
        <v>242</v>
      </c>
      <c r="H31" s="18" t="s">
        <v>480</v>
      </c>
      <c r="I31" s="18" t="s">
        <v>242</v>
      </c>
      <c r="J31" s="19" t="s">
        <v>477</v>
      </c>
      <c r="K31" s="24">
        <v>1</v>
      </c>
      <c r="L31" s="14"/>
    </row>
    <row r="32" spans="1:12" x14ac:dyDescent="0.25">
      <c r="A32" s="16" t="s">
        <v>407</v>
      </c>
      <c r="B32" s="17" t="s">
        <v>408</v>
      </c>
      <c r="C32" s="17" t="s">
        <v>408</v>
      </c>
      <c r="D32" s="17" t="s">
        <v>355</v>
      </c>
      <c r="E32" s="18" t="s">
        <v>349</v>
      </c>
      <c r="F32" s="17" t="s">
        <v>487</v>
      </c>
      <c r="G32" s="17" t="s">
        <v>247</v>
      </c>
      <c r="H32" s="18" t="s">
        <v>487</v>
      </c>
      <c r="I32" s="18" t="s">
        <v>247</v>
      </c>
      <c r="J32" s="19" t="s">
        <v>477</v>
      </c>
      <c r="K32" s="20">
        <v>1</v>
      </c>
      <c r="L32" s="14"/>
    </row>
    <row r="33" spans="1:12" x14ac:dyDescent="0.25">
      <c r="A33" s="21" t="s">
        <v>511</v>
      </c>
      <c r="B33" s="22" t="s">
        <v>299</v>
      </c>
      <c r="C33" s="22" t="s">
        <v>299</v>
      </c>
      <c r="D33" s="22" t="s">
        <v>473</v>
      </c>
      <c r="E33" s="18" t="s">
        <v>349</v>
      </c>
      <c r="F33" s="22" t="s">
        <v>474</v>
      </c>
      <c r="G33" s="22" t="s">
        <v>299</v>
      </c>
      <c r="H33" s="18" t="s">
        <v>474</v>
      </c>
      <c r="I33" s="18" t="s">
        <v>299</v>
      </c>
      <c r="J33" s="23" t="s">
        <v>449</v>
      </c>
      <c r="K33" s="24">
        <v>1</v>
      </c>
      <c r="L33" s="14"/>
    </row>
    <row r="34" spans="1:12" x14ac:dyDescent="0.25">
      <c r="A34" s="16" t="s">
        <v>512</v>
      </c>
      <c r="B34" s="17" t="s">
        <v>175</v>
      </c>
      <c r="C34" s="17" t="s">
        <v>513</v>
      </c>
      <c r="D34" s="17" t="s">
        <v>473</v>
      </c>
      <c r="E34" s="18" t="s">
        <v>349</v>
      </c>
      <c r="F34" s="17" t="s">
        <v>474</v>
      </c>
      <c r="G34" s="17" t="s">
        <v>173</v>
      </c>
      <c r="H34" s="18" t="s">
        <v>474</v>
      </c>
      <c r="I34" s="18" t="s">
        <v>173</v>
      </c>
      <c r="J34" s="19" t="s">
        <v>477</v>
      </c>
      <c r="K34" s="20">
        <v>1</v>
      </c>
      <c r="L34" s="14"/>
    </row>
    <row r="35" spans="1:12" x14ac:dyDescent="0.25">
      <c r="A35" s="21" t="s">
        <v>514</v>
      </c>
      <c r="B35" s="22" t="s">
        <v>7</v>
      </c>
      <c r="C35" s="22" t="s">
        <v>7</v>
      </c>
      <c r="D35" s="22" t="s">
        <v>464</v>
      </c>
      <c r="E35" s="18" t="s">
        <v>349</v>
      </c>
      <c r="F35" s="22" t="s">
        <v>465</v>
      </c>
      <c r="G35" s="22" t="s">
        <v>7</v>
      </c>
      <c r="H35" s="18" t="s">
        <v>465</v>
      </c>
      <c r="I35" s="18" t="s">
        <v>7</v>
      </c>
      <c r="J35" s="23" t="s">
        <v>449</v>
      </c>
      <c r="K35" s="24">
        <v>1</v>
      </c>
      <c r="L35" s="14"/>
    </row>
    <row r="36" spans="1:12" x14ac:dyDescent="0.25">
      <c r="A36" s="16" t="s">
        <v>515</v>
      </c>
      <c r="B36" s="17" t="s">
        <v>516</v>
      </c>
      <c r="C36" s="17" t="s">
        <v>517</v>
      </c>
      <c r="D36" s="17" t="s">
        <v>377</v>
      </c>
      <c r="E36" s="18" t="s">
        <v>349</v>
      </c>
      <c r="F36" s="17" t="s">
        <v>469</v>
      </c>
      <c r="G36" s="17" t="s">
        <v>468</v>
      </c>
      <c r="H36" s="18" t="s">
        <v>469</v>
      </c>
      <c r="I36" s="18" t="s">
        <v>468</v>
      </c>
      <c r="J36" s="19" t="s">
        <v>477</v>
      </c>
      <c r="K36" s="20">
        <v>1</v>
      </c>
      <c r="L36" s="14"/>
    </row>
    <row r="37" spans="1:12" x14ac:dyDescent="0.25">
      <c r="A37" s="21" t="s">
        <v>518</v>
      </c>
      <c r="B37" s="22" t="s">
        <v>519</v>
      </c>
      <c r="C37" s="22" t="s">
        <v>520</v>
      </c>
      <c r="D37" s="22" t="s">
        <v>377</v>
      </c>
      <c r="E37" s="18" t="s">
        <v>349</v>
      </c>
      <c r="F37" s="22" t="s">
        <v>469</v>
      </c>
      <c r="G37" s="22" t="s">
        <v>138</v>
      </c>
      <c r="H37" s="18" t="s">
        <v>469</v>
      </c>
      <c r="I37" s="18" t="s">
        <v>138</v>
      </c>
      <c r="J37" s="23" t="s">
        <v>477</v>
      </c>
      <c r="K37" s="24">
        <v>1</v>
      </c>
      <c r="L37" s="14"/>
    </row>
    <row r="38" spans="1:12" x14ac:dyDescent="0.25">
      <c r="A38" s="16" t="s">
        <v>521</v>
      </c>
      <c r="B38" s="17" t="s">
        <v>234</v>
      </c>
      <c r="C38" s="17" t="s">
        <v>157</v>
      </c>
      <c r="D38" s="17" t="s">
        <v>357</v>
      </c>
      <c r="E38" s="18" t="s">
        <v>349</v>
      </c>
      <c r="F38" s="17" t="s">
        <v>469</v>
      </c>
      <c r="G38" s="17" t="s">
        <v>157</v>
      </c>
      <c r="H38" s="18" t="s">
        <v>469</v>
      </c>
      <c r="I38" s="18" t="s">
        <v>157</v>
      </c>
      <c r="J38" s="19" t="s">
        <v>449</v>
      </c>
      <c r="K38" s="20">
        <v>1</v>
      </c>
      <c r="L38" s="14"/>
    </row>
    <row r="39" spans="1:12" x14ac:dyDescent="0.25">
      <c r="A39" s="21" t="s">
        <v>522</v>
      </c>
      <c r="B39" s="22" t="s">
        <v>520</v>
      </c>
      <c r="C39" s="22" t="s">
        <v>520</v>
      </c>
      <c r="D39" s="22" t="s">
        <v>377</v>
      </c>
      <c r="E39" s="18" t="s">
        <v>349</v>
      </c>
      <c r="F39" s="22" t="s">
        <v>469</v>
      </c>
      <c r="G39" s="22" t="s">
        <v>138</v>
      </c>
      <c r="H39" s="18" t="s">
        <v>469</v>
      </c>
      <c r="I39" s="18" t="s">
        <v>138</v>
      </c>
      <c r="J39" s="23" t="s">
        <v>477</v>
      </c>
      <c r="K39" s="24">
        <v>1</v>
      </c>
      <c r="L39" s="14"/>
    </row>
    <row r="40" spans="1:12" x14ac:dyDescent="0.25">
      <c r="A40" s="16" t="s">
        <v>359</v>
      </c>
      <c r="B40" s="17" t="s">
        <v>309</v>
      </c>
      <c r="C40" s="17" t="s">
        <v>309</v>
      </c>
      <c r="D40" s="17" t="s">
        <v>360</v>
      </c>
      <c r="E40" s="18" t="s">
        <v>349</v>
      </c>
      <c r="F40" s="17" t="s">
        <v>454</v>
      </c>
      <c r="G40" s="17" t="s">
        <v>309</v>
      </c>
      <c r="H40" s="18" t="s">
        <v>454</v>
      </c>
      <c r="I40" s="18" t="s">
        <v>309</v>
      </c>
      <c r="J40" s="19" t="s">
        <v>449</v>
      </c>
      <c r="K40" s="20">
        <v>1</v>
      </c>
      <c r="L40" s="14"/>
    </row>
    <row r="41" spans="1:12" x14ac:dyDescent="0.25">
      <c r="A41" s="21" t="s">
        <v>362</v>
      </c>
      <c r="B41" s="22" t="s">
        <v>361</v>
      </c>
      <c r="C41" s="22" t="s">
        <v>361</v>
      </c>
      <c r="D41" s="22" t="s">
        <v>364</v>
      </c>
      <c r="E41" s="18" t="s">
        <v>349</v>
      </c>
      <c r="F41" s="22" t="s">
        <v>448</v>
      </c>
      <c r="G41" s="22" t="s">
        <v>361</v>
      </c>
      <c r="H41" s="18" t="s">
        <v>448</v>
      </c>
      <c r="I41" s="18" t="s">
        <v>361</v>
      </c>
      <c r="J41" s="23" t="s">
        <v>449</v>
      </c>
      <c r="K41" s="24">
        <v>1</v>
      </c>
      <c r="L41" s="14"/>
    </row>
    <row r="42" spans="1:12" x14ac:dyDescent="0.25">
      <c r="A42" s="16" t="s">
        <v>523</v>
      </c>
      <c r="B42" s="17" t="s">
        <v>524</v>
      </c>
      <c r="C42" s="17" t="s">
        <v>525</v>
      </c>
      <c r="D42" s="17" t="s">
        <v>453</v>
      </c>
      <c r="E42" s="18" t="s">
        <v>349</v>
      </c>
      <c r="F42" s="17" t="s">
        <v>454</v>
      </c>
      <c r="G42" s="17" t="s">
        <v>526</v>
      </c>
      <c r="H42" s="18" t="s">
        <v>454</v>
      </c>
      <c r="I42" s="18" t="s">
        <v>455</v>
      </c>
      <c r="J42" s="19" t="s">
        <v>449</v>
      </c>
      <c r="K42" s="20">
        <v>1</v>
      </c>
      <c r="L42" s="14"/>
    </row>
    <row r="43" spans="1:12" x14ac:dyDescent="0.25">
      <c r="A43" s="21" t="s">
        <v>527</v>
      </c>
      <c r="B43" s="22" t="s">
        <v>229</v>
      </c>
      <c r="C43" s="22" t="s">
        <v>229</v>
      </c>
      <c r="D43" s="22" t="s">
        <v>357</v>
      </c>
      <c r="E43" s="18" t="s">
        <v>349</v>
      </c>
      <c r="F43" s="22" t="s">
        <v>469</v>
      </c>
      <c r="G43" s="22" t="s">
        <v>157</v>
      </c>
      <c r="H43" s="18" t="s">
        <v>469</v>
      </c>
      <c r="I43" s="18" t="s">
        <v>157</v>
      </c>
      <c r="J43" s="23" t="s">
        <v>477</v>
      </c>
      <c r="K43" s="24">
        <v>1</v>
      </c>
      <c r="L43" s="14"/>
    </row>
    <row r="44" spans="1:12" x14ac:dyDescent="0.25">
      <c r="A44" s="16" t="s">
        <v>528</v>
      </c>
      <c r="B44" s="17" t="s">
        <v>212</v>
      </c>
      <c r="C44" s="17" t="s">
        <v>212</v>
      </c>
      <c r="D44" s="17" t="s">
        <v>355</v>
      </c>
      <c r="E44" s="18" t="s">
        <v>349</v>
      </c>
      <c r="F44" s="17" t="s">
        <v>487</v>
      </c>
      <c r="G44" s="17" t="s">
        <v>212</v>
      </c>
      <c r="H44" s="18" t="s">
        <v>487</v>
      </c>
      <c r="I44" s="18" t="s">
        <v>212</v>
      </c>
      <c r="J44" s="19" t="s">
        <v>449</v>
      </c>
      <c r="K44" s="20">
        <v>1</v>
      </c>
      <c r="L44" s="14"/>
    </row>
    <row r="45" spans="1:12" x14ac:dyDescent="0.25">
      <c r="A45" s="21" t="s">
        <v>529</v>
      </c>
      <c r="B45" s="22" t="s">
        <v>13</v>
      </c>
      <c r="C45" s="22" t="s">
        <v>13</v>
      </c>
      <c r="D45" s="22" t="s">
        <v>464</v>
      </c>
      <c r="E45" s="18" t="s">
        <v>349</v>
      </c>
      <c r="F45" s="22" t="s">
        <v>465</v>
      </c>
      <c r="G45" s="22" t="s">
        <v>13</v>
      </c>
      <c r="H45" s="18" t="s">
        <v>465</v>
      </c>
      <c r="I45" s="18" t="s">
        <v>13</v>
      </c>
      <c r="J45" s="23" t="s">
        <v>449</v>
      </c>
      <c r="K45" s="24">
        <v>1</v>
      </c>
      <c r="L45" s="14"/>
    </row>
    <row r="46" spans="1:12" x14ac:dyDescent="0.25">
      <c r="A46" s="16" t="s">
        <v>530</v>
      </c>
      <c r="B46" s="17" t="s">
        <v>531</v>
      </c>
      <c r="C46" s="17" t="s">
        <v>242</v>
      </c>
      <c r="D46" s="17" t="s">
        <v>479</v>
      </c>
      <c r="E46" s="18" t="s">
        <v>349</v>
      </c>
      <c r="F46" s="17" t="s">
        <v>480</v>
      </c>
      <c r="G46" s="17" t="s">
        <v>242</v>
      </c>
      <c r="H46" s="18" t="s">
        <v>480</v>
      </c>
      <c r="I46" s="18" t="s">
        <v>242</v>
      </c>
      <c r="J46" s="19" t="s">
        <v>449</v>
      </c>
      <c r="K46" s="20">
        <v>1</v>
      </c>
      <c r="L46" s="14"/>
    </row>
    <row r="47" spans="1:12" x14ac:dyDescent="0.25">
      <c r="A47" s="21" t="s">
        <v>532</v>
      </c>
      <c r="B47" s="22" t="s">
        <v>411</v>
      </c>
      <c r="C47" s="22" t="s">
        <v>411</v>
      </c>
      <c r="D47" s="22" t="s">
        <v>494</v>
      </c>
      <c r="E47" s="18" t="s">
        <v>349</v>
      </c>
      <c r="F47" s="22" t="s">
        <v>480</v>
      </c>
      <c r="G47" s="22" t="s">
        <v>411</v>
      </c>
      <c r="H47" s="18" t="s">
        <v>480</v>
      </c>
      <c r="I47" s="18" t="s">
        <v>411</v>
      </c>
      <c r="J47" s="23" t="s">
        <v>449</v>
      </c>
      <c r="K47" s="24">
        <v>1</v>
      </c>
      <c r="L47" s="14"/>
    </row>
    <row r="48" spans="1:12" x14ac:dyDescent="0.25">
      <c r="A48" s="16" t="s">
        <v>533</v>
      </c>
      <c r="B48" s="17" t="s">
        <v>534</v>
      </c>
      <c r="C48" s="17" t="s">
        <v>242</v>
      </c>
      <c r="D48" s="17" t="s">
        <v>479</v>
      </c>
      <c r="E48" s="18" t="s">
        <v>349</v>
      </c>
      <c r="F48" s="17" t="s">
        <v>480</v>
      </c>
      <c r="G48" s="17" t="s">
        <v>242</v>
      </c>
      <c r="H48" s="18" t="s">
        <v>480</v>
      </c>
      <c r="I48" s="18" t="s">
        <v>242</v>
      </c>
      <c r="J48" s="19" t="s">
        <v>449</v>
      </c>
      <c r="K48" s="20">
        <v>1</v>
      </c>
      <c r="L48" s="14"/>
    </row>
    <row r="49" spans="1:12" x14ac:dyDescent="0.25">
      <c r="A49" s="21" t="s">
        <v>535</v>
      </c>
      <c r="B49" s="22" t="s">
        <v>536</v>
      </c>
      <c r="C49" s="22" t="s">
        <v>242</v>
      </c>
      <c r="D49" s="22" t="s">
        <v>479</v>
      </c>
      <c r="E49" s="18" t="s">
        <v>349</v>
      </c>
      <c r="F49" s="22" t="s">
        <v>480</v>
      </c>
      <c r="G49" s="22" t="s">
        <v>242</v>
      </c>
      <c r="H49" s="18" t="s">
        <v>480</v>
      </c>
      <c r="I49" s="18" t="s">
        <v>242</v>
      </c>
      <c r="J49" s="23" t="s">
        <v>449</v>
      </c>
      <c r="K49" s="24">
        <v>1</v>
      </c>
      <c r="L49" s="14"/>
    </row>
    <row r="50" spans="1:12" x14ac:dyDescent="0.25">
      <c r="A50" s="16" t="s">
        <v>537</v>
      </c>
      <c r="B50" s="17" t="s">
        <v>379</v>
      </c>
      <c r="C50" s="17" t="s">
        <v>157</v>
      </c>
      <c r="D50" s="17" t="s">
        <v>357</v>
      </c>
      <c r="E50" s="18" t="s">
        <v>349</v>
      </c>
      <c r="F50" s="17" t="s">
        <v>469</v>
      </c>
      <c r="G50" s="17" t="s">
        <v>157</v>
      </c>
      <c r="H50" s="18" t="s">
        <v>469</v>
      </c>
      <c r="I50" s="18" t="s">
        <v>157</v>
      </c>
      <c r="J50" s="19" t="s">
        <v>449</v>
      </c>
      <c r="K50" s="20">
        <v>1</v>
      </c>
      <c r="L50" s="14"/>
    </row>
    <row r="51" spans="1:12" x14ac:dyDescent="0.25">
      <c r="A51" s="21" t="s">
        <v>538</v>
      </c>
      <c r="B51" s="22" t="s">
        <v>232</v>
      </c>
      <c r="C51" s="22" t="s">
        <v>157</v>
      </c>
      <c r="D51" s="22" t="s">
        <v>357</v>
      </c>
      <c r="E51" s="18" t="s">
        <v>349</v>
      </c>
      <c r="F51" s="22" t="s">
        <v>469</v>
      </c>
      <c r="G51" s="22" t="s">
        <v>157</v>
      </c>
      <c r="H51" s="18" t="s">
        <v>469</v>
      </c>
      <c r="I51" s="18" t="s">
        <v>157</v>
      </c>
      <c r="J51" s="23" t="s">
        <v>449</v>
      </c>
      <c r="K51" s="24">
        <v>1</v>
      </c>
      <c r="L51" s="14"/>
    </row>
    <row r="52" spans="1:12" x14ac:dyDescent="0.25">
      <c r="A52" s="16" t="s">
        <v>539</v>
      </c>
      <c r="B52" s="17" t="s">
        <v>333</v>
      </c>
      <c r="C52" s="17" t="s">
        <v>333</v>
      </c>
      <c r="D52" s="17" t="s">
        <v>453</v>
      </c>
      <c r="E52" s="18" t="s">
        <v>349</v>
      </c>
      <c r="F52" s="17" t="s">
        <v>454</v>
      </c>
      <c r="G52" s="17" t="s">
        <v>333</v>
      </c>
      <c r="H52" s="18" t="s">
        <v>454</v>
      </c>
      <c r="I52" s="18" t="s">
        <v>333</v>
      </c>
      <c r="J52" s="19" t="s">
        <v>449</v>
      </c>
      <c r="K52" s="20">
        <v>1</v>
      </c>
      <c r="L52" s="14"/>
    </row>
    <row r="53" spans="1:12" x14ac:dyDescent="0.25">
      <c r="A53" s="21" t="s">
        <v>540</v>
      </c>
      <c r="B53" s="22" t="s">
        <v>329</v>
      </c>
      <c r="C53" s="22" t="s">
        <v>329</v>
      </c>
      <c r="D53" s="22" t="s">
        <v>360</v>
      </c>
      <c r="E53" s="18" t="s">
        <v>349</v>
      </c>
      <c r="F53" s="22" t="s">
        <v>454</v>
      </c>
      <c r="G53" s="22" t="s">
        <v>329</v>
      </c>
      <c r="H53" s="18" t="s">
        <v>454</v>
      </c>
      <c r="I53" s="18" t="s">
        <v>329</v>
      </c>
      <c r="J53" s="23" t="s">
        <v>449</v>
      </c>
      <c r="K53" s="24">
        <v>1</v>
      </c>
      <c r="L53" s="14"/>
    </row>
    <row r="54" spans="1:12" x14ac:dyDescent="0.25">
      <c r="A54" s="16" t="s">
        <v>541</v>
      </c>
      <c r="B54" s="17" t="s">
        <v>542</v>
      </c>
      <c r="C54" s="17" t="s">
        <v>525</v>
      </c>
      <c r="D54" s="17" t="s">
        <v>453</v>
      </c>
      <c r="E54" s="18" t="s">
        <v>349</v>
      </c>
      <c r="F54" s="17" t="s">
        <v>454</v>
      </c>
      <c r="G54" s="17" t="s">
        <v>526</v>
      </c>
      <c r="H54" s="18" t="s">
        <v>454</v>
      </c>
      <c r="I54" s="18" t="s">
        <v>455</v>
      </c>
      <c r="J54" s="19" t="s">
        <v>449</v>
      </c>
      <c r="K54" s="20">
        <v>1</v>
      </c>
      <c r="L54" s="14"/>
    </row>
    <row r="55" spans="1:12" x14ac:dyDescent="0.25">
      <c r="A55" s="21" t="s">
        <v>543</v>
      </c>
      <c r="B55" s="22" t="s">
        <v>544</v>
      </c>
      <c r="C55" s="22" t="s">
        <v>525</v>
      </c>
      <c r="D55" s="22" t="s">
        <v>453</v>
      </c>
      <c r="E55" s="18" t="s">
        <v>349</v>
      </c>
      <c r="F55" s="22" t="s">
        <v>454</v>
      </c>
      <c r="G55" s="22" t="s">
        <v>526</v>
      </c>
      <c r="H55" s="18" t="s">
        <v>454</v>
      </c>
      <c r="I55" s="18" t="s">
        <v>455</v>
      </c>
      <c r="J55" s="23" t="s">
        <v>449</v>
      </c>
      <c r="K55" s="24">
        <v>1</v>
      </c>
      <c r="L55" s="14"/>
    </row>
    <row r="56" spans="1:12" x14ac:dyDescent="0.25">
      <c r="A56" s="16" t="s">
        <v>545</v>
      </c>
      <c r="B56" s="17" t="s">
        <v>5</v>
      </c>
      <c r="C56" s="17" t="s">
        <v>5</v>
      </c>
      <c r="D56" s="17" t="s">
        <v>464</v>
      </c>
      <c r="E56" s="18" t="s">
        <v>349</v>
      </c>
      <c r="F56" s="17" t="s">
        <v>465</v>
      </c>
      <c r="G56" s="17" t="s">
        <v>5</v>
      </c>
      <c r="H56" s="18" t="s">
        <v>465</v>
      </c>
      <c r="I56" s="18" t="s">
        <v>5</v>
      </c>
      <c r="J56" s="19" t="s">
        <v>449</v>
      </c>
      <c r="K56" s="20">
        <v>1</v>
      </c>
      <c r="L56" s="14"/>
    </row>
    <row r="57" spans="1:12" x14ac:dyDescent="0.25">
      <c r="A57" s="21" t="s">
        <v>546</v>
      </c>
      <c r="B57" s="22" t="s">
        <v>393</v>
      </c>
      <c r="C57" s="22" t="s">
        <v>393</v>
      </c>
      <c r="D57" s="22" t="s">
        <v>350</v>
      </c>
      <c r="E57" s="18" t="s">
        <v>349</v>
      </c>
      <c r="F57" s="22" t="s">
        <v>448</v>
      </c>
      <c r="G57" s="22" t="s">
        <v>393</v>
      </c>
      <c r="H57" s="18" t="s">
        <v>448</v>
      </c>
      <c r="I57" s="18" t="s">
        <v>393</v>
      </c>
      <c r="J57" s="23" t="s">
        <v>449</v>
      </c>
      <c r="K57" s="24">
        <v>1</v>
      </c>
      <c r="L57" s="14"/>
    </row>
    <row r="58" spans="1:12" x14ac:dyDescent="0.25">
      <c r="A58" s="16" t="s">
        <v>547</v>
      </c>
      <c r="B58" s="17" t="s">
        <v>548</v>
      </c>
      <c r="C58" s="17" t="s">
        <v>548</v>
      </c>
      <c r="D58" s="17" t="s">
        <v>464</v>
      </c>
      <c r="E58" s="18" t="s">
        <v>349</v>
      </c>
      <c r="F58" s="17" t="s">
        <v>465</v>
      </c>
      <c r="G58" s="17" t="s">
        <v>11</v>
      </c>
      <c r="H58" s="18" t="s">
        <v>465</v>
      </c>
      <c r="I58" s="18" t="s">
        <v>11</v>
      </c>
      <c r="J58" s="19" t="s">
        <v>477</v>
      </c>
      <c r="K58" s="20">
        <v>1</v>
      </c>
      <c r="L58" s="14"/>
    </row>
    <row r="59" spans="1:12" x14ac:dyDescent="0.25">
      <c r="A59" s="21" t="s">
        <v>549</v>
      </c>
      <c r="B59" s="22" t="s">
        <v>550</v>
      </c>
      <c r="C59" s="22" t="s">
        <v>158</v>
      </c>
      <c r="D59" s="22" t="s">
        <v>473</v>
      </c>
      <c r="E59" s="18" t="s">
        <v>349</v>
      </c>
      <c r="F59" s="22" t="s">
        <v>474</v>
      </c>
      <c r="G59" s="22" t="s">
        <v>158</v>
      </c>
      <c r="H59" s="18" t="s">
        <v>474</v>
      </c>
      <c r="I59" s="18" t="s">
        <v>158</v>
      </c>
      <c r="J59" s="23" t="s">
        <v>449</v>
      </c>
      <c r="K59" s="24">
        <v>1</v>
      </c>
      <c r="L59" s="14"/>
    </row>
    <row r="60" spans="1:12" x14ac:dyDescent="0.25">
      <c r="A60" s="16" t="s">
        <v>549</v>
      </c>
      <c r="B60" s="17" t="s">
        <v>551</v>
      </c>
      <c r="C60" s="17" t="s">
        <v>158</v>
      </c>
      <c r="D60" s="17" t="s">
        <v>473</v>
      </c>
      <c r="E60" s="18" t="s">
        <v>349</v>
      </c>
      <c r="F60" s="17" t="s">
        <v>474</v>
      </c>
      <c r="G60" s="17" t="s">
        <v>158</v>
      </c>
      <c r="H60" s="18" t="s">
        <v>474</v>
      </c>
      <c r="I60" s="18" t="s">
        <v>158</v>
      </c>
      <c r="J60" s="19" t="s">
        <v>449</v>
      </c>
      <c r="K60" s="20">
        <v>1</v>
      </c>
      <c r="L60" s="14"/>
    </row>
    <row r="61" spans="1:12" x14ac:dyDescent="0.25">
      <c r="A61" s="21" t="s">
        <v>552</v>
      </c>
      <c r="B61" s="22" t="s">
        <v>517</v>
      </c>
      <c r="C61" s="22" t="s">
        <v>517</v>
      </c>
      <c r="D61" s="22" t="s">
        <v>377</v>
      </c>
      <c r="E61" s="18" t="s">
        <v>349</v>
      </c>
      <c r="F61" s="22" t="s">
        <v>469</v>
      </c>
      <c r="G61" s="22" t="s">
        <v>468</v>
      </c>
      <c r="H61" s="18" t="s">
        <v>469</v>
      </c>
      <c r="I61" s="18" t="s">
        <v>468</v>
      </c>
      <c r="J61" s="23" t="s">
        <v>477</v>
      </c>
      <c r="K61" s="24">
        <v>1</v>
      </c>
      <c r="L61" s="14"/>
    </row>
    <row r="62" spans="1:12" x14ac:dyDescent="0.25">
      <c r="A62" s="16" t="s">
        <v>368</v>
      </c>
      <c r="B62" s="17" t="s">
        <v>339</v>
      </c>
      <c r="C62" s="17" t="s">
        <v>339</v>
      </c>
      <c r="D62" s="17" t="s">
        <v>350</v>
      </c>
      <c r="E62" s="18" t="s">
        <v>349</v>
      </c>
      <c r="F62" s="17" t="s">
        <v>448</v>
      </c>
      <c r="G62" s="17" t="s">
        <v>339</v>
      </c>
      <c r="H62" s="18" t="s">
        <v>448</v>
      </c>
      <c r="I62" s="18" t="s">
        <v>280</v>
      </c>
      <c r="J62" s="19" t="s">
        <v>449</v>
      </c>
      <c r="K62" s="20">
        <v>1</v>
      </c>
      <c r="L62" s="14"/>
    </row>
    <row r="63" spans="1:12" x14ac:dyDescent="0.25">
      <c r="A63" s="21" t="s">
        <v>553</v>
      </c>
      <c r="B63" s="22" t="s">
        <v>554</v>
      </c>
      <c r="C63" s="22" t="s">
        <v>493</v>
      </c>
      <c r="D63" s="22" t="s">
        <v>494</v>
      </c>
      <c r="E63" s="18" t="s">
        <v>349</v>
      </c>
      <c r="F63" s="22" t="s">
        <v>480</v>
      </c>
      <c r="G63" s="22" t="s">
        <v>237</v>
      </c>
      <c r="H63" s="18" t="s">
        <v>480</v>
      </c>
      <c r="I63" s="18" t="s">
        <v>237</v>
      </c>
      <c r="J63" s="23" t="s">
        <v>449</v>
      </c>
      <c r="K63" s="24">
        <v>1</v>
      </c>
      <c r="L63" s="14"/>
    </row>
    <row r="64" spans="1:12" x14ac:dyDescent="0.25">
      <c r="A64" s="16" t="s">
        <v>555</v>
      </c>
      <c r="B64" s="17" t="s">
        <v>556</v>
      </c>
      <c r="C64" s="17" t="s">
        <v>556</v>
      </c>
      <c r="D64" s="17" t="s">
        <v>499</v>
      </c>
      <c r="E64" s="18" t="s">
        <v>349</v>
      </c>
      <c r="F64" s="17" t="s">
        <v>500</v>
      </c>
      <c r="G64" s="17" t="s">
        <v>556</v>
      </c>
      <c r="H64" s="18" t="s">
        <v>500</v>
      </c>
      <c r="I64" s="18" t="s">
        <v>556</v>
      </c>
      <c r="J64" s="19" t="s">
        <v>449</v>
      </c>
      <c r="K64" s="20">
        <v>1</v>
      </c>
      <c r="L64" s="14"/>
    </row>
    <row r="65" spans="1:12" x14ac:dyDescent="0.25">
      <c r="A65" s="21" t="s">
        <v>557</v>
      </c>
      <c r="B65" s="22" t="s">
        <v>558</v>
      </c>
      <c r="C65" s="22" t="s">
        <v>7</v>
      </c>
      <c r="D65" s="22" t="s">
        <v>464</v>
      </c>
      <c r="E65" s="18" t="s">
        <v>349</v>
      </c>
      <c r="F65" s="22" t="s">
        <v>465</v>
      </c>
      <c r="G65" s="22" t="s">
        <v>7</v>
      </c>
      <c r="H65" s="18" t="s">
        <v>465</v>
      </c>
      <c r="I65" s="18" t="s">
        <v>7</v>
      </c>
      <c r="J65" s="23" t="s">
        <v>449</v>
      </c>
      <c r="K65" s="24">
        <v>1</v>
      </c>
      <c r="L65" s="14"/>
    </row>
    <row r="66" spans="1:12" x14ac:dyDescent="0.25">
      <c r="A66" s="16" t="s">
        <v>557</v>
      </c>
      <c r="B66" s="17" t="s">
        <v>559</v>
      </c>
      <c r="C66" s="17" t="s">
        <v>7</v>
      </c>
      <c r="D66" s="17" t="s">
        <v>464</v>
      </c>
      <c r="E66" s="18" t="s">
        <v>349</v>
      </c>
      <c r="F66" s="17" t="s">
        <v>465</v>
      </c>
      <c r="G66" s="17" t="s">
        <v>7</v>
      </c>
      <c r="H66" s="18" t="s">
        <v>465</v>
      </c>
      <c r="I66" s="18" t="s">
        <v>7</v>
      </c>
      <c r="J66" s="19" t="s">
        <v>449</v>
      </c>
      <c r="K66" s="20">
        <v>1</v>
      </c>
      <c r="L66" s="14"/>
    </row>
    <row r="67" spans="1:12" x14ac:dyDescent="0.25">
      <c r="A67" s="21" t="s">
        <v>370</v>
      </c>
      <c r="B67" s="22" t="s">
        <v>220</v>
      </c>
      <c r="C67" s="22" t="s">
        <v>220</v>
      </c>
      <c r="D67" s="22" t="s">
        <v>353</v>
      </c>
      <c r="E67" s="18" t="s">
        <v>349</v>
      </c>
      <c r="F67" s="22" t="s">
        <v>487</v>
      </c>
      <c r="G67" s="22" t="s">
        <v>220</v>
      </c>
      <c r="H67" s="18" t="s">
        <v>487</v>
      </c>
      <c r="I67" s="18" t="s">
        <v>220</v>
      </c>
      <c r="J67" s="23" t="s">
        <v>449</v>
      </c>
      <c r="K67" s="24">
        <v>1</v>
      </c>
      <c r="L67" s="14"/>
    </row>
    <row r="68" spans="1:12" x14ac:dyDescent="0.25">
      <c r="A68" s="16" t="s">
        <v>560</v>
      </c>
      <c r="B68" s="17" t="s">
        <v>247</v>
      </c>
      <c r="C68" s="17" t="s">
        <v>408</v>
      </c>
      <c r="D68" s="17" t="s">
        <v>355</v>
      </c>
      <c r="E68" s="18" t="s">
        <v>349</v>
      </c>
      <c r="F68" s="17" t="s">
        <v>487</v>
      </c>
      <c r="G68" s="17" t="s">
        <v>247</v>
      </c>
      <c r="H68" s="18" t="s">
        <v>487</v>
      </c>
      <c r="I68" s="18" t="s">
        <v>247</v>
      </c>
      <c r="J68" s="19" t="s">
        <v>477</v>
      </c>
      <c r="K68" s="20">
        <v>1</v>
      </c>
      <c r="L68" s="14"/>
    </row>
    <row r="69" spans="1:12" x14ac:dyDescent="0.25">
      <c r="A69" s="21" t="s">
        <v>561</v>
      </c>
      <c r="B69" s="22" t="s">
        <v>562</v>
      </c>
      <c r="C69" s="22" t="s">
        <v>486</v>
      </c>
      <c r="D69" s="22" t="s">
        <v>353</v>
      </c>
      <c r="E69" s="18" t="s">
        <v>349</v>
      </c>
      <c r="F69" s="22" t="s">
        <v>487</v>
      </c>
      <c r="G69" s="22" t="s">
        <v>177</v>
      </c>
      <c r="H69" s="18" t="s">
        <v>487</v>
      </c>
      <c r="I69" s="18" t="s">
        <v>177</v>
      </c>
      <c r="J69" s="23" t="s">
        <v>449</v>
      </c>
      <c r="K69" s="24">
        <v>1</v>
      </c>
      <c r="L69" s="14"/>
    </row>
    <row r="70" spans="1:12" x14ac:dyDescent="0.25">
      <c r="A70" s="16" t="s">
        <v>563</v>
      </c>
      <c r="B70" s="17" t="s">
        <v>525</v>
      </c>
      <c r="C70" s="17" t="s">
        <v>525</v>
      </c>
      <c r="D70" s="17" t="s">
        <v>453</v>
      </c>
      <c r="E70" s="18" t="s">
        <v>349</v>
      </c>
      <c r="F70" s="17" t="s">
        <v>454</v>
      </c>
      <c r="G70" s="17" t="s">
        <v>526</v>
      </c>
      <c r="H70" s="18" t="s">
        <v>454</v>
      </c>
      <c r="I70" s="18" t="s">
        <v>455</v>
      </c>
      <c r="J70" s="19" t="s">
        <v>449</v>
      </c>
      <c r="K70" s="20">
        <v>1</v>
      </c>
      <c r="L70" s="14"/>
    </row>
    <row r="71" spans="1:12" x14ac:dyDescent="0.25">
      <c r="A71" s="21" t="s">
        <v>564</v>
      </c>
      <c r="B71" s="22" t="s">
        <v>565</v>
      </c>
      <c r="C71" s="22" t="s">
        <v>242</v>
      </c>
      <c r="D71" s="22" t="s">
        <v>479</v>
      </c>
      <c r="E71" s="18" t="s">
        <v>349</v>
      </c>
      <c r="F71" s="22" t="s">
        <v>480</v>
      </c>
      <c r="G71" s="22" t="s">
        <v>242</v>
      </c>
      <c r="H71" s="18" t="s">
        <v>480</v>
      </c>
      <c r="I71" s="18" t="s">
        <v>242</v>
      </c>
      <c r="J71" s="23" t="s">
        <v>449</v>
      </c>
      <c r="K71" s="24">
        <v>1</v>
      </c>
      <c r="L71" s="14"/>
    </row>
    <row r="72" spans="1:12" x14ac:dyDescent="0.25">
      <c r="A72" s="16" t="s">
        <v>566</v>
      </c>
      <c r="B72" s="17" t="s">
        <v>567</v>
      </c>
      <c r="C72" s="17" t="s">
        <v>493</v>
      </c>
      <c r="D72" s="17" t="s">
        <v>494</v>
      </c>
      <c r="E72" s="18" t="s">
        <v>349</v>
      </c>
      <c r="F72" s="17" t="s">
        <v>480</v>
      </c>
      <c r="G72" s="17" t="s">
        <v>237</v>
      </c>
      <c r="H72" s="18" t="s">
        <v>480</v>
      </c>
      <c r="I72" s="18" t="s">
        <v>237</v>
      </c>
      <c r="J72" s="19" t="s">
        <v>449</v>
      </c>
      <c r="K72" s="20">
        <v>1</v>
      </c>
      <c r="L72" s="14"/>
    </row>
    <row r="73" spans="1:12" x14ac:dyDescent="0.25">
      <c r="A73" s="21" t="s">
        <v>568</v>
      </c>
      <c r="B73" s="22" t="s">
        <v>513</v>
      </c>
      <c r="C73" s="22" t="s">
        <v>513</v>
      </c>
      <c r="D73" s="22" t="s">
        <v>473</v>
      </c>
      <c r="E73" s="18" t="s">
        <v>349</v>
      </c>
      <c r="F73" s="22" t="s">
        <v>474</v>
      </c>
      <c r="G73" s="22" t="s">
        <v>173</v>
      </c>
      <c r="H73" s="18" t="s">
        <v>474</v>
      </c>
      <c r="I73" s="18" t="s">
        <v>173</v>
      </c>
      <c r="J73" s="23" t="s">
        <v>477</v>
      </c>
      <c r="K73" s="24">
        <v>1</v>
      </c>
      <c r="L73" s="14"/>
    </row>
    <row r="74" spans="1:12" x14ac:dyDescent="0.25">
      <c r="A74" s="16" t="s">
        <v>569</v>
      </c>
      <c r="B74" s="17" t="s">
        <v>267</v>
      </c>
      <c r="C74" s="17" t="s">
        <v>267</v>
      </c>
      <c r="D74" s="17" t="s">
        <v>364</v>
      </c>
      <c r="E74" s="18" t="s">
        <v>349</v>
      </c>
      <c r="F74" s="17" t="s">
        <v>448</v>
      </c>
      <c r="G74" s="17" t="s">
        <v>256</v>
      </c>
      <c r="H74" s="18" t="s">
        <v>448</v>
      </c>
      <c r="I74" s="18" t="s">
        <v>256</v>
      </c>
      <c r="J74" s="19" t="s">
        <v>570</v>
      </c>
      <c r="K74" s="20">
        <v>1</v>
      </c>
      <c r="L74" s="14"/>
    </row>
    <row r="75" spans="1:12" x14ac:dyDescent="0.25">
      <c r="A75" s="21" t="s">
        <v>571</v>
      </c>
      <c r="B75" s="22" t="s">
        <v>572</v>
      </c>
      <c r="C75" s="22" t="s">
        <v>572</v>
      </c>
      <c r="D75" s="22" t="s">
        <v>350</v>
      </c>
      <c r="E75" s="18" t="s">
        <v>349</v>
      </c>
      <c r="F75" s="22" t="s">
        <v>448</v>
      </c>
      <c r="G75" s="22" t="s">
        <v>280</v>
      </c>
      <c r="H75" s="18" t="s">
        <v>448</v>
      </c>
      <c r="I75" s="18" t="s">
        <v>280</v>
      </c>
      <c r="J75" s="23" t="s">
        <v>573</v>
      </c>
      <c r="K75" s="24">
        <v>1</v>
      </c>
      <c r="L75" s="14"/>
    </row>
    <row r="76" spans="1:12" x14ac:dyDescent="0.25">
      <c r="A76" s="16" t="s">
        <v>574</v>
      </c>
      <c r="B76" s="17" t="s">
        <v>118</v>
      </c>
      <c r="C76" s="17" t="s">
        <v>118</v>
      </c>
      <c r="D76" s="17" t="s">
        <v>575</v>
      </c>
      <c r="E76" s="18" t="s">
        <v>349</v>
      </c>
      <c r="F76" s="17" t="s">
        <v>576</v>
      </c>
      <c r="G76" s="17" t="s">
        <v>118</v>
      </c>
      <c r="H76" s="18" t="s">
        <v>576</v>
      </c>
      <c r="I76" s="18" t="s">
        <v>118</v>
      </c>
      <c r="J76" s="19" t="s">
        <v>449</v>
      </c>
      <c r="K76" s="20">
        <v>1</v>
      </c>
      <c r="L76" s="14"/>
    </row>
    <row r="77" spans="1:12" x14ac:dyDescent="0.25">
      <c r="A77" s="21" t="s">
        <v>577</v>
      </c>
      <c r="B77" s="22" t="s">
        <v>390</v>
      </c>
      <c r="C77" s="22" t="s">
        <v>390</v>
      </c>
      <c r="D77" s="22" t="s">
        <v>499</v>
      </c>
      <c r="E77" s="18" t="s">
        <v>349</v>
      </c>
      <c r="F77" s="22" t="s">
        <v>500</v>
      </c>
      <c r="G77" s="22" t="s">
        <v>390</v>
      </c>
      <c r="H77" s="18" t="s">
        <v>500</v>
      </c>
      <c r="I77" s="18" t="s">
        <v>390</v>
      </c>
      <c r="J77" s="23" t="s">
        <v>449</v>
      </c>
      <c r="K77" s="24">
        <v>1</v>
      </c>
      <c r="L77" s="14"/>
    </row>
    <row r="78" spans="1:12" x14ac:dyDescent="0.25">
      <c r="A78" s="16" t="s">
        <v>578</v>
      </c>
      <c r="B78" s="17" t="s">
        <v>399</v>
      </c>
      <c r="C78" s="17" t="s">
        <v>399</v>
      </c>
      <c r="D78" s="17" t="s">
        <v>360</v>
      </c>
      <c r="E78" s="18" t="s">
        <v>349</v>
      </c>
      <c r="F78" s="17" t="s">
        <v>454</v>
      </c>
      <c r="G78" s="17" t="s">
        <v>399</v>
      </c>
      <c r="H78" s="18" t="s">
        <v>454</v>
      </c>
      <c r="I78" s="18" t="s">
        <v>399</v>
      </c>
      <c r="J78" s="19" t="s">
        <v>449</v>
      </c>
      <c r="K78" s="20">
        <v>1</v>
      </c>
      <c r="L78" s="14"/>
    </row>
    <row r="79" spans="1:12" x14ac:dyDescent="0.25">
      <c r="A79" s="21" t="s">
        <v>579</v>
      </c>
      <c r="B79" s="22" t="s">
        <v>214</v>
      </c>
      <c r="C79" s="22" t="s">
        <v>214</v>
      </c>
      <c r="D79" s="22" t="s">
        <v>355</v>
      </c>
      <c r="E79" s="18" t="s">
        <v>349</v>
      </c>
      <c r="F79" s="22" t="s">
        <v>487</v>
      </c>
      <c r="G79" s="22" t="s">
        <v>212</v>
      </c>
      <c r="H79" s="18" t="s">
        <v>487</v>
      </c>
      <c r="I79" s="18" t="s">
        <v>212</v>
      </c>
      <c r="J79" s="23" t="s">
        <v>477</v>
      </c>
      <c r="K79" s="24">
        <v>1</v>
      </c>
      <c r="L79" s="14"/>
    </row>
    <row r="80" spans="1:12" x14ac:dyDescent="0.25">
      <c r="A80" s="16" t="s">
        <v>580</v>
      </c>
      <c r="B80" s="17" t="s">
        <v>406</v>
      </c>
      <c r="C80" s="17" t="s">
        <v>361</v>
      </c>
      <c r="D80" s="17" t="s">
        <v>364</v>
      </c>
      <c r="E80" s="18" t="s">
        <v>349</v>
      </c>
      <c r="F80" s="17" t="s">
        <v>448</v>
      </c>
      <c r="G80" s="17" t="s">
        <v>361</v>
      </c>
      <c r="H80" s="18" t="s">
        <v>448</v>
      </c>
      <c r="I80" s="18" t="s">
        <v>361</v>
      </c>
      <c r="J80" s="19" t="s">
        <v>449</v>
      </c>
      <c r="K80" s="20">
        <v>1</v>
      </c>
      <c r="L80" s="14"/>
    </row>
    <row r="81" spans="1:12" x14ac:dyDescent="0.25">
      <c r="A81" s="21" t="s">
        <v>581</v>
      </c>
      <c r="B81" s="22" t="s">
        <v>582</v>
      </c>
      <c r="C81" s="22" t="s">
        <v>302</v>
      </c>
      <c r="D81" s="22" t="s">
        <v>499</v>
      </c>
      <c r="E81" s="18" t="s">
        <v>349</v>
      </c>
      <c r="F81" s="22" t="s">
        <v>500</v>
      </c>
      <c r="G81" s="22" t="s">
        <v>501</v>
      </c>
      <c r="H81" s="18" t="s">
        <v>500</v>
      </c>
      <c r="I81" s="18" t="s">
        <v>302</v>
      </c>
      <c r="J81" s="23" t="s">
        <v>449</v>
      </c>
      <c r="K81" s="24">
        <v>1</v>
      </c>
      <c r="L81" s="14"/>
    </row>
    <row r="82" spans="1:12" x14ac:dyDescent="0.25">
      <c r="A82" s="16" t="s">
        <v>583</v>
      </c>
      <c r="B82" s="17" t="s">
        <v>584</v>
      </c>
      <c r="C82" s="17" t="s">
        <v>0</v>
      </c>
      <c r="D82" s="17" t="s">
        <v>464</v>
      </c>
      <c r="E82" s="18" t="s">
        <v>349</v>
      </c>
      <c r="F82" s="17" t="s">
        <v>465</v>
      </c>
      <c r="G82" s="17" t="s">
        <v>0</v>
      </c>
      <c r="H82" s="18" t="s">
        <v>465</v>
      </c>
      <c r="I82" s="18" t="s">
        <v>0</v>
      </c>
      <c r="J82" s="19" t="s">
        <v>449</v>
      </c>
      <c r="K82" s="20">
        <v>1</v>
      </c>
      <c r="L82" s="14"/>
    </row>
    <row r="83" spans="1:12" x14ac:dyDescent="0.25">
      <c r="A83" s="21" t="s">
        <v>585</v>
      </c>
      <c r="B83" s="22" t="s">
        <v>586</v>
      </c>
      <c r="C83" s="22" t="s">
        <v>493</v>
      </c>
      <c r="D83" s="22" t="s">
        <v>494</v>
      </c>
      <c r="E83" s="18" t="s">
        <v>349</v>
      </c>
      <c r="F83" s="22" t="s">
        <v>480</v>
      </c>
      <c r="G83" s="22" t="s">
        <v>237</v>
      </c>
      <c r="H83" s="18" t="s">
        <v>480</v>
      </c>
      <c r="I83" s="18" t="s">
        <v>237</v>
      </c>
      <c r="J83" s="23" t="s">
        <v>449</v>
      </c>
      <c r="K83" s="24">
        <v>1</v>
      </c>
      <c r="L83" s="14"/>
    </row>
    <row r="84" spans="1:12" x14ac:dyDescent="0.25">
      <c r="A84" s="16" t="s">
        <v>585</v>
      </c>
      <c r="B84" s="17" t="s">
        <v>587</v>
      </c>
      <c r="C84" s="17" t="s">
        <v>493</v>
      </c>
      <c r="D84" s="17" t="s">
        <v>494</v>
      </c>
      <c r="E84" s="18" t="s">
        <v>349</v>
      </c>
      <c r="F84" s="17" t="s">
        <v>480</v>
      </c>
      <c r="G84" s="17" t="s">
        <v>237</v>
      </c>
      <c r="H84" s="18" t="s">
        <v>480</v>
      </c>
      <c r="I84" s="18" t="s">
        <v>237</v>
      </c>
      <c r="J84" s="19" t="s">
        <v>449</v>
      </c>
      <c r="K84" s="20">
        <v>1</v>
      </c>
      <c r="L84" s="14"/>
    </row>
    <row r="85" spans="1:12" x14ac:dyDescent="0.25">
      <c r="A85" s="25" t="s">
        <v>588</v>
      </c>
      <c r="B85" s="26" t="s">
        <v>589</v>
      </c>
      <c r="C85" s="26" t="s">
        <v>302</v>
      </c>
      <c r="D85" s="26" t="s">
        <v>499</v>
      </c>
      <c r="E85" s="18" t="s">
        <v>349</v>
      </c>
      <c r="F85" s="26" t="s">
        <v>500</v>
      </c>
      <c r="G85" s="26" t="s">
        <v>582</v>
      </c>
      <c r="H85" s="18" t="s">
        <v>500</v>
      </c>
      <c r="I85" s="18" t="s">
        <v>302</v>
      </c>
      <c r="J85" s="27" t="s">
        <v>449</v>
      </c>
      <c r="K85" s="28">
        <v>1</v>
      </c>
      <c r="L85" s="14" t="s">
        <v>501</v>
      </c>
    </row>
    <row r="86" spans="1:12" x14ac:dyDescent="0.25">
      <c r="A86" s="16" t="s">
        <v>590</v>
      </c>
      <c r="B86" s="17" t="s">
        <v>591</v>
      </c>
      <c r="C86" s="17" t="s">
        <v>452</v>
      </c>
      <c r="D86" s="17" t="s">
        <v>453</v>
      </c>
      <c r="E86" s="18" t="s">
        <v>349</v>
      </c>
      <c r="F86" s="17" t="s">
        <v>454</v>
      </c>
      <c r="G86" s="17" t="s">
        <v>455</v>
      </c>
      <c r="H86" s="18" t="s">
        <v>454</v>
      </c>
      <c r="I86" s="18" t="s">
        <v>455</v>
      </c>
      <c r="J86" s="19" t="s">
        <v>449</v>
      </c>
      <c r="K86" s="20">
        <v>1</v>
      </c>
      <c r="L86" s="14"/>
    </row>
    <row r="87" spans="1:12" x14ac:dyDescent="0.25">
      <c r="A87" s="21" t="s">
        <v>592</v>
      </c>
      <c r="B87" s="22" t="s">
        <v>343</v>
      </c>
      <c r="C87" s="22" t="s">
        <v>343</v>
      </c>
      <c r="D87" s="22" t="s">
        <v>350</v>
      </c>
      <c r="E87" s="18" t="s">
        <v>349</v>
      </c>
      <c r="F87" s="22" t="s">
        <v>448</v>
      </c>
      <c r="G87" s="22" t="s">
        <v>343</v>
      </c>
      <c r="H87" s="18" t="s">
        <v>448</v>
      </c>
      <c r="I87" s="18" t="s">
        <v>343</v>
      </c>
      <c r="J87" s="23" t="s">
        <v>449</v>
      </c>
      <c r="K87" s="24">
        <v>1</v>
      </c>
      <c r="L87" s="14"/>
    </row>
    <row r="88" spans="1:12" x14ac:dyDescent="0.25">
      <c r="A88" s="16" t="s">
        <v>593</v>
      </c>
      <c r="B88" s="17" t="s">
        <v>594</v>
      </c>
      <c r="C88" s="17" t="s">
        <v>594</v>
      </c>
      <c r="D88" s="17" t="s">
        <v>499</v>
      </c>
      <c r="E88" s="18" t="s">
        <v>349</v>
      </c>
      <c r="F88" s="17" t="s">
        <v>500</v>
      </c>
      <c r="G88" s="17" t="s">
        <v>390</v>
      </c>
      <c r="H88" s="18" t="s">
        <v>500</v>
      </c>
      <c r="I88" s="18" t="s">
        <v>390</v>
      </c>
      <c r="J88" s="19" t="s">
        <v>477</v>
      </c>
      <c r="K88" s="20">
        <v>1</v>
      </c>
      <c r="L88" s="14"/>
    </row>
    <row r="89" spans="1:12" x14ac:dyDescent="0.25">
      <c r="A89" s="21" t="s">
        <v>595</v>
      </c>
      <c r="B89" s="22" t="s">
        <v>269</v>
      </c>
      <c r="C89" s="22" t="s">
        <v>269</v>
      </c>
      <c r="D89" s="22" t="s">
        <v>575</v>
      </c>
      <c r="E89" s="18" t="s">
        <v>349</v>
      </c>
      <c r="F89" s="22" t="s">
        <v>576</v>
      </c>
      <c r="G89" s="22" t="s">
        <v>269</v>
      </c>
      <c r="H89" s="18" t="s">
        <v>576</v>
      </c>
      <c r="I89" s="18" t="s">
        <v>269</v>
      </c>
      <c r="J89" s="23" t="s">
        <v>449</v>
      </c>
      <c r="K89" s="24">
        <v>1</v>
      </c>
      <c r="L89" s="14"/>
    </row>
    <row r="90" spans="1:12" x14ac:dyDescent="0.25">
      <c r="A90" s="16" t="s">
        <v>596</v>
      </c>
      <c r="B90" s="17" t="s">
        <v>597</v>
      </c>
      <c r="C90" s="17" t="s">
        <v>295</v>
      </c>
      <c r="D90" s="17" t="s">
        <v>494</v>
      </c>
      <c r="E90" s="18" t="s">
        <v>349</v>
      </c>
      <c r="F90" s="17" t="s">
        <v>480</v>
      </c>
      <c r="G90" s="17" t="s">
        <v>295</v>
      </c>
      <c r="H90" s="18" t="s">
        <v>480</v>
      </c>
      <c r="I90" s="18" t="s">
        <v>237</v>
      </c>
      <c r="J90" s="19" t="s">
        <v>449</v>
      </c>
      <c r="K90" s="20">
        <v>1</v>
      </c>
      <c r="L90" s="14"/>
    </row>
    <row r="91" spans="1:12" x14ac:dyDescent="0.25">
      <c r="A91" s="21" t="s">
        <v>598</v>
      </c>
      <c r="B91" s="22" t="s">
        <v>599</v>
      </c>
      <c r="C91" s="22" t="s">
        <v>242</v>
      </c>
      <c r="D91" s="22" t="s">
        <v>479</v>
      </c>
      <c r="E91" s="18" t="s">
        <v>349</v>
      </c>
      <c r="F91" s="22" t="s">
        <v>480</v>
      </c>
      <c r="G91" s="22" t="s">
        <v>242</v>
      </c>
      <c r="H91" s="18" t="s">
        <v>480</v>
      </c>
      <c r="I91" s="18" t="s">
        <v>242</v>
      </c>
      <c r="J91" s="23" t="s">
        <v>449</v>
      </c>
      <c r="K91" s="24">
        <v>1</v>
      </c>
      <c r="L91" s="14"/>
    </row>
    <row r="92" spans="1:12" x14ac:dyDescent="0.25">
      <c r="A92" s="16" t="s">
        <v>600</v>
      </c>
      <c r="B92" s="17" t="s">
        <v>601</v>
      </c>
      <c r="C92" s="17" t="s">
        <v>242</v>
      </c>
      <c r="D92" s="17" t="s">
        <v>479</v>
      </c>
      <c r="E92" s="18" t="s">
        <v>349</v>
      </c>
      <c r="F92" s="17" t="s">
        <v>480</v>
      </c>
      <c r="G92" s="17" t="s">
        <v>242</v>
      </c>
      <c r="H92" s="18" t="s">
        <v>480</v>
      </c>
      <c r="I92" s="18" t="s">
        <v>242</v>
      </c>
      <c r="J92" s="19" t="s">
        <v>449</v>
      </c>
      <c r="K92" s="20">
        <v>1</v>
      </c>
      <c r="L92" s="14"/>
    </row>
    <row r="93" spans="1:12" x14ac:dyDescent="0.25">
      <c r="A93" s="21" t="s">
        <v>602</v>
      </c>
      <c r="B93" s="22" t="s">
        <v>603</v>
      </c>
      <c r="C93" s="22" t="s">
        <v>280</v>
      </c>
      <c r="D93" s="22" t="s">
        <v>350</v>
      </c>
      <c r="E93" s="18" t="s">
        <v>349</v>
      </c>
      <c r="F93" s="22" t="s">
        <v>448</v>
      </c>
      <c r="G93" s="22" t="s">
        <v>280</v>
      </c>
      <c r="H93" s="18" t="s">
        <v>448</v>
      </c>
      <c r="I93" s="18" t="s">
        <v>280</v>
      </c>
      <c r="J93" s="23" t="s">
        <v>449</v>
      </c>
      <c r="K93" s="24">
        <v>1</v>
      </c>
      <c r="L93" s="14"/>
    </row>
    <row r="94" spans="1:12" x14ac:dyDescent="0.25">
      <c r="A94" s="16" t="s">
        <v>604</v>
      </c>
      <c r="B94" s="17" t="s">
        <v>605</v>
      </c>
      <c r="C94" s="17" t="s">
        <v>452</v>
      </c>
      <c r="D94" s="17" t="s">
        <v>453</v>
      </c>
      <c r="E94" s="18" t="s">
        <v>349</v>
      </c>
      <c r="F94" s="17" t="s">
        <v>454</v>
      </c>
      <c r="G94" s="17" t="s">
        <v>455</v>
      </c>
      <c r="H94" s="18" t="s">
        <v>454</v>
      </c>
      <c r="I94" s="18" t="s">
        <v>455</v>
      </c>
      <c r="J94" s="19" t="s">
        <v>449</v>
      </c>
      <c r="K94" s="20">
        <v>1</v>
      </c>
      <c r="L94" s="14"/>
    </row>
    <row r="95" spans="1:12" x14ac:dyDescent="0.25">
      <c r="A95" s="21" t="s">
        <v>606</v>
      </c>
      <c r="B95" s="22" t="s">
        <v>607</v>
      </c>
      <c r="C95" s="22" t="s">
        <v>256</v>
      </c>
      <c r="D95" s="22" t="s">
        <v>364</v>
      </c>
      <c r="E95" s="18" t="s">
        <v>349</v>
      </c>
      <c r="F95" s="22" t="s">
        <v>448</v>
      </c>
      <c r="G95" s="22" t="s">
        <v>256</v>
      </c>
      <c r="H95" s="18" t="s">
        <v>448</v>
      </c>
      <c r="I95" s="18" t="s">
        <v>256</v>
      </c>
      <c r="J95" s="23" t="s">
        <v>449</v>
      </c>
      <c r="K95" s="24">
        <v>1</v>
      </c>
      <c r="L95" s="14"/>
    </row>
    <row r="96" spans="1:12" x14ac:dyDescent="0.25">
      <c r="A96" s="16" t="s">
        <v>608</v>
      </c>
      <c r="B96" s="17" t="s">
        <v>609</v>
      </c>
      <c r="C96" s="17" t="s">
        <v>193</v>
      </c>
      <c r="D96" s="17" t="s">
        <v>364</v>
      </c>
      <c r="E96" s="18" t="s">
        <v>349</v>
      </c>
      <c r="F96" s="17" t="s">
        <v>448</v>
      </c>
      <c r="G96" s="17" t="s">
        <v>193</v>
      </c>
      <c r="H96" s="18" t="s">
        <v>448</v>
      </c>
      <c r="I96" s="18" t="s">
        <v>193</v>
      </c>
      <c r="J96" s="19" t="s">
        <v>449</v>
      </c>
      <c r="K96" s="20">
        <v>1</v>
      </c>
      <c r="L96" s="14"/>
    </row>
    <row r="97" spans="1:12" x14ac:dyDescent="0.25">
      <c r="A97" s="21" t="s">
        <v>610</v>
      </c>
      <c r="B97" s="22" t="s">
        <v>611</v>
      </c>
      <c r="C97" s="22" t="s">
        <v>11</v>
      </c>
      <c r="D97" s="22" t="s">
        <v>464</v>
      </c>
      <c r="E97" s="18" t="s">
        <v>349</v>
      </c>
      <c r="F97" s="22" t="s">
        <v>465</v>
      </c>
      <c r="G97" s="22" t="s">
        <v>11</v>
      </c>
      <c r="H97" s="18" t="s">
        <v>465</v>
      </c>
      <c r="I97" s="18" t="s">
        <v>11</v>
      </c>
      <c r="J97" s="23" t="s">
        <v>449</v>
      </c>
      <c r="K97" s="24">
        <v>1</v>
      </c>
      <c r="L97" s="14"/>
    </row>
    <row r="98" spans="1:12" x14ac:dyDescent="0.25">
      <c r="A98" s="16" t="s">
        <v>612</v>
      </c>
      <c r="B98" s="17" t="s">
        <v>613</v>
      </c>
      <c r="C98" s="17" t="s">
        <v>0</v>
      </c>
      <c r="D98" s="17" t="s">
        <v>464</v>
      </c>
      <c r="E98" s="18" t="s">
        <v>349</v>
      </c>
      <c r="F98" s="17" t="s">
        <v>465</v>
      </c>
      <c r="G98" s="17" t="s">
        <v>0</v>
      </c>
      <c r="H98" s="18" t="s">
        <v>465</v>
      </c>
      <c r="I98" s="18" t="s">
        <v>0</v>
      </c>
      <c r="J98" s="19" t="s">
        <v>449</v>
      </c>
      <c r="K98" s="20">
        <v>1</v>
      </c>
      <c r="L98" s="14"/>
    </row>
    <row r="99" spans="1:12" x14ac:dyDescent="0.25">
      <c r="A99" s="21" t="s">
        <v>614</v>
      </c>
      <c r="B99" s="22" t="s">
        <v>615</v>
      </c>
      <c r="C99" s="22" t="s">
        <v>468</v>
      </c>
      <c r="D99" s="22" t="s">
        <v>377</v>
      </c>
      <c r="E99" s="18" t="s">
        <v>349</v>
      </c>
      <c r="F99" s="22" t="s">
        <v>469</v>
      </c>
      <c r="G99" s="22" t="s">
        <v>468</v>
      </c>
      <c r="H99" s="18" t="s">
        <v>469</v>
      </c>
      <c r="I99" s="18" t="s">
        <v>468</v>
      </c>
      <c r="J99" s="23" t="s">
        <v>449</v>
      </c>
      <c r="K99" s="24">
        <v>1</v>
      </c>
      <c r="L99" s="14"/>
    </row>
    <row r="100" spans="1:12" x14ac:dyDescent="0.25">
      <c r="A100" s="16" t="s">
        <v>616</v>
      </c>
      <c r="B100" s="17" t="s">
        <v>617</v>
      </c>
      <c r="C100" s="17" t="s">
        <v>173</v>
      </c>
      <c r="D100" s="17" t="s">
        <v>473</v>
      </c>
      <c r="E100" s="18" t="s">
        <v>349</v>
      </c>
      <c r="F100" s="17" t="s">
        <v>474</v>
      </c>
      <c r="G100" s="17" t="s">
        <v>173</v>
      </c>
      <c r="H100" s="18" t="s">
        <v>474</v>
      </c>
      <c r="I100" s="18" t="s">
        <v>173</v>
      </c>
      <c r="J100" s="19" t="s">
        <v>449</v>
      </c>
      <c r="K100" s="20">
        <v>1</v>
      </c>
      <c r="L100" s="14"/>
    </row>
    <row r="101" spans="1:12" x14ac:dyDescent="0.25">
      <c r="A101" s="21" t="s">
        <v>618</v>
      </c>
      <c r="B101" s="22" t="s">
        <v>619</v>
      </c>
      <c r="C101" s="22" t="s">
        <v>242</v>
      </c>
      <c r="D101" s="22" t="s">
        <v>479</v>
      </c>
      <c r="E101" s="18" t="s">
        <v>349</v>
      </c>
      <c r="F101" s="22" t="s">
        <v>480</v>
      </c>
      <c r="G101" s="22" t="s">
        <v>242</v>
      </c>
      <c r="H101" s="18" t="s">
        <v>480</v>
      </c>
      <c r="I101" s="18" t="s">
        <v>242</v>
      </c>
      <c r="J101" s="23" t="s">
        <v>449</v>
      </c>
      <c r="K101" s="24">
        <v>1</v>
      </c>
      <c r="L101" s="14"/>
    </row>
    <row r="102" spans="1:12" x14ac:dyDescent="0.25">
      <c r="A102" s="16" t="s">
        <v>620</v>
      </c>
      <c r="B102" s="17" t="s">
        <v>621</v>
      </c>
      <c r="C102" s="17" t="s">
        <v>482</v>
      </c>
      <c r="D102" s="17" t="s">
        <v>464</v>
      </c>
      <c r="E102" s="18" t="s">
        <v>349</v>
      </c>
      <c r="F102" s="17" t="s">
        <v>465</v>
      </c>
      <c r="G102" s="17" t="s">
        <v>483</v>
      </c>
      <c r="H102" s="18" t="s">
        <v>465</v>
      </c>
      <c r="I102" s="18" t="s">
        <v>9</v>
      </c>
      <c r="J102" s="19" t="s">
        <v>449</v>
      </c>
      <c r="K102" s="20">
        <v>1</v>
      </c>
      <c r="L102" s="14"/>
    </row>
    <row r="103" spans="1:12" x14ac:dyDescent="0.25">
      <c r="A103" s="21" t="s">
        <v>622</v>
      </c>
      <c r="B103" s="22" t="s">
        <v>623</v>
      </c>
      <c r="C103" s="22" t="s">
        <v>158</v>
      </c>
      <c r="D103" s="22" t="s">
        <v>473</v>
      </c>
      <c r="E103" s="18" t="s">
        <v>349</v>
      </c>
      <c r="F103" s="22" t="s">
        <v>474</v>
      </c>
      <c r="G103" s="22" t="s">
        <v>158</v>
      </c>
      <c r="H103" s="18" t="s">
        <v>474</v>
      </c>
      <c r="I103" s="18" t="s">
        <v>158</v>
      </c>
      <c r="J103" s="23" t="s">
        <v>449</v>
      </c>
      <c r="K103" s="24">
        <v>1</v>
      </c>
      <c r="L103" s="14"/>
    </row>
    <row r="104" spans="1:12" x14ac:dyDescent="0.25">
      <c r="A104" s="16" t="s">
        <v>624</v>
      </c>
      <c r="B104" s="17" t="s">
        <v>625</v>
      </c>
      <c r="C104" s="17" t="s">
        <v>321</v>
      </c>
      <c r="D104" s="17" t="s">
        <v>353</v>
      </c>
      <c r="E104" s="18" t="s">
        <v>349</v>
      </c>
      <c r="F104" s="17" t="s">
        <v>487</v>
      </c>
      <c r="G104" s="17" t="s">
        <v>321</v>
      </c>
      <c r="H104" s="18" t="s">
        <v>487</v>
      </c>
      <c r="I104" s="18" t="s">
        <v>321</v>
      </c>
      <c r="J104" s="19" t="s">
        <v>449</v>
      </c>
      <c r="K104" s="20">
        <v>1</v>
      </c>
      <c r="L104" s="14"/>
    </row>
    <row r="105" spans="1:12" x14ac:dyDescent="0.25">
      <c r="A105" s="21" t="s">
        <v>626</v>
      </c>
      <c r="B105" s="22" t="s">
        <v>627</v>
      </c>
      <c r="C105" s="22" t="s">
        <v>183</v>
      </c>
      <c r="D105" s="22" t="s">
        <v>355</v>
      </c>
      <c r="E105" s="18" t="s">
        <v>349</v>
      </c>
      <c r="F105" s="22" t="s">
        <v>487</v>
      </c>
      <c r="G105" s="22" t="s">
        <v>183</v>
      </c>
      <c r="H105" s="18" t="s">
        <v>487</v>
      </c>
      <c r="I105" s="18" t="s">
        <v>183</v>
      </c>
      <c r="J105" s="23" t="s">
        <v>449</v>
      </c>
      <c r="K105" s="24">
        <v>1</v>
      </c>
      <c r="L105" s="14"/>
    </row>
    <row r="106" spans="1:12" x14ac:dyDescent="0.25">
      <c r="A106" s="16" t="s">
        <v>628</v>
      </c>
      <c r="B106" s="17" t="s">
        <v>629</v>
      </c>
      <c r="C106" s="17" t="s">
        <v>138</v>
      </c>
      <c r="D106" s="17" t="s">
        <v>357</v>
      </c>
      <c r="E106" s="18" t="s">
        <v>349</v>
      </c>
      <c r="F106" s="17" t="s">
        <v>469</v>
      </c>
      <c r="G106" s="17" t="s">
        <v>138</v>
      </c>
      <c r="H106" s="18" t="s">
        <v>469</v>
      </c>
      <c r="I106" s="18" t="s">
        <v>138</v>
      </c>
      <c r="J106" s="19" t="s">
        <v>449</v>
      </c>
      <c r="K106" s="20">
        <v>1</v>
      </c>
      <c r="L106" s="14"/>
    </row>
    <row r="107" spans="1:12" x14ac:dyDescent="0.25">
      <c r="A107" s="21" t="s">
        <v>630</v>
      </c>
      <c r="B107" s="22" t="s">
        <v>631</v>
      </c>
      <c r="C107" s="22" t="s">
        <v>209</v>
      </c>
      <c r="D107" s="22" t="s">
        <v>377</v>
      </c>
      <c r="E107" s="18" t="s">
        <v>349</v>
      </c>
      <c r="F107" s="22" t="s">
        <v>469</v>
      </c>
      <c r="G107" s="22" t="s">
        <v>209</v>
      </c>
      <c r="H107" s="18" t="s">
        <v>469</v>
      </c>
      <c r="I107" s="18" t="s">
        <v>209</v>
      </c>
      <c r="J107" s="23" t="s">
        <v>449</v>
      </c>
      <c r="K107" s="24">
        <v>1</v>
      </c>
      <c r="L107" s="14"/>
    </row>
    <row r="108" spans="1:12" x14ac:dyDescent="0.25">
      <c r="A108" s="16" t="s">
        <v>632</v>
      </c>
      <c r="B108" s="17" t="s">
        <v>633</v>
      </c>
      <c r="C108" s="17" t="s">
        <v>140</v>
      </c>
      <c r="D108" s="17" t="s">
        <v>357</v>
      </c>
      <c r="E108" s="18" t="s">
        <v>349</v>
      </c>
      <c r="F108" s="17" t="s">
        <v>469</v>
      </c>
      <c r="G108" s="17" t="s">
        <v>138</v>
      </c>
      <c r="H108" s="18" t="s">
        <v>469</v>
      </c>
      <c r="I108" s="18" t="s">
        <v>138</v>
      </c>
      <c r="J108" s="19" t="s">
        <v>477</v>
      </c>
      <c r="K108" s="20">
        <v>1</v>
      </c>
      <c r="L108" s="14"/>
    </row>
    <row r="109" spans="1:12" x14ac:dyDescent="0.25">
      <c r="A109" s="21" t="s">
        <v>634</v>
      </c>
      <c r="B109" s="22" t="s">
        <v>635</v>
      </c>
      <c r="C109" s="22" t="s">
        <v>157</v>
      </c>
      <c r="D109" s="22" t="s">
        <v>357</v>
      </c>
      <c r="E109" s="18" t="s">
        <v>349</v>
      </c>
      <c r="F109" s="22" t="s">
        <v>469</v>
      </c>
      <c r="G109" s="22" t="s">
        <v>157</v>
      </c>
      <c r="H109" s="18" t="s">
        <v>469</v>
      </c>
      <c r="I109" s="18" t="s">
        <v>157</v>
      </c>
      <c r="J109" s="23" t="s">
        <v>449</v>
      </c>
      <c r="K109" s="24">
        <v>1</v>
      </c>
      <c r="L109" s="14"/>
    </row>
    <row r="110" spans="1:12" x14ac:dyDescent="0.25">
      <c r="A110" s="16" t="s">
        <v>636</v>
      </c>
      <c r="B110" s="17" t="s">
        <v>637</v>
      </c>
      <c r="C110" s="17" t="s">
        <v>490</v>
      </c>
      <c r="D110" s="17" t="s">
        <v>353</v>
      </c>
      <c r="E110" s="18" t="s">
        <v>349</v>
      </c>
      <c r="F110" s="17" t="s">
        <v>487</v>
      </c>
      <c r="G110" s="17" t="s">
        <v>321</v>
      </c>
      <c r="H110" s="18" t="s">
        <v>487</v>
      </c>
      <c r="I110" s="18" t="s">
        <v>321</v>
      </c>
      <c r="J110" s="19" t="s">
        <v>477</v>
      </c>
      <c r="K110" s="20">
        <v>1</v>
      </c>
      <c r="L110" s="14"/>
    </row>
    <row r="111" spans="1:12" x14ac:dyDescent="0.25">
      <c r="A111" s="21" t="s">
        <v>638</v>
      </c>
      <c r="B111" s="22" t="s">
        <v>639</v>
      </c>
      <c r="C111" s="22" t="s">
        <v>493</v>
      </c>
      <c r="D111" s="22" t="s">
        <v>494</v>
      </c>
      <c r="E111" s="18" t="s">
        <v>349</v>
      </c>
      <c r="F111" s="22" t="s">
        <v>480</v>
      </c>
      <c r="G111" s="22" t="s">
        <v>237</v>
      </c>
      <c r="H111" s="18" t="s">
        <v>480</v>
      </c>
      <c r="I111" s="18" t="s">
        <v>237</v>
      </c>
      <c r="J111" s="23" t="s">
        <v>449</v>
      </c>
      <c r="K111" s="24">
        <v>1</v>
      </c>
      <c r="L111" s="14"/>
    </row>
    <row r="112" spans="1:12" x14ac:dyDescent="0.25">
      <c r="A112" s="16" t="s">
        <v>640</v>
      </c>
      <c r="B112" s="17" t="s">
        <v>641</v>
      </c>
      <c r="C112" s="17" t="s">
        <v>295</v>
      </c>
      <c r="D112" s="17" t="s">
        <v>494</v>
      </c>
      <c r="E112" s="18" t="s">
        <v>349</v>
      </c>
      <c r="F112" s="17" t="s">
        <v>480</v>
      </c>
      <c r="G112" s="17" t="s">
        <v>295</v>
      </c>
      <c r="H112" s="18" t="s">
        <v>480</v>
      </c>
      <c r="I112" s="18" t="s">
        <v>237</v>
      </c>
      <c r="J112" s="19" t="s">
        <v>449</v>
      </c>
      <c r="K112" s="20">
        <v>1</v>
      </c>
      <c r="L112" s="14"/>
    </row>
    <row r="113" spans="1:12" x14ac:dyDescent="0.25">
      <c r="A113" s="21" t="s">
        <v>642</v>
      </c>
      <c r="B113" s="22" t="s">
        <v>643</v>
      </c>
      <c r="C113" s="22" t="s">
        <v>497</v>
      </c>
      <c r="D113" s="22" t="s">
        <v>473</v>
      </c>
      <c r="E113" s="18" t="s">
        <v>349</v>
      </c>
      <c r="F113" s="22" t="s">
        <v>474</v>
      </c>
      <c r="G113" s="22" t="s">
        <v>497</v>
      </c>
      <c r="H113" s="18" t="s">
        <v>474</v>
      </c>
      <c r="I113" s="18" t="s">
        <v>158</v>
      </c>
      <c r="J113" s="23" t="s">
        <v>449</v>
      </c>
      <c r="K113" s="24">
        <v>1</v>
      </c>
      <c r="L113" s="14"/>
    </row>
    <row r="114" spans="1:12" x14ac:dyDescent="0.25">
      <c r="A114" s="16" t="s">
        <v>644</v>
      </c>
      <c r="B114" s="17" t="s">
        <v>645</v>
      </c>
      <c r="C114" s="17" t="s">
        <v>302</v>
      </c>
      <c r="D114" s="17" t="s">
        <v>499</v>
      </c>
      <c r="E114" s="18" t="s">
        <v>349</v>
      </c>
      <c r="F114" s="17" t="s">
        <v>500</v>
      </c>
      <c r="G114" s="17" t="s">
        <v>501</v>
      </c>
      <c r="H114" s="18" t="s">
        <v>500</v>
      </c>
      <c r="I114" s="18" t="s">
        <v>302</v>
      </c>
      <c r="J114" s="19" t="s">
        <v>449</v>
      </c>
      <c r="K114" s="20">
        <v>1</v>
      </c>
      <c r="L114" s="14"/>
    </row>
    <row r="115" spans="1:12" x14ac:dyDescent="0.25">
      <c r="A115" s="21" t="s">
        <v>646</v>
      </c>
      <c r="B115" s="22" t="s">
        <v>647</v>
      </c>
      <c r="C115" s="22" t="s">
        <v>15</v>
      </c>
      <c r="D115" s="22" t="s">
        <v>464</v>
      </c>
      <c r="E115" s="18" t="s">
        <v>349</v>
      </c>
      <c r="F115" s="22" t="s">
        <v>465</v>
      </c>
      <c r="G115" s="22" t="s">
        <v>15</v>
      </c>
      <c r="H115" s="18" t="s">
        <v>465</v>
      </c>
      <c r="I115" s="18" t="s">
        <v>15</v>
      </c>
      <c r="J115" s="23" t="s">
        <v>449</v>
      </c>
      <c r="K115" s="24">
        <v>1</v>
      </c>
      <c r="L115" s="14"/>
    </row>
    <row r="116" spans="1:12" x14ac:dyDescent="0.25">
      <c r="A116" s="16" t="s">
        <v>648</v>
      </c>
      <c r="B116" s="17" t="s">
        <v>649</v>
      </c>
      <c r="C116" s="17" t="s">
        <v>508</v>
      </c>
      <c r="D116" s="17" t="s">
        <v>479</v>
      </c>
      <c r="E116" s="18" t="s">
        <v>349</v>
      </c>
      <c r="F116" s="17" t="s">
        <v>480</v>
      </c>
      <c r="G116" s="17" t="s">
        <v>242</v>
      </c>
      <c r="H116" s="18" t="s">
        <v>480</v>
      </c>
      <c r="I116" s="18" t="s">
        <v>242</v>
      </c>
      <c r="J116" s="19" t="s">
        <v>477</v>
      </c>
      <c r="K116" s="20">
        <v>1</v>
      </c>
      <c r="L116" s="14"/>
    </row>
    <row r="117" spans="1:12" x14ac:dyDescent="0.25">
      <c r="A117" s="21" t="s">
        <v>650</v>
      </c>
      <c r="B117" s="22" t="s">
        <v>651</v>
      </c>
      <c r="C117" s="22" t="s">
        <v>505</v>
      </c>
      <c r="D117" s="22" t="s">
        <v>479</v>
      </c>
      <c r="E117" s="18" t="s">
        <v>349</v>
      </c>
      <c r="F117" s="22" t="s">
        <v>480</v>
      </c>
      <c r="G117" s="17" t="s">
        <v>242</v>
      </c>
      <c r="H117" s="18" t="s">
        <v>480</v>
      </c>
      <c r="I117" s="18" t="s">
        <v>242</v>
      </c>
      <c r="J117" s="19" t="s">
        <v>477</v>
      </c>
      <c r="K117" s="24">
        <v>1</v>
      </c>
      <c r="L117" s="14"/>
    </row>
    <row r="118" spans="1:12" x14ac:dyDescent="0.25">
      <c r="A118" s="16" t="s">
        <v>652</v>
      </c>
      <c r="B118" s="17" t="s">
        <v>653</v>
      </c>
      <c r="C118" s="17" t="s">
        <v>408</v>
      </c>
      <c r="D118" s="17" t="s">
        <v>355</v>
      </c>
      <c r="E118" s="18" t="s">
        <v>349</v>
      </c>
      <c r="F118" s="17" t="s">
        <v>487</v>
      </c>
      <c r="G118" s="17" t="s">
        <v>247</v>
      </c>
      <c r="H118" s="18" t="s">
        <v>487</v>
      </c>
      <c r="I118" s="18" t="s">
        <v>247</v>
      </c>
      <c r="J118" s="19" t="s">
        <v>477</v>
      </c>
      <c r="K118" s="20">
        <v>1</v>
      </c>
      <c r="L118" s="14"/>
    </row>
    <row r="119" spans="1:12" x14ac:dyDescent="0.25">
      <c r="A119" s="21" t="s">
        <v>654</v>
      </c>
      <c r="B119" s="22" t="s">
        <v>655</v>
      </c>
      <c r="C119" s="22" t="s">
        <v>299</v>
      </c>
      <c r="D119" s="22" t="s">
        <v>473</v>
      </c>
      <c r="E119" s="18" t="s">
        <v>349</v>
      </c>
      <c r="F119" s="22" t="s">
        <v>474</v>
      </c>
      <c r="G119" s="22" t="s">
        <v>299</v>
      </c>
      <c r="H119" s="18" t="s">
        <v>474</v>
      </c>
      <c r="I119" s="18" t="s">
        <v>299</v>
      </c>
      <c r="J119" s="23" t="s">
        <v>449</v>
      </c>
      <c r="K119" s="24">
        <v>1</v>
      </c>
      <c r="L119" s="14"/>
    </row>
    <row r="120" spans="1:12" x14ac:dyDescent="0.25">
      <c r="A120" s="16" t="s">
        <v>656</v>
      </c>
      <c r="B120" s="17" t="s">
        <v>657</v>
      </c>
      <c r="C120" s="17" t="s">
        <v>513</v>
      </c>
      <c r="D120" s="17" t="s">
        <v>473</v>
      </c>
      <c r="E120" s="18" t="s">
        <v>349</v>
      </c>
      <c r="F120" s="17" t="s">
        <v>474</v>
      </c>
      <c r="G120" s="17" t="s">
        <v>173</v>
      </c>
      <c r="H120" s="18" t="s">
        <v>474</v>
      </c>
      <c r="I120" s="18" t="s">
        <v>173</v>
      </c>
      <c r="J120" s="19" t="s">
        <v>477</v>
      </c>
      <c r="K120" s="20">
        <v>1</v>
      </c>
      <c r="L120" s="14"/>
    </row>
    <row r="121" spans="1:12" x14ac:dyDescent="0.25">
      <c r="A121" s="21" t="s">
        <v>658</v>
      </c>
      <c r="B121" s="22" t="s">
        <v>659</v>
      </c>
      <c r="C121" s="22" t="s">
        <v>7</v>
      </c>
      <c r="D121" s="22" t="s">
        <v>464</v>
      </c>
      <c r="E121" s="18" t="s">
        <v>349</v>
      </c>
      <c r="F121" s="22" t="s">
        <v>465</v>
      </c>
      <c r="G121" s="22" t="s">
        <v>7</v>
      </c>
      <c r="H121" s="18" t="s">
        <v>465</v>
      </c>
      <c r="I121" s="18" t="s">
        <v>7</v>
      </c>
      <c r="J121" s="23" t="s">
        <v>449</v>
      </c>
      <c r="K121" s="24">
        <v>1</v>
      </c>
      <c r="L121" s="14"/>
    </row>
    <row r="122" spans="1:12" x14ac:dyDescent="0.25">
      <c r="A122" s="16" t="s">
        <v>660</v>
      </c>
      <c r="B122" s="17" t="s">
        <v>661</v>
      </c>
      <c r="C122" s="17" t="s">
        <v>520</v>
      </c>
      <c r="D122" s="17" t="s">
        <v>377</v>
      </c>
      <c r="E122" s="18" t="s">
        <v>349</v>
      </c>
      <c r="F122" s="17" t="s">
        <v>469</v>
      </c>
      <c r="G122" s="17" t="s">
        <v>138</v>
      </c>
      <c r="H122" s="18" t="s">
        <v>469</v>
      </c>
      <c r="I122" s="18" t="s">
        <v>138</v>
      </c>
      <c r="J122" s="19" t="s">
        <v>477</v>
      </c>
      <c r="K122" s="20">
        <v>1</v>
      </c>
      <c r="L122" s="14"/>
    </row>
    <row r="123" spans="1:12" x14ac:dyDescent="0.25">
      <c r="A123" s="21" t="s">
        <v>662</v>
      </c>
      <c r="B123" s="22" t="s">
        <v>663</v>
      </c>
      <c r="C123" s="22" t="s">
        <v>309</v>
      </c>
      <c r="D123" s="22" t="s">
        <v>360</v>
      </c>
      <c r="E123" s="18" t="s">
        <v>349</v>
      </c>
      <c r="F123" s="22" t="s">
        <v>454</v>
      </c>
      <c r="G123" s="22" t="s">
        <v>309</v>
      </c>
      <c r="H123" s="18" t="s">
        <v>454</v>
      </c>
      <c r="I123" s="18" t="s">
        <v>309</v>
      </c>
      <c r="J123" s="23" t="s">
        <v>449</v>
      </c>
      <c r="K123" s="24">
        <v>1</v>
      </c>
      <c r="L123" s="14"/>
    </row>
    <row r="124" spans="1:12" x14ac:dyDescent="0.25">
      <c r="A124" s="16" t="s">
        <v>664</v>
      </c>
      <c r="B124" s="17" t="s">
        <v>665</v>
      </c>
      <c r="C124" s="17" t="s">
        <v>361</v>
      </c>
      <c r="D124" s="17" t="s">
        <v>364</v>
      </c>
      <c r="E124" s="18" t="s">
        <v>349</v>
      </c>
      <c r="F124" s="17" t="s">
        <v>448</v>
      </c>
      <c r="G124" s="17" t="s">
        <v>361</v>
      </c>
      <c r="H124" s="18" t="s">
        <v>448</v>
      </c>
      <c r="I124" s="18" t="s">
        <v>361</v>
      </c>
      <c r="J124" s="19" t="s">
        <v>449</v>
      </c>
      <c r="K124" s="20">
        <v>1</v>
      </c>
      <c r="L124" s="14"/>
    </row>
    <row r="125" spans="1:12" x14ac:dyDescent="0.25">
      <c r="A125" s="21" t="s">
        <v>666</v>
      </c>
      <c r="B125" s="22" t="s">
        <v>667</v>
      </c>
      <c r="C125" s="22" t="s">
        <v>229</v>
      </c>
      <c r="D125" s="22" t="s">
        <v>357</v>
      </c>
      <c r="E125" s="18" t="s">
        <v>349</v>
      </c>
      <c r="F125" s="22" t="s">
        <v>469</v>
      </c>
      <c r="G125" s="22" t="s">
        <v>157</v>
      </c>
      <c r="H125" s="18" t="s">
        <v>469</v>
      </c>
      <c r="I125" s="18" t="s">
        <v>157</v>
      </c>
      <c r="J125" s="23" t="s">
        <v>477</v>
      </c>
      <c r="K125" s="24">
        <v>1</v>
      </c>
      <c r="L125" s="14"/>
    </row>
    <row r="126" spans="1:12" x14ac:dyDescent="0.25">
      <c r="A126" s="16" t="s">
        <v>668</v>
      </c>
      <c r="B126" s="17" t="s">
        <v>669</v>
      </c>
      <c r="C126" s="17" t="s">
        <v>212</v>
      </c>
      <c r="D126" s="17" t="s">
        <v>355</v>
      </c>
      <c r="E126" s="18" t="s">
        <v>349</v>
      </c>
      <c r="F126" s="17" t="s">
        <v>487</v>
      </c>
      <c r="G126" s="17" t="s">
        <v>212</v>
      </c>
      <c r="H126" s="18" t="s">
        <v>487</v>
      </c>
      <c r="I126" s="18" t="s">
        <v>212</v>
      </c>
      <c r="J126" s="19" t="s">
        <v>449</v>
      </c>
      <c r="K126" s="20">
        <v>1</v>
      </c>
      <c r="L126" s="14"/>
    </row>
    <row r="127" spans="1:12" x14ac:dyDescent="0.25">
      <c r="A127" s="21" t="s">
        <v>670</v>
      </c>
      <c r="B127" s="22" t="s">
        <v>671</v>
      </c>
      <c r="C127" s="22" t="s">
        <v>13</v>
      </c>
      <c r="D127" s="22" t="s">
        <v>464</v>
      </c>
      <c r="E127" s="18" t="s">
        <v>349</v>
      </c>
      <c r="F127" s="22" t="s">
        <v>465</v>
      </c>
      <c r="G127" s="22" t="s">
        <v>13</v>
      </c>
      <c r="H127" s="18" t="s">
        <v>465</v>
      </c>
      <c r="I127" s="18" t="s">
        <v>13</v>
      </c>
      <c r="J127" s="23" t="s">
        <v>449</v>
      </c>
      <c r="K127" s="24">
        <v>1</v>
      </c>
      <c r="L127" s="14"/>
    </row>
    <row r="128" spans="1:12" x14ac:dyDescent="0.25">
      <c r="A128" s="16" t="s">
        <v>672</v>
      </c>
      <c r="B128" s="17" t="s">
        <v>673</v>
      </c>
      <c r="C128" s="17" t="s">
        <v>411</v>
      </c>
      <c r="D128" s="17" t="s">
        <v>494</v>
      </c>
      <c r="E128" s="18" t="s">
        <v>349</v>
      </c>
      <c r="F128" s="17" t="s">
        <v>480</v>
      </c>
      <c r="G128" s="17" t="s">
        <v>411</v>
      </c>
      <c r="H128" s="18" t="s">
        <v>480</v>
      </c>
      <c r="I128" s="18" t="s">
        <v>411</v>
      </c>
      <c r="J128" s="19" t="s">
        <v>449</v>
      </c>
      <c r="K128" s="20">
        <v>1</v>
      </c>
      <c r="L128" s="14"/>
    </row>
    <row r="129" spans="1:12" x14ac:dyDescent="0.25">
      <c r="A129" s="21" t="s">
        <v>674</v>
      </c>
      <c r="B129" s="22" t="s">
        <v>675</v>
      </c>
      <c r="C129" s="22" t="s">
        <v>242</v>
      </c>
      <c r="D129" s="22" t="s">
        <v>479</v>
      </c>
      <c r="E129" s="18" t="s">
        <v>349</v>
      </c>
      <c r="F129" s="22" t="s">
        <v>480</v>
      </c>
      <c r="G129" s="22" t="s">
        <v>242</v>
      </c>
      <c r="H129" s="18" t="s">
        <v>480</v>
      </c>
      <c r="I129" s="18" t="s">
        <v>242</v>
      </c>
      <c r="J129" s="23" t="s">
        <v>449</v>
      </c>
      <c r="K129" s="24">
        <v>1</v>
      </c>
      <c r="L129" s="14"/>
    </row>
    <row r="130" spans="1:12" x14ac:dyDescent="0.25">
      <c r="A130" s="16" t="s">
        <v>676</v>
      </c>
      <c r="B130" s="17" t="s">
        <v>677</v>
      </c>
      <c r="C130" s="17" t="s">
        <v>157</v>
      </c>
      <c r="D130" s="17" t="s">
        <v>357</v>
      </c>
      <c r="E130" s="18" t="s">
        <v>349</v>
      </c>
      <c r="F130" s="17" t="s">
        <v>469</v>
      </c>
      <c r="G130" s="17" t="s">
        <v>157</v>
      </c>
      <c r="H130" s="18" t="s">
        <v>469</v>
      </c>
      <c r="I130" s="18" t="s">
        <v>157</v>
      </c>
      <c r="J130" s="19" t="s">
        <v>449</v>
      </c>
      <c r="K130" s="20">
        <v>1</v>
      </c>
      <c r="L130" s="14"/>
    </row>
    <row r="131" spans="1:12" x14ac:dyDescent="0.25">
      <c r="A131" s="21" t="s">
        <v>678</v>
      </c>
      <c r="B131" s="22" t="s">
        <v>679</v>
      </c>
      <c r="C131" s="22" t="s">
        <v>157</v>
      </c>
      <c r="D131" s="22" t="s">
        <v>357</v>
      </c>
      <c r="E131" s="18" t="s">
        <v>349</v>
      </c>
      <c r="F131" s="22" t="s">
        <v>469</v>
      </c>
      <c r="G131" s="22" t="s">
        <v>157</v>
      </c>
      <c r="H131" s="18" t="s">
        <v>469</v>
      </c>
      <c r="I131" s="18" t="s">
        <v>157</v>
      </c>
      <c r="J131" s="23" t="s">
        <v>449</v>
      </c>
      <c r="K131" s="24">
        <v>1</v>
      </c>
      <c r="L131" s="14"/>
    </row>
    <row r="132" spans="1:12" x14ac:dyDescent="0.25">
      <c r="A132" s="16" t="s">
        <v>680</v>
      </c>
      <c r="B132" s="17" t="s">
        <v>681</v>
      </c>
      <c r="C132" s="17" t="s">
        <v>329</v>
      </c>
      <c r="D132" s="17" t="s">
        <v>360</v>
      </c>
      <c r="E132" s="18" t="s">
        <v>349</v>
      </c>
      <c r="F132" s="17" t="s">
        <v>454</v>
      </c>
      <c r="G132" s="17" t="s">
        <v>329</v>
      </c>
      <c r="H132" s="18" t="s">
        <v>454</v>
      </c>
      <c r="I132" s="18" t="s">
        <v>329</v>
      </c>
      <c r="J132" s="19" t="s">
        <v>449</v>
      </c>
      <c r="K132" s="20">
        <v>1</v>
      </c>
      <c r="L132" s="14"/>
    </row>
    <row r="133" spans="1:12" x14ac:dyDescent="0.25">
      <c r="A133" s="21" t="s">
        <v>682</v>
      </c>
      <c r="B133" s="22" t="s">
        <v>683</v>
      </c>
      <c r="C133" s="22" t="s">
        <v>5</v>
      </c>
      <c r="D133" s="22" t="s">
        <v>464</v>
      </c>
      <c r="E133" s="18" t="s">
        <v>349</v>
      </c>
      <c r="F133" s="22" t="s">
        <v>465</v>
      </c>
      <c r="G133" s="22" t="s">
        <v>5</v>
      </c>
      <c r="H133" s="18" t="s">
        <v>465</v>
      </c>
      <c r="I133" s="18" t="s">
        <v>5</v>
      </c>
      <c r="J133" s="23" t="s">
        <v>449</v>
      </c>
      <c r="K133" s="24">
        <v>1</v>
      </c>
      <c r="L133" s="14"/>
    </row>
    <row r="134" spans="1:12" x14ac:dyDescent="0.25">
      <c r="A134" s="16" t="s">
        <v>684</v>
      </c>
      <c r="B134" s="17" t="s">
        <v>685</v>
      </c>
      <c r="C134" s="17" t="s">
        <v>393</v>
      </c>
      <c r="D134" s="17" t="s">
        <v>350</v>
      </c>
      <c r="E134" s="18" t="s">
        <v>349</v>
      </c>
      <c r="F134" s="17" t="s">
        <v>448</v>
      </c>
      <c r="G134" s="17" t="s">
        <v>393</v>
      </c>
      <c r="H134" s="18" t="s">
        <v>448</v>
      </c>
      <c r="I134" s="18" t="s">
        <v>393</v>
      </c>
      <c r="J134" s="19" t="s">
        <v>449</v>
      </c>
      <c r="K134" s="20">
        <v>1</v>
      </c>
      <c r="L134" s="14"/>
    </row>
    <row r="135" spans="1:12" x14ac:dyDescent="0.25">
      <c r="A135" s="21" t="s">
        <v>686</v>
      </c>
      <c r="B135" s="22" t="s">
        <v>687</v>
      </c>
      <c r="C135" s="22" t="s">
        <v>158</v>
      </c>
      <c r="D135" s="22" t="s">
        <v>473</v>
      </c>
      <c r="E135" s="18" t="s">
        <v>349</v>
      </c>
      <c r="F135" s="22" t="s">
        <v>474</v>
      </c>
      <c r="G135" s="22" t="s">
        <v>158</v>
      </c>
      <c r="H135" s="18" t="s">
        <v>474</v>
      </c>
      <c r="I135" s="18" t="s">
        <v>158</v>
      </c>
      <c r="J135" s="23" t="s">
        <v>449</v>
      </c>
      <c r="K135" s="24">
        <v>1</v>
      </c>
      <c r="L135" s="14"/>
    </row>
    <row r="136" spans="1:12" x14ac:dyDescent="0.25">
      <c r="A136" s="16" t="s">
        <v>688</v>
      </c>
      <c r="B136" s="17" t="s">
        <v>689</v>
      </c>
      <c r="C136" s="17" t="s">
        <v>517</v>
      </c>
      <c r="D136" s="17" t="s">
        <v>377</v>
      </c>
      <c r="E136" s="18" t="s">
        <v>349</v>
      </c>
      <c r="F136" s="17" t="s">
        <v>469</v>
      </c>
      <c r="G136" s="17" t="s">
        <v>468</v>
      </c>
      <c r="H136" s="18" t="s">
        <v>469</v>
      </c>
      <c r="I136" s="18" t="s">
        <v>468</v>
      </c>
      <c r="J136" s="19" t="s">
        <v>477</v>
      </c>
      <c r="K136" s="20">
        <v>1</v>
      </c>
      <c r="L136" s="14"/>
    </row>
    <row r="137" spans="1:12" x14ac:dyDescent="0.25">
      <c r="A137" s="21" t="s">
        <v>690</v>
      </c>
      <c r="B137" s="22" t="s">
        <v>691</v>
      </c>
      <c r="C137" s="22" t="s">
        <v>339</v>
      </c>
      <c r="D137" s="22" t="s">
        <v>350</v>
      </c>
      <c r="E137" s="18" t="s">
        <v>349</v>
      </c>
      <c r="F137" s="22" t="s">
        <v>448</v>
      </c>
      <c r="G137" s="22" t="s">
        <v>339</v>
      </c>
      <c r="H137" s="18" t="s">
        <v>448</v>
      </c>
      <c r="I137" s="18" t="s">
        <v>280</v>
      </c>
      <c r="J137" s="23" t="s">
        <v>449</v>
      </c>
      <c r="K137" s="24">
        <v>1</v>
      </c>
      <c r="L137" s="14"/>
    </row>
    <row r="138" spans="1:12" x14ac:dyDescent="0.25">
      <c r="A138" s="16" t="s">
        <v>692</v>
      </c>
      <c r="B138" s="17" t="s">
        <v>693</v>
      </c>
      <c r="C138" s="17" t="s">
        <v>493</v>
      </c>
      <c r="D138" s="17" t="s">
        <v>494</v>
      </c>
      <c r="E138" s="18" t="s">
        <v>349</v>
      </c>
      <c r="F138" s="17" t="s">
        <v>480</v>
      </c>
      <c r="G138" s="17" t="s">
        <v>237</v>
      </c>
      <c r="H138" s="18" t="s">
        <v>480</v>
      </c>
      <c r="I138" s="18" t="s">
        <v>237</v>
      </c>
      <c r="J138" s="19" t="s">
        <v>449</v>
      </c>
      <c r="K138" s="20">
        <v>1</v>
      </c>
      <c r="L138" s="14"/>
    </row>
    <row r="139" spans="1:12" x14ac:dyDescent="0.25">
      <c r="A139" s="21" t="s">
        <v>694</v>
      </c>
      <c r="B139" s="22" t="s">
        <v>695</v>
      </c>
      <c r="C139" s="22" t="s">
        <v>556</v>
      </c>
      <c r="D139" s="22" t="s">
        <v>499</v>
      </c>
      <c r="E139" s="18" t="s">
        <v>349</v>
      </c>
      <c r="F139" s="22" t="s">
        <v>500</v>
      </c>
      <c r="G139" s="22" t="s">
        <v>556</v>
      </c>
      <c r="H139" s="18" t="s">
        <v>500</v>
      </c>
      <c r="I139" s="18" t="s">
        <v>556</v>
      </c>
      <c r="J139" s="23" t="s">
        <v>449</v>
      </c>
      <c r="K139" s="24">
        <v>1</v>
      </c>
      <c r="L139" s="14"/>
    </row>
    <row r="140" spans="1:12" x14ac:dyDescent="0.25">
      <c r="A140" s="16" t="s">
        <v>696</v>
      </c>
      <c r="B140" s="17" t="s">
        <v>697</v>
      </c>
      <c r="C140" s="17" t="s">
        <v>7</v>
      </c>
      <c r="D140" s="17" t="s">
        <v>464</v>
      </c>
      <c r="E140" s="18" t="s">
        <v>349</v>
      </c>
      <c r="F140" s="17" t="s">
        <v>465</v>
      </c>
      <c r="G140" s="17" t="s">
        <v>7</v>
      </c>
      <c r="H140" s="18" t="s">
        <v>465</v>
      </c>
      <c r="I140" s="18" t="s">
        <v>7</v>
      </c>
      <c r="J140" s="19" t="s">
        <v>449</v>
      </c>
      <c r="K140" s="20">
        <v>1</v>
      </c>
      <c r="L140" s="14"/>
    </row>
    <row r="141" spans="1:12" x14ac:dyDescent="0.25">
      <c r="A141" s="21" t="s">
        <v>698</v>
      </c>
      <c r="B141" s="22" t="s">
        <v>699</v>
      </c>
      <c r="C141" s="22" t="s">
        <v>220</v>
      </c>
      <c r="D141" s="22" t="s">
        <v>353</v>
      </c>
      <c r="E141" s="18" t="s">
        <v>349</v>
      </c>
      <c r="F141" s="22" t="s">
        <v>487</v>
      </c>
      <c r="G141" s="22" t="s">
        <v>220</v>
      </c>
      <c r="H141" s="18" t="s">
        <v>487</v>
      </c>
      <c r="I141" s="18" t="s">
        <v>220</v>
      </c>
      <c r="J141" s="23" t="s">
        <v>449</v>
      </c>
      <c r="K141" s="24">
        <v>1</v>
      </c>
      <c r="L141" s="14"/>
    </row>
    <row r="142" spans="1:12" x14ac:dyDescent="0.25">
      <c r="A142" s="16" t="s">
        <v>700</v>
      </c>
      <c r="B142" s="17" t="s">
        <v>701</v>
      </c>
      <c r="C142" s="17" t="s">
        <v>486</v>
      </c>
      <c r="D142" s="17" t="s">
        <v>353</v>
      </c>
      <c r="E142" s="18" t="s">
        <v>349</v>
      </c>
      <c r="F142" s="17" t="s">
        <v>487</v>
      </c>
      <c r="G142" s="17" t="s">
        <v>177</v>
      </c>
      <c r="H142" s="18" t="s">
        <v>487</v>
      </c>
      <c r="I142" s="18" t="s">
        <v>177</v>
      </c>
      <c r="J142" s="19" t="s">
        <v>449</v>
      </c>
      <c r="K142" s="20">
        <v>1</v>
      </c>
      <c r="L142" s="14"/>
    </row>
    <row r="143" spans="1:12" x14ac:dyDescent="0.25">
      <c r="A143" s="21" t="s">
        <v>702</v>
      </c>
      <c r="B143" s="22" t="s">
        <v>703</v>
      </c>
      <c r="C143" s="22" t="s">
        <v>525</v>
      </c>
      <c r="D143" s="22" t="s">
        <v>453</v>
      </c>
      <c r="E143" s="18" t="s">
        <v>349</v>
      </c>
      <c r="F143" s="22" t="s">
        <v>454</v>
      </c>
      <c r="G143" s="22" t="s">
        <v>526</v>
      </c>
      <c r="H143" s="18" t="s">
        <v>454</v>
      </c>
      <c r="I143" s="18" t="s">
        <v>455</v>
      </c>
      <c r="J143" s="23" t="s">
        <v>449</v>
      </c>
      <c r="K143" s="24">
        <v>1</v>
      </c>
      <c r="L143" s="14"/>
    </row>
    <row r="144" spans="1:12" x14ac:dyDescent="0.25">
      <c r="A144" s="16" t="s">
        <v>704</v>
      </c>
      <c r="B144" s="17" t="s">
        <v>705</v>
      </c>
      <c r="C144" s="17" t="s">
        <v>493</v>
      </c>
      <c r="D144" s="17" t="s">
        <v>494</v>
      </c>
      <c r="E144" s="18" t="s">
        <v>349</v>
      </c>
      <c r="F144" s="17" t="s">
        <v>480</v>
      </c>
      <c r="G144" s="17" t="s">
        <v>237</v>
      </c>
      <c r="H144" s="18" t="s">
        <v>480</v>
      </c>
      <c r="I144" s="18" t="s">
        <v>237</v>
      </c>
      <c r="J144" s="19" t="s">
        <v>449</v>
      </c>
      <c r="K144" s="20">
        <v>1</v>
      </c>
      <c r="L144" s="14"/>
    </row>
    <row r="145" spans="1:12" x14ac:dyDescent="0.25">
      <c r="A145" s="21" t="s">
        <v>706</v>
      </c>
      <c r="B145" s="22" t="s">
        <v>707</v>
      </c>
      <c r="C145" s="22" t="s">
        <v>513</v>
      </c>
      <c r="D145" s="22" t="s">
        <v>473</v>
      </c>
      <c r="E145" s="18" t="s">
        <v>349</v>
      </c>
      <c r="F145" s="22" t="s">
        <v>474</v>
      </c>
      <c r="G145" s="22" t="s">
        <v>173</v>
      </c>
      <c r="H145" s="18" t="s">
        <v>474</v>
      </c>
      <c r="I145" s="18" t="s">
        <v>173</v>
      </c>
      <c r="J145" s="23" t="s">
        <v>477</v>
      </c>
      <c r="K145" s="24">
        <v>1</v>
      </c>
      <c r="L145" s="14"/>
    </row>
    <row r="146" spans="1:12" x14ac:dyDescent="0.25">
      <c r="A146" s="16" t="s">
        <v>708</v>
      </c>
      <c r="B146" s="17" t="s">
        <v>709</v>
      </c>
      <c r="C146" s="17" t="s">
        <v>267</v>
      </c>
      <c r="D146" s="17" t="s">
        <v>364</v>
      </c>
      <c r="E146" s="18" t="s">
        <v>349</v>
      </c>
      <c r="F146" s="17" t="s">
        <v>448</v>
      </c>
      <c r="G146" s="17" t="s">
        <v>256</v>
      </c>
      <c r="H146" s="18" t="s">
        <v>448</v>
      </c>
      <c r="I146" s="18" t="s">
        <v>256</v>
      </c>
      <c r="J146" s="19" t="s">
        <v>570</v>
      </c>
      <c r="K146" s="20">
        <v>1</v>
      </c>
      <c r="L146" s="14"/>
    </row>
    <row r="147" spans="1:12" x14ac:dyDescent="0.25">
      <c r="A147" s="21" t="s">
        <v>710</v>
      </c>
      <c r="B147" s="22" t="s">
        <v>711</v>
      </c>
      <c r="C147" s="22" t="s">
        <v>572</v>
      </c>
      <c r="D147" s="22" t="s">
        <v>350</v>
      </c>
      <c r="E147" s="18" t="s">
        <v>349</v>
      </c>
      <c r="F147" s="22" t="s">
        <v>448</v>
      </c>
      <c r="G147" s="22" t="s">
        <v>280</v>
      </c>
      <c r="H147" s="18" t="s">
        <v>448</v>
      </c>
      <c r="I147" s="18" t="s">
        <v>280</v>
      </c>
      <c r="J147" s="23" t="s">
        <v>573</v>
      </c>
      <c r="K147" s="24">
        <v>1</v>
      </c>
      <c r="L147" s="14"/>
    </row>
    <row r="148" spans="1:12" x14ac:dyDescent="0.25">
      <c r="A148" s="16" t="s">
        <v>712</v>
      </c>
      <c r="B148" s="17" t="s">
        <v>713</v>
      </c>
      <c r="C148" s="17" t="s">
        <v>118</v>
      </c>
      <c r="D148" s="17" t="s">
        <v>575</v>
      </c>
      <c r="E148" s="18" t="s">
        <v>349</v>
      </c>
      <c r="F148" s="17" t="s">
        <v>576</v>
      </c>
      <c r="G148" s="17" t="s">
        <v>118</v>
      </c>
      <c r="H148" s="18" t="s">
        <v>576</v>
      </c>
      <c r="I148" s="18" t="s">
        <v>118</v>
      </c>
      <c r="J148" s="19" t="s">
        <v>449</v>
      </c>
      <c r="K148" s="20">
        <v>1</v>
      </c>
      <c r="L148" s="14"/>
    </row>
    <row r="149" spans="1:12" x14ac:dyDescent="0.25">
      <c r="A149" s="21" t="s">
        <v>714</v>
      </c>
      <c r="B149" s="22" t="s">
        <v>715</v>
      </c>
      <c r="C149" s="22" t="s">
        <v>390</v>
      </c>
      <c r="D149" s="22" t="s">
        <v>499</v>
      </c>
      <c r="E149" s="18" t="s">
        <v>349</v>
      </c>
      <c r="F149" s="22" t="s">
        <v>500</v>
      </c>
      <c r="G149" s="22" t="s">
        <v>390</v>
      </c>
      <c r="H149" s="18" t="s">
        <v>500</v>
      </c>
      <c r="I149" s="18" t="s">
        <v>390</v>
      </c>
      <c r="J149" s="23" t="s">
        <v>449</v>
      </c>
      <c r="K149" s="24">
        <v>1</v>
      </c>
      <c r="L149" s="14"/>
    </row>
    <row r="150" spans="1:12" x14ac:dyDescent="0.25">
      <c r="A150" s="16" t="s">
        <v>716</v>
      </c>
      <c r="B150" s="17" t="s">
        <v>717</v>
      </c>
      <c r="C150" s="17" t="s">
        <v>399</v>
      </c>
      <c r="D150" s="17" t="s">
        <v>360</v>
      </c>
      <c r="E150" s="18" t="s">
        <v>349</v>
      </c>
      <c r="F150" s="17" t="s">
        <v>454</v>
      </c>
      <c r="G150" s="17" t="s">
        <v>399</v>
      </c>
      <c r="H150" s="18" t="s">
        <v>454</v>
      </c>
      <c r="I150" s="18" t="s">
        <v>399</v>
      </c>
      <c r="J150" s="19" t="s">
        <v>449</v>
      </c>
      <c r="K150" s="20">
        <v>1</v>
      </c>
      <c r="L150" s="14"/>
    </row>
    <row r="151" spans="1:12" x14ac:dyDescent="0.25">
      <c r="A151" s="21" t="s">
        <v>718</v>
      </c>
      <c r="B151" s="22" t="s">
        <v>719</v>
      </c>
      <c r="C151" s="22" t="s">
        <v>214</v>
      </c>
      <c r="D151" s="22" t="s">
        <v>355</v>
      </c>
      <c r="E151" s="18" t="s">
        <v>349</v>
      </c>
      <c r="F151" s="22" t="s">
        <v>487</v>
      </c>
      <c r="G151" s="22" t="s">
        <v>212</v>
      </c>
      <c r="H151" s="18" t="s">
        <v>487</v>
      </c>
      <c r="I151" s="18" t="s">
        <v>212</v>
      </c>
      <c r="J151" s="23" t="s">
        <v>477</v>
      </c>
      <c r="K151" s="24">
        <v>1</v>
      </c>
      <c r="L151" s="14"/>
    </row>
    <row r="152" spans="1:12" x14ac:dyDescent="0.25">
      <c r="A152" s="16" t="s">
        <v>720</v>
      </c>
      <c r="B152" s="17" t="s">
        <v>721</v>
      </c>
      <c r="C152" s="17" t="s">
        <v>361</v>
      </c>
      <c r="D152" s="17" t="s">
        <v>364</v>
      </c>
      <c r="E152" s="18" t="s">
        <v>349</v>
      </c>
      <c r="F152" s="17" t="s">
        <v>448</v>
      </c>
      <c r="G152" s="17" t="s">
        <v>361</v>
      </c>
      <c r="H152" s="18" t="s">
        <v>448</v>
      </c>
      <c r="I152" s="18" t="s">
        <v>361</v>
      </c>
      <c r="J152" s="19" t="s">
        <v>449</v>
      </c>
      <c r="K152" s="20">
        <v>1</v>
      </c>
      <c r="L152" s="14"/>
    </row>
    <row r="153" spans="1:12" x14ac:dyDescent="0.25">
      <c r="A153" s="21" t="s">
        <v>722</v>
      </c>
      <c r="B153" s="22" t="s">
        <v>723</v>
      </c>
      <c r="C153" s="22" t="s">
        <v>0</v>
      </c>
      <c r="D153" s="22" t="s">
        <v>464</v>
      </c>
      <c r="E153" s="18" t="s">
        <v>349</v>
      </c>
      <c r="F153" s="22" t="s">
        <v>465</v>
      </c>
      <c r="G153" s="22" t="s">
        <v>0</v>
      </c>
      <c r="H153" s="18" t="s">
        <v>465</v>
      </c>
      <c r="I153" s="18" t="s">
        <v>0</v>
      </c>
      <c r="J153" s="23" t="s">
        <v>449</v>
      </c>
      <c r="K153" s="24">
        <v>1</v>
      </c>
      <c r="L153" s="14"/>
    </row>
    <row r="154" spans="1:12" x14ac:dyDescent="0.25">
      <c r="A154" s="16" t="s">
        <v>724</v>
      </c>
      <c r="B154" s="17" t="s">
        <v>725</v>
      </c>
      <c r="C154" s="17" t="s">
        <v>493</v>
      </c>
      <c r="D154" s="17" t="s">
        <v>494</v>
      </c>
      <c r="E154" s="18" t="s">
        <v>349</v>
      </c>
      <c r="F154" s="17" t="s">
        <v>480</v>
      </c>
      <c r="G154" s="17" t="s">
        <v>237</v>
      </c>
      <c r="H154" s="18" t="s">
        <v>480</v>
      </c>
      <c r="I154" s="18" t="s">
        <v>237</v>
      </c>
      <c r="J154" s="19" t="s">
        <v>449</v>
      </c>
      <c r="K154" s="20">
        <v>1</v>
      </c>
      <c r="L154" s="14"/>
    </row>
    <row r="155" spans="1:12" x14ac:dyDescent="0.25">
      <c r="A155" s="21" t="s">
        <v>726</v>
      </c>
      <c r="B155" s="22" t="s">
        <v>727</v>
      </c>
      <c r="C155" s="22" t="s">
        <v>452</v>
      </c>
      <c r="D155" s="22" t="s">
        <v>453</v>
      </c>
      <c r="E155" s="18" t="s">
        <v>349</v>
      </c>
      <c r="F155" s="22" t="s">
        <v>454</v>
      </c>
      <c r="G155" s="22" t="s">
        <v>455</v>
      </c>
      <c r="H155" s="18" t="s">
        <v>454</v>
      </c>
      <c r="I155" s="18" t="s">
        <v>455</v>
      </c>
      <c r="J155" s="23" t="s">
        <v>449</v>
      </c>
      <c r="K155" s="24">
        <v>1</v>
      </c>
      <c r="L155" s="14"/>
    </row>
    <row r="156" spans="1:12" x14ac:dyDescent="0.25">
      <c r="A156" s="16" t="s">
        <v>728</v>
      </c>
      <c r="B156" s="17" t="s">
        <v>729</v>
      </c>
      <c r="C156" s="17" t="s">
        <v>343</v>
      </c>
      <c r="D156" s="17" t="s">
        <v>350</v>
      </c>
      <c r="E156" s="18" t="s">
        <v>349</v>
      </c>
      <c r="F156" s="17" t="s">
        <v>448</v>
      </c>
      <c r="G156" s="17" t="s">
        <v>343</v>
      </c>
      <c r="H156" s="18" t="s">
        <v>448</v>
      </c>
      <c r="I156" s="18" t="s">
        <v>343</v>
      </c>
      <c r="J156" s="19" t="s">
        <v>449</v>
      </c>
      <c r="K156" s="20">
        <v>1</v>
      </c>
      <c r="L156" s="14"/>
    </row>
    <row r="157" spans="1:12" x14ac:dyDescent="0.25">
      <c r="A157" s="21" t="s">
        <v>730</v>
      </c>
      <c r="B157" s="22" t="s">
        <v>731</v>
      </c>
      <c r="C157" s="22" t="s">
        <v>594</v>
      </c>
      <c r="D157" s="22" t="s">
        <v>499</v>
      </c>
      <c r="E157" s="18" t="s">
        <v>349</v>
      </c>
      <c r="F157" s="22" t="s">
        <v>500</v>
      </c>
      <c r="G157" s="22" t="s">
        <v>390</v>
      </c>
      <c r="H157" s="18" t="s">
        <v>500</v>
      </c>
      <c r="I157" s="18" t="s">
        <v>390</v>
      </c>
      <c r="J157" s="23" t="s">
        <v>477</v>
      </c>
      <c r="K157" s="24">
        <v>1</v>
      </c>
      <c r="L157" s="14"/>
    </row>
    <row r="158" spans="1:12" x14ac:dyDescent="0.25">
      <c r="A158" s="16" t="s">
        <v>732</v>
      </c>
      <c r="B158" s="17" t="s">
        <v>733</v>
      </c>
      <c r="C158" s="17" t="s">
        <v>269</v>
      </c>
      <c r="D158" s="17" t="s">
        <v>575</v>
      </c>
      <c r="E158" s="18" t="s">
        <v>349</v>
      </c>
      <c r="F158" s="17" t="s">
        <v>576</v>
      </c>
      <c r="G158" s="17" t="s">
        <v>269</v>
      </c>
      <c r="H158" s="18" t="s">
        <v>576</v>
      </c>
      <c r="I158" s="18" t="s">
        <v>269</v>
      </c>
      <c r="J158" s="19" t="s">
        <v>449</v>
      </c>
      <c r="K158" s="20">
        <v>1</v>
      </c>
      <c r="L158" s="14"/>
    </row>
    <row r="159" spans="1:12" x14ac:dyDescent="0.25">
      <c r="A159" s="21" t="s">
        <v>734</v>
      </c>
      <c r="B159" s="22" t="s">
        <v>735</v>
      </c>
      <c r="C159" s="22" t="s">
        <v>295</v>
      </c>
      <c r="D159" s="22" t="s">
        <v>494</v>
      </c>
      <c r="E159" s="18" t="s">
        <v>349</v>
      </c>
      <c r="F159" s="22" t="s">
        <v>480</v>
      </c>
      <c r="G159" s="22" t="s">
        <v>295</v>
      </c>
      <c r="H159" s="18" t="s">
        <v>480</v>
      </c>
      <c r="I159" s="18" t="s">
        <v>237</v>
      </c>
      <c r="J159" s="23" t="s">
        <v>449</v>
      </c>
      <c r="K159" s="24">
        <v>1</v>
      </c>
      <c r="L159" s="14"/>
    </row>
    <row r="160" spans="1:12" x14ac:dyDescent="0.25">
      <c r="A160" s="16" t="s">
        <v>736</v>
      </c>
      <c r="B160" s="17" t="s">
        <v>737</v>
      </c>
      <c r="C160" s="17" t="s">
        <v>118</v>
      </c>
      <c r="D160" s="17" t="s">
        <v>575</v>
      </c>
      <c r="E160" s="18" t="s">
        <v>349</v>
      </c>
      <c r="F160" s="17" t="s">
        <v>576</v>
      </c>
      <c r="G160" s="17" t="s">
        <v>118</v>
      </c>
      <c r="H160" s="18" t="s">
        <v>576</v>
      </c>
      <c r="I160" s="18" t="s">
        <v>118</v>
      </c>
      <c r="J160" s="19" t="s">
        <v>449</v>
      </c>
      <c r="K160" s="20">
        <v>1</v>
      </c>
      <c r="L160" s="14"/>
    </row>
    <row r="161" spans="1:12" x14ac:dyDescent="0.25">
      <c r="A161" s="21" t="s">
        <v>738</v>
      </c>
      <c r="B161" s="22" t="s">
        <v>739</v>
      </c>
      <c r="C161" s="22" t="s">
        <v>739</v>
      </c>
      <c r="D161" s="22" t="s">
        <v>499</v>
      </c>
      <c r="E161" s="18" t="s">
        <v>349</v>
      </c>
      <c r="F161" s="22" t="s">
        <v>500</v>
      </c>
      <c r="G161" s="22" t="s">
        <v>582</v>
      </c>
      <c r="H161" s="18" t="s">
        <v>500</v>
      </c>
      <c r="I161" s="18" t="s">
        <v>302</v>
      </c>
      <c r="J161" s="23" t="s">
        <v>449</v>
      </c>
      <c r="K161" s="24">
        <v>1</v>
      </c>
      <c r="L161" s="14"/>
    </row>
    <row r="162" spans="1:12" x14ac:dyDescent="0.25">
      <c r="A162" s="16" t="s">
        <v>740</v>
      </c>
      <c r="B162" s="17" t="s">
        <v>250</v>
      </c>
      <c r="C162" s="17" t="s">
        <v>250</v>
      </c>
      <c r="D162" s="17" t="s">
        <v>575</v>
      </c>
      <c r="E162" s="18" t="s">
        <v>349</v>
      </c>
      <c r="F162" s="17" t="s">
        <v>576</v>
      </c>
      <c r="G162" s="17" t="s">
        <v>250</v>
      </c>
      <c r="H162" s="18" t="s">
        <v>576</v>
      </c>
      <c r="I162" s="18" t="s">
        <v>250</v>
      </c>
      <c r="J162" s="19" t="s">
        <v>449</v>
      </c>
      <c r="K162" s="20">
        <v>1</v>
      </c>
      <c r="L162" s="14"/>
    </row>
    <row r="163" spans="1:12" x14ac:dyDescent="0.25">
      <c r="A163" s="21" t="s">
        <v>741</v>
      </c>
      <c r="B163" s="22" t="s">
        <v>742</v>
      </c>
      <c r="C163" s="22" t="s">
        <v>743</v>
      </c>
      <c r="D163" s="22" t="s">
        <v>499</v>
      </c>
      <c r="E163" s="18" t="s">
        <v>349</v>
      </c>
      <c r="F163" s="22" t="s">
        <v>500</v>
      </c>
      <c r="G163" s="22" t="s">
        <v>396</v>
      </c>
      <c r="H163" s="18" t="s">
        <v>500</v>
      </c>
      <c r="I163" s="18" t="s">
        <v>396</v>
      </c>
      <c r="J163" s="23" t="s">
        <v>449</v>
      </c>
      <c r="K163" s="24">
        <v>1</v>
      </c>
      <c r="L163" s="14"/>
    </row>
    <row r="164" spans="1:12" x14ac:dyDescent="0.25">
      <c r="A164" s="16" t="s">
        <v>744</v>
      </c>
      <c r="B164" s="17" t="s">
        <v>745</v>
      </c>
      <c r="C164" s="17" t="s">
        <v>336</v>
      </c>
      <c r="D164" s="17" t="s">
        <v>575</v>
      </c>
      <c r="E164" s="18" t="s">
        <v>349</v>
      </c>
      <c r="F164" s="17" t="s">
        <v>576</v>
      </c>
      <c r="G164" s="17" t="s">
        <v>336</v>
      </c>
      <c r="H164" s="18" t="s">
        <v>454</v>
      </c>
      <c r="I164" s="18" t="s">
        <v>336</v>
      </c>
      <c r="J164" s="19" t="s">
        <v>449</v>
      </c>
      <c r="K164" s="20">
        <v>1</v>
      </c>
      <c r="L164" s="14"/>
    </row>
    <row r="165" spans="1:12" x14ac:dyDescent="0.25">
      <c r="A165" s="21" t="s">
        <v>744</v>
      </c>
      <c r="B165" s="22" t="s">
        <v>336</v>
      </c>
      <c r="C165" s="22" t="s">
        <v>336</v>
      </c>
      <c r="D165" s="22" t="s">
        <v>575</v>
      </c>
      <c r="E165" s="18" t="s">
        <v>349</v>
      </c>
      <c r="F165" s="22" t="s">
        <v>576</v>
      </c>
      <c r="G165" s="22" t="s">
        <v>336</v>
      </c>
      <c r="H165" s="18" t="s">
        <v>454</v>
      </c>
      <c r="I165" s="18" t="s">
        <v>336</v>
      </c>
      <c r="J165" s="23" t="s">
        <v>449</v>
      </c>
      <c r="K165" s="24">
        <v>1</v>
      </c>
      <c r="L165" s="14"/>
    </row>
    <row r="166" spans="1:12" x14ac:dyDescent="0.25">
      <c r="A166" s="16" t="s">
        <v>14</v>
      </c>
      <c r="B166" s="17" t="s">
        <v>371</v>
      </c>
      <c r="C166" s="17" t="s">
        <v>371</v>
      </c>
      <c r="D166" s="17" t="s">
        <v>168</v>
      </c>
      <c r="E166" s="18" t="s">
        <v>132</v>
      </c>
      <c r="F166" s="17" t="s">
        <v>465</v>
      </c>
      <c r="G166" s="17" t="s">
        <v>13</v>
      </c>
      <c r="H166" s="18" t="s">
        <v>465</v>
      </c>
      <c r="I166" s="18" t="s">
        <v>13</v>
      </c>
      <c r="J166" s="19" t="s">
        <v>449</v>
      </c>
      <c r="K166" s="20">
        <v>1</v>
      </c>
      <c r="L166" s="14"/>
    </row>
    <row r="167" spans="1:12" x14ac:dyDescent="0.25">
      <c r="A167" s="21" t="s">
        <v>10</v>
      </c>
      <c r="B167" s="22" t="s">
        <v>746</v>
      </c>
      <c r="C167" s="22" t="s">
        <v>746</v>
      </c>
      <c r="D167" s="22" t="s">
        <v>192</v>
      </c>
      <c r="E167" s="18" t="s">
        <v>132</v>
      </c>
      <c r="F167" s="22" t="s">
        <v>465</v>
      </c>
      <c r="G167" s="22" t="s">
        <v>483</v>
      </c>
      <c r="H167" s="18" t="s">
        <v>465</v>
      </c>
      <c r="I167" s="18" t="s">
        <v>9</v>
      </c>
      <c r="J167" s="23" t="s">
        <v>449</v>
      </c>
      <c r="K167" s="24">
        <v>1</v>
      </c>
      <c r="L167" s="14"/>
    </row>
    <row r="168" spans="1:12" x14ac:dyDescent="0.25">
      <c r="A168" s="16" t="s">
        <v>119</v>
      </c>
      <c r="B168" s="17" t="s">
        <v>133</v>
      </c>
      <c r="C168" s="17" t="s">
        <v>133</v>
      </c>
      <c r="D168" s="17" t="s">
        <v>134</v>
      </c>
      <c r="E168" s="18" t="s">
        <v>132</v>
      </c>
      <c r="F168" s="17" t="s">
        <v>576</v>
      </c>
      <c r="G168" s="17" t="s">
        <v>118</v>
      </c>
      <c r="H168" s="18" t="s">
        <v>576</v>
      </c>
      <c r="I168" s="18" t="s">
        <v>118</v>
      </c>
      <c r="J168" s="19" t="s">
        <v>449</v>
      </c>
      <c r="K168" s="20">
        <v>1</v>
      </c>
      <c r="L168" s="14"/>
    </row>
    <row r="169" spans="1:12" x14ac:dyDescent="0.25">
      <c r="A169" s="21" t="s">
        <v>139</v>
      </c>
      <c r="B169" s="22" t="s">
        <v>148</v>
      </c>
      <c r="C169" s="22" t="s">
        <v>148</v>
      </c>
      <c r="D169" s="22" t="s">
        <v>149</v>
      </c>
      <c r="E169" s="18" t="s">
        <v>132</v>
      </c>
      <c r="F169" s="22" t="s">
        <v>469</v>
      </c>
      <c r="G169" s="22" t="s">
        <v>138</v>
      </c>
      <c r="H169" s="18" t="s">
        <v>469</v>
      </c>
      <c r="I169" s="18" t="s">
        <v>138</v>
      </c>
      <c r="J169" s="23" t="s">
        <v>449</v>
      </c>
      <c r="K169" s="24">
        <v>1</v>
      </c>
      <c r="L169" s="14"/>
    </row>
    <row r="170" spans="1:12" x14ac:dyDescent="0.25">
      <c r="A170" s="16" t="s">
        <v>159</v>
      </c>
      <c r="B170" s="17" t="s">
        <v>163</v>
      </c>
      <c r="C170" s="17" t="s">
        <v>163</v>
      </c>
      <c r="D170" s="17" t="s">
        <v>164</v>
      </c>
      <c r="E170" s="18" t="s">
        <v>132</v>
      </c>
      <c r="F170" s="17" t="s">
        <v>474</v>
      </c>
      <c r="G170" s="17" t="s">
        <v>158</v>
      </c>
      <c r="H170" s="18" t="s">
        <v>474</v>
      </c>
      <c r="I170" s="18" t="s">
        <v>158</v>
      </c>
      <c r="J170" s="19" t="s">
        <v>449</v>
      </c>
      <c r="K170" s="20">
        <v>1</v>
      </c>
      <c r="L170" s="14"/>
    </row>
    <row r="171" spans="1:12" x14ac:dyDescent="0.25">
      <c r="A171" s="21" t="s">
        <v>1</v>
      </c>
      <c r="B171" s="22" t="s">
        <v>191</v>
      </c>
      <c r="C171" s="22" t="s">
        <v>191</v>
      </c>
      <c r="D171" s="22" t="s">
        <v>192</v>
      </c>
      <c r="E171" s="18" t="s">
        <v>132</v>
      </c>
      <c r="F171" s="22" t="s">
        <v>465</v>
      </c>
      <c r="G171" s="22" t="s">
        <v>0</v>
      </c>
      <c r="H171" s="18" t="s">
        <v>465</v>
      </c>
      <c r="I171" s="18" t="s">
        <v>0</v>
      </c>
      <c r="J171" s="23" t="s">
        <v>449</v>
      </c>
      <c r="K171" s="24">
        <v>1</v>
      </c>
      <c r="L171" s="14"/>
    </row>
    <row r="172" spans="1:12" x14ac:dyDescent="0.25">
      <c r="A172" s="16" t="s">
        <v>16</v>
      </c>
      <c r="B172" s="17" t="s">
        <v>167</v>
      </c>
      <c r="C172" s="17" t="s">
        <v>167</v>
      </c>
      <c r="D172" s="17" t="s">
        <v>168</v>
      </c>
      <c r="E172" s="18" t="s">
        <v>132</v>
      </c>
      <c r="F172" s="17" t="s">
        <v>465</v>
      </c>
      <c r="G172" s="17" t="s">
        <v>15</v>
      </c>
      <c r="H172" s="18" t="s">
        <v>465</v>
      </c>
      <c r="I172" s="18" t="s">
        <v>15</v>
      </c>
      <c r="J172" s="19" t="s">
        <v>449</v>
      </c>
      <c r="K172" s="20">
        <v>1</v>
      </c>
      <c r="L172" s="14"/>
    </row>
    <row r="173" spans="1:12" x14ac:dyDescent="0.25">
      <c r="A173" s="21" t="s">
        <v>174</v>
      </c>
      <c r="B173" s="22" t="s">
        <v>176</v>
      </c>
      <c r="C173" s="22" t="s">
        <v>176</v>
      </c>
      <c r="D173" s="22" t="s">
        <v>164</v>
      </c>
      <c r="E173" s="18" t="s">
        <v>132</v>
      </c>
      <c r="F173" s="22" t="s">
        <v>474</v>
      </c>
      <c r="G173" s="22" t="s">
        <v>173</v>
      </c>
      <c r="H173" s="18" t="s">
        <v>474</v>
      </c>
      <c r="I173" s="18" t="s">
        <v>173</v>
      </c>
      <c r="J173" s="23" t="s">
        <v>449</v>
      </c>
      <c r="K173" s="24">
        <v>1</v>
      </c>
      <c r="L173" s="14"/>
    </row>
    <row r="174" spans="1:12" x14ac:dyDescent="0.25">
      <c r="A174" s="16" t="s">
        <v>178</v>
      </c>
      <c r="B174" s="17" t="s">
        <v>181</v>
      </c>
      <c r="C174" s="17" t="s">
        <v>181</v>
      </c>
      <c r="D174" s="17" t="s">
        <v>182</v>
      </c>
      <c r="E174" s="18" t="s">
        <v>132</v>
      </c>
      <c r="F174" s="17" t="s">
        <v>487</v>
      </c>
      <c r="G174" s="17" t="s">
        <v>177</v>
      </c>
      <c r="H174" s="18" t="s">
        <v>487</v>
      </c>
      <c r="I174" s="18" t="s">
        <v>177</v>
      </c>
      <c r="J174" s="19" t="s">
        <v>449</v>
      </c>
      <c r="K174" s="20">
        <v>1</v>
      </c>
      <c r="L174" s="14"/>
    </row>
    <row r="175" spans="1:12" x14ac:dyDescent="0.25">
      <c r="A175" s="21" t="s">
        <v>184</v>
      </c>
      <c r="B175" s="22" t="s">
        <v>185</v>
      </c>
      <c r="C175" s="22" t="s">
        <v>185</v>
      </c>
      <c r="D175" s="22" t="s">
        <v>182</v>
      </c>
      <c r="E175" s="18" t="s">
        <v>132</v>
      </c>
      <c r="F175" s="22" t="s">
        <v>487</v>
      </c>
      <c r="G175" s="22" t="s">
        <v>183</v>
      </c>
      <c r="H175" s="18" t="s">
        <v>487</v>
      </c>
      <c r="I175" s="18" t="s">
        <v>183</v>
      </c>
      <c r="J175" s="23" t="s">
        <v>449</v>
      </c>
      <c r="K175" s="24">
        <v>1</v>
      </c>
      <c r="L175" s="14"/>
    </row>
    <row r="176" spans="1:12" x14ac:dyDescent="0.25">
      <c r="A176" s="16" t="s">
        <v>194</v>
      </c>
      <c r="B176" s="17" t="s">
        <v>204</v>
      </c>
      <c r="C176" s="17" t="s">
        <v>204</v>
      </c>
      <c r="D176" s="17" t="s">
        <v>205</v>
      </c>
      <c r="E176" s="18" t="s">
        <v>132</v>
      </c>
      <c r="F176" s="17" t="s">
        <v>448</v>
      </c>
      <c r="G176" s="17" t="s">
        <v>193</v>
      </c>
      <c r="H176" s="18" t="s">
        <v>448</v>
      </c>
      <c r="I176" s="18" t="s">
        <v>193</v>
      </c>
      <c r="J176" s="19" t="s">
        <v>449</v>
      </c>
      <c r="K176" s="20">
        <v>1</v>
      </c>
      <c r="L176" s="14"/>
    </row>
    <row r="177" spans="1:12" x14ac:dyDescent="0.25">
      <c r="A177" s="21" t="s">
        <v>12</v>
      </c>
      <c r="B177" s="22" t="s">
        <v>208</v>
      </c>
      <c r="C177" s="22" t="s">
        <v>208</v>
      </c>
      <c r="D177" s="22" t="s">
        <v>192</v>
      </c>
      <c r="E177" s="18" t="s">
        <v>132</v>
      </c>
      <c r="F177" s="22" t="s">
        <v>465</v>
      </c>
      <c r="G177" s="22" t="s">
        <v>11</v>
      </c>
      <c r="H177" s="18" t="s">
        <v>465</v>
      </c>
      <c r="I177" s="18" t="s">
        <v>11</v>
      </c>
      <c r="J177" s="23" t="s">
        <v>449</v>
      </c>
      <c r="K177" s="24">
        <v>1</v>
      </c>
      <c r="L177" s="14"/>
    </row>
    <row r="178" spans="1:12" x14ac:dyDescent="0.25">
      <c r="A178" s="16" t="s">
        <v>210</v>
      </c>
      <c r="B178" s="17" t="s">
        <v>211</v>
      </c>
      <c r="C178" s="17" t="s">
        <v>211</v>
      </c>
      <c r="D178" s="17" t="s">
        <v>149</v>
      </c>
      <c r="E178" s="18" t="s">
        <v>132</v>
      </c>
      <c r="F178" s="17" t="s">
        <v>469</v>
      </c>
      <c r="G178" s="17" t="s">
        <v>209</v>
      </c>
      <c r="H178" s="18" t="s">
        <v>469</v>
      </c>
      <c r="I178" s="18" t="s">
        <v>209</v>
      </c>
      <c r="J178" s="19" t="s">
        <v>449</v>
      </c>
      <c r="K178" s="20">
        <v>1</v>
      </c>
      <c r="L178" s="14"/>
    </row>
    <row r="179" spans="1:12" x14ac:dyDescent="0.25">
      <c r="A179" s="21" t="s">
        <v>747</v>
      </c>
      <c r="B179" s="22" t="s">
        <v>748</v>
      </c>
      <c r="C179" s="22" t="s">
        <v>748</v>
      </c>
      <c r="D179" s="22" t="s">
        <v>320</v>
      </c>
      <c r="E179" s="18" t="s">
        <v>132</v>
      </c>
      <c r="F179" s="22" t="s">
        <v>454</v>
      </c>
      <c r="G179" s="22" t="s">
        <v>455</v>
      </c>
      <c r="H179" s="18" t="s">
        <v>454</v>
      </c>
      <c r="I179" s="18" t="s">
        <v>455</v>
      </c>
      <c r="J179" s="23" t="s">
        <v>449</v>
      </c>
      <c r="K179" s="24">
        <v>1</v>
      </c>
      <c r="L179" s="14"/>
    </row>
    <row r="180" spans="1:12" x14ac:dyDescent="0.25">
      <c r="A180" s="16" t="s">
        <v>213</v>
      </c>
      <c r="B180" s="17" t="s">
        <v>216</v>
      </c>
      <c r="C180" s="17" t="s">
        <v>216</v>
      </c>
      <c r="D180" s="17" t="s">
        <v>182</v>
      </c>
      <c r="E180" s="18" t="s">
        <v>132</v>
      </c>
      <c r="F180" s="17" t="s">
        <v>487</v>
      </c>
      <c r="G180" s="17" t="s">
        <v>212</v>
      </c>
      <c r="H180" s="18" t="s">
        <v>487</v>
      </c>
      <c r="I180" s="18" t="s">
        <v>212</v>
      </c>
      <c r="J180" s="19" t="s">
        <v>449</v>
      </c>
      <c r="K180" s="20">
        <v>1</v>
      </c>
      <c r="L180" s="14"/>
    </row>
    <row r="181" spans="1:12" x14ac:dyDescent="0.25">
      <c r="A181" s="21" t="s">
        <v>6</v>
      </c>
      <c r="B181" s="22" t="s">
        <v>219</v>
      </c>
      <c r="C181" s="22" t="s">
        <v>219</v>
      </c>
      <c r="D181" s="22" t="s">
        <v>168</v>
      </c>
      <c r="E181" s="18" t="s">
        <v>132</v>
      </c>
      <c r="F181" s="22" t="s">
        <v>465</v>
      </c>
      <c r="G181" s="22" t="s">
        <v>5</v>
      </c>
      <c r="H181" s="18" t="s">
        <v>465</v>
      </c>
      <c r="I181" s="18" t="s">
        <v>5</v>
      </c>
      <c r="J181" s="23" t="s">
        <v>449</v>
      </c>
      <c r="K181" s="24">
        <v>1</v>
      </c>
      <c r="L181" s="14"/>
    </row>
    <row r="182" spans="1:12" x14ac:dyDescent="0.25">
      <c r="A182" s="16" t="s">
        <v>221</v>
      </c>
      <c r="B182" s="17" t="s">
        <v>223</v>
      </c>
      <c r="C182" s="17" t="s">
        <v>223</v>
      </c>
      <c r="D182" s="17" t="s">
        <v>182</v>
      </c>
      <c r="E182" s="18" t="s">
        <v>132</v>
      </c>
      <c r="F182" s="17" t="s">
        <v>487</v>
      </c>
      <c r="G182" s="17" t="s">
        <v>220</v>
      </c>
      <c r="H182" s="18" t="s">
        <v>487</v>
      </c>
      <c r="I182" s="18" t="s">
        <v>220</v>
      </c>
      <c r="J182" s="19" t="s">
        <v>449</v>
      </c>
      <c r="K182" s="20">
        <v>1</v>
      </c>
      <c r="L182" s="14"/>
    </row>
    <row r="183" spans="1:12" x14ac:dyDescent="0.25">
      <c r="A183" s="21" t="s">
        <v>3</v>
      </c>
      <c r="B183" s="22" t="s">
        <v>749</v>
      </c>
      <c r="C183" s="22" t="s">
        <v>749</v>
      </c>
      <c r="D183" s="22" t="s">
        <v>192</v>
      </c>
      <c r="E183" s="18" t="s">
        <v>132</v>
      </c>
      <c r="F183" s="22" t="s">
        <v>465</v>
      </c>
      <c r="G183" s="22" t="s">
        <v>2</v>
      </c>
      <c r="H183" s="18" t="s">
        <v>465</v>
      </c>
      <c r="I183" s="18" t="s">
        <v>2</v>
      </c>
      <c r="J183" s="23" t="s">
        <v>449</v>
      </c>
      <c r="K183" s="24">
        <v>1</v>
      </c>
      <c r="L183" s="14"/>
    </row>
    <row r="184" spans="1:12" x14ac:dyDescent="0.25">
      <c r="A184" s="16" t="s">
        <v>228</v>
      </c>
      <c r="B184" s="17" t="s">
        <v>231</v>
      </c>
      <c r="C184" s="17" t="s">
        <v>231</v>
      </c>
      <c r="D184" s="17" t="s">
        <v>149</v>
      </c>
      <c r="E184" s="18" t="s">
        <v>132</v>
      </c>
      <c r="F184" s="17" t="s">
        <v>469</v>
      </c>
      <c r="G184" s="17" t="s">
        <v>157</v>
      </c>
      <c r="H184" s="18" t="s">
        <v>469</v>
      </c>
      <c r="I184" s="18" t="s">
        <v>157</v>
      </c>
      <c r="J184" s="19" t="s">
        <v>449</v>
      </c>
      <c r="K184" s="20">
        <v>1</v>
      </c>
      <c r="L184" s="14"/>
    </row>
    <row r="185" spans="1:12" x14ac:dyDescent="0.25">
      <c r="A185" s="21" t="s">
        <v>238</v>
      </c>
      <c r="B185" s="22" t="s">
        <v>240</v>
      </c>
      <c r="C185" s="22" t="s">
        <v>240</v>
      </c>
      <c r="D185" s="22" t="s">
        <v>241</v>
      </c>
      <c r="E185" s="18" t="s">
        <v>132</v>
      </c>
      <c r="F185" s="22" t="s">
        <v>480</v>
      </c>
      <c r="G185" s="22" t="s">
        <v>237</v>
      </c>
      <c r="H185" s="18" t="s">
        <v>480</v>
      </c>
      <c r="I185" s="18" t="s">
        <v>237</v>
      </c>
      <c r="J185" s="23" t="s">
        <v>449</v>
      </c>
      <c r="K185" s="24">
        <v>1</v>
      </c>
      <c r="L185" s="14"/>
    </row>
    <row r="186" spans="1:12" x14ac:dyDescent="0.25">
      <c r="A186" s="16" t="s">
        <v>281</v>
      </c>
      <c r="B186" s="17" t="s">
        <v>288</v>
      </c>
      <c r="C186" s="17" t="s">
        <v>288</v>
      </c>
      <c r="D186" s="17" t="s">
        <v>205</v>
      </c>
      <c r="E186" s="18" t="s">
        <v>132</v>
      </c>
      <c r="F186" s="17" t="s">
        <v>448</v>
      </c>
      <c r="G186" s="17" t="s">
        <v>280</v>
      </c>
      <c r="H186" s="18" t="s">
        <v>448</v>
      </c>
      <c r="I186" s="18" t="s">
        <v>280</v>
      </c>
      <c r="J186" s="19" t="s">
        <v>449</v>
      </c>
      <c r="K186" s="20">
        <v>1</v>
      </c>
      <c r="L186" s="14"/>
    </row>
    <row r="187" spans="1:12" x14ac:dyDescent="0.25">
      <c r="A187" s="21" t="s">
        <v>243</v>
      </c>
      <c r="B187" s="22" t="s">
        <v>245</v>
      </c>
      <c r="C187" s="22" t="s">
        <v>245</v>
      </c>
      <c r="D187" s="22" t="s">
        <v>246</v>
      </c>
      <c r="E187" s="18" t="s">
        <v>132</v>
      </c>
      <c r="F187" s="22" t="s">
        <v>480</v>
      </c>
      <c r="G187" s="22" t="s">
        <v>242</v>
      </c>
      <c r="H187" s="18" t="s">
        <v>480</v>
      </c>
      <c r="I187" s="18" t="s">
        <v>242</v>
      </c>
      <c r="J187" s="23" t="s">
        <v>449</v>
      </c>
      <c r="K187" s="24">
        <v>1</v>
      </c>
      <c r="L187" s="14"/>
    </row>
    <row r="188" spans="1:12" x14ac:dyDescent="0.25">
      <c r="A188" s="16" t="s">
        <v>410</v>
      </c>
      <c r="B188" s="17" t="s">
        <v>412</v>
      </c>
      <c r="C188" s="17" t="s">
        <v>412</v>
      </c>
      <c r="D188" s="17" t="s">
        <v>241</v>
      </c>
      <c r="E188" s="18" t="s">
        <v>132</v>
      </c>
      <c r="F188" s="17" t="s">
        <v>480</v>
      </c>
      <c r="G188" s="17" t="s">
        <v>411</v>
      </c>
      <c r="H188" s="18" t="s">
        <v>480</v>
      </c>
      <c r="I188" s="18" t="s">
        <v>411</v>
      </c>
      <c r="J188" s="19" t="s">
        <v>449</v>
      </c>
      <c r="K188" s="20">
        <v>1</v>
      </c>
      <c r="L188" s="14"/>
    </row>
    <row r="189" spans="1:12" x14ac:dyDescent="0.25">
      <c r="A189" s="21" t="s">
        <v>248</v>
      </c>
      <c r="B189" s="22" t="s">
        <v>249</v>
      </c>
      <c r="C189" s="22" t="s">
        <v>249</v>
      </c>
      <c r="D189" s="22" t="s">
        <v>182</v>
      </c>
      <c r="E189" s="18" t="s">
        <v>132</v>
      </c>
      <c r="F189" s="22" t="s">
        <v>487</v>
      </c>
      <c r="G189" s="22" t="s">
        <v>247</v>
      </c>
      <c r="H189" s="18" t="s">
        <v>487</v>
      </c>
      <c r="I189" s="18" t="s">
        <v>247</v>
      </c>
      <c r="J189" s="23" t="s">
        <v>449</v>
      </c>
      <c r="K189" s="24">
        <v>1</v>
      </c>
      <c r="L189" s="14"/>
    </row>
    <row r="190" spans="1:12" x14ac:dyDescent="0.25">
      <c r="A190" s="16" t="s">
        <v>750</v>
      </c>
      <c r="B190" s="17" t="s">
        <v>751</v>
      </c>
      <c r="C190" s="17" t="s">
        <v>751</v>
      </c>
      <c r="D190" s="17" t="s">
        <v>149</v>
      </c>
      <c r="E190" s="18" t="s">
        <v>132</v>
      </c>
      <c r="F190" s="17" t="s">
        <v>469</v>
      </c>
      <c r="G190" s="17" t="s">
        <v>468</v>
      </c>
      <c r="H190" s="18" t="s">
        <v>469</v>
      </c>
      <c r="I190" s="18" t="s">
        <v>468</v>
      </c>
      <c r="J190" s="19" t="s">
        <v>449</v>
      </c>
      <c r="K190" s="20">
        <v>1</v>
      </c>
      <c r="L190" s="14"/>
    </row>
    <row r="191" spans="1:12" x14ac:dyDescent="0.25">
      <c r="A191" s="21" t="s">
        <v>251</v>
      </c>
      <c r="B191" s="22" t="s">
        <v>252</v>
      </c>
      <c r="C191" s="22" t="s">
        <v>252</v>
      </c>
      <c r="D191" s="22" t="s">
        <v>134</v>
      </c>
      <c r="E191" s="18" t="s">
        <v>132</v>
      </c>
      <c r="F191" s="22" t="s">
        <v>576</v>
      </c>
      <c r="G191" s="22" t="s">
        <v>250</v>
      </c>
      <c r="H191" s="18" t="s">
        <v>576</v>
      </c>
      <c r="I191" s="18" t="s">
        <v>250</v>
      </c>
      <c r="J191" s="23" t="s">
        <v>449</v>
      </c>
      <c r="K191" s="24">
        <v>1</v>
      </c>
      <c r="L191" s="14"/>
    </row>
    <row r="192" spans="1:12" x14ac:dyDescent="0.25">
      <c r="A192" s="16" t="s">
        <v>296</v>
      </c>
      <c r="B192" s="17" t="s">
        <v>298</v>
      </c>
      <c r="C192" s="17" t="s">
        <v>298</v>
      </c>
      <c r="D192" s="17" t="s">
        <v>241</v>
      </c>
      <c r="E192" s="18" t="s">
        <v>132</v>
      </c>
      <c r="F192" s="17" t="s">
        <v>480</v>
      </c>
      <c r="G192" s="17" t="s">
        <v>295</v>
      </c>
      <c r="H192" s="18" t="s">
        <v>480</v>
      </c>
      <c r="I192" s="18" t="s">
        <v>237</v>
      </c>
      <c r="J192" s="19" t="s">
        <v>449</v>
      </c>
      <c r="K192" s="20">
        <v>1</v>
      </c>
      <c r="L192" s="14"/>
    </row>
    <row r="193" spans="1:12" x14ac:dyDescent="0.25">
      <c r="A193" s="21" t="s">
        <v>300</v>
      </c>
      <c r="B193" s="22" t="s">
        <v>301</v>
      </c>
      <c r="C193" s="22" t="s">
        <v>301</v>
      </c>
      <c r="D193" s="22" t="s">
        <v>164</v>
      </c>
      <c r="E193" s="18" t="s">
        <v>132</v>
      </c>
      <c r="F193" s="22" t="s">
        <v>474</v>
      </c>
      <c r="G193" s="22" t="s">
        <v>299</v>
      </c>
      <c r="H193" s="18" t="s">
        <v>474</v>
      </c>
      <c r="I193" s="18" t="s">
        <v>299</v>
      </c>
      <c r="J193" s="23" t="s">
        <v>449</v>
      </c>
      <c r="K193" s="24">
        <v>1</v>
      </c>
      <c r="L193" s="14"/>
    </row>
    <row r="194" spans="1:12" x14ac:dyDescent="0.25">
      <c r="A194" s="16" t="s">
        <v>257</v>
      </c>
      <c r="B194" s="17" t="s">
        <v>265</v>
      </c>
      <c r="C194" s="17" t="s">
        <v>265</v>
      </c>
      <c r="D194" s="17" t="s">
        <v>205</v>
      </c>
      <c r="E194" s="18" t="s">
        <v>132</v>
      </c>
      <c r="F194" s="17" t="s">
        <v>448</v>
      </c>
      <c r="G194" s="17" t="s">
        <v>256</v>
      </c>
      <c r="H194" s="18" t="s">
        <v>448</v>
      </c>
      <c r="I194" s="18" t="s">
        <v>256</v>
      </c>
      <c r="J194" s="19" t="s">
        <v>449</v>
      </c>
      <c r="K194" s="20">
        <v>1</v>
      </c>
      <c r="L194" s="14"/>
    </row>
    <row r="195" spans="1:12" x14ac:dyDescent="0.25">
      <c r="A195" s="21" t="s">
        <v>270</v>
      </c>
      <c r="B195" s="22" t="s">
        <v>278</v>
      </c>
      <c r="C195" s="22" t="s">
        <v>278</v>
      </c>
      <c r="D195" s="22" t="s">
        <v>134</v>
      </c>
      <c r="E195" s="18" t="s">
        <v>132</v>
      </c>
      <c r="F195" s="22" t="s">
        <v>576</v>
      </c>
      <c r="G195" s="22" t="s">
        <v>269</v>
      </c>
      <c r="H195" s="18" t="s">
        <v>576</v>
      </c>
      <c r="I195" s="18" t="s">
        <v>269</v>
      </c>
      <c r="J195" s="23" t="s">
        <v>449</v>
      </c>
      <c r="K195" s="24">
        <v>1</v>
      </c>
      <c r="L195" s="14"/>
    </row>
    <row r="196" spans="1:12" x14ac:dyDescent="0.25">
      <c r="A196" s="16" t="s">
        <v>303</v>
      </c>
      <c r="B196" s="17" t="s">
        <v>307</v>
      </c>
      <c r="C196" s="17" t="s">
        <v>307</v>
      </c>
      <c r="D196" s="17" t="s">
        <v>308</v>
      </c>
      <c r="E196" s="18" t="s">
        <v>132</v>
      </c>
      <c r="F196" s="17" t="s">
        <v>500</v>
      </c>
      <c r="G196" s="17" t="s">
        <v>582</v>
      </c>
      <c r="H196" s="18" t="s">
        <v>500</v>
      </c>
      <c r="I196" s="18" t="s">
        <v>302</v>
      </c>
      <c r="J196" s="19" t="s">
        <v>449</v>
      </c>
      <c r="K196" s="20">
        <v>1</v>
      </c>
      <c r="L196" s="14"/>
    </row>
    <row r="197" spans="1:12" x14ac:dyDescent="0.25">
      <c r="A197" s="21" t="s">
        <v>310</v>
      </c>
      <c r="B197" s="22" t="s">
        <v>319</v>
      </c>
      <c r="C197" s="22" t="s">
        <v>319</v>
      </c>
      <c r="D197" s="22" t="s">
        <v>320</v>
      </c>
      <c r="E197" s="18" t="s">
        <v>132</v>
      </c>
      <c r="F197" s="22" t="s">
        <v>454</v>
      </c>
      <c r="G197" s="22" t="s">
        <v>309</v>
      </c>
      <c r="H197" s="18" t="s">
        <v>454</v>
      </c>
      <c r="I197" s="18" t="s">
        <v>309</v>
      </c>
      <c r="J197" s="23" t="s">
        <v>449</v>
      </c>
      <c r="K197" s="24">
        <v>1</v>
      </c>
      <c r="L197" s="14"/>
    </row>
    <row r="198" spans="1:12" x14ac:dyDescent="0.25">
      <c r="A198" s="16" t="s">
        <v>322</v>
      </c>
      <c r="B198" s="17" t="s">
        <v>324</v>
      </c>
      <c r="C198" s="17" t="s">
        <v>324</v>
      </c>
      <c r="D198" s="17" t="s">
        <v>182</v>
      </c>
      <c r="E198" s="18" t="s">
        <v>132</v>
      </c>
      <c r="F198" s="17" t="s">
        <v>487</v>
      </c>
      <c r="G198" s="17" t="s">
        <v>321</v>
      </c>
      <c r="H198" s="18" t="s">
        <v>487</v>
      </c>
      <c r="I198" s="18" t="s">
        <v>321</v>
      </c>
      <c r="J198" s="19" t="s">
        <v>449</v>
      </c>
      <c r="K198" s="20">
        <v>1</v>
      </c>
      <c r="L198" s="14"/>
    </row>
    <row r="199" spans="1:12" x14ac:dyDescent="0.25">
      <c r="A199" s="21" t="s">
        <v>325</v>
      </c>
      <c r="B199" s="22" t="s">
        <v>328</v>
      </c>
      <c r="C199" s="22" t="s">
        <v>328</v>
      </c>
      <c r="D199" s="22" t="s">
        <v>308</v>
      </c>
      <c r="E199" s="18" t="s">
        <v>132</v>
      </c>
      <c r="F199" s="22" t="s">
        <v>500</v>
      </c>
      <c r="G199" s="22" t="s">
        <v>501</v>
      </c>
      <c r="H199" s="18" t="s">
        <v>500</v>
      </c>
      <c r="I199" s="18" t="s">
        <v>302</v>
      </c>
      <c r="J199" s="23" t="s">
        <v>449</v>
      </c>
      <c r="K199" s="24">
        <v>1</v>
      </c>
      <c r="L199" s="14"/>
    </row>
    <row r="200" spans="1:12" x14ac:dyDescent="0.25">
      <c r="A200" s="16" t="s">
        <v>391</v>
      </c>
      <c r="B200" s="17" t="s">
        <v>392</v>
      </c>
      <c r="C200" s="17" t="s">
        <v>392</v>
      </c>
      <c r="D200" s="17" t="s">
        <v>308</v>
      </c>
      <c r="E200" s="18" t="s">
        <v>132</v>
      </c>
      <c r="F200" s="17" t="s">
        <v>500</v>
      </c>
      <c r="G200" s="17" t="s">
        <v>390</v>
      </c>
      <c r="H200" s="18" t="s">
        <v>500</v>
      </c>
      <c r="I200" s="18" t="s">
        <v>390</v>
      </c>
      <c r="J200" s="19" t="s">
        <v>449</v>
      </c>
      <c r="K200" s="20">
        <v>1</v>
      </c>
      <c r="L200" s="14"/>
    </row>
    <row r="201" spans="1:12" x14ac:dyDescent="0.25">
      <c r="A201" s="21" t="s">
        <v>394</v>
      </c>
      <c r="B201" s="22" t="s">
        <v>395</v>
      </c>
      <c r="C201" s="22" t="s">
        <v>395</v>
      </c>
      <c r="D201" s="22" t="s">
        <v>205</v>
      </c>
      <c r="E201" s="18" t="s">
        <v>132</v>
      </c>
      <c r="F201" s="22" t="s">
        <v>448</v>
      </c>
      <c r="G201" s="22" t="s">
        <v>393</v>
      </c>
      <c r="H201" s="18" t="s">
        <v>448</v>
      </c>
      <c r="I201" s="18" t="s">
        <v>393</v>
      </c>
      <c r="J201" s="23" t="s">
        <v>449</v>
      </c>
      <c r="K201" s="24">
        <v>1</v>
      </c>
      <c r="L201" s="14"/>
    </row>
    <row r="202" spans="1:12" x14ac:dyDescent="0.25">
      <c r="A202" s="16" t="s">
        <v>397</v>
      </c>
      <c r="B202" s="17" t="s">
        <v>743</v>
      </c>
      <c r="C202" s="17" t="s">
        <v>398</v>
      </c>
      <c r="D202" s="17" t="s">
        <v>308</v>
      </c>
      <c r="E202" s="18" t="s">
        <v>132</v>
      </c>
      <c r="F202" s="17" t="s">
        <v>500</v>
      </c>
      <c r="G202" s="17" t="s">
        <v>396</v>
      </c>
      <c r="H202" s="18" t="s">
        <v>500</v>
      </c>
      <c r="I202" s="18" t="s">
        <v>396</v>
      </c>
      <c r="J202" s="19" t="s">
        <v>449</v>
      </c>
      <c r="K202" s="20">
        <v>1</v>
      </c>
      <c r="L202" s="14"/>
    </row>
    <row r="203" spans="1:12" x14ac:dyDescent="0.25">
      <c r="A203" s="21" t="s">
        <v>330</v>
      </c>
      <c r="B203" s="22" t="s">
        <v>331</v>
      </c>
      <c r="C203" s="22" t="s">
        <v>331</v>
      </c>
      <c r="D203" s="22" t="s">
        <v>320</v>
      </c>
      <c r="E203" s="18" t="s">
        <v>132</v>
      </c>
      <c r="F203" s="22" t="s">
        <v>454</v>
      </c>
      <c r="G203" s="22" t="s">
        <v>329</v>
      </c>
      <c r="H203" s="18" t="s">
        <v>454</v>
      </c>
      <c r="I203" s="18" t="s">
        <v>329</v>
      </c>
      <c r="J203" s="23" t="s">
        <v>449</v>
      </c>
      <c r="K203" s="24">
        <v>1</v>
      </c>
      <c r="L203" s="14"/>
    </row>
    <row r="204" spans="1:12" x14ac:dyDescent="0.25">
      <c r="A204" s="16" t="s">
        <v>400</v>
      </c>
      <c r="B204" s="17" t="s">
        <v>402</v>
      </c>
      <c r="C204" s="17" t="s">
        <v>402</v>
      </c>
      <c r="D204" s="17" t="s">
        <v>320</v>
      </c>
      <c r="E204" s="18" t="s">
        <v>132</v>
      </c>
      <c r="F204" s="17" t="s">
        <v>454</v>
      </c>
      <c r="G204" s="17" t="s">
        <v>399</v>
      </c>
      <c r="H204" s="18" t="s">
        <v>454</v>
      </c>
      <c r="I204" s="18" t="s">
        <v>399</v>
      </c>
      <c r="J204" s="19" t="s">
        <v>449</v>
      </c>
      <c r="K204" s="20">
        <v>1</v>
      </c>
      <c r="L204" s="14"/>
    </row>
    <row r="205" spans="1:12" x14ac:dyDescent="0.25">
      <c r="A205" s="21" t="s">
        <v>334</v>
      </c>
      <c r="B205" s="22" t="s">
        <v>335</v>
      </c>
      <c r="C205" s="22" t="s">
        <v>335</v>
      </c>
      <c r="D205" s="22" t="s">
        <v>320</v>
      </c>
      <c r="E205" s="18" t="s">
        <v>132</v>
      </c>
      <c r="F205" s="22" t="s">
        <v>454</v>
      </c>
      <c r="G205" s="22" t="s">
        <v>333</v>
      </c>
      <c r="H205" s="18" t="s">
        <v>454</v>
      </c>
      <c r="I205" s="18" t="s">
        <v>333</v>
      </c>
      <c r="J205" s="23" t="s">
        <v>449</v>
      </c>
      <c r="K205" s="24">
        <v>1</v>
      </c>
      <c r="L205" s="14"/>
    </row>
    <row r="206" spans="1:12" x14ac:dyDescent="0.25">
      <c r="A206" s="16" t="s">
        <v>752</v>
      </c>
      <c r="B206" s="17" t="s">
        <v>753</v>
      </c>
      <c r="C206" s="17" t="s">
        <v>753</v>
      </c>
      <c r="D206" s="17" t="s">
        <v>308</v>
      </c>
      <c r="E206" s="18" t="s">
        <v>132</v>
      </c>
      <c r="F206" s="17" t="s">
        <v>500</v>
      </c>
      <c r="G206" s="17" t="s">
        <v>556</v>
      </c>
      <c r="H206" s="18" t="s">
        <v>500</v>
      </c>
      <c r="I206" s="18" t="s">
        <v>556</v>
      </c>
      <c r="J206" s="19" t="s">
        <v>449</v>
      </c>
      <c r="K206" s="20">
        <v>1</v>
      </c>
      <c r="L206" s="14"/>
    </row>
    <row r="207" spans="1:12" x14ac:dyDescent="0.25">
      <c r="A207" s="21" t="s">
        <v>8</v>
      </c>
      <c r="B207" s="22" t="s">
        <v>414</v>
      </c>
      <c r="C207" s="22" t="s">
        <v>414</v>
      </c>
      <c r="D207" s="22" t="s">
        <v>192</v>
      </c>
      <c r="E207" s="18" t="s">
        <v>132</v>
      </c>
      <c r="F207" s="22" t="s">
        <v>465</v>
      </c>
      <c r="G207" s="22" t="s">
        <v>7</v>
      </c>
      <c r="H207" s="18" t="s">
        <v>465</v>
      </c>
      <c r="I207" s="18" t="s">
        <v>7</v>
      </c>
      <c r="J207" s="23" t="s">
        <v>449</v>
      </c>
      <c r="K207" s="24">
        <v>1</v>
      </c>
      <c r="L207" s="14"/>
    </row>
    <row r="208" spans="1:12" x14ac:dyDescent="0.25">
      <c r="A208" s="16" t="s">
        <v>754</v>
      </c>
      <c r="B208" s="17" t="s">
        <v>755</v>
      </c>
      <c r="C208" s="17" t="s">
        <v>755</v>
      </c>
      <c r="D208" s="17" t="s">
        <v>246</v>
      </c>
      <c r="E208" s="18" t="s">
        <v>132</v>
      </c>
      <c r="F208" s="17" t="s">
        <v>480</v>
      </c>
      <c r="G208" s="17" t="s">
        <v>242</v>
      </c>
      <c r="H208" s="18" t="s">
        <v>480</v>
      </c>
      <c r="I208" s="18" t="s">
        <v>242</v>
      </c>
      <c r="J208" s="19" t="s">
        <v>477</v>
      </c>
      <c r="K208" s="20">
        <v>1</v>
      </c>
      <c r="L208" s="14"/>
    </row>
    <row r="209" spans="1:12" x14ac:dyDescent="0.25">
      <c r="A209" s="21" t="s">
        <v>756</v>
      </c>
      <c r="B209" s="22" t="s">
        <v>757</v>
      </c>
      <c r="C209" s="22" t="s">
        <v>757</v>
      </c>
      <c r="D209" s="22" t="s">
        <v>246</v>
      </c>
      <c r="E209" s="18" t="s">
        <v>132</v>
      </c>
      <c r="F209" s="22" t="s">
        <v>480</v>
      </c>
      <c r="G209" s="17" t="s">
        <v>242</v>
      </c>
      <c r="H209" s="18" t="s">
        <v>480</v>
      </c>
      <c r="I209" s="18" t="s">
        <v>242</v>
      </c>
      <c r="J209" s="19" t="s">
        <v>477</v>
      </c>
      <c r="K209" s="24">
        <v>1</v>
      </c>
      <c r="L209" s="14"/>
    </row>
    <row r="210" spans="1:12" x14ac:dyDescent="0.25">
      <c r="A210" s="16" t="s">
        <v>758</v>
      </c>
      <c r="B210" s="17" t="s">
        <v>759</v>
      </c>
      <c r="C210" s="17" t="s">
        <v>759</v>
      </c>
      <c r="D210" s="17" t="s">
        <v>308</v>
      </c>
      <c r="E210" s="18" t="s">
        <v>132</v>
      </c>
      <c r="F210" s="17" t="s">
        <v>500</v>
      </c>
      <c r="G210" s="17" t="s">
        <v>390</v>
      </c>
      <c r="H210" s="18" t="s">
        <v>500</v>
      </c>
      <c r="I210" s="18" t="s">
        <v>390</v>
      </c>
      <c r="J210" s="19" t="s">
        <v>477</v>
      </c>
      <c r="K210" s="20">
        <v>1</v>
      </c>
      <c r="L210" s="14"/>
    </row>
    <row r="211" spans="1:12" x14ac:dyDescent="0.25">
      <c r="A211" s="21" t="s">
        <v>337</v>
      </c>
      <c r="B211" s="22" t="s">
        <v>338</v>
      </c>
      <c r="C211" s="22" t="s">
        <v>338</v>
      </c>
      <c r="D211" s="22" t="s">
        <v>134</v>
      </c>
      <c r="E211" s="18" t="s">
        <v>132</v>
      </c>
      <c r="F211" s="22" t="s">
        <v>576</v>
      </c>
      <c r="G211" s="22" t="s">
        <v>336</v>
      </c>
      <c r="H211" s="18" t="s">
        <v>454</v>
      </c>
      <c r="I211" s="18" t="s">
        <v>336</v>
      </c>
      <c r="J211" s="23" t="s">
        <v>449</v>
      </c>
      <c r="K211" s="24">
        <v>1</v>
      </c>
      <c r="L211" s="14"/>
    </row>
    <row r="212" spans="1:12" x14ac:dyDescent="0.25">
      <c r="A212" s="16" t="s">
        <v>760</v>
      </c>
      <c r="B212" s="17" t="s">
        <v>761</v>
      </c>
      <c r="C212" s="17" t="s">
        <v>371</v>
      </c>
      <c r="D212" s="17" t="s">
        <v>168</v>
      </c>
      <c r="E212" s="18" t="s">
        <v>132</v>
      </c>
      <c r="F212" s="17" t="s">
        <v>465</v>
      </c>
      <c r="G212" s="17" t="s">
        <v>13</v>
      </c>
      <c r="H212" s="18" t="s">
        <v>465</v>
      </c>
      <c r="I212" s="18" t="s">
        <v>13</v>
      </c>
      <c r="J212" s="19" t="s">
        <v>449</v>
      </c>
      <c r="K212" s="20">
        <v>1</v>
      </c>
      <c r="L212" s="14"/>
    </row>
    <row r="213" spans="1:12" x14ac:dyDescent="0.25">
      <c r="A213" s="21" t="s">
        <v>762</v>
      </c>
      <c r="B213" s="22" t="s">
        <v>763</v>
      </c>
      <c r="C213" s="22" t="s">
        <v>763</v>
      </c>
      <c r="D213" s="22" t="s">
        <v>149</v>
      </c>
      <c r="E213" s="18" t="s">
        <v>132</v>
      </c>
      <c r="F213" s="22" t="s">
        <v>469</v>
      </c>
      <c r="G213" s="22" t="s">
        <v>138</v>
      </c>
      <c r="H213" s="18" t="s">
        <v>469</v>
      </c>
      <c r="I213" s="18" t="s">
        <v>138</v>
      </c>
      <c r="J213" s="23" t="s">
        <v>449</v>
      </c>
      <c r="K213" s="24">
        <v>1</v>
      </c>
      <c r="L213" s="14"/>
    </row>
    <row r="214" spans="1:12" x14ac:dyDescent="0.25">
      <c r="A214" s="16" t="s">
        <v>340</v>
      </c>
      <c r="B214" s="17" t="s">
        <v>342</v>
      </c>
      <c r="C214" s="17" t="s">
        <v>342</v>
      </c>
      <c r="D214" s="17" t="s">
        <v>205</v>
      </c>
      <c r="E214" s="18" t="s">
        <v>132</v>
      </c>
      <c r="F214" s="17" t="s">
        <v>448</v>
      </c>
      <c r="G214" s="17" t="s">
        <v>339</v>
      </c>
      <c r="H214" s="18" t="s">
        <v>448</v>
      </c>
      <c r="I214" s="18" t="s">
        <v>280</v>
      </c>
      <c r="J214" s="19" t="s">
        <v>449</v>
      </c>
      <c r="K214" s="20">
        <v>1</v>
      </c>
      <c r="L214" s="14"/>
    </row>
    <row r="215" spans="1:12" x14ac:dyDescent="0.25">
      <c r="A215" s="21" t="s">
        <v>764</v>
      </c>
      <c r="B215" s="22" t="s">
        <v>765</v>
      </c>
      <c r="C215" s="22" t="s">
        <v>765</v>
      </c>
      <c r="D215" s="22" t="s">
        <v>320</v>
      </c>
      <c r="E215" s="18" t="s">
        <v>132</v>
      </c>
      <c r="F215" s="22" t="s">
        <v>454</v>
      </c>
      <c r="G215" s="22" t="s">
        <v>526</v>
      </c>
      <c r="H215" s="18" t="s">
        <v>454</v>
      </c>
      <c r="I215" s="18" t="s">
        <v>455</v>
      </c>
      <c r="J215" s="23" t="s">
        <v>449</v>
      </c>
      <c r="K215" s="24">
        <v>1</v>
      </c>
      <c r="L215" s="14"/>
    </row>
    <row r="216" spans="1:12" x14ac:dyDescent="0.25">
      <c r="A216" s="16" t="s">
        <v>344</v>
      </c>
      <c r="B216" s="17" t="s">
        <v>345</v>
      </c>
      <c r="C216" s="17" t="s">
        <v>345</v>
      </c>
      <c r="D216" s="17" t="s">
        <v>205</v>
      </c>
      <c r="E216" s="18" t="s">
        <v>132</v>
      </c>
      <c r="F216" s="17" t="s">
        <v>448</v>
      </c>
      <c r="G216" s="17" t="s">
        <v>343</v>
      </c>
      <c r="H216" s="18" t="s">
        <v>448</v>
      </c>
      <c r="I216" s="18" t="s">
        <v>343</v>
      </c>
      <c r="J216" s="19" t="s">
        <v>449</v>
      </c>
      <c r="K216" s="20">
        <v>1</v>
      </c>
      <c r="L216" s="14"/>
    </row>
    <row r="217" spans="1:12" x14ac:dyDescent="0.25">
      <c r="A217" s="21" t="s">
        <v>404</v>
      </c>
      <c r="B217" s="22" t="s">
        <v>405</v>
      </c>
      <c r="C217" s="22" t="s">
        <v>405</v>
      </c>
      <c r="D217" s="22" t="s">
        <v>205</v>
      </c>
      <c r="E217" s="18" t="s">
        <v>132</v>
      </c>
      <c r="F217" s="22" t="s">
        <v>448</v>
      </c>
      <c r="G217" s="22" t="s">
        <v>361</v>
      </c>
      <c r="H217" s="18" t="s">
        <v>448</v>
      </c>
      <c r="I217" s="18" t="s">
        <v>361</v>
      </c>
      <c r="J217" s="23" t="s">
        <v>449</v>
      </c>
      <c r="K217" s="24">
        <v>1</v>
      </c>
      <c r="L217" s="14"/>
    </row>
    <row r="218" spans="1:12" x14ac:dyDescent="0.25">
      <c r="A218" s="16" t="s">
        <v>766</v>
      </c>
      <c r="B218" s="17" t="s">
        <v>767</v>
      </c>
      <c r="C218" s="17" t="s">
        <v>767</v>
      </c>
      <c r="D218" s="17" t="s">
        <v>164</v>
      </c>
      <c r="E218" s="18" t="s">
        <v>132</v>
      </c>
      <c r="F218" s="17" t="s">
        <v>474</v>
      </c>
      <c r="G218" s="17" t="s">
        <v>497</v>
      </c>
      <c r="H218" s="18" t="s">
        <v>474</v>
      </c>
      <c r="I218" s="18" t="s">
        <v>158</v>
      </c>
      <c r="J218" s="19" t="s">
        <v>449</v>
      </c>
      <c r="K218" s="20">
        <v>1</v>
      </c>
      <c r="L218" s="14"/>
    </row>
    <row r="219" spans="1:12" x14ac:dyDescent="0.25">
      <c r="A219" s="21" t="s">
        <v>768</v>
      </c>
      <c r="B219" s="22" t="s">
        <v>769</v>
      </c>
      <c r="C219" s="22" t="s">
        <v>183</v>
      </c>
      <c r="D219" s="22" t="s">
        <v>355</v>
      </c>
      <c r="E219" s="18" t="s">
        <v>349</v>
      </c>
      <c r="F219" s="22" t="s">
        <v>487</v>
      </c>
      <c r="G219" s="22" t="s">
        <v>183</v>
      </c>
      <c r="H219" s="18" t="s">
        <v>487</v>
      </c>
      <c r="I219" s="18" t="s">
        <v>183</v>
      </c>
      <c r="J219" s="23" t="s">
        <v>449</v>
      </c>
      <c r="K219" s="24">
        <v>1</v>
      </c>
      <c r="L219" s="14"/>
    </row>
    <row r="220" spans="1:12" x14ac:dyDescent="0.25">
      <c r="A220" s="29" t="s">
        <v>770</v>
      </c>
      <c r="B220" s="15" t="s">
        <v>771</v>
      </c>
      <c r="C220" s="15" t="str">
        <f>B220</f>
        <v>OBM - SFI KANTOR PUSAT</v>
      </c>
      <c r="D220" s="15" t="s">
        <v>772</v>
      </c>
      <c r="E220" s="18" t="s">
        <v>773</v>
      </c>
      <c r="F220" s="15" t="s">
        <v>774</v>
      </c>
      <c r="G220" s="15" t="str">
        <f>C220</f>
        <v>OBM - SFI KANTOR PUSAT</v>
      </c>
      <c r="H220" s="18" t="s">
        <v>465</v>
      </c>
      <c r="I220" s="18" t="s">
        <v>9</v>
      </c>
      <c r="J220" s="15" t="s">
        <v>775</v>
      </c>
      <c r="K220" s="30">
        <v>1</v>
      </c>
      <c r="L220" s="31"/>
    </row>
    <row r="221" spans="1:12" x14ac:dyDescent="0.25">
      <c r="A221" s="32" t="s">
        <v>776</v>
      </c>
      <c r="B221" s="15" t="s">
        <v>777</v>
      </c>
      <c r="C221" s="15" t="str">
        <f t="shared" ref="C221:C222" si="0">B221</f>
        <v>OBM - DENPASAR</v>
      </c>
      <c r="D221" s="15" t="s">
        <v>772</v>
      </c>
      <c r="E221" s="18" t="s">
        <v>773</v>
      </c>
      <c r="F221" s="15" t="s">
        <v>774</v>
      </c>
      <c r="G221" s="15" t="str">
        <f t="shared" ref="G221:G222" si="1">C221</f>
        <v>OBM - DENPASAR</v>
      </c>
      <c r="H221" s="18" t="s">
        <v>576</v>
      </c>
      <c r="I221" s="18" t="s">
        <v>118</v>
      </c>
      <c r="J221" s="15" t="s">
        <v>449</v>
      </c>
      <c r="K221" s="30">
        <v>1</v>
      </c>
      <c r="L221" s="31"/>
    </row>
    <row r="222" spans="1:12" x14ac:dyDescent="0.25">
      <c r="A222" s="32" t="s">
        <v>778</v>
      </c>
      <c r="B222" s="15" t="s">
        <v>779</v>
      </c>
      <c r="C222" s="15" t="str">
        <f t="shared" si="0"/>
        <v>OBM - MANADO</v>
      </c>
      <c r="D222" s="15" t="s">
        <v>772</v>
      </c>
      <c r="E222" s="18" t="s">
        <v>773</v>
      </c>
      <c r="F222" s="15" t="s">
        <v>774</v>
      </c>
      <c r="G222" s="15" t="str">
        <f t="shared" si="1"/>
        <v>OBM - MANADO</v>
      </c>
      <c r="H222" s="18" t="s">
        <v>454</v>
      </c>
      <c r="I222" s="18" t="s">
        <v>309</v>
      </c>
      <c r="J222" s="15" t="s">
        <v>449</v>
      </c>
      <c r="K222" s="30">
        <v>1</v>
      </c>
      <c r="L222" s="31"/>
    </row>
    <row r="223" spans="1:12" ht="13.8" x14ac:dyDescent="0.25">
      <c r="A223" s="33" t="s">
        <v>780</v>
      </c>
      <c r="B223" s="34" t="s">
        <v>749</v>
      </c>
      <c r="C223" s="34" t="s">
        <v>749</v>
      </c>
      <c r="D223" s="34" t="s">
        <v>192</v>
      </c>
      <c r="E223" s="18" t="s">
        <v>349</v>
      </c>
      <c r="F223" s="34" t="s">
        <v>465</v>
      </c>
      <c r="G223" s="34" t="s">
        <v>2</v>
      </c>
      <c r="H223" s="18" t="s">
        <v>465</v>
      </c>
      <c r="I223" s="18" t="s">
        <v>2</v>
      </c>
      <c r="J223" s="15" t="s">
        <v>449</v>
      </c>
      <c r="K223" s="30">
        <v>1</v>
      </c>
      <c r="L223" s="31"/>
    </row>
    <row r="224" spans="1:12" x14ac:dyDescent="0.25">
      <c r="A224" s="15" t="s">
        <v>781</v>
      </c>
      <c r="B224" s="15" t="s">
        <v>782</v>
      </c>
      <c r="C224" s="15" t="str">
        <f t="shared" ref="C224:C226" si="2">B224</f>
        <v>OBM - BALIKPAPAN</v>
      </c>
      <c r="D224" s="15" t="s">
        <v>772</v>
      </c>
      <c r="E224" s="18" t="s">
        <v>773</v>
      </c>
      <c r="F224" s="15" t="s">
        <v>774</v>
      </c>
      <c r="G224" s="15" t="str">
        <f t="shared" ref="G224:G226" si="3">C224</f>
        <v>OBM - BALIKPAPAN</v>
      </c>
      <c r="H224" s="18" t="s">
        <v>448</v>
      </c>
      <c r="I224" s="18" t="s">
        <v>256</v>
      </c>
      <c r="J224" s="15" t="s">
        <v>449</v>
      </c>
      <c r="K224" s="30">
        <v>1</v>
      </c>
    </row>
    <row r="225" spans="1:11" x14ac:dyDescent="0.25">
      <c r="A225" s="15" t="s">
        <v>783</v>
      </c>
      <c r="B225" s="15" t="s">
        <v>784</v>
      </c>
      <c r="C225" s="15" t="str">
        <f t="shared" si="2"/>
        <v>OBM - GORONTALO</v>
      </c>
      <c r="D225" s="15" t="s">
        <v>772</v>
      </c>
      <c r="E225" s="18" t="s">
        <v>773</v>
      </c>
      <c r="F225" s="15" t="s">
        <v>774</v>
      </c>
      <c r="G225" s="15" t="str">
        <f t="shared" si="3"/>
        <v>OBM - GORONTALO</v>
      </c>
      <c r="H225" s="18" t="s">
        <v>454</v>
      </c>
      <c r="I225" s="18" t="s">
        <v>329</v>
      </c>
      <c r="J225" s="15" t="s">
        <v>449</v>
      </c>
      <c r="K225" s="30">
        <v>1</v>
      </c>
    </row>
    <row r="226" spans="1:11" x14ac:dyDescent="0.25">
      <c r="A226" s="35" t="s">
        <v>785</v>
      </c>
      <c r="B226" s="15" t="s">
        <v>786</v>
      </c>
      <c r="C226" s="15" t="str">
        <f t="shared" si="2"/>
        <v>OBM - TERNATE</v>
      </c>
      <c r="D226" s="15" t="s">
        <v>772</v>
      </c>
      <c r="E226" s="18" t="s">
        <v>773</v>
      </c>
      <c r="F226" s="15" t="s">
        <v>774</v>
      </c>
      <c r="G226" s="15" t="str">
        <f t="shared" si="3"/>
        <v>OBM - TERNATE</v>
      </c>
      <c r="H226" s="18" t="s">
        <v>454</v>
      </c>
      <c r="I226" s="18" t="s">
        <v>336</v>
      </c>
      <c r="J226" s="15" t="s">
        <v>449</v>
      </c>
      <c r="K226" s="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DL92"/>
  <sheetViews>
    <sheetView showGridLines="0" workbookViewId="0">
      <selection activeCell="H8" sqref="H8"/>
    </sheetView>
  </sheetViews>
  <sheetFormatPr defaultColWidth="9.109375" defaultRowHeight="13.2" x14ac:dyDescent="0.3"/>
  <cols>
    <col min="1" max="1" width="13.5546875" style="2" bestFit="1" customWidth="1"/>
    <col min="2" max="2" width="17.88671875" style="3" bestFit="1" customWidth="1"/>
    <col min="3" max="3" width="15.33203125" style="3" bestFit="1" customWidth="1"/>
    <col min="4" max="4" width="19" style="2" bestFit="1" customWidth="1"/>
    <col min="5" max="5" width="15.33203125" style="3" bestFit="1" customWidth="1"/>
    <col min="6" max="6" width="17.5546875" style="3" bestFit="1" customWidth="1"/>
    <col min="7" max="7" width="14.88671875" style="3" bestFit="1" customWidth="1"/>
    <col min="8" max="8" width="28" style="3" bestFit="1" customWidth="1"/>
    <col min="9" max="9" width="140.33203125" style="3" bestFit="1" customWidth="1"/>
    <col min="10" max="10" width="13.33203125" style="3" bestFit="1" customWidth="1"/>
    <col min="11" max="11" width="16" style="3" bestFit="1" customWidth="1"/>
    <col min="12" max="12" width="14.33203125" style="3" bestFit="1" customWidth="1"/>
    <col min="13" max="13" width="23.44140625" style="3" bestFit="1" customWidth="1"/>
    <col min="14" max="14" width="34.77734375" style="3" bestFit="1" customWidth="1"/>
    <col min="15" max="15" width="34.109375" style="3" bestFit="1" customWidth="1"/>
    <col min="16" max="16" width="13.88671875" style="3" bestFit="1" customWidth="1"/>
    <col min="17" max="17" width="15.5546875" style="3" bestFit="1" customWidth="1"/>
    <col min="18" max="18" width="12.77734375" style="3" bestFit="1" customWidth="1"/>
    <col min="19" max="19" width="24.6640625" style="3" bestFit="1" customWidth="1"/>
    <col min="20" max="20" width="14.21875" style="3" bestFit="1" customWidth="1"/>
    <col min="21" max="21" width="14.109375" style="3" bestFit="1" customWidth="1"/>
    <col min="22" max="22" width="16.5546875" style="3" bestFit="1" customWidth="1"/>
    <col min="23" max="23" width="15.44140625" style="3" bestFit="1" customWidth="1"/>
    <col min="24" max="24" width="15.109375" style="3" bestFit="1" customWidth="1"/>
    <col min="25" max="25" width="15" style="3" bestFit="1" customWidth="1"/>
    <col min="26" max="26" width="29.33203125" style="3" bestFit="1" customWidth="1"/>
    <col min="27" max="27" width="21.5546875" style="3" bestFit="1" customWidth="1"/>
    <col min="28" max="28" width="18.44140625" style="3" bestFit="1" customWidth="1"/>
    <col min="29" max="29" width="17.6640625" style="3" bestFit="1" customWidth="1"/>
    <col min="30" max="30" width="15.44140625" style="3" bestFit="1" customWidth="1"/>
    <col min="31" max="31" width="14" style="3" bestFit="1" customWidth="1"/>
    <col min="32" max="32" width="10" style="3" bestFit="1" customWidth="1"/>
    <col min="33" max="33" width="12.109375" style="3" bestFit="1" customWidth="1"/>
    <col min="34" max="34" width="12" style="3" bestFit="1" customWidth="1"/>
    <col min="35" max="35" width="11.33203125" style="3" bestFit="1" customWidth="1"/>
    <col min="36" max="36" width="14.88671875" style="3" bestFit="1" customWidth="1"/>
    <col min="37" max="37" width="12.5546875" style="3" bestFit="1" customWidth="1"/>
    <col min="38" max="38" width="23.109375" style="3" bestFit="1" customWidth="1"/>
    <col min="39" max="39" width="15.77734375" style="3" bestFit="1" customWidth="1"/>
    <col min="40" max="40" width="16.44140625" style="3" bestFit="1" customWidth="1"/>
    <col min="41" max="42" width="10.21875" style="3" bestFit="1" customWidth="1"/>
    <col min="43" max="43" width="9.21875" style="3" bestFit="1" customWidth="1"/>
    <col min="44" max="44" width="15.109375" style="3" bestFit="1" customWidth="1"/>
    <col min="45" max="45" width="16.44140625" style="3" bestFit="1" customWidth="1"/>
    <col min="46" max="46" width="33.33203125" style="3" bestFit="1" customWidth="1"/>
    <col min="47" max="47" width="17.88671875" style="3" bestFit="1" customWidth="1"/>
    <col min="48" max="48" width="19.21875" style="3" bestFit="1" customWidth="1"/>
    <col min="49" max="49" width="16" style="3" bestFit="1" customWidth="1"/>
    <col min="50" max="50" width="14.88671875" style="3" bestFit="1" customWidth="1"/>
    <col min="51" max="51" width="12.44140625" style="3" bestFit="1" customWidth="1"/>
    <col min="52" max="52" width="13" style="3" bestFit="1" customWidth="1"/>
    <col min="53" max="53" width="34.21875" style="3" bestFit="1" customWidth="1"/>
    <col min="54" max="54" width="13.88671875" style="3" bestFit="1" customWidth="1"/>
    <col min="55" max="55" width="11.88671875" style="3" bestFit="1" customWidth="1"/>
    <col min="56" max="56" width="12" style="3" bestFit="1" customWidth="1"/>
    <col min="57" max="57" width="10.6640625" style="3" bestFit="1" customWidth="1"/>
    <col min="58" max="58" width="12.109375" style="3" bestFit="1" customWidth="1"/>
    <col min="59" max="59" width="11.109375" style="3" bestFit="1" customWidth="1"/>
    <col min="60" max="60" width="12.109375" style="3" bestFit="1" customWidth="1"/>
    <col min="61" max="61" width="14.5546875" style="3" bestFit="1" customWidth="1"/>
    <col min="62" max="62" width="13.44140625" style="3" bestFit="1" customWidth="1"/>
    <col min="63" max="63" width="15.33203125" style="3" bestFit="1" customWidth="1"/>
    <col min="64" max="64" width="17.21875" style="3" bestFit="1" customWidth="1"/>
    <col min="65" max="65" width="12.44140625" style="3" bestFit="1" customWidth="1"/>
    <col min="66" max="66" width="20.109375" style="3" bestFit="1" customWidth="1"/>
    <col min="67" max="67" width="9" style="3" bestFit="1" customWidth="1"/>
    <col min="68" max="68" width="23" style="3" bestFit="1" customWidth="1"/>
    <col min="69" max="69" width="20.33203125" style="3" bestFit="1" customWidth="1"/>
    <col min="70" max="70" width="19.109375" style="3" bestFit="1" customWidth="1"/>
    <col min="71" max="71" width="24.77734375" style="3" bestFit="1" customWidth="1"/>
    <col min="72" max="72" width="10" style="3" bestFit="1" customWidth="1"/>
    <col min="73" max="73" width="9.77734375" style="3" bestFit="1" customWidth="1"/>
    <col min="74" max="74" width="12" style="3" bestFit="1" customWidth="1"/>
    <col min="75" max="75" width="11.77734375" style="3" bestFit="1" customWidth="1"/>
    <col min="76" max="76" width="8.109375" style="3" bestFit="1" customWidth="1"/>
    <col min="77" max="77" width="16.21875" style="3" bestFit="1" customWidth="1"/>
    <col min="78" max="78" width="12.44140625" style="3" bestFit="1" customWidth="1"/>
    <col min="79" max="79" width="18.77734375" style="3" bestFit="1" customWidth="1"/>
    <col min="80" max="80" width="14.88671875" style="3" bestFit="1" customWidth="1"/>
    <col min="81" max="81" width="18.21875" style="3" bestFit="1" customWidth="1"/>
    <col min="82" max="82" width="11.109375" style="3" bestFit="1" customWidth="1"/>
    <col min="83" max="83" width="19.21875" style="3" bestFit="1" customWidth="1"/>
    <col min="84" max="84" width="12.109375" style="3" bestFit="1" customWidth="1"/>
    <col min="85" max="85" width="16.33203125" style="3" bestFit="1" customWidth="1"/>
    <col min="86" max="86" width="9.21875" style="3" bestFit="1" customWidth="1"/>
    <col min="87" max="87" width="23.6640625" style="3" bestFit="1" customWidth="1"/>
    <col min="88" max="88" width="20.33203125" style="3" bestFit="1" customWidth="1"/>
    <col min="89" max="89" width="18.88671875" style="3" bestFit="1" customWidth="1"/>
    <col min="90" max="90" width="13.21875" style="3" bestFit="1" customWidth="1"/>
    <col min="91" max="91" width="15.33203125" style="3" bestFit="1" customWidth="1"/>
    <col min="92" max="92" width="12.44140625" style="3" bestFit="1" customWidth="1"/>
    <col min="93" max="93" width="18" style="3" bestFit="1" customWidth="1"/>
    <col min="94" max="94" width="16.5546875" style="3" bestFit="1" customWidth="1"/>
    <col min="95" max="95" width="13.33203125" style="3" bestFit="1" customWidth="1"/>
    <col min="96" max="96" width="19.77734375" style="3" bestFit="1" customWidth="1"/>
    <col min="97" max="97" width="23.109375" style="3" bestFit="1" customWidth="1"/>
    <col min="98" max="98" width="17.21875" style="3" bestFit="1" customWidth="1"/>
    <col min="99" max="99" width="23.44140625" style="3" bestFit="1" customWidth="1"/>
    <col min="100" max="100" width="22.109375" style="3" bestFit="1" customWidth="1"/>
    <col min="101" max="101" width="15.33203125" style="3" bestFit="1" customWidth="1"/>
    <col min="102" max="102" width="15.109375" style="3" bestFit="1" customWidth="1"/>
    <col min="103" max="103" width="12.109375" style="2" bestFit="1" customWidth="1"/>
    <col min="104" max="104" width="14.21875" style="2" bestFit="1" customWidth="1"/>
    <col min="105" max="105" width="14.109375" style="1" bestFit="1" customWidth="1"/>
    <col min="106" max="106" width="18.109375" style="2" bestFit="1" customWidth="1"/>
    <col min="107" max="107" width="22.21875" style="1" bestFit="1" customWidth="1"/>
    <col min="108" max="108" width="15.109375" style="1" bestFit="1" customWidth="1"/>
    <col min="109" max="109" width="16" style="2" bestFit="1" customWidth="1"/>
    <col min="110" max="110" width="15.88671875" style="2" bestFit="1" customWidth="1"/>
    <col min="111" max="111" width="20.109375" style="1" bestFit="1" customWidth="1"/>
    <col min="112" max="112" width="12.88671875" style="3" bestFit="1" customWidth="1"/>
    <col min="113" max="113" width="17.21875" style="3" bestFit="1" customWidth="1"/>
    <col min="114" max="114" width="17.88671875" style="3" bestFit="1" customWidth="1"/>
    <col min="115" max="115" width="24.109375" style="9" bestFit="1" customWidth="1"/>
    <col min="116" max="116" width="27.44140625" style="3" bestFit="1" customWidth="1"/>
    <col min="117" max="16384" width="9.109375" style="3"/>
  </cols>
  <sheetData>
    <row r="1" spans="1:116" s="2" customFormat="1" x14ac:dyDescent="0.3">
      <c r="A1" s="2" t="s">
        <v>18</v>
      </c>
      <c r="B1" s="2" t="s">
        <v>17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  <c r="AO1" s="2" t="s">
        <v>57</v>
      </c>
      <c r="AP1" s="2" t="s">
        <v>58</v>
      </c>
      <c r="AQ1" s="2" t="s">
        <v>59</v>
      </c>
      <c r="AR1" s="2" t="s">
        <v>60</v>
      </c>
      <c r="AS1" s="2" t="s">
        <v>61</v>
      </c>
      <c r="AT1" s="2" t="s">
        <v>62</v>
      </c>
      <c r="AU1" s="2" t="s">
        <v>63</v>
      </c>
      <c r="AV1" s="2" t="s">
        <v>64</v>
      </c>
      <c r="AW1" s="2" t="s">
        <v>65</v>
      </c>
      <c r="AX1" s="2" t="s">
        <v>66</v>
      </c>
      <c r="AY1" s="2" t="s">
        <v>67</v>
      </c>
      <c r="AZ1" s="2" t="s">
        <v>68</v>
      </c>
      <c r="BA1" s="2" t="s">
        <v>69</v>
      </c>
      <c r="BB1" s="2" t="s">
        <v>70</v>
      </c>
      <c r="BC1" s="2" t="s">
        <v>71</v>
      </c>
      <c r="BD1" s="2" t="s">
        <v>72</v>
      </c>
      <c r="BE1" s="2" t="s">
        <v>73</v>
      </c>
      <c r="BF1" s="2" t="s">
        <v>74</v>
      </c>
      <c r="BG1" s="2" t="s">
        <v>75</v>
      </c>
      <c r="BH1" s="2" t="s">
        <v>76</v>
      </c>
      <c r="BI1" s="2" t="s">
        <v>77</v>
      </c>
      <c r="BJ1" s="2" t="s">
        <v>78</v>
      </c>
      <c r="BK1" s="2" t="s">
        <v>79</v>
      </c>
      <c r="BL1" s="2" t="s">
        <v>80</v>
      </c>
      <c r="BM1" s="2" t="s">
        <v>81</v>
      </c>
      <c r="BN1" s="2" t="s">
        <v>82</v>
      </c>
      <c r="BO1" s="2" t="s">
        <v>83</v>
      </c>
      <c r="BP1" s="80" t="s">
        <v>84</v>
      </c>
      <c r="BQ1" s="2" t="s">
        <v>85</v>
      </c>
      <c r="BR1" s="2" t="s">
        <v>86</v>
      </c>
      <c r="BS1" s="2" t="s">
        <v>87</v>
      </c>
      <c r="BT1" s="2" t="s">
        <v>88</v>
      </c>
      <c r="BU1" s="2" t="s">
        <v>89</v>
      </c>
      <c r="BV1" s="2" t="s">
        <v>90</v>
      </c>
      <c r="BW1" s="2" t="s">
        <v>91</v>
      </c>
      <c r="BX1" s="2" t="s">
        <v>92</v>
      </c>
      <c r="BY1" s="2" t="s">
        <v>93</v>
      </c>
      <c r="BZ1" s="2" t="s">
        <v>94</v>
      </c>
      <c r="CA1" s="2" t="s">
        <v>95</v>
      </c>
      <c r="CB1" s="2" t="s">
        <v>96</v>
      </c>
      <c r="CC1" s="2" t="s">
        <v>97</v>
      </c>
      <c r="CD1" s="2" t="s">
        <v>98</v>
      </c>
      <c r="CE1" s="2" t="s">
        <v>99</v>
      </c>
      <c r="CF1" s="2" t="s">
        <v>100</v>
      </c>
      <c r="CG1" s="2" t="s">
        <v>101</v>
      </c>
      <c r="CH1" s="2" t="s">
        <v>102</v>
      </c>
      <c r="CI1" s="2" t="s">
        <v>103</v>
      </c>
      <c r="CJ1" s="2" t="s">
        <v>104</v>
      </c>
      <c r="CK1" s="2" t="s">
        <v>105</v>
      </c>
      <c r="CL1" s="2" t="s">
        <v>106</v>
      </c>
      <c r="CM1" s="2" t="s">
        <v>107</v>
      </c>
      <c r="CN1" s="2" t="s">
        <v>108</v>
      </c>
      <c r="CO1" s="2" t="s">
        <v>109</v>
      </c>
      <c r="CP1" s="2" t="s">
        <v>110</v>
      </c>
      <c r="CQ1" s="2" t="s">
        <v>111</v>
      </c>
      <c r="CR1" s="81" t="s">
        <v>112</v>
      </c>
      <c r="CS1" s="81" t="s">
        <v>113</v>
      </c>
      <c r="CT1" s="2" t="s">
        <v>114</v>
      </c>
      <c r="CU1" s="2" t="s">
        <v>115</v>
      </c>
      <c r="CV1" s="2" t="s">
        <v>116</v>
      </c>
      <c r="CW1" s="2" t="s">
        <v>117</v>
      </c>
      <c r="CX1" s="2" t="s">
        <v>409</v>
      </c>
      <c r="CY1" s="107" t="s">
        <v>432</v>
      </c>
      <c r="CZ1" s="107" t="s">
        <v>433</v>
      </c>
      <c r="DA1" s="107" t="s">
        <v>434</v>
      </c>
      <c r="DB1" s="107" t="s">
        <v>429</v>
      </c>
      <c r="DC1" s="107" t="s">
        <v>435</v>
      </c>
      <c r="DD1" s="107" t="s">
        <v>436</v>
      </c>
      <c r="DE1" s="107" t="s">
        <v>437</v>
      </c>
      <c r="DF1" s="107" t="s">
        <v>420</v>
      </c>
      <c r="DG1" s="107" t="s">
        <v>438</v>
      </c>
      <c r="DH1" s="107" t="s">
        <v>416</v>
      </c>
      <c r="DI1" s="107" t="s">
        <v>787</v>
      </c>
      <c r="DJ1" s="107" t="s">
        <v>788</v>
      </c>
      <c r="DK1" s="108" t="s">
        <v>864</v>
      </c>
      <c r="DL1" s="81" t="s">
        <v>865</v>
      </c>
    </row>
    <row r="2" spans="1:116" x14ac:dyDescent="0.3">
      <c r="A2" s="2" t="s">
        <v>257</v>
      </c>
      <c r="B2" s="1" t="s">
        <v>256</v>
      </c>
      <c r="C2" s="75">
        <v>46142</v>
      </c>
      <c r="D2" s="278">
        <v>45988</v>
      </c>
      <c r="E2" s="75">
        <v>44953</v>
      </c>
      <c r="F2" s="1" t="s">
        <v>1149</v>
      </c>
      <c r="G2" s="1" t="s">
        <v>1150</v>
      </c>
      <c r="H2" s="1" t="s">
        <v>1151</v>
      </c>
      <c r="I2" s="1" t="s">
        <v>1152</v>
      </c>
      <c r="J2" s="1" t="s">
        <v>1153</v>
      </c>
      <c r="K2" s="1" t="s">
        <v>4</v>
      </c>
      <c r="L2" s="1" t="s">
        <v>1153</v>
      </c>
      <c r="M2" s="1" t="s">
        <v>1154</v>
      </c>
      <c r="N2" s="1" t="s">
        <v>1155</v>
      </c>
      <c r="O2" s="1" t="s">
        <v>1156</v>
      </c>
      <c r="P2" s="1" t="s">
        <v>1157</v>
      </c>
      <c r="Q2" s="1" t="s">
        <v>1158</v>
      </c>
      <c r="R2" s="1" t="s">
        <v>4</v>
      </c>
      <c r="S2" s="1" t="s">
        <v>4</v>
      </c>
      <c r="T2" s="1" t="s">
        <v>1159</v>
      </c>
      <c r="U2" s="1" t="s">
        <v>1159</v>
      </c>
      <c r="V2" s="1" t="s">
        <v>152</v>
      </c>
      <c r="W2" s="1" t="s">
        <v>120</v>
      </c>
      <c r="X2" s="1" t="s">
        <v>121</v>
      </c>
      <c r="Y2" s="1" t="s">
        <v>136</v>
      </c>
      <c r="Z2" s="1" t="s">
        <v>142</v>
      </c>
      <c r="AA2" s="1" t="s">
        <v>1160</v>
      </c>
      <c r="AB2" s="1" t="s">
        <v>1161</v>
      </c>
      <c r="AC2" s="1" t="s">
        <v>1162</v>
      </c>
      <c r="AD2" s="1">
        <v>117531000</v>
      </c>
      <c r="AE2" s="1">
        <v>95237329.329999998</v>
      </c>
      <c r="AF2" s="1">
        <v>91413000</v>
      </c>
      <c r="AG2" s="1">
        <v>26118000</v>
      </c>
      <c r="AH2" s="1">
        <v>17903875.5</v>
      </c>
      <c r="AI2" s="1">
        <v>216000</v>
      </c>
      <c r="AJ2" s="1">
        <v>4353000</v>
      </c>
      <c r="AK2" s="1">
        <v>154</v>
      </c>
      <c r="AL2" s="1">
        <v>6</v>
      </c>
      <c r="AM2" s="1">
        <v>34</v>
      </c>
      <c r="AN2" s="1">
        <v>60</v>
      </c>
      <c r="AO2" s="1" t="s">
        <v>123</v>
      </c>
      <c r="AP2" s="1" t="s">
        <v>123</v>
      </c>
      <c r="AQ2" s="1" t="s">
        <v>124</v>
      </c>
      <c r="AR2" s="1" t="s">
        <v>1120</v>
      </c>
      <c r="AS2" s="1" t="s">
        <v>1121</v>
      </c>
      <c r="AT2" s="1" t="s">
        <v>1122</v>
      </c>
      <c r="AU2" s="1" t="s">
        <v>259</v>
      </c>
      <c r="AV2" s="1" t="s">
        <v>125</v>
      </c>
      <c r="AW2" s="1" t="s">
        <v>126</v>
      </c>
      <c r="AX2" s="1" t="s">
        <v>127</v>
      </c>
      <c r="AY2" s="1" t="s">
        <v>1123</v>
      </c>
      <c r="AZ2" s="1" t="s">
        <v>1124</v>
      </c>
      <c r="BA2" s="1" t="s">
        <v>1125</v>
      </c>
      <c r="BB2" s="1" t="s">
        <v>128</v>
      </c>
      <c r="BC2" s="1" t="s">
        <v>263</v>
      </c>
      <c r="BD2" s="1" t="s">
        <v>264</v>
      </c>
      <c r="BE2" s="1" t="s">
        <v>162</v>
      </c>
      <c r="BF2" s="1" t="s">
        <v>129</v>
      </c>
      <c r="BG2" s="1" t="s">
        <v>375</v>
      </c>
      <c r="BH2" s="1">
        <v>7</v>
      </c>
      <c r="BI2" s="1">
        <v>30471000</v>
      </c>
      <c r="BJ2" s="75"/>
      <c r="BK2" s="75">
        <v>46139</v>
      </c>
      <c r="BL2" s="75"/>
      <c r="BM2" s="1"/>
      <c r="BN2" s="75">
        <v>46173</v>
      </c>
      <c r="BO2" s="1">
        <v>1</v>
      </c>
      <c r="BP2" s="76">
        <v>46149</v>
      </c>
      <c r="BQ2" s="1" t="s">
        <v>131</v>
      </c>
      <c r="BR2" s="1">
        <v>161</v>
      </c>
      <c r="BS2" s="75">
        <v>45988</v>
      </c>
      <c r="BT2" s="1">
        <v>117531000</v>
      </c>
      <c r="BU2" s="1">
        <v>0</v>
      </c>
      <c r="BV2" s="1">
        <v>1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75"/>
      <c r="CD2" s="1">
        <v>0</v>
      </c>
      <c r="CE2" s="75"/>
      <c r="CF2" s="1">
        <v>0</v>
      </c>
      <c r="CG2" s="75"/>
      <c r="CH2" s="1">
        <v>0</v>
      </c>
      <c r="CI2" s="75"/>
      <c r="CJ2" s="1">
        <v>0</v>
      </c>
      <c r="CK2" s="75"/>
      <c r="CL2" s="1">
        <v>0</v>
      </c>
      <c r="CM2" s="75">
        <v>46149</v>
      </c>
      <c r="CN2" s="1" t="s">
        <v>132</v>
      </c>
      <c r="CO2" s="1">
        <v>95021329.329999998</v>
      </c>
      <c r="CP2" s="1">
        <v>0</v>
      </c>
      <c r="CQ2" s="1">
        <v>0</v>
      </c>
      <c r="CR2" s="77">
        <v>46139</v>
      </c>
      <c r="CS2" s="78" t="s">
        <v>255</v>
      </c>
      <c r="CT2" s="1">
        <v>95021329.329999998</v>
      </c>
      <c r="CU2" s="1" t="s">
        <v>265</v>
      </c>
      <c r="CV2" s="1" t="s">
        <v>205</v>
      </c>
      <c r="CW2" s="75">
        <v>46149</v>
      </c>
      <c r="CX2" s="1" t="s">
        <v>2116</v>
      </c>
      <c r="CY2" s="37">
        <f>MONTH(Table_ExternalData_14[[#This Row],[RunningReportDate]])</f>
        <v>5</v>
      </c>
      <c r="CZ2" s="37">
        <f>181-Table_ExternalData_14[[#This Row],[DaysOD]]</f>
        <v>27</v>
      </c>
      <c r="DA2" s="37">
        <f>IF(Table_ExternalData_14[[#This Row],[Status]]="PU-WC",0,Table_ExternalData_14[[#This Row],[Amount_CWO]]/1000000)</f>
        <v>0</v>
      </c>
      <c r="DB2" s="37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2" s="37">
        <f>IF(Table_ExternalData_14[[#This Row],[Status]]="PU-WC",0,IF(Table_ExternalData_14[[#This Row],[Success CWO]]=1,Table_ExternalData_14[[#This Row],[CWO Amt]],0))</f>
        <v>0</v>
      </c>
      <c r="DD2" s="37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2" s="37">
        <f>DAY(Table_ExternalData_14[[#This Row],[Tanggal_Sukses-new]])</f>
        <v>27</v>
      </c>
      <c r="DF2" s="37">
        <f>IF(Table_ExternalData_14[[#This Row],[Status]]="PU-WC",0,IF(SUM(Table_ExternalData_14[[#This Row],[Success CWO]:[WO-In-Amt]])=0,1,0))</f>
        <v>0</v>
      </c>
      <c r="DG2" s="37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2" s="37" t="str">
        <f>VLOOKUP(Table_ExternalData_14[[#This Row],[BranchID]],KC!$A:$K,5,0)</f>
        <v>4W</v>
      </c>
      <c r="DI2" s="37" t="str">
        <f>VLOOKUP(Table_ExternalData_14[[#This Row],[BranchID]],KC!$A:$K,8,0)</f>
        <v>05. Kalimantan</v>
      </c>
      <c r="DJ2" s="37" t="str">
        <f>VLOOKUP(Table_ExternalData_14[[#This Row],[BranchID]],KC!$A:$K,9,0)</f>
        <v>BALIKPAPAN</v>
      </c>
      <c r="DK2" s="79">
        <f>IF(Table_ExternalData_14[[#This Row],[Tanggal_Sukses]]=" ",Table_ExternalData_14[[#This Row],[Tanggal_Sukses]],VLOOKUP(Table_ExternalData_14[[#This Row],[ContractID]],Bantuan!$A:$C,2,0))</f>
        <v>46139</v>
      </c>
      <c r="DL2" s="37" t="str">
        <f>IF(Table_ExternalData_14[[#This Row],[Keterangan_Sukses]]=" ",Table_ExternalData_14[[#This Row],[Keterangan_Sukses]],VLOOKUP(Table_ExternalData_14[[#This Row],[ContractID]],Bantuan!$A:$C,3,0))</f>
        <v>REPO SEBELUM WO</v>
      </c>
    </row>
    <row r="3" spans="1:116" x14ac:dyDescent="0.3">
      <c r="A3" s="117" t="s">
        <v>257</v>
      </c>
      <c r="B3" s="112" t="s">
        <v>256</v>
      </c>
      <c r="C3" s="113">
        <v>46142</v>
      </c>
      <c r="D3" s="279">
        <v>45981</v>
      </c>
      <c r="E3" s="113">
        <v>45250</v>
      </c>
      <c r="F3" s="112" t="s">
        <v>1163</v>
      </c>
      <c r="G3" s="112" t="s">
        <v>1164</v>
      </c>
      <c r="H3" s="112" t="s">
        <v>1165</v>
      </c>
      <c r="I3" s="112" t="s">
        <v>1166</v>
      </c>
      <c r="J3" s="112" t="s">
        <v>1153</v>
      </c>
      <c r="K3" s="112" t="s">
        <v>4</v>
      </c>
      <c r="L3" s="112" t="s">
        <v>1153</v>
      </c>
      <c r="M3" s="112" t="s">
        <v>1167</v>
      </c>
      <c r="N3" s="112" t="s">
        <v>1168</v>
      </c>
      <c r="O3" s="112" t="s">
        <v>1169</v>
      </c>
      <c r="P3" s="112" t="s">
        <v>1157</v>
      </c>
      <c r="Q3" s="112" t="s">
        <v>1170</v>
      </c>
      <c r="R3" s="112" t="s">
        <v>4</v>
      </c>
      <c r="S3" s="112" t="s">
        <v>4</v>
      </c>
      <c r="T3" s="112" t="s">
        <v>1171</v>
      </c>
      <c r="U3" s="112" t="s">
        <v>1171</v>
      </c>
      <c r="V3" s="112" t="s">
        <v>1108</v>
      </c>
      <c r="W3" s="112" t="s">
        <v>120</v>
      </c>
      <c r="X3" s="112" t="s">
        <v>121</v>
      </c>
      <c r="Y3" s="112" t="s">
        <v>136</v>
      </c>
      <c r="Z3" s="112" t="s">
        <v>142</v>
      </c>
      <c r="AA3" s="112" t="s">
        <v>1172</v>
      </c>
      <c r="AB3" s="112" t="s">
        <v>1173</v>
      </c>
      <c r="AC3" s="112" t="s">
        <v>1174</v>
      </c>
      <c r="AD3" s="112">
        <v>172050000</v>
      </c>
      <c r="AE3" s="112">
        <v>127375534.36</v>
      </c>
      <c r="AF3" s="112">
        <v>144150000</v>
      </c>
      <c r="AG3" s="112">
        <v>27900000</v>
      </c>
      <c r="AH3" s="112">
        <v>41593000</v>
      </c>
      <c r="AI3" s="112">
        <v>2040000</v>
      </c>
      <c r="AJ3" s="112">
        <v>4650000</v>
      </c>
      <c r="AK3" s="112">
        <v>161</v>
      </c>
      <c r="AL3" s="112">
        <v>6</v>
      </c>
      <c r="AM3" s="112">
        <v>24</v>
      </c>
      <c r="AN3" s="112">
        <v>60</v>
      </c>
      <c r="AO3" s="112" t="s">
        <v>123</v>
      </c>
      <c r="AP3" s="112" t="s">
        <v>123</v>
      </c>
      <c r="AQ3" s="112" t="s">
        <v>124</v>
      </c>
      <c r="AR3" s="112" t="s">
        <v>1120</v>
      </c>
      <c r="AS3" s="112" t="s">
        <v>1121</v>
      </c>
      <c r="AT3" s="112" t="s">
        <v>1122</v>
      </c>
      <c r="AU3" s="112" t="s">
        <v>259</v>
      </c>
      <c r="AV3" s="112" t="s">
        <v>125</v>
      </c>
      <c r="AW3" s="112" t="s">
        <v>126</v>
      </c>
      <c r="AX3" s="112" t="s">
        <v>127</v>
      </c>
      <c r="AY3" s="112" t="s">
        <v>1123</v>
      </c>
      <c r="AZ3" s="112" t="s">
        <v>1124</v>
      </c>
      <c r="BA3" s="112" t="s">
        <v>1125</v>
      </c>
      <c r="BB3" s="112" t="s">
        <v>128</v>
      </c>
      <c r="BC3" s="112" t="s">
        <v>263</v>
      </c>
      <c r="BD3" s="112" t="s">
        <v>264</v>
      </c>
      <c r="BE3" s="112" t="s">
        <v>162</v>
      </c>
      <c r="BF3" s="112" t="s">
        <v>129</v>
      </c>
      <c r="BG3" s="112" t="s">
        <v>375</v>
      </c>
      <c r="BH3" s="112">
        <v>7</v>
      </c>
      <c r="BI3" s="112">
        <v>32550000</v>
      </c>
      <c r="BJ3" s="113"/>
      <c r="BK3" s="113">
        <v>46134</v>
      </c>
      <c r="BL3" s="113"/>
      <c r="BM3" s="112"/>
      <c r="BN3" s="113">
        <v>46173</v>
      </c>
      <c r="BO3" s="112">
        <v>1</v>
      </c>
      <c r="BP3" s="114">
        <v>46149</v>
      </c>
      <c r="BQ3" s="112" t="s">
        <v>131</v>
      </c>
      <c r="BR3" s="112">
        <v>168</v>
      </c>
      <c r="BS3" s="113">
        <v>45981</v>
      </c>
      <c r="BT3" s="112">
        <v>172050000</v>
      </c>
      <c r="BU3" s="112">
        <v>0</v>
      </c>
      <c r="BV3" s="112">
        <v>1</v>
      </c>
      <c r="BW3" s="112">
        <v>0</v>
      </c>
      <c r="BX3" s="112">
        <v>0</v>
      </c>
      <c r="BY3" s="112">
        <v>0</v>
      </c>
      <c r="BZ3" s="112">
        <v>0</v>
      </c>
      <c r="CA3" s="112">
        <v>0</v>
      </c>
      <c r="CB3" s="112">
        <v>0</v>
      </c>
      <c r="CC3" s="113"/>
      <c r="CD3" s="112">
        <v>0</v>
      </c>
      <c r="CE3" s="113"/>
      <c r="CF3" s="112">
        <v>0</v>
      </c>
      <c r="CG3" s="113"/>
      <c r="CH3" s="112">
        <v>0</v>
      </c>
      <c r="CI3" s="113"/>
      <c r="CJ3" s="112">
        <v>0</v>
      </c>
      <c r="CK3" s="113"/>
      <c r="CL3" s="112">
        <v>0</v>
      </c>
      <c r="CM3" s="113">
        <v>46149</v>
      </c>
      <c r="CN3" s="112" t="s">
        <v>132</v>
      </c>
      <c r="CO3" s="112">
        <v>125335534.36</v>
      </c>
      <c r="CP3" s="112">
        <v>0</v>
      </c>
      <c r="CQ3" s="112">
        <v>0</v>
      </c>
      <c r="CR3" s="118">
        <v>46134</v>
      </c>
      <c r="CS3" s="119" t="s">
        <v>255</v>
      </c>
      <c r="CT3" s="112">
        <v>125335534.36</v>
      </c>
      <c r="CU3" s="112" t="s">
        <v>265</v>
      </c>
      <c r="CV3" s="112" t="s">
        <v>205</v>
      </c>
      <c r="CW3" s="113">
        <v>46149</v>
      </c>
      <c r="CX3" s="112" t="s">
        <v>2116</v>
      </c>
      <c r="CY3" s="120">
        <f>MONTH(Table_ExternalData_14[[#This Row],[RunningReportDate]])</f>
        <v>5</v>
      </c>
      <c r="CZ3" s="120">
        <f>181-Table_ExternalData_14[[#This Row],[DaysOD]]</f>
        <v>20</v>
      </c>
      <c r="DA3" s="120">
        <f>IF(Table_ExternalData_14[[#This Row],[Status]]="PU-WC",0,Table_ExternalData_14[[#This Row],[Amount_CWO]]/1000000)</f>
        <v>0</v>
      </c>
      <c r="DB3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3" s="120">
        <f>IF(Table_ExternalData_14[[#This Row],[Status]]="PU-WC",0,IF(Table_ExternalData_14[[#This Row],[Success CWO]]=1,Table_ExternalData_14[[#This Row],[CWO Amt]],0))</f>
        <v>0</v>
      </c>
      <c r="DD3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3" s="120">
        <f>DAY(Table_ExternalData_14[[#This Row],[Tanggal_Sukses-new]])</f>
        <v>22</v>
      </c>
      <c r="DF3" s="120">
        <f>IF(Table_ExternalData_14[[#This Row],[Status]]="PU-WC",0,IF(SUM(Table_ExternalData_14[[#This Row],[Success CWO]:[WO-In-Amt]])=0,1,0))</f>
        <v>0</v>
      </c>
      <c r="DG3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3" s="120" t="str">
        <f>VLOOKUP(Table_ExternalData_14[[#This Row],[BranchID]],KC!$A:$K,5,0)</f>
        <v>4W</v>
      </c>
      <c r="DI3" s="120" t="str">
        <f>VLOOKUP(Table_ExternalData_14[[#This Row],[BranchID]],KC!$A:$K,8,0)</f>
        <v>05. Kalimantan</v>
      </c>
      <c r="DJ3" s="120" t="str">
        <f>VLOOKUP(Table_ExternalData_14[[#This Row],[BranchID]],KC!$A:$K,9,0)</f>
        <v>BALIKPAPAN</v>
      </c>
      <c r="DK3" s="121">
        <f>IF(Table_ExternalData_14[[#This Row],[Tanggal_Sukses]]=" ",Table_ExternalData_14[[#This Row],[Tanggal_Sukses]],VLOOKUP(Table_ExternalData_14[[#This Row],[ContractID]],Bantuan!$A:$C,2,0))</f>
        <v>46134</v>
      </c>
      <c r="DL3" s="120" t="str">
        <f>IF(Table_ExternalData_14[[#This Row],[Keterangan_Sukses]]=" ",Table_ExternalData_14[[#This Row],[Keterangan_Sukses]],VLOOKUP(Table_ExternalData_14[[#This Row],[ContractID]],Bantuan!$A:$C,3,0))</f>
        <v>REPO SEBELUM WO</v>
      </c>
    </row>
    <row r="4" spans="1:116" x14ac:dyDescent="0.3">
      <c r="A4" s="117" t="s">
        <v>257</v>
      </c>
      <c r="B4" s="112" t="s">
        <v>256</v>
      </c>
      <c r="C4" s="113">
        <v>46142</v>
      </c>
      <c r="D4" s="279">
        <v>45966</v>
      </c>
      <c r="E4" s="113">
        <v>45808</v>
      </c>
      <c r="F4" s="112" t="s">
        <v>1175</v>
      </c>
      <c r="G4" s="112" t="s">
        <v>1176</v>
      </c>
      <c r="H4" s="112" t="s">
        <v>1177</v>
      </c>
      <c r="I4" s="112" t="s">
        <v>1178</v>
      </c>
      <c r="J4" s="112" t="s">
        <v>1179</v>
      </c>
      <c r="K4" s="112" t="s">
        <v>4</v>
      </c>
      <c r="L4" s="112" t="s">
        <v>1179</v>
      </c>
      <c r="M4" s="112" t="s">
        <v>1180</v>
      </c>
      <c r="N4" s="112" t="s">
        <v>1181</v>
      </c>
      <c r="O4" s="112" t="s">
        <v>1182</v>
      </c>
      <c r="P4" s="112" t="s">
        <v>266</v>
      </c>
      <c r="Q4" s="112" t="s">
        <v>1134</v>
      </c>
      <c r="R4" s="112" t="s">
        <v>4</v>
      </c>
      <c r="S4" s="112" t="s">
        <v>4</v>
      </c>
      <c r="T4" s="112" t="s">
        <v>1183</v>
      </c>
      <c r="U4" s="112" t="s">
        <v>1183</v>
      </c>
      <c r="V4" s="112" t="s">
        <v>1184</v>
      </c>
      <c r="W4" s="112" t="s">
        <v>120</v>
      </c>
      <c r="X4" s="112" t="s">
        <v>121</v>
      </c>
      <c r="Y4" s="112" t="s">
        <v>136</v>
      </c>
      <c r="Z4" s="112" t="s">
        <v>137</v>
      </c>
      <c r="AA4" s="112" t="s">
        <v>1185</v>
      </c>
      <c r="AB4" s="112" t="s">
        <v>1186</v>
      </c>
      <c r="AC4" s="112" t="s">
        <v>1187</v>
      </c>
      <c r="AD4" s="112">
        <v>209484000</v>
      </c>
      <c r="AE4" s="112">
        <v>150032209.25</v>
      </c>
      <c r="AF4" s="112">
        <v>180918000</v>
      </c>
      <c r="AG4" s="112">
        <v>28566000</v>
      </c>
      <c r="AH4" s="112">
        <v>15230420</v>
      </c>
      <c r="AI4" s="112">
        <v>0</v>
      </c>
      <c r="AJ4" s="112">
        <v>4761000</v>
      </c>
      <c r="AK4" s="112">
        <v>176</v>
      </c>
      <c r="AL4" s="112">
        <v>6</v>
      </c>
      <c r="AM4" s="112">
        <v>5</v>
      </c>
      <c r="AN4" s="112">
        <v>48</v>
      </c>
      <c r="AO4" s="112" t="s">
        <v>123</v>
      </c>
      <c r="AP4" s="112" t="s">
        <v>123</v>
      </c>
      <c r="AQ4" s="112" t="s">
        <v>124</v>
      </c>
      <c r="AR4" s="112" t="s">
        <v>1131</v>
      </c>
      <c r="AS4" s="112" t="s">
        <v>1132</v>
      </c>
      <c r="AT4" s="112" t="s">
        <v>1133</v>
      </c>
      <c r="AU4" s="112" t="s">
        <v>259</v>
      </c>
      <c r="AV4" s="112" t="s">
        <v>125</v>
      </c>
      <c r="AW4" s="112" t="s">
        <v>126</v>
      </c>
      <c r="AX4" s="112" t="s">
        <v>127</v>
      </c>
      <c r="AY4" s="112" t="s">
        <v>260</v>
      </c>
      <c r="AZ4" s="112" t="s">
        <v>261</v>
      </c>
      <c r="BA4" s="112" t="s">
        <v>262</v>
      </c>
      <c r="BB4" s="112" t="s">
        <v>128</v>
      </c>
      <c r="BC4" s="112" t="s">
        <v>263</v>
      </c>
      <c r="BD4" s="112" t="s">
        <v>264</v>
      </c>
      <c r="BE4" s="112" t="s">
        <v>162</v>
      </c>
      <c r="BF4" s="112" t="s">
        <v>129</v>
      </c>
      <c r="BG4" s="112" t="s">
        <v>130</v>
      </c>
      <c r="BH4" s="112">
        <v>7</v>
      </c>
      <c r="BI4" s="112">
        <v>33327000</v>
      </c>
      <c r="BJ4" s="113"/>
      <c r="BK4" s="113"/>
      <c r="BL4" s="113"/>
      <c r="BM4" s="112"/>
      <c r="BN4" s="113">
        <v>46173</v>
      </c>
      <c r="BO4" s="112">
        <v>1</v>
      </c>
      <c r="BP4" s="114">
        <v>46149</v>
      </c>
      <c r="BQ4" s="112" t="s">
        <v>131</v>
      </c>
      <c r="BR4" s="112">
        <v>183</v>
      </c>
      <c r="BS4" s="113">
        <v>45966</v>
      </c>
      <c r="BT4" s="112">
        <v>209484000</v>
      </c>
      <c r="BU4" s="112">
        <v>0</v>
      </c>
      <c r="BV4" s="112">
        <v>1</v>
      </c>
      <c r="BW4" s="112">
        <v>0</v>
      </c>
      <c r="BX4" s="112">
        <v>0</v>
      </c>
      <c r="BY4" s="112">
        <v>0</v>
      </c>
      <c r="BZ4" s="112">
        <v>0</v>
      </c>
      <c r="CA4" s="112">
        <v>0</v>
      </c>
      <c r="CB4" s="112">
        <v>0</v>
      </c>
      <c r="CC4" s="113"/>
      <c r="CD4" s="112">
        <v>0</v>
      </c>
      <c r="CE4" s="113"/>
      <c r="CF4" s="112">
        <v>0</v>
      </c>
      <c r="CG4" s="113"/>
      <c r="CH4" s="112">
        <v>0</v>
      </c>
      <c r="CI4" s="113"/>
      <c r="CJ4" s="112">
        <v>0</v>
      </c>
      <c r="CK4" s="113"/>
      <c r="CL4" s="112">
        <v>0</v>
      </c>
      <c r="CM4" s="113">
        <v>46149</v>
      </c>
      <c r="CN4" s="112" t="s">
        <v>132</v>
      </c>
      <c r="CO4" s="112">
        <v>150032209.25</v>
      </c>
      <c r="CP4" s="112">
        <v>150032209.25</v>
      </c>
      <c r="CQ4" s="112">
        <v>5</v>
      </c>
      <c r="CR4" s="118"/>
      <c r="CS4" s="119"/>
      <c r="CT4" s="112">
        <v>0</v>
      </c>
      <c r="CU4" s="112" t="s">
        <v>265</v>
      </c>
      <c r="CV4" s="112" t="s">
        <v>205</v>
      </c>
      <c r="CW4" s="113">
        <v>46149</v>
      </c>
      <c r="CX4" s="112" t="s">
        <v>2116</v>
      </c>
      <c r="CY4" s="120">
        <f>MONTH(Table_ExternalData_14[[#This Row],[RunningReportDate]])</f>
        <v>5</v>
      </c>
      <c r="CZ4" s="120">
        <f>181-Table_ExternalData_14[[#This Row],[DaysOD]]</f>
        <v>5</v>
      </c>
      <c r="DA4" s="120">
        <f>IF(Table_ExternalData_14[[#This Row],[Status]]="PU-WC",0,Table_ExternalData_14[[#This Row],[Amount_CWO]]/1000000)</f>
        <v>150.03220924999999</v>
      </c>
      <c r="DB4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4" s="120">
        <f>IF(Table_ExternalData_14[[#This Row],[Status]]="PU-WC",0,IF(Table_ExternalData_14[[#This Row],[Success CWO]]=1,Table_ExternalData_14[[#This Row],[CWO Amt]],0))</f>
        <v>0</v>
      </c>
      <c r="DD4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150.03220924999999</v>
      </c>
      <c r="DE4" s="120">
        <f>DAY(Table_ExternalData_14[[#This Row],[Tanggal_Sukses-new]])</f>
        <v>0</v>
      </c>
      <c r="DF4" s="120">
        <f>IF(Table_ExternalData_14[[#This Row],[Status]]="PU-WC",0,IF(SUM(Table_ExternalData_14[[#This Row],[Success CWO]:[WO-In-Amt]])=0,1,0))</f>
        <v>0</v>
      </c>
      <c r="DG4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4" s="120" t="str">
        <f>VLOOKUP(Table_ExternalData_14[[#This Row],[BranchID]],KC!$A:$K,5,0)</f>
        <v>4W</v>
      </c>
      <c r="DI4" s="120" t="str">
        <f>VLOOKUP(Table_ExternalData_14[[#This Row],[BranchID]],KC!$A:$K,8,0)</f>
        <v>05. Kalimantan</v>
      </c>
      <c r="DJ4" s="120" t="str">
        <f>VLOOKUP(Table_ExternalData_14[[#This Row],[BranchID]],KC!$A:$K,9,0)</f>
        <v>BALIKPAPAN</v>
      </c>
      <c r="DK4" s="121">
        <f>IF(Table_ExternalData_14[[#This Row],[Tanggal_Sukses]]=" ",Table_ExternalData_14[[#This Row],[Tanggal_Sukses]],VLOOKUP(Table_ExternalData_14[[#This Row],[ContractID]],Bantuan!$A:$C,2,0))</f>
        <v>0</v>
      </c>
      <c r="DL4" s="120">
        <f>IF(Table_ExternalData_14[[#This Row],[Keterangan_Sukses]]=" ",Table_ExternalData_14[[#This Row],[Keterangan_Sukses]],VLOOKUP(Table_ExternalData_14[[#This Row],[ContractID]],Bantuan!$A:$C,3,0))</f>
        <v>0</v>
      </c>
    </row>
    <row r="5" spans="1:116" x14ac:dyDescent="0.3">
      <c r="A5" s="117" t="s">
        <v>270</v>
      </c>
      <c r="B5" s="112" t="s">
        <v>269</v>
      </c>
      <c r="C5" s="113">
        <v>46142</v>
      </c>
      <c r="D5" s="279">
        <v>45980</v>
      </c>
      <c r="E5" s="113">
        <v>44400</v>
      </c>
      <c r="F5" s="112" t="s">
        <v>2103</v>
      </c>
      <c r="G5" s="112" t="s">
        <v>2104</v>
      </c>
      <c r="H5" s="112" t="s">
        <v>2105</v>
      </c>
      <c r="I5" s="112" t="s">
        <v>2106</v>
      </c>
      <c r="J5" s="112" t="s">
        <v>2107</v>
      </c>
      <c r="K5" s="112" t="s">
        <v>4</v>
      </c>
      <c r="L5" s="112" t="s">
        <v>2107</v>
      </c>
      <c r="M5" s="112" t="s">
        <v>2108</v>
      </c>
      <c r="N5" s="112" t="s">
        <v>2109</v>
      </c>
      <c r="O5" s="112" t="s">
        <v>269</v>
      </c>
      <c r="P5" s="112" t="s">
        <v>279</v>
      </c>
      <c r="Q5" s="112" t="s">
        <v>2110</v>
      </c>
      <c r="R5" s="112" t="s">
        <v>4</v>
      </c>
      <c r="S5" s="112" t="s">
        <v>4</v>
      </c>
      <c r="T5" s="112" t="s">
        <v>323</v>
      </c>
      <c r="U5" s="112" t="s">
        <v>323</v>
      </c>
      <c r="V5" s="112" t="s">
        <v>156</v>
      </c>
      <c r="W5" s="112" t="s">
        <v>120</v>
      </c>
      <c r="X5" s="112" t="s">
        <v>121</v>
      </c>
      <c r="Y5" s="112" t="s">
        <v>136</v>
      </c>
      <c r="Z5" s="112" t="s">
        <v>137</v>
      </c>
      <c r="AA5" s="112" t="s">
        <v>2111</v>
      </c>
      <c r="AB5" s="112" t="s">
        <v>2112</v>
      </c>
      <c r="AC5" s="112" t="s">
        <v>2113</v>
      </c>
      <c r="AD5" s="112">
        <v>4557000</v>
      </c>
      <c r="AE5" s="112">
        <v>4496825.67</v>
      </c>
      <c r="AF5" s="112">
        <v>0</v>
      </c>
      <c r="AG5" s="112">
        <v>4557000</v>
      </c>
      <c r="AH5" s="112">
        <v>39806355</v>
      </c>
      <c r="AI5" s="112">
        <v>49607.5</v>
      </c>
      <c r="AJ5" s="112">
        <v>4557000</v>
      </c>
      <c r="AK5" s="112">
        <v>162</v>
      </c>
      <c r="AL5" s="112">
        <v>1</v>
      </c>
      <c r="AM5" s="112">
        <v>51</v>
      </c>
      <c r="AN5" s="112">
        <v>51</v>
      </c>
      <c r="AO5" s="112" t="s">
        <v>123</v>
      </c>
      <c r="AP5" s="112" t="s">
        <v>123</v>
      </c>
      <c r="AQ5" s="112" t="s">
        <v>124</v>
      </c>
      <c r="AR5" s="112" t="s">
        <v>920</v>
      </c>
      <c r="AS5" s="112" t="s">
        <v>921</v>
      </c>
      <c r="AT5" s="112" t="s">
        <v>922</v>
      </c>
      <c r="AU5" s="112" t="s">
        <v>273</v>
      </c>
      <c r="AV5" s="112" t="s">
        <v>125</v>
      </c>
      <c r="AW5" s="112" t="s">
        <v>126</v>
      </c>
      <c r="AX5" s="112" t="s">
        <v>127</v>
      </c>
      <c r="AY5" s="112" t="s">
        <v>274</v>
      </c>
      <c r="AZ5" s="112" t="s">
        <v>275</v>
      </c>
      <c r="BA5" s="112" t="s">
        <v>276</v>
      </c>
      <c r="BB5" s="112" t="s">
        <v>128</v>
      </c>
      <c r="BC5" s="112" t="s">
        <v>277</v>
      </c>
      <c r="BD5" s="112" t="s">
        <v>125</v>
      </c>
      <c r="BE5" s="112" t="s">
        <v>126</v>
      </c>
      <c r="BF5" s="112" t="s">
        <v>129</v>
      </c>
      <c r="BG5" s="112" t="s">
        <v>130</v>
      </c>
      <c r="BH5" s="112">
        <v>1</v>
      </c>
      <c r="BI5" s="112">
        <v>4557000</v>
      </c>
      <c r="BJ5" s="113"/>
      <c r="BK5" s="113"/>
      <c r="BL5" s="113"/>
      <c r="BM5" s="112"/>
      <c r="BN5" s="113">
        <v>46173</v>
      </c>
      <c r="BO5" s="112">
        <v>1</v>
      </c>
      <c r="BP5" s="114">
        <v>46149</v>
      </c>
      <c r="BQ5" s="112" t="s">
        <v>131</v>
      </c>
      <c r="BR5" s="112">
        <v>169</v>
      </c>
      <c r="BS5" s="113">
        <v>45980</v>
      </c>
      <c r="BT5" s="112">
        <v>4557000</v>
      </c>
      <c r="BU5" s="112">
        <v>0</v>
      </c>
      <c r="BV5" s="112">
        <v>1</v>
      </c>
      <c r="BW5" s="112">
        <v>0</v>
      </c>
      <c r="BX5" s="112">
        <v>0</v>
      </c>
      <c r="BY5" s="112">
        <v>0</v>
      </c>
      <c r="BZ5" s="112">
        <v>0</v>
      </c>
      <c r="CA5" s="112">
        <v>0</v>
      </c>
      <c r="CB5" s="112">
        <v>0</v>
      </c>
      <c r="CC5" s="113"/>
      <c r="CD5" s="112">
        <v>0</v>
      </c>
      <c r="CE5" s="113"/>
      <c r="CF5" s="112">
        <v>0</v>
      </c>
      <c r="CG5" s="113"/>
      <c r="CH5" s="112">
        <v>0</v>
      </c>
      <c r="CI5" s="113"/>
      <c r="CJ5" s="112">
        <v>0</v>
      </c>
      <c r="CK5" s="113"/>
      <c r="CL5" s="112">
        <v>0</v>
      </c>
      <c r="CM5" s="113">
        <v>46149</v>
      </c>
      <c r="CN5" s="112" t="s">
        <v>132</v>
      </c>
      <c r="CO5" s="112">
        <v>4447218.17</v>
      </c>
      <c r="CP5" s="112">
        <v>4447218.17</v>
      </c>
      <c r="CQ5" s="112">
        <v>19</v>
      </c>
      <c r="CR5" s="118"/>
      <c r="CS5" s="119"/>
      <c r="CT5" s="112">
        <v>0</v>
      </c>
      <c r="CU5" s="112" t="s">
        <v>278</v>
      </c>
      <c r="CV5" s="112" t="s">
        <v>134</v>
      </c>
      <c r="CW5" s="113">
        <v>46149</v>
      </c>
      <c r="CX5" s="112" t="s">
        <v>2116</v>
      </c>
      <c r="CY5" s="120">
        <f>MONTH(Table_ExternalData_14[[#This Row],[RunningReportDate]])</f>
        <v>5</v>
      </c>
      <c r="CZ5" s="120">
        <f>181-Table_ExternalData_14[[#This Row],[DaysOD]]</f>
        <v>19</v>
      </c>
      <c r="DA5" s="120">
        <f>IF(Table_ExternalData_14[[#This Row],[Status]]="PU-WC",0,Table_ExternalData_14[[#This Row],[Amount_CWO]]/1000000)</f>
        <v>4.4472181700000002</v>
      </c>
      <c r="DB5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5" s="120">
        <f>IF(Table_ExternalData_14[[#This Row],[Status]]="PU-WC",0,IF(Table_ExternalData_14[[#This Row],[Success CWO]]=1,Table_ExternalData_14[[#This Row],[CWO Amt]],0))</f>
        <v>0</v>
      </c>
      <c r="DD5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5" s="120">
        <f>DAY(Table_ExternalData_14[[#This Row],[Tanggal_Sukses-new]])</f>
        <v>0</v>
      </c>
      <c r="DF5" s="120">
        <f>IF(Table_ExternalData_14[[#This Row],[Status]]="PU-WC",0,IF(SUM(Table_ExternalData_14[[#This Row],[Success CWO]:[WO-In-Amt]])=0,1,0))</f>
        <v>1</v>
      </c>
      <c r="DG5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4.4472181700000002</v>
      </c>
      <c r="DH5" s="120" t="str">
        <f>VLOOKUP(Table_ExternalData_14[[#This Row],[BranchID]],KC!$A:$K,5,0)</f>
        <v>4W</v>
      </c>
      <c r="DI5" s="120" t="str">
        <f>VLOOKUP(Table_ExternalData_14[[#This Row],[BranchID]],KC!$A:$K,8,0)</f>
        <v>09. IBT</v>
      </c>
      <c r="DJ5" s="120" t="str">
        <f>VLOOKUP(Table_ExternalData_14[[#This Row],[BranchID]],KC!$A:$K,9,0)</f>
        <v>KUPANG</v>
      </c>
      <c r="DK5" s="121">
        <f>IF(Table_ExternalData_14[[#This Row],[Tanggal_Sukses]]=" ",Table_ExternalData_14[[#This Row],[Tanggal_Sukses]],VLOOKUP(Table_ExternalData_14[[#This Row],[ContractID]],Bantuan!$A:$C,2,0))</f>
        <v>0</v>
      </c>
      <c r="DL5" s="120">
        <f>IF(Table_ExternalData_14[[#This Row],[Keterangan_Sukses]]=" ",Table_ExternalData_14[[#This Row],[Keterangan_Sukses]],VLOOKUP(Table_ExternalData_14[[#This Row],[ContractID]],Bantuan!$A:$C,3,0))</f>
        <v>0</v>
      </c>
    </row>
    <row r="6" spans="1:116" x14ac:dyDescent="0.3">
      <c r="A6" s="117" t="s">
        <v>270</v>
      </c>
      <c r="B6" s="112" t="s">
        <v>269</v>
      </c>
      <c r="C6" s="113">
        <v>46142</v>
      </c>
      <c r="D6" s="279">
        <v>45962</v>
      </c>
      <c r="E6" s="113">
        <v>44592</v>
      </c>
      <c r="F6" s="112" t="s">
        <v>2093</v>
      </c>
      <c r="G6" s="112" t="s">
        <v>2094</v>
      </c>
      <c r="H6" s="112" t="s">
        <v>2095</v>
      </c>
      <c r="I6" s="112" t="s">
        <v>2096</v>
      </c>
      <c r="J6" s="112" t="s">
        <v>2097</v>
      </c>
      <c r="K6" s="112" t="s">
        <v>4</v>
      </c>
      <c r="L6" s="112" t="s">
        <v>2097</v>
      </c>
      <c r="M6" s="112" t="s">
        <v>2098</v>
      </c>
      <c r="N6" s="112" t="s">
        <v>2099</v>
      </c>
      <c r="O6" s="112" t="s">
        <v>269</v>
      </c>
      <c r="P6" s="112" t="s">
        <v>271</v>
      </c>
      <c r="Q6" s="112" t="s">
        <v>272</v>
      </c>
      <c r="R6" s="112" t="s">
        <v>4</v>
      </c>
      <c r="S6" s="112" t="s">
        <v>4</v>
      </c>
      <c r="T6" s="112" t="s">
        <v>1004</v>
      </c>
      <c r="U6" s="112" t="s">
        <v>1004</v>
      </c>
      <c r="V6" s="112" t="s">
        <v>135</v>
      </c>
      <c r="W6" s="112" t="s">
        <v>120</v>
      </c>
      <c r="X6" s="112" t="s">
        <v>121</v>
      </c>
      <c r="Y6" s="112" t="s">
        <v>136</v>
      </c>
      <c r="Z6" s="112" t="s">
        <v>137</v>
      </c>
      <c r="AA6" s="112" t="s">
        <v>2100</v>
      </c>
      <c r="AB6" s="112" t="s">
        <v>2101</v>
      </c>
      <c r="AC6" s="112" t="s">
        <v>2102</v>
      </c>
      <c r="AD6" s="112">
        <v>61376000</v>
      </c>
      <c r="AE6" s="112">
        <v>54467950.479999997</v>
      </c>
      <c r="AF6" s="112">
        <v>38360000</v>
      </c>
      <c r="AG6" s="112">
        <v>23016000</v>
      </c>
      <c r="AH6" s="112">
        <v>46077620</v>
      </c>
      <c r="AI6" s="112">
        <v>0</v>
      </c>
      <c r="AJ6" s="112">
        <v>3836000</v>
      </c>
      <c r="AK6" s="112">
        <v>180</v>
      </c>
      <c r="AL6" s="112">
        <v>6</v>
      </c>
      <c r="AM6" s="112">
        <v>45</v>
      </c>
      <c r="AN6" s="112">
        <v>60</v>
      </c>
      <c r="AO6" s="112" t="s">
        <v>123</v>
      </c>
      <c r="AP6" s="112" t="s">
        <v>123</v>
      </c>
      <c r="AQ6" s="112" t="s">
        <v>124</v>
      </c>
      <c r="AR6" s="112" t="s">
        <v>920</v>
      </c>
      <c r="AS6" s="112" t="s">
        <v>921</v>
      </c>
      <c r="AT6" s="112" t="s">
        <v>922</v>
      </c>
      <c r="AU6" s="112" t="s">
        <v>273</v>
      </c>
      <c r="AV6" s="112" t="s">
        <v>125</v>
      </c>
      <c r="AW6" s="112" t="s">
        <v>126</v>
      </c>
      <c r="AX6" s="112" t="s">
        <v>127</v>
      </c>
      <c r="AY6" s="112" t="s">
        <v>274</v>
      </c>
      <c r="AZ6" s="112" t="s">
        <v>275</v>
      </c>
      <c r="BA6" s="112" t="s">
        <v>276</v>
      </c>
      <c r="BB6" s="112" t="s">
        <v>128</v>
      </c>
      <c r="BC6" s="112" t="s">
        <v>277</v>
      </c>
      <c r="BD6" s="112" t="s">
        <v>125</v>
      </c>
      <c r="BE6" s="112" t="s">
        <v>126</v>
      </c>
      <c r="BF6" s="112" t="s">
        <v>129</v>
      </c>
      <c r="BG6" s="112" t="s">
        <v>130</v>
      </c>
      <c r="BH6" s="112">
        <v>7</v>
      </c>
      <c r="BI6" s="112">
        <v>26852000</v>
      </c>
      <c r="BJ6" s="113"/>
      <c r="BK6" s="113"/>
      <c r="BL6" s="113"/>
      <c r="BM6" s="112"/>
      <c r="BN6" s="113">
        <v>46173</v>
      </c>
      <c r="BO6" s="112">
        <v>1</v>
      </c>
      <c r="BP6" s="114">
        <v>46149</v>
      </c>
      <c r="BQ6" s="112" t="s">
        <v>131</v>
      </c>
      <c r="BR6" s="112">
        <v>187</v>
      </c>
      <c r="BS6" s="113">
        <v>45962</v>
      </c>
      <c r="BT6" s="112">
        <v>61376000</v>
      </c>
      <c r="BU6" s="112">
        <v>0</v>
      </c>
      <c r="BV6" s="112">
        <v>1</v>
      </c>
      <c r="BW6" s="112">
        <v>0</v>
      </c>
      <c r="BX6" s="112">
        <v>0</v>
      </c>
      <c r="BY6" s="112">
        <v>0</v>
      </c>
      <c r="BZ6" s="112">
        <v>0</v>
      </c>
      <c r="CA6" s="112">
        <v>0</v>
      </c>
      <c r="CB6" s="112">
        <v>0</v>
      </c>
      <c r="CC6" s="113"/>
      <c r="CD6" s="112">
        <v>0</v>
      </c>
      <c r="CE6" s="113"/>
      <c r="CF6" s="112">
        <v>0</v>
      </c>
      <c r="CG6" s="113"/>
      <c r="CH6" s="112">
        <v>0</v>
      </c>
      <c r="CI6" s="113"/>
      <c r="CJ6" s="112">
        <v>0</v>
      </c>
      <c r="CK6" s="113"/>
      <c r="CL6" s="112">
        <v>0</v>
      </c>
      <c r="CM6" s="113">
        <v>46149</v>
      </c>
      <c r="CN6" s="112" t="s">
        <v>132</v>
      </c>
      <c r="CO6" s="112">
        <v>54467950.479999997</v>
      </c>
      <c r="CP6" s="112">
        <v>54467950.479999997</v>
      </c>
      <c r="CQ6" s="112">
        <v>1</v>
      </c>
      <c r="CR6" s="118"/>
      <c r="CS6" s="119"/>
      <c r="CT6" s="112">
        <v>0</v>
      </c>
      <c r="CU6" s="112" t="s">
        <v>278</v>
      </c>
      <c r="CV6" s="112" t="s">
        <v>134</v>
      </c>
      <c r="CW6" s="113">
        <v>46149</v>
      </c>
      <c r="CX6" s="112" t="s">
        <v>2116</v>
      </c>
      <c r="CY6" s="120">
        <f>MONTH(Table_ExternalData_14[[#This Row],[RunningReportDate]])</f>
        <v>5</v>
      </c>
      <c r="CZ6" s="120">
        <f>181-Table_ExternalData_14[[#This Row],[DaysOD]]</f>
        <v>1</v>
      </c>
      <c r="DA6" s="120">
        <f>IF(Table_ExternalData_14[[#This Row],[Status]]="PU-WC",0,Table_ExternalData_14[[#This Row],[Amount_CWO]]/1000000)</f>
        <v>54.467950479999999</v>
      </c>
      <c r="DB6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6" s="120">
        <f>IF(Table_ExternalData_14[[#This Row],[Status]]="PU-WC",0,IF(Table_ExternalData_14[[#This Row],[Success CWO]]=1,Table_ExternalData_14[[#This Row],[CWO Amt]],0))</f>
        <v>0</v>
      </c>
      <c r="DD6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54.467950479999999</v>
      </c>
      <c r="DE6" s="120">
        <f>DAY(Table_ExternalData_14[[#This Row],[Tanggal_Sukses-new]])</f>
        <v>0</v>
      </c>
      <c r="DF6" s="120">
        <f>IF(Table_ExternalData_14[[#This Row],[Status]]="PU-WC",0,IF(SUM(Table_ExternalData_14[[#This Row],[Success CWO]:[WO-In-Amt]])=0,1,0))</f>
        <v>0</v>
      </c>
      <c r="DG6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6" s="120" t="str">
        <f>VLOOKUP(Table_ExternalData_14[[#This Row],[BranchID]],KC!$A:$K,5,0)</f>
        <v>4W</v>
      </c>
      <c r="DI6" s="120" t="str">
        <f>VLOOKUP(Table_ExternalData_14[[#This Row],[BranchID]],KC!$A:$K,8,0)</f>
        <v>09. IBT</v>
      </c>
      <c r="DJ6" s="120" t="str">
        <f>VLOOKUP(Table_ExternalData_14[[#This Row],[BranchID]],KC!$A:$K,9,0)</f>
        <v>KUPANG</v>
      </c>
      <c r="DK6" s="121">
        <f>IF(Table_ExternalData_14[[#This Row],[Tanggal_Sukses]]=" ",Table_ExternalData_14[[#This Row],[Tanggal_Sukses]],VLOOKUP(Table_ExternalData_14[[#This Row],[ContractID]],Bantuan!$A:$C,2,0))</f>
        <v>0</v>
      </c>
      <c r="DL6" s="120">
        <f>IF(Table_ExternalData_14[[#This Row],[Keterangan_Sukses]]=" ",Table_ExternalData_14[[#This Row],[Keterangan_Sukses]],VLOOKUP(Table_ExternalData_14[[#This Row],[ContractID]],Bantuan!$A:$C,3,0))</f>
        <v>0</v>
      </c>
    </row>
    <row r="7" spans="1:116" x14ac:dyDescent="0.3">
      <c r="A7" s="117" t="s">
        <v>270</v>
      </c>
      <c r="B7" s="112" t="s">
        <v>269</v>
      </c>
      <c r="C7" s="113">
        <v>46142</v>
      </c>
      <c r="D7" s="279">
        <v>45964</v>
      </c>
      <c r="E7" s="113">
        <v>44599</v>
      </c>
      <c r="F7" s="112" t="s">
        <v>2082</v>
      </c>
      <c r="G7" s="112" t="s">
        <v>2083</v>
      </c>
      <c r="H7" s="112" t="s">
        <v>2084</v>
      </c>
      <c r="I7" s="112" t="s">
        <v>2085</v>
      </c>
      <c r="J7" s="112" t="s">
        <v>2086</v>
      </c>
      <c r="K7" s="112" t="s">
        <v>4</v>
      </c>
      <c r="L7" s="112" t="s">
        <v>2086</v>
      </c>
      <c r="M7" s="112" t="s">
        <v>2087</v>
      </c>
      <c r="N7" s="112" t="s">
        <v>2088</v>
      </c>
      <c r="O7" s="112" t="s">
        <v>894</v>
      </c>
      <c r="P7" s="112" t="s">
        <v>992</v>
      </c>
      <c r="Q7" s="112" t="s">
        <v>2089</v>
      </c>
      <c r="R7" s="112" t="s">
        <v>4</v>
      </c>
      <c r="S7" s="112" t="s">
        <v>4</v>
      </c>
      <c r="T7" s="112" t="s">
        <v>1004</v>
      </c>
      <c r="U7" s="112" t="s">
        <v>1004</v>
      </c>
      <c r="V7" s="112" t="s">
        <v>156</v>
      </c>
      <c r="W7" s="112" t="s">
        <v>120</v>
      </c>
      <c r="X7" s="112" t="s">
        <v>121</v>
      </c>
      <c r="Y7" s="112" t="s">
        <v>136</v>
      </c>
      <c r="Z7" s="112" t="s">
        <v>137</v>
      </c>
      <c r="AA7" s="112" t="s">
        <v>2090</v>
      </c>
      <c r="AB7" s="112" t="s">
        <v>2091</v>
      </c>
      <c r="AC7" s="112" t="s">
        <v>2092</v>
      </c>
      <c r="AD7" s="112">
        <v>17520000</v>
      </c>
      <c r="AE7" s="112">
        <v>16911767.289999999</v>
      </c>
      <c r="AF7" s="112">
        <v>0</v>
      </c>
      <c r="AG7" s="112">
        <v>17520000</v>
      </c>
      <c r="AH7" s="112">
        <v>42298700</v>
      </c>
      <c r="AI7" s="112">
        <v>0</v>
      </c>
      <c r="AJ7" s="112">
        <v>4380000</v>
      </c>
      <c r="AK7" s="112">
        <v>178</v>
      </c>
      <c r="AL7" s="112">
        <v>4</v>
      </c>
      <c r="AM7" s="112">
        <v>45</v>
      </c>
      <c r="AN7" s="112">
        <v>48</v>
      </c>
      <c r="AO7" s="112" t="s">
        <v>123</v>
      </c>
      <c r="AP7" s="112" t="s">
        <v>123</v>
      </c>
      <c r="AQ7" s="112" t="s">
        <v>124</v>
      </c>
      <c r="AR7" s="112" t="s">
        <v>2069</v>
      </c>
      <c r="AS7" s="112" t="s">
        <v>2070</v>
      </c>
      <c r="AT7" s="112" t="s">
        <v>2071</v>
      </c>
      <c r="AU7" s="112" t="s">
        <v>273</v>
      </c>
      <c r="AV7" s="112" t="s">
        <v>125</v>
      </c>
      <c r="AW7" s="112" t="s">
        <v>126</v>
      </c>
      <c r="AX7" s="112" t="s">
        <v>127</v>
      </c>
      <c r="AY7" s="112" t="s">
        <v>274</v>
      </c>
      <c r="AZ7" s="112" t="s">
        <v>275</v>
      </c>
      <c r="BA7" s="112" t="s">
        <v>276</v>
      </c>
      <c r="BB7" s="112" t="s">
        <v>128</v>
      </c>
      <c r="BC7" s="112" t="s">
        <v>277</v>
      </c>
      <c r="BD7" s="112" t="s">
        <v>125</v>
      </c>
      <c r="BE7" s="112" t="s">
        <v>126</v>
      </c>
      <c r="BF7" s="112" t="s">
        <v>129</v>
      </c>
      <c r="BG7" s="112" t="s">
        <v>130</v>
      </c>
      <c r="BH7" s="112">
        <v>4</v>
      </c>
      <c r="BI7" s="112">
        <v>17520000</v>
      </c>
      <c r="BJ7" s="113"/>
      <c r="BK7" s="113"/>
      <c r="BL7" s="113"/>
      <c r="BM7" s="112"/>
      <c r="BN7" s="113">
        <v>46173</v>
      </c>
      <c r="BO7" s="112">
        <v>1</v>
      </c>
      <c r="BP7" s="114">
        <v>46149</v>
      </c>
      <c r="BQ7" s="112" t="s">
        <v>131</v>
      </c>
      <c r="BR7" s="112">
        <v>185</v>
      </c>
      <c r="BS7" s="113">
        <v>45964</v>
      </c>
      <c r="BT7" s="112">
        <v>17520000</v>
      </c>
      <c r="BU7" s="112">
        <v>0</v>
      </c>
      <c r="BV7" s="112">
        <v>1</v>
      </c>
      <c r="BW7" s="112">
        <v>0</v>
      </c>
      <c r="BX7" s="112">
        <v>0</v>
      </c>
      <c r="BY7" s="112">
        <v>0</v>
      </c>
      <c r="BZ7" s="112">
        <v>0</v>
      </c>
      <c r="CA7" s="112">
        <v>0</v>
      </c>
      <c r="CB7" s="112">
        <v>0</v>
      </c>
      <c r="CC7" s="113"/>
      <c r="CD7" s="112">
        <v>0</v>
      </c>
      <c r="CE7" s="113"/>
      <c r="CF7" s="112">
        <v>0</v>
      </c>
      <c r="CG7" s="113"/>
      <c r="CH7" s="112">
        <v>0</v>
      </c>
      <c r="CI7" s="113"/>
      <c r="CJ7" s="112">
        <v>0</v>
      </c>
      <c r="CK7" s="113"/>
      <c r="CL7" s="112">
        <v>0</v>
      </c>
      <c r="CM7" s="113">
        <v>46149</v>
      </c>
      <c r="CN7" s="112" t="s">
        <v>132</v>
      </c>
      <c r="CO7" s="112">
        <v>16911767.289999999</v>
      </c>
      <c r="CP7" s="112">
        <v>16911767.289999999</v>
      </c>
      <c r="CQ7" s="112">
        <v>3</v>
      </c>
      <c r="CR7" s="118"/>
      <c r="CS7" s="119"/>
      <c r="CT7" s="112">
        <v>0</v>
      </c>
      <c r="CU7" s="112" t="s">
        <v>278</v>
      </c>
      <c r="CV7" s="112" t="s">
        <v>134</v>
      </c>
      <c r="CW7" s="113">
        <v>46149</v>
      </c>
      <c r="CX7" s="112" t="s">
        <v>2116</v>
      </c>
      <c r="CY7" s="120">
        <f>MONTH(Table_ExternalData_14[[#This Row],[RunningReportDate]])</f>
        <v>5</v>
      </c>
      <c r="CZ7" s="120">
        <f>181-Table_ExternalData_14[[#This Row],[DaysOD]]</f>
        <v>3</v>
      </c>
      <c r="DA7" s="120">
        <f>IF(Table_ExternalData_14[[#This Row],[Status]]="PU-WC",0,Table_ExternalData_14[[#This Row],[Amount_CWO]]/1000000)</f>
        <v>16.91176729</v>
      </c>
      <c r="DB7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7" s="120">
        <f>IF(Table_ExternalData_14[[#This Row],[Status]]="PU-WC",0,IF(Table_ExternalData_14[[#This Row],[Success CWO]]=1,Table_ExternalData_14[[#This Row],[CWO Amt]],0))</f>
        <v>0</v>
      </c>
      <c r="DD7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16.91176729</v>
      </c>
      <c r="DE7" s="120">
        <f>DAY(Table_ExternalData_14[[#This Row],[Tanggal_Sukses-new]])</f>
        <v>0</v>
      </c>
      <c r="DF7" s="120">
        <f>IF(Table_ExternalData_14[[#This Row],[Status]]="PU-WC",0,IF(SUM(Table_ExternalData_14[[#This Row],[Success CWO]:[WO-In-Amt]])=0,1,0))</f>
        <v>0</v>
      </c>
      <c r="DG7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7" s="120" t="str">
        <f>VLOOKUP(Table_ExternalData_14[[#This Row],[BranchID]],KC!$A:$K,5,0)</f>
        <v>4W</v>
      </c>
      <c r="DI7" s="120" t="str">
        <f>VLOOKUP(Table_ExternalData_14[[#This Row],[BranchID]],KC!$A:$K,8,0)</f>
        <v>09. IBT</v>
      </c>
      <c r="DJ7" s="120" t="str">
        <f>VLOOKUP(Table_ExternalData_14[[#This Row],[BranchID]],KC!$A:$K,9,0)</f>
        <v>KUPANG</v>
      </c>
      <c r="DK7" s="121">
        <f>IF(Table_ExternalData_14[[#This Row],[Tanggal_Sukses]]=" ",Table_ExternalData_14[[#This Row],[Tanggal_Sukses]],VLOOKUP(Table_ExternalData_14[[#This Row],[ContractID]],Bantuan!$A:$C,2,0))</f>
        <v>0</v>
      </c>
      <c r="DL7" s="120">
        <f>IF(Table_ExternalData_14[[#This Row],[Keterangan_Sukses]]=" ",Table_ExternalData_14[[#This Row],[Keterangan_Sukses]],VLOOKUP(Table_ExternalData_14[[#This Row],[ContractID]],Bantuan!$A:$C,3,0))</f>
        <v>0</v>
      </c>
    </row>
    <row r="8" spans="1:116" x14ac:dyDescent="0.3">
      <c r="A8" s="117" t="s">
        <v>270</v>
      </c>
      <c r="B8" s="112" t="s">
        <v>269</v>
      </c>
      <c r="C8" s="113">
        <v>46142</v>
      </c>
      <c r="D8" s="279">
        <v>45968</v>
      </c>
      <c r="E8" s="113">
        <v>45176</v>
      </c>
      <c r="F8" s="112" t="s">
        <v>993</v>
      </c>
      <c r="G8" s="112" t="s">
        <v>994</v>
      </c>
      <c r="H8" s="112" t="s">
        <v>995</v>
      </c>
      <c r="I8" s="112" t="s">
        <v>996</v>
      </c>
      <c r="J8" s="112" t="s">
        <v>997</v>
      </c>
      <c r="K8" s="112" t="s">
        <v>4</v>
      </c>
      <c r="L8" s="112" t="s">
        <v>997</v>
      </c>
      <c r="M8" s="112" t="s">
        <v>998</v>
      </c>
      <c r="N8" s="112" t="s">
        <v>999</v>
      </c>
      <c r="O8" s="112" t="s">
        <v>269</v>
      </c>
      <c r="P8" s="112" t="s">
        <v>279</v>
      </c>
      <c r="Q8" s="112" t="s">
        <v>413</v>
      </c>
      <c r="R8" s="112" t="s">
        <v>4</v>
      </c>
      <c r="S8" s="112" t="s">
        <v>4</v>
      </c>
      <c r="T8" s="112" t="s">
        <v>4</v>
      </c>
      <c r="U8" s="112" t="s">
        <v>4</v>
      </c>
      <c r="V8" s="112" t="s">
        <v>135</v>
      </c>
      <c r="W8" s="112" t="s">
        <v>120</v>
      </c>
      <c r="X8" s="112" t="s">
        <v>121</v>
      </c>
      <c r="Y8" s="112" t="s">
        <v>136</v>
      </c>
      <c r="Z8" s="112" t="s">
        <v>137</v>
      </c>
      <c r="AA8" s="112" t="s">
        <v>1000</v>
      </c>
      <c r="AB8" s="112" t="s">
        <v>1001</v>
      </c>
      <c r="AC8" s="112" t="s">
        <v>1002</v>
      </c>
      <c r="AD8" s="112">
        <v>138448000</v>
      </c>
      <c r="AE8" s="112">
        <v>110773771.05</v>
      </c>
      <c r="AF8" s="112">
        <v>114016000</v>
      </c>
      <c r="AG8" s="112">
        <v>24432000</v>
      </c>
      <c r="AH8" s="112">
        <v>33286520</v>
      </c>
      <c r="AI8" s="112">
        <v>1000</v>
      </c>
      <c r="AJ8" s="112">
        <v>4072000</v>
      </c>
      <c r="AK8" s="112">
        <v>174</v>
      </c>
      <c r="AL8" s="112">
        <v>6</v>
      </c>
      <c r="AM8" s="112">
        <v>27</v>
      </c>
      <c r="AN8" s="112">
        <v>60</v>
      </c>
      <c r="AO8" s="112" t="s">
        <v>123</v>
      </c>
      <c r="AP8" s="112" t="s">
        <v>123</v>
      </c>
      <c r="AQ8" s="112" t="s">
        <v>124</v>
      </c>
      <c r="AR8" s="112" t="s">
        <v>920</v>
      </c>
      <c r="AS8" s="112" t="s">
        <v>921</v>
      </c>
      <c r="AT8" s="112" t="s">
        <v>922</v>
      </c>
      <c r="AU8" s="112" t="s">
        <v>273</v>
      </c>
      <c r="AV8" s="112" t="s">
        <v>125</v>
      </c>
      <c r="AW8" s="112" t="s">
        <v>126</v>
      </c>
      <c r="AX8" s="112" t="s">
        <v>127</v>
      </c>
      <c r="AY8" s="112" t="s">
        <v>274</v>
      </c>
      <c r="AZ8" s="112" t="s">
        <v>275</v>
      </c>
      <c r="BA8" s="112" t="s">
        <v>276</v>
      </c>
      <c r="BB8" s="112" t="s">
        <v>128</v>
      </c>
      <c r="BC8" s="112" t="s">
        <v>277</v>
      </c>
      <c r="BD8" s="112" t="s">
        <v>125</v>
      </c>
      <c r="BE8" s="112" t="s">
        <v>126</v>
      </c>
      <c r="BF8" s="112" t="s">
        <v>129</v>
      </c>
      <c r="BG8" s="112" t="s">
        <v>130</v>
      </c>
      <c r="BH8" s="112">
        <v>7</v>
      </c>
      <c r="BI8" s="112">
        <v>28504000</v>
      </c>
      <c r="BJ8" s="113"/>
      <c r="BK8" s="113"/>
      <c r="BL8" s="113"/>
      <c r="BM8" s="112"/>
      <c r="BN8" s="113">
        <v>46173</v>
      </c>
      <c r="BO8" s="112">
        <v>1</v>
      </c>
      <c r="BP8" s="114">
        <v>46149</v>
      </c>
      <c r="BQ8" s="112" t="s">
        <v>131</v>
      </c>
      <c r="BR8" s="112">
        <v>151</v>
      </c>
      <c r="BS8" s="113">
        <v>45998</v>
      </c>
      <c r="BT8" s="112">
        <v>134376000</v>
      </c>
      <c r="BU8" s="112">
        <v>4072000</v>
      </c>
      <c r="BV8" s="112">
        <v>0</v>
      </c>
      <c r="BW8" s="112">
        <v>0</v>
      </c>
      <c r="BX8" s="112">
        <v>0</v>
      </c>
      <c r="BY8" s="112">
        <v>1</v>
      </c>
      <c r="BZ8" s="112">
        <v>1</v>
      </c>
      <c r="CA8" s="112">
        <v>4072000</v>
      </c>
      <c r="CB8" s="112">
        <v>4072000</v>
      </c>
      <c r="CC8" s="113"/>
      <c r="CD8" s="112">
        <v>0</v>
      </c>
      <c r="CE8" s="113"/>
      <c r="CF8" s="112">
        <v>0</v>
      </c>
      <c r="CG8" s="113"/>
      <c r="CH8" s="112">
        <v>0</v>
      </c>
      <c r="CI8" s="113"/>
      <c r="CJ8" s="112">
        <v>0</v>
      </c>
      <c r="CK8" s="113"/>
      <c r="CL8" s="112">
        <v>0</v>
      </c>
      <c r="CM8" s="113">
        <v>46149</v>
      </c>
      <c r="CN8" s="112" t="s">
        <v>132</v>
      </c>
      <c r="CO8" s="112">
        <v>110772771.05</v>
      </c>
      <c r="CP8" s="112">
        <v>0</v>
      </c>
      <c r="CQ8" s="112">
        <v>0</v>
      </c>
      <c r="CR8" s="118">
        <v>46144</v>
      </c>
      <c r="CS8" s="119" t="s">
        <v>2114</v>
      </c>
      <c r="CT8" s="112">
        <v>110772771.05</v>
      </c>
      <c r="CU8" s="112" t="s">
        <v>278</v>
      </c>
      <c r="CV8" s="112" t="s">
        <v>134</v>
      </c>
      <c r="CW8" s="113">
        <v>46149</v>
      </c>
      <c r="CX8" s="112" t="s">
        <v>2116</v>
      </c>
      <c r="CY8" s="120">
        <f>MONTH(Table_ExternalData_14[[#This Row],[RunningReportDate]])</f>
        <v>5</v>
      </c>
      <c r="CZ8" s="120">
        <f>181-Table_ExternalData_14[[#This Row],[DaysOD]]</f>
        <v>7</v>
      </c>
      <c r="DA8" s="120">
        <f>IF(Table_ExternalData_14[[#This Row],[Status]]="PU-WC",0,Table_ExternalData_14[[#This Row],[Amount_CWO]]/1000000)</f>
        <v>110.77277105</v>
      </c>
      <c r="DB8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1</v>
      </c>
      <c r="DC8" s="120">
        <f>IF(Table_ExternalData_14[[#This Row],[Status]]="PU-WC",0,IF(Table_ExternalData_14[[#This Row],[Success CWO]]=1,Table_ExternalData_14[[#This Row],[CWO Amt]],0))</f>
        <v>110.77277105</v>
      </c>
      <c r="DD8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8" s="120">
        <f>DAY(Table_ExternalData_14[[#This Row],[Tanggal_Sukses-new]])</f>
        <v>2</v>
      </c>
      <c r="DF8" s="120">
        <f>IF(Table_ExternalData_14[[#This Row],[Status]]="PU-WC",0,IF(SUM(Table_ExternalData_14[[#This Row],[Success CWO]:[WO-In-Amt]])=0,1,0))</f>
        <v>0</v>
      </c>
      <c r="DG8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8" s="120" t="str">
        <f>VLOOKUP(Table_ExternalData_14[[#This Row],[BranchID]],KC!$A:$K,5,0)</f>
        <v>4W</v>
      </c>
      <c r="DI8" s="120" t="str">
        <f>VLOOKUP(Table_ExternalData_14[[#This Row],[BranchID]],KC!$A:$K,8,0)</f>
        <v>09. IBT</v>
      </c>
      <c r="DJ8" s="120" t="str">
        <f>VLOOKUP(Table_ExternalData_14[[#This Row],[BranchID]],KC!$A:$K,9,0)</f>
        <v>KUPANG</v>
      </c>
      <c r="DK8" s="121">
        <f>IF(Table_ExternalData_14[[#This Row],[Tanggal_Sukses]]=" ",Table_ExternalData_14[[#This Row],[Tanggal_Sukses]],VLOOKUP(Table_ExternalData_14[[#This Row],[ContractID]],Bantuan!$A:$C,2,0))</f>
        <v>46144</v>
      </c>
      <c r="DL8" s="120" t="str">
        <f>IF(Table_ExternalData_14[[#This Row],[Keterangan_Sukses]]=" ",Table_ExternalData_14[[#This Row],[Keterangan_Sukses]],VLOOKUP(Table_ExternalData_14[[#This Row],[ContractID]],Bantuan!$A:$C,3,0))</f>
        <v>RB</v>
      </c>
    </row>
    <row r="9" spans="1:116" x14ac:dyDescent="0.3">
      <c r="A9" s="117" t="s">
        <v>270</v>
      </c>
      <c r="B9" s="112" t="s">
        <v>269</v>
      </c>
      <c r="C9" s="113">
        <v>46142</v>
      </c>
      <c r="D9" s="279">
        <v>45966</v>
      </c>
      <c r="E9" s="113">
        <v>45175</v>
      </c>
      <c r="F9" s="112" t="s">
        <v>2072</v>
      </c>
      <c r="G9" s="112" t="s">
        <v>2073</v>
      </c>
      <c r="H9" s="112" t="s">
        <v>2074</v>
      </c>
      <c r="I9" s="112" t="s">
        <v>2075</v>
      </c>
      <c r="J9" s="112" t="s">
        <v>2076</v>
      </c>
      <c r="K9" s="112" t="s">
        <v>4</v>
      </c>
      <c r="L9" s="112" t="s">
        <v>2076</v>
      </c>
      <c r="M9" s="112" t="s">
        <v>2077</v>
      </c>
      <c r="N9" s="112" t="s">
        <v>2078</v>
      </c>
      <c r="O9" s="112" t="s">
        <v>269</v>
      </c>
      <c r="P9" s="112" t="s">
        <v>279</v>
      </c>
      <c r="Q9" s="112" t="s">
        <v>413</v>
      </c>
      <c r="R9" s="112" t="s">
        <v>4</v>
      </c>
      <c r="S9" s="112" t="s">
        <v>4</v>
      </c>
      <c r="T9" s="112" t="s">
        <v>4</v>
      </c>
      <c r="U9" s="112" t="s">
        <v>4</v>
      </c>
      <c r="V9" s="112" t="s">
        <v>156</v>
      </c>
      <c r="W9" s="112" t="s">
        <v>120</v>
      </c>
      <c r="X9" s="112" t="s">
        <v>121</v>
      </c>
      <c r="Y9" s="112" t="s">
        <v>136</v>
      </c>
      <c r="Z9" s="112" t="s">
        <v>137</v>
      </c>
      <c r="AA9" s="112" t="s">
        <v>2079</v>
      </c>
      <c r="AB9" s="112" t="s">
        <v>2080</v>
      </c>
      <c r="AC9" s="112" t="s">
        <v>2081</v>
      </c>
      <c r="AD9" s="112">
        <v>162880000</v>
      </c>
      <c r="AE9" s="112">
        <v>129235745.02</v>
      </c>
      <c r="AF9" s="112">
        <v>138448000</v>
      </c>
      <c r="AG9" s="112">
        <v>24432000</v>
      </c>
      <c r="AH9" s="112">
        <v>44128500</v>
      </c>
      <c r="AI9" s="112">
        <v>50000</v>
      </c>
      <c r="AJ9" s="112">
        <v>4072000</v>
      </c>
      <c r="AK9" s="112">
        <v>176</v>
      </c>
      <c r="AL9" s="112">
        <v>6</v>
      </c>
      <c r="AM9" s="112">
        <v>26</v>
      </c>
      <c r="AN9" s="112">
        <v>65</v>
      </c>
      <c r="AO9" s="112" t="s">
        <v>123</v>
      </c>
      <c r="AP9" s="112" t="s">
        <v>123</v>
      </c>
      <c r="AQ9" s="112" t="s">
        <v>124</v>
      </c>
      <c r="AR9" s="112" t="s">
        <v>920</v>
      </c>
      <c r="AS9" s="112" t="s">
        <v>921</v>
      </c>
      <c r="AT9" s="112" t="s">
        <v>922</v>
      </c>
      <c r="AU9" s="112" t="s">
        <v>273</v>
      </c>
      <c r="AV9" s="112" t="s">
        <v>125</v>
      </c>
      <c r="AW9" s="112" t="s">
        <v>126</v>
      </c>
      <c r="AX9" s="112" t="s">
        <v>127</v>
      </c>
      <c r="AY9" s="112" t="s">
        <v>274</v>
      </c>
      <c r="AZ9" s="112" t="s">
        <v>275</v>
      </c>
      <c r="BA9" s="112" t="s">
        <v>276</v>
      </c>
      <c r="BB9" s="112" t="s">
        <v>128</v>
      </c>
      <c r="BC9" s="112" t="s">
        <v>277</v>
      </c>
      <c r="BD9" s="112" t="s">
        <v>125</v>
      </c>
      <c r="BE9" s="112" t="s">
        <v>126</v>
      </c>
      <c r="BF9" s="112" t="s">
        <v>129</v>
      </c>
      <c r="BG9" s="112" t="s">
        <v>130</v>
      </c>
      <c r="BH9" s="112">
        <v>7</v>
      </c>
      <c r="BI9" s="112">
        <v>28504000</v>
      </c>
      <c r="BJ9" s="113"/>
      <c r="BK9" s="113"/>
      <c r="BL9" s="113"/>
      <c r="BM9" s="112"/>
      <c r="BN9" s="113">
        <v>46173</v>
      </c>
      <c r="BO9" s="112">
        <v>1</v>
      </c>
      <c r="BP9" s="114">
        <v>46149</v>
      </c>
      <c r="BQ9" s="112" t="s">
        <v>131</v>
      </c>
      <c r="BR9" s="112">
        <v>153</v>
      </c>
      <c r="BS9" s="113">
        <v>45996</v>
      </c>
      <c r="BT9" s="112">
        <v>158808000</v>
      </c>
      <c r="BU9" s="112">
        <v>4072000</v>
      </c>
      <c r="BV9" s="112">
        <v>0</v>
      </c>
      <c r="BW9" s="112">
        <v>0</v>
      </c>
      <c r="BX9" s="112">
        <v>0</v>
      </c>
      <c r="BY9" s="112">
        <v>1</v>
      </c>
      <c r="BZ9" s="112">
        <v>1</v>
      </c>
      <c r="CA9" s="112">
        <v>4072000</v>
      </c>
      <c r="CB9" s="112">
        <v>4072000</v>
      </c>
      <c r="CC9" s="113"/>
      <c r="CD9" s="112">
        <v>0</v>
      </c>
      <c r="CE9" s="113"/>
      <c r="CF9" s="112">
        <v>0</v>
      </c>
      <c r="CG9" s="113"/>
      <c r="CH9" s="112">
        <v>0</v>
      </c>
      <c r="CI9" s="113"/>
      <c r="CJ9" s="112">
        <v>0</v>
      </c>
      <c r="CK9" s="113"/>
      <c r="CL9" s="112">
        <v>0</v>
      </c>
      <c r="CM9" s="113">
        <v>46149</v>
      </c>
      <c r="CN9" s="112" t="s">
        <v>132</v>
      </c>
      <c r="CO9" s="112">
        <v>129185745.02</v>
      </c>
      <c r="CP9" s="112">
        <v>0</v>
      </c>
      <c r="CQ9" s="112">
        <v>0</v>
      </c>
      <c r="CR9" s="118">
        <v>46146</v>
      </c>
      <c r="CS9" s="119" t="s">
        <v>2114</v>
      </c>
      <c r="CT9" s="112">
        <v>129185745.02</v>
      </c>
      <c r="CU9" s="112" t="s">
        <v>278</v>
      </c>
      <c r="CV9" s="112" t="s">
        <v>134</v>
      </c>
      <c r="CW9" s="113">
        <v>46149</v>
      </c>
      <c r="CX9" s="112" t="s">
        <v>2116</v>
      </c>
      <c r="CY9" s="120">
        <f>MONTH(Table_ExternalData_14[[#This Row],[RunningReportDate]])</f>
        <v>5</v>
      </c>
      <c r="CZ9" s="120">
        <f>181-Table_ExternalData_14[[#This Row],[DaysOD]]</f>
        <v>5</v>
      </c>
      <c r="DA9" s="120">
        <f>IF(Table_ExternalData_14[[#This Row],[Status]]="PU-WC",0,Table_ExternalData_14[[#This Row],[Amount_CWO]]/1000000)</f>
        <v>129.18574501999998</v>
      </c>
      <c r="DB9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1</v>
      </c>
      <c r="DC9" s="120">
        <f>IF(Table_ExternalData_14[[#This Row],[Status]]="PU-WC",0,IF(Table_ExternalData_14[[#This Row],[Success CWO]]=1,Table_ExternalData_14[[#This Row],[CWO Amt]],0))</f>
        <v>129.18574501999998</v>
      </c>
      <c r="DD9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9" s="120">
        <f>DAY(Table_ExternalData_14[[#This Row],[Tanggal_Sukses-new]])</f>
        <v>4</v>
      </c>
      <c r="DF9" s="120">
        <f>IF(Table_ExternalData_14[[#This Row],[Status]]="PU-WC",0,IF(SUM(Table_ExternalData_14[[#This Row],[Success CWO]:[WO-In-Amt]])=0,1,0))</f>
        <v>0</v>
      </c>
      <c r="DG9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9" s="120" t="str">
        <f>VLOOKUP(Table_ExternalData_14[[#This Row],[BranchID]],KC!$A:$K,5,0)</f>
        <v>4W</v>
      </c>
      <c r="DI9" s="120" t="str">
        <f>VLOOKUP(Table_ExternalData_14[[#This Row],[BranchID]],KC!$A:$K,8,0)</f>
        <v>09. IBT</v>
      </c>
      <c r="DJ9" s="120" t="str">
        <f>VLOOKUP(Table_ExternalData_14[[#This Row],[BranchID]],KC!$A:$K,9,0)</f>
        <v>KUPANG</v>
      </c>
      <c r="DK9" s="121">
        <f>IF(Table_ExternalData_14[[#This Row],[Tanggal_Sukses]]=" ",Table_ExternalData_14[[#This Row],[Tanggal_Sukses]],VLOOKUP(Table_ExternalData_14[[#This Row],[ContractID]],Bantuan!$A:$C,2,0))</f>
        <v>46146</v>
      </c>
      <c r="DL9" s="120" t="str">
        <f>IF(Table_ExternalData_14[[#This Row],[Keterangan_Sukses]]=" ",Table_ExternalData_14[[#This Row],[Keterangan_Sukses]],VLOOKUP(Table_ExternalData_14[[#This Row],[ContractID]],Bantuan!$A:$C,3,0))</f>
        <v>RB</v>
      </c>
    </row>
    <row r="10" spans="1:116" x14ac:dyDescent="0.3">
      <c r="A10" s="117" t="s">
        <v>270</v>
      </c>
      <c r="B10" s="112" t="s">
        <v>269</v>
      </c>
      <c r="C10" s="113">
        <v>46142</v>
      </c>
      <c r="D10" s="279">
        <v>45966</v>
      </c>
      <c r="E10" s="113">
        <v>45594</v>
      </c>
      <c r="F10" s="112" t="s">
        <v>2058</v>
      </c>
      <c r="G10" s="112" t="s">
        <v>2059</v>
      </c>
      <c r="H10" s="112" t="s">
        <v>2060</v>
      </c>
      <c r="I10" s="112" t="s">
        <v>2061</v>
      </c>
      <c r="J10" s="112" t="s">
        <v>2062</v>
      </c>
      <c r="K10" s="112" t="s">
        <v>4</v>
      </c>
      <c r="L10" s="112" t="s">
        <v>2062</v>
      </c>
      <c r="M10" s="112" t="s">
        <v>2063</v>
      </c>
      <c r="N10" s="112" t="s">
        <v>2064</v>
      </c>
      <c r="O10" s="112" t="s">
        <v>2065</v>
      </c>
      <c r="P10" s="112" t="s">
        <v>271</v>
      </c>
      <c r="Q10" s="112" t="s">
        <v>413</v>
      </c>
      <c r="R10" s="112" t="s">
        <v>4</v>
      </c>
      <c r="S10" s="112" t="s">
        <v>4</v>
      </c>
      <c r="T10" s="112" t="s">
        <v>4</v>
      </c>
      <c r="U10" s="112" t="s">
        <v>4</v>
      </c>
      <c r="V10" s="112" t="s">
        <v>895</v>
      </c>
      <c r="W10" s="112" t="s">
        <v>120</v>
      </c>
      <c r="X10" s="112" t="s">
        <v>121</v>
      </c>
      <c r="Y10" s="112" t="s">
        <v>136</v>
      </c>
      <c r="Z10" s="112" t="s">
        <v>137</v>
      </c>
      <c r="AA10" s="112" t="s">
        <v>2066</v>
      </c>
      <c r="AB10" s="112" t="s">
        <v>2067</v>
      </c>
      <c r="AC10" s="112" t="s">
        <v>2068</v>
      </c>
      <c r="AD10" s="112">
        <v>203315000</v>
      </c>
      <c r="AE10" s="112">
        <v>146483929.84</v>
      </c>
      <c r="AF10" s="112">
        <v>170345000</v>
      </c>
      <c r="AG10" s="112">
        <v>32970000</v>
      </c>
      <c r="AH10" s="112">
        <v>21375550</v>
      </c>
      <c r="AI10" s="112">
        <v>0</v>
      </c>
      <c r="AJ10" s="112">
        <v>5495000</v>
      </c>
      <c r="AK10" s="112">
        <v>176</v>
      </c>
      <c r="AL10" s="112">
        <v>6</v>
      </c>
      <c r="AM10" s="112">
        <v>12</v>
      </c>
      <c r="AN10" s="112">
        <v>48</v>
      </c>
      <c r="AO10" s="112" t="s">
        <v>123</v>
      </c>
      <c r="AP10" s="112" t="s">
        <v>123</v>
      </c>
      <c r="AQ10" s="112" t="s">
        <v>124</v>
      </c>
      <c r="AR10" s="112" t="s">
        <v>2069</v>
      </c>
      <c r="AS10" s="112" t="s">
        <v>2070</v>
      </c>
      <c r="AT10" s="112" t="s">
        <v>2071</v>
      </c>
      <c r="AU10" s="112" t="s">
        <v>273</v>
      </c>
      <c r="AV10" s="112" t="s">
        <v>125</v>
      </c>
      <c r="AW10" s="112" t="s">
        <v>126</v>
      </c>
      <c r="AX10" s="112" t="s">
        <v>127</v>
      </c>
      <c r="AY10" s="112" t="s">
        <v>274</v>
      </c>
      <c r="AZ10" s="112" t="s">
        <v>275</v>
      </c>
      <c r="BA10" s="112" t="s">
        <v>276</v>
      </c>
      <c r="BB10" s="112" t="s">
        <v>128</v>
      </c>
      <c r="BC10" s="112" t="s">
        <v>277</v>
      </c>
      <c r="BD10" s="112" t="s">
        <v>125</v>
      </c>
      <c r="BE10" s="112" t="s">
        <v>126</v>
      </c>
      <c r="BF10" s="112" t="s">
        <v>129</v>
      </c>
      <c r="BG10" s="112" t="s">
        <v>130</v>
      </c>
      <c r="BH10" s="112">
        <v>7</v>
      </c>
      <c r="BI10" s="112">
        <v>38465000</v>
      </c>
      <c r="BJ10" s="113"/>
      <c r="BK10" s="113"/>
      <c r="BL10" s="113"/>
      <c r="BM10" s="112"/>
      <c r="BN10" s="113">
        <v>46173</v>
      </c>
      <c r="BO10" s="112">
        <v>1</v>
      </c>
      <c r="BP10" s="114">
        <v>46149</v>
      </c>
      <c r="BQ10" s="112" t="s">
        <v>131</v>
      </c>
      <c r="BR10" s="112">
        <v>183</v>
      </c>
      <c r="BS10" s="113">
        <v>45966</v>
      </c>
      <c r="BT10" s="112">
        <v>203315000</v>
      </c>
      <c r="BU10" s="112">
        <v>0</v>
      </c>
      <c r="BV10" s="112">
        <v>1</v>
      </c>
      <c r="BW10" s="112">
        <v>0</v>
      </c>
      <c r="BX10" s="112">
        <v>0</v>
      </c>
      <c r="BY10" s="112">
        <v>0</v>
      </c>
      <c r="BZ10" s="112">
        <v>0</v>
      </c>
      <c r="CA10" s="112">
        <v>0</v>
      </c>
      <c r="CB10" s="112">
        <v>0</v>
      </c>
      <c r="CC10" s="113"/>
      <c r="CD10" s="112">
        <v>0</v>
      </c>
      <c r="CE10" s="113"/>
      <c r="CF10" s="112">
        <v>0</v>
      </c>
      <c r="CG10" s="113"/>
      <c r="CH10" s="112">
        <v>0</v>
      </c>
      <c r="CI10" s="113"/>
      <c r="CJ10" s="112">
        <v>0</v>
      </c>
      <c r="CK10" s="113"/>
      <c r="CL10" s="112">
        <v>0</v>
      </c>
      <c r="CM10" s="113">
        <v>46149</v>
      </c>
      <c r="CN10" s="112" t="s">
        <v>132</v>
      </c>
      <c r="CO10" s="112">
        <v>146483929.84</v>
      </c>
      <c r="CP10" s="112">
        <v>146483929.84</v>
      </c>
      <c r="CQ10" s="112">
        <v>5</v>
      </c>
      <c r="CR10" s="118"/>
      <c r="CS10" s="119"/>
      <c r="CT10" s="112">
        <v>0</v>
      </c>
      <c r="CU10" s="112" t="s">
        <v>278</v>
      </c>
      <c r="CV10" s="112" t="s">
        <v>134</v>
      </c>
      <c r="CW10" s="113">
        <v>46149</v>
      </c>
      <c r="CX10" s="112" t="s">
        <v>2116</v>
      </c>
      <c r="CY10" s="120">
        <f>MONTH(Table_ExternalData_14[[#This Row],[RunningReportDate]])</f>
        <v>5</v>
      </c>
      <c r="CZ10" s="120">
        <f>181-Table_ExternalData_14[[#This Row],[DaysOD]]</f>
        <v>5</v>
      </c>
      <c r="DA10" s="120">
        <f>IF(Table_ExternalData_14[[#This Row],[Status]]="PU-WC",0,Table_ExternalData_14[[#This Row],[Amount_CWO]]/1000000)</f>
        <v>146.48392984</v>
      </c>
      <c r="DB10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10" s="120">
        <f>IF(Table_ExternalData_14[[#This Row],[Status]]="PU-WC",0,IF(Table_ExternalData_14[[#This Row],[Success CWO]]=1,Table_ExternalData_14[[#This Row],[CWO Amt]],0))</f>
        <v>0</v>
      </c>
      <c r="DD10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146.48392984</v>
      </c>
      <c r="DE10" s="120">
        <f>DAY(Table_ExternalData_14[[#This Row],[Tanggal_Sukses-new]])</f>
        <v>0</v>
      </c>
      <c r="DF10" s="120">
        <f>IF(Table_ExternalData_14[[#This Row],[Status]]="PU-WC",0,IF(SUM(Table_ExternalData_14[[#This Row],[Success CWO]:[WO-In-Amt]])=0,1,0))</f>
        <v>0</v>
      </c>
      <c r="DG10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10" s="120" t="str">
        <f>VLOOKUP(Table_ExternalData_14[[#This Row],[BranchID]],KC!$A:$K,5,0)</f>
        <v>4W</v>
      </c>
      <c r="DI10" s="120" t="str">
        <f>VLOOKUP(Table_ExternalData_14[[#This Row],[BranchID]],KC!$A:$K,8,0)</f>
        <v>09. IBT</v>
      </c>
      <c r="DJ10" s="120" t="str">
        <f>VLOOKUP(Table_ExternalData_14[[#This Row],[BranchID]],KC!$A:$K,9,0)</f>
        <v>KUPANG</v>
      </c>
      <c r="DK10" s="121">
        <f>IF(Table_ExternalData_14[[#This Row],[Tanggal_Sukses]]=" ",Table_ExternalData_14[[#This Row],[Tanggal_Sukses]],VLOOKUP(Table_ExternalData_14[[#This Row],[ContractID]],Bantuan!$A:$C,2,0))</f>
        <v>0</v>
      </c>
      <c r="DL10" s="120">
        <f>IF(Table_ExternalData_14[[#This Row],[Keterangan_Sukses]]=" ",Table_ExternalData_14[[#This Row],[Keterangan_Sukses]],VLOOKUP(Table_ExternalData_14[[#This Row],[ContractID]],Bantuan!$A:$C,3,0))</f>
        <v>0</v>
      </c>
    </row>
    <row r="11" spans="1:116" x14ac:dyDescent="0.3">
      <c r="A11" s="117" t="s">
        <v>303</v>
      </c>
      <c r="B11" s="112" t="s">
        <v>302</v>
      </c>
      <c r="C11" s="113">
        <v>46142</v>
      </c>
      <c r="D11" s="279">
        <v>45983</v>
      </c>
      <c r="E11" s="113">
        <v>44511</v>
      </c>
      <c r="F11" s="112" t="s">
        <v>2046</v>
      </c>
      <c r="G11" s="112" t="s">
        <v>2047</v>
      </c>
      <c r="H11" s="112" t="s">
        <v>2048</v>
      </c>
      <c r="I11" s="112" t="s">
        <v>2049</v>
      </c>
      <c r="J11" s="112" t="s">
        <v>2050</v>
      </c>
      <c r="K11" s="112" t="s">
        <v>4</v>
      </c>
      <c r="L11" s="112" t="s">
        <v>2050</v>
      </c>
      <c r="M11" s="112" t="s">
        <v>2051</v>
      </c>
      <c r="N11" s="112" t="s">
        <v>2052</v>
      </c>
      <c r="O11" s="112" t="s">
        <v>2053</v>
      </c>
      <c r="P11" s="112" t="s">
        <v>304</v>
      </c>
      <c r="Q11" s="112" t="s">
        <v>387</v>
      </c>
      <c r="R11" s="112" t="s">
        <v>4</v>
      </c>
      <c r="S11" s="112" t="s">
        <v>4</v>
      </c>
      <c r="T11" s="112" t="s">
        <v>2054</v>
      </c>
      <c r="U11" s="112" t="s">
        <v>2054</v>
      </c>
      <c r="V11" s="112" t="s">
        <v>961</v>
      </c>
      <c r="W11" s="112" t="s">
        <v>120</v>
      </c>
      <c r="X11" s="112" t="s">
        <v>121</v>
      </c>
      <c r="Y11" s="112" t="s">
        <v>136</v>
      </c>
      <c r="Z11" s="112" t="s">
        <v>137</v>
      </c>
      <c r="AA11" s="112" t="s">
        <v>2055</v>
      </c>
      <c r="AB11" s="112" t="s">
        <v>2056</v>
      </c>
      <c r="AC11" s="112" t="s">
        <v>2057</v>
      </c>
      <c r="AD11" s="112">
        <v>26509000</v>
      </c>
      <c r="AE11" s="112">
        <v>25092283.489999998</v>
      </c>
      <c r="AF11" s="112">
        <v>3787000</v>
      </c>
      <c r="AG11" s="112">
        <v>22722000</v>
      </c>
      <c r="AH11" s="112">
        <v>36277776.25</v>
      </c>
      <c r="AI11" s="112">
        <v>390</v>
      </c>
      <c r="AJ11" s="112">
        <v>3787000</v>
      </c>
      <c r="AK11" s="112">
        <v>159</v>
      </c>
      <c r="AL11" s="112">
        <v>6</v>
      </c>
      <c r="AM11" s="112">
        <v>48</v>
      </c>
      <c r="AN11" s="112">
        <v>54</v>
      </c>
      <c r="AO11" s="112" t="s">
        <v>123</v>
      </c>
      <c r="AP11" s="112" t="s">
        <v>123</v>
      </c>
      <c r="AQ11" s="112" t="s">
        <v>124</v>
      </c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 t="s">
        <v>129</v>
      </c>
      <c r="BG11" s="112" t="s">
        <v>130</v>
      </c>
      <c r="BH11" s="112">
        <v>7</v>
      </c>
      <c r="BI11" s="112">
        <v>26509000</v>
      </c>
      <c r="BJ11" s="113"/>
      <c r="BK11" s="113"/>
      <c r="BL11" s="113"/>
      <c r="BM11" s="112"/>
      <c r="BN11" s="113">
        <v>46173</v>
      </c>
      <c r="BO11" s="112">
        <v>1</v>
      </c>
      <c r="BP11" s="114">
        <v>46149</v>
      </c>
      <c r="BQ11" s="112" t="s">
        <v>131</v>
      </c>
      <c r="BR11" s="112">
        <v>136</v>
      </c>
      <c r="BS11" s="113">
        <v>46013</v>
      </c>
      <c r="BT11" s="112">
        <v>22722000</v>
      </c>
      <c r="BU11" s="112">
        <v>3787000</v>
      </c>
      <c r="BV11" s="112">
        <v>0</v>
      </c>
      <c r="BW11" s="112">
        <v>0</v>
      </c>
      <c r="BX11" s="112">
        <v>0</v>
      </c>
      <c r="BY11" s="112">
        <v>1</v>
      </c>
      <c r="BZ11" s="112">
        <v>1</v>
      </c>
      <c r="CA11" s="112">
        <v>3787000</v>
      </c>
      <c r="CB11" s="112">
        <v>3787000</v>
      </c>
      <c r="CC11" s="113"/>
      <c r="CD11" s="112">
        <v>0</v>
      </c>
      <c r="CE11" s="113"/>
      <c r="CF11" s="112">
        <v>0</v>
      </c>
      <c r="CG11" s="113"/>
      <c r="CH11" s="112">
        <v>0</v>
      </c>
      <c r="CI11" s="113"/>
      <c r="CJ11" s="112">
        <v>0</v>
      </c>
      <c r="CK11" s="113"/>
      <c r="CL11" s="112">
        <v>0</v>
      </c>
      <c r="CM11" s="113">
        <v>46149</v>
      </c>
      <c r="CN11" s="112" t="s">
        <v>132</v>
      </c>
      <c r="CO11" s="112">
        <v>25091893.489999998</v>
      </c>
      <c r="CP11" s="112">
        <v>0</v>
      </c>
      <c r="CQ11" s="112">
        <v>0</v>
      </c>
      <c r="CR11" s="118">
        <v>46149</v>
      </c>
      <c r="CS11" s="119" t="s">
        <v>2114</v>
      </c>
      <c r="CT11" s="112">
        <v>25091893.489999998</v>
      </c>
      <c r="CU11" s="112" t="s">
        <v>307</v>
      </c>
      <c r="CV11" s="112" t="s">
        <v>308</v>
      </c>
      <c r="CW11" s="113">
        <v>46149</v>
      </c>
      <c r="CX11" s="112" t="s">
        <v>2116</v>
      </c>
      <c r="CY11" s="120">
        <f>MONTH(Table_ExternalData_14[[#This Row],[RunningReportDate]])</f>
        <v>5</v>
      </c>
      <c r="CZ11" s="120">
        <f>181-Table_ExternalData_14[[#This Row],[DaysOD]]</f>
        <v>22</v>
      </c>
      <c r="DA11" s="120">
        <f>IF(Table_ExternalData_14[[#This Row],[Status]]="PU-WC",0,Table_ExternalData_14[[#This Row],[Amount_CWO]]/1000000)</f>
        <v>25.091893489999997</v>
      </c>
      <c r="DB11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1</v>
      </c>
      <c r="DC11" s="120">
        <f>IF(Table_ExternalData_14[[#This Row],[Status]]="PU-WC",0,IF(Table_ExternalData_14[[#This Row],[Success CWO]]=1,Table_ExternalData_14[[#This Row],[CWO Amt]],0))</f>
        <v>25.091893489999997</v>
      </c>
      <c r="DD11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11" s="120">
        <f>DAY(Table_ExternalData_14[[#This Row],[Tanggal_Sukses-new]])</f>
        <v>7</v>
      </c>
      <c r="DF11" s="120">
        <f>IF(Table_ExternalData_14[[#This Row],[Status]]="PU-WC",0,IF(SUM(Table_ExternalData_14[[#This Row],[Success CWO]:[WO-In-Amt]])=0,1,0))</f>
        <v>0</v>
      </c>
      <c r="DG11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11" s="120" t="str">
        <f>VLOOKUP(Table_ExternalData_14[[#This Row],[BranchID]],KC!$A:$K,5,0)</f>
        <v>4W</v>
      </c>
      <c r="DI11" s="120" t="str">
        <f>VLOOKUP(Table_ExternalData_14[[#This Row],[BranchID]],KC!$A:$K,8,0)</f>
        <v>07. Sumbagsel</v>
      </c>
      <c r="DJ11" s="120" t="str">
        <f>VLOOKUP(Table_ExternalData_14[[#This Row],[BranchID]],KC!$A:$K,9,0)</f>
        <v>PALEMBANG</v>
      </c>
      <c r="DK11" s="121">
        <f>IF(Table_ExternalData_14[[#This Row],[Tanggal_Sukses]]=" ",Table_ExternalData_14[[#This Row],[Tanggal_Sukses]],VLOOKUP(Table_ExternalData_14[[#This Row],[ContractID]],Bantuan!$A:$C,2,0))</f>
        <v>46149</v>
      </c>
      <c r="DL11" s="120" t="str">
        <f>IF(Table_ExternalData_14[[#This Row],[Keterangan_Sukses]]=" ",Table_ExternalData_14[[#This Row],[Keterangan_Sukses]],VLOOKUP(Table_ExternalData_14[[#This Row],[ContractID]],Bantuan!$A:$C,3,0))</f>
        <v>RB</v>
      </c>
    </row>
    <row r="12" spans="1:116" x14ac:dyDescent="0.3">
      <c r="A12" s="117" t="s">
        <v>303</v>
      </c>
      <c r="B12" s="112" t="s">
        <v>302</v>
      </c>
      <c r="C12" s="113">
        <v>46142</v>
      </c>
      <c r="D12" s="279">
        <v>45968</v>
      </c>
      <c r="E12" s="113">
        <v>44537</v>
      </c>
      <c r="F12" s="112" t="s">
        <v>2034</v>
      </c>
      <c r="G12" s="112" t="s">
        <v>2035</v>
      </c>
      <c r="H12" s="112" t="s">
        <v>2036</v>
      </c>
      <c r="I12" s="112" t="s">
        <v>2037</v>
      </c>
      <c r="J12" s="112" t="s">
        <v>2038</v>
      </c>
      <c r="K12" s="112" t="s">
        <v>4</v>
      </c>
      <c r="L12" s="112" t="s">
        <v>2038</v>
      </c>
      <c r="M12" s="112" t="s">
        <v>2039</v>
      </c>
      <c r="N12" s="112" t="s">
        <v>2040</v>
      </c>
      <c r="O12" s="112" t="s">
        <v>2041</v>
      </c>
      <c r="P12" s="112" t="s">
        <v>304</v>
      </c>
      <c r="Q12" s="112" t="s">
        <v>387</v>
      </c>
      <c r="R12" s="112" t="s">
        <v>4</v>
      </c>
      <c r="S12" s="112" t="s">
        <v>4</v>
      </c>
      <c r="T12" s="112" t="s">
        <v>2042</v>
      </c>
      <c r="U12" s="112" t="s">
        <v>2042</v>
      </c>
      <c r="V12" s="112" t="s">
        <v>1114</v>
      </c>
      <c r="W12" s="112" t="s">
        <v>120</v>
      </c>
      <c r="X12" s="112" t="s">
        <v>121</v>
      </c>
      <c r="Y12" s="112" t="s">
        <v>136</v>
      </c>
      <c r="Z12" s="112" t="s">
        <v>137</v>
      </c>
      <c r="AA12" s="112" t="s">
        <v>2043</v>
      </c>
      <c r="AB12" s="112" t="s">
        <v>2044</v>
      </c>
      <c r="AC12" s="112" t="s">
        <v>2045</v>
      </c>
      <c r="AD12" s="112">
        <v>3855000</v>
      </c>
      <c r="AE12" s="112">
        <v>3801144.07</v>
      </c>
      <c r="AF12" s="112">
        <v>0</v>
      </c>
      <c r="AG12" s="112">
        <v>3855000</v>
      </c>
      <c r="AH12" s="112">
        <v>40477250</v>
      </c>
      <c r="AI12" s="112">
        <v>0</v>
      </c>
      <c r="AJ12" s="112">
        <v>3855000</v>
      </c>
      <c r="AK12" s="112">
        <v>174</v>
      </c>
      <c r="AL12" s="112">
        <v>1</v>
      </c>
      <c r="AM12" s="112">
        <v>48</v>
      </c>
      <c r="AN12" s="112">
        <v>48</v>
      </c>
      <c r="AO12" s="112" t="s">
        <v>123</v>
      </c>
      <c r="AP12" s="112" t="s">
        <v>123</v>
      </c>
      <c r="AQ12" s="112" t="s">
        <v>124</v>
      </c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 t="s">
        <v>129</v>
      </c>
      <c r="BG12" s="112" t="s">
        <v>130</v>
      </c>
      <c r="BH12" s="112">
        <v>1</v>
      </c>
      <c r="BI12" s="112">
        <v>3855000</v>
      </c>
      <c r="BJ12" s="113"/>
      <c r="BK12" s="113"/>
      <c r="BL12" s="113"/>
      <c r="BM12" s="112"/>
      <c r="BN12" s="113">
        <v>46173</v>
      </c>
      <c r="BO12" s="112">
        <v>1</v>
      </c>
      <c r="BP12" s="114">
        <v>46149</v>
      </c>
      <c r="BQ12" s="112" t="s">
        <v>2999</v>
      </c>
      <c r="BR12" s="112"/>
      <c r="BS12" s="113"/>
      <c r="BT12" s="112">
        <v>0</v>
      </c>
      <c r="BU12" s="112">
        <v>3855000</v>
      </c>
      <c r="BV12" s="112">
        <v>0</v>
      </c>
      <c r="BW12" s="112">
        <v>1</v>
      </c>
      <c r="BX12" s="112">
        <v>1</v>
      </c>
      <c r="BY12" s="112">
        <v>1</v>
      </c>
      <c r="BZ12" s="112">
        <v>1</v>
      </c>
      <c r="CA12" s="112">
        <v>3855000</v>
      </c>
      <c r="CB12" s="112">
        <v>3855000</v>
      </c>
      <c r="CC12" s="113"/>
      <c r="CD12" s="112">
        <v>0</v>
      </c>
      <c r="CE12" s="113"/>
      <c r="CF12" s="112">
        <v>0</v>
      </c>
      <c r="CG12" s="113"/>
      <c r="CH12" s="112">
        <v>0</v>
      </c>
      <c r="CI12" s="113"/>
      <c r="CJ12" s="112">
        <v>0</v>
      </c>
      <c r="CK12" s="113"/>
      <c r="CL12" s="112">
        <v>0</v>
      </c>
      <c r="CM12" s="113">
        <v>46149</v>
      </c>
      <c r="CN12" s="112" t="s">
        <v>132</v>
      </c>
      <c r="CO12" s="112">
        <v>3801144.07</v>
      </c>
      <c r="CP12" s="112">
        <v>0</v>
      </c>
      <c r="CQ12" s="112">
        <v>0</v>
      </c>
      <c r="CR12" s="118">
        <v>46149</v>
      </c>
      <c r="CS12" s="119" t="s">
        <v>3000</v>
      </c>
      <c r="CT12" s="112">
        <v>3801144.07</v>
      </c>
      <c r="CU12" s="112" t="s">
        <v>307</v>
      </c>
      <c r="CV12" s="112" t="s">
        <v>308</v>
      </c>
      <c r="CW12" s="113">
        <v>46149</v>
      </c>
      <c r="CX12" s="112" t="s">
        <v>2116</v>
      </c>
      <c r="CY12" s="120">
        <f>MONTH(Table_ExternalData_14[[#This Row],[RunningReportDate]])</f>
        <v>5</v>
      </c>
      <c r="CZ12" s="120">
        <f>181-Table_ExternalData_14[[#This Row],[DaysOD]]</f>
        <v>7</v>
      </c>
      <c r="DA12" s="120">
        <f>IF(Table_ExternalData_14[[#This Row],[Status]]="PU-WC",0,Table_ExternalData_14[[#This Row],[Amount_CWO]]/1000000)</f>
        <v>3.8011440699999999</v>
      </c>
      <c r="DB12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1</v>
      </c>
      <c r="DC12" s="120">
        <f>IF(Table_ExternalData_14[[#This Row],[Status]]="PU-WC",0,IF(Table_ExternalData_14[[#This Row],[Success CWO]]=1,Table_ExternalData_14[[#This Row],[CWO Amt]],0))</f>
        <v>3.8011440699999999</v>
      </c>
      <c r="DD12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12" s="120">
        <f>DAY(Table_ExternalData_14[[#This Row],[Tanggal_Sukses-new]])</f>
        <v>7</v>
      </c>
      <c r="DF12" s="120">
        <f>IF(Table_ExternalData_14[[#This Row],[Status]]="PU-WC",0,IF(SUM(Table_ExternalData_14[[#This Row],[Success CWO]:[WO-In-Amt]])=0,1,0))</f>
        <v>0</v>
      </c>
      <c r="DG12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12" s="120" t="str">
        <f>VLOOKUP(Table_ExternalData_14[[#This Row],[BranchID]],KC!$A:$K,5,0)</f>
        <v>4W</v>
      </c>
      <c r="DI12" s="120" t="str">
        <f>VLOOKUP(Table_ExternalData_14[[#This Row],[BranchID]],KC!$A:$K,8,0)</f>
        <v>07. Sumbagsel</v>
      </c>
      <c r="DJ12" s="120" t="str">
        <f>VLOOKUP(Table_ExternalData_14[[#This Row],[BranchID]],KC!$A:$K,9,0)</f>
        <v>PALEMBANG</v>
      </c>
      <c r="DK12" s="121">
        <f>IF(Table_ExternalData_14[[#This Row],[Tanggal_Sukses]]=" ",Table_ExternalData_14[[#This Row],[Tanggal_Sukses]],VLOOKUP(Table_ExternalData_14[[#This Row],[ContractID]],Bantuan!$A:$C,2,0))</f>
        <v>46149</v>
      </c>
      <c r="DL12" s="120" t="str">
        <f>IF(Table_ExternalData_14[[#This Row],[Keterangan_Sukses]]=" ",Table_ExternalData_14[[#This Row],[Keterangan_Sukses]],VLOOKUP(Table_ExternalData_14[[#This Row],[ContractID]],Bantuan!$A:$C,3,0))</f>
        <v>LUNAS SEBELUM WO</v>
      </c>
    </row>
    <row r="13" spans="1:116" x14ac:dyDescent="0.3">
      <c r="A13" s="117" t="s">
        <v>303</v>
      </c>
      <c r="B13" s="112" t="s">
        <v>302</v>
      </c>
      <c r="C13" s="113">
        <v>46142</v>
      </c>
      <c r="D13" s="279">
        <v>45987</v>
      </c>
      <c r="E13" s="113">
        <v>44587</v>
      </c>
      <c r="F13" s="112" t="s">
        <v>2022</v>
      </c>
      <c r="G13" s="112" t="s">
        <v>2023</v>
      </c>
      <c r="H13" s="112" t="s">
        <v>2024</v>
      </c>
      <c r="I13" s="112" t="s">
        <v>2025</v>
      </c>
      <c r="J13" s="112" t="s">
        <v>2026</v>
      </c>
      <c r="K13" s="112" t="s">
        <v>4</v>
      </c>
      <c r="L13" s="112" t="s">
        <v>2026</v>
      </c>
      <c r="M13" s="112" t="s">
        <v>2027</v>
      </c>
      <c r="N13" s="112" t="s">
        <v>2028</v>
      </c>
      <c r="O13" s="112" t="s">
        <v>2029</v>
      </c>
      <c r="P13" s="112" t="s">
        <v>304</v>
      </c>
      <c r="Q13" s="112" t="s">
        <v>387</v>
      </c>
      <c r="R13" s="112" t="s">
        <v>4</v>
      </c>
      <c r="S13" s="112" t="s">
        <v>4</v>
      </c>
      <c r="T13" s="112" t="s">
        <v>2030</v>
      </c>
      <c r="U13" s="112" t="s">
        <v>2030</v>
      </c>
      <c r="V13" s="112" t="s">
        <v>927</v>
      </c>
      <c r="W13" s="112" t="s">
        <v>120</v>
      </c>
      <c r="X13" s="112" t="s">
        <v>121</v>
      </c>
      <c r="Y13" s="112" t="s">
        <v>136</v>
      </c>
      <c r="Z13" s="112" t="s">
        <v>142</v>
      </c>
      <c r="AA13" s="112" t="s">
        <v>2031</v>
      </c>
      <c r="AB13" s="112" t="s">
        <v>2032</v>
      </c>
      <c r="AC13" s="112" t="s">
        <v>2033</v>
      </c>
      <c r="AD13" s="112">
        <v>11550000</v>
      </c>
      <c r="AE13" s="112">
        <v>11244905.029999999</v>
      </c>
      <c r="AF13" s="112">
        <v>0</v>
      </c>
      <c r="AG13" s="112">
        <v>11550000</v>
      </c>
      <c r="AH13" s="112">
        <v>36879907.5</v>
      </c>
      <c r="AI13" s="112">
        <v>5500</v>
      </c>
      <c r="AJ13" s="112">
        <v>3850000</v>
      </c>
      <c r="AK13" s="112">
        <v>155</v>
      </c>
      <c r="AL13" s="112">
        <v>3</v>
      </c>
      <c r="AM13" s="112">
        <v>46</v>
      </c>
      <c r="AN13" s="112">
        <v>48</v>
      </c>
      <c r="AO13" s="112" t="s">
        <v>123</v>
      </c>
      <c r="AP13" s="112" t="s">
        <v>123</v>
      </c>
      <c r="AQ13" s="112" t="s">
        <v>124</v>
      </c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 t="s">
        <v>129</v>
      </c>
      <c r="BG13" s="112" t="s">
        <v>130</v>
      </c>
      <c r="BH13" s="112">
        <v>3</v>
      </c>
      <c r="BI13" s="112">
        <v>11550000</v>
      </c>
      <c r="BJ13" s="113"/>
      <c r="BK13" s="113"/>
      <c r="BL13" s="113"/>
      <c r="BM13" s="112"/>
      <c r="BN13" s="113">
        <v>46173</v>
      </c>
      <c r="BO13" s="112">
        <v>1</v>
      </c>
      <c r="BP13" s="114">
        <v>46149</v>
      </c>
      <c r="BQ13" s="112" t="s">
        <v>131</v>
      </c>
      <c r="BR13" s="112">
        <v>162</v>
      </c>
      <c r="BS13" s="113">
        <v>45987</v>
      </c>
      <c r="BT13" s="112">
        <v>11550000</v>
      </c>
      <c r="BU13" s="112">
        <v>0</v>
      </c>
      <c r="BV13" s="112">
        <v>1</v>
      </c>
      <c r="BW13" s="112">
        <v>0</v>
      </c>
      <c r="BX13" s="112">
        <v>0</v>
      </c>
      <c r="BY13" s="112">
        <v>0</v>
      </c>
      <c r="BZ13" s="112">
        <v>0</v>
      </c>
      <c r="CA13" s="112">
        <v>0</v>
      </c>
      <c r="CB13" s="112">
        <v>0</v>
      </c>
      <c r="CC13" s="113"/>
      <c r="CD13" s="112">
        <v>0</v>
      </c>
      <c r="CE13" s="113"/>
      <c r="CF13" s="112">
        <v>0</v>
      </c>
      <c r="CG13" s="113"/>
      <c r="CH13" s="112">
        <v>0</v>
      </c>
      <c r="CI13" s="113"/>
      <c r="CJ13" s="112">
        <v>0</v>
      </c>
      <c r="CK13" s="113"/>
      <c r="CL13" s="112">
        <v>0</v>
      </c>
      <c r="CM13" s="113">
        <v>46149</v>
      </c>
      <c r="CN13" s="112" t="s">
        <v>132</v>
      </c>
      <c r="CO13" s="112">
        <v>11239405.029999999</v>
      </c>
      <c r="CP13" s="112">
        <v>11239405.029999999</v>
      </c>
      <c r="CQ13" s="112">
        <v>26</v>
      </c>
      <c r="CR13" s="118"/>
      <c r="CS13" s="119"/>
      <c r="CT13" s="112">
        <v>0</v>
      </c>
      <c r="CU13" s="112" t="s">
        <v>307</v>
      </c>
      <c r="CV13" s="112" t="s">
        <v>308</v>
      </c>
      <c r="CW13" s="113">
        <v>46149</v>
      </c>
      <c r="CX13" s="112" t="s">
        <v>2116</v>
      </c>
      <c r="CY13" s="120">
        <f>MONTH(Table_ExternalData_14[[#This Row],[RunningReportDate]])</f>
        <v>5</v>
      </c>
      <c r="CZ13" s="120">
        <f>181-Table_ExternalData_14[[#This Row],[DaysOD]]</f>
        <v>26</v>
      </c>
      <c r="DA13" s="120">
        <f>IF(Table_ExternalData_14[[#This Row],[Status]]="PU-WC",0,Table_ExternalData_14[[#This Row],[Amount_CWO]]/1000000)</f>
        <v>11.239405029999999</v>
      </c>
      <c r="DB13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13" s="120">
        <f>IF(Table_ExternalData_14[[#This Row],[Status]]="PU-WC",0,IF(Table_ExternalData_14[[#This Row],[Success CWO]]=1,Table_ExternalData_14[[#This Row],[CWO Amt]],0))</f>
        <v>0</v>
      </c>
      <c r="DD13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13" s="120">
        <f>DAY(Table_ExternalData_14[[#This Row],[Tanggal_Sukses-new]])</f>
        <v>0</v>
      </c>
      <c r="DF13" s="120">
        <f>IF(Table_ExternalData_14[[#This Row],[Status]]="PU-WC",0,IF(SUM(Table_ExternalData_14[[#This Row],[Success CWO]:[WO-In-Amt]])=0,1,0))</f>
        <v>1</v>
      </c>
      <c r="DG13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11.239405029999999</v>
      </c>
      <c r="DH13" s="120" t="str">
        <f>VLOOKUP(Table_ExternalData_14[[#This Row],[BranchID]],KC!$A:$K,5,0)</f>
        <v>4W</v>
      </c>
      <c r="DI13" s="120" t="str">
        <f>VLOOKUP(Table_ExternalData_14[[#This Row],[BranchID]],KC!$A:$K,8,0)</f>
        <v>07. Sumbagsel</v>
      </c>
      <c r="DJ13" s="120" t="str">
        <f>VLOOKUP(Table_ExternalData_14[[#This Row],[BranchID]],KC!$A:$K,9,0)</f>
        <v>PALEMBANG</v>
      </c>
      <c r="DK13" s="121">
        <f>IF(Table_ExternalData_14[[#This Row],[Tanggal_Sukses]]=" ",Table_ExternalData_14[[#This Row],[Tanggal_Sukses]],VLOOKUP(Table_ExternalData_14[[#This Row],[ContractID]],Bantuan!$A:$C,2,0))</f>
        <v>0</v>
      </c>
      <c r="DL13" s="120">
        <f>IF(Table_ExternalData_14[[#This Row],[Keterangan_Sukses]]=" ",Table_ExternalData_14[[#This Row],[Keterangan_Sukses]],VLOOKUP(Table_ExternalData_14[[#This Row],[ContractID]],Bantuan!$A:$C,3,0))</f>
        <v>0</v>
      </c>
    </row>
    <row r="14" spans="1:116" x14ac:dyDescent="0.3">
      <c r="A14" s="117" t="s">
        <v>303</v>
      </c>
      <c r="B14" s="112" t="s">
        <v>302</v>
      </c>
      <c r="C14" s="113">
        <v>46142</v>
      </c>
      <c r="D14" s="279">
        <v>45981</v>
      </c>
      <c r="E14" s="113">
        <v>44679</v>
      </c>
      <c r="F14" s="112" t="s">
        <v>2008</v>
      </c>
      <c r="G14" s="112" t="s">
        <v>2009</v>
      </c>
      <c r="H14" s="112" t="s">
        <v>2010</v>
      </c>
      <c r="I14" s="112" t="s">
        <v>2011</v>
      </c>
      <c r="J14" s="112" t="s">
        <v>2012</v>
      </c>
      <c r="K14" s="112" t="s">
        <v>4</v>
      </c>
      <c r="L14" s="112" t="s">
        <v>2012</v>
      </c>
      <c r="M14" s="112" t="s">
        <v>2013</v>
      </c>
      <c r="N14" s="112" t="s">
        <v>2014</v>
      </c>
      <c r="O14" s="112" t="s">
        <v>2015</v>
      </c>
      <c r="P14" s="112" t="s">
        <v>304</v>
      </c>
      <c r="Q14" s="112" t="s">
        <v>305</v>
      </c>
      <c r="R14" s="112" t="s">
        <v>4</v>
      </c>
      <c r="S14" s="112" t="s">
        <v>4</v>
      </c>
      <c r="T14" s="112" t="s">
        <v>2016</v>
      </c>
      <c r="U14" s="112" t="s">
        <v>2016</v>
      </c>
      <c r="V14" s="112" t="s">
        <v>1114</v>
      </c>
      <c r="W14" s="112" t="s">
        <v>120</v>
      </c>
      <c r="X14" s="112" t="s">
        <v>121</v>
      </c>
      <c r="Y14" s="112" t="s">
        <v>2017</v>
      </c>
      <c r="Z14" s="112" t="s">
        <v>2018</v>
      </c>
      <c r="AA14" s="112" t="s">
        <v>2019</v>
      </c>
      <c r="AB14" s="112" t="s">
        <v>2020</v>
      </c>
      <c r="AC14" s="112" t="s">
        <v>2021</v>
      </c>
      <c r="AD14" s="112">
        <v>133000000</v>
      </c>
      <c r="AE14" s="112">
        <v>112074101.25</v>
      </c>
      <c r="AF14" s="112">
        <v>110200000</v>
      </c>
      <c r="AG14" s="112">
        <v>22800000</v>
      </c>
      <c r="AH14" s="112">
        <v>50512600</v>
      </c>
      <c r="AI14" s="112">
        <v>0</v>
      </c>
      <c r="AJ14" s="112">
        <v>3800000</v>
      </c>
      <c r="AK14" s="112">
        <v>161</v>
      </c>
      <c r="AL14" s="112">
        <v>6</v>
      </c>
      <c r="AM14" s="112">
        <v>42</v>
      </c>
      <c r="AN14" s="112">
        <v>76</v>
      </c>
      <c r="AO14" s="112" t="s">
        <v>123</v>
      </c>
      <c r="AP14" s="112" t="s">
        <v>123</v>
      </c>
      <c r="AQ14" s="112" t="s">
        <v>124</v>
      </c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 t="s">
        <v>129</v>
      </c>
      <c r="BG14" s="112" t="s">
        <v>130</v>
      </c>
      <c r="BH14" s="112">
        <v>7</v>
      </c>
      <c r="BI14" s="112">
        <v>26600000</v>
      </c>
      <c r="BJ14" s="113"/>
      <c r="BK14" s="113"/>
      <c r="BL14" s="113"/>
      <c r="BM14" s="112"/>
      <c r="BN14" s="113">
        <v>46173</v>
      </c>
      <c r="BO14" s="112">
        <v>1</v>
      </c>
      <c r="BP14" s="114">
        <v>46149</v>
      </c>
      <c r="BQ14" s="112" t="s">
        <v>131</v>
      </c>
      <c r="BR14" s="112">
        <v>138</v>
      </c>
      <c r="BS14" s="113">
        <v>46011</v>
      </c>
      <c r="BT14" s="112">
        <v>129200000</v>
      </c>
      <c r="BU14" s="112">
        <v>3800000</v>
      </c>
      <c r="BV14" s="112">
        <v>0</v>
      </c>
      <c r="BW14" s="112">
        <v>0</v>
      </c>
      <c r="BX14" s="112">
        <v>0</v>
      </c>
      <c r="BY14" s="112">
        <v>1</v>
      </c>
      <c r="BZ14" s="112">
        <v>1</v>
      </c>
      <c r="CA14" s="112">
        <v>3800000</v>
      </c>
      <c r="CB14" s="112">
        <v>3800000</v>
      </c>
      <c r="CC14" s="113"/>
      <c r="CD14" s="112">
        <v>0</v>
      </c>
      <c r="CE14" s="113"/>
      <c r="CF14" s="112">
        <v>0</v>
      </c>
      <c r="CG14" s="113"/>
      <c r="CH14" s="112">
        <v>0</v>
      </c>
      <c r="CI14" s="113"/>
      <c r="CJ14" s="112">
        <v>0</v>
      </c>
      <c r="CK14" s="113"/>
      <c r="CL14" s="112">
        <v>0</v>
      </c>
      <c r="CM14" s="113">
        <v>46149</v>
      </c>
      <c r="CN14" s="112" t="s">
        <v>132</v>
      </c>
      <c r="CO14" s="112">
        <v>112074101.25</v>
      </c>
      <c r="CP14" s="112">
        <v>0</v>
      </c>
      <c r="CQ14" s="112">
        <v>0</v>
      </c>
      <c r="CR14" s="118">
        <v>46144</v>
      </c>
      <c r="CS14" s="119" t="s">
        <v>2114</v>
      </c>
      <c r="CT14" s="112">
        <v>112074101.25</v>
      </c>
      <c r="CU14" s="112" t="s">
        <v>307</v>
      </c>
      <c r="CV14" s="112" t="s">
        <v>308</v>
      </c>
      <c r="CW14" s="113">
        <v>46149</v>
      </c>
      <c r="CX14" s="112" t="s">
        <v>2116</v>
      </c>
      <c r="CY14" s="120">
        <f>MONTH(Table_ExternalData_14[[#This Row],[RunningReportDate]])</f>
        <v>5</v>
      </c>
      <c r="CZ14" s="120">
        <f>181-Table_ExternalData_14[[#This Row],[DaysOD]]</f>
        <v>20</v>
      </c>
      <c r="DA14" s="120">
        <f>IF(Table_ExternalData_14[[#This Row],[Status]]="PU-WC",0,Table_ExternalData_14[[#This Row],[Amount_CWO]]/1000000)</f>
        <v>112.07410125</v>
      </c>
      <c r="DB14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1</v>
      </c>
      <c r="DC14" s="120">
        <f>IF(Table_ExternalData_14[[#This Row],[Status]]="PU-WC",0,IF(Table_ExternalData_14[[#This Row],[Success CWO]]=1,Table_ExternalData_14[[#This Row],[CWO Amt]],0))</f>
        <v>112.07410125</v>
      </c>
      <c r="DD14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14" s="120">
        <f>DAY(Table_ExternalData_14[[#This Row],[Tanggal_Sukses-new]])</f>
        <v>2</v>
      </c>
      <c r="DF14" s="120">
        <f>IF(Table_ExternalData_14[[#This Row],[Status]]="PU-WC",0,IF(SUM(Table_ExternalData_14[[#This Row],[Success CWO]:[WO-In-Amt]])=0,1,0))</f>
        <v>0</v>
      </c>
      <c r="DG14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14" s="120" t="str">
        <f>VLOOKUP(Table_ExternalData_14[[#This Row],[BranchID]],KC!$A:$K,5,0)</f>
        <v>4W</v>
      </c>
      <c r="DI14" s="120" t="str">
        <f>VLOOKUP(Table_ExternalData_14[[#This Row],[BranchID]],KC!$A:$K,8,0)</f>
        <v>07. Sumbagsel</v>
      </c>
      <c r="DJ14" s="120" t="str">
        <f>VLOOKUP(Table_ExternalData_14[[#This Row],[BranchID]],KC!$A:$K,9,0)</f>
        <v>PALEMBANG</v>
      </c>
      <c r="DK14" s="121">
        <f>IF(Table_ExternalData_14[[#This Row],[Tanggal_Sukses]]=" ",Table_ExternalData_14[[#This Row],[Tanggal_Sukses]],VLOOKUP(Table_ExternalData_14[[#This Row],[ContractID]],Bantuan!$A:$C,2,0))</f>
        <v>46144</v>
      </c>
      <c r="DL14" s="120" t="str">
        <f>IF(Table_ExternalData_14[[#This Row],[Keterangan_Sukses]]=" ",Table_ExternalData_14[[#This Row],[Keterangan_Sukses]],VLOOKUP(Table_ExternalData_14[[#This Row],[ContractID]],Bantuan!$A:$C,3,0))</f>
        <v>RB</v>
      </c>
    </row>
    <row r="15" spans="1:116" x14ac:dyDescent="0.3">
      <c r="A15" s="117" t="s">
        <v>303</v>
      </c>
      <c r="B15" s="112" t="s">
        <v>302</v>
      </c>
      <c r="C15" s="113">
        <v>46142</v>
      </c>
      <c r="D15" s="279">
        <v>45977</v>
      </c>
      <c r="E15" s="113">
        <v>44985</v>
      </c>
      <c r="F15" s="112" t="s">
        <v>871</v>
      </c>
      <c r="G15" s="112" t="s">
        <v>872</v>
      </c>
      <c r="H15" s="112" t="s">
        <v>873</v>
      </c>
      <c r="I15" s="112" t="s">
        <v>874</v>
      </c>
      <c r="J15" s="112" t="s">
        <v>875</v>
      </c>
      <c r="K15" s="112" t="s">
        <v>4</v>
      </c>
      <c r="L15" s="112" t="s">
        <v>875</v>
      </c>
      <c r="M15" s="112" t="s">
        <v>876</v>
      </c>
      <c r="N15" s="112" t="s">
        <v>877</v>
      </c>
      <c r="O15" s="112" t="s">
        <v>878</v>
      </c>
      <c r="P15" s="112" t="s">
        <v>304</v>
      </c>
      <c r="Q15" s="112" t="s">
        <v>305</v>
      </c>
      <c r="R15" s="112" t="s">
        <v>4</v>
      </c>
      <c r="S15" s="112" t="s">
        <v>4</v>
      </c>
      <c r="T15" s="112" t="s">
        <v>4</v>
      </c>
      <c r="U15" s="112" t="s">
        <v>4</v>
      </c>
      <c r="V15" s="112" t="s">
        <v>297</v>
      </c>
      <c r="W15" s="112" t="s">
        <v>120</v>
      </c>
      <c r="X15" s="112" t="s">
        <v>121</v>
      </c>
      <c r="Y15" s="112" t="s">
        <v>136</v>
      </c>
      <c r="Z15" s="112" t="s">
        <v>137</v>
      </c>
      <c r="AA15" s="112" t="s">
        <v>879</v>
      </c>
      <c r="AB15" s="112" t="s">
        <v>880</v>
      </c>
      <c r="AC15" s="112" t="s">
        <v>881</v>
      </c>
      <c r="AD15" s="112">
        <v>118528000</v>
      </c>
      <c r="AE15" s="112">
        <v>95014484.030000001</v>
      </c>
      <c r="AF15" s="112">
        <v>96304000</v>
      </c>
      <c r="AG15" s="112">
        <v>22224000</v>
      </c>
      <c r="AH15" s="112">
        <v>46273062</v>
      </c>
      <c r="AI15" s="112">
        <v>20000</v>
      </c>
      <c r="AJ15" s="112">
        <v>3704000</v>
      </c>
      <c r="AK15" s="112">
        <v>165</v>
      </c>
      <c r="AL15" s="112">
        <v>6</v>
      </c>
      <c r="AM15" s="112">
        <v>32</v>
      </c>
      <c r="AN15" s="112">
        <v>63</v>
      </c>
      <c r="AO15" s="112" t="s">
        <v>123</v>
      </c>
      <c r="AP15" s="112" t="s">
        <v>123</v>
      </c>
      <c r="AQ15" s="112" t="s">
        <v>124</v>
      </c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 t="s">
        <v>129</v>
      </c>
      <c r="BG15" s="112" t="s">
        <v>130</v>
      </c>
      <c r="BH15" s="112">
        <v>7</v>
      </c>
      <c r="BI15" s="112">
        <v>25928000</v>
      </c>
      <c r="BJ15" s="113"/>
      <c r="BK15" s="113"/>
      <c r="BL15" s="113"/>
      <c r="BM15" s="112"/>
      <c r="BN15" s="113">
        <v>46173</v>
      </c>
      <c r="BO15" s="112">
        <v>1</v>
      </c>
      <c r="BP15" s="114">
        <v>46149</v>
      </c>
      <c r="BQ15" s="112" t="s">
        <v>131</v>
      </c>
      <c r="BR15" s="112">
        <v>172</v>
      </c>
      <c r="BS15" s="113">
        <v>45977</v>
      </c>
      <c r="BT15" s="112">
        <v>118528000</v>
      </c>
      <c r="BU15" s="112">
        <v>0</v>
      </c>
      <c r="BV15" s="112">
        <v>1</v>
      </c>
      <c r="BW15" s="112">
        <v>0</v>
      </c>
      <c r="BX15" s="112">
        <v>0</v>
      </c>
      <c r="BY15" s="112">
        <v>0</v>
      </c>
      <c r="BZ15" s="112">
        <v>0</v>
      </c>
      <c r="CA15" s="112">
        <v>0</v>
      </c>
      <c r="CB15" s="112">
        <v>0</v>
      </c>
      <c r="CC15" s="113"/>
      <c r="CD15" s="112">
        <v>0</v>
      </c>
      <c r="CE15" s="113"/>
      <c r="CF15" s="112">
        <v>0</v>
      </c>
      <c r="CG15" s="113"/>
      <c r="CH15" s="112">
        <v>0</v>
      </c>
      <c r="CI15" s="113"/>
      <c r="CJ15" s="112">
        <v>0</v>
      </c>
      <c r="CK15" s="113"/>
      <c r="CL15" s="112">
        <v>0</v>
      </c>
      <c r="CM15" s="113">
        <v>46149</v>
      </c>
      <c r="CN15" s="112" t="s">
        <v>132</v>
      </c>
      <c r="CO15" s="112">
        <v>94994484.030000001</v>
      </c>
      <c r="CP15" s="112">
        <v>94994484.030000001</v>
      </c>
      <c r="CQ15" s="112">
        <v>16</v>
      </c>
      <c r="CR15" s="118"/>
      <c r="CS15" s="119"/>
      <c r="CT15" s="112">
        <v>0</v>
      </c>
      <c r="CU15" s="112" t="s">
        <v>307</v>
      </c>
      <c r="CV15" s="112" t="s">
        <v>308</v>
      </c>
      <c r="CW15" s="113">
        <v>46149</v>
      </c>
      <c r="CX15" s="112" t="s">
        <v>2116</v>
      </c>
      <c r="CY15" s="120">
        <f>MONTH(Table_ExternalData_14[[#This Row],[RunningReportDate]])</f>
        <v>5</v>
      </c>
      <c r="CZ15" s="120">
        <f>181-Table_ExternalData_14[[#This Row],[DaysOD]]</f>
        <v>16</v>
      </c>
      <c r="DA15" s="120">
        <f>IF(Table_ExternalData_14[[#This Row],[Status]]="PU-WC",0,Table_ExternalData_14[[#This Row],[Amount_CWO]]/1000000)</f>
        <v>94.994484029999995</v>
      </c>
      <c r="DB15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15" s="120">
        <f>IF(Table_ExternalData_14[[#This Row],[Status]]="PU-WC",0,IF(Table_ExternalData_14[[#This Row],[Success CWO]]=1,Table_ExternalData_14[[#This Row],[CWO Amt]],0))</f>
        <v>0</v>
      </c>
      <c r="DD15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15" s="120">
        <f>DAY(Table_ExternalData_14[[#This Row],[Tanggal_Sukses-new]])</f>
        <v>0</v>
      </c>
      <c r="DF15" s="120">
        <f>IF(Table_ExternalData_14[[#This Row],[Status]]="PU-WC",0,IF(SUM(Table_ExternalData_14[[#This Row],[Success CWO]:[WO-In-Amt]])=0,1,0))</f>
        <v>1</v>
      </c>
      <c r="DG15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94.994484029999995</v>
      </c>
      <c r="DH15" s="120" t="str">
        <f>VLOOKUP(Table_ExternalData_14[[#This Row],[BranchID]],KC!$A:$K,5,0)</f>
        <v>4W</v>
      </c>
      <c r="DI15" s="120" t="str">
        <f>VLOOKUP(Table_ExternalData_14[[#This Row],[BranchID]],KC!$A:$K,8,0)</f>
        <v>07. Sumbagsel</v>
      </c>
      <c r="DJ15" s="120" t="str">
        <f>VLOOKUP(Table_ExternalData_14[[#This Row],[BranchID]],KC!$A:$K,9,0)</f>
        <v>PALEMBANG</v>
      </c>
      <c r="DK15" s="121">
        <f>IF(Table_ExternalData_14[[#This Row],[Tanggal_Sukses]]=" ",Table_ExternalData_14[[#This Row],[Tanggal_Sukses]],VLOOKUP(Table_ExternalData_14[[#This Row],[ContractID]],Bantuan!$A:$C,2,0))</f>
        <v>0</v>
      </c>
      <c r="DL15" s="120">
        <f>IF(Table_ExternalData_14[[#This Row],[Keterangan_Sukses]]=" ",Table_ExternalData_14[[#This Row],[Keterangan_Sukses]],VLOOKUP(Table_ExternalData_14[[#This Row],[ContractID]],Bantuan!$A:$C,3,0))</f>
        <v>0</v>
      </c>
    </row>
    <row r="16" spans="1:116" x14ac:dyDescent="0.3">
      <c r="A16" s="117" t="s">
        <v>310</v>
      </c>
      <c r="B16" s="112" t="s">
        <v>309</v>
      </c>
      <c r="C16" s="113">
        <v>46142</v>
      </c>
      <c r="D16" s="279">
        <v>45982</v>
      </c>
      <c r="E16" s="113">
        <v>44455</v>
      </c>
      <c r="F16" s="112" t="s">
        <v>981</v>
      </c>
      <c r="G16" s="112" t="s">
        <v>982</v>
      </c>
      <c r="H16" s="112" t="s">
        <v>983</v>
      </c>
      <c r="I16" s="112" t="s">
        <v>984</v>
      </c>
      <c r="J16" s="112" t="s">
        <v>985</v>
      </c>
      <c r="K16" s="112" t="s">
        <v>4</v>
      </c>
      <c r="L16" s="112" t="s">
        <v>985</v>
      </c>
      <c r="M16" s="112" t="s">
        <v>986</v>
      </c>
      <c r="N16" s="112" t="s">
        <v>987</v>
      </c>
      <c r="O16" s="112" t="s">
        <v>980</v>
      </c>
      <c r="P16" s="112" t="s">
        <v>311</v>
      </c>
      <c r="Q16" s="112" t="s">
        <v>988</v>
      </c>
      <c r="R16" s="112" t="s">
        <v>4</v>
      </c>
      <c r="S16" s="112" t="s">
        <v>4</v>
      </c>
      <c r="T16" s="112" t="s">
        <v>323</v>
      </c>
      <c r="U16" s="112" t="s">
        <v>323</v>
      </c>
      <c r="V16" s="112" t="s">
        <v>258</v>
      </c>
      <c r="W16" s="112" t="s">
        <v>120</v>
      </c>
      <c r="X16" s="112" t="s">
        <v>121</v>
      </c>
      <c r="Y16" s="112" t="s">
        <v>136</v>
      </c>
      <c r="Z16" s="112" t="s">
        <v>137</v>
      </c>
      <c r="AA16" s="112" t="s">
        <v>989</v>
      </c>
      <c r="AB16" s="112" t="s">
        <v>990</v>
      </c>
      <c r="AC16" s="112" t="s">
        <v>991</v>
      </c>
      <c r="AD16" s="112">
        <v>7160000</v>
      </c>
      <c r="AE16" s="112">
        <v>7032457.1600000001</v>
      </c>
      <c r="AF16" s="112">
        <v>0</v>
      </c>
      <c r="AG16" s="112">
        <v>7160000</v>
      </c>
      <c r="AH16" s="112">
        <v>39701555</v>
      </c>
      <c r="AI16" s="112">
        <v>0</v>
      </c>
      <c r="AJ16" s="112">
        <v>3580000</v>
      </c>
      <c r="AK16" s="112">
        <v>160</v>
      </c>
      <c r="AL16" s="112">
        <v>2</v>
      </c>
      <c r="AM16" s="112">
        <v>50</v>
      </c>
      <c r="AN16" s="112">
        <v>51</v>
      </c>
      <c r="AO16" s="112" t="s">
        <v>123</v>
      </c>
      <c r="AP16" s="112" t="s">
        <v>123</v>
      </c>
      <c r="AQ16" s="112" t="s">
        <v>124</v>
      </c>
      <c r="AR16" s="112" t="s">
        <v>313</v>
      </c>
      <c r="AS16" s="112" t="s">
        <v>314</v>
      </c>
      <c r="AT16" s="112" t="s">
        <v>315</v>
      </c>
      <c r="AU16" s="112" t="s">
        <v>316</v>
      </c>
      <c r="AV16" s="112" t="s">
        <v>190</v>
      </c>
      <c r="AW16" s="112" t="s">
        <v>126</v>
      </c>
      <c r="AX16" s="112" t="s">
        <v>127</v>
      </c>
      <c r="AY16" s="112" t="s">
        <v>317</v>
      </c>
      <c r="AZ16" s="112" t="s">
        <v>314</v>
      </c>
      <c r="BA16" s="112" t="s">
        <v>315</v>
      </c>
      <c r="BB16" s="112" t="s">
        <v>128</v>
      </c>
      <c r="BC16" s="112" t="s">
        <v>318</v>
      </c>
      <c r="BD16" s="112" t="s">
        <v>125</v>
      </c>
      <c r="BE16" s="112" t="s">
        <v>126</v>
      </c>
      <c r="BF16" s="112" t="s">
        <v>129</v>
      </c>
      <c r="BG16" s="112" t="s">
        <v>130</v>
      </c>
      <c r="BH16" s="112">
        <v>2</v>
      </c>
      <c r="BI16" s="112">
        <v>7160000</v>
      </c>
      <c r="BJ16" s="113"/>
      <c r="BK16" s="113"/>
      <c r="BL16" s="113"/>
      <c r="BM16" s="112"/>
      <c r="BN16" s="113">
        <v>46173</v>
      </c>
      <c r="BO16" s="112">
        <v>1</v>
      </c>
      <c r="BP16" s="114">
        <v>46149</v>
      </c>
      <c r="BQ16" s="112" t="s">
        <v>131</v>
      </c>
      <c r="BR16" s="112">
        <v>167</v>
      </c>
      <c r="BS16" s="113">
        <v>45982</v>
      </c>
      <c r="BT16" s="112">
        <v>7160000</v>
      </c>
      <c r="BU16" s="112">
        <v>0</v>
      </c>
      <c r="BV16" s="112">
        <v>1</v>
      </c>
      <c r="BW16" s="112">
        <v>0</v>
      </c>
      <c r="BX16" s="112">
        <v>0</v>
      </c>
      <c r="BY16" s="112">
        <v>0</v>
      </c>
      <c r="BZ16" s="112">
        <v>0</v>
      </c>
      <c r="CA16" s="112">
        <v>0</v>
      </c>
      <c r="CB16" s="112">
        <v>0</v>
      </c>
      <c r="CC16" s="113"/>
      <c r="CD16" s="112">
        <v>0</v>
      </c>
      <c r="CE16" s="113"/>
      <c r="CF16" s="112">
        <v>0</v>
      </c>
      <c r="CG16" s="113"/>
      <c r="CH16" s="112">
        <v>0</v>
      </c>
      <c r="CI16" s="113"/>
      <c r="CJ16" s="112">
        <v>0</v>
      </c>
      <c r="CK16" s="113"/>
      <c r="CL16" s="112">
        <v>0</v>
      </c>
      <c r="CM16" s="113">
        <v>46149</v>
      </c>
      <c r="CN16" s="112" t="s">
        <v>132</v>
      </c>
      <c r="CO16" s="112">
        <v>7032457.1600000001</v>
      </c>
      <c r="CP16" s="112">
        <v>7032457.1600000001</v>
      </c>
      <c r="CQ16" s="112">
        <v>21</v>
      </c>
      <c r="CR16" s="118"/>
      <c r="CS16" s="119"/>
      <c r="CT16" s="112">
        <v>0</v>
      </c>
      <c r="CU16" s="112" t="s">
        <v>319</v>
      </c>
      <c r="CV16" s="112" t="s">
        <v>320</v>
      </c>
      <c r="CW16" s="113">
        <v>46149</v>
      </c>
      <c r="CX16" s="112" t="s">
        <v>2116</v>
      </c>
      <c r="CY16" s="120">
        <f>MONTH(Table_ExternalData_14[[#This Row],[RunningReportDate]])</f>
        <v>5</v>
      </c>
      <c r="CZ16" s="120">
        <f>181-Table_ExternalData_14[[#This Row],[DaysOD]]</f>
        <v>21</v>
      </c>
      <c r="DA16" s="120">
        <f>IF(Table_ExternalData_14[[#This Row],[Status]]="PU-WC",0,Table_ExternalData_14[[#This Row],[Amount_CWO]]/1000000)</f>
        <v>7.0324571599999999</v>
      </c>
      <c r="DB16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16" s="120">
        <f>IF(Table_ExternalData_14[[#This Row],[Status]]="PU-WC",0,IF(Table_ExternalData_14[[#This Row],[Success CWO]]=1,Table_ExternalData_14[[#This Row],[CWO Amt]],0))</f>
        <v>0</v>
      </c>
      <c r="DD16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16" s="120">
        <f>DAY(Table_ExternalData_14[[#This Row],[Tanggal_Sukses-new]])</f>
        <v>0</v>
      </c>
      <c r="DF16" s="120">
        <f>IF(Table_ExternalData_14[[#This Row],[Status]]="PU-WC",0,IF(SUM(Table_ExternalData_14[[#This Row],[Success CWO]:[WO-In-Amt]])=0,1,0))</f>
        <v>1</v>
      </c>
      <c r="DG16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7.0324571599999999</v>
      </c>
      <c r="DH16" s="120" t="str">
        <f>VLOOKUP(Table_ExternalData_14[[#This Row],[BranchID]],KC!$A:$K,5,0)</f>
        <v>4W</v>
      </c>
      <c r="DI16" s="120" t="str">
        <f>VLOOKUP(Table_ExternalData_14[[#This Row],[BranchID]],KC!$A:$K,8,0)</f>
        <v>06. Sulawesi</v>
      </c>
      <c r="DJ16" s="120" t="str">
        <f>VLOOKUP(Table_ExternalData_14[[#This Row],[BranchID]],KC!$A:$K,9,0)</f>
        <v>MANADO</v>
      </c>
      <c r="DK16" s="121">
        <f>IF(Table_ExternalData_14[[#This Row],[Tanggal_Sukses]]=" ",Table_ExternalData_14[[#This Row],[Tanggal_Sukses]],VLOOKUP(Table_ExternalData_14[[#This Row],[ContractID]],Bantuan!$A:$C,2,0))</f>
        <v>0</v>
      </c>
      <c r="DL16" s="120">
        <f>IF(Table_ExternalData_14[[#This Row],[Keterangan_Sukses]]=" ",Table_ExternalData_14[[#This Row],[Keterangan_Sukses]],VLOOKUP(Table_ExternalData_14[[#This Row],[ContractID]],Bantuan!$A:$C,3,0))</f>
        <v>0</v>
      </c>
    </row>
    <row r="17" spans="1:116" x14ac:dyDescent="0.3">
      <c r="A17" s="117" t="s">
        <v>310</v>
      </c>
      <c r="B17" s="112" t="s">
        <v>309</v>
      </c>
      <c r="C17" s="113">
        <v>46142</v>
      </c>
      <c r="D17" s="279">
        <v>45988</v>
      </c>
      <c r="E17" s="113">
        <v>45287</v>
      </c>
      <c r="F17" s="112" t="s">
        <v>1998</v>
      </c>
      <c r="G17" s="112" t="s">
        <v>1999</v>
      </c>
      <c r="H17" s="112" t="s">
        <v>2000</v>
      </c>
      <c r="I17" s="112" t="s">
        <v>2001</v>
      </c>
      <c r="J17" s="112" t="s">
        <v>2002</v>
      </c>
      <c r="K17" s="112" t="s">
        <v>4</v>
      </c>
      <c r="L17" s="112" t="s">
        <v>2002</v>
      </c>
      <c r="M17" s="112" t="s">
        <v>2003</v>
      </c>
      <c r="N17" s="112" t="s">
        <v>2004</v>
      </c>
      <c r="O17" s="112" t="s">
        <v>309</v>
      </c>
      <c r="P17" s="112" t="s">
        <v>311</v>
      </c>
      <c r="Q17" s="112" t="s">
        <v>312</v>
      </c>
      <c r="R17" s="112" t="s">
        <v>4</v>
      </c>
      <c r="S17" s="112" t="s">
        <v>4</v>
      </c>
      <c r="T17" s="112" t="s">
        <v>4</v>
      </c>
      <c r="U17" s="112" t="s">
        <v>4</v>
      </c>
      <c r="V17" s="112" t="s">
        <v>367</v>
      </c>
      <c r="W17" s="112" t="s">
        <v>120</v>
      </c>
      <c r="X17" s="112" t="s">
        <v>121</v>
      </c>
      <c r="Y17" s="112" t="s">
        <v>136</v>
      </c>
      <c r="Z17" s="112" t="s">
        <v>142</v>
      </c>
      <c r="AA17" s="112" t="s">
        <v>2005</v>
      </c>
      <c r="AB17" s="112" t="s">
        <v>2006</v>
      </c>
      <c r="AC17" s="112" t="s">
        <v>2007</v>
      </c>
      <c r="AD17" s="112">
        <v>163020000</v>
      </c>
      <c r="AE17" s="112">
        <v>121956996.73</v>
      </c>
      <c r="AF17" s="112">
        <v>137280000</v>
      </c>
      <c r="AG17" s="112">
        <v>25740000</v>
      </c>
      <c r="AH17" s="112">
        <v>10231650</v>
      </c>
      <c r="AI17" s="112">
        <v>0</v>
      </c>
      <c r="AJ17" s="112">
        <v>4290000</v>
      </c>
      <c r="AK17" s="112">
        <v>154</v>
      </c>
      <c r="AL17" s="112">
        <v>6</v>
      </c>
      <c r="AM17" s="112">
        <v>23</v>
      </c>
      <c r="AN17" s="112">
        <v>60</v>
      </c>
      <c r="AO17" s="112" t="s">
        <v>123</v>
      </c>
      <c r="AP17" s="112" t="s">
        <v>123</v>
      </c>
      <c r="AQ17" s="112" t="s">
        <v>124</v>
      </c>
      <c r="AR17" s="112" t="s">
        <v>313</v>
      </c>
      <c r="AS17" s="112" t="s">
        <v>314</v>
      </c>
      <c r="AT17" s="112" t="s">
        <v>315</v>
      </c>
      <c r="AU17" s="112" t="s">
        <v>316</v>
      </c>
      <c r="AV17" s="112" t="s">
        <v>190</v>
      </c>
      <c r="AW17" s="112" t="s">
        <v>126</v>
      </c>
      <c r="AX17" s="112" t="s">
        <v>127</v>
      </c>
      <c r="AY17" s="112" t="s">
        <v>317</v>
      </c>
      <c r="AZ17" s="112" t="s">
        <v>314</v>
      </c>
      <c r="BA17" s="112" t="s">
        <v>315</v>
      </c>
      <c r="BB17" s="112" t="s">
        <v>128</v>
      </c>
      <c r="BC17" s="112" t="s">
        <v>318</v>
      </c>
      <c r="BD17" s="112" t="s">
        <v>125</v>
      </c>
      <c r="BE17" s="112" t="s">
        <v>126</v>
      </c>
      <c r="BF17" s="112" t="s">
        <v>129</v>
      </c>
      <c r="BG17" s="112" t="s">
        <v>130</v>
      </c>
      <c r="BH17" s="112">
        <v>7</v>
      </c>
      <c r="BI17" s="112">
        <v>30030000</v>
      </c>
      <c r="BJ17" s="113"/>
      <c r="BK17" s="113"/>
      <c r="BL17" s="113"/>
      <c r="BM17" s="112"/>
      <c r="BN17" s="113">
        <v>46173</v>
      </c>
      <c r="BO17" s="112">
        <v>1</v>
      </c>
      <c r="BP17" s="114">
        <v>46149</v>
      </c>
      <c r="BQ17" s="112" t="s">
        <v>131</v>
      </c>
      <c r="BR17" s="112">
        <v>161</v>
      </c>
      <c r="BS17" s="113">
        <v>45988</v>
      </c>
      <c r="BT17" s="112">
        <v>163020000</v>
      </c>
      <c r="BU17" s="112">
        <v>0</v>
      </c>
      <c r="BV17" s="112">
        <v>1</v>
      </c>
      <c r="BW17" s="112">
        <v>0</v>
      </c>
      <c r="BX17" s="112">
        <v>0</v>
      </c>
      <c r="BY17" s="112">
        <v>0</v>
      </c>
      <c r="BZ17" s="112">
        <v>0</v>
      </c>
      <c r="CA17" s="112">
        <v>0</v>
      </c>
      <c r="CB17" s="112">
        <v>0</v>
      </c>
      <c r="CC17" s="113"/>
      <c r="CD17" s="112">
        <v>0</v>
      </c>
      <c r="CE17" s="113"/>
      <c r="CF17" s="112">
        <v>0</v>
      </c>
      <c r="CG17" s="113"/>
      <c r="CH17" s="112">
        <v>0</v>
      </c>
      <c r="CI17" s="113"/>
      <c r="CJ17" s="112">
        <v>0</v>
      </c>
      <c r="CK17" s="113"/>
      <c r="CL17" s="112">
        <v>0</v>
      </c>
      <c r="CM17" s="113">
        <v>46149</v>
      </c>
      <c r="CN17" s="112" t="s">
        <v>132</v>
      </c>
      <c r="CO17" s="112">
        <v>121956996.73</v>
      </c>
      <c r="CP17" s="112">
        <v>121956996.73</v>
      </c>
      <c r="CQ17" s="112">
        <v>27</v>
      </c>
      <c r="CR17" s="118"/>
      <c r="CS17" s="119"/>
      <c r="CT17" s="112">
        <v>0</v>
      </c>
      <c r="CU17" s="112" t="s">
        <v>319</v>
      </c>
      <c r="CV17" s="112" t="s">
        <v>320</v>
      </c>
      <c r="CW17" s="113">
        <v>46149</v>
      </c>
      <c r="CX17" s="112" t="s">
        <v>2116</v>
      </c>
      <c r="CY17" s="120">
        <f>MONTH(Table_ExternalData_14[[#This Row],[RunningReportDate]])</f>
        <v>5</v>
      </c>
      <c r="CZ17" s="120">
        <f>181-Table_ExternalData_14[[#This Row],[DaysOD]]</f>
        <v>27</v>
      </c>
      <c r="DA17" s="120">
        <f>IF(Table_ExternalData_14[[#This Row],[Status]]="PU-WC",0,Table_ExternalData_14[[#This Row],[Amount_CWO]]/1000000)</f>
        <v>121.95699673</v>
      </c>
      <c r="DB17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17" s="120">
        <f>IF(Table_ExternalData_14[[#This Row],[Status]]="PU-WC",0,IF(Table_ExternalData_14[[#This Row],[Success CWO]]=1,Table_ExternalData_14[[#This Row],[CWO Amt]],0))</f>
        <v>0</v>
      </c>
      <c r="DD17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17" s="120">
        <f>DAY(Table_ExternalData_14[[#This Row],[Tanggal_Sukses-new]])</f>
        <v>0</v>
      </c>
      <c r="DF17" s="120">
        <f>IF(Table_ExternalData_14[[#This Row],[Status]]="PU-WC",0,IF(SUM(Table_ExternalData_14[[#This Row],[Success CWO]:[WO-In-Amt]])=0,1,0))</f>
        <v>1</v>
      </c>
      <c r="DG17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121.95699673</v>
      </c>
      <c r="DH17" s="120" t="str">
        <f>VLOOKUP(Table_ExternalData_14[[#This Row],[BranchID]],KC!$A:$K,5,0)</f>
        <v>4W</v>
      </c>
      <c r="DI17" s="120" t="str">
        <f>VLOOKUP(Table_ExternalData_14[[#This Row],[BranchID]],KC!$A:$K,8,0)</f>
        <v>06. Sulawesi</v>
      </c>
      <c r="DJ17" s="120" t="str">
        <f>VLOOKUP(Table_ExternalData_14[[#This Row],[BranchID]],KC!$A:$K,9,0)</f>
        <v>MANADO</v>
      </c>
      <c r="DK17" s="121">
        <f>IF(Table_ExternalData_14[[#This Row],[Tanggal_Sukses]]=" ",Table_ExternalData_14[[#This Row],[Tanggal_Sukses]],VLOOKUP(Table_ExternalData_14[[#This Row],[ContractID]],Bantuan!$A:$C,2,0))</f>
        <v>0</v>
      </c>
      <c r="DL17" s="120">
        <f>IF(Table_ExternalData_14[[#This Row],[Keterangan_Sukses]]=" ",Table_ExternalData_14[[#This Row],[Keterangan_Sukses]],VLOOKUP(Table_ExternalData_14[[#This Row],[ContractID]],Bantuan!$A:$C,3,0))</f>
        <v>0</v>
      </c>
    </row>
    <row r="18" spans="1:116" x14ac:dyDescent="0.3">
      <c r="A18" s="117" t="s">
        <v>310</v>
      </c>
      <c r="B18" s="112" t="s">
        <v>309</v>
      </c>
      <c r="C18" s="113">
        <v>46142</v>
      </c>
      <c r="D18" s="279">
        <v>45966</v>
      </c>
      <c r="E18" s="113">
        <v>45869</v>
      </c>
      <c r="F18" s="112" t="s">
        <v>1986</v>
      </c>
      <c r="G18" s="112" t="s">
        <v>1987</v>
      </c>
      <c r="H18" s="112" t="s">
        <v>1988</v>
      </c>
      <c r="I18" s="112" t="s">
        <v>1989</v>
      </c>
      <c r="J18" s="112" t="s">
        <v>1990</v>
      </c>
      <c r="K18" s="112" t="s">
        <v>4</v>
      </c>
      <c r="L18" s="112" t="s">
        <v>1990</v>
      </c>
      <c r="M18" s="112" t="s">
        <v>1991</v>
      </c>
      <c r="N18" s="112" t="s">
        <v>1992</v>
      </c>
      <c r="O18" s="112" t="s">
        <v>1993</v>
      </c>
      <c r="P18" s="112" t="s">
        <v>311</v>
      </c>
      <c r="Q18" s="112" t="s">
        <v>312</v>
      </c>
      <c r="R18" s="112" t="s">
        <v>4</v>
      </c>
      <c r="S18" s="112" t="s">
        <v>4</v>
      </c>
      <c r="T18" s="112" t="s">
        <v>4</v>
      </c>
      <c r="U18" s="112" t="s">
        <v>4</v>
      </c>
      <c r="V18" s="112" t="s">
        <v>1994</v>
      </c>
      <c r="W18" s="112" t="s">
        <v>120</v>
      </c>
      <c r="X18" s="112" t="s">
        <v>121</v>
      </c>
      <c r="Y18" s="112" t="s">
        <v>136</v>
      </c>
      <c r="Z18" s="112" t="s">
        <v>142</v>
      </c>
      <c r="AA18" s="112" t="s">
        <v>1995</v>
      </c>
      <c r="AB18" s="112" t="s">
        <v>1996</v>
      </c>
      <c r="AC18" s="112" t="s">
        <v>1997</v>
      </c>
      <c r="AD18" s="112">
        <v>266800000</v>
      </c>
      <c r="AE18" s="112">
        <v>167921780.77000001</v>
      </c>
      <c r="AF18" s="112">
        <v>239200000</v>
      </c>
      <c r="AG18" s="112">
        <v>27600000</v>
      </c>
      <c r="AH18" s="112">
        <v>14482000</v>
      </c>
      <c r="AI18" s="112">
        <v>0</v>
      </c>
      <c r="AJ18" s="112">
        <v>4600000</v>
      </c>
      <c r="AK18" s="112">
        <v>176</v>
      </c>
      <c r="AL18" s="112">
        <v>6</v>
      </c>
      <c r="AM18" s="112">
        <v>3</v>
      </c>
      <c r="AN18" s="112">
        <v>60</v>
      </c>
      <c r="AO18" s="112" t="s">
        <v>123</v>
      </c>
      <c r="AP18" s="112" t="s">
        <v>123</v>
      </c>
      <c r="AQ18" s="112" t="s">
        <v>124</v>
      </c>
      <c r="AR18" s="112" t="s">
        <v>313</v>
      </c>
      <c r="AS18" s="112" t="s">
        <v>314</v>
      </c>
      <c r="AT18" s="112" t="s">
        <v>315</v>
      </c>
      <c r="AU18" s="112" t="s">
        <v>316</v>
      </c>
      <c r="AV18" s="112" t="s">
        <v>190</v>
      </c>
      <c r="AW18" s="112" t="s">
        <v>126</v>
      </c>
      <c r="AX18" s="112" t="s">
        <v>127</v>
      </c>
      <c r="AY18" s="112" t="s">
        <v>317</v>
      </c>
      <c r="AZ18" s="112" t="s">
        <v>314</v>
      </c>
      <c r="BA18" s="112" t="s">
        <v>315</v>
      </c>
      <c r="BB18" s="112" t="s">
        <v>128</v>
      </c>
      <c r="BC18" s="112" t="s">
        <v>318</v>
      </c>
      <c r="BD18" s="112" t="s">
        <v>125</v>
      </c>
      <c r="BE18" s="112" t="s">
        <v>126</v>
      </c>
      <c r="BF18" s="112" t="s">
        <v>129</v>
      </c>
      <c r="BG18" s="112" t="s">
        <v>130</v>
      </c>
      <c r="BH18" s="112">
        <v>7</v>
      </c>
      <c r="BI18" s="112">
        <v>32200000</v>
      </c>
      <c r="BJ18" s="113"/>
      <c r="BK18" s="113"/>
      <c r="BL18" s="113"/>
      <c r="BM18" s="112"/>
      <c r="BN18" s="113">
        <v>46173</v>
      </c>
      <c r="BO18" s="112">
        <v>1</v>
      </c>
      <c r="BP18" s="114">
        <v>46149</v>
      </c>
      <c r="BQ18" s="112" t="s">
        <v>131</v>
      </c>
      <c r="BR18" s="112">
        <v>183</v>
      </c>
      <c r="BS18" s="113">
        <v>45966</v>
      </c>
      <c r="BT18" s="112">
        <v>266800000</v>
      </c>
      <c r="BU18" s="112">
        <v>0</v>
      </c>
      <c r="BV18" s="112">
        <v>1</v>
      </c>
      <c r="BW18" s="112">
        <v>0</v>
      </c>
      <c r="BX18" s="112">
        <v>0</v>
      </c>
      <c r="BY18" s="112">
        <v>0</v>
      </c>
      <c r="BZ18" s="112">
        <v>0</v>
      </c>
      <c r="CA18" s="112">
        <v>0</v>
      </c>
      <c r="CB18" s="112">
        <v>0</v>
      </c>
      <c r="CC18" s="113"/>
      <c r="CD18" s="112">
        <v>0</v>
      </c>
      <c r="CE18" s="113"/>
      <c r="CF18" s="112">
        <v>0</v>
      </c>
      <c r="CG18" s="113"/>
      <c r="CH18" s="112">
        <v>0</v>
      </c>
      <c r="CI18" s="113"/>
      <c r="CJ18" s="112">
        <v>0</v>
      </c>
      <c r="CK18" s="113"/>
      <c r="CL18" s="112">
        <v>0</v>
      </c>
      <c r="CM18" s="113">
        <v>46149</v>
      </c>
      <c r="CN18" s="112" t="s">
        <v>132</v>
      </c>
      <c r="CO18" s="112">
        <v>167921780.77000001</v>
      </c>
      <c r="CP18" s="112">
        <v>167921780.77000001</v>
      </c>
      <c r="CQ18" s="112">
        <v>5</v>
      </c>
      <c r="CR18" s="118"/>
      <c r="CS18" s="119"/>
      <c r="CT18" s="112">
        <v>0</v>
      </c>
      <c r="CU18" s="112" t="s">
        <v>319</v>
      </c>
      <c r="CV18" s="112" t="s">
        <v>320</v>
      </c>
      <c r="CW18" s="113">
        <v>46149</v>
      </c>
      <c r="CX18" s="112" t="s">
        <v>2116</v>
      </c>
      <c r="CY18" s="120">
        <f>MONTH(Table_ExternalData_14[[#This Row],[RunningReportDate]])</f>
        <v>5</v>
      </c>
      <c r="CZ18" s="120">
        <f>181-Table_ExternalData_14[[#This Row],[DaysOD]]</f>
        <v>5</v>
      </c>
      <c r="DA18" s="120">
        <f>IF(Table_ExternalData_14[[#This Row],[Status]]="PU-WC",0,Table_ExternalData_14[[#This Row],[Amount_CWO]]/1000000)</f>
        <v>167.92178077</v>
      </c>
      <c r="DB18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18" s="120">
        <f>IF(Table_ExternalData_14[[#This Row],[Status]]="PU-WC",0,IF(Table_ExternalData_14[[#This Row],[Success CWO]]=1,Table_ExternalData_14[[#This Row],[CWO Amt]],0))</f>
        <v>0</v>
      </c>
      <c r="DD18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167.92178077</v>
      </c>
      <c r="DE18" s="120">
        <f>DAY(Table_ExternalData_14[[#This Row],[Tanggal_Sukses-new]])</f>
        <v>0</v>
      </c>
      <c r="DF18" s="120">
        <f>IF(Table_ExternalData_14[[#This Row],[Status]]="PU-WC",0,IF(SUM(Table_ExternalData_14[[#This Row],[Success CWO]:[WO-In-Amt]])=0,1,0))</f>
        <v>0</v>
      </c>
      <c r="DG18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18" s="120" t="str">
        <f>VLOOKUP(Table_ExternalData_14[[#This Row],[BranchID]],KC!$A:$K,5,0)</f>
        <v>4W</v>
      </c>
      <c r="DI18" s="120" t="str">
        <f>VLOOKUP(Table_ExternalData_14[[#This Row],[BranchID]],KC!$A:$K,8,0)</f>
        <v>06. Sulawesi</v>
      </c>
      <c r="DJ18" s="120" t="str">
        <f>VLOOKUP(Table_ExternalData_14[[#This Row],[BranchID]],KC!$A:$K,9,0)</f>
        <v>MANADO</v>
      </c>
      <c r="DK18" s="121">
        <f>IF(Table_ExternalData_14[[#This Row],[Tanggal_Sukses]]=" ",Table_ExternalData_14[[#This Row],[Tanggal_Sukses]],VLOOKUP(Table_ExternalData_14[[#This Row],[ContractID]],Bantuan!$A:$C,2,0))</f>
        <v>0</v>
      </c>
      <c r="DL18" s="120">
        <f>IF(Table_ExternalData_14[[#This Row],[Keterangan_Sukses]]=" ",Table_ExternalData_14[[#This Row],[Keterangan_Sukses]],VLOOKUP(Table_ExternalData_14[[#This Row],[ContractID]],Bantuan!$A:$C,3,0))</f>
        <v>0</v>
      </c>
    </row>
    <row r="19" spans="1:116" x14ac:dyDescent="0.3">
      <c r="A19" s="117" t="s">
        <v>322</v>
      </c>
      <c r="B19" s="112" t="s">
        <v>321</v>
      </c>
      <c r="C19" s="113">
        <v>46142</v>
      </c>
      <c r="D19" s="279">
        <v>45966</v>
      </c>
      <c r="E19" s="113">
        <v>44722</v>
      </c>
      <c r="F19" s="112" t="s">
        <v>1975</v>
      </c>
      <c r="G19" s="112" t="s">
        <v>1976</v>
      </c>
      <c r="H19" s="112" t="s">
        <v>1977</v>
      </c>
      <c r="I19" s="112" t="s">
        <v>1978</v>
      </c>
      <c r="J19" s="112" t="s">
        <v>1979</v>
      </c>
      <c r="K19" s="112" t="s">
        <v>4</v>
      </c>
      <c r="L19" s="112" t="s">
        <v>1979</v>
      </c>
      <c r="M19" s="112" t="s">
        <v>1980</v>
      </c>
      <c r="N19" s="112" t="s">
        <v>1981</v>
      </c>
      <c r="O19" s="112" t="s">
        <v>1943</v>
      </c>
      <c r="P19" s="112" t="s">
        <v>1944</v>
      </c>
      <c r="Q19" s="112" t="s">
        <v>352</v>
      </c>
      <c r="R19" s="112" t="s">
        <v>4</v>
      </c>
      <c r="S19" s="112" t="s">
        <v>4</v>
      </c>
      <c r="T19" s="112" t="s">
        <v>1982</v>
      </c>
      <c r="U19" s="112" t="s">
        <v>1982</v>
      </c>
      <c r="V19" s="112" t="s">
        <v>1807</v>
      </c>
      <c r="W19" s="112" t="s">
        <v>120</v>
      </c>
      <c r="X19" s="112" t="s">
        <v>121</v>
      </c>
      <c r="Y19" s="112" t="s">
        <v>136</v>
      </c>
      <c r="Z19" s="112" t="s">
        <v>137</v>
      </c>
      <c r="AA19" s="112" t="s">
        <v>1983</v>
      </c>
      <c r="AB19" s="112" t="s">
        <v>1984</v>
      </c>
      <c r="AC19" s="112" t="s">
        <v>1985</v>
      </c>
      <c r="AD19" s="112">
        <v>67680000</v>
      </c>
      <c r="AE19" s="112">
        <v>58576100.780000001</v>
      </c>
      <c r="AF19" s="112">
        <v>50760000</v>
      </c>
      <c r="AG19" s="112">
        <v>16920000</v>
      </c>
      <c r="AH19" s="112">
        <v>20290240</v>
      </c>
      <c r="AI19" s="112">
        <v>102500</v>
      </c>
      <c r="AJ19" s="112">
        <v>2820000</v>
      </c>
      <c r="AK19" s="112">
        <v>176</v>
      </c>
      <c r="AL19" s="112">
        <v>6</v>
      </c>
      <c r="AM19" s="112">
        <v>40</v>
      </c>
      <c r="AN19" s="112">
        <v>63</v>
      </c>
      <c r="AO19" s="112" t="s">
        <v>123</v>
      </c>
      <c r="AP19" s="112" t="s">
        <v>123</v>
      </c>
      <c r="AQ19" s="112" t="s">
        <v>124</v>
      </c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 t="s">
        <v>129</v>
      </c>
      <c r="BG19" s="112" t="s">
        <v>130</v>
      </c>
      <c r="BH19" s="112">
        <v>7</v>
      </c>
      <c r="BI19" s="112">
        <v>19740000</v>
      </c>
      <c r="BJ19" s="113"/>
      <c r="BK19" s="113"/>
      <c r="BL19" s="113"/>
      <c r="BM19" s="112"/>
      <c r="BN19" s="113">
        <v>46173</v>
      </c>
      <c r="BO19" s="112">
        <v>1</v>
      </c>
      <c r="BP19" s="114">
        <v>46149</v>
      </c>
      <c r="BQ19" s="112" t="s">
        <v>131</v>
      </c>
      <c r="BR19" s="112">
        <v>183</v>
      </c>
      <c r="BS19" s="113">
        <v>45966</v>
      </c>
      <c r="BT19" s="112">
        <v>67680000</v>
      </c>
      <c r="BU19" s="112">
        <v>0</v>
      </c>
      <c r="BV19" s="112">
        <v>1</v>
      </c>
      <c r="BW19" s="112">
        <v>0</v>
      </c>
      <c r="BX19" s="112">
        <v>0</v>
      </c>
      <c r="BY19" s="112">
        <v>0</v>
      </c>
      <c r="BZ19" s="112">
        <v>0</v>
      </c>
      <c r="CA19" s="112">
        <v>0</v>
      </c>
      <c r="CB19" s="112">
        <v>0</v>
      </c>
      <c r="CC19" s="113"/>
      <c r="CD19" s="112">
        <v>0</v>
      </c>
      <c r="CE19" s="113"/>
      <c r="CF19" s="112">
        <v>0</v>
      </c>
      <c r="CG19" s="113"/>
      <c r="CH19" s="112">
        <v>0</v>
      </c>
      <c r="CI19" s="113"/>
      <c r="CJ19" s="112">
        <v>0</v>
      </c>
      <c r="CK19" s="113"/>
      <c r="CL19" s="112">
        <v>0</v>
      </c>
      <c r="CM19" s="113">
        <v>46149</v>
      </c>
      <c r="CN19" s="112" t="s">
        <v>132</v>
      </c>
      <c r="CO19" s="112">
        <v>58473600.780000001</v>
      </c>
      <c r="CP19" s="112">
        <v>58473600.780000001</v>
      </c>
      <c r="CQ19" s="112">
        <v>5</v>
      </c>
      <c r="CR19" s="118"/>
      <c r="CS19" s="119"/>
      <c r="CT19" s="112">
        <v>0</v>
      </c>
      <c r="CU19" s="112" t="s">
        <v>324</v>
      </c>
      <c r="CV19" s="112" t="s">
        <v>182</v>
      </c>
      <c r="CW19" s="113">
        <v>46149</v>
      </c>
      <c r="CX19" s="112" t="s">
        <v>2116</v>
      </c>
      <c r="CY19" s="120">
        <f>MONTH(Table_ExternalData_14[[#This Row],[RunningReportDate]])</f>
        <v>5</v>
      </c>
      <c r="CZ19" s="120">
        <f>181-Table_ExternalData_14[[#This Row],[DaysOD]]</f>
        <v>5</v>
      </c>
      <c r="DA19" s="120">
        <f>IF(Table_ExternalData_14[[#This Row],[Status]]="PU-WC",0,Table_ExternalData_14[[#This Row],[Amount_CWO]]/1000000)</f>
        <v>58.473600779999998</v>
      </c>
      <c r="DB19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19" s="120">
        <f>IF(Table_ExternalData_14[[#This Row],[Status]]="PU-WC",0,IF(Table_ExternalData_14[[#This Row],[Success CWO]]=1,Table_ExternalData_14[[#This Row],[CWO Amt]],0))</f>
        <v>0</v>
      </c>
      <c r="DD19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58.473600779999998</v>
      </c>
      <c r="DE19" s="120">
        <f>DAY(Table_ExternalData_14[[#This Row],[Tanggal_Sukses-new]])</f>
        <v>0</v>
      </c>
      <c r="DF19" s="120">
        <f>IF(Table_ExternalData_14[[#This Row],[Status]]="PU-WC",0,IF(SUM(Table_ExternalData_14[[#This Row],[Success CWO]:[WO-In-Amt]])=0,1,0))</f>
        <v>0</v>
      </c>
      <c r="DG19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19" s="120" t="str">
        <f>VLOOKUP(Table_ExternalData_14[[#This Row],[BranchID]],KC!$A:$K,5,0)</f>
        <v>4W</v>
      </c>
      <c r="DI19" s="120" t="str">
        <f>VLOOKUP(Table_ExternalData_14[[#This Row],[BranchID]],KC!$A:$K,8,0)</f>
        <v>03. Jawa Tengah</v>
      </c>
      <c r="DJ19" s="120" t="str">
        <f>VLOOKUP(Table_ExternalData_14[[#This Row],[BranchID]],KC!$A:$K,9,0)</f>
        <v>SOLO</v>
      </c>
      <c r="DK19" s="121">
        <f>IF(Table_ExternalData_14[[#This Row],[Tanggal_Sukses]]=" ",Table_ExternalData_14[[#This Row],[Tanggal_Sukses]],VLOOKUP(Table_ExternalData_14[[#This Row],[ContractID]],Bantuan!$A:$C,2,0))</f>
        <v>0</v>
      </c>
      <c r="DL19" s="120">
        <f>IF(Table_ExternalData_14[[#This Row],[Keterangan_Sukses]]=" ",Table_ExternalData_14[[#This Row],[Keterangan_Sukses]],VLOOKUP(Table_ExternalData_14[[#This Row],[ContractID]],Bantuan!$A:$C,3,0))</f>
        <v>0</v>
      </c>
    </row>
    <row r="20" spans="1:116" x14ac:dyDescent="0.3">
      <c r="A20" s="117" t="s">
        <v>322</v>
      </c>
      <c r="B20" s="112" t="s">
        <v>321</v>
      </c>
      <c r="C20" s="113">
        <v>46142</v>
      </c>
      <c r="D20" s="279">
        <v>45992</v>
      </c>
      <c r="E20" s="113">
        <v>44923</v>
      </c>
      <c r="F20" s="112" t="s">
        <v>1959</v>
      </c>
      <c r="G20" s="112" t="s">
        <v>1960</v>
      </c>
      <c r="H20" s="112" t="s">
        <v>1961</v>
      </c>
      <c r="I20" s="112" t="s">
        <v>1962</v>
      </c>
      <c r="J20" s="112" t="s">
        <v>1963</v>
      </c>
      <c r="K20" s="112" t="s">
        <v>4</v>
      </c>
      <c r="L20" s="112" t="s">
        <v>1963</v>
      </c>
      <c r="M20" s="112" t="s">
        <v>1964</v>
      </c>
      <c r="N20" s="112" t="s">
        <v>1965</v>
      </c>
      <c r="O20" s="112" t="s">
        <v>490</v>
      </c>
      <c r="P20" s="112" t="s">
        <v>1944</v>
      </c>
      <c r="Q20" s="112" t="s">
        <v>1955</v>
      </c>
      <c r="R20" s="112" t="s">
        <v>4</v>
      </c>
      <c r="S20" s="112" t="s">
        <v>4</v>
      </c>
      <c r="T20" s="112" t="s">
        <v>1043</v>
      </c>
      <c r="U20" s="112" t="s">
        <v>1043</v>
      </c>
      <c r="V20" s="112" t="s">
        <v>169</v>
      </c>
      <c r="W20" s="112" t="s">
        <v>120</v>
      </c>
      <c r="X20" s="112" t="s">
        <v>121</v>
      </c>
      <c r="Y20" s="112" t="s">
        <v>136</v>
      </c>
      <c r="Z20" s="112" t="s">
        <v>137</v>
      </c>
      <c r="AA20" s="112" t="s">
        <v>1966</v>
      </c>
      <c r="AB20" s="112" t="s">
        <v>1967</v>
      </c>
      <c r="AC20" s="112" t="s">
        <v>1968</v>
      </c>
      <c r="AD20" s="112">
        <v>93600000</v>
      </c>
      <c r="AE20" s="112">
        <v>76822475.319999993</v>
      </c>
      <c r="AF20" s="112">
        <v>75600000</v>
      </c>
      <c r="AG20" s="112">
        <v>18000000</v>
      </c>
      <c r="AH20" s="112">
        <v>39328000</v>
      </c>
      <c r="AI20" s="112">
        <v>0</v>
      </c>
      <c r="AJ20" s="112">
        <v>3600000</v>
      </c>
      <c r="AK20" s="112">
        <v>150</v>
      </c>
      <c r="AL20" s="112">
        <v>5</v>
      </c>
      <c r="AM20" s="112">
        <v>35</v>
      </c>
      <c r="AN20" s="112">
        <v>60</v>
      </c>
      <c r="AO20" s="112" t="s">
        <v>236</v>
      </c>
      <c r="AP20" s="112" t="s">
        <v>236</v>
      </c>
      <c r="AQ20" s="112" t="s">
        <v>124</v>
      </c>
      <c r="AR20" s="112" t="s">
        <v>1969</v>
      </c>
      <c r="AS20" s="112" t="s">
        <v>1970</v>
      </c>
      <c r="AT20" s="112" t="s">
        <v>1971</v>
      </c>
      <c r="AU20" s="112" t="s">
        <v>323</v>
      </c>
      <c r="AV20" s="112" t="s">
        <v>4</v>
      </c>
      <c r="AW20" s="112" t="s">
        <v>4</v>
      </c>
      <c r="AX20" s="112" t="s">
        <v>127</v>
      </c>
      <c r="AY20" s="112" t="s">
        <v>1972</v>
      </c>
      <c r="AZ20" s="112" t="s">
        <v>1973</v>
      </c>
      <c r="BA20" s="112" t="s">
        <v>1974</v>
      </c>
      <c r="BB20" s="112" t="s">
        <v>128</v>
      </c>
      <c r="BC20" s="112" t="s">
        <v>323</v>
      </c>
      <c r="BD20" s="112" t="s">
        <v>4</v>
      </c>
      <c r="BE20" s="112" t="s">
        <v>4</v>
      </c>
      <c r="BF20" s="112" t="s">
        <v>129</v>
      </c>
      <c r="BG20" s="112" t="s">
        <v>130</v>
      </c>
      <c r="BH20" s="112">
        <v>6</v>
      </c>
      <c r="BI20" s="112">
        <v>21600000</v>
      </c>
      <c r="BJ20" s="113"/>
      <c r="BK20" s="113"/>
      <c r="BL20" s="113"/>
      <c r="BM20" s="112"/>
      <c r="BN20" s="113">
        <v>46173</v>
      </c>
      <c r="BO20" s="112">
        <v>1</v>
      </c>
      <c r="BP20" s="114">
        <v>46149</v>
      </c>
      <c r="BQ20" s="112" t="s">
        <v>131</v>
      </c>
      <c r="BR20" s="112">
        <v>157</v>
      </c>
      <c r="BS20" s="113">
        <v>45992</v>
      </c>
      <c r="BT20" s="112">
        <v>93600000</v>
      </c>
      <c r="BU20" s="112">
        <v>0</v>
      </c>
      <c r="BV20" s="112">
        <v>1</v>
      </c>
      <c r="BW20" s="112">
        <v>0</v>
      </c>
      <c r="BX20" s="112">
        <v>0</v>
      </c>
      <c r="BY20" s="112">
        <v>0</v>
      </c>
      <c r="BZ20" s="112">
        <v>0</v>
      </c>
      <c r="CA20" s="112">
        <v>0</v>
      </c>
      <c r="CB20" s="112">
        <v>0</v>
      </c>
      <c r="CC20" s="113"/>
      <c r="CD20" s="112">
        <v>0</v>
      </c>
      <c r="CE20" s="113"/>
      <c r="CF20" s="112">
        <v>0</v>
      </c>
      <c r="CG20" s="113"/>
      <c r="CH20" s="112">
        <v>0</v>
      </c>
      <c r="CI20" s="113"/>
      <c r="CJ20" s="112">
        <v>0</v>
      </c>
      <c r="CK20" s="113"/>
      <c r="CL20" s="112">
        <v>0</v>
      </c>
      <c r="CM20" s="113">
        <v>46149</v>
      </c>
      <c r="CN20" s="112" t="s">
        <v>132</v>
      </c>
      <c r="CO20" s="112">
        <v>76822475.319999993</v>
      </c>
      <c r="CP20" s="112">
        <v>76822475.319999993</v>
      </c>
      <c r="CQ20" s="112">
        <v>31</v>
      </c>
      <c r="CR20" s="118"/>
      <c r="CS20" s="119"/>
      <c r="CT20" s="112">
        <v>0</v>
      </c>
      <c r="CU20" s="112" t="s">
        <v>324</v>
      </c>
      <c r="CV20" s="112" t="s">
        <v>182</v>
      </c>
      <c r="CW20" s="113">
        <v>46149</v>
      </c>
      <c r="CX20" s="112" t="s">
        <v>2116</v>
      </c>
      <c r="CY20" s="120">
        <f>MONTH(Table_ExternalData_14[[#This Row],[RunningReportDate]])</f>
        <v>5</v>
      </c>
      <c r="CZ20" s="120">
        <f>181-Table_ExternalData_14[[#This Row],[DaysOD]]</f>
        <v>31</v>
      </c>
      <c r="DA20" s="120">
        <f>IF(Table_ExternalData_14[[#This Row],[Status]]="PU-WC",0,Table_ExternalData_14[[#This Row],[Amount_CWO]]/1000000)</f>
        <v>76.822475319999995</v>
      </c>
      <c r="DB20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20" s="120">
        <f>IF(Table_ExternalData_14[[#This Row],[Status]]="PU-WC",0,IF(Table_ExternalData_14[[#This Row],[Success CWO]]=1,Table_ExternalData_14[[#This Row],[CWO Amt]],0))</f>
        <v>0</v>
      </c>
      <c r="DD20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20" s="120">
        <f>DAY(Table_ExternalData_14[[#This Row],[Tanggal_Sukses-new]])</f>
        <v>0</v>
      </c>
      <c r="DF20" s="120">
        <f>IF(Table_ExternalData_14[[#This Row],[Status]]="PU-WC",0,IF(SUM(Table_ExternalData_14[[#This Row],[Success CWO]:[WO-In-Amt]])=0,1,0))</f>
        <v>1</v>
      </c>
      <c r="DG20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76.822475319999995</v>
      </c>
      <c r="DH20" s="120" t="str">
        <f>VLOOKUP(Table_ExternalData_14[[#This Row],[BranchID]],KC!$A:$K,5,0)</f>
        <v>4W</v>
      </c>
      <c r="DI20" s="120" t="str">
        <f>VLOOKUP(Table_ExternalData_14[[#This Row],[BranchID]],KC!$A:$K,8,0)</f>
        <v>03. Jawa Tengah</v>
      </c>
      <c r="DJ20" s="120" t="str">
        <f>VLOOKUP(Table_ExternalData_14[[#This Row],[BranchID]],KC!$A:$K,9,0)</f>
        <v>SOLO</v>
      </c>
      <c r="DK20" s="121">
        <f>IF(Table_ExternalData_14[[#This Row],[Tanggal_Sukses]]=" ",Table_ExternalData_14[[#This Row],[Tanggal_Sukses]],VLOOKUP(Table_ExternalData_14[[#This Row],[ContractID]],Bantuan!$A:$C,2,0))</f>
        <v>0</v>
      </c>
      <c r="DL20" s="120">
        <f>IF(Table_ExternalData_14[[#This Row],[Keterangan_Sukses]]=" ",Table_ExternalData_14[[#This Row],[Keterangan_Sukses]],VLOOKUP(Table_ExternalData_14[[#This Row],[ContractID]],Bantuan!$A:$C,3,0))</f>
        <v>0</v>
      </c>
    </row>
    <row r="21" spans="1:116" x14ac:dyDescent="0.3">
      <c r="A21" s="117" t="s">
        <v>322</v>
      </c>
      <c r="B21" s="112" t="s">
        <v>321</v>
      </c>
      <c r="C21" s="113">
        <v>46142</v>
      </c>
      <c r="D21" s="279">
        <v>45966</v>
      </c>
      <c r="E21" s="113">
        <v>45351</v>
      </c>
      <c r="F21" s="112" t="s">
        <v>1948</v>
      </c>
      <c r="G21" s="112" t="s">
        <v>1949</v>
      </c>
      <c r="H21" s="112" t="s">
        <v>1950</v>
      </c>
      <c r="I21" s="112" t="s">
        <v>1951</v>
      </c>
      <c r="J21" s="112" t="s">
        <v>1952</v>
      </c>
      <c r="K21" s="112" t="s">
        <v>4</v>
      </c>
      <c r="L21" s="112" t="s">
        <v>1952</v>
      </c>
      <c r="M21" s="112" t="s">
        <v>1953</v>
      </c>
      <c r="N21" s="112" t="s">
        <v>1954</v>
      </c>
      <c r="O21" s="112" t="s">
        <v>490</v>
      </c>
      <c r="P21" s="112" t="s">
        <v>1944</v>
      </c>
      <c r="Q21" s="112" t="s">
        <v>1955</v>
      </c>
      <c r="R21" s="112" t="s">
        <v>4</v>
      </c>
      <c r="S21" s="112" t="s">
        <v>4</v>
      </c>
      <c r="T21" s="112" t="s">
        <v>4</v>
      </c>
      <c r="U21" s="112" t="s">
        <v>4</v>
      </c>
      <c r="V21" s="112" t="s">
        <v>224</v>
      </c>
      <c r="W21" s="112" t="s">
        <v>120</v>
      </c>
      <c r="X21" s="112" t="s">
        <v>121</v>
      </c>
      <c r="Y21" s="112" t="s">
        <v>268</v>
      </c>
      <c r="Z21" s="112" t="s">
        <v>1005</v>
      </c>
      <c r="AA21" s="112" t="s">
        <v>1956</v>
      </c>
      <c r="AB21" s="112" t="s">
        <v>1957</v>
      </c>
      <c r="AC21" s="112" t="s">
        <v>1958</v>
      </c>
      <c r="AD21" s="112">
        <v>281465000</v>
      </c>
      <c r="AE21" s="112">
        <v>208779247.46000001</v>
      </c>
      <c r="AF21" s="112">
        <v>240275000</v>
      </c>
      <c r="AG21" s="112">
        <v>41190000</v>
      </c>
      <c r="AH21" s="112">
        <v>33483600</v>
      </c>
      <c r="AI21" s="112">
        <v>0</v>
      </c>
      <c r="AJ21" s="112">
        <v>6865000</v>
      </c>
      <c r="AK21" s="112">
        <v>176</v>
      </c>
      <c r="AL21" s="112">
        <v>6</v>
      </c>
      <c r="AM21" s="112">
        <v>20</v>
      </c>
      <c r="AN21" s="112">
        <v>60</v>
      </c>
      <c r="AO21" s="112" t="s">
        <v>123</v>
      </c>
      <c r="AP21" s="112" t="s">
        <v>123</v>
      </c>
      <c r="AQ21" s="112" t="s">
        <v>124</v>
      </c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  <c r="BF21" s="112" t="s">
        <v>129</v>
      </c>
      <c r="BG21" s="112" t="s">
        <v>130</v>
      </c>
      <c r="BH21" s="112">
        <v>7</v>
      </c>
      <c r="BI21" s="112">
        <v>48055000</v>
      </c>
      <c r="BJ21" s="113"/>
      <c r="BK21" s="113"/>
      <c r="BL21" s="113"/>
      <c r="BM21" s="112"/>
      <c r="BN21" s="113">
        <v>46173</v>
      </c>
      <c r="BO21" s="112">
        <v>1</v>
      </c>
      <c r="BP21" s="114">
        <v>46149</v>
      </c>
      <c r="BQ21" s="112" t="s">
        <v>131</v>
      </c>
      <c r="BR21" s="112">
        <v>183</v>
      </c>
      <c r="BS21" s="113">
        <v>45966</v>
      </c>
      <c r="BT21" s="112">
        <v>281465000</v>
      </c>
      <c r="BU21" s="112">
        <v>0</v>
      </c>
      <c r="BV21" s="112">
        <v>1</v>
      </c>
      <c r="BW21" s="112">
        <v>0</v>
      </c>
      <c r="BX21" s="112">
        <v>0</v>
      </c>
      <c r="BY21" s="112">
        <v>0</v>
      </c>
      <c r="BZ21" s="112">
        <v>0</v>
      </c>
      <c r="CA21" s="112">
        <v>0</v>
      </c>
      <c r="CB21" s="112">
        <v>0</v>
      </c>
      <c r="CC21" s="113"/>
      <c r="CD21" s="112">
        <v>0</v>
      </c>
      <c r="CE21" s="113"/>
      <c r="CF21" s="112">
        <v>0</v>
      </c>
      <c r="CG21" s="113"/>
      <c r="CH21" s="112">
        <v>0</v>
      </c>
      <c r="CI21" s="113"/>
      <c r="CJ21" s="112">
        <v>0</v>
      </c>
      <c r="CK21" s="113"/>
      <c r="CL21" s="112">
        <v>0</v>
      </c>
      <c r="CM21" s="113">
        <v>46149</v>
      </c>
      <c r="CN21" s="112" t="s">
        <v>132</v>
      </c>
      <c r="CO21" s="112">
        <v>208779247.46000001</v>
      </c>
      <c r="CP21" s="112">
        <v>208779247.46000001</v>
      </c>
      <c r="CQ21" s="112">
        <v>5</v>
      </c>
      <c r="CR21" s="118"/>
      <c r="CS21" s="119"/>
      <c r="CT21" s="112">
        <v>0</v>
      </c>
      <c r="CU21" s="112" t="s">
        <v>324</v>
      </c>
      <c r="CV21" s="112" t="s">
        <v>182</v>
      </c>
      <c r="CW21" s="113">
        <v>46149</v>
      </c>
      <c r="CX21" s="112" t="s">
        <v>2116</v>
      </c>
      <c r="CY21" s="120">
        <f>MONTH(Table_ExternalData_14[[#This Row],[RunningReportDate]])</f>
        <v>5</v>
      </c>
      <c r="CZ21" s="120">
        <f>181-Table_ExternalData_14[[#This Row],[DaysOD]]</f>
        <v>5</v>
      </c>
      <c r="DA21" s="120">
        <f>IF(Table_ExternalData_14[[#This Row],[Status]]="PU-WC",0,Table_ExternalData_14[[#This Row],[Amount_CWO]]/1000000)</f>
        <v>208.77924746000002</v>
      </c>
      <c r="DB21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21" s="120">
        <f>IF(Table_ExternalData_14[[#This Row],[Status]]="PU-WC",0,IF(Table_ExternalData_14[[#This Row],[Success CWO]]=1,Table_ExternalData_14[[#This Row],[CWO Amt]],0))</f>
        <v>0</v>
      </c>
      <c r="DD21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208.77924746000002</v>
      </c>
      <c r="DE21" s="120">
        <f>DAY(Table_ExternalData_14[[#This Row],[Tanggal_Sukses-new]])</f>
        <v>0</v>
      </c>
      <c r="DF21" s="120">
        <f>IF(Table_ExternalData_14[[#This Row],[Status]]="PU-WC",0,IF(SUM(Table_ExternalData_14[[#This Row],[Success CWO]:[WO-In-Amt]])=0,1,0))</f>
        <v>0</v>
      </c>
      <c r="DG21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21" s="120" t="str">
        <f>VLOOKUP(Table_ExternalData_14[[#This Row],[BranchID]],KC!$A:$K,5,0)</f>
        <v>4W</v>
      </c>
      <c r="DI21" s="120" t="str">
        <f>VLOOKUP(Table_ExternalData_14[[#This Row],[BranchID]],KC!$A:$K,8,0)</f>
        <v>03. Jawa Tengah</v>
      </c>
      <c r="DJ21" s="120" t="str">
        <f>VLOOKUP(Table_ExternalData_14[[#This Row],[BranchID]],KC!$A:$K,9,0)</f>
        <v>SOLO</v>
      </c>
      <c r="DK21" s="121">
        <f>IF(Table_ExternalData_14[[#This Row],[Tanggal_Sukses]]=" ",Table_ExternalData_14[[#This Row],[Tanggal_Sukses]],VLOOKUP(Table_ExternalData_14[[#This Row],[ContractID]],Bantuan!$A:$C,2,0))</f>
        <v>0</v>
      </c>
      <c r="DL21" s="120">
        <f>IF(Table_ExternalData_14[[#This Row],[Keterangan_Sukses]]=" ",Table_ExternalData_14[[#This Row],[Keterangan_Sukses]],VLOOKUP(Table_ExternalData_14[[#This Row],[ContractID]],Bantuan!$A:$C,3,0))</f>
        <v>0</v>
      </c>
    </row>
    <row r="22" spans="1:116" x14ac:dyDescent="0.3">
      <c r="A22" s="117" t="s">
        <v>322</v>
      </c>
      <c r="B22" s="112" t="s">
        <v>321</v>
      </c>
      <c r="C22" s="113">
        <v>46142</v>
      </c>
      <c r="D22" s="279">
        <v>45966</v>
      </c>
      <c r="E22" s="113">
        <v>45503</v>
      </c>
      <c r="F22" s="112" t="s">
        <v>1937</v>
      </c>
      <c r="G22" s="112" t="s">
        <v>1938</v>
      </c>
      <c r="H22" s="112" t="s">
        <v>1122</v>
      </c>
      <c r="I22" s="112" t="s">
        <v>1939</v>
      </c>
      <c r="J22" s="112" t="s">
        <v>1940</v>
      </c>
      <c r="K22" s="112" t="s">
        <v>4</v>
      </c>
      <c r="L22" s="112" t="s">
        <v>1940</v>
      </c>
      <c r="M22" s="112" t="s">
        <v>1941</v>
      </c>
      <c r="N22" s="112" t="s">
        <v>1942</v>
      </c>
      <c r="O22" s="112" t="s">
        <v>1943</v>
      </c>
      <c r="P22" s="112" t="s">
        <v>1944</v>
      </c>
      <c r="Q22" s="112" t="s">
        <v>352</v>
      </c>
      <c r="R22" s="112" t="s">
        <v>4</v>
      </c>
      <c r="S22" s="112" t="s">
        <v>4</v>
      </c>
      <c r="T22" s="112" t="s">
        <v>4</v>
      </c>
      <c r="U22" s="112" t="s">
        <v>4</v>
      </c>
      <c r="V22" s="112" t="s">
        <v>217</v>
      </c>
      <c r="W22" s="112" t="s">
        <v>187</v>
      </c>
      <c r="X22" s="112" t="s">
        <v>121</v>
      </c>
      <c r="Y22" s="112" t="s">
        <v>136</v>
      </c>
      <c r="Z22" s="112" t="s">
        <v>142</v>
      </c>
      <c r="AA22" s="112" t="s">
        <v>1945</v>
      </c>
      <c r="AB22" s="112" t="s">
        <v>1946</v>
      </c>
      <c r="AC22" s="112" t="s">
        <v>1947</v>
      </c>
      <c r="AD22" s="112">
        <v>125596000</v>
      </c>
      <c r="AE22" s="112">
        <v>103171947.55</v>
      </c>
      <c r="AF22" s="112">
        <v>103432000</v>
      </c>
      <c r="AG22" s="112">
        <v>22164000</v>
      </c>
      <c r="AH22" s="112">
        <v>22967720</v>
      </c>
      <c r="AI22" s="112">
        <v>150000</v>
      </c>
      <c r="AJ22" s="112">
        <v>3694000</v>
      </c>
      <c r="AK22" s="112">
        <v>176</v>
      </c>
      <c r="AL22" s="112">
        <v>6</v>
      </c>
      <c r="AM22" s="112">
        <v>15</v>
      </c>
      <c r="AN22" s="112">
        <v>48</v>
      </c>
      <c r="AO22" s="112" t="s">
        <v>123</v>
      </c>
      <c r="AP22" s="112" t="s">
        <v>123</v>
      </c>
      <c r="AQ22" s="112" t="s">
        <v>124</v>
      </c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2" t="s">
        <v>129</v>
      </c>
      <c r="BG22" s="112" t="s">
        <v>130</v>
      </c>
      <c r="BH22" s="112">
        <v>7</v>
      </c>
      <c r="BI22" s="112">
        <v>25858000</v>
      </c>
      <c r="BJ22" s="113"/>
      <c r="BK22" s="113"/>
      <c r="BL22" s="113"/>
      <c r="BM22" s="112"/>
      <c r="BN22" s="113">
        <v>46173</v>
      </c>
      <c r="BO22" s="112">
        <v>1</v>
      </c>
      <c r="BP22" s="114">
        <v>46149</v>
      </c>
      <c r="BQ22" s="112" t="s">
        <v>131</v>
      </c>
      <c r="BR22" s="112">
        <v>183</v>
      </c>
      <c r="BS22" s="113">
        <v>45966</v>
      </c>
      <c r="BT22" s="112">
        <v>125596000</v>
      </c>
      <c r="BU22" s="112">
        <v>0</v>
      </c>
      <c r="BV22" s="112">
        <v>1</v>
      </c>
      <c r="BW22" s="112">
        <v>0</v>
      </c>
      <c r="BX22" s="112">
        <v>0</v>
      </c>
      <c r="BY22" s="112">
        <v>0</v>
      </c>
      <c r="BZ22" s="112">
        <v>0</v>
      </c>
      <c r="CA22" s="112">
        <v>0</v>
      </c>
      <c r="CB22" s="112">
        <v>0</v>
      </c>
      <c r="CC22" s="113"/>
      <c r="CD22" s="112">
        <v>0</v>
      </c>
      <c r="CE22" s="113"/>
      <c r="CF22" s="112">
        <v>0</v>
      </c>
      <c r="CG22" s="113"/>
      <c r="CH22" s="112">
        <v>0</v>
      </c>
      <c r="CI22" s="113"/>
      <c r="CJ22" s="112">
        <v>0</v>
      </c>
      <c r="CK22" s="113"/>
      <c r="CL22" s="112">
        <v>0</v>
      </c>
      <c r="CM22" s="113">
        <v>46149</v>
      </c>
      <c r="CN22" s="112" t="s">
        <v>132</v>
      </c>
      <c r="CO22" s="112">
        <v>103021947.55</v>
      </c>
      <c r="CP22" s="112">
        <v>103021947.55</v>
      </c>
      <c r="CQ22" s="112">
        <v>5</v>
      </c>
      <c r="CR22" s="118"/>
      <c r="CS22" s="119"/>
      <c r="CT22" s="112">
        <v>0</v>
      </c>
      <c r="CU22" s="112" t="s">
        <v>324</v>
      </c>
      <c r="CV22" s="112" t="s">
        <v>182</v>
      </c>
      <c r="CW22" s="113">
        <v>46149</v>
      </c>
      <c r="CX22" s="112" t="s">
        <v>2116</v>
      </c>
      <c r="CY22" s="120">
        <f>MONTH(Table_ExternalData_14[[#This Row],[RunningReportDate]])</f>
        <v>5</v>
      </c>
      <c r="CZ22" s="120">
        <f>181-Table_ExternalData_14[[#This Row],[DaysOD]]</f>
        <v>5</v>
      </c>
      <c r="DA22" s="120">
        <f>IF(Table_ExternalData_14[[#This Row],[Status]]="PU-WC",0,Table_ExternalData_14[[#This Row],[Amount_CWO]]/1000000)</f>
        <v>103.02194754999999</v>
      </c>
      <c r="DB22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22" s="120">
        <f>IF(Table_ExternalData_14[[#This Row],[Status]]="PU-WC",0,IF(Table_ExternalData_14[[#This Row],[Success CWO]]=1,Table_ExternalData_14[[#This Row],[CWO Amt]],0))</f>
        <v>0</v>
      </c>
      <c r="DD22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103.02194754999999</v>
      </c>
      <c r="DE22" s="120">
        <f>DAY(Table_ExternalData_14[[#This Row],[Tanggal_Sukses-new]])</f>
        <v>0</v>
      </c>
      <c r="DF22" s="120">
        <f>IF(Table_ExternalData_14[[#This Row],[Status]]="PU-WC",0,IF(SUM(Table_ExternalData_14[[#This Row],[Success CWO]:[WO-In-Amt]])=0,1,0))</f>
        <v>0</v>
      </c>
      <c r="DG22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22" s="120" t="str">
        <f>VLOOKUP(Table_ExternalData_14[[#This Row],[BranchID]],KC!$A:$K,5,0)</f>
        <v>4W</v>
      </c>
      <c r="DI22" s="120" t="str">
        <f>VLOOKUP(Table_ExternalData_14[[#This Row],[BranchID]],KC!$A:$K,8,0)</f>
        <v>03. Jawa Tengah</v>
      </c>
      <c r="DJ22" s="120" t="str">
        <f>VLOOKUP(Table_ExternalData_14[[#This Row],[BranchID]],KC!$A:$K,9,0)</f>
        <v>SOLO</v>
      </c>
      <c r="DK22" s="121">
        <f>IF(Table_ExternalData_14[[#This Row],[Tanggal_Sukses]]=" ",Table_ExternalData_14[[#This Row],[Tanggal_Sukses]],VLOOKUP(Table_ExternalData_14[[#This Row],[ContractID]],Bantuan!$A:$C,2,0))</f>
        <v>0</v>
      </c>
      <c r="DL22" s="120">
        <f>IF(Table_ExternalData_14[[#This Row],[Keterangan_Sukses]]=" ",Table_ExternalData_14[[#This Row],[Keterangan_Sukses]],VLOOKUP(Table_ExternalData_14[[#This Row],[ContractID]],Bantuan!$A:$C,3,0))</f>
        <v>0</v>
      </c>
    </row>
    <row r="23" spans="1:116" x14ac:dyDescent="0.3">
      <c r="A23" s="117" t="s">
        <v>257</v>
      </c>
      <c r="B23" s="112" t="s">
        <v>256</v>
      </c>
      <c r="C23" s="113">
        <v>46142</v>
      </c>
      <c r="D23" s="279">
        <v>45986</v>
      </c>
      <c r="E23" s="113">
        <v>44649</v>
      </c>
      <c r="F23" s="112" t="s">
        <v>1188</v>
      </c>
      <c r="G23" s="112" t="s">
        <v>1189</v>
      </c>
      <c r="H23" s="112" t="s">
        <v>1190</v>
      </c>
      <c r="I23" s="112" t="s">
        <v>1191</v>
      </c>
      <c r="J23" s="112" t="s">
        <v>1192</v>
      </c>
      <c r="K23" s="112" t="s">
        <v>4</v>
      </c>
      <c r="L23" s="112" t="s">
        <v>1192</v>
      </c>
      <c r="M23" s="112" t="s">
        <v>1193</v>
      </c>
      <c r="N23" s="112" t="s">
        <v>1194</v>
      </c>
      <c r="O23" s="112" t="s">
        <v>1195</v>
      </c>
      <c r="P23" s="112" t="s">
        <v>1157</v>
      </c>
      <c r="Q23" s="112" t="s">
        <v>1158</v>
      </c>
      <c r="R23" s="112" t="s">
        <v>4</v>
      </c>
      <c r="S23" s="112" t="s">
        <v>4</v>
      </c>
      <c r="T23" s="112" t="s">
        <v>1196</v>
      </c>
      <c r="U23" s="112" t="s">
        <v>1196</v>
      </c>
      <c r="V23" s="112" t="s">
        <v>258</v>
      </c>
      <c r="W23" s="112" t="s">
        <v>120</v>
      </c>
      <c r="X23" s="112" t="s">
        <v>121</v>
      </c>
      <c r="Y23" s="112" t="s">
        <v>136</v>
      </c>
      <c r="Z23" s="112" t="s">
        <v>189</v>
      </c>
      <c r="AA23" s="112" t="s">
        <v>1197</v>
      </c>
      <c r="AB23" s="112" t="s">
        <v>1198</v>
      </c>
      <c r="AC23" s="112" t="s">
        <v>1199</v>
      </c>
      <c r="AD23" s="112">
        <v>71264000</v>
      </c>
      <c r="AE23" s="112">
        <v>61999056.200000003</v>
      </c>
      <c r="AF23" s="112">
        <v>46112000</v>
      </c>
      <c r="AG23" s="112">
        <v>25152000</v>
      </c>
      <c r="AH23" s="112">
        <v>58507060</v>
      </c>
      <c r="AI23" s="112">
        <v>744000</v>
      </c>
      <c r="AJ23" s="112">
        <v>4192000</v>
      </c>
      <c r="AK23" s="112">
        <v>156</v>
      </c>
      <c r="AL23" s="112">
        <v>6</v>
      </c>
      <c r="AM23" s="112">
        <v>44</v>
      </c>
      <c r="AN23" s="112">
        <v>60</v>
      </c>
      <c r="AO23" s="112" t="s">
        <v>123</v>
      </c>
      <c r="AP23" s="112" t="s">
        <v>123</v>
      </c>
      <c r="AQ23" s="112" t="s">
        <v>124</v>
      </c>
      <c r="AR23" s="112" t="s">
        <v>1200</v>
      </c>
      <c r="AS23" s="112" t="s">
        <v>1201</v>
      </c>
      <c r="AT23" s="112" t="s">
        <v>1202</v>
      </c>
      <c r="AU23" s="112" t="s">
        <v>259</v>
      </c>
      <c r="AV23" s="112" t="s">
        <v>125</v>
      </c>
      <c r="AW23" s="112" t="s">
        <v>126</v>
      </c>
      <c r="AX23" s="112" t="s">
        <v>127</v>
      </c>
      <c r="AY23" s="112" t="s">
        <v>1123</v>
      </c>
      <c r="AZ23" s="112" t="s">
        <v>1124</v>
      </c>
      <c r="BA23" s="112" t="s">
        <v>1125</v>
      </c>
      <c r="BB23" s="112" t="s">
        <v>128</v>
      </c>
      <c r="BC23" s="112" t="s">
        <v>263</v>
      </c>
      <c r="BD23" s="112" t="s">
        <v>264</v>
      </c>
      <c r="BE23" s="112" t="s">
        <v>162</v>
      </c>
      <c r="BF23" s="112" t="s">
        <v>129</v>
      </c>
      <c r="BG23" s="112" t="s">
        <v>130</v>
      </c>
      <c r="BH23" s="112">
        <v>7</v>
      </c>
      <c r="BI23" s="112">
        <v>29344000</v>
      </c>
      <c r="BJ23" s="113"/>
      <c r="BK23" s="113"/>
      <c r="BL23" s="113"/>
      <c r="BM23" s="112"/>
      <c r="BN23" s="113">
        <v>46173</v>
      </c>
      <c r="BO23" s="112">
        <v>1</v>
      </c>
      <c r="BP23" s="114">
        <v>46149</v>
      </c>
      <c r="BQ23" s="112" t="s">
        <v>131</v>
      </c>
      <c r="BR23" s="112">
        <v>163</v>
      </c>
      <c r="BS23" s="113">
        <v>45986</v>
      </c>
      <c r="BT23" s="112">
        <v>71264000</v>
      </c>
      <c r="BU23" s="112">
        <v>0</v>
      </c>
      <c r="BV23" s="112">
        <v>1</v>
      </c>
      <c r="BW23" s="112">
        <v>0</v>
      </c>
      <c r="BX23" s="112">
        <v>0</v>
      </c>
      <c r="BY23" s="112">
        <v>0</v>
      </c>
      <c r="BZ23" s="112">
        <v>0</v>
      </c>
      <c r="CA23" s="112">
        <v>0</v>
      </c>
      <c r="CB23" s="112">
        <v>0</v>
      </c>
      <c r="CC23" s="113"/>
      <c r="CD23" s="112">
        <v>0</v>
      </c>
      <c r="CE23" s="113"/>
      <c r="CF23" s="112">
        <v>0</v>
      </c>
      <c r="CG23" s="113"/>
      <c r="CH23" s="112">
        <v>0</v>
      </c>
      <c r="CI23" s="113"/>
      <c r="CJ23" s="112">
        <v>0</v>
      </c>
      <c r="CK23" s="113"/>
      <c r="CL23" s="112">
        <v>0</v>
      </c>
      <c r="CM23" s="113">
        <v>46149</v>
      </c>
      <c r="CN23" s="112" t="s">
        <v>132</v>
      </c>
      <c r="CO23" s="112">
        <v>61255056.200000003</v>
      </c>
      <c r="CP23" s="112">
        <v>61255056.200000003</v>
      </c>
      <c r="CQ23" s="112">
        <v>25</v>
      </c>
      <c r="CR23" s="118"/>
      <c r="CS23" s="119"/>
      <c r="CT23" s="112">
        <v>0</v>
      </c>
      <c r="CU23" s="112" t="s">
        <v>265</v>
      </c>
      <c r="CV23" s="112" t="s">
        <v>205</v>
      </c>
      <c r="CW23" s="113">
        <v>46149</v>
      </c>
      <c r="CX23" s="112" t="s">
        <v>2116</v>
      </c>
      <c r="CY23" s="120">
        <f>MONTH(Table_ExternalData_14[[#This Row],[RunningReportDate]])</f>
        <v>5</v>
      </c>
      <c r="CZ23" s="120">
        <f>181-Table_ExternalData_14[[#This Row],[DaysOD]]</f>
        <v>25</v>
      </c>
      <c r="DA23" s="120">
        <f>IF(Table_ExternalData_14[[#This Row],[Status]]="PU-WC",0,Table_ExternalData_14[[#This Row],[Amount_CWO]]/1000000)</f>
        <v>61.255056200000006</v>
      </c>
      <c r="DB23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23" s="120">
        <f>IF(Table_ExternalData_14[[#This Row],[Status]]="PU-WC",0,IF(Table_ExternalData_14[[#This Row],[Success CWO]]=1,Table_ExternalData_14[[#This Row],[CWO Amt]],0))</f>
        <v>0</v>
      </c>
      <c r="DD23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23" s="120">
        <f>DAY(Table_ExternalData_14[[#This Row],[Tanggal_Sukses-new]])</f>
        <v>0</v>
      </c>
      <c r="DF23" s="120">
        <f>IF(Table_ExternalData_14[[#This Row],[Status]]="PU-WC",0,IF(SUM(Table_ExternalData_14[[#This Row],[Success CWO]:[WO-In-Amt]])=0,1,0))</f>
        <v>1</v>
      </c>
      <c r="DG23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61.255056200000006</v>
      </c>
      <c r="DH23" s="120" t="str">
        <f>VLOOKUP(Table_ExternalData_14[[#This Row],[BranchID]],KC!$A:$K,5,0)</f>
        <v>4W</v>
      </c>
      <c r="DI23" s="120" t="str">
        <f>VLOOKUP(Table_ExternalData_14[[#This Row],[BranchID]],KC!$A:$K,8,0)</f>
        <v>05. Kalimantan</v>
      </c>
      <c r="DJ23" s="120" t="str">
        <f>VLOOKUP(Table_ExternalData_14[[#This Row],[BranchID]],KC!$A:$K,9,0)</f>
        <v>BALIKPAPAN</v>
      </c>
      <c r="DK23" s="121">
        <f>IF(Table_ExternalData_14[[#This Row],[Tanggal_Sukses]]=" ",Table_ExternalData_14[[#This Row],[Tanggal_Sukses]],VLOOKUP(Table_ExternalData_14[[#This Row],[ContractID]],Bantuan!$A:$C,2,0))</f>
        <v>0</v>
      </c>
      <c r="DL23" s="120">
        <f>IF(Table_ExternalData_14[[#This Row],[Keterangan_Sukses]]=" ",Table_ExternalData_14[[#This Row],[Keterangan_Sukses]],VLOOKUP(Table_ExternalData_14[[#This Row],[ContractID]],Bantuan!$A:$C,3,0))</f>
        <v>0</v>
      </c>
    </row>
    <row r="24" spans="1:116" x14ac:dyDescent="0.3">
      <c r="A24" s="117" t="s">
        <v>257</v>
      </c>
      <c r="B24" s="112" t="s">
        <v>256</v>
      </c>
      <c r="C24" s="113">
        <v>46142</v>
      </c>
      <c r="D24" s="279">
        <v>45965</v>
      </c>
      <c r="E24" s="113">
        <v>44567</v>
      </c>
      <c r="F24" s="112" t="s">
        <v>1203</v>
      </c>
      <c r="G24" s="112" t="s">
        <v>1204</v>
      </c>
      <c r="H24" s="112" t="s">
        <v>1205</v>
      </c>
      <c r="I24" s="112" t="s">
        <v>1206</v>
      </c>
      <c r="J24" s="112" t="s">
        <v>1207</v>
      </c>
      <c r="K24" s="112" t="s">
        <v>4</v>
      </c>
      <c r="L24" s="112" t="s">
        <v>1207</v>
      </c>
      <c r="M24" s="112" t="s">
        <v>1208</v>
      </c>
      <c r="N24" s="112" t="s">
        <v>1209</v>
      </c>
      <c r="O24" s="112" t="s">
        <v>256</v>
      </c>
      <c r="P24" s="112" t="s">
        <v>1126</v>
      </c>
      <c r="Q24" s="112" t="s">
        <v>1127</v>
      </c>
      <c r="R24" s="112" t="s">
        <v>4</v>
      </c>
      <c r="S24" s="112" t="s">
        <v>4</v>
      </c>
      <c r="T24" s="112" t="s">
        <v>4</v>
      </c>
      <c r="U24" s="112" t="s">
        <v>1210</v>
      </c>
      <c r="V24" s="112" t="s">
        <v>141</v>
      </c>
      <c r="W24" s="112" t="s">
        <v>120</v>
      </c>
      <c r="X24" s="112" t="s">
        <v>121</v>
      </c>
      <c r="Y24" s="112" t="s">
        <v>136</v>
      </c>
      <c r="Z24" s="112" t="s">
        <v>189</v>
      </c>
      <c r="AA24" s="112" t="s">
        <v>1211</v>
      </c>
      <c r="AB24" s="112" t="s">
        <v>1212</v>
      </c>
      <c r="AC24" s="112" t="s">
        <v>1213</v>
      </c>
      <c r="AD24" s="112">
        <v>13350000</v>
      </c>
      <c r="AE24" s="112">
        <v>12961921.83</v>
      </c>
      <c r="AF24" s="112">
        <v>0</v>
      </c>
      <c r="AG24" s="112">
        <v>13350000</v>
      </c>
      <c r="AH24" s="112">
        <v>42447540</v>
      </c>
      <c r="AI24" s="112">
        <v>150000</v>
      </c>
      <c r="AJ24" s="112">
        <v>4450000</v>
      </c>
      <c r="AK24" s="112">
        <v>177</v>
      </c>
      <c r="AL24" s="112">
        <v>3</v>
      </c>
      <c r="AM24" s="112">
        <v>46</v>
      </c>
      <c r="AN24" s="112">
        <v>48</v>
      </c>
      <c r="AO24" s="112" t="s">
        <v>123</v>
      </c>
      <c r="AP24" s="112" t="s">
        <v>123</v>
      </c>
      <c r="AQ24" s="112" t="s">
        <v>124</v>
      </c>
      <c r="AR24" s="112" t="s">
        <v>1128</v>
      </c>
      <c r="AS24" s="112" t="s">
        <v>1129</v>
      </c>
      <c r="AT24" s="112" t="s">
        <v>1130</v>
      </c>
      <c r="AU24" s="112" t="s">
        <v>259</v>
      </c>
      <c r="AV24" s="112" t="s">
        <v>125</v>
      </c>
      <c r="AW24" s="112" t="s">
        <v>126</v>
      </c>
      <c r="AX24" s="112" t="s">
        <v>127</v>
      </c>
      <c r="AY24" s="112" t="s">
        <v>1123</v>
      </c>
      <c r="AZ24" s="112" t="s">
        <v>1124</v>
      </c>
      <c r="BA24" s="112" t="s">
        <v>1125</v>
      </c>
      <c r="BB24" s="112" t="s">
        <v>128</v>
      </c>
      <c r="BC24" s="112" t="s">
        <v>263</v>
      </c>
      <c r="BD24" s="112" t="s">
        <v>264</v>
      </c>
      <c r="BE24" s="112" t="s">
        <v>162</v>
      </c>
      <c r="BF24" s="112" t="s">
        <v>129</v>
      </c>
      <c r="BG24" s="112" t="s">
        <v>130</v>
      </c>
      <c r="BH24" s="112">
        <v>3</v>
      </c>
      <c r="BI24" s="112">
        <v>13350000</v>
      </c>
      <c r="BJ24" s="113"/>
      <c r="BK24" s="113"/>
      <c r="BL24" s="113"/>
      <c r="BM24" s="112"/>
      <c r="BN24" s="113">
        <v>46173</v>
      </c>
      <c r="BO24" s="112">
        <v>1</v>
      </c>
      <c r="BP24" s="114">
        <v>46149</v>
      </c>
      <c r="BQ24" s="112" t="s">
        <v>131</v>
      </c>
      <c r="BR24" s="112">
        <v>184</v>
      </c>
      <c r="BS24" s="113">
        <v>45965</v>
      </c>
      <c r="BT24" s="112">
        <v>13350000</v>
      </c>
      <c r="BU24" s="112">
        <v>0</v>
      </c>
      <c r="BV24" s="112">
        <v>1</v>
      </c>
      <c r="BW24" s="112">
        <v>0</v>
      </c>
      <c r="BX24" s="112">
        <v>0</v>
      </c>
      <c r="BY24" s="112">
        <v>0</v>
      </c>
      <c r="BZ24" s="112">
        <v>0</v>
      </c>
      <c r="CA24" s="112">
        <v>0</v>
      </c>
      <c r="CB24" s="112">
        <v>0</v>
      </c>
      <c r="CC24" s="113"/>
      <c r="CD24" s="112">
        <v>0</v>
      </c>
      <c r="CE24" s="113"/>
      <c r="CF24" s="112">
        <v>0</v>
      </c>
      <c r="CG24" s="113"/>
      <c r="CH24" s="112">
        <v>0</v>
      </c>
      <c r="CI24" s="113"/>
      <c r="CJ24" s="112">
        <v>0</v>
      </c>
      <c r="CK24" s="113"/>
      <c r="CL24" s="112">
        <v>0</v>
      </c>
      <c r="CM24" s="113">
        <v>46149</v>
      </c>
      <c r="CN24" s="112" t="s">
        <v>132</v>
      </c>
      <c r="CO24" s="112">
        <v>12811921.83</v>
      </c>
      <c r="CP24" s="112">
        <v>12811921.83</v>
      </c>
      <c r="CQ24" s="112">
        <v>4</v>
      </c>
      <c r="CR24" s="118"/>
      <c r="CS24" s="119"/>
      <c r="CT24" s="112">
        <v>0</v>
      </c>
      <c r="CU24" s="112" t="s">
        <v>265</v>
      </c>
      <c r="CV24" s="112" t="s">
        <v>205</v>
      </c>
      <c r="CW24" s="113">
        <v>46149</v>
      </c>
      <c r="CX24" s="112" t="s">
        <v>2116</v>
      </c>
      <c r="CY24" s="120">
        <f>MONTH(Table_ExternalData_14[[#This Row],[RunningReportDate]])</f>
        <v>5</v>
      </c>
      <c r="CZ24" s="120">
        <f>181-Table_ExternalData_14[[#This Row],[DaysOD]]</f>
        <v>4</v>
      </c>
      <c r="DA24" s="120">
        <f>IF(Table_ExternalData_14[[#This Row],[Status]]="PU-WC",0,Table_ExternalData_14[[#This Row],[Amount_CWO]]/1000000)</f>
        <v>12.811921829999999</v>
      </c>
      <c r="DB24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24" s="120">
        <f>IF(Table_ExternalData_14[[#This Row],[Status]]="PU-WC",0,IF(Table_ExternalData_14[[#This Row],[Success CWO]]=1,Table_ExternalData_14[[#This Row],[CWO Amt]],0))</f>
        <v>0</v>
      </c>
      <c r="DD24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12.811921829999999</v>
      </c>
      <c r="DE24" s="120">
        <f>DAY(Table_ExternalData_14[[#This Row],[Tanggal_Sukses-new]])</f>
        <v>0</v>
      </c>
      <c r="DF24" s="120">
        <f>IF(Table_ExternalData_14[[#This Row],[Status]]="PU-WC",0,IF(SUM(Table_ExternalData_14[[#This Row],[Success CWO]:[WO-In-Amt]])=0,1,0))</f>
        <v>0</v>
      </c>
      <c r="DG24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24" s="120" t="str">
        <f>VLOOKUP(Table_ExternalData_14[[#This Row],[BranchID]],KC!$A:$K,5,0)</f>
        <v>4W</v>
      </c>
      <c r="DI24" s="120" t="str">
        <f>VLOOKUP(Table_ExternalData_14[[#This Row],[BranchID]],KC!$A:$K,8,0)</f>
        <v>05. Kalimantan</v>
      </c>
      <c r="DJ24" s="120" t="str">
        <f>VLOOKUP(Table_ExternalData_14[[#This Row],[BranchID]],KC!$A:$K,9,0)</f>
        <v>BALIKPAPAN</v>
      </c>
      <c r="DK24" s="121">
        <f>IF(Table_ExternalData_14[[#This Row],[Tanggal_Sukses]]=" ",Table_ExternalData_14[[#This Row],[Tanggal_Sukses]],VLOOKUP(Table_ExternalData_14[[#This Row],[ContractID]],Bantuan!$A:$C,2,0))</f>
        <v>0</v>
      </c>
      <c r="DL24" s="120">
        <f>IF(Table_ExternalData_14[[#This Row],[Keterangan_Sukses]]=" ",Table_ExternalData_14[[#This Row],[Keterangan_Sukses]],VLOOKUP(Table_ExternalData_14[[#This Row],[ContractID]],Bantuan!$A:$C,3,0))</f>
        <v>0</v>
      </c>
    </row>
    <row r="25" spans="1:116" x14ac:dyDescent="0.3">
      <c r="A25" s="117" t="s">
        <v>257</v>
      </c>
      <c r="B25" s="112" t="s">
        <v>256</v>
      </c>
      <c r="C25" s="113">
        <v>46142</v>
      </c>
      <c r="D25" s="279">
        <v>45971</v>
      </c>
      <c r="E25" s="113">
        <v>44513</v>
      </c>
      <c r="F25" s="112" t="s">
        <v>1214</v>
      </c>
      <c r="G25" s="112" t="s">
        <v>1215</v>
      </c>
      <c r="H25" s="112" t="s">
        <v>1216</v>
      </c>
      <c r="I25" s="112" t="s">
        <v>1217</v>
      </c>
      <c r="J25" s="112" t="s">
        <v>1218</v>
      </c>
      <c r="K25" s="112" t="s">
        <v>4</v>
      </c>
      <c r="L25" s="112" t="s">
        <v>1218</v>
      </c>
      <c r="M25" s="112" t="s">
        <v>1219</v>
      </c>
      <c r="N25" s="112" t="s">
        <v>1220</v>
      </c>
      <c r="O25" s="112" t="s">
        <v>1195</v>
      </c>
      <c r="P25" s="112" t="s">
        <v>1157</v>
      </c>
      <c r="Q25" s="112" t="s">
        <v>1170</v>
      </c>
      <c r="R25" s="112" t="s">
        <v>4</v>
      </c>
      <c r="S25" s="112" t="s">
        <v>4</v>
      </c>
      <c r="T25" s="112" t="s">
        <v>1221</v>
      </c>
      <c r="U25" s="112" t="s">
        <v>1221</v>
      </c>
      <c r="V25" s="112" t="s">
        <v>141</v>
      </c>
      <c r="W25" s="112" t="s">
        <v>120</v>
      </c>
      <c r="X25" s="112" t="s">
        <v>121</v>
      </c>
      <c r="Y25" s="112" t="s">
        <v>268</v>
      </c>
      <c r="Z25" s="112" t="s">
        <v>1222</v>
      </c>
      <c r="AA25" s="112" t="s">
        <v>1223</v>
      </c>
      <c r="AB25" s="112" t="s">
        <v>1224</v>
      </c>
      <c r="AC25" s="112" t="s">
        <v>1225</v>
      </c>
      <c r="AD25" s="112">
        <v>88738000</v>
      </c>
      <c r="AE25" s="112">
        <v>80251479.620000005</v>
      </c>
      <c r="AF25" s="112">
        <v>47782000</v>
      </c>
      <c r="AG25" s="112">
        <v>40956000</v>
      </c>
      <c r="AH25" s="112">
        <v>35325410</v>
      </c>
      <c r="AI25" s="112">
        <v>150000</v>
      </c>
      <c r="AJ25" s="112">
        <v>6826000</v>
      </c>
      <c r="AK25" s="112">
        <v>171</v>
      </c>
      <c r="AL25" s="112">
        <v>6</v>
      </c>
      <c r="AM25" s="112">
        <v>48</v>
      </c>
      <c r="AN25" s="112">
        <v>60</v>
      </c>
      <c r="AO25" s="112" t="s">
        <v>123</v>
      </c>
      <c r="AP25" s="112" t="s">
        <v>123</v>
      </c>
      <c r="AQ25" s="112" t="s">
        <v>124</v>
      </c>
      <c r="AR25" s="112" t="s">
        <v>1200</v>
      </c>
      <c r="AS25" s="112" t="s">
        <v>1201</v>
      </c>
      <c r="AT25" s="112" t="s">
        <v>1202</v>
      </c>
      <c r="AU25" s="112" t="s">
        <v>259</v>
      </c>
      <c r="AV25" s="112" t="s">
        <v>125</v>
      </c>
      <c r="AW25" s="112" t="s">
        <v>126</v>
      </c>
      <c r="AX25" s="112" t="s">
        <v>127</v>
      </c>
      <c r="AY25" s="112" t="s">
        <v>1123</v>
      </c>
      <c r="AZ25" s="112" t="s">
        <v>1124</v>
      </c>
      <c r="BA25" s="112" t="s">
        <v>1125</v>
      </c>
      <c r="BB25" s="112" t="s">
        <v>128</v>
      </c>
      <c r="BC25" s="112" t="s">
        <v>263</v>
      </c>
      <c r="BD25" s="112" t="s">
        <v>264</v>
      </c>
      <c r="BE25" s="112" t="s">
        <v>162</v>
      </c>
      <c r="BF25" s="112" t="s">
        <v>129</v>
      </c>
      <c r="BG25" s="112" t="s">
        <v>130</v>
      </c>
      <c r="BH25" s="112">
        <v>7</v>
      </c>
      <c r="BI25" s="112">
        <v>47782000</v>
      </c>
      <c r="BJ25" s="113"/>
      <c r="BK25" s="113"/>
      <c r="BL25" s="113"/>
      <c r="BM25" s="112"/>
      <c r="BN25" s="113">
        <v>46173</v>
      </c>
      <c r="BO25" s="112">
        <v>1</v>
      </c>
      <c r="BP25" s="114">
        <v>46149</v>
      </c>
      <c r="BQ25" s="112" t="s">
        <v>131</v>
      </c>
      <c r="BR25" s="112">
        <v>178</v>
      </c>
      <c r="BS25" s="113">
        <v>45971</v>
      </c>
      <c r="BT25" s="112">
        <v>88738000</v>
      </c>
      <c r="BU25" s="112">
        <v>0</v>
      </c>
      <c r="BV25" s="112">
        <v>1</v>
      </c>
      <c r="BW25" s="112">
        <v>0</v>
      </c>
      <c r="BX25" s="112">
        <v>0</v>
      </c>
      <c r="BY25" s="112">
        <v>0</v>
      </c>
      <c r="BZ25" s="112">
        <v>0</v>
      </c>
      <c r="CA25" s="112">
        <v>0</v>
      </c>
      <c r="CB25" s="112">
        <v>0</v>
      </c>
      <c r="CC25" s="113"/>
      <c r="CD25" s="112">
        <v>0</v>
      </c>
      <c r="CE25" s="113"/>
      <c r="CF25" s="112">
        <v>0</v>
      </c>
      <c r="CG25" s="113"/>
      <c r="CH25" s="112">
        <v>0</v>
      </c>
      <c r="CI25" s="113"/>
      <c r="CJ25" s="112">
        <v>0</v>
      </c>
      <c r="CK25" s="113"/>
      <c r="CL25" s="112">
        <v>0</v>
      </c>
      <c r="CM25" s="113">
        <v>46149</v>
      </c>
      <c r="CN25" s="112" t="s">
        <v>132</v>
      </c>
      <c r="CO25" s="112">
        <v>80101479.620000005</v>
      </c>
      <c r="CP25" s="112">
        <v>80101479.620000005</v>
      </c>
      <c r="CQ25" s="112">
        <v>10</v>
      </c>
      <c r="CR25" s="118"/>
      <c r="CS25" s="119"/>
      <c r="CT25" s="112">
        <v>0</v>
      </c>
      <c r="CU25" s="112" t="s">
        <v>265</v>
      </c>
      <c r="CV25" s="112" t="s">
        <v>205</v>
      </c>
      <c r="CW25" s="113">
        <v>46149</v>
      </c>
      <c r="CX25" s="112" t="s">
        <v>2116</v>
      </c>
      <c r="CY25" s="120">
        <f>MONTH(Table_ExternalData_14[[#This Row],[RunningReportDate]])</f>
        <v>5</v>
      </c>
      <c r="CZ25" s="120">
        <f>181-Table_ExternalData_14[[#This Row],[DaysOD]]</f>
        <v>10</v>
      </c>
      <c r="DA25" s="120">
        <f>IF(Table_ExternalData_14[[#This Row],[Status]]="PU-WC",0,Table_ExternalData_14[[#This Row],[Amount_CWO]]/1000000)</f>
        <v>80.101479620000006</v>
      </c>
      <c r="DB25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25" s="120">
        <f>IF(Table_ExternalData_14[[#This Row],[Status]]="PU-WC",0,IF(Table_ExternalData_14[[#This Row],[Success CWO]]=1,Table_ExternalData_14[[#This Row],[CWO Amt]],0))</f>
        <v>0</v>
      </c>
      <c r="DD25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25" s="120">
        <f>DAY(Table_ExternalData_14[[#This Row],[Tanggal_Sukses-new]])</f>
        <v>0</v>
      </c>
      <c r="DF25" s="120">
        <f>IF(Table_ExternalData_14[[#This Row],[Status]]="PU-WC",0,IF(SUM(Table_ExternalData_14[[#This Row],[Success CWO]:[WO-In-Amt]])=0,1,0))</f>
        <v>1</v>
      </c>
      <c r="DG25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80.101479620000006</v>
      </c>
      <c r="DH25" s="120" t="str">
        <f>VLOOKUP(Table_ExternalData_14[[#This Row],[BranchID]],KC!$A:$K,5,0)</f>
        <v>4W</v>
      </c>
      <c r="DI25" s="120" t="str">
        <f>VLOOKUP(Table_ExternalData_14[[#This Row],[BranchID]],KC!$A:$K,8,0)</f>
        <v>05. Kalimantan</v>
      </c>
      <c r="DJ25" s="120" t="str">
        <f>VLOOKUP(Table_ExternalData_14[[#This Row],[BranchID]],KC!$A:$K,9,0)</f>
        <v>BALIKPAPAN</v>
      </c>
      <c r="DK25" s="121">
        <f>IF(Table_ExternalData_14[[#This Row],[Tanggal_Sukses]]=" ",Table_ExternalData_14[[#This Row],[Tanggal_Sukses]],VLOOKUP(Table_ExternalData_14[[#This Row],[ContractID]],Bantuan!$A:$C,2,0))</f>
        <v>0</v>
      </c>
      <c r="DL25" s="120">
        <f>IF(Table_ExternalData_14[[#This Row],[Keterangan_Sukses]]=" ",Table_ExternalData_14[[#This Row],[Keterangan_Sukses]],VLOOKUP(Table_ExternalData_14[[#This Row],[ContractID]],Bantuan!$A:$C,3,0))</f>
        <v>0</v>
      </c>
    </row>
    <row r="26" spans="1:116" x14ac:dyDescent="0.3">
      <c r="A26" s="117" t="s">
        <v>300</v>
      </c>
      <c r="B26" s="112" t="s">
        <v>299</v>
      </c>
      <c r="C26" s="113">
        <v>46142</v>
      </c>
      <c r="D26" s="279">
        <v>45966</v>
      </c>
      <c r="E26" s="113">
        <v>45626</v>
      </c>
      <c r="F26" s="112" t="s">
        <v>1226</v>
      </c>
      <c r="G26" s="112" t="s">
        <v>1227</v>
      </c>
      <c r="H26" s="112" t="s">
        <v>1228</v>
      </c>
      <c r="I26" s="112" t="s">
        <v>1229</v>
      </c>
      <c r="J26" s="112" t="s">
        <v>1230</v>
      </c>
      <c r="K26" s="112" t="s">
        <v>4</v>
      </c>
      <c r="L26" s="112" t="s">
        <v>1230</v>
      </c>
      <c r="M26" s="112" t="s">
        <v>1231</v>
      </c>
      <c r="N26" s="112" t="s">
        <v>1232</v>
      </c>
      <c r="O26" s="112" t="s">
        <v>299</v>
      </c>
      <c r="P26" s="112" t="s">
        <v>905</v>
      </c>
      <c r="Q26" s="112" t="s">
        <v>1119</v>
      </c>
      <c r="R26" s="112" t="s">
        <v>4</v>
      </c>
      <c r="S26" s="112" t="s">
        <v>4</v>
      </c>
      <c r="T26" s="112" t="s">
        <v>4</v>
      </c>
      <c r="U26" s="112" t="s">
        <v>4</v>
      </c>
      <c r="V26" s="112" t="s">
        <v>1233</v>
      </c>
      <c r="W26" s="112" t="s">
        <v>120</v>
      </c>
      <c r="X26" s="112" t="s">
        <v>121</v>
      </c>
      <c r="Y26" s="112" t="s">
        <v>136</v>
      </c>
      <c r="Z26" s="112" t="s">
        <v>142</v>
      </c>
      <c r="AA26" s="112" t="s">
        <v>1234</v>
      </c>
      <c r="AB26" s="112" t="s">
        <v>1235</v>
      </c>
      <c r="AC26" s="112" t="s">
        <v>1236</v>
      </c>
      <c r="AD26" s="112">
        <v>144400000</v>
      </c>
      <c r="AE26" s="112">
        <v>111455264.09999999</v>
      </c>
      <c r="AF26" s="112">
        <v>121600000</v>
      </c>
      <c r="AG26" s="112">
        <v>22800000</v>
      </c>
      <c r="AH26" s="112">
        <v>11552000</v>
      </c>
      <c r="AI26" s="112">
        <v>0</v>
      </c>
      <c r="AJ26" s="112">
        <v>3800000</v>
      </c>
      <c r="AK26" s="112">
        <v>176</v>
      </c>
      <c r="AL26" s="112">
        <v>6</v>
      </c>
      <c r="AM26" s="112">
        <v>11</v>
      </c>
      <c r="AN26" s="112">
        <v>48</v>
      </c>
      <c r="AO26" s="112" t="s">
        <v>123</v>
      </c>
      <c r="AP26" s="112" t="s">
        <v>123</v>
      </c>
      <c r="AQ26" s="112" t="s">
        <v>124</v>
      </c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  <c r="BF26" s="112" t="s">
        <v>129</v>
      </c>
      <c r="BG26" s="112" t="s">
        <v>375</v>
      </c>
      <c r="BH26" s="112">
        <v>7</v>
      </c>
      <c r="BI26" s="112">
        <v>26600000</v>
      </c>
      <c r="BJ26" s="113"/>
      <c r="BK26" s="113">
        <v>46132</v>
      </c>
      <c r="BL26" s="113"/>
      <c r="BM26" s="112"/>
      <c r="BN26" s="113">
        <v>46173</v>
      </c>
      <c r="BO26" s="112">
        <v>1</v>
      </c>
      <c r="BP26" s="114">
        <v>46149</v>
      </c>
      <c r="BQ26" s="112" t="s">
        <v>131</v>
      </c>
      <c r="BR26" s="112">
        <v>183</v>
      </c>
      <c r="BS26" s="113">
        <v>45966</v>
      </c>
      <c r="BT26" s="112">
        <v>144400000</v>
      </c>
      <c r="BU26" s="112">
        <v>0</v>
      </c>
      <c r="BV26" s="112">
        <v>1</v>
      </c>
      <c r="BW26" s="112">
        <v>0</v>
      </c>
      <c r="BX26" s="112">
        <v>0</v>
      </c>
      <c r="BY26" s="112">
        <v>0</v>
      </c>
      <c r="BZ26" s="112">
        <v>0</v>
      </c>
      <c r="CA26" s="112">
        <v>0</v>
      </c>
      <c r="CB26" s="112">
        <v>0</v>
      </c>
      <c r="CC26" s="113"/>
      <c r="CD26" s="112">
        <v>0</v>
      </c>
      <c r="CE26" s="113"/>
      <c r="CF26" s="112">
        <v>0</v>
      </c>
      <c r="CG26" s="113"/>
      <c r="CH26" s="112">
        <v>0</v>
      </c>
      <c r="CI26" s="113"/>
      <c r="CJ26" s="112">
        <v>0</v>
      </c>
      <c r="CK26" s="113"/>
      <c r="CL26" s="112">
        <v>0</v>
      </c>
      <c r="CM26" s="113">
        <v>46149</v>
      </c>
      <c r="CN26" s="112" t="s">
        <v>132</v>
      </c>
      <c r="CO26" s="112">
        <v>111455264.09999999</v>
      </c>
      <c r="CP26" s="112">
        <v>0</v>
      </c>
      <c r="CQ26" s="112">
        <v>0</v>
      </c>
      <c r="CR26" s="118">
        <v>46132</v>
      </c>
      <c r="CS26" s="119" t="s">
        <v>255</v>
      </c>
      <c r="CT26" s="112">
        <v>111455264.09999999</v>
      </c>
      <c r="CU26" s="112" t="s">
        <v>301</v>
      </c>
      <c r="CV26" s="112" t="s">
        <v>164</v>
      </c>
      <c r="CW26" s="113">
        <v>46149</v>
      </c>
      <c r="CX26" s="112" t="s">
        <v>2116</v>
      </c>
      <c r="CY26" s="120">
        <f>MONTH(Table_ExternalData_14[[#This Row],[RunningReportDate]])</f>
        <v>5</v>
      </c>
      <c r="CZ26" s="120">
        <f>181-Table_ExternalData_14[[#This Row],[DaysOD]]</f>
        <v>5</v>
      </c>
      <c r="DA26" s="120">
        <f>IF(Table_ExternalData_14[[#This Row],[Status]]="PU-WC",0,Table_ExternalData_14[[#This Row],[Amount_CWO]]/1000000)</f>
        <v>0</v>
      </c>
      <c r="DB26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26" s="120">
        <f>IF(Table_ExternalData_14[[#This Row],[Status]]="PU-WC",0,IF(Table_ExternalData_14[[#This Row],[Success CWO]]=1,Table_ExternalData_14[[#This Row],[CWO Amt]],0))</f>
        <v>0</v>
      </c>
      <c r="DD26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26" s="120">
        <f>DAY(Table_ExternalData_14[[#This Row],[Tanggal_Sukses-new]])</f>
        <v>20</v>
      </c>
      <c r="DF26" s="120">
        <f>IF(Table_ExternalData_14[[#This Row],[Status]]="PU-WC",0,IF(SUM(Table_ExternalData_14[[#This Row],[Success CWO]:[WO-In-Amt]])=0,1,0))</f>
        <v>0</v>
      </c>
      <c r="DG26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26" s="120" t="str">
        <f>VLOOKUP(Table_ExternalData_14[[#This Row],[BranchID]],KC!$A:$K,5,0)</f>
        <v>4W</v>
      </c>
      <c r="DI26" s="120" t="str">
        <f>VLOOKUP(Table_ExternalData_14[[#This Row],[BranchID]],KC!$A:$K,8,0)</f>
        <v>02. Jawa Barat</v>
      </c>
      <c r="DJ26" s="120" t="str">
        <f>VLOOKUP(Table_ExternalData_14[[#This Row],[BranchID]],KC!$A:$K,9,0)</f>
        <v>CIREBON</v>
      </c>
      <c r="DK26" s="121">
        <f>IF(Table_ExternalData_14[[#This Row],[Tanggal_Sukses]]=" ",Table_ExternalData_14[[#This Row],[Tanggal_Sukses]],VLOOKUP(Table_ExternalData_14[[#This Row],[ContractID]],Bantuan!$A:$C,2,0))</f>
        <v>46132</v>
      </c>
      <c r="DL26" s="120" t="str">
        <f>IF(Table_ExternalData_14[[#This Row],[Keterangan_Sukses]]=" ",Table_ExternalData_14[[#This Row],[Keterangan_Sukses]],VLOOKUP(Table_ExternalData_14[[#This Row],[ContractID]],Bantuan!$A:$C,3,0))</f>
        <v>REPO SEBELUM WO</v>
      </c>
    </row>
    <row r="27" spans="1:116" x14ac:dyDescent="0.3">
      <c r="A27" s="117" t="s">
        <v>251</v>
      </c>
      <c r="B27" s="112" t="s">
        <v>250</v>
      </c>
      <c r="C27" s="113">
        <v>46142</v>
      </c>
      <c r="D27" s="279">
        <v>45984</v>
      </c>
      <c r="E27" s="113">
        <v>45619</v>
      </c>
      <c r="F27" s="112" t="s">
        <v>1237</v>
      </c>
      <c r="G27" s="112" t="s">
        <v>1238</v>
      </c>
      <c r="H27" s="112" t="s">
        <v>1239</v>
      </c>
      <c r="I27" s="112" t="s">
        <v>1240</v>
      </c>
      <c r="J27" s="112" t="s">
        <v>1241</v>
      </c>
      <c r="K27" s="112" t="s">
        <v>4</v>
      </c>
      <c r="L27" s="112" t="s">
        <v>1241</v>
      </c>
      <c r="M27" s="112" t="s">
        <v>1242</v>
      </c>
      <c r="N27" s="112" t="s">
        <v>1243</v>
      </c>
      <c r="O27" s="112" t="s">
        <v>1244</v>
      </c>
      <c r="P27" s="112" t="s">
        <v>253</v>
      </c>
      <c r="Q27" s="112" t="s">
        <v>254</v>
      </c>
      <c r="R27" s="112" t="s">
        <v>4</v>
      </c>
      <c r="S27" s="112" t="s">
        <v>4</v>
      </c>
      <c r="T27" s="112" t="s">
        <v>4</v>
      </c>
      <c r="U27" s="112" t="s">
        <v>4</v>
      </c>
      <c r="V27" s="112" t="s">
        <v>1003</v>
      </c>
      <c r="W27" s="112" t="s">
        <v>120</v>
      </c>
      <c r="X27" s="112" t="s">
        <v>121</v>
      </c>
      <c r="Y27" s="112" t="s">
        <v>136</v>
      </c>
      <c r="Z27" s="112" t="s">
        <v>142</v>
      </c>
      <c r="AA27" s="112" t="s">
        <v>1245</v>
      </c>
      <c r="AB27" s="112" t="s">
        <v>1246</v>
      </c>
      <c r="AC27" s="112" t="s">
        <v>1247</v>
      </c>
      <c r="AD27" s="112">
        <v>155820000</v>
      </c>
      <c r="AE27" s="112">
        <v>117709561.88</v>
      </c>
      <c r="AF27" s="112">
        <v>136740000</v>
      </c>
      <c r="AG27" s="112">
        <v>19080000</v>
      </c>
      <c r="AH27" s="112">
        <v>8040800</v>
      </c>
      <c r="AI27" s="112">
        <v>0</v>
      </c>
      <c r="AJ27" s="112">
        <v>3180000</v>
      </c>
      <c r="AK27" s="112">
        <v>158</v>
      </c>
      <c r="AL27" s="112">
        <v>6</v>
      </c>
      <c r="AM27" s="112">
        <v>12</v>
      </c>
      <c r="AN27" s="112">
        <v>60</v>
      </c>
      <c r="AO27" s="112" t="s">
        <v>123</v>
      </c>
      <c r="AP27" s="112" t="s">
        <v>123</v>
      </c>
      <c r="AQ27" s="112" t="s">
        <v>124</v>
      </c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2" t="s">
        <v>129</v>
      </c>
      <c r="BG27" s="112" t="s">
        <v>130</v>
      </c>
      <c r="BH27" s="112">
        <v>7</v>
      </c>
      <c r="BI27" s="112">
        <v>22260000</v>
      </c>
      <c r="BJ27" s="113"/>
      <c r="BK27" s="113"/>
      <c r="BL27" s="113"/>
      <c r="BM27" s="112"/>
      <c r="BN27" s="113">
        <v>46173</v>
      </c>
      <c r="BO27" s="112">
        <v>1</v>
      </c>
      <c r="BP27" s="114">
        <v>46149</v>
      </c>
      <c r="BQ27" s="112" t="s">
        <v>131</v>
      </c>
      <c r="BR27" s="112">
        <v>165</v>
      </c>
      <c r="BS27" s="113">
        <v>45984</v>
      </c>
      <c r="BT27" s="112">
        <v>155820000</v>
      </c>
      <c r="BU27" s="112">
        <v>0</v>
      </c>
      <c r="BV27" s="112">
        <v>1</v>
      </c>
      <c r="BW27" s="112">
        <v>0</v>
      </c>
      <c r="BX27" s="112">
        <v>0</v>
      </c>
      <c r="BY27" s="112">
        <v>0</v>
      </c>
      <c r="BZ27" s="112">
        <v>0</v>
      </c>
      <c r="CA27" s="112">
        <v>0</v>
      </c>
      <c r="CB27" s="112">
        <v>0</v>
      </c>
      <c r="CC27" s="113"/>
      <c r="CD27" s="112">
        <v>0</v>
      </c>
      <c r="CE27" s="113"/>
      <c r="CF27" s="112">
        <v>0</v>
      </c>
      <c r="CG27" s="113"/>
      <c r="CH27" s="112">
        <v>0</v>
      </c>
      <c r="CI27" s="113"/>
      <c r="CJ27" s="112">
        <v>0</v>
      </c>
      <c r="CK27" s="113"/>
      <c r="CL27" s="112">
        <v>0</v>
      </c>
      <c r="CM27" s="113">
        <v>46149</v>
      </c>
      <c r="CN27" s="112" t="s">
        <v>132</v>
      </c>
      <c r="CO27" s="112">
        <v>117709561.88</v>
      </c>
      <c r="CP27" s="112">
        <v>117709561.88</v>
      </c>
      <c r="CQ27" s="112">
        <v>23</v>
      </c>
      <c r="CR27" s="118"/>
      <c r="CS27" s="119"/>
      <c r="CT27" s="112">
        <v>0</v>
      </c>
      <c r="CU27" s="112" t="s">
        <v>252</v>
      </c>
      <c r="CV27" s="112" t="s">
        <v>134</v>
      </c>
      <c r="CW27" s="113">
        <v>46149</v>
      </c>
      <c r="CX27" s="112" t="s">
        <v>2116</v>
      </c>
      <c r="CY27" s="120">
        <f>MONTH(Table_ExternalData_14[[#This Row],[RunningReportDate]])</f>
        <v>5</v>
      </c>
      <c r="CZ27" s="120">
        <f>181-Table_ExternalData_14[[#This Row],[DaysOD]]</f>
        <v>23</v>
      </c>
      <c r="DA27" s="120">
        <f>IF(Table_ExternalData_14[[#This Row],[Status]]="PU-WC",0,Table_ExternalData_14[[#This Row],[Amount_CWO]]/1000000)</f>
        <v>117.70956188</v>
      </c>
      <c r="DB27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27" s="120">
        <f>IF(Table_ExternalData_14[[#This Row],[Status]]="PU-WC",0,IF(Table_ExternalData_14[[#This Row],[Success CWO]]=1,Table_ExternalData_14[[#This Row],[CWO Amt]],0))</f>
        <v>0</v>
      </c>
      <c r="DD27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27" s="120">
        <f>DAY(Table_ExternalData_14[[#This Row],[Tanggal_Sukses-new]])</f>
        <v>0</v>
      </c>
      <c r="DF27" s="120">
        <f>IF(Table_ExternalData_14[[#This Row],[Status]]="PU-WC",0,IF(SUM(Table_ExternalData_14[[#This Row],[Success CWO]:[WO-In-Amt]])=0,1,0))</f>
        <v>1</v>
      </c>
      <c r="DG27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117.70956188</v>
      </c>
      <c r="DH27" s="120" t="str">
        <f>VLOOKUP(Table_ExternalData_14[[#This Row],[BranchID]],KC!$A:$K,5,0)</f>
        <v>4W</v>
      </c>
      <c r="DI27" s="120" t="str">
        <f>VLOOKUP(Table_ExternalData_14[[#This Row],[BranchID]],KC!$A:$K,8,0)</f>
        <v>09. IBT</v>
      </c>
      <c r="DJ27" s="120" t="str">
        <f>VLOOKUP(Table_ExternalData_14[[#This Row],[BranchID]],KC!$A:$K,9,0)</f>
        <v>MATARAM</v>
      </c>
      <c r="DK27" s="121">
        <f>IF(Table_ExternalData_14[[#This Row],[Tanggal_Sukses]]=" ",Table_ExternalData_14[[#This Row],[Tanggal_Sukses]],VLOOKUP(Table_ExternalData_14[[#This Row],[ContractID]],Bantuan!$A:$C,2,0))</f>
        <v>0</v>
      </c>
      <c r="DL27" s="120">
        <f>IF(Table_ExternalData_14[[#This Row],[Keterangan_Sukses]]=" ",Table_ExternalData_14[[#This Row],[Keterangan_Sukses]],VLOOKUP(Table_ExternalData_14[[#This Row],[ContractID]],Bantuan!$A:$C,3,0))</f>
        <v>0</v>
      </c>
    </row>
    <row r="28" spans="1:116" x14ac:dyDescent="0.3">
      <c r="A28" s="117" t="s">
        <v>243</v>
      </c>
      <c r="B28" s="112" t="s">
        <v>242</v>
      </c>
      <c r="C28" s="113">
        <v>46142</v>
      </c>
      <c r="D28" s="279">
        <v>45979</v>
      </c>
      <c r="E28" s="113">
        <v>45309</v>
      </c>
      <c r="F28" s="112" t="s">
        <v>1248</v>
      </c>
      <c r="G28" s="112" t="s">
        <v>1249</v>
      </c>
      <c r="H28" s="112" t="s">
        <v>1250</v>
      </c>
      <c r="I28" s="112" t="s">
        <v>1251</v>
      </c>
      <c r="J28" s="112" t="s">
        <v>1252</v>
      </c>
      <c r="K28" s="112" t="s">
        <v>4</v>
      </c>
      <c r="L28" s="112" t="s">
        <v>1252</v>
      </c>
      <c r="M28" s="112" t="s">
        <v>1253</v>
      </c>
      <c r="N28" s="112" t="s">
        <v>1254</v>
      </c>
      <c r="O28" s="112" t="s">
        <v>242</v>
      </c>
      <c r="P28" s="112" t="s">
        <v>244</v>
      </c>
      <c r="Q28" s="112" t="s">
        <v>294</v>
      </c>
      <c r="R28" s="112" t="s">
        <v>4</v>
      </c>
      <c r="S28" s="112" t="s">
        <v>4</v>
      </c>
      <c r="T28" s="112" t="s">
        <v>4</v>
      </c>
      <c r="U28" s="112" t="s">
        <v>4</v>
      </c>
      <c r="V28" s="112" t="s">
        <v>1255</v>
      </c>
      <c r="W28" s="112" t="s">
        <v>120</v>
      </c>
      <c r="X28" s="112" t="s">
        <v>121</v>
      </c>
      <c r="Y28" s="112" t="s">
        <v>136</v>
      </c>
      <c r="Z28" s="112" t="s">
        <v>142</v>
      </c>
      <c r="AA28" s="112" t="s">
        <v>1256</v>
      </c>
      <c r="AB28" s="112" t="s">
        <v>1257</v>
      </c>
      <c r="AC28" s="112" t="s">
        <v>1258</v>
      </c>
      <c r="AD28" s="112">
        <v>154284000</v>
      </c>
      <c r="AE28" s="112">
        <v>114078811.23</v>
      </c>
      <c r="AF28" s="112">
        <v>130548000</v>
      </c>
      <c r="AG28" s="112">
        <v>23736000</v>
      </c>
      <c r="AH28" s="112">
        <v>16401460</v>
      </c>
      <c r="AI28" s="112">
        <v>182000</v>
      </c>
      <c r="AJ28" s="112">
        <v>3956000</v>
      </c>
      <c r="AK28" s="112">
        <v>163</v>
      </c>
      <c r="AL28" s="112">
        <v>6</v>
      </c>
      <c r="AM28" s="112">
        <v>22</v>
      </c>
      <c r="AN28" s="112">
        <v>60</v>
      </c>
      <c r="AO28" s="112" t="s">
        <v>123</v>
      </c>
      <c r="AP28" s="112" t="s">
        <v>123</v>
      </c>
      <c r="AQ28" s="112" t="s">
        <v>124</v>
      </c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2" t="s">
        <v>129</v>
      </c>
      <c r="BG28" s="112" t="s">
        <v>130</v>
      </c>
      <c r="BH28" s="112">
        <v>7</v>
      </c>
      <c r="BI28" s="112">
        <v>27692000</v>
      </c>
      <c r="BJ28" s="113"/>
      <c r="BK28" s="113"/>
      <c r="BL28" s="113"/>
      <c r="BM28" s="112"/>
      <c r="BN28" s="113">
        <v>46173</v>
      </c>
      <c r="BO28" s="112">
        <v>1</v>
      </c>
      <c r="BP28" s="114">
        <v>46149</v>
      </c>
      <c r="BQ28" s="112" t="s">
        <v>131</v>
      </c>
      <c r="BR28" s="112">
        <v>170</v>
      </c>
      <c r="BS28" s="113">
        <v>45979</v>
      </c>
      <c r="BT28" s="112">
        <v>154284000</v>
      </c>
      <c r="BU28" s="112">
        <v>0</v>
      </c>
      <c r="BV28" s="112">
        <v>1</v>
      </c>
      <c r="BW28" s="112">
        <v>0</v>
      </c>
      <c r="BX28" s="112">
        <v>0</v>
      </c>
      <c r="BY28" s="112">
        <v>0</v>
      </c>
      <c r="BZ28" s="112">
        <v>0</v>
      </c>
      <c r="CA28" s="112">
        <v>0</v>
      </c>
      <c r="CB28" s="112">
        <v>0</v>
      </c>
      <c r="CC28" s="113"/>
      <c r="CD28" s="112">
        <v>0</v>
      </c>
      <c r="CE28" s="113"/>
      <c r="CF28" s="112">
        <v>0</v>
      </c>
      <c r="CG28" s="113"/>
      <c r="CH28" s="112">
        <v>0</v>
      </c>
      <c r="CI28" s="113"/>
      <c r="CJ28" s="112">
        <v>0</v>
      </c>
      <c r="CK28" s="113"/>
      <c r="CL28" s="112">
        <v>0</v>
      </c>
      <c r="CM28" s="113">
        <v>46149</v>
      </c>
      <c r="CN28" s="112" t="s">
        <v>132</v>
      </c>
      <c r="CO28" s="112">
        <v>113896811.23</v>
      </c>
      <c r="CP28" s="112">
        <v>113896811.23</v>
      </c>
      <c r="CQ28" s="112">
        <v>18</v>
      </c>
      <c r="CR28" s="118"/>
      <c r="CS28" s="119"/>
      <c r="CT28" s="112">
        <v>0</v>
      </c>
      <c r="CU28" s="112" t="s">
        <v>245</v>
      </c>
      <c r="CV28" s="112" t="s">
        <v>246</v>
      </c>
      <c r="CW28" s="113">
        <v>46149</v>
      </c>
      <c r="CX28" s="112" t="s">
        <v>2116</v>
      </c>
      <c r="CY28" s="120">
        <f>MONTH(Table_ExternalData_14[[#This Row],[RunningReportDate]])</f>
        <v>5</v>
      </c>
      <c r="CZ28" s="120">
        <f>181-Table_ExternalData_14[[#This Row],[DaysOD]]</f>
        <v>18</v>
      </c>
      <c r="DA28" s="120">
        <f>IF(Table_ExternalData_14[[#This Row],[Status]]="PU-WC",0,Table_ExternalData_14[[#This Row],[Amount_CWO]]/1000000)</f>
        <v>113.89681123</v>
      </c>
      <c r="DB28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28" s="120">
        <f>IF(Table_ExternalData_14[[#This Row],[Status]]="PU-WC",0,IF(Table_ExternalData_14[[#This Row],[Success CWO]]=1,Table_ExternalData_14[[#This Row],[CWO Amt]],0))</f>
        <v>0</v>
      </c>
      <c r="DD28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28" s="120">
        <f>DAY(Table_ExternalData_14[[#This Row],[Tanggal_Sukses-new]])</f>
        <v>0</v>
      </c>
      <c r="DF28" s="120">
        <f>IF(Table_ExternalData_14[[#This Row],[Status]]="PU-WC",0,IF(SUM(Table_ExternalData_14[[#This Row],[Success CWO]:[WO-In-Amt]])=0,1,0))</f>
        <v>1</v>
      </c>
      <c r="DG28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113.89681123</v>
      </c>
      <c r="DH28" s="120" t="str">
        <f>VLOOKUP(Table_ExternalData_14[[#This Row],[BranchID]],KC!$A:$K,5,0)</f>
        <v>4W</v>
      </c>
      <c r="DI28" s="120" t="str">
        <f>VLOOKUP(Table_ExternalData_14[[#This Row],[BranchID]],KC!$A:$K,8,0)</f>
        <v>08. Sumbaguteng</v>
      </c>
      <c r="DJ28" s="120" t="str">
        <f>VLOOKUP(Table_ExternalData_14[[#This Row],[BranchID]],KC!$A:$K,9,0)</f>
        <v>MEDAN</v>
      </c>
      <c r="DK28" s="121">
        <f>IF(Table_ExternalData_14[[#This Row],[Tanggal_Sukses]]=" ",Table_ExternalData_14[[#This Row],[Tanggal_Sukses]],VLOOKUP(Table_ExternalData_14[[#This Row],[ContractID]],Bantuan!$A:$C,2,0))</f>
        <v>0</v>
      </c>
      <c r="DL28" s="120">
        <f>IF(Table_ExternalData_14[[#This Row],[Keterangan_Sukses]]=" ",Table_ExternalData_14[[#This Row],[Keterangan_Sukses]],VLOOKUP(Table_ExternalData_14[[#This Row],[ContractID]],Bantuan!$A:$C,3,0))</f>
        <v>0</v>
      </c>
    </row>
    <row r="29" spans="1:116" x14ac:dyDescent="0.3">
      <c r="A29" s="117" t="s">
        <v>281</v>
      </c>
      <c r="B29" s="112" t="s">
        <v>280</v>
      </c>
      <c r="C29" s="113">
        <v>46142</v>
      </c>
      <c r="D29" s="279">
        <v>45971</v>
      </c>
      <c r="E29" s="113">
        <v>45848</v>
      </c>
      <c r="F29" s="112" t="s">
        <v>1259</v>
      </c>
      <c r="G29" s="112" t="s">
        <v>1260</v>
      </c>
      <c r="H29" s="112" t="s">
        <v>1261</v>
      </c>
      <c r="I29" s="112" t="s">
        <v>1262</v>
      </c>
      <c r="J29" s="112" t="s">
        <v>1116</v>
      </c>
      <c r="K29" s="112" t="s">
        <v>4</v>
      </c>
      <c r="L29" s="112" t="s">
        <v>1116</v>
      </c>
      <c r="M29" s="112" t="s">
        <v>1263</v>
      </c>
      <c r="N29" s="112" t="s">
        <v>1264</v>
      </c>
      <c r="O29" s="112" t="s">
        <v>1117</v>
      </c>
      <c r="P29" s="112" t="s">
        <v>293</v>
      </c>
      <c r="Q29" s="112" t="s">
        <v>1077</v>
      </c>
      <c r="R29" s="112" t="s">
        <v>4</v>
      </c>
      <c r="S29" s="112" t="s">
        <v>4</v>
      </c>
      <c r="T29" s="112" t="s">
        <v>4</v>
      </c>
      <c r="U29" s="112" t="s">
        <v>4</v>
      </c>
      <c r="V29" s="112" t="s">
        <v>1108</v>
      </c>
      <c r="W29" s="112" t="s">
        <v>120</v>
      </c>
      <c r="X29" s="112" t="s">
        <v>121</v>
      </c>
      <c r="Y29" s="112" t="s">
        <v>268</v>
      </c>
      <c r="Z29" s="112" t="s">
        <v>1265</v>
      </c>
      <c r="AA29" s="112" t="s">
        <v>1266</v>
      </c>
      <c r="AB29" s="112" t="s">
        <v>1267</v>
      </c>
      <c r="AC29" s="112" t="s">
        <v>1268</v>
      </c>
      <c r="AD29" s="112">
        <v>385434000</v>
      </c>
      <c r="AE29" s="112">
        <v>268313282.65000001</v>
      </c>
      <c r="AF29" s="112">
        <v>344862000</v>
      </c>
      <c r="AG29" s="112">
        <v>40572000</v>
      </c>
      <c r="AH29" s="112">
        <v>19678850</v>
      </c>
      <c r="AI29" s="112">
        <v>0</v>
      </c>
      <c r="AJ29" s="112">
        <v>6762000</v>
      </c>
      <c r="AK29" s="112">
        <v>171</v>
      </c>
      <c r="AL29" s="112">
        <v>6</v>
      </c>
      <c r="AM29" s="112">
        <v>4</v>
      </c>
      <c r="AN29" s="112">
        <v>60</v>
      </c>
      <c r="AO29" s="112" t="s">
        <v>123</v>
      </c>
      <c r="AP29" s="112" t="s">
        <v>123</v>
      </c>
      <c r="AQ29" s="112" t="s">
        <v>124</v>
      </c>
      <c r="AR29" s="112" t="s">
        <v>916</v>
      </c>
      <c r="AS29" s="112" t="s">
        <v>917</v>
      </c>
      <c r="AT29" s="112" t="s">
        <v>918</v>
      </c>
      <c r="AU29" s="112" t="s">
        <v>282</v>
      </c>
      <c r="AV29" s="112" t="s">
        <v>283</v>
      </c>
      <c r="AW29" s="112" t="s">
        <v>126</v>
      </c>
      <c r="AX29" s="112" t="s">
        <v>127</v>
      </c>
      <c r="AY29" s="112" t="s">
        <v>291</v>
      </c>
      <c r="AZ29" s="112" t="s">
        <v>284</v>
      </c>
      <c r="BA29" s="112" t="s">
        <v>285</v>
      </c>
      <c r="BB29" s="112" t="s">
        <v>128</v>
      </c>
      <c r="BC29" s="112" t="s">
        <v>286</v>
      </c>
      <c r="BD29" s="112" t="s">
        <v>284</v>
      </c>
      <c r="BE29" s="112" t="s">
        <v>287</v>
      </c>
      <c r="BF29" s="112" t="s">
        <v>129</v>
      </c>
      <c r="BG29" s="112" t="s">
        <v>130</v>
      </c>
      <c r="BH29" s="112">
        <v>7</v>
      </c>
      <c r="BI29" s="112">
        <v>47334000</v>
      </c>
      <c r="BJ29" s="113"/>
      <c r="BK29" s="113"/>
      <c r="BL29" s="113"/>
      <c r="BM29" s="112"/>
      <c r="BN29" s="113">
        <v>46173</v>
      </c>
      <c r="BO29" s="112">
        <v>1</v>
      </c>
      <c r="BP29" s="114">
        <v>46149</v>
      </c>
      <c r="BQ29" s="112" t="s">
        <v>131</v>
      </c>
      <c r="BR29" s="112">
        <v>178</v>
      </c>
      <c r="BS29" s="113">
        <v>45971</v>
      </c>
      <c r="BT29" s="112">
        <v>385434000</v>
      </c>
      <c r="BU29" s="112">
        <v>0</v>
      </c>
      <c r="BV29" s="112">
        <v>1</v>
      </c>
      <c r="BW29" s="112">
        <v>0</v>
      </c>
      <c r="BX29" s="112">
        <v>0</v>
      </c>
      <c r="BY29" s="112">
        <v>0</v>
      </c>
      <c r="BZ29" s="112">
        <v>0</v>
      </c>
      <c r="CA29" s="112">
        <v>0</v>
      </c>
      <c r="CB29" s="112">
        <v>0</v>
      </c>
      <c r="CC29" s="113"/>
      <c r="CD29" s="112">
        <v>0</v>
      </c>
      <c r="CE29" s="113"/>
      <c r="CF29" s="112">
        <v>0</v>
      </c>
      <c r="CG29" s="113"/>
      <c r="CH29" s="112">
        <v>0</v>
      </c>
      <c r="CI29" s="113"/>
      <c r="CJ29" s="112">
        <v>0</v>
      </c>
      <c r="CK29" s="113"/>
      <c r="CL29" s="112">
        <v>0</v>
      </c>
      <c r="CM29" s="113">
        <v>46149</v>
      </c>
      <c r="CN29" s="112" t="s">
        <v>132</v>
      </c>
      <c r="CO29" s="112">
        <v>268313282.65000001</v>
      </c>
      <c r="CP29" s="112">
        <v>268313282.65000001</v>
      </c>
      <c r="CQ29" s="112">
        <v>10</v>
      </c>
      <c r="CR29" s="118"/>
      <c r="CS29" s="119"/>
      <c r="CT29" s="112">
        <v>0</v>
      </c>
      <c r="CU29" s="112" t="s">
        <v>288</v>
      </c>
      <c r="CV29" s="112" t="s">
        <v>205</v>
      </c>
      <c r="CW29" s="113">
        <v>46149</v>
      </c>
      <c r="CX29" s="112" t="s">
        <v>2116</v>
      </c>
      <c r="CY29" s="120">
        <f>MONTH(Table_ExternalData_14[[#This Row],[RunningReportDate]])</f>
        <v>5</v>
      </c>
      <c r="CZ29" s="120">
        <f>181-Table_ExternalData_14[[#This Row],[DaysOD]]</f>
        <v>10</v>
      </c>
      <c r="DA29" s="120">
        <f>IF(Table_ExternalData_14[[#This Row],[Status]]="PU-WC",0,Table_ExternalData_14[[#This Row],[Amount_CWO]]/1000000)</f>
        <v>268.31328265000002</v>
      </c>
      <c r="DB29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29" s="120">
        <f>IF(Table_ExternalData_14[[#This Row],[Status]]="PU-WC",0,IF(Table_ExternalData_14[[#This Row],[Success CWO]]=1,Table_ExternalData_14[[#This Row],[CWO Amt]],0))</f>
        <v>0</v>
      </c>
      <c r="DD29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29" s="120">
        <f>DAY(Table_ExternalData_14[[#This Row],[Tanggal_Sukses-new]])</f>
        <v>0</v>
      </c>
      <c r="DF29" s="120">
        <f>IF(Table_ExternalData_14[[#This Row],[Status]]="PU-WC",0,IF(SUM(Table_ExternalData_14[[#This Row],[Success CWO]:[WO-In-Amt]])=0,1,0))</f>
        <v>1</v>
      </c>
      <c r="DG29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268.31328265000002</v>
      </c>
      <c r="DH29" s="120" t="str">
        <f>VLOOKUP(Table_ExternalData_14[[#This Row],[BranchID]],KC!$A:$K,5,0)</f>
        <v>4W</v>
      </c>
      <c r="DI29" s="120" t="str">
        <f>VLOOKUP(Table_ExternalData_14[[#This Row],[BranchID]],KC!$A:$K,8,0)</f>
        <v>05. Kalimantan</v>
      </c>
      <c r="DJ29" s="120" t="str">
        <f>VLOOKUP(Table_ExternalData_14[[#This Row],[BranchID]],KC!$A:$K,9,0)</f>
        <v>BANJARMASIN</v>
      </c>
      <c r="DK29" s="121">
        <f>IF(Table_ExternalData_14[[#This Row],[Tanggal_Sukses]]=" ",Table_ExternalData_14[[#This Row],[Tanggal_Sukses]],VLOOKUP(Table_ExternalData_14[[#This Row],[ContractID]],Bantuan!$A:$C,2,0))</f>
        <v>0</v>
      </c>
      <c r="DL29" s="120">
        <f>IF(Table_ExternalData_14[[#This Row],[Keterangan_Sukses]]=" ",Table_ExternalData_14[[#This Row],[Keterangan_Sukses]],VLOOKUP(Table_ExternalData_14[[#This Row],[ContractID]],Bantuan!$A:$C,3,0))</f>
        <v>0</v>
      </c>
    </row>
    <row r="30" spans="1:116" x14ac:dyDescent="0.3">
      <c r="A30" s="117" t="s">
        <v>281</v>
      </c>
      <c r="B30" s="112" t="s">
        <v>280</v>
      </c>
      <c r="C30" s="113">
        <v>46142</v>
      </c>
      <c r="D30" s="279">
        <v>45975</v>
      </c>
      <c r="E30" s="113">
        <v>44909</v>
      </c>
      <c r="F30" s="112" t="s">
        <v>1269</v>
      </c>
      <c r="G30" s="112" t="s">
        <v>1270</v>
      </c>
      <c r="H30" s="112" t="s">
        <v>1271</v>
      </c>
      <c r="I30" s="112" t="s">
        <v>1272</v>
      </c>
      <c r="J30" s="112" t="s">
        <v>1273</v>
      </c>
      <c r="K30" s="112" t="s">
        <v>4</v>
      </c>
      <c r="L30" s="112" t="s">
        <v>1273</v>
      </c>
      <c r="M30" s="112" t="s">
        <v>1274</v>
      </c>
      <c r="N30" s="112" t="s">
        <v>1275</v>
      </c>
      <c r="O30" s="112" t="s">
        <v>292</v>
      </c>
      <c r="P30" s="112" t="s">
        <v>293</v>
      </c>
      <c r="Q30" s="112" t="s">
        <v>1077</v>
      </c>
      <c r="R30" s="112" t="s">
        <v>4</v>
      </c>
      <c r="S30" s="112" t="s">
        <v>4</v>
      </c>
      <c r="T30" s="112" t="s">
        <v>4</v>
      </c>
      <c r="U30" s="112" t="s">
        <v>4</v>
      </c>
      <c r="V30" s="112" t="s">
        <v>365</v>
      </c>
      <c r="W30" s="112" t="s">
        <v>120</v>
      </c>
      <c r="X30" s="112" t="s">
        <v>121</v>
      </c>
      <c r="Y30" s="112" t="s">
        <v>136</v>
      </c>
      <c r="Z30" s="112" t="s">
        <v>142</v>
      </c>
      <c r="AA30" s="112" t="s">
        <v>1276</v>
      </c>
      <c r="AB30" s="112" t="s">
        <v>1277</v>
      </c>
      <c r="AC30" s="112" t="s">
        <v>1278</v>
      </c>
      <c r="AD30" s="112">
        <v>109200000</v>
      </c>
      <c r="AE30" s="112">
        <v>90879810.230000004</v>
      </c>
      <c r="AF30" s="112">
        <v>84000000</v>
      </c>
      <c r="AG30" s="112">
        <v>25200000</v>
      </c>
      <c r="AH30" s="112">
        <v>31810800</v>
      </c>
      <c r="AI30" s="112">
        <v>0</v>
      </c>
      <c r="AJ30" s="112">
        <v>4200000</v>
      </c>
      <c r="AK30" s="112">
        <v>167</v>
      </c>
      <c r="AL30" s="112">
        <v>6</v>
      </c>
      <c r="AM30" s="112">
        <v>35</v>
      </c>
      <c r="AN30" s="112">
        <v>60</v>
      </c>
      <c r="AO30" s="112" t="s">
        <v>123</v>
      </c>
      <c r="AP30" s="112" t="s">
        <v>123</v>
      </c>
      <c r="AQ30" s="112" t="s">
        <v>124</v>
      </c>
      <c r="AR30" s="112" t="s">
        <v>1115</v>
      </c>
      <c r="AS30" s="112" t="s">
        <v>289</v>
      </c>
      <c r="AT30" s="112" t="s">
        <v>290</v>
      </c>
      <c r="AU30" s="112" t="s">
        <v>282</v>
      </c>
      <c r="AV30" s="112" t="s">
        <v>283</v>
      </c>
      <c r="AW30" s="112" t="s">
        <v>126</v>
      </c>
      <c r="AX30" s="112" t="s">
        <v>127</v>
      </c>
      <c r="AY30" s="112" t="s">
        <v>291</v>
      </c>
      <c r="AZ30" s="112" t="s">
        <v>284</v>
      </c>
      <c r="BA30" s="112" t="s">
        <v>285</v>
      </c>
      <c r="BB30" s="112" t="s">
        <v>128</v>
      </c>
      <c r="BC30" s="112" t="s">
        <v>286</v>
      </c>
      <c r="BD30" s="112" t="s">
        <v>284</v>
      </c>
      <c r="BE30" s="112" t="s">
        <v>287</v>
      </c>
      <c r="BF30" s="112" t="s">
        <v>129</v>
      </c>
      <c r="BG30" s="112" t="s">
        <v>130</v>
      </c>
      <c r="BH30" s="112">
        <v>7</v>
      </c>
      <c r="BI30" s="112">
        <v>29400000</v>
      </c>
      <c r="BJ30" s="113"/>
      <c r="BK30" s="113"/>
      <c r="BL30" s="113"/>
      <c r="BM30" s="112"/>
      <c r="BN30" s="113">
        <v>46173</v>
      </c>
      <c r="BO30" s="112">
        <v>1</v>
      </c>
      <c r="BP30" s="114">
        <v>46149</v>
      </c>
      <c r="BQ30" s="112" t="s">
        <v>131</v>
      </c>
      <c r="BR30" s="112">
        <v>174</v>
      </c>
      <c r="BS30" s="113">
        <v>45975</v>
      </c>
      <c r="BT30" s="112">
        <v>109200000</v>
      </c>
      <c r="BU30" s="112">
        <v>0</v>
      </c>
      <c r="BV30" s="112">
        <v>1</v>
      </c>
      <c r="BW30" s="112">
        <v>0</v>
      </c>
      <c r="BX30" s="112">
        <v>0</v>
      </c>
      <c r="BY30" s="112">
        <v>0</v>
      </c>
      <c r="BZ30" s="112">
        <v>0</v>
      </c>
      <c r="CA30" s="112">
        <v>0</v>
      </c>
      <c r="CB30" s="112">
        <v>0</v>
      </c>
      <c r="CC30" s="113"/>
      <c r="CD30" s="112">
        <v>0</v>
      </c>
      <c r="CE30" s="113"/>
      <c r="CF30" s="112">
        <v>0</v>
      </c>
      <c r="CG30" s="113"/>
      <c r="CH30" s="112">
        <v>0</v>
      </c>
      <c r="CI30" s="113"/>
      <c r="CJ30" s="112">
        <v>0</v>
      </c>
      <c r="CK30" s="113"/>
      <c r="CL30" s="112">
        <v>0</v>
      </c>
      <c r="CM30" s="113">
        <v>46149</v>
      </c>
      <c r="CN30" s="112" t="s">
        <v>132</v>
      </c>
      <c r="CO30" s="112">
        <v>90879810.230000004</v>
      </c>
      <c r="CP30" s="112">
        <v>90879810.230000004</v>
      </c>
      <c r="CQ30" s="112">
        <v>14</v>
      </c>
      <c r="CR30" s="118"/>
      <c r="CS30" s="119"/>
      <c r="CT30" s="112">
        <v>0</v>
      </c>
      <c r="CU30" s="112" t="s">
        <v>288</v>
      </c>
      <c r="CV30" s="112" t="s">
        <v>205</v>
      </c>
      <c r="CW30" s="113">
        <v>46149</v>
      </c>
      <c r="CX30" s="112" t="s">
        <v>2116</v>
      </c>
      <c r="CY30" s="120">
        <f>MONTH(Table_ExternalData_14[[#This Row],[RunningReportDate]])</f>
        <v>5</v>
      </c>
      <c r="CZ30" s="120">
        <f>181-Table_ExternalData_14[[#This Row],[DaysOD]]</f>
        <v>14</v>
      </c>
      <c r="DA30" s="120">
        <f>IF(Table_ExternalData_14[[#This Row],[Status]]="PU-WC",0,Table_ExternalData_14[[#This Row],[Amount_CWO]]/1000000)</f>
        <v>90.879810230000004</v>
      </c>
      <c r="DB30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30" s="120">
        <f>IF(Table_ExternalData_14[[#This Row],[Status]]="PU-WC",0,IF(Table_ExternalData_14[[#This Row],[Success CWO]]=1,Table_ExternalData_14[[#This Row],[CWO Amt]],0))</f>
        <v>0</v>
      </c>
      <c r="DD30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30" s="120">
        <f>DAY(Table_ExternalData_14[[#This Row],[Tanggal_Sukses-new]])</f>
        <v>0</v>
      </c>
      <c r="DF30" s="120">
        <f>IF(Table_ExternalData_14[[#This Row],[Status]]="PU-WC",0,IF(SUM(Table_ExternalData_14[[#This Row],[Success CWO]:[WO-In-Amt]])=0,1,0))</f>
        <v>1</v>
      </c>
      <c r="DG30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90.879810230000004</v>
      </c>
      <c r="DH30" s="120" t="str">
        <f>VLOOKUP(Table_ExternalData_14[[#This Row],[BranchID]],KC!$A:$K,5,0)</f>
        <v>4W</v>
      </c>
      <c r="DI30" s="120" t="str">
        <f>VLOOKUP(Table_ExternalData_14[[#This Row],[BranchID]],KC!$A:$K,8,0)</f>
        <v>05. Kalimantan</v>
      </c>
      <c r="DJ30" s="120" t="str">
        <f>VLOOKUP(Table_ExternalData_14[[#This Row],[BranchID]],KC!$A:$K,9,0)</f>
        <v>BANJARMASIN</v>
      </c>
      <c r="DK30" s="121">
        <f>IF(Table_ExternalData_14[[#This Row],[Tanggal_Sukses]]=" ",Table_ExternalData_14[[#This Row],[Tanggal_Sukses]],VLOOKUP(Table_ExternalData_14[[#This Row],[ContractID]],Bantuan!$A:$C,2,0))</f>
        <v>0</v>
      </c>
      <c r="DL30" s="120">
        <f>IF(Table_ExternalData_14[[#This Row],[Keterangan_Sukses]]=" ",Table_ExternalData_14[[#This Row],[Keterangan_Sukses]],VLOOKUP(Table_ExternalData_14[[#This Row],[ContractID]],Bantuan!$A:$C,3,0))</f>
        <v>0</v>
      </c>
    </row>
    <row r="31" spans="1:116" x14ac:dyDescent="0.3">
      <c r="A31" s="117" t="s">
        <v>238</v>
      </c>
      <c r="B31" s="112" t="s">
        <v>237</v>
      </c>
      <c r="C31" s="113">
        <v>46142</v>
      </c>
      <c r="D31" s="279">
        <v>45966</v>
      </c>
      <c r="E31" s="113">
        <v>45471</v>
      </c>
      <c r="F31" s="112" t="s">
        <v>1279</v>
      </c>
      <c r="G31" s="112" t="s">
        <v>1280</v>
      </c>
      <c r="H31" s="112" t="s">
        <v>1281</v>
      </c>
      <c r="I31" s="112" t="s">
        <v>1282</v>
      </c>
      <c r="J31" s="112" t="s">
        <v>1283</v>
      </c>
      <c r="K31" s="112" t="s">
        <v>4</v>
      </c>
      <c r="L31" s="112" t="s">
        <v>1283</v>
      </c>
      <c r="M31" s="112" t="s">
        <v>1284</v>
      </c>
      <c r="N31" s="112" t="s">
        <v>1285</v>
      </c>
      <c r="O31" s="112" t="s">
        <v>1286</v>
      </c>
      <c r="P31" s="112" t="s">
        <v>1287</v>
      </c>
      <c r="Q31" s="112" t="s">
        <v>1288</v>
      </c>
      <c r="R31" s="112" t="s">
        <v>4</v>
      </c>
      <c r="S31" s="112" t="s">
        <v>4</v>
      </c>
      <c r="T31" s="112" t="s">
        <v>4</v>
      </c>
      <c r="U31" s="112" t="s">
        <v>4</v>
      </c>
      <c r="V31" s="112" t="s">
        <v>1114</v>
      </c>
      <c r="W31" s="112" t="s">
        <v>120</v>
      </c>
      <c r="X31" s="112" t="s">
        <v>121</v>
      </c>
      <c r="Y31" s="112" t="s">
        <v>268</v>
      </c>
      <c r="Z31" s="112" t="s">
        <v>1289</v>
      </c>
      <c r="AA31" s="112" t="s">
        <v>1290</v>
      </c>
      <c r="AB31" s="112" t="s">
        <v>1291</v>
      </c>
      <c r="AC31" s="112" t="s">
        <v>1292</v>
      </c>
      <c r="AD31" s="112">
        <v>168630000</v>
      </c>
      <c r="AE31" s="112">
        <v>150225077.28999999</v>
      </c>
      <c r="AF31" s="112">
        <v>137970000</v>
      </c>
      <c r="AG31" s="112">
        <v>30660000</v>
      </c>
      <c r="AH31" s="112">
        <v>15617650</v>
      </c>
      <c r="AI31" s="112">
        <v>0</v>
      </c>
      <c r="AJ31" s="112">
        <v>5110000</v>
      </c>
      <c r="AK31" s="112">
        <v>176</v>
      </c>
      <c r="AL31" s="112">
        <v>6</v>
      </c>
      <c r="AM31" s="112">
        <v>16</v>
      </c>
      <c r="AN31" s="112">
        <v>48</v>
      </c>
      <c r="AO31" s="112" t="s">
        <v>123</v>
      </c>
      <c r="AP31" s="112" t="s">
        <v>123</v>
      </c>
      <c r="AQ31" s="112" t="s">
        <v>124</v>
      </c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2"/>
      <c r="BF31" s="112" t="s">
        <v>129</v>
      </c>
      <c r="BG31" s="112" t="s">
        <v>130</v>
      </c>
      <c r="BH31" s="112">
        <v>7</v>
      </c>
      <c r="BI31" s="112">
        <v>35770000</v>
      </c>
      <c r="BJ31" s="113"/>
      <c r="BK31" s="113"/>
      <c r="BL31" s="113"/>
      <c r="BM31" s="112"/>
      <c r="BN31" s="113">
        <v>46173</v>
      </c>
      <c r="BO31" s="112">
        <v>1</v>
      </c>
      <c r="BP31" s="114">
        <v>46149</v>
      </c>
      <c r="BQ31" s="112" t="s">
        <v>131</v>
      </c>
      <c r="BR31" s="112">
        <v>183</v>
      </c>
      <c r="BS31" s="113">
        <v>45966</v>
      </c>
      <c r="BT31" s="112">
        <v>168630000</v>
      </c>
      <c r="BU31" s="112">
        <v>0</v>
      </c>
      <c r="BV31" s="112">
        <v>1</v>
      </c>
      <c r="BW31" s="112">
        <v>0</v>
      </c>
      <c r="BX31" s="112">
        <v>0</v>
      </c>
      <c r="BY31" s="112">
        <v>0</v>
      </c>
      <c r="BZ31" s="112">
        <v>0</v>
      </c>
      <c r="CA31" s="112">
        <v>0</v>
      </c>
      <c r="CB31" s="112">
        <v>0</v>
      </c>
      <c r="CC31" s="113"/>
      <c r="CD31" s="112">
        <v>0</v>
      </c>
      <c r="CE31" s="113"/>
      <c r="CF31" s="112">
        <v>0</v>
      </c>
      <c r="CG31" s="113"/>
      <c r="CH31" s="112">
        <v>0</v>
      </c>
      <c r="CI31" s="113"/>
      <c r="CJ31" s="112">
        <v>0</v>
      </c>
      <c r="CK31" s="113"/>
      <c r="CL31" s="112">
        <v>0</v>
      </c>
      <c r="CM31" s="113">
        <v>46149</v>
      </c>
      <c r="CN31" s="112" t="s">
        <v>132</v>
      </c>
      <c r="CO31" s="112">
        <v>150225077.28999999</v>
      </c>
      <c r="CP31" s="112">
        <v>150225077.28999999</v>
      </c>
      <c r="CQ31" s="112">
        <v>5</v>
      </c>
      <c r="CR31" s="118"/>
      <c r="CS31" s="119"/>
      <c r="CT31" s="112">
        <v>0</v>
      </c>
      <c r="CU31" s="112" t="s">
        <v>240</v>
      </c>
      <c r="CV31" s="112" t="s">
        <v>241</v>
      </c>
      <c r="CW31" s="113">
        <v>46149</v>
      </c>
      <c r="CX31" s="112" t="s">
        <v>2116</v>
      </c>
      <c r="CY31" s="120">
        <f>MONTH(Table_ExternalData_14[[#This Row],[RunningReportDate]])</f>
        <v>5</v>
      </c>
      <c r="CZ31" s="120">
        <f>181-Table_ExternalData_14[[#This Row],[DaysOD]]</f>
        <v>5</v>
      </c>
      <c r="DA31" s="120">
        <f>IF(Table_ExternalData_14[[#This Row],[Status]]="PU-WC",0,Table_ExternalData_14[[#This Row],[Amount_CWO]]/1000000)</f>
        <v>150.22507729</v>
      </c>
      <c r="DB31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31" s="120">
        <f>IF(Table_ExternalData_14[[#This Row],[Status]]="PU-WC",0,IF(Table_ExternalData_14[[#This Row],[Success CWO]]=1,Table_ExternalData_14[[#This Row],[CWO Amt]],0))</f>
        <v>0</v>
      </c>
      <c r="DD31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150.22507729</v>
      </c>
      <c r="DE31" s="120">
        <f>DAY(Table_ExternalData_14[[#This Row],[Tanggal_Sukses-new]])</f>
        <v>0</v>
      </c>
      <c r="DF31" s="120">
        <f>IF(Table_ExternalData_14[[#This Row],[Status]]="PU-WC",0,IF(SUM(Table_ExternalData_14[[#This Row],[Success CWO]:[WO-In-Amt]])=0,1,0))</f>
        <v>0</v>
      </c>
      <c r="DG31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31" s="120" t="str">
        <f>VLOOKUP(Table_ExternalData_14[[#This Row],[BranchID]],KC!$A:$K,5,0)</f>
        <v>4W</v>
      </c>
      <c r="DI31" s="120" t="str">
        <f>VLOOKUP(Table_ExternalData_14[[#This Row],[BranchID]],KC!$A:$K,8,0)</f>
        <v>08. Sumbaguteng</v>
      </c>
      <c r="DJ31" s="120" t="str">
        <f>VLOOKUP(Table_ExternalData_14[[#This Row],[BranchID]],KC!$A:$K,9,0)</f>
        <v>PEKANBARU</v>
      </c>
      <c r="DK31" s="121">
        <f>IF(Table_ExternalData_14[[#This Row],[Tanggal_Sukses]]=" ",Table_ExternalData_14[[#This Row],[Tanggal_Sukses]],VLOOKUP(Table_ExternalData_14[[#This Row],[ContractID]],Bantuan!$A:$C,2,0))</f>
        <v>0</v>
      </c>
      <c r="DL31" s="120">
        <f>IF(Table_ExternalData_14[[#This Row],[Keterangan_Sukses]]=" ",Table_ExternalData_14[[#This Row],[Keterangan_Sukses]],VLOOKUP(Table_ExternalData_14[[#This Row],[ContractID]],Bantuan!$A:$C,3,0))</f>
        <v>0</v>
      </c>
    </row>
    <row r="32" spans="1:116" x14ac:dyDescent="0.3">
      <c r="A32" s="117" t="s">
        <v>238</v>
      </c>
      <c r="B32" s="112" t="s">
        <v>237</v>
      </c>
      <c r="C32" s="113">
        <v>46142</v>
      </c>
      <c r="D32" s="279">
        <v>45975</v>
      </c>
      <c r="E32" s="113">
        <v>45365</v>
      </c>
      <c r="F32" s="112" t="s">
        <v>1293</v>
      </c>
      <c r="G32" s="112" t="s">
        <v>1294</v>
      </c>
      <c r="H32" s="112" t="s">
        <v>1295</v>
      </c>
      <c r="I32" s="112" t="s">
        <v>1296</v>
      </c>
      <c r="J32" s="112" t="s">
        <v>1297</v>
      </c>
      <c r="K32" s="112" t="s">
        <v>4</v>
      </c>
      <c r="L32" s="112" t="s">
        <v>1297</v>
      </c>
      <c r="M32" s="112" t="s">
        <v>1298</v>
      </c>
      <c r="N32" s="112" t="s">
        <v>1299</v>
      </c>
      <c r="O32" s="112" t="s">
        <v>1300</v>
      </c>
      <c r="P32" s="112" t="s">
        <v>1287</v>
      </c>
      <c r="Q32" s="112" t="s">
        <v>1288</v>
      </c>
      <c r="R32" s="112" t="s">
        <v>4</v>
      </c>
      <c r="S32" s="112" t="s">
        <v>4</v>
      </c>
      <c r="T32" s="112" t="s">
        <v>4</v>
      </c>
      <c r="U32" s="112" t="s">
        <v>4</v>
      </c>
      <c r="V32" s="112" t="s">
        <v>1301</v>
      </c>
      <c r="W32" s="112" t="s">
        <v>120</v>
      </c>
      <c r="X32" s="112" t="s">
        <v>121</v>
      </c>
      <c r="Y32" s="112" t="s">
        <v>136</v>
      </c>
      <c r="Z32" s="112" t="s">
        <v>137</v>
      </c>
      <c r="AA32" s="112" t="s">
        <v>1302</v>
      </c>
      <c r="AB32" s="112" t="s">
        <v>1303</v>
      </c>
      <c r="AC32" s="112" t="s">
        <v>1304</v>
      </c>
      <c r="AD32" s="112">
        <v>152766000</v>
      </c>
      <c r="AE32" s="112">
        <v>115252997.48999999</v>
      </c>
      <c r="AF32" s="112">
        <v>130410000</v>
      </c>
      <c r="AG32" s="112">
        <v>22356000</v>
      </c>
      <c r="AH32" s="112">
        <v>15103170</v>
      </c>
      <c r="AI32" s="112">
        <v>0</v>
      </c>
      <c r="AJ32" s="112">
        <v>3726000</v>
      </c>
      <c r="AK32" s="112">
        <v>167</v>
      </c>
      <c r="AL32" s="112">
        <v>6</v>
      </c>
      <c r="AM32" s="112">
        <v>20</v>
      </c>
      <c r="AN32" s="112">
        <v>60</v>
      </c>
      <c r="AO32" s="112" t="s">
        <v>123</v>
      </c>
      <c r="AP32" s="112" t="s">
        <v>123</v>
      </c>
      <c r="AQ32" s="112" t="s">
        <v>124</v>
      </c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2"/>
      <c r="BF32" s="112" t="s">
        <v>129</v>
      </c>
      <c r="BG32" s="112" t="s">
        <v>130</v>
      </c>
      <c r="BH32" s="112">
        <v>7</v>
      </c>
      <c r="BI32" s="112">
        <v>26082000</v>
      </c>
      <c r="BJ32" s="113"/>
      <c r="BK32" s="113"/>
      <c r="BL32" s="113"/>
      <c r="BM32" s="112"/>
      <c r="BN32" s="113">
        <v>46173</v>
      </c>
      <c r="BO32" s="112">
        <v>1</v>
      </c>
      <c r="BP32" s="114">
        <v>46149</v>
      </c>
      <c r="BQ32" s="112" t="s">
        <v>131</v>
      </c>
      <c r="BR32" s="112">
        <v>174</v>
      </c>
      <c r="BS32" s="113">
        <v>45975</v>
      </c>
      <c r="BT32" s="112">
        <v>152766000</v>
      </c>
      <c r="BU32" s="112">
        <v>0</v>
      </c>
      <c r="BV32" s="112">
        <v>1</v>
      </c>
      <c r="BW32" s="112">
        <v>0</v>
      </c>
      <c r="BX32" s="112">
        <v>0</v>
      </c>
      <c r="BY32" s="112">
        <v>0</v>
      </c>
      <c r="BZ32" s="112">
        <v>0</v>
      </c>
      <c r="CA32" s="112">
        <v>0</v>
      </c>
      <c r="CB32" s="112">
        <v>0</v>
      </c>
      <c r="CC32" s="113"/>
      <c r="CD32" s="112">
        <v>0</v>
      </c>
      <c r="CE32" s="113"/>
      <c r="CF32" s="112">
        <v>0</v>
      </c>
      <c r="CG32" s="113"/>
      <c r="CH32" s="112">
        <v>0</v>
      </c>
      <c r="CI32" s="113"/>
      <c r="CJ32" s="112">
        <v>0</v>
      </c>
      <c r="CK32" s="113"/>
      <c r="CL32" s="112">
        <v>0</v>
      </c>
      <c r="CM32" s="113">
        <v>46149</v>
      </c>
      <c r="CN32" s="112" t="s">
        <v>132</v>
      </c>
      <c r="CO32" s="112">
        <v>115252997.48999999</v>
      </c>
      <c r="CP32" s="112">
        <v>115252997.48999999</v>
      </c>
      <c r="CQ32" s="112">
        <v>14</v>
      </c>
      <c r="CR32" s="118"/>
      <c r="CS32" s="119"/>
      <c r="CT32" s="112">
        <v>0</v>
      </c>
      <c r="CU32" s="112" t="s">
        <v>240</v>
      </c>
      <c r="CV32" s="112" t="s">
        <v>241</v>
      </c>
      <c r="CW32" s="113">
        <v>46149</v>
      </c>
      <c r="CX32" s="112" t="s">
        <v>2116</v>
      </c>
      <c r="CY32" s="120">
        <f>MONTH(Table_ExternalData_14[[#This Row],[RunningReportDate]])</f>
        <v>5</v>
      </c>
      <c r="CZ32" s="120">
        <f>181-Table_ExternalData_14[[#This Row],[DaysOD]]</f>
        <v>14</v>
      </c>
      <c r="DA32" s="120">
        <f>IF(Table_ExternalData_14[[#This Row],[Status]]="PU-WC",0,Table_ExternalData_14[[#This Row],[Amount_CWO]]/1000000)</f>
        <v>115.25299749</v>
      </c>
      <c r="DB32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32" s="120">
        <f>IF(Table_ExternalData_14[[#This Row],[Status]]="PU-WC",0,IF(Table_ExternalData_14[[#This Row],[Success CWO]]=1,Table_ExternalData_14[[#This Row],[CWO Amt]],0))</f>
        <v>0</v>
      </c>
      <c r="DD32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32" s="120">
        <f>DAY(Table_ExternalData_14[[#This Row],[Tanggal_Sukses-new]])</f>
        <v>0</v>
      </c>
      <c r="DF32" s="120">
        <f>IF(Table_ExternalData_14[[#This Row],[Status]]="PU-WC",0,IF(SUM(Table_ExternalData_14[[#This Row],[Success CWO]:[WO-In-Amt]])=0,1,0))</f>
        <v>1</v>
      </c>
      <c r="DG32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115.25299749</v>
      </c>
      <c r="DH32" s="120" t="str">
        <f>VLOOKUP(Table_ExternalData_14[[#This Row],[BranchID]],KC!$A:$K,5,0)</f>
        <v>4W</v>
      </c>
      <c r="DI32" s="120" t="str">
        <f>VLOOKUP(Table_ExternalData_14[[#This Row],[BranchID]],KC!$A:$K,8,0)</f>
        <v>08. Sumbaguteng</v>
      </c>
      <c r="DJ32" s="120" t="str">
        <f>VLOOKUP(Table_ExternalData_14[[#This Row],[BranchID]],KC!$A:$K,9,0)</f>
        <v>PEKANBARU</v>
      </c>
      <c r="DK32" s="121">
        <f>IF(Table_ExternalData_14[[#This Row],[Tanggal_Sukses]]=" ",Table_ExternalData_14[[#This Row],[Tanggal_Sukses]],VLOOKUP(Table_ExternalData_14[[#This Row],[ContractID]],Bantuan!$A:$C,2,0))</f>
        <v>0</v>
      </c>
      <c r="DL32" s="120">
        <f>IF(Table_ExternalData_14[[#This Row],[Keterangan_Sukses]]=" ",Table_ExternalData_14[[#This Row],[Keterangan_Sukses]],VLOOKUP(Table_ExternalData_14[[#This Row],[ContractID]],Bantuan!$A:$C,3,0))</f>
        <v>0</v>
      </c>
    </row>
    <row r="33" spans="1:116" x14ac:dyDescent="0.3">
      <c r="A33" s="117" t="s">
        <v>228</v>
      </c>
      <c r="B33" s="112" t="s">
        <v>157</v>
      </c>
      <c r="C33" s="113">
        <v>46142</v>
      </c>
      <c r="D33" s="279">
        <v>45978</v>
      </c>
      <c r="E33" s="113">
        <v>45764</v>
      </c>
      <c r="F33" s="112" t="s">
        <v>1305</v>
      </c>
      <c r="G33" s="112" t="s">
        <v>1306</v>
      </c>
      <c r="H33" s="112" t="s">
        <v>1307</v>
      </c>
      <c r="I33" s="112" t="s">
        <v>1308</v>
      </c>
      <c r="J33" s="112" t="s">
        <v>1309</v>
      </c>
      <c r="K33" s="112" t="s">
        <v>4</v>
      </c>
      <c r="L33" s="112" t="s">
        <v>1309</v>
      </c>
      <c r="M33" s="112" t="s">
        <v>1010</v>
      </c>
      <c r="N33" s="112" t="s">
        <v>1310</v>
      </c>
      <c r="O33" s="112" t="s">
        <v>157</v>
      </c>
      <c r="P33" s="112" t="s">
        <v>908</v>
      </c>
      <c r="Q33" s="112" t="s">
        <v>1311</v>
      </c>
      <c r="R33" s="112" t="s">
        <v>4</v>
      </c>
      <c r="S33" s="112" t="s">
        <v>4</v>
      </c>
      <c r="T33" s="112" t="s">
        <v>4</v>
      </c>
      <c r="U33" s="112" t="s">
        <v>4</v>
      </c>
      <c r="V33" s="112" t="s">
        <v>870</v>
      </c>
      <c r="W33" s="112" t="s">
        <v>120</v>
      </c>
      <c r="X33" s="112" t="s">
        <v>121</v>
      </c>
      <c r="Y33" s="112" t="s">
        <v>215</v>
      </c>
      <c r="Z33" s="112" t="s">
        <v>1312</v>
      </c>
      <c r="AA33" s="112" t="s">
        <v>1313</v>
      </c>
      <c r="AB33" s="112" t="s">
        <v>1314</v>
      </c>
      <c r="AC33" s="112" t="s">
        <v>1315</v>
      </c>
      <c r="AD33" s="112">
        <v>302400000</v>
      </c>
      <c r="AE33" s="112">
        <v>205992502.59</v>
      </c>
      <c r="AF33" s="112">
        <v>268800000</v>
      </c>
      <c r="AG33" s="112">
        <v>33600000</v>
      </c>
      <c r="AH33" s="112">
        <v>16924000</v>
      </c>
      <c r="AI33" s="112">
        <v>150000</v>
      </c>
      <c r="AJ33" s="112">
        <v>5600000</v>
      </c>
      <c r="AK33" s="112">
        <v>164</v>
      </c>
      <c r="AL33" s="112">
        <v>6</v>
      </c>
      <c r="AM33" s="112">
        <v>7</v>
      </c>
      <c r="AN33" s="112">
        <v>60</v>
      </c>
      <c r="AO33" s="112" t="s">
        <v>123</v>
      </c>
      <c r="AP33" s="112" t="s">
        <v>123</v>
      </c>
      <c r="AQ33" s="112" t="s">
        <v>124</v>
      </c>
      <c r="AR33" s="112" t="s">
        <v>1316</v>
      </c>
      <c r="AS33" s="112" t="s">
        <v>1317</v>
      </c>
      <c r="AT33" s="112" t="s">
        <v>1318</v>
      </c>
      <c r="AU33" s="112" t="s">
        <v>909</v>
      </c>
      <c r="AV33" s="112" t="s">
        <v>125</v>
      </c>
      <c r="AW33" s="112" t="s">
        <v>126</v>
      </c>
      <c r="AX33" s="112" t="s">
        <v>127</v>
      </c>
      <c r="AY33" s="112" t="s">
        <v>910</v>
      </c>
      <c r="AZ33" s="112" t="s">
        <v>911</v>
      </c>
      <c r="BA33" s="112" t="s">
        <v>912</v>
      </c>
      <c r="BB33" s="112" t="s">
        <v>128</v>
      </c>
      <c r="BC33" s="112" t="s">
        <v>909</v>
      </c>
      <c r="BD33" s="112" t="s">
        <v>125</v>
      </c>
      <c r="BE33" s="112" t="s">
        <v>126</v>
      </c>
      <c r="BF33" s="112" t="s">
        <v>129</v>
      </c>
      <c r="BG33" s="112" t="s">
        <v>130</v>
      </c>
      <c r="BH33" s="112">
        <v>7</v>
      </c>
      <c r="BI33" s="112">
        <v>39200000</v>
      </c>
      <c r="BJ33" s="113"/>
      <c r="BK33" s="113"/>
      <c r="BL33" s="113"/>
      <c r="BM33" s="112"/>
      <c r="BN33" s="113">
        <v>46173</v>
      </c>
      <c r="BO33" s="112">
        <v>1</v>
      </c>
      <c r="BP33" s="114">
        <v>46149</v>
      </c>
      <c r="BQ33" s="112" t="s">
        <v>131</v>
      </c>
      <c r="BR33" s="112">
        <v>171</v>
      </c>
      <c r="BS33" s="113">
        <v>45978</v>
      </c>
      <c r="BT33" s="112">
        <v>302400000</v>
      </c>
      <c r="BU33" s="112">
        <v>0</v>
      </c>
      <c r="BV33" s="112">
        <v>1</v>
      </c>
      <c r="BW33" s="112">
        <v>0</v>
      </c>
      <c r="BX33" s="112">
        <v>0</v>
      </c>
      <c r="BY33" s="112">
        <v>0</v>
      </c>
      <c r="BZ33" s="112">
        <v>0</v>
      </c>
      <c r="CA33" s="112">
        <v>0</v>
      </c>
      <c r="CB33" s="112">
        <v>0</v>
      </c>
      <c r="CC33" s="113"/>
      <c r="CD33" s="112">
        <v>0</v>
      </c>
      <c r="CE33" s="113"/>
      <c r="CF33" s="112">
        <v>0</v>
      </c>
      <c r="CG33" s="113"/>
      <c r="CH33" s="112">
        <v>0</v>
      </c>
      <c r="CI33" s="113"/>
      <c r="CJ33" s="112">
        <v>0</v>
      </c>
      <c r="CK33" s="113"/>
      <c r="CL33" s="112">
        <v>0</v>
      </c>
      <c r="CM33" s="113">
        <v>46149</v>
      </c>
      <c r="CN33" s="112" t="s">
        <v>132</v>
      </c>
      <c r="CO33" s="112">
        <v>205842502.59</v>
      </c>
      <c r="CP33" s="112">
        <v>205842502.59</v>
      </c>
      <c r="CQ33" s="112">
        <v>17</v>
      </c>
      <c r="CR33" s="118"/>
      <c r="CS33" s="119"/>
      <c r="CT33" s="112">
        <v>0</v>
      </c>
      <c r="CU33" s="112" t="s">
        <v>231</v>
      </c>
      <c r="CV33" s="112" t="s">
        <v>149</v>
      </c>
      <c r="CW33" s="113">
        <v>46149</v>
      </c>
      <c r="CX33" s="112" t="s">
        <v>2116</v>
      </c>
      <c r="CY33" s="120">
        <f>MONTH(Table_ExternalData_14[[#This Row],[RunningReportDate]])</f>
        <v>5</v>
      </c>
      <c r="CZ33" s="120">
        <f>181-Table_ExternalData_14[[#This Row],[DaysOD]]</f>
        <v>17</v>
      </c>
      <c r="DA33" s="120">
        <f>IF(Table_ExternalData_14[[#This Row],[Status]]="PU-WC",0,Table_ExternalData_14[[#This Row],[Amount_CWO]]/1000000)</f>
        <v>205.84250259000001</v>
      </c>
      <c r="DB33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33" s="120">
        <f>IF(Table_ExternalData_14[[#This Row],[Status]]="PU-WC",0,IF(Table_ExternalData_14[[#This Row],[Success CWO]]=1,Table_ExternalData_14[[#This Row],[CWO Amt]],0))</f>
        <v>0</v>
      </c>
      <c r="DD33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33" s="120">
        <f>DAY(Table_ExternalData_14[[#This Row],[Tanggal_Sukses-new]])</f>
        <v>0</v>
      </c>
      <c r="DF33" s="120">
        <f>IF(Table_ExternalData_14[[#This Row],[Status]]="PU-WC",0,IF(SUM(Table_ExternalData_14[[#This Row],[Success CWO]:[WO-In-Amt]])=0,1,0))</f>
        <v>1</v>
      </c>
      <c r="DG33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205.84250259000001</v>
      </c>
      <c r="DH33" s="120" t="str">
        <f>VLOOKUP(Table_ExternalData_14[[#This Row],[BranchID]],KC!$A:$K,5,0)</f>
        <v>4W</v>
      </c>
      <c r="DI33" s="120" t="str">
        <f>VLOOKUP(Table_ExternalData_14[[#This Row],[BranchID]],KC!$A:$K,8,0)</f>
        <v>04. Jawa Timur</v>
      </c>
      <c r="DJ33" s="120" t="str">
        <f>VLOOKUP(Table_ExternalData_14[[#This Row],[BranchID]],KC!$A:$K,9,0)</f>
        <v>GRESIK</v>
      </c>
      <c r="DK33" s="121">
        <f>IF(Table_ExternalData_14[[#This Row],[Tanggal_Sukses]]=" ",Table_ExternalData_14[[#This Row],[Tanggal_Sukses]],VLOOKUP(Table_ExternalData_14[[#This Row],[ContractID]],Bantuan!$A:$C,2,0))</f>
        <v>0</v>
      </c>
      <c r="DL33" s="120">
        <f>IF(Table_ExternalData_14[[#This Row],[Keterangan_Sukses]]=" ",Table_ExternalData_14[[#This Row],[Keterangan_Sukses]],VLOOKUP(Table_ExternalData_14[[#This Row],[ContractID]],Bantuan!$A:$C,3,0))</f>
        <v>0</v>
      </c>
    </row>
    <row r="34" spans="1:116" x14ac:dyDescent="0.3">
      <c r="A34" s="117" t="s">
        <v>228</v>
      </c>
      <c r="B34" s="112" t="s">
        <v>157</v>
      </c>
      <c r="C34" s="113">
        <v>46142</v>
      </c>
      <c r="D34" s="279">
        <v>45966</v>
      </c>
      <c r="E34" s="113">
        <v>45535</v>
      </c>
      <c r="F34" s="112" t="s">
        <v>1319</v>
      </c>
      <c r="G34" s="112" t="s">
        <v>1320</v>
      </c>
      <c r="H34" s="112" t="s">
        <v>1321</v>
      </c>
      <c r="I34" s="112" t="s">
        <v>1322</v>
      </c>
      <c r="J34" s="112" t="s">
        <v>1323</v>
      </c>
      <c r="K34" s="112" t="s">
        <v>4</v>
      </c>
      <c r="L34" s="112" t="s">
        <v>1323</v>
      </c>
      <c r="M34" s="112" t="s">
        <v>1324</v>
      </c>
      <c r="N34" s="112" t="s">
        <v>1325</v>
      </c>
      <c r="O34" s="112" t="s">
        <v>234</v>
      </c>
      <c r="P34" s="112" t="s">
        <v>908</v>
      </c>
      <c r="Q34" s="112" t="s">
        <v>1006</v>
      </c>
      <c r="R34" s="112" t="s">
        <v>4</v>
      </c>
      <c r="S34" s="112" t="s">
        <v>4</v>
      </c>
      <c r="T34" s="112" t="s">
        <v>4</v>
      </c>
      <c r="U34" s="112" t="s">
        <v>4</v>
      </c>
      <c r="V34" s="112" t="s">
        <v>897</v>
      </c>
      <c r="W34" s="112" t="s">
        <v>120</v>
      </c>
      <c r="X34" s="112" t="s">
        <v>121</v>
      </c>
      <c r="Y34" s="112" t="s">
        <v>215</v>
      </c>
      <c r="Z34" s="112" t="s">
        <v>928</v>
      </c>
      <c r="AA34" s="112" t="s">
        <v>1326</v>
      </c>
      <c r="AB34" s="112" t="s">
        <v>1327</v>
      </c>
      <c r="AC34" s="112" t="s">
        <v>1328</v>
      </c>
      <c r="AD34" s="112">
        <v>230300000</v>
      </c>
      <c r="AE34" s="112">
        <v>183630296.40000001</v>
      </c>
      <c r="AF34" s="112">
        <v>200900000</v>
      </c>
      <c r="AG34" s="112">
        <v>29400000</v>
      </c>
      <c r="AH34" s="112">
        <v>15234000</v>
      </c>
      <c r="AI34" s="112">
        <v>0</v>
      </c>
      <c r="AJ34" s="112">
        <v>4900000</v>
      </c>
      <c r="AK34" s="112">
        <v>176</v>
      </c>
      <c r="AL34" s="112">
        <v>6</v>
      </c>
      <c r="AM34" s="112">
        <v>14</v>
      </c>
      <c r="AN34" s="112">
        <v>60</v>
      </c>
      <c r="AO34" s="112" t="s">
        <v>123</v>
      </c>
      <c r="AP34" s="112" t="s">
        <v>123</v>
      </c>
      <c r="AQ34" s="112" t="s">
        <v>124</v>
      </c>
      <c r="AR34" s="112" t="s">
        <v>1007</v>
      </c>
      <c r="AS34" s="112" t="s">
        <v>1008</v>
      </c>
      <c r="AT34" s="112" t="s">
        <v>1009</v>
      </c>
      <c r="AU34" s="112" t="s">
        <v>909</v>
      </c>
      <c r="AV34" s="112" t="s">
        <v>125</v>
      </c>
      <c r="AW34" s="112" t="s">
        <v>126</v>
      </c>
      <c r="AX34" s="112" t="s">
        <v>127</v>
      </c>
      <c r="AY34" s="112" t="s">
        <v>910</v>
      </c>
      <c r="AZ34" s="112" t="s">
        <v>911</v>
      </c>
      <c r="BA34" s="112" t="s">
        <v>912</v>
      </c>
      <c r="BB34" s="112" t="s">
        <v>128</v>
      </c>
      <c r="BC34" s="112" t="s">
        <v>909</v>
      </c>
      <c r="BD34" s="112" t="s">
        <v>125</v>
      </c>
      <c r="BE34" s="112" t="s">
        <v>126</v>
      </c>
      <c r="BF34" s="112" t="s">
        <v>129</v>
      </c>
      <c r="BG34" s="112" t="s">
        <v>130</v>
      </c>
      <c r="BH34" s="112">
        <v>7</v>
      </c>
      <c r="BI34" s="112">
        <v>34300000</v>
      </c>
      <c r="BJ34" s="113"/>
      <c r="BK34" s="113"/>
      <c r="BL34" s="113"/>
      <c r="BM34" s="112"/>
      <c r="BN34" s="113">
        <v>46173</v>
      </c>
      <c r="BO34" s="112">
        <v>1</v>
      </c>
      <c r="BP34" s="114">
        <v>46149</v>
      </c>
      <c r="BQ34" s="112" t="s">
        <v>131</v>
      </c>
      <c r="BR34" s="112">
        <v>183</v>
      </c>
      <c r="BS34" s="113">
        <v>45966</v>
      </c>
      <c r="BT34" s="112">
        <v>230300000</v>
      </c>
      <c r="BU34" s="112">
        <v>0</v>
      </c>
      <c r="BV34" s="112">
        <v>1</v>
      </c>
      <c r="BW34" s="112">
        <v>0</v>
      </c>
      <c r="BX34" s="112">
        <v>0</v>
      </c>
      <c r="BY34" s="112">
        <v>0</v>
      </c>
      <c r="BZ34" s="112">
        <v>0</v>
      </c>
      <c r="CA34" s="112">
        <v>0</v>
      </c>
      <c r="CB34" s="112">
        <v>0</v>
      </c>
      <c r="CC34" s="113"/>
      <c r="CD34" s="112">
        <v>0</v>
      </c>
      <c r="CE34" s="113"/>
      <c r="CF34" s="112">
        <v>0</v>
      </c>
      <c r="CG34" s="113"/>
      <c r="CH34" s="112">
        <v>0</v>
      </c>
      <c r="CI34" s="113"/>
      <c r="CJ34" s="112">
        <v>0</v>
      </c>
      <c r="CK34" s="113"/>
      <c r="CL34" s="112">
        <v>0</v>
      </c>
      <c r="CM34" s="113">
        <v>46149</v>
      </c>
      <c r="CN34" s="112" t="s">
        <v>132</v>
      </c>
      <c r="CO34" s="112">
        <v>183630296.40000001</v>
      </c>
      <c r="CP34" s="112">
        <v>183630296.40000001</v>
      </c>
      <c r="CQ34" s="112">
        <v>5</v>
      </c>
      <c r="CR34" s="118"/>
      <c r="CS34" s="119"/>
      <c r="CT34" s="112">
        <v>0</v>
      </c>
      <c r="CU34" s="112" t="s">
        <v>231</v>
      </c>
      <c r="CV34" s="112" t="s">
        <v>149</v>
      </c>
      <c r="CW34" s="113">
        <v>46149</v>
      </c>
      <c r="CX34" s="112" t="s">
        <v>2116</v>
      </c>
      <c r="CY34" s="120">
        <f>MONTH(Table_ExternalData_14[[#This Row],[RunningReportDate]])</f>
        <v>5</v>
      </c>
      <c r="CZ34" s="120">
        <f>181-Table_ExternalData_14[[#This Row],[DaysOD]]</f>
        <v>5</v>
      </c>
      <c r="DA34" s="120">
        <f>IF(Table_ExternalData_14[[#This Row],[Status]]="PU-WC",0,Table_ExternalData_14[[#This Row],[Amount_CWO]]/1000000)</f>
        <v>183.63029639999999</v>
      </c>
      <c r="DB34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34" s="120">
        <f>IF(Table_ExternalData_14[[#This Row],[Status]]="PU-WC",0,IF(Table_ExternalData_14[[#This Row],[Success CWO]]=1,Table_ExternalData_14[[#This Row],[CWO Amt]],0))</f>
        <v>0</v>
      </c>
      <c r="DD34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183.63029639999999</v>
      </c>
      <c r="DE34" s="120">
        <f>DAY(Table_ExternalData_14[[#This Row],[Tanggal_Sukses-new]])</f>
        <v>0</v>
      </c>
      <c r="DF34" s="120">
        <f>IF(Table_ExternalData_14[[#This Row],[Status]]="PU-WC",0,IF(SUM(Table_ExternalData_14[[#This Row],[Success CWO]:[WO-In-Amt]])=0,1,0))</f>
        <v>0</v>
      </c>
      <c r="DG34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34" s="120" t="str">
        <f>VLOOKUP(Table_ExternalData_14[[#This Row],[BranchID]],KC!$A:$K,5,0)</f>
        <v>4W</v>
      </c>
      <c r="DI34" s="120" t="str">
        <f>VLOOKUP(Table_ExternalData_14[[#This Row],[BranchID]],KC!$A:$K,8,0)</f>
        <v>04. Jawa Timur</v>
      </c>
      <c r="DJ34" s="120" t="str">
        <f>VLOOKUP(Table_ExternalData_14[[#This Row],[BranchID]],KC!$A:$K,9,0)</f>
        <v>GRESIK</v>
      </c>
      <c r="DK34" s="121">
        <f>IF(Table_ExternalData_14[[#This Row],[Tanggal_Sukses]]=" ",Table_ExternalData_14[[#This Row],[Tanggal_Sukses]],VLOOKUP(Table_ExternalData_14[[#This Row],[ContractID]],Bantuan!$A:$C,2,0))</f>
        <v>0</v>
      </c>
      <c r="DL34" s="120">
        <f>IF(Table_ExternalData_14[[#This Row],[Keterangan_Sukses]]=" ",Table_ExternalData_14[[#This Row],[Keterangan_Sukses]],VLOOKUP(Table_ExternalData_14[[#This Row],[ContractID]],Bantuan!$A:$C,3,0))</f>
        <v>0</v>
      </c>
    </row>
    <row r="35" spans="1:116" x14ac:dyDescent="0.3">
      <c r="A35" s="117" t="s">
        <v>228</v>
      </c>
      <c r="B35" s="112" t="s">
        <v>157</v>
      </c>
      <c r="C35" s="113">
        <v>46142</v>
      </c>
      <c r="D35" s="279">
        <v>45981</v>
      </c>
      <c r="E35" s="113">
        <v>44991</v>
      </c>
      <c r="F35" s="112" t="s">
        <v>1329</v>
      </c>
      <c r="G35" s="112" t="s">
        <v>1330</v>
      </c>
      <c r="H35" s="112" t="s">
        <v>1331</v>
      </c>
      <c r="I35" s="112" t="s">
        <v>1332</v>
      </c>
      <c r="J35" s="112" t="s">
        <v>1333</v>
      </c>
      <c r="K35" s="112" t="s">
        <v>4</v>
      </c>
      <c r="L35" s="112" t="s">
        <v>1333</v>
      </c>
      <c r="M35" s="112" t="s">
        <v>1334</v>
      </c>
      <c r="N35" s="112" t="s">
        <v>1335</v>
      </c>
      <c r="O35" s="112" t="s">
        <v>379</v>
      </c>
      <c r="P35" s="112" t="s">
        <v>233</v>
      </c>
      <c r="Q35" s="112" t="s">
        <v>380</v>
      </c>
      <c r="R35" s="112" t="s">
        <v>4</v>
      </c>
      <c r="S35" s="112" t="s">
        <v>4</v>
      </c>
      <c r="T35" s="112" t="s">
        <v>1336</v>
      </c>
      <c r="U35" s="112" t="s">
        <v>1336</v>
      </c>
      <c r="V35" s="112" t="s">
        <v>1337</v>
      </c>
      <c r="W35" s="112" t="s">
        <v>120</v>
      </c>
      <c r="X35" s="112" t="s">
        <v>121</v>
      </c>
      <c r="Y35" s="112" t="s">
        <v>136</v>
      </c>
      <c r="Z35" s="112" t="s">
        <v>142</v>
      </c>
      <c r="AA35" s="112" t="s">
        <v>1338</v>
      </c>
      <c r="AB35" s="112" t="s">
        <v>1339</v>
      </c>
      <c r="AC35" s="112" t="s">
        <v>1340</v>
      </c>
      <c r="AD35" s="112">
        <v>116560000</v>
      </c>
      <c r="AE35" s="112">
        <v>95099352.060000002</v>
      </c>
      <c r="AF35" s="112">
        <v>94000000</v>
      </c>
      <c r="AG35" s="112">
        <v>22560000</v>
      </c>
      <c r="AH35" s="112">
        <v>15060520</v>
      </c>
      <c r="AI35" s="112">
        <v>0</v>
      </c>
      <c r="AJ35" s="112">
        <v>3760000</v>
      </c>
      <c r="AK35" s="112">
        <v>161</v>
      </c>
      <c r="AL35" s="112">
        <v>6</v>
      </c>
      <c r="AM35" s="112">
        <v>32</v>
      </c>
      <c r="AN35" s="112">
        <v>62</v>
      </c>
      <c r="AO35" s="112" t="s">
        <v>123</v>
      </c>
      <c r="AP35" s="112" t="s">
        <v>123</v>
      </c>
      <c r="AQ35" s="112" t="s">
        <v>124</v>
      </c>
      <c r="AR35" s="112" t="s">
        <v>1110</v>
      </c>
      <c r="AS35" s="112" t="s">
        <v>1111</v>
      </c>
      <c r="AT35" s="112" t="s">
        <v>1112</v>
      </c>
      <c r="AU35" s="112" t="s">
        <v>909</v>
      </c>
      <c r="AV35" s="112" t="s">
        <v>125</v>
      </c>
      <c r="AW35" s="112" t="s">
        <v>126</v>
      </c>
      <c r="AX35" s="112" t="s">
        <v>127</v>
      </c>
      <c r="AY35" s="112" t="s">
        <v>913</v>
      </c>
      <c r="AZ35" s="112" t="s">
        <v>914</v>
      </c>
      <c r="BA35" s="112" t="s">
        <v>915</v>
      </c>
      <c r="BB35" s="112" t="s">
        <v>128</v>
      </c>
      <c r="BC35" s="112" t="s">
        <v>909</v>
      </c>
      <c r="BD35" s="112" t="s">
        <v>125</v>
      </c>
      <c r="BE35" s="112" t="s">
        <v>126</v>
      </c>
      <c r="BF35" s="112" t="s">
        <v>129</v>
      </c>
      <c r="BG35" s="112" t="s">
        <v>130</v>
      </c>
      <c r="BH35" s="112">
        <v>7</v>
      </c>
      <c r="BI35" s="112">
        <v>26320000</v>
      </c>
      <c r="BJ35" s="113"/>
      <c r="BK35" s="113"/>
      <c r="BL35" s="113"/>
      <c r="BM35" s="112"/>
      <c r="BN35" s="113">
        <v>46173</v>
      </c>
      <c r="BO35" s="112">
        <v>1</v>
      </c>
      <c r="BP35" s="114">
        <v>46149</v>
      </c>
      <c r="BQ35" s="112" t="s">
        <v>131</v>
      </c>
      <c r="BR35" s="112">
        <v>168</v>
      </c>
      <c r="BS35" s="113">
        <v>45981</v>
      </c>
      <c r="BT35" s="112">
        <v>116560000</v>
      </c>
      <c r="BU35" s="112">
        <v>0</v>
      </c>
      <c r="BV35" s="112">
        <v>1</v>
      </c>
      <c r="BW35" s="112">
        <v>0</v>
      </c>
      <c r="BX35" s="112">
        <v>0</v>
      </c>
      <c r="BY35" s="112">
        <v>0</v>
      </c>
      <c r="BZ35" s="112">
        <v>0</v>
      </c>
      <c r="CA35" s="112">
        <v>0</v>
      </c>
      <c r="CB35" s="112">
        <v>0</v>
      </c>
      <c r="CC35" s="113"/>
      <c r="CD35" s="112">
        <v>0</v>
      </c>
      <c r="CE35" s="113"/>
      <c r="CF35" s="112">
        <v>0</v>
      </c>
      <c r="CG35" s="113"/>
      <c r="CH35" s="112">
        <v>0</v>
      </c>
      <c r="CI35" s="113"/>
      <c r="CJ35" s="112">
        <v>0</v>
      </c>
      <c r="CK35" s="113"/>
      <c r="CL35" s="112">
        <v>0</v>
      </c>
      <c r="CM35" s="113">
        <v>46149</v>
      </c>
      <c r="CN35" s="112" t="s">
        <v>132</v>
      </c>
      <c r="CO35" s="112">
        <v>95099352.060000002</v>
      </c>
      <c r="CP35" s="112">
        <v>95099352.060000002</v>
      </c>
      <c r="CQ35" s="112">
        <v>20</v>
      </c>
      <c r="CR35" s="118"/>
      <c r="CS35" s="119"/>
      <c r="CT35" s="112">
        <v>0</v>
      </c>
      <c r="CU35" s="112" t="s">
        <v>231</v>
      </c>
      <c r="CV35" s="112" t="s">
        <v>149</v>
      </c>
      <c r="CW35" s="113">
        <v>46149</v>
      </c>
      <c r="CX35" s="112" t="s">
        <v>2116</v>
      </c>
      <c r="CY35" s="120">
        <f>MONTH(Table_ExternalData_14[[#This Row],[RunningReportDate]])</f>
        <v>5</v>
      </c>
      <c r="CZ35" s="120">
        <f>181-Table_ExternalData_14[[#This Row],[DaysOD]]</f>
        <v>20</v>
      </c>
      <c r="DA35" s="120">
        <f>IF(Table_ExternalData_14[[#This Row],[Status]]="PU-WC",0,Table_ExternalData_14[[#This Row],[Amount_CWO]]/1000000)</f>
        <v>95.099352060000001</v>
      </c>
      <c r="DB35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35" s="120">
        <f>IF(Table_ExternalData_14[[#This Row],[Status]]="PU-WC",0,IF(Table_ExternalData_14[[#This Row],[Success CWO]]=1,Table_ExternalData_14[[#This Row],[CWO Amt]],0))</f>
        <v>0</v>
      </c>
      <c r="DD35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35" s="120">
        <f>DAY(Table_ExternalData_14[[#This Row],[Tanggal_Sukses-new]])</f>
        <v>0</v>
      </c>
      <c r="DF35" s="120">
        <f>IF(Table_ExternalData_14[[#This Row],[Status]]="PU-WC",0,IF(SUM(Table_ExternalData_14[[#This Row],[Success CWO]:[WO-In-Amt]])=0,1,0))</f>
        <v>1</v>
      </c>
      <c r="DG35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95.099352060000001</v>
      </c>
      <c r="DH35" s="120" t="str">
        <f>VLOOKUP(Table_ExternalData_14[[#This Row],[BranchID]],KC!$A:$K,5,0)</f>
        <v>4W</v>
      </c>
      <c r="DI35" s="120" t="str">
        <f>VLOOKUP(Table_ExternalData_14[[#This Row],[BranchID]],KC!$A:$K,8,0)</f>
        <v>04. Jawa Timur</v>
      </c>
      <c r="DJ35" s="120" t="str">
        <f>VLOOKUP(Table_ExternalData_14[[#This Row],[BranchID]],KC!$A:$K,9,0)</f>
        <v>GRESIK</v>
      </c>
      <c r="DK35" s="121">
        <f>IF(Table_ExternalData_14[[#This Row],[Tanggal_Sukses]]=" ",Table_ExternalData_14[[#This Row],[Tanggal_Sukses]],VLOOKUP(Table_ExternalData_14[[#This Row],[ContractID]],Bantuan!$A:$C,2,0))</f>
        <v>0</v>
      </c>
      <c r="DL35" s="120">
        <f>IF(Table_ExternalData_14[[#This Row],[Keterangan_Sukses]]=" ",Table_ExternalData_14[[#This Row],[Keterangan_Sukses]],VLOOKUP(Table_ExternalData_14[[#This Row],[ContractID]],Bantuan!$A:$C,3,0))</f>
        <v>0</v>
      </c>
    </row>
    <row r="36" spans="1:116" x14ac:dyDescent="0.3">
      <c r="A36" s="117" t="s">
        <v>3</v>
      </c>
      <c r="B36" s="112" t="s">
        <v>2</v>
      </c>
      <c r="C36" s="113">
        <v>46142</v>
      </c>
      <c r="D36" s="279">
        <v>45966</v>
      </c>
      <c r="E36" s="113">
        <v>45777</v>
      </c>
      <c r="F36" s="112" t="s">
        <v>1341</v>
      </c>
      <c r="G36" s="112" t="s">
        <v>1342</v>
      </c>
      <c r="H36" s="112" t="s">
        <v>1343</v>
      </c>
      <c r="I36" s="112" t="s">
        <v>1344</v>
      </c>
      <c r="J36" s="112" t="s">
        <v>1345</v>
      </c>
      <c r="K36" s="112" t="s">
        <v>4</v>
      </c>
      <c r="L36" s="112" t="s">
        <v>1345</v>
      </c>
      <c r="M36" s="112" t="s">
        <v>1346</v>
      </c>
      <c r="N36" s="112" t="s">
        <v>1346</v>
      </c>
      <c r="O36" s="112" t="s">
        <v>1042</v>
      </c>
      <c r="P36" s="112" t="s">
        <v>906</v>
      </c>
      <c r="Q36" s="112" t="s">
        <v>1347</v>
      </c>
      <c r="R36" s="112" t="s">
        <v>4</v>
      </c>
      <c r="S36" s="112" t="s">
        <v>4</v>
      </c>
      <c r="T36" s="112" t="s">
        <v>4</v>
      </c>
      <c r="U36" s="112" t="s">
        <v>4</v>
      </c>
      <c r="V36" s="112" t="s">
        <v>1348</v>
      </c>
      <c r="W36" s="112" t="s">
        <v>120</v>
      </c>
      <c r="X36" s="112" t="s">
        <v>121</v>
      </c>
      <c r="Y36" s="112" t="s">
        <v>215</v>
      </c>
      <c r="Z36" s="112" t="s">
        <v>1312</v>
      </c>
      <c r="AA36" s="112" t="s">
        <v>1349</v>
      </c>
      <c r="AB36" s="112" t="s">
        <v>1350</v>
      </c>
      <c r="AC36" s="112" t="s">
        <v>1351</v>
      </c>
      <c r="AD36" s="112">
        <v>280500000</v>
      </c>
      <c r="AE36" s="112">
        <v>195795989.19999999</v>
      </c>
      <c r="AF36" s="112">
        <v>249900000</v>
      </c>
      <c r="AG36" s="112">
        <v>30600000</v>
      </c>
      <c r="AH36" s="112">
        <v>17856000</v>
      </c>
      <c r="AI36" s="112">
        <v>0</v>
      </c>
      <c r="AJ36" s="112">
        <v>5100000</v>
      </c>
      <c r="AK36" s="112">
        <v>176</v>
      </c>
      <c r="AL36" s="112">
        <v>6</v>
      </c>
      <c r="AM36" s="112">
        <v>6</v>
      </c>
      <c r="AN36" s="112">
        <v>60</v>
      </c>
      <c r="AO36" s="112" t="s">
        <v>123</v>
      </c>
      <c r="AP36" s="112" t="s">
        <v>123</v>
      </c>
      <c r="AQ36" s="112" t="s">
        <v>124</v>
      </c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/>
      <c r="BE36" s="112"/>
      <c r="BF36" s="112" t="s">
        <v>129</v>
      </c>
      <c r="BG36" s="112" t="s">
        <v>130</v>
      </c>
      <c r="BH36" s="112">
        <v>7</v>
      </c>
      <c r="BI36" s="112">
        <v>35700000</v>
      </c>
      <c r="BJ36" s="113"/>
      <c r="BK36" s="113"/>
      <c r="BL36" s="113"/>
      <c r="BM36" s="112"/>
      <c r="BN36" s="113">
        <v>46173</v>
      </c>
      <c r="BO36" s="112">
        <v>1</v>
      </c>
      <c r="BP36" s="114">
        <v>46149</v>
      </c>
      <c r="BQ36" s="112" t="s">
        <v>131</v>
      </c>
      <c r="BR36" s="112">
        <v>183</v>
      </c>
      <c r="BS36" s="113">
        <v>45966</v>
      </c>
      <c r="BT36" s="112">
        <v>280500000</v>
      </c>
      <c r="BU36" s="112">
        <v>0</v>
      </c>
      <c r="BV36" s="112">
        <v>1</v>
      </c>
      <c r="BW36" s="112">
        <v>0</v>
      </c>
      <c r="BX36" s="112">
        <v>0</v>
      </c>
      <c r="BY36" s="112">
        <v>0</v>
      </c>
      <c r="BZ36" s="112">
        <v>0</v>
      </c>
      <c r="CA36" s="112">
        <v>0</v>
      </c>
      <c r="CB36" s="112">
        <v>0</v>
      </c>
      <c r="CC36" s="113"/>
      <c r="CD36" s="112">
        <v>0</v>
      </c>
      <c r="CE36" s="113"/>
      <c r="CF36" s="112">
        <v>0</v>
      </c>
      <c r="CG36" s="113"/>
      <c r="CH36" s="112">
        <v>0</v>
      </c>
      <c r="CI36" s="113"/>
      <c r="CJ36" s="112">
        <v>0</v>
      </c>
      <c r="CK36" s="113"/>
      <c r="CL36" s="112">
        <v>0</v>
      </c>
      <c r="CM36" s="113">
        <v>46149</v>
      </c>
      <c r="CN36" s="112" t="s">
        <v>132</v>
      </c>
      <c r="CO36" s="112">
        <v>195795989.19999999</v>
      </c>
      <c r="CP36" s="112">
        <v>195795989.19999999</v>
      </c>
      <c r="CQ36" s="112">
        <v>5</v>
      </c>
      <c r="CR36" s="118"/>
      <c r="CS36" s="119"/>
      <c r="CT36" s="112">
        <v>0</v>
      </c>
      <c r="CU36" s="112" t="s">
        <v>907</v>
      </c>
      <c r="CV36" s="112" t="s">
        <v>192</v>
      </c>
      <c r="CW36" s="113">
        <v>46149</v>
      </c>
      <c r="CX36" s="112" t="s">
        <v>2116</v>
      </c>
      <c r="CY36" s="120">
        <f>MONTH(Table_ExternalData_14[[#This Row],[RunningReportDate]])</f>
        <v>5</v>
      </c>
      <c r="CZ36" s="120">
        <f>181-Table_ExternalData_14[[#This Row],[DaysOD]]</f>
        <v>5</v>
      </c>
      <c r="DA36" s="120">
        <f>IF(Table_ExternalData_14[[#This Row],[Status]]="PU-WC",0,Table_ExternalData_14[[#This Row],[Amount_CWO]]/1000000)</f>
        <v>195.79598919999998</v>
      </c>
      <c r="DB36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36" s="120">
        <f>IF(Table_ExternalData_14[[#This Row],[Status]]="PU-WC",0,IF(Table_ExternalData_14[[#This Row],[Success CWO]]=1,Table_ExternalData_14[[#This Row],[CWO Amt]],0))</f>
        <v>0</v>
      </c>
      <c r="DD36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195.79598919999998</v>
      </c>
      <c r="DE36" s="120">
        <f>DAY(Table_ExternalData_14[[#This Row],[Tanggal_Sukses-new]])</f>
        <v>0</v>
      </c>
      <c r="DF36" s="120">
        <f>IF(Table_ExternalData_14[[#This Row],[Status]]="PU-WC",0,IF(SUM(Table_ExternalData_14[[#This Row],[Success CWO]:[WO-In-Amt]])=0,1,0))</f>
        <v>0</v>
      </c>
      <c r="DG36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36" s="120" t="str">
        <f>VLOOKUP(Table_ExternalData_14[[#This Row],[BranchID]],KC!$A:$K,5,0)</f>
        <v>4W</v>
      </c>
      <c r="DI36" s="120" t="str">
        <f>VLOOKUP(Table_ExternalData_14[[#This Row],[BranchID]],KC!$A:$K,8,0)</f>
        <v>01. Jabodetabekser</v>
      </c>
      <c r="DJ36" s="120" t="str">
        <f>VLOOKUP(Table_ExternalData_14[[#This Row],[BranchID]],KC!$A:$K,9,0)</f>
        <v>DEWI SARTIKA</v>
      </c>
      <c r="DK36" s="121">
        <f>IF(Table_ExternalData_14[[#This Row],[Tanggal_Sukses]]=" ",Table_ExternalData_14[[#This Row],[Tanggal_Sukses]],VLOOKUP(Table_ExternalData_14[[#This Row],[ContractID]],Bantuan!$A:$C,2,0))</f>
        <v>0</v>
      </c>
      <c r="DL36" s="120">
        <f>IF(Table_ExternalData_14[[#This Row],[Keterangan_Sukses]]=" ",Table_ExternalData_14[[#This Row],[Keterangan_Sukses]],VLOOKUP(Table_ExternalData_14[[#This Row],[ContractID]],Bantuan!$A:$C,3,0))</f>
        <v>0</v>
      </c>
    </row>
    <row r="37" spans="1:116" x14ac:dyDescent="0.3">
      <c r="A37" s="117" t="s">
        <v>221</v>
      </c>
      <c r="B37" s="112" t="s">
        <v>220</v>
      </c>
      <c r="C37" s="113">
        <v>46142</v>
      </c>
      <c r="D37" s="279">
        <v>45975</v>
      </c>
      <c r="E37" s="113">
        <v>45121</v>
      </c>
      <c r="F37" s="112" t="s">
        <v>1352</v>
      </c>
      <c r="G37" s="112" t="s">
        <v>1353</v>
      </c>
      <c r="H37" s="112" t="s">
        <v>1354</v>
      </c>
      <c r="I37" s="112" t="s">
        <v>1355</v>
      </c>
      <c r="J37" s="112" t="s">
        <v>1356</v>
      </c>
      <c r="K37" s="112" t="s">
        <v>4</v>
      </c>
      <c r="L37" s="112" t="s">
        <v>1356</v>
      </c>
      <c r="M37" s="112" t="s">
        <v>1357</v>
      </c>
      <c r="N37" s="112" t="s">
        <v>1358</v>
      </c>
      <c r="O37" s="112" t="s">
        <v>225</v>
      </c>
      <c r="P37" s="112" t="s">
        <v>226</v>
      </c>
      <c r="Q37" s="112" t="s">
        <v>227</v>
      </c>
      <c r="R37" s="112" t="s">
        <v>4</v>
      </c>
      <c r="S37" s="112" t="s">
        <v>4</v>
      </c>
      <c r="T37" s="112" t="s">
        <v>1359</v>
      </c>
      <c r="U37" s="112" t="s">
        <v>1359</v>
      </c>
      <c r="V37" s="112" t="s">
        <v>1360</v>
      </c>
      <c r="W37" s="112" t="s">
        <v>120</v>
      </c>
      <c r="X37" s="112" t="s">
        <v>121</v>
      </c>
      <c r="Y37" s="112" t="s">
        <v>136</v>
      </c>
      <c r="Z37" s="112" t="s">
        <v>137</v>
      </c>
      <c r="AA37" s="112" t="s">
        <v>1361</v>
      </c>
      <c r="AB37" s="112" t="s">
        <v>1362</v>
      </c>
      <c r="AC37" s="112" t="s">
        <v>1363</v>
      </c>
      <c r="AD37" s="112">
        <v>107250000</v>
      </c>
      <c r="AE37" s="112">
        <v>83937240.629999995</v>
      </c>
      <c r="AF37" s="112">
        <v>87750000</v>
      </c>
      <c r="AG37" s="112">
        <v>19500000</v>
      </c>
      <c r="AH37" s="112">
        <v>9240000</v>
      </c>
      <c r="AI37" s="112">
        <v>0</v>
      </c>
      <c r="AJ37" s="112">
        <v>3250000</v>
      </c>
      <c r="AK37" s="112">
        <v>167</v>
      </c>
      <c r="AL37" s="112">
        <v>6</v>
      </c>
      <c r="AM37" s="112">
        <v>28</v>
      </c>
      <c r="AN37" s="112">
        <v>60</v>
      </c>
      <c r="AO37" s="112" t="s">
        <v>123</v>
      </c>
      <c r="AP37" s="112" t="s">
        <v>123</v>
      </c>
      <c r="AQ37" s="112" t="s">
        <v>124</v>
      </c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 t="s">
        <v>129</v>
      </c>
      <c r="BG37" s="112" t="s">
        <v>130</v>
      </c>
      <c r="BH37" s="112">
        <v>7</v>
      </c>
      <c r="BI37" s="112">
        <v>22750000</v>
      </c>
      <c r="BJ37" s="113"/>
      <c r="BK37" s="113"/>
      <c r="BL37" s="113"/>
      <c r="BM37" s="112"/>
      <c r="BN37" s="113">
        <v>46173</v>
      </c>
      <c r="BO37" s="112">
        <v>1</v>
      </c>
      <c r="BP37" s="114">
        <v>46149</v>
      </c>
      <c r="BQ37" s="112" t="s">
        <v>131</v>
      </c>
      <c r="BR37" s="112">
        <v>174</v>
      </c>
      <c r="BS37" s="113">
        <v>45975</v>
      </c>
      <c r="BT37" s="112">
        <v>107250000</v>
      </c>
      <c r="BU37" s="112">
        <v>0</v>
      </c>
      <c r="BV37" s="112">
        <v>1</v>
      </c>
      <c r="BW37" s="112">
        <v>0</v>
      </c>
      <c r="BX37" s="112">
        <v>0</v>
      </c>
      <c r="BY37" s="112">
        <v>0</v>
      </c>
      <c r="BZ37" s="112">
        <v>0</v>
      </c>
      <c r="CA37" s="112">
        <v>0</v>
      </c>
      <c r="CB37" s="112">
        <v>0</v>
      </c>
      <c r="CC37" s="113"/>
      <c r="CD37" s="112">
        <v>0</v>
      </c>
      <c r="CE37" s="113"/>
      <c r="CF37" s="112">
        <v>0</v>
      </c>
      <c r="CG37" s="113"/>
      <c r="CH37" s="112">
        <v>0</v>
      </c>
      <c r="CI37" s="113"/>
      <c r="CJ37" s="112">
        <v>0</v>
      </c>
      <c r="CK37" s="113"/>
      <c r="CL37" s="112">
        <v>0</v>
      </c>
      <c r="CM37" s="113">
        <v>46149</v>
      </c>
      <c r="CN37" s="112" t="s">
        <v>132</v>
      </c>
      <c r="CO37" s="112">
        <v>83937240.629999995</v>
      </c>
      <c r="CP37" s="112">
        <v>83937240.629999995</v>
      </c>
      <c r="CQ37" s="112">
        <v>14</v>
      </c>
      <c r="CR37" s="118"/>
      <c r="CS37" s="119"/>
      <c r="CT37" s="112">
        <v>0</v>
      </c>
      <c r="CU37" s="112" t="s">
        <v>223</v>
      </c>
      <c r="CV37" s="112" t="s">
        <v>182</v>
      </c>
      <c r="CW37" s="113">
        <v>46149</v>
      </c>
      <c r="CX37" s="112" t="s">
        <v>2116</v>
      </c>
      <c r="CY37" s="120">
        <f>MONTH(Table_ExternalData_14[[#This Row],[RunningReportDate]])</f>
        <v>5</v>
      </c>
      <c r="CZ37" s="120">
        <f>181-Table_ExternalData_14[[#This Row],[DaysOD]]</f>
        <v>14</v>
      </c>
      <c r="DA37" s="120">
        <f>IF(Table_ExternalData_14[[#This Row],[Status]]="PU-WC",0,Table_ExternalData_14[[#This Row],[Amount_CWO]]/1000000)</f>
        <v>83.937240629999991</v>
      </c>
      <c r="DB37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37" s="120">
        <f>IF(Table_ExternalData_14[[#This Row],[Status]]="PU-WC",0,IF(Table_ExternalData_14[[#This Row],[Success CWO]]=1,Table_ExternalData_14[[#This Row],[CWO Amt]],0))</f>
        <v>0</v>
      </c>
      <c r="DD37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37" s="120">
        <f>DAY(Table_ExternalData_14[[#This Row],[Tanggal_Sukses-new]])</f>
        <v>0</v>
      </c>
      <c r="DF37" s="120">
        <f>IF(Table_ExternalData_14[[#This Row],[Status]]="PU-WC",0,IF(SUM(Table_ExternalData_14[[#This Row],[Success CWO]:[WO-In-Amt]])=0,1,0))</f>
        <v>1</v>
      </c>
      <c r="DG37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83.937240629999991</v>
      </c>
      <c r="DH37" s="120" t="str">
        <f>VLOOKUP(Table_ExternalData_14[[#This Row],[BranchID]],KC!$A:$K,5,0)</f>
        <v>4W</v>
      </c>
      <c r="DI37" s="120" t="str">
        <f>VLOOKUP(Table_ExternalData_14[[#This Row],[BranchID]],KC!$A:$K,8,0)</f>
        <v>03. Jawa Tengah</v>
      </c>
      <c r="DJ37" s="120" t="str">
        <f>VLOOKUP(Table_ExternalData_14[[#This Row],[BranchID]],KC!$A:$K,9,0)</f>
        <v>PURWOKERTO</v>
      </c>
      <c r="DK37" s="121">
        <f>IF(Table_ExternalData_14[[#This Row],[Tanggal_Sukses]]=" ",Table_ExternalData_14[[#This Row],[Tanggal_Sukses]],VLOOKUP(Table_ExternalData_14[[#This Row],[ContractID]],Bantuan!$A:$C,2,0))</f>
        <v>0</v>
      </c>
      <c r="DL37" s="120">
        <f>IF(Table_ExternalData_14[[#This Row],[Keterangan_Sukses]]=" ",Table_ExternalData_14[[#This Row],[Keterangan_Sukses]],VLOOKUP(Table_ExternalData_14[[#This Row],[ContractID]],Bantuan!$A:$C,3,0))</f>
        <v>0</v>
      </c>
    </row>
    <row r="38" spans="1:116" x14ac:dyDescent="0.3">
      <c r="A38" s="117" t="s">
        <v>221</v>
      </c>
      <c r="B38" s="112" t="s">
        <v>220</v>
      </c>
      <c r="C38" s="113">
        <v>46142</v>
      </c>
      <c r="D38" s="279">
        <v>45981</v>
      </c>
      <c r="E38" s="113">
        <v>44680</v>
      </c>
      <c r="F38" s="112" t="s">
        <v>1364</v>
      </c>
      <c r="G38" s="112" t="s">
        <v>1365</v>
      </c>
      <c r="H38" s="112" t="s">
        <v>1366</v>
      </c>
      <c r="I38" s="112" t="s">
        <v>1367</v>
      </c>
      <c r="J38" s="112" t="s">
        <v>1368</v>
      </c>
      <c r="K38" s="112" t="s">
        <v>4</v>
      </c>
      <c r="L38" s="112" t="s">
        <v>1368</v>
      </c>
      <c r="M38" s="112" t="s">
        <v>1369</v>
      </c>
      <c r="N38" s="112" t="s">
        <v>1370</v>
      </c>
      <c r="O38" s="112" t="s">
        <v>1371</v>
      </c>
      <c r="P38" s="112" t="s">
        <v>1372</v>
      </c>
      <c r="Q38" s="112" t="s">
        <v>1373</v>
      </c>
      <c r="R38" s="112" t="s">
        <v>4</v>
      </c>
      <c r="S38" s="112" t="s">
        <v>4</v>
      </c>
      <c r="T38" s="112" t="s">
        <v>1374</v>
      </c>
      <c r="U38" s="112" t="s">
        <v>1374</v>
      </c>
      <c r="V38" s="112" t="s">
        <v>378</v>
      </c>
      <c r="W38" s="112" t="s">
        <v>120</v>
      </c>
      <c r="X38" s="112" t="s">
        <v>121</v>
      </c>
      <c r="Y38" s="112" t="s">
        <v>136</v>
      </c>
      <c r="Z38" s="112" t="s">
        <v>142</v>
      </c>
      <c r="AA38" s="112" t="s">
        <v>1375</v>
      </c>
      <c r="AB38" s="112" t="s">
        <v>1376</v>
      </c>
      <c r="AC38" s="112" t="s">
        <v>1377</v>
      </c>
      <c r="AD38" s="112">
        <v>43450000</v>
      </c>
      <c r="AE38" s="112">
        <v>40147674.359999999</v>
      </c>
      <c r="AF38" s="112">
        <v>19750000</v>
      </c>
      <c r="AG38" s="112">
        <v>23700000</v>
      </c>
      <c r="AH38" s="112">
        <v>26274625</v>
      </c>
      <c r="AI38" s="112">
        <v>600000</v>
      </c>
      <c r="AJ38" s="112">
        <v>3950000</v>
      </c>
      <c r="AK38" s="112">
        <v>161</v>
      </c>
      <c r="AL38" s="112">
        <v>6</v>
      </c>
      <c r="AM38" s="112">
        <v>42</v>
      </c>
      <c r="AN38" s="112">
        <v>52</v>
      </c>
      <c r="AO38" s="112" t="s">
        <v>123</v>
      </c>
      <c r="AP38" s="112" t="s">
        <v>123</v>
      </c>
      <c r="AQ38" s="112" t="s">
        <v>124</v>
      </c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 t="s">
        <v>129</v>
      </c>
      <c r="BG38" s="112" t="s">
        <v>130</v>
      </c>
      <c r="BH38" s="112">
        <v>7</v>
      </c>
      <c r="BI38" s="112">
        <v>27650000</v>
      </c>
      <c r="BJ38" s="113"/>
      <c r="BK38" s="113"/>
      <c r="BL38" s="113"/>
      <c r="BM38" s="112"/>
      <c r="BN38" s="113">
        <v>46173</v>
      </c>
      <c r="BO38" s="112">
        <v>1</v>
      </c>
      <c r="BP38" s="114">
        <v>46149</v>
      </c>
      <c r="BQ38" s="112" t="s">
        <v>131</v>
      </c>
      <c r="BR38" s="112">
        <v>168</v>
      </c>
      <c r="BS38" s="113">
        <v>45981</v>
      </c>
      <c r="BT38" s="112">
        <v>43450000</v>
      </c>
      <c r="BU38" s="112">
        <v>0</v>
      </c>
      <c r="BV38" s="112">
        <v>1</v>
      </c>
      <c r="BW38" s="112">
        <v>0</v>
      </c>
      <c r="BX38" s="112">
        <v>0</v>
      </c>
      <c r="BY38" s="112">
        <v>0</v>
      </c>
      <c r="BZ38" s="112">
        <v>0</v>
      </c>
      <c r="CA38" s="112">
        <v>0</v>
      </c>
      <c r="CB38" s="112">
        <v>0</v>
      </c>
      <c r="CC38" s="113"/>
      <c r="CD38" s="112">
        <v>0</v>
      </c>
      <c r="CE38" s="113"/>
      <c r="CF38" s="112">
        <v>0</v>
      </c>
      <c r="CG38" s="113"/>
      <c r="CH38" s="112">
        <v>0</v>
      </c>
      <c r="CI38" s="113"/>
      <c r="CJ38" s="112">
        <v>0</v>
      </c>
      <c r="CK38" s="113"/>
      <c r="CL38" s="112">
        <v>0</v>
      </c>
      <c r="CM38" s="113">
        <v>46149</v>
      </c>
      <c r="CN38" s="112" t="s">
        <v>132</v>
      </c>
      <c r="CO38" s="112">
        <v>39547674.359999999</v>
      </c>
      <c r="CP38" s="112">
        <v>39547674.359999999</v>
      </c>
      <c r="CQ38" s="112">
        <v>20</v>
      </c>
      <c r="CR38" s="118"/>
      <c r="CS38" s="119"/>
      <c r="CT38" s="112">
        <v>0</v>
      </c>
      <c r="CU38" s="112" t="s">
        <v>223</v>
      </c>
      <c r="CV38" s="112" t="s">
        <v>182</v>
      </c>
      <c r="CW38" s="113">
        <v>46149</v>
      </c>
      <c r="CX38" s="112" t="s">
        <v>2116</v>
      </c>
      <c r="CY38" s="120">
        <f>MONTH(Table_ExternalData_14[[#This Row],[RunningReportDate]])</f>
        <v>5</v>
      </c>
      <c r="CZ38" s="120">
        <f>181-Table_ExternalData_14[[#This Row],[DaysOD]]</f>
        <v>20</v>
      </c>
      <c r="DA38" s="120">
        <f>IF(Table_ExternalData_14[[#This Row],[Status]]="PU-WC",0,Table_ExternalData_14[[#This Row],[Amount_CWO]]/1000000)</f>
        <v>39.547674360000002</v>
      </c>
      <c r="DB38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38" s="120">
        <f>IF(Table_ExternalData_14[[#This Row],[Status]]="PU-WC",0,IF(Table_ExternalData_14[[#This Row],[Success CWO]]=1,Table_ExternalData_14[[#This Row],[CWO Amt]],0))</f>
        <v>0</v>
      </c>
      <c r="DD38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38" s="120">
        <f>DAY(Table_ExternalData_14[[#This Row],[Tanggal_Sukses-new]])</f>
        <v>0</v>
      </c>
      <c r="DF38" s="120">
        <f>IF(Table_ExternalData_14[[#This Row],[Status]]="PU-WC",0,IF(SUM(Table_ExternalData_14[[#This Row],[Success CWO]:[WO-In-Amt]])=0,1,0))</f>
        <v>1</v>
      </c>
      <c r="DG38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39.547674360000002</v>
      </c>
      <c r="DH38" s="120" t="str">
        <f>VLOOKUP(Table_ExternalData_14[[#This Row],[BranchID]],KC!$A:$K,5,0)</f>
        <v>4W</v>
      </c>
      <c r="DI38" s="120" t="str">
        <f>VLOOKUP(Table_ExternalData_14[[#This Row],[BranchID]],KC!$A:$K,8,0)</f>
        <v>03. Jawa Tengah</v>
      </c>
      <c r="DJ38" s="120" t="str">
        <f>VLOOKUP(Table_ExternalData_14[[#This Row],[BranchID]],KC!$A:$K,9,0)</f>
        <v>PURWOKERTO</v>
      </c>
      <c r="DK38" s="121">
        <f>IF(Table_ExternalData_14[[#This Row],[Tanggal_Sukses]]=" ",Table_ExternalData_14[[#This Row],[Tanggal_Sukses]],VLOOKUP(Table_ExternalData_14[[#This Row],[ContractID]],Bantuan!$A:$C,2,0))</f>
        <v>0</v>
      </c>
      <c r="DL38" s="120">
        <f>IF(Table_ExternalData_14[[#This Row],[Keterangan_Sukses]]=" ",Table_ExternalData_14[[#This Row],[Keterangan_Sukses]],VLOOKUP(Table_ExternalData_14[[#This Row],[ContractID]],Bantuan!$A:$C,3,0))</f>
        <v>0</v>
      </c>
    </row>
    <row r="39" spans="1:116" x14ac:dyDescent="0.3">
      <c r="A39" s="117" t="s">
        <v>6</v>
      </c>
      <c r="B39" s="112" t="s">
        <v>5</v>
      </c>
      <c r="C39" s="113">
        <v>46142</v>
      </c>
      <c r="D39" s="279">
        <v>45966</v>
      </c>
      <c r="E39" s="113">
        <v>44667</v>
      </c>
      <c r="F39" s="112" t="s">
        <v>1378</v>
      </c>
      <c r="G39" s="112" t="s">
        <v>1379</v>
      </c>
      <c r="H39" s="112" t="s">
        <v>1380</v>
      </c>
      <c r="I39" s="112" t="s">
        <v>1381</v>
      </c>
      <c r="J39" s="112" t="s">
        <v>1382</v>
      </c>
      <c r="K39" s="112" t="s">
        <v>4</v>
      </c>
      <c r="L39" s="112" t="s">
        <v>1382</v>
      </c>
      <c r="M39" s="112" t="s">
        <v>1383</v>
      </c>
      <c r="N39" s="112" t="s">
        <v>1384</v>
      </c>
      <c r="O39" s="112" t="s">
        <v>5</v>
      </c>
      <c r="P39" s="112" t="s">
        <v>218</v>
      </c>
      <c r="Q39" s="112" t="s">
        <v>5</v>
      </c>
      <c r="R39" s="112" t="s">
        <v>4</v>
      </c>
      <c r="S39" s="112" t="s">
        <v>4</v>
      </c>
      <c r="T39" s="112" t="s">
        <v>1385</v>
      </c>
      <c r="U39" s="112" t="s">
        <v>1385</v>
      </c>
      <c r="V39" s="112" t="s">
        <v>1385</v>
      </c>
      <c r="W39" s="112" t="s">
        <v>120</v>
      </c>
      <c r="X39" s="112" t="s">
        <v>121</v>
      </c>
      <c r="Y39" s="112" t="s">
        <v>136</v>
      </c>
      <c r="Z39" s="112" t="s">
        <v>137</v>
      </c>
      <c r="AA39" s="112" t="s">
        <v>1386</v>
      </c>
      <c r="AB39" s="112" t="s">
        <v>1387</v>
      </c>
      <c r="AC39" s="112" t="s">
        <v>1388</v>
      </c>
      <c r="AD39" s="112">
        <v>30900000</v>
      </c>
      <c r="AE39" s="112">
        <v>29344137.030000001</v>
      </c>
      <c r="AF39" s="112">
        <v>12360000</v>
      </c>
      <c r="AG39" s="112">
        <v>18540000</v>
      </c>
      <c r="AH39" s="112">
        <v>18650650</v>
      </c>
      <c r="AI39" s="112">
        <v>1503650</v>
      </c>
      <c r="AJ39" s="112">
        <v>3090000</v>
      </c>
      <c r="AK39" s="112">
        <v>176</v>
      </c>
      <c r="AL39" s="112">
        <v>6</v>
      </c>
      <c r="AM39" s="112">
        <v>42</v>
      </c>
      <c r="AN39" s="112">
        <v>51</v>
      </c>
      <c r="AO39" s="112" t="s">
        <v>123</v>
      </c>
      <c r="AP39" s="112" t="s">
        <v>123</v>
      </c>
      <c r="AQ39" s="112" t="s">
        <v>124</v>
      </c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 t="s">
        <v>129</v>
      </c>
      <c r="BG39" s="112" t="s">
        <v>130</v>
      </c>
      <c r="BH39" s="112">
        <v>7</v>
      </c>
      <c r="BI39" s="112">
        <v>21630000</v>
      </c>
      <c r="BJ39" s="113"/>
      <c r="BK39" s="113"/>
      <c r="BL39" s="113"/>
      <c r="BM39" s="112"/>
      <c r="BN39" s="113">
        <v>46173</v>
      </c>
      <c r="BO39" s="112">
        <v>1</v>
      </c>
      <c r="BP39" s="114">
        <v>46149</v>
      </c>
      <c r="BQ39" s="112" t="s">
        <v>131</v>
      </c>
      <c r="BR39" s="112">
        <v>183</v>
      </c>
      <c r="BS39" s="113">
        <v>45966</v>
      </c>
      <c r="BT39" s="112">
        <v>30900000</v>
      </c>
      <c r="BU39" s="112">
        <v>0</v>
      </c>
      <c r="BV39" s="112">
        <v>1</v>
      </c>
      <c r="BW39" s="112">
        <v>0</v>
      </c>
      <c r="BX39" s="112">
        <v>0</v>
      </c>
      <c r="BY39" s="112">
        <v>0</v>
      </c>
      <c r="BZ39" s="112">
        <v>0</v>
      </c>
      <c r="CA39" s="112">
        <v>0</v>
      </c>
      <c r="CB39" s="112">
        <v>0</v>
      </c>
      <c r="CC39" s="113"/>
      <c r="CD39" s="112">
        <v>0</v>
      </c>
      <c r="CE39" s="113"/>
      <c r="CF39" s="112">
        <v>0</v>
      </c>
      <c r="CG39" s="113"/>
      <c r="CH39" s="112">
        <v>0</v>
      </c>
      <c r="CI39" s="113"/>
      <c r="CJ39" s="112">
        <v>0</v>
      </c>
      <c r="CK39" s="113"/>
      <c r="CL39" s="112">
        <v>0</v>
      </c>
      <c r="CM39" s="113">
        <v>46149</v>
      </c>
      <c r="CN39" s="112" t="s">
        <v>132</v>
      </c>
      <c r="CO39" s="112">
        <v>27840487.030000001</v>
      </c>
      <c r="CP39" s="112">
        <v>27840487.030000001</v>
      </c>
      <c r="CQ39" s="112">
        <v>5</v>
      </c>
      <c r="CR39" s="118"/>
      <c r="CS39" s="119"/>
      <c r="CT39" s="112">
        <v>0</v>
      </c>
      <c r="CU39" s="112" t="s">
        <v>219</v>
      </c>
      <c r="CV39" s="112" t="s">
        <v>168</v>
      </c>
      <c r="CW39" s="113">
        <v>46149</v>
      </c>
      <c r="CX39" s="112" t="s">
        <v>2116</v>
      </c>
      <c r="CY39" s="120">
        <f>MONTH(Table_ExternalData_14[[#This Row],[RunningReportDate]])</f>
        <v>5</v>
      </c>
      <c r="CZ39" s="120">
        <f>181-Table_ExternalData_14[[#This Row],[DaysOD]]</f>
        <v>5</v>
      </c>
      <c r="DA39" s="120">
        <f>IF(Table_ExternalData_14[[#This Row],[Status]]="PU-WC",0,Table_ExternalData_14[[#This Row],[Amount_CWO]]/1000000)</f>
        <v>27.840487030000002</v>
      </c>
      <c r="DB39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39" s="120">
        <f>IF(Table_ExternalData_14[[#This Row],[Status]]="PU-WC",0,IF(Table_ExternalData_14[[#This Row],[Success CWO]]=1,Table_ExternalData_14[[#This Row],[CWO Amt]],0))</f>
        <v>0</v>
      </c>
      <c r="DD39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27.840487030000002</v>
      </c>
      <c r="DE39" s="120">
        <f>DAY(Table_ExternalData_14[[#This Row],[Tanggal_Sukses-new]])</f>
        <v>0</v>
      </c>
      <c r="DF39" s="120">
        <f>IF(Table_ExternalData_14[[#This Row],[Status]]="PU-WC",0,IF(SUM(Table_ExternalData_14[[#This Row],[Success CWO]:[WO-In-Amt]])=0,1,0))</f>
        <v>0</v>
      </c>
      <c r="DG39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39" s="120" t="str">
        <f>VLOOKUP(Table_ExternalData_14[[#This Row],[BranchID]],KC!$A:$K,5,0)</f>
        <v>4W</v>
      </c>
      <c r="DI39" s="120" t="str">
        <f>VLOOKUP(Table_ExternalData_14[[#This Row],[BranchID]],KC!$A:$K,8,0)</f>
        <v>01. Jabodetabekser</v>
      </c>
      <c r="DJ39" s="120" t="str">
        <f>VLOOKUP(Table_ExternalData_14[[#This Row],[BranchID]],KC!$A:$K,9,0)</f>
        <v>SERANG</v>
      </c>
      <c r="DK39" s="121">
        <f>IF(Table_ExternalData_14[[#This Row],[Tanggal_Sukses]]=" ",Table_ExternalData_14[[#This Row],[Tanggal_Sukses]],VLOOKUP(Table_ExternalData_14[[#This Row],[ContractID]],Bantuan!$A:$C,2,0))</f>
        <v>0</v>
      </c>
      <c r="DL39" s="120">
        <f>IF(Table_ExternalData_14[[#This Row],[Keterangan_Sukses]]=" ",Table_ExternalData_14[[#This Row],[Keterangan_Sukses]],VLOOKUP(Table_ExternalData_14[[#This Row],[ContractID]],Bantuan!$A:$C,3,0))</f>
        <v>0</v>
      </c>
    </row>
    <row r="40" spans="1:116" x14ac:dyDescent="0.3">
      <c r="A40" s="117" t="s">
        <v>747</v>
      </c>
      <c r="B40" s="112" t="s">
        <v>455</v>
      </c>
      <c r="C40" s="113">
        <v>46142</v>
      </c>
      <c r="D40" s="279">
        <v>45966</v>
      </c>
      <c r="E40" s="113">
        <v>44806</v>
      </c>
      <c r="F40" s="112" t="s">
        <v>1389</v>
      </c>
      <c r="G40" s="112" t="s">
        <v>1390</v>
      </c>
      <c r="H40" s="112" t="s">
        <v>1391</v>
      </c>
      <c r="I40" s="112" t="s">
        <v>1392</v>
      </c>
      <c r="J40" s="112" t="s">
        <v>1393</v>
      </c>
      <c r="K40" s="112" t="s">
        <v>4</v>
      </c>
      <c r="L40" s="112" t="s">
        <v>1393</v>
      </c>
      <c r="M40" s="112" t="s">
        <v>1394</v>
      </c>
      <c r="N40" s="112" t="s">
        <v>1395</v>
      </c>
      <c r="O40" s="112" t="s">
        <v>1396</v>
      </c>
      <c r="P40" s="112" t="s">
        <v>1397</v>
      </c>
      <c r="Q40" s="112" t="s">
        <v>1398</v>
      </c>
      <c r="R40" s="112" t="s">
        <v>4</v>
      </c>
      <c r="S40" s="112" t="s">
        <v>4</v>
      </c>
      <c r="T40" s="112" t="s">
        <v>306</v>
      </c>
      <c r="U40" s="112" t="s">
        <v>306</v>
      </c>
      <c r="V40" s="112" t="s">
        <v>306</v>
      </c>
      <c r="W40" s="112" t="s">
        <v>120</v>
      </c>
      <c r="X40" s="112" t="s">
        <v>121</v>
      </c>
      <c r="Y40" s="112" t="s">
        <v>136</v>
      </c>
      <c r="Z40" s="112" t="s">
        <v>142</v>
      </c>
      <c r="AA40" s="112" t="s">
        <v>1399</v>
      </c>
      <c r="AB40" s="112" t="s">
        <v>1400</v>
      </c>
      <c r="AC40" s="112" t="s">
        <v>1401</v>
      </c>
      <c r="AD40" s="112">
        <v>70170000</v>
      </c>
      <c r="AE40" s="112">
        <v>62878698.789999999</v>
      </c>
      <c r="AF40" s="112">
        <v>42102000</v>
      </c>
      <c r="AG40" s="112">
        <v>28068000</v>
      </c>
      <c r="AH40" s="112">
        <v>47616110</v>
      </c>
      <c r="AI40" s="112">
        <v>88000</v>
      </c>
      <c r="AJ40" s="112">
        <v>4678000</v>
      </c>
      <c r="AK40" s="112">
        <v>176</v>
      </c>
      <c r="AL40" s="112">
        <v>6</v>
      </c>
      <c r="AM40" s="112">
        <v>37</v>
      </c>
      <c r="AN40" s="112">
        <v>51</v>
      </c>
      <c r="AO40" s="112" t="s">
        <v>123</v>
      </c>
      <c r="AP40" s="112" t="s">
        <v>123</v>
      </c>
      <c r="AQ40" s="112" t="s">
        <v>124</v>
      </c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 t="s">
        <v>129</v>
      </c>
      <c r="BG40" s="112" t="s">
        <v>130</v>
      </c>
      <c r="BH40" s="112">
        <v>7</v>
      </c>
      <c r="BI40" s="112">
        <v>32746000</v>
      </c>
      <c r="BJ40" s="113"/>
      <c r="BK40" s="113"/>
      <c r="BL40" s="113"/>
      <c r="BM40" s="112"/>
      <c r="BN40" s="113">
        <v>46173</v>
      </c>
      <c r="BO40" s="112">
        <v>1</v>
      </c>
      <c r="BP40" s="114">
        <v>46149</v>
      </c>
      <c r="BQ40" s="112" t="s">
        <v>131</v>
      </c>
      <c r="BR40" s="112">
        <v>183</v>
      </c>
      <c r="BS40" s="113">
        <v>45966</v>
      </c>
      <c r="BT40" s="112">
        <v>70170000</v>
      </c>
      <c r="BU40" s="112">
        <v>0</v>
      </c>
      <c r="BV40" s="112">
        <v>1</v>
      </c>
      <c r="BW40" s="112">
        <v>0</v>
      </c>
      <c r="BX40" s="112">
        <v>0</v>
      </c>
      <c r="BY40" s="112">
        <v>0</v>
      </c>
      <c r="BZ40" s="112">
        <v>0</v>
      </c>
      <c r="CA40" s="112">
        <v>0</v>
      </c>
      <c r="CB40" s="112">
        <v>0</v>
      </c>
      <c r="CC40" s="113"/>
      <c r="CD40" s="112">
        <v>0</v>
      </c>
      <c r="CE40" s="113"/>
      <c r="CF40" s="112">
        <v>0</v>
      </c>
      <c r="CG40" s="113"/>
      <c r="CH40" s="112">
        <v>0</v>
      </c>
      <c r="CI40" s="113"/>
      <c r="CJ40" s="112">
        <v>0</v>
      </c>
      <c r="CK40" s="113"/>
      <c r="CL40" s="112">
        <v>0</v>
      </c>
      <c r="CM40" s="113">
        <v>46149</v>
      </c>
      <c r="CN40" s="112" t="s">
        <v>132</v>
      </c>
      <c r="CO40" s="112">
        <v>62790698.789999999</v>
      </c>
      <c r="CP40" s="112">
        <v>62790698.789999999</v>
      </c>
      <c r="CQ40" s="112">
        <v>5</v>
      </c>
      <c r="CR40" s="118"/>
      <c r="CS40" s="119"/>
      <c r="CT40" s="112">
        <v>0</v>
      </c>
      <c r="CU40" s="112" t="s">
        <v>748</v>
      </c>
      <c r="CV40" s="112" t="s">
        <v>320</v>
      </c>
      <c r="CW40" s="113">
        <v>46149</v>
      </c>
      <c r="CX40" s="112" t="s">
        <v>2116</v>
      </c>
      <c r="CY40" s="120">
        <f>MONTH(Table_ExternalData_14[[#This Row],[RunningReportDate]])</f>
        <v>5</v>
      </c>
      <c r="CZ40" s="120">
        <f>181-Table_ExternalData_14[[#This Row],[DaysOD]]</f>
        <v>5</v>
      </c>
      <c r="DA40" s="120">
        <f>IF(Table_ExternalData_14[[#This Row],[Status]]="PU-WC",0,Table_ExternalData_14[[#This Row],[Amount_CWO]]/1000000)</f>
        <v>62.79069879</v>
      </c>
      <c r="DB40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40" s="120">
        <f>IF(Table_ExternalData_14[[#This Row],[Status]]="PU-WC",0,IF(Table_ExternalData_14[[#This Row],[Success CWO]]=1,Table_ExternalData_14[[#This Row],[CWO Amt]],0))</f>
        <v>0</v>
      </c>
      <c r="DD40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62.79069879</v>
      </c>
      <c r="DE40" s="120">
        <f>DAY(Table_ExternalData_14[[#This Row],[Tanggal_Sukses-new]])</f>
        <v>0</v>
      </c>
      <c r="DF40" s="120">
        <f>IF(Table_ExternalData_14[[#This Row],[Status]]="PU-WC",0,IF(SUM(Table_ExternalData_14[[#This Row],[Success CWO]:[WO-In-Amt]])=0,1,0))</f>
        <v>0</v>
      </c>
      <c r="DG40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40" s="120" t="str">
        <f>VLOOKUP(Table_ExternalData_14[[#This Row],[BranchID]],KC!$A:$K,5,0)</f>
        <v>4W</v>
      </c>
      <c r="DI40" s="120" t="str">
        <f>VLOOKUP(Table_ExternalData_14[[#This Row],[BranchID]],KC!$A:$K,8,0)</f>
        <v>06. Sulawesi</v>
      </c>
      <c r="DJ40" s="120" t="str">
        <f>VLOOKUP(Table_ExternalData_14[[#This Row],[BranchID]],KC!$A:$K,9,0)</f>
        <v>MAKASSAR</v>
      </c>
      <c r="DK40" s="121">
        <f>IF(Table_ExternalData_14[[#This Row],[Tanggal_Sukses]]=" ",Table_ExternalData_14[[#This Row],[Tanggal_Sukses]],VLOOKUP(Table_ExternalData_14[[#This Row],[ContractID]],Bantuan!$A:$C,2,0))</f>
        <v>0</v>
      </c>
      <c r="DL40" s="120">
        <f>IF(Table_ExternalData_14[[#This Row],[Keterangan_Sukses]]=" ",Table_ExternalData_14[[#This Row],[Keterangan_Sukses]],VLOOKUP(Table_ExternalData_14[[#This Row],[ContractID]],Bantuan!$A:$C,3,0))</f>
        <v>0</v>
      </c>
    </row>
    <row r="41" spans="1:116" x14ac:dyDescent="0.3">
      <c r="A41" s="117" t="s">
        <v>12</v>
      </c>
      <c r="B41" s="112" t="s">
        <v>11</v>
      </c>
      <c r="C41" s="113">
        <v>46142</v>
      </c>
      <c r="D41" s="279">
        <v>45966</v>
      </c>
      <c r="E41" s="113">
        <v>45867</v>
      </c>
      <c r="F41" s="112" t="s">
        <v>1402</v>
      </c>
      <c r="G41" s="112" t="s">
        <v>1403</v>
      </c>
      <c r="H41" s="112" t="s">
        <v>1404</v>
      </c>
      <c r="I41" s="112" t="s">
        <v>1405</v>
      </c>
      <c r="J41" s="112" t="s">
        <v>1406</v>
      </c>
      <c r="K41" s="112" t="s">
        <v>4</v>
      </c>
      <c r="L41" s="112" t="s">
        <v>1406</v>
      </c>
      <c r="M41" s="112" t="s">
        <v>1407</v>
      </c>
      <c r="N41" s="112" t="s">
        <v>1408</v>
      </c>
      <c r="O41" s="112" t="s">
        <v>11</v>
      </c>
      <c r="P41" s="112" t="s">
        <v>206</v>
      </c>
      <c r="Q41" s="112" t="s">
        <v>207</v>
      </c>
      <c r="R41" s="112" t="s">
        <v>4</v>
      </c>
      <c r="S41" s="112" t="s">
        <v>4</v>
      </c>
      <c r="T41" s="112" t="s">
        <v>1409</v>
      </c>
      <c r="U41" s="112" t="s">
        <v>1409</v>
      </c>
      <c r="V41" s="112" t="s">
        <v>870</v>
      </c>
      <c r="W41" s="112" t="s">
        <v>120</v>
      </c>
      <c r="X41" s="112" t="s">
        <v>121</v>
      </c>
      <c r="Y41" s="112" t="s">
        <v>136</v>
      </c>
      <c r="Z41" s="112" t="s">
        <v>142</v>
      </c>
      <c r="AA41" s="112" t="s">
        <v>1410</v>
      </c>
      <c r="AB41" s="112" t="s">
        <v>1411</v>
      </c>
      <c r="AC41" s="112" t="s">
        <v>1412</v>
      </c>
      <c r="AD41" s="112">
        <v>209668000</v>
      </c>
      <c r="AE41" s="112">
        <v>140803816.88</v>
      </c>
      <c r="AF41" s="112">
        <v>182320000</v>
      </c>
      <c r="AG41" s="112">
        <v>27348000</v>
      </c>
      <c r="AH41" s="112">
        <v>14371650</v>
      </c>
      <c r="AI41" s="112">
        <v>0</v>
      </c>
      <c r="AJ41" s="112">
        <v>4558000</v>
      </c>
      <c r="AK41" s="112">
        <v>176</v>
      </c>
      <c r="AL41" s="112">
        <v>6</v>
      </c>
      <c r="AM41" s="112">
        <v>3</v>
      </c>
      <c r="AN41" s="112">
        <v>48</v>
      </c>
      <c r="AO41" s="112" t="s">
        <v>123</v>
      </c>
      <c r="AP41" s="112" t="s">
        <v>123</v>
      </c>
      <c r="AQ41" s="112" t="s">
        <v>124</v>
      </c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 t="s">
        <v>129</v>
      </c>
      <c r="BG41" s="112" t="s">
        <v>130</v>
      </c>
      <c r="BH41" s="112">
        <v>7</v>
      </c>
      <c r="BI41" s="112">
        <v>31906000</v>
      </c>
      <c r="BJ41" s="113"/>
      <c r="BK41" s="113"/>
      <c r="BL41" s="113"/>
      <c r="BM41" s="112"/>
      <c r="BN41" s="113">
        <v>46173</v>
      </c>
      <c r="BO41" s="112">
        <v>1</v>
      </c>
      <c r="BP41" s="114">
        <v>46149</v>
      </c>
      <c r="BQ41" s="112" t="s">
        <v>131</v>
      </c>
      <c r="BR41" s="112">
        <v>183</v>
      </c>
      <c r="BS41" s="113">
        <v>45966</v>
      </c>
      <c r="BT41" s="112">
        <v>209668000</v>
      </c>
      <c r="BU41" s="112">
        <v>0</v>
      </c>
      <c r="BV41" s="112">
        <v>1</v>
      </c>
      <c r="BW41" s="112">
        <v>0</v>
      </c>
      <c r="BX41" s="112">
        <v>0</v>
      </c>
      <c r="BY41" s="112">
        <v>0</v>
      </c>
      <c r="BZ41" s="112">
        <v>0</v>
      </c>
      <c r="CA41" s="112">
        <v>0</v>
      </c>
      <c r="CB41" s="112">
        <v>0</v>
      </c>
      <c r="CC41" s="113"/>
      <c r="CD41" s="112">
        <v>0</v>
      </c>
      <c r="CE41" s="113"/>
      <c r="CF41" s="112">
        <v>0</v>
      </c>
      <c r="CG41" s="113"/>
      <c r="CH41" s="112">
        <v>0</v>
      </c>
      <c r="CI41" s="113"/>
      <c r="CJ41" s="112">
        <v>0</v>
      </c>
      <c r="CK41" s="113"/>
      <c r="CL41" s="112">
        <v>0</v>
      </c>
      <c r="CM41" s="113">
        <v>46149</v>
      </c>
      <c r="CN41" s="112" t="s">
        <v>132</v>
      </c>
      <c r="CO41" s="112">
        <v>140803816.88</v>
      </c>
      <c r="CP41" s="112">
        <v>140803816.88</v>
      </c>
      <c r="CQ41" s="112">
        <v>5</v>
      </c>
      <c r="CR41" s="118"/>
      <c r="CS41" s="119"/>
      <c r="CT41" s="112">
        <v>0</v>
      </c>
      <c r="CU41" s="112" t="s">
        <v>208</v>
      </c>
      <c r="CV41" s="112" t="s">
        <v>192</v>
      </c>
      <c r="CW41" s="113">
        <v>46149</v>
      </c>
      <c r="CX41" s="112" t="s">
        <v>2116</v>
      </c>
      <c r="CY41" s="120">
        <f>MONTH(Table_ExternalData_14[[#This Row],[RunningReportDate]])</f>
        <v>5</v>
      </c>
      <c r="CZ41" s="120">
        <f>181-Table_ExternalData_14[[#This Row],[DaysOD]]</f>
        <v>5</v>
      </c>
      <c r="DA41" s="120">
        <f>IF(Table_ExternalData_14[[#This Row],[Status]]="PU-WC",0,Table_ExternalData_14[[#This Row],[Amount_CWO]]/1000000)</f>
        <v>140.80381688</v>
      </c>
      <c r="DB41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41" s="120">
        <f>IF(Table_ExternalData_14[[#This Row],[Status]]="PU-WC",0,IF(Table_ExternalData_14[[#This Row],[Success CWO]]=1,Table_ExternalData_14[[#This Row],[CWO Amt]],0))</f>
        <v>0</v>
      </c>
      <c r="DD41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140.80381688</v>
      </c>
      <c r="DE41" s="120">
        <f>DAY(Table_ExternalData_14[[#This Row],[Tanggal_Sukses-new]])</f>
        <v>0</v>
      </c>
      <c r="DF41" s="120">
        <f>IF(Table_ExternalData_14[[#This Row],[Status]]="PU-WC",0,IF(SUM(Table_ExternalData_14[[#This Row],[Success CWO]:[WO-In-Amt]])=0,1,0))</f>
        <v>0</v>
      </c>
      <c r="DG41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41" s="120" t="str">
        <f>VLOOKUP(Table_ExternalData_14[[#This Row],[BranchID]],KC!$A:$K,5,0)</f>
        <v>4W</v>
      </c>
      <c r="DI41" s="120" t="str">
        <f>VLOOKUP(Table_ExternalData_14[[#This Row],[BranchID]],KC!$A:$K,8,0)</f>
        <v>01. Jabodetabekser</v>
      </c>
      <c r="DJ41" s="120" t="str">
        <f>VLOOKUP(Table_ExternalData_14[[#This Row],[BranchID]],KC!$A:$K,9,0)</f>
        <v>BOGOR</v>
      </c>
      <c r="DK41" s="121">
        <f>IF(Table_ExternalData_14[[#This Row],[Tanggal_Sukses]]=" ",Table_ExternalData_14[[#This Row],[Tanggal_Sukses]],VLOOKUP(Table_ExternalData_14[[#This Row],[ContractID]],Bantuan!$A:$C,2,0))</f>
        <v>0</v>
      </c>
      <c r="DL41" s="120">
        <f>IF(Table_ExternalData_14[[#This Row],[Keterangan_Sukses]]=" ",Table_ExternalData_14[[#This Row],[Keterangan_Sukses]],VLOOKUP(Table_ExternalData_14[[#This Row],[ContractID]],Bantuan!$A:$C,3,0))</f>
        <v>0</v>
      </c>
    </row>
    <row r="42" spans="1:116" x14ac:dyDescent="0.3">
      <c r="A42" s="117" t="s">
        <v>194</v>
      </c>
      <c r="B42" s="112" t="s">
        <v>193</v>
      </c>
      <c r="C42" s="113">
        <v>46142</v>
      </c>
      <c r="D42" s="279">
        <v>45966</v>
      </c>
      <c r="E42" s="113">
        <v>45656</v>
      </c>
      <c r="F42" s="112" t="s">
        <v>1413</v>
      </c>
      <c r="G42" s="112" t="s">
        <v>1414</v>
      </c>
      <c r="H42" s="112" t="s">
        <v>1415</v>
      </c>
      <c r="I42" s="112" t="s">
        <v>1416</v>
      </c>
      <c r="J42" s="112" t="s">
        <v>1417</v>
      </c>
      <c r="K42" s="112" t="s">
        <v>4</v>
      </c>
      <c r="L42" s="112" t="s">
        <v>1417</v>
      </c>
      <c r="M42" s="112" t="s">
        <v>1418</v>
      </c>
      <c r="N42" s="112" t="s">
        <v>1419</v>
      </c>
      <c r="O42" s="112" t="s">
        <v>195</v>
      </c>
      <c r="P42" s="112" t="s">
        <v>382</v>
      </c>
      <c r="Q42" s="112" t="s">
        <v>383</v>
      </c>
      <c r="R42" s="112" t="s">
        <v>4</v>
      </c>
      <c r="S42" s="112" t="s">
        <v>4</v>
      </c>
      <c r="T42" s="112" t="s">
        <v>4</v>
      </c>
      <c r="U42" s="112" t="s">
        <v>4</v>
      </c>
      <c r="V42" s="112" t="s">
        <v>141</v>
      </c>
      <c r="W42" s="112" t="s">
        <v>120</v>
      </c>
      <c r="X42" s="112" t="s">
        <v>121</v>
      </c>
      <c r="Y42" s="112" t="s">
        <v>136</v>
      </c>
      <c r="Z42" s="112" t="s">
        <v>137</v>
      </c>
      <c r="AA42" s="112" t="s">
        <v>1420</v>
      </c>
      <c r="AB42" s="112" t="s">
        <v>1421</v>
      </c>
      <c r="AC42" s="112" t="s">
        <v>1422</v>
      </c>
      <c r="AD42" s="112">
        <v>153900000</v>
      </c>
      <c r="AE42" s="112">
        <v>121192057.8</v>
      </c>
      <c r="AF42" s="112">
        <v>119700000</v>
      </c>
      <c r="AG42" s="112">
        <v>34200000</v>
      </c>
      <c r="AH42" s="112">
        <v>18752500</v>
      </c>
      <c r="AI42" s="112">
        <v>0</v>
      </c>
      <c r="AJ42" s="112">
        <v>5700000</v>
      </c>
      <c r="AK42" s="112">
        <v>176</v>
      </c>
      <c r="AL42" s="112">
        <v>6</v>
      </c>
      <c r="AM42" s="112">
        <v>10</v>
      </c>
      <c r="AN42" s="112">
        <v>36</v>
      </c>
      <c r="AO42" s="112" t="s">
        <v>123</v>
      </c>
      <c r="AP42" s="112" t="s">
        <v>123</v>
      </c>
      <c r="AQ42" s="112" t="s">
        <v>124</v>
      </c>
      <c r="AR42" s="112" t="s">
        <v>196</v>
      </c>
      <c r="AS42" s="112" t="s">
        <v>197</v>
      </c>
      <c r="AT42" s="112" t="s">
        <v>198</v>
      </c>
      <c r="AU42" s="112" t="s">
        <v>199</v>
      </c>
      <c r="AV42" s="112" t="s">
        <v>125</v>
      </c>
      <c r="AW42" s="112" t="s">
        <v>126</v>
      </c>
      <c r="AX42" s="112" t="s">
        <v>127</v>
      </c>
      <c r="AY42" s="112" t="s">
        <v>200</v>
      </c>
      <c r="AZ42" s="112" t="s">
        <v>201</v>
      </c>
      <c r="BA42" s="112" t="s">
        <v>202</v>
      </c>
      <c r="BB42" s="112" t="s">
        <v>128</v>
      </c>
      <c r="BC42" s="112" t="s">
        <v>203</v>
      </c>
      <c r="BD42" s="112" t="s">
        <v>125</v>
      </c>
      <c r="BE42" s="112" t="s">
        <v>126</v>
      </c>
      <c r="BF42" s="112" t="s">
        <v>129</v>
      </c>
      <c r="BG42" s="112" t="s">
        <v>130</v>
      </c>
      <c r="BH42" s="112">
        <v>7</v>
      </c>
      <c r="BI42" s="112">
        <v>39900000</v>
      </c>
      <c r="BJ42" s="113"/>
      <c r="BK42" s="113"/>
      <c r="BL42" s="113"/>
      <c r="BM42" s="112"/>
      <c r="BN42" s="113">
        <v>46173</v>
      </c>
      <c r="BO42" s="112">
        <v>1</v>
      </c>
      <c r="BP42" s="114">
        <v>46149</v>
      </c>
      <c r="BQ42" s="112" t="s">
        <v>131</v>
      </c>
      <c r="BR42" s="112">
        <v>183</v>
      </c>
      <c r="BS42" s="113">
        <v>45966</v>
      </c>
      <c r="BT42" s="112">
        <v>153900000</v>
      </c>
      <c r="BU42" s="112">
        <v>0</v>
      </c>
      <c r="BV42" s="112">
        <v>1</v>
      </c>
      <c r="BW42" s="112">
        <v>0</v>
      </c>
      <c r="BX42" s="112">
        <v>0</v>
      </c>
      <c r="BY42" s="112">
        <v>0</v>
      </c>
      <c r="BZ42" s="112">
        <v>0</v>
      </c>
      <c r="CA42" s="112">
        <v>0</v>
      </c>
      <c r="CB42" s="112">
        <v>0</v>
      </c>
      <c r="CC42" s="113"/>
      <c r="CD42" s="112">
        <v>0</v>
      </c>
      <c r="CE42" s="113"/>
      <c r="CF42" s="112">
        <v>0</v>
      </c>
      <c r="CG42" s="113"/>
      <c r="CH42" s="112">
        <v>0</v>
      </c>
      <c r="CI42" s="113"/>
      <c r="CJ42" s="112">
        <v>0</v>
      </c>
      <c r="CK42" s="113"/>
      <c r="CL42" s="112">
        <v>0</v>
      </c>
      <c r="CM42" s="113">
        <v>46149</v>
      </c>
      <c r="CN42" s="112" t="s">
        <v>132</v>
      </c>
      <c r="CO42" s="112">
        <v>121192057.8</v>
      </c>
      <c r="CP42" s="112">
        <v>121192057.8</v>
      </c>
      <c r="CQ42" s="112">
        <v>5</v>
      </c>
      <c r="CR42" s="118"/>
      <c r="CS42" s="119"/>
      <c r="CT42" s="112">
        <v>0</v>
      </c>
      <c r="CU42" s="112" t="s">
        <v>204</v>
      </c>
      <c r="CV42" s="112" t="s">
        <v>205</v>
      </c>
      <c r="CW42" s="113">
        <v>46149</v>
      </c>
      <c r="CX42" s="112" t="s">
        <v>2116</v>
      </c>
      <c r="CY42" s="120">
        <f>MONTH(Table_ExternalData_14[[#This Row],[RunningReportDate]])</f>
        <v>5</v>
      </c>
      <c r="CZ42" s="120">
        <f>181-Table_ExternalData_14[[#This Row],[DaysOD]]</f>
        <v>5</v>
      </c>
      <c r="DA42" s="120">
        <f>IF(Table_ExternalData_14[[#This Row],[Status]]="PU-WC",0,Table_ExternalData_14[[#This Row],[Amount_CWO]]/1000000)</f>
        <v>121.1920578</v>
      </c>
      <c r="DB42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42" s="120">
        <f>IF(Table_ExternalData_14[[#This Row],[Status]]="PU-WC",0,IF(Table_ExternalData_14[[#This Row],[Success CWO]]=1,Table_ExternalData_14[[#This Row],[CWO Amt]],0))</f>
        <v>0</v>
      </c>
      <c r="DD42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121.1920578</v>
      </c>
      <c r="DE42" s="120">
        <f>DAY(Table_ExternalData_14[[#This Row],[Tanggal_Sukses-new]])</f>
        <v>0</v>
      </c>
      <c r="DF42" s="120">
        <f>IF(Table_ExternalData_14[[#This Row],[Status]]="PU-WC",0,IF(SUM(Table_ExternalData_14[[#This Row],[Success CWO]:[WO-In-Amt]])=0,1,0))</f>
        <v>0</v>
      </c>
      <c r="DG42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42" s="120" t="str">
        <f>VLOOKUP(Table_ExternalData_14[[#This Row],[BranchID]],KC!$A:$K,5,0)</f>
        <v>4W</v>
      </c>
      <c r="DI42" s="120" t="str">
        <f>VLOOKUP(Table_ExternalData_14[[#This Row],[BranchID]],KC!$A:$K,8,0)</f>
        <v>05. Kalimantan</v>
      </c>
      <c r="DJ42" s="120" t="str">
        <f>VLOOKUP(Table_ExternalData_14[[#This Row],[BranchID]],KC!$A:$K,9,0)</f>
        <v>SAMARINDA</v>
      </c>
      <c r="DK42" s="121">
        <f>IF(Table_ExternalData_14[[#This Row],[Tanggal_Sukses]]=" ",Table_ExternalData_14[[#This Row],[Tanggal_Sukses]],VLOOKUP(Table_ExternalData_14[[#This Row],[ContractID]],Bantuan!$A:$C,2,0))</f>
        <v>0</v>
      </c>
      <c r="DL42" s="120">
        <f>IF(Table_ExternalData_14[[#This Row],[Keterangan_Sukses]]=" ",Table_ExternalData_14[[#This Row],[Keterangan_Sukses]],VLOOKUP(Table_ExternalData_14[[#This Row],[ContractID]],Bantuan!$A:$C,3,0))</f>
        <v>0</v>
      </c>
    </row>
    <row r="43" spans="1:116" x14ac:dyDescent="0.3">
      <c r="A43" s="117" t="s">
        <v>194</v>
      </c>
      <c r="B43" s="112" t="s">
        <v>193</v>
      </c>
      <c r="C43" s="113">
        <v>46142</v>
      </c>
      <c r="D43" s="279">
        <v>45966</v>
      </c>
      <c r="E43" s="113">
        <v>45412</v>
      </c>
      <c r="F43" s="112" t="s">
        <v>1423</v>
      </c>
      <c r="G43" s="112" t="s">
        <v>1424</v>
      </c>
      <c r="H43" s="112" t="s">
        <v>1425</v>
      </c>
      <c r="I43" s="112" t="s">
        <v>1426</v>
      </c>
      <c r="J43" s="112" t="s">
        <v>1427</v>
      </c>
      <c r="K43" s="112" t="s">
        <v>4</v>
      </c>
      <c r="L43" s="112" t="s">
        <v>1427</v>
      </c>
      <c r="M43" s="112" t="s">
        <v>1428</v>
      </c>
      <c r="N43" s="112" t="s">
        <v>1429</v>
      </c>
      <c r="O43" s="112" t="s">
        <v>1430</v>
      </c>
      <c r="P43" s="112" t="s">
        <v>923</v>
      </c>
      <c r="Q43" s="112" t="s">
        <v>924</v>
      </c>
      <c r="R43" s="112" t="s">
        <v>4</v>
      </c>
      <c r="S43" s="112" t="s">
        <v>4</v>
      </c>
      <c r="T43" s="112" t="s">
        <v>4</v>
      </c>
      <c r="U43" s="112" t="s">
        <v>4</v>
      </c>
      <c r="V43" s="112" t="s">
        <v>141</v>
      </c>
      <c r="W43" s="112" t="s">
        <v>120</v>
      </c>
      <c r="X43" s="112" t="s">
        <v>121</v>
      </c>
      <c r="Y43" s="112" t="s">
        <v>136</v>
      </c>
      <c r="Z43" s="112" t="s">
        <v>189</v>
      </c>
      <c r="AA43" s="112" t="s">
        <v>1431</v>
      </c>
      <c r="AB43" s="112" t="s">
        <v>1432</v>
      </c>
      <c r="AC43" s="112" t="s">
        <v>1433</v>
      </c>
      <c r="AD43" s="112">
        <v>182750000</v>
      </c>
      <c r="AE43" s="112">
        <v>130590765.03</v>
      </c>
      <c r="AF43" s="112">
        <v>157250000</v>
      </c>
      <c r="AG43" s="112">
        <v>25500000</v>
      </c>
      <c r="AH43" s="112">
        <v>13843750</v>
      </c>
      <c r="AI43" s="112">
        <v>0</v>
      </c>
      <c r="AJ43" s="112">
        <v>4250000</v>
      </c>
      <c r="AK43" s="112">
        <v>176</v>
      </c>
      <c r="AL43" s="112">
        <v>6</v>
      </c>
      <c r="AM43" s="112">
        <v>18</v>
      </c>
      <c r="AN43" s="112">
        <v>60</v>
      </c>
      <c r="AO43" s="112" t="s">
        <v>123</v>
      </c>
      <c r="AP43" s="112" t="s">
        <v>123</v>
      </c>
      <c r="AQ43" s="112" t="s">
        <v>124</v>
      </c>
      <c r="AR43" s="112" t="s">
        <v>384</v>
      </c>
      <c r="AS43" s="112" t="s">
        <v>385</v>
      </c>
      <c r="AT43" s="112" t="s">
        <v>386</v>
      </c>
      <c r="AU43" s="112" t="s">
        <v>199</v>
      </c>
      <c r="AV43" s="112" t="s">
        <v>125</v>
      </c>
      <c r="AW43" s="112" t="s">
        <v>126</v>
      </c>
      <c r="AX43" s="112" t="s">
        <v>127</v>
      </c>
      <c r="AY43" s="112" t="s">
        <v>200</v>
      </c>
      <c r="AZ43" s="112" t="s">
        <v>201</v>
      </c>
      <c r="BA43" s="112" t="s">
        <v>202</v>
      </c>
      <c r="BB43" s="112" t="s">
        <v>128</v>
      </c>
      <c r="BC43" s="112" t="s">
        <v>203</v>
      </c>
      <c r="BD43" s="112" t="s">
        <v>125</v>
      </c>
      <c r="BE43" s="112" t="s">
        <v>126</v>
      </c>
      <c r="BF43" s="112" t="s">
        <v>129</v>
      </c>
      <c r="BG43" s="112" t="s">
        <v>130</v>
      </c>
      <c r="BH43" s="112">
        <v>7</v>
      </c>
      <c r="BI43" s="112">
        <v>29750000</v>
      </c>
      <c r="BJ43" s="113"/>
      <c r="BK43" s="113"/>
      <c r="BL43" s="113"/>
      <c r="BM43" s="112"/>
      <c r="BN43" s="113">
        <v>46173</v>
      </c>
      <c r="BO43" s="112">
        <v>1</v>
      </c>
      <c r="BP43" s="114">
        <v>46149</v>
      </c>
      <c r="BQ43" s="112" t="s">
        <v>131</v>
      </c>
      <c r="BR43" s="112">
        <v>183</v>
      </c>
      <c r="BS43" s="113">
        <v>45966</v>
      </c>
      <c r="BT43" s="112">
        <v>182750000</v>
      </c>
      <c r="BU43" s="112">
        <v>0</v>
      </c>
      <c r="BV43" s="112">
        <v>1</v>
      </c>
      <c r="BW43" s="112">
        <v>0</v>
      </c>
      <c r="BX43" s="112">
        <v>0</v>
      </c>
      <c r="BY43" s="112">
        <v>0</v>
      </c>
      <c r="BZ43" s="112">
        <v>0</v>
      </c>
      <c r="CA43" s="112">
        <v>0</v>
      </c>
      <c r="CB43" s="112">
        <v>0</v>
      </c>
      <c r="CC43" s="113"/>
      <c r="CD43" s="112">
        <v>0</v>
      </c>
      <c r="CE43" s="113"/>
      <c r="CF43" s="112">
        <v>0</v>
      </c>
      <c r="CG43" s="113"/>
      <c r="CH43" s="112">
        <v>0</v>
      </c>
      <c r="CI43" s="113"/>
      <c r="CJ43" s="112">
        <v>0</v>
      </c>
      <c r="CK43" s="113"/>
      <c r="CL43" s="112">
        <v>0</v>
      </c>
      <c r="CM43" s="113">
        <v>46149</v>
      </c>
      <c r="CN43" s="112" t="s">
        <v>132</v>
      </c>
      <c r="CO43" s="112">
        <v>130590765.03</v>
      </c>
      <c r="CP43" s="112">
        <v>130590765.03</v>
      </c>
      <c r="CQ43" s="112">
        <v>5</v>
      </c>
      <c r="CR43" s="118"/>
      <c r="CS43" s="119"/>
      <c r="CT43" s="112">
        <v>0</v>
      </c>
      <c r="CU43" s="112" t="s">
        <v>204</v>
      </c>
      <c r="CV43" s="112" t="s">
        <v>205</v>
      </c>
      <c r="CW43" s="113">
        <v>46149</v>
      </c>
      <c r="CX43" s="112" t="s">
        <v>2116</v>
      </c>
      <c r="CY43" s="120">
        <f>MONTH(Table_ExternalData_14[[#This Row],[RunningReportDate]])</f>
        <v>5</v>
      </c>
      <c r="CZ43" s="120">
        <f>181-Table_ExternalData_14[[#This Row],[DaysOD]]</f>
        <v>5</v>
      </c>
      <c r="DA43" s="120">
        <f>IF(Table_ExternalData_14[[#This Row],[Status]]="PU-WC",0,Table_ExternalData_14[[#This Row],[Amount_CWO]]/1000000)</f>
        <v>130.59076503</v>
      </c>
      <c r="DB43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43" s="120">
        <f>IF(Table_ExternalData_14[[#This Row],[Status]]="PU-WC",0,IF(Table_ExternalData_14[[#This Row],[Success CWO]]=1,Table_ExternalData_14[[#This Row],[CWO Amt]],0))</f>
        <v>0</v>
      </c>
      <c r="DD43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130.59076503</v>
      </c>
      <c r="DE43" s="120">
        <f>DAY(Table_ExternalData_14[[#This Row],[Tanggal_Sukses-new]])</f>
        <v>0</v>
      </c>
      <c r="DF43" s="120">
        <f>IF(Table_ExternalData_14[[#This Row],[Status]]="PU-WC",0,IF(SUM(Table_ExternalData_14[[#This Row],[Success CWO]:[WO-In-Amt]])=0,1,0))</f>
        <v>0</v>
      </c>
      <c r="DG43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43" s="120" t="str">
        <f>VLOOKUP(Table_ExternalData_14[[#This Row],[BranchID]],KC!$A:$K,5,0)</f>
        <v>4W</v>
      </c>
      <c r="DI43" s="120" t="str">
        <f>VLOOKUP(Table_ExternalData_14[[#This Row],[BranchID]],KC!$A:$K,8,0)</f>
        <v>05. Kalimantan</v>
      </c>
      <c r="DJ43" s="120" t="str">
        <f>VLOOKUP(Table_ExternalData_14[[#This Row],[BranchID]],KC!$A:$K,9,0)</f>
        <v>SAMARINDA</v>
      </c>
      <c r="DK43" s="121">
        <f>IF(Table_ExternalData_14[[#This Row],[Tanggal_Sukses]]=" ",Table_ExternalData_14[[#This Row],[Tanggal_Sukses]],VLOOKUP(Table_ExternalData_14[[#This Row],[ContractID]],Bantuan!$A:$C,2,0))</f>
        <v>0</v>
      </c>
      <c r="DL43" s="120">
        <f>IF(Table_ExternalData_14[[#This Row],[Keterangan_Sukses]]=" ",Table_ExternalData_14[[#This Row],[Keterangan_Sukses]],VLOOKUP(Table_ExternalData_14[[#This Row],[ContractID]],Bantuan!$A:$C,3,0))</f>
        <v>0</v>
      </c>
    </row>
    <row r="44" spans="1:116" x14ac:dyDescent="0.3">
      <c r="A44" s="117" t="s">
        <v>194</v>
      </c>
      <c r="B44" s="112" t="s">
        <v>193</v>
      </c>
      <c r="C44" s="113">
        <v>46142</v>
      </c>
      <c r="D44" s="279">
        <v>45974</v>
      </c>
      <c r="E44" s="113">
        <v>45120</v>
      </c>
      <c r="F44" s="112" t="s">
        <v>1434</v>
      </c>
      <c r="G44" s="112" t="s">
        <v>1435</v>
      </c>
      <c r="H44" s="112" t="s">
        <v>1436</v>
      </c>
      <c r="I44" s="112" t="s">
        <v>1437</v>
      </c>
      <c r="J44" s="112" t="s">
        <v>1438</v>
      </c>
      <c r="K44" s="112" t="s">
        <v>4</v>
      </c>
      <c r="L44" s="112" t="s">
        <v>1438</v>
      </c>
      <c r="M44" s="112" t="s">
        <v>1439</v>
      </c>
      <c r="N44" s="112" t="s">
        <v>1440</v>
      </c>
      <c r="O44" s="112" t="s">
        <v>1011</v>
      </c>
      <c r="P44" s="112" t="s">
        <v>382</v>
      </c>
      <c r="Q44" s="112" t="s">
        <v>383</v>
      </c>
      <c r="R44" s="112" t="s">
        <v>4</v>
      </c>
      <c r="S44" s="112" t="s">
        <v>4</v>
      </c>
      <c r="T44" s="112" t="s">
        <v>4</v>
      </c>
      <c r="U44" s="112" t="s">
        <v>4</v>
      </c>
      <c r="V44" s="112" t="s">
        <v>152</v>
      </c>
      <c r="W44" s="112" t="s">
        <v>120</v>
      </c>
      <c r="X44" s="112" t="s">
        <v>121</v>
      </c>
      <c r="Y44" s="112" t="s">
        <v>136</v>
      </c>
      <c r="Z44" s="112" t="s">
        <v>137</v>
      </c>
      <c r="AA44" s="112" t="s">
        <v>1441</v>
      </c>
      <c r="AB44" s="112" t="s">
        <v>1442</v>
      </c>
      <c r="AC44" s="112" t="s">
        <v>1443</v>
      </c>
      <c r="AD44" s="112">
        <v>92400000</v>
      </c>
      <c r="AE44" s="112">
        <v>78616041.040000007</v>
      </c>
      <c r="AF44" s="112">
        <v>66000000</v>
      </c>
      <c r="AG44" s="112">
        <v>26400000</v>
      </c>
      <c r="AH44" s="112">
        <v>29360400</v>
      </c>
      <c r="AI44" s="112">
        <v>0</v>
      </c>
      <c r="AJ44" s="112">
        <v>4400000</v>
      </c>
      <c r="AK44" s="112">
        <v>168</v>
      </c>
      <c r="AL44" s="112">
        <v>6</v>
      </c>
      <c r="AM44" s="112">
        <v>28</v>
      </c>
      <c r="AN44" s="112">
        <v>48</v>
      </c>
      <c r="AO44" s="112" t="s">
        <v>123</v>
      </c>
      <c r="AP44" s="112" t="s">
        <v>123</v>
      </c>
      <c r="AQ44" s="112" t="s">
        <v>124</v>
      </c>
      <c r="AR44" s="112" t="s">
        <v>384</v>
      </c>
      <c r="AS44" s="112" t="s">
        <v>385</v>
      </c>
      <c r="AT44" s="112" t="s">
        <v>386</v>
      </c>
      <c r="AU44" s="112" t="s">
        <v>199</v>
      </c>
      <c r="AV44" s="112" t="s">
        <v>125</v>
      </c>
      <c r="AW44" s="112" t="s">
        <v>126</v>
      </c>
      <c r="AX44" s="112" t="s">
        <v>127</v>
      </c>
      <c r="AY44" s="112" t="s">
        <v>200</v>
      </c>
      <c r="AZ44" s="112" t="s">
        <v>201</v>
      </c>
      <c r="BA44" s="112" t="s">
        <v>202</v>
      </c>
      <c r="BB44" s="112" t="s">
        <v>128</v>
      </c>
      <c r="BC44" s="112" t="s">
        <v>203</v>
      </c>
      <c r="BD44" s="112" t="s">
        <v>125</v>
      </c>
      <c r="BE44" s="112" t="s">
        <v>126</v>
      </c>
      <c r="BF44" s="112" t="s">
        <v>129</v>
      </c>
      <c r="BG44" s="112" t="s">
        <v>130</v>
      </c>
      <c r="BH44" s="112">
        <v>7</v>
      </c>
      <c r="BI44" s="112">
        <v>30800000</v>
      </c>
      <c r="BJ44" s="113"/>
      <c r="BK44" s="113"/>
      <c r="BL44" s="113"/>
      <c r="BM44" s="112"/>
      <c r="BN44" s="113">
        <v>46173</v>
      </c>
      <c r="BO44" s="112">
        <v>1</v>
      </c>
      <c r="BP44" s="114">
        <v>46149</v>
      </c>
      <c r="BQ44" s="112" t="s">
        <v>131</v>
      </c>
      <c r="BR44" s="112">
        <v>175</v>
      </c>
      <c r="BS44" s="113">
        <v>45974</v>
      </c>
      <c r="BT44" s="112">
        <v>92400000</v>
      </c>
      <c r="BU44" s="112">
        <v>0</v>
      </c>
      <c r="BV44" s="112">
        <v>1</v>
      </c>
      <c r="BW44" s="112">
        <v>0</v>
      </c>
      <c r="BX44" s="112">
        <v>0</v>
      </c>
      <c r="BY44" s="112">
        <v>0</v>
      </c>
      <c r="BZ44" s="112">
        <v>0</v>
      </c>
      <c r="CA44" s="112">
        <v>0</v>
      </c>
      <c r="CB44" s="112">
        <v>0</v>
      </c>
      <c r="CC44" s="113"/>
      <c r="CD44" s="112">
        <v>0</v>
      </c>
      <c r="CE44" s="113"/>
      <c r="CF44" s="112">
        <v>0</v>
      </c>
      <c r="CG44" s="113"/>
      <c r="CH44" s="112">
        <v>0</v>
      </c>
      <c r="CI44" s="113"/>
      <c r="CJ44" s="112">
        <v>0</v>
      </c>
      <c r="CK44" s="113"/>
      <c r="CL44" s="112">
        <v>0</v>
      </c>
      <c r="CM44" s="113">
        <v>46149</v>
      </c>
      <c r="CN44" s="112" t="s">
        <v>132</v>
      </c>
      <c r="CO44" s="112">
        <v>78616041.040000007</v>
      </c>
      <c r="CP44" s="112">
        <v>78616041.040000007</v>
      </c>
      <c r="CQ44" s="112">
        <v>13</v>
      </c>
      <c r="CR44" s="118"/>
      <c r="CS44" s="119"/>
      <c r="CT44" s="112">
        <v>0</v>
      </c>
      <c r="CU44" s="112" t="s">
        <v>204</v>
      </c>
      <c r="CV44" s="112" t="s">
        <v>205</v>
      </c>
      <c r="CW44" s="113">
        <v>46149</v>
      </c>
      <c r="CX44" s="112" t="s">
        <v>2116</v>
      </c>
      <c r="CY44" s="120">
        <f>MONTH(Table_ExternalData_14[[#This Row],[RunningReportDate]])</f>
        <v>5</v>
      </c>
      <c r="CZ44" s="120">
        <f>181-Table_ExternalData_14[[#This Row],[DaysOD]]</f>
        <v>13</v>
      </c>
      <c r="DA44" s="120">
        <f>IF(Table_ExternalData_14[[#This Row],[Status]]="PU-WC",0,Table_ExternalData_14[[#This Row],[Amount_CWO]]/1000000)</f>
        <v>78.616041040000013</v>
      </c>
      <c r="DB44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44" s="120">
        <f>IF(Table_ExternalData_14[[#This Row],[Status]]="PU-WC",0,IF(Table_ExternalData_14[[#This Row],[Success CWO]]=1,Table_ExternalData_14[[#This Row],[CWO Amt]],0))</f>
        <v>0</v>
      </c>
      <c r="DD44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44" s="120">
        <f>DAY(Table_ExternalData_14[[#This Row],[Tanggal_Sukses-new]])</f>
        <v>0</v>
      </c>
      <c r="DF44" s="120">
        <f>IF(Table_ExternalData_14[[#This Row],[Status]]="PU-WC",0,IF(SUM(Table_ExternalData_14[[#This Row],[Success CWO]:[WO-In-Amt]])=0,1,0))</f>
        <v>1</v>
      </c>
      <c r="DG44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78.616041040000013</v>
      </c>
      <c r="DH44" s="120" t="str">
        <f>VLOOKUP(Table_ExternalData_14[[#This Row],[BranchID]],KC!$A:$K,5,0)</f>
        <v>4W</v>
      </c>
      <c r="DI44" s="120" t="str">
        <f>VLOOKUP(Table_ExternalData_14[[#This Row],[BranchID]],KC!$A:$K,8,0)</f>
        <v>05. Kalimantan</v>
      </c>
      <c r="DJ44" s="120" t="str">
        <f>VLOOKUP(Table_ExternalData_14[[#This Row],[BranchID]],KC!$A:$K,9,0)</f>
        <v>SAMARINDA</v>
      </c>
      <c r="DK44" s="121">
        <f>IF(Table_ExternalData_14[[#This Row],[Tanggal_Sukses]]=" ",Table_ExternalData_14[[#This Row],[Tanggal_Sukses]],VLOOKUP(Table_ExternalData_14[[#This Row],[ContractID]],Bantuan!$A:$C,2,0))</f>
        <v>0</v>
      </c>
      <c r="DL44" s="120">
        <f>IF(Table_ExternalData_14[[#This Row],[Keterangan_Sukses]]=" ",Table_ExternalData_14[[#This Row],[Keterangan_Sukses]],VLOOKUP(Table_ExternalData_14[[#This Row],[ContractID]],Bantuan!$A:$C,3,0))</f>
        <v>0</v>
      </c>
    </row>
    <row r="45" spans="1:116" x14ac:dyDescent="0.3">
      <c r="A45" s="117" t="s">
        <v>194</v>
      </c>
      <c r="B45" s="112" t="s">
        <v>193</v>
      </c>
      <c r="C45" s="113">
        <v>46142</v>
      </c>
      <c r="D45" s="279">
        <v>45970</v>
      </c>
      <c r="E45" s="113">
        <v>44663</v>
      </c>
      <c r="F45" s="112" t="s">
        <v>1444</v>
      </c>
      <c r="G45" s="112" t="s">
        <v>1445</v>
      </c>
      <c r="H45" s="112" t="s">
        <v>1446</v>
      </c>
      <c r="I45" s="112" t="s">
        <v>1447</v>
      </c>
      <c r="J45" s="112" t="s">
        <v>1448</v>
      </c>
      <c r="K45" s="112" t="s">
        <v>4</v>
      </c>
      <c r="L45" s="112" t="s">
        <v>1448</v>
      </c>
      <c r="M45" s="112" t="s">
        <v>1449</v>
      </c>
      <c r="N45" s="112" t="s">
        <v>1450</v>
      </c>
      <c r="O45" s="112" t="s">
        <v>904</v>
      </c>
      <c r="P45" s="112" t="s">
        <v>923</v>
      </c>
      <c r="Q45" s="112" t="s">
        <v>924</v>
      </c>
      <c r="R45" s="112" t="s">
        <v>4</v>
      </c>
      <c r="S45" s="112" t="s">
        <v>4</v>
      </c>
      <c r="T45" s="112" t="s">
        <v>4</v>
      </c>
      <c r="U45" s="112" t="s">
        <v>4</v>
      </c>
      <c r="V45" s="112" t="s">
        <v>1451</v>
      </c>
      <c r="W45" s="112" t="s">
        <v>120</v>
      </c>
      <c r="X45" s="112" t="s">
        <v>121</v>
      </c>
      <c r="Y45" s="112" t="s">
        <v>136</v>
      </c>
      <c r="Z45" s="112" t="s">
        <v>137</v>
      </c>
      <c r="AA45" s="112" t="s">
        <v>1452</v>
      </c>
      <c r="AB45" s="112" t="s">
        <v>1453</v>
      </c>
      <c r="AC45" s="112" t="s">
        <v>1454</v>
      </c>
      <c r="AD45" s="112">
        <v>17736000</v>
      </c>
      <c r="AE45" s="112">
        <v>17082021.609999999</v>
      </c>
      <c r="AF45" s="112">
        <v>0</v>
      </c>
      <c r="AG45" s="112">
        <v>17736000</v>
      </c>
      <c r="AH45" s="112">
        <v>23227090</v>
      </c>
      <c r="AI45" s="112">
        <v>0</v>
      </c>
      <c r="AJ45" s="112">
        <v>4434000</v>
      </c>
      <c r="AK45" s="112">
        <v>172</v>
      </c>
      <c r="AL45" s="112">
        <v>4</v>
      </c>
      <c r="AM45" s="112">
        <v>43</v>
      </c>
      <c r="AN45" s="112">
        <v>46</v>
      </c>
      <c r="AO45" s="112" t="s">
        <v>123</v>
      </c>
      <c r="AP45" s="112" t="s">
        <v>123</v>
      </c>
      <c r="AQ45" s="112" t="s">
        <v>124</v>
      </c>
      <c r="AR45" s="112" t="s">
        <v>384</v>
      </c>
      <c r="AS45" s="112" t="s">
        <v>385</v>
      </c>
      <c r="AT45" s="112" t="s">
        <v>386</v>
      </c>
      <c r="AU45" s="112" t="s">
        <v>199</v>
      </c>
      <c r="AV45" s="112" t="s">
        <v>125</v>
      </c>
      <c r="AW45" s="112" t="s">
        <v>126</v>
      </c>
      <c r="AX45" s="112" t="s">
        <v>127</v>
      </c>
      <c r="AY45" s="112" t="s">
        <v>200</v>
      </c>
      <c r="AZ45" s="112" t="s">
        <v>201</v>
      </c>
      <c r="BA45" s="112" t="s">
        <v>202</v>
      </c>
      <c r="BB45" s="112" t="s">
        <v>128</v>
      </c>
      <c r="BC45" s="112" t="s">
        <v>203</v>
      </c>
      <c r="BD45" s="112" t="s">
        <v>125</v>
      </c>
      <c r="BE45" s="112" t="s">
        <v>126</v>
      </c>
      <c r="BF45" s="112" t="s">
        <v>129</v>
      </c>
      <c r="BG45" s="112" t="s">
        <v>130</v>
      </c>
      <c r="BH45" s="112">
        <v>4</v>
      </c>
      <c r="BI45" s="112">
        <v>17736000</v>
      </c>
      <c r="BJ45" s="113"/>
      <c r="BK45" s="113"/>
      <c r="BL45" s="113"/>
      <c r="BM45" s="112"/>
      <c r="BN45" s="113">
        <v>46173</v>
      </c>
      <c r="BO45" s="112">
        <v>1</v>
      </c>
      <c r="BP45" s="114">
        <v>46149</v>
      </c>
      <c r="BQ45" s="112" t="s">
        <v>2999</v>
      </c>
      <c r="BR45" s="112"/>
      <c r="BS45" s="113"/>
      <c r="BT45" s="112">
        <v>0</v>
      </c>
      <c r="BU45" s="112">
        <v>17736000</v>
      </c>
      <c r="BV45" s="112">
        <v>0</v>
      </c>
      <c r="BW45" s="112">
        <v>1</v>
      </c>
      <c r="BX45" s="112">
        <v>1</v>
      </c>
      <c r="BY45" s="112">
        <v>4</v>
      </c>
      <c r="BZ45" s="112">
        <v>4</v>
      </c>
      <c r="CA45" s="112">
        <v>17736000</v>
      </c>
      <c r="CB45" s="112">
        <v>17736000</v>
      </c>
      <c r="CC45" s="113"/>
      <c r="CD45" s="112">
        <v>0</v>
      </c>
      <c r="CE45" s="113"/>
      <c r="CF45" s="112">
        <v>0</v>
      </c>
      <c r="CG45" s="113"/>
      <c r="CH45" s="112">
        <v>0</v>
      </c>
      <c r="CI45" s="113"/>
      <c r="CJ45" s="112">
        <v>0</v>
      </c>
      <c r="CK45" s="113"/>
      <c r="CL45" s="112">
        <v>0</v>
      </c>
      <c r="CM45" s="113">
        <v>46149</v>
      </c>
      <c r="CN45" s="112" t="s">
        <v>132</v>
      </c>
      <c r="CO45" s="112">
        <v>17082021.609999999</v>
      </c>
      <c r="CP45" s="112">
        <v>0</v>
      </c>
      <c r="CQ45" s="112">
        <v>0</v>
      </c>
      <c r="CR45" s="118">
        <v>46148</v>
      </c>
      <c r="CS45" s="119" t="s">
        <v>3000</v>
      </c>
      <c r="CT45" s="112">
        <v>17082021.609999999</v>
      </c>
      <c r="CU45" s="112" t="s">
        <v>204</v>
      </c>
      <c r="CV45" s="112" t="s">
        <v>205</v>
      </c>
      <c r="CW45" s="113">
        <v>46149</v>
      </c>
      <c r="CX45" s="112" t="s">
        <v>2116</v>
      </c>
      <c r="CY45" s="120">
        <f>MONTH(Table_ExternalData_14[[#This Row],[RunningReportDate]])</f>
        <v>5</v>
      </c>
      <c r="CZ45" s="120">
        <f>181-Table_ExternalData_14[[#This Row],[DaysOD]]</f>
        <v>9</v>
      </c>
      <c r="DA45" s="120">
        <f>IF(Table_ExternalData_14[[#This Row],[Status]]="PU-WC",0,Table_ExternalData_14[[#This Row],[Amount_CWO]]/1000000)</f>
        <v>17.082021609999998</v>
      </c>
      <c r="DB45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1</v>
      </c>
      <c r="DC45" s="120">
        <f>IF(Table_ExternalData_14[[#This Row],[Status]]="PU-WC",0,IF(Table_ExternalData_14[[#This Row],[Success CWO]]=1,Table_ExternalData_14[[#This Row],[CWO Amt]],0))</f>
        <v>17.082021609999998</v>
      </c>
      <c r="DD45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45" s="120">
        <f>DAY(Table_ExternalData_14[[#This Row],[Tanggal_Sukses-new]])</f>
        <v>6</v>
      </c>
      <c r="DF45" s="120">
        <f>IF(Table_ExternalData_14[[#This Row],[Status]]="PU-WC",0,IF(SUM(Table_ExternalData_14[[#This Row],[Success CWO]:[WO-In-Amt]])=0,1,0))</f>
        <v>0</v>
      </c>
      <c r="DG45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45" s="120" t="str">
        <f>VLOOKUP(Table_ExternalData_14[[#This Row],[BranchID]],KC!$A:$K,5,0)</f>
        <v>4W</v>
      </c>
      <c r="DI45" s="120" t="str">
        <f>VLOOKUP(Table_ExternalData_14[[#This Row],[BranchID]],KC!$A:$K,8,0)</f>
        <v>05. Kalimantan</v>
      </c>
      <c r="DJ45" s="120" t="str">
        <f>VLOOKUP(Table_ExternalData_14[[#This Row],[BranchID]],KC!$A:$K,9,0)</f>
        <v>SAMARINDA</v>
      </c>
      <c r="DK45" s="121">
        <f>IF(Table_ExternalData_14[[#This Row],[Tanggal_Sukses]]=" ",Table_ExternalData_14[[#This Row],[Tanggal_Sukses]],VLOOKUP(Table_ExternalData_14[[#This Row],[ContractID]],Bantuan!$A:$C,2,0))</f>
        <v>46148</v>
      </c>
      <c r="DL45" s="120" t="str">
        <f>IF(Table_ExternalData_14[[#This Row],[Keterangan_Sukses]]=" ",Table_ExternalData_14[[#This Row],[Keterangan_Sukses]],VLOOKUP(Table_ExternalData_14[[#This Row],[ContractID]],Bantuan!$A:$C,3,0))</f>
        <v>LUNAS SEBELUM WO</v>
      </c>
    </row>
    <row r="46" spans="1:116" x14ac:dyDescent="0.3">
      <c r="A46" s="117" t="s">
        <v>194</v>
      </c>
      <c r="B46" s="112" t="s">
        <v>193</v>
      </c>
      <c r="C46" s="113">
        <v>46142</v>
      </c>
      <c r="D46" s="279">
        <v>45985</v>
      </c>
      <c r="E46" s="113">
        <v>44629</v>
      </c>
      <c r="F46" s="112" t="s">
        <v>1012</v>
      </c>
      <c r="G46" s="112" t="s">
        <v>1013</v>
      </c>
      <c r="H46" s="112" t="s">
        <v>1014</v>
      </c>
      <c r="I46" s="112" t="s">
        <v>1015</v>
      </c>
      <c r="J46" s="112" t="s">
        <v>1016</v>
      </c>
      <c r="K46" s="112" t="s">
        <v>4</v>
      </c>
      <c r="L46" s="112" t="s">
        <v>1016</v>
      </c>
      <c r="M46" s="112" t="s">
        <v>1017</v>
      </c>
      <c r="N46" s="112" t="s">
        <v>1018</v>
      </c>
      <c r="O46" s="112" t="s">
        <v>193</v>
      </c>
      <c r="P46" s="112" t="s">
        <v>382</v>
      </c>
      <c r="Q46" s="112" t="s">
        <v>383</v>
      </c>
      <c r="R46" s="112" t="s">
        <v>4</v>
      </c>
      <c r="S46" s="112" t="s">
        <v>4</v>
      </c>
      <c r="T46" s="112" t="s">
        <v>4</v>
      </c>
      <c r="U46" s="112" t="s">
        <v>4</v>
      </c>
      <c r="V46" s="112" t="s">
        <v>152</v>
      </c>
      <c r="W46" s="112" t="s">
        <v>120</v>
      </c>
      <c r="X46" s="112" t="s">
        <v>121</v>
      </c>
      <c r="Y46" s="112" t="s">
        <v>136</v>
      </c>
      <c r="Z46" s="112" t="s">
        <v>142</v>
      </c>
      <c r="AA46" s="112" t="s">
        <v>1019</v>
      </c>
      <c r="AB46" s="112" t="s">
        <v>1020</v>
      </c>
      <c r="AC46" s="112" t="s">
        <v>1021</v>
      </c>
      <c r="AD46" s="112">
        <v>27060000</v>
      </c>
      <c r="AE46" s="112">
        <v>25759196.75</v>
      </c>
      <c r="AF46" s="112">
        <v>0</v>
      </c>
      <c r="AG46" s="112">
        <v>27060000</v>
      </c>
      <c r="AH46" s="112">
        <v>41882250</v>
      </c>
      <c r="AI46" s="112">
        <v>0</v>
      </c>
      <c r="AJ46" s="112">
        <v>4510000</v>
      </c>
      <c r="AK46" s="112">
        <v>157</v>
      </c>
      <c r="AL46" s="112">
        <v>6</v>
      </c>
      <c r="AM46" s="112">
        <v>44</v>
      </c>
      <c r="AN46" s="112">
        <v>49</v>
      </c>
      <c r="AO46" s="112" t="s">
        <v>123</v>
      </c>
      <c r="AP46" s="112" t="s">
        <v>123</v>
      </c>
      <c r="AQ46" s="112" t="s">
        <v>124</v>
      </c>
      <c r="AR46" s="112" t="s">
        <v>384</v>
      </c>
      <c r="AS46" s="112" t="s">
        <v>385</v>
      </c>
      <c r="AT46" s="112" t="s">
        <v>386</v>
      </c>
      <c r="AU46" s="112" t="s">
        <v>199</v>
      </c>
      <c r="AV46" s="112" t="s">
        <v>125</v>
      </c>
      <c r="AW46" s="112" t="s">
        <v>126</v>
      </c>
      <c r="AX46" s="112" t="s">
        <v>127</v>
      </c>
      <c r="AY46" s="112" t="s">
        <v>200</v>
      </c>
      <c r="AZ46" s="112" t="s">
        <v>201</v>
      </c>
      <c r="BA46" s="112" t="s">
        <v>202</v>
      </c>
      <c r="BB46" s="112" t="s">
        <v>128</v>
      </c>
      <c r="BC46" s="112" t="s">
        <v>203</v>
      </c>
      <c r="BD46" s="112" t="s">
        <v>125</v>
      </c>
      <c r="BE46" s="112" t="s">
        <v>126</v>
      </c>
      <c r="BF46" s="112" t="s">
        <v>129</v>
      </c>
      <c r="BG46" s="112" t="s">
        <v>130</v>
      </c>
      <c r="BH46" s="112">
        <v>6</v>
      </c>
      <c r="BI46" s="112">
        <v>27060000</v>
      </c>
      <c r="BJ46" s="113"/>
      <c r="BK46" s="113"/>
      <c r="BL46" s="113"/>
      <c r="BM46" s="112"/>
      <c r="BN46" s="113">
        <v>46173</v>
      </c>
      <c r="BO46" s="112">
        <v>1</v>
      </c>
      <c r="BP46" s="114">
        <v>46149</v>
      </c>
      <c r="BQ46" s="112" t="s">
        <v>131</v>
      </c>
      <c r="BR46" s="112">
        <v>164</v>
      </c>
      <c r="BS46" s="113">
        <v>45985</v>
      </c>
      <c r="BT46" s="112">
        <v>27060000</v>
      </c>
      <c r="BU46" s="112">
        <v>0</v>
      </c>
      <c r="BV46" s="112">
        <v>1</v>
      </c>
      <c r="BW46" s="112">
        <v>0</v>
      </c>
      <c r="BX46" s="112">
        <v>0</v>
      </c>
      <c r="BY46" s="112">
        <v>0</v>
      </c>
      <c r="BZ46" s="112">
        <v>0</v>
      </c>
      <c r="CA46" s="112">
        <v>0</v>
      </c>
      <c r="CB46" s="112">
        <v>0</v>
      </c>
      <c r="CC46" s="113"/>
      <c r="CD46" s="112">
        <v>0</v>
      </c>
      <c r="CE46" s="113"/>
      <c r="CF46" s="112">
        <v>0</v>
      </c>
      <c r="CG46" s="113"/>
      <c r="CH46" s="112">
        <v>0</v>
      </c>
      <c r="CI46" s="113"/>
      <c r="CJ46" s="112">
        <v>0</v>
      </c>
      <c r="CK46" s="113"/>
      <c r="CL46" s="112">
        <v>0</v>
      </c>
      <c r="CM46" s="113">
        <v>46149</v>
      </c>
      <c r="CN46" s="112" t="s">
        <v>132</v>
      </c>
      <c r="CO46" s="112">
        <v>25759196.75</v>
      </c>
      <c r="CP46" s="112">
        <v>25759196.75</v>
      </c>
      <c r="CQ46" s="112">
        <v>24</v>
      </c>
      <c r="CR46" s="118"/>
      <c r="CS46" s="119"/>
      <c r="CT46" s="112">
        <v>0</v>
      </c>
      <c r="CU46" s="112" t="s">
        <v>204</v>
      </c>
      <c r="CV46" s="112" t="s">
        <v>205</v>
      </c>
      <c r="CW46" s="113">
        <v>46149</v>
      </c>
      <c r="CX46" s="112" t="s">
        <v>2116</v>
      </c>
      <c r="CY46" s="120">
        <f>MONTH(Table_ExternalData_14[[#This Row],[RunningReportDate]])</f>
        <v>5</v>
      </c>
      <c r="CZ46" s="120">
        <f>181-Table_ExternalData_14[[#This Row],[DaysOD]]</f>
        <v>24</v>
      </c>
      <c r="DA46" s="120">
        <f>IF(Table_ExternalData_14[[#This Row],[Status]]="PU-WC",0,Table_ExternalData_14[[#This Row],[Amount_CWO]]/1000000)</f>
        <v>25.759196750000001</v>
      </c>
      <c r="DB46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46" s="120">
        <f>IF(Table_ExternalData_14[[#This Row],[Status]]="PU-WC",0,IF(Table_ExternalData_14[[#This Row],[Success CWO]]=1,Table_ExternalData_14[[#This Row],[CWO Amt]],0))</f>
        <v>0</v>
      </c>
      <c r="DD46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46" s="120">
        <f>DAY(Table_ExternalData_14[[#This Row],[Tanggal_Sukses-new]])</f>
        <v>0</v>
      </c>
      <c r="DF46" s="120">
        <f>IF(Table_ExternalData_14[[#This Row],[Status]]="PU-WC",0,IF(SUM(Table_ExternalData_14[[#This Row],[Success CWO]:[WO-In-Amt]])=0,1,0))</f>
        <v>1</v>
      </c>
      <c r="DG46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25.759196750000001</v>
      </c>
      <c r="DH46" s="120" t="str">
        <f>VLOOKUP(Table_ExternalData_14[[#This Row],[BranchID]],KC!$A:$K,5,0)</f>
        <v>4W</v>
      </c>
      <c r="DI46" s="120" t="str">
        <f>VLOOKUP(Table_ExternalData_14[[#This Row],[BranchID]],KC!$A:$K,8,0)</f>
        <v>05. Kalimantan</v>
      </c>
      <c r="DJ46" s="120" t="str">
        <f>VLOOKUP(Table_ExternalData_14[[#This Row],[BranchID]],KC!$A:$K,9,0)</f>
        <v>SAMARINDA</v>
      </c>
      <c r="DK46" s="121">
        <f>IF(Table_ExternalData_14[[#This Row],[Tanggal_Sukses]]=" ",Table_ExternalData_14[[#This Row],[Tanggal_Sukses]],VLOOKUP(Table_ExternalData_14[[#This Row],[ContractID]],Bantuan!$A:$C,2,0))</f>
        <v>0</v>
      </c>
      <c r="DL46" s="120">
        <f>IF(Table_ExternalData_14[[#This Row],[Keterangan_Sukses]]=" ",Table_ExternalData_14[[#This Row],[Keterangan_Sukses]],VLOOKUP(Table_ExternalData_14[[#This Row],[ContractID]],Bantuan!$A:$C,3,0))</f>
        <v>0</v>
      </c>
    </row>
    <row r="47" spans="1:116" x14ac:dyDescent="0.3">
      <c r="A47" s="117" t="s">
        <v>184</v>
      </c>
      <c r="B47" s="112" t="s">
        <v>183</v>
      </c>
      <c r="C47" s="113">
        <v>46142</v>
      </c>
      <c r="D47" s="279">
        <v>45966</v>
      </c>
      <c r="E47" s="113">
        <v>44895</v>
      </c>
      <c r="F47" s="112" t="s">
        <v>1455</v>
      </c>
      <c r="G47" s="112" t="s">
        <v>1456</v>
      </c>
      <c r="H47" s="112" t="s">
        <v>1457</v>
      </c>
      <c r="I47" s="112" t="s">
        <v>1458</v>
      </c>
      <c r="J47" s="112" t="s">
        <v>1459</v>
      </c>
      <c r="K47" s="112" t="s">
        <v>4</v>
      </c>
      <c r="L47" s="112" t="s">
        <v>1459</v>
      </c>
      <c r="M47" s="112" t="s">
        <v>1460</v>
      </c>
      <c r="N47" s="112" t="s">
        <v>1461</v>
      </c>
      <c r="O47" s="112" t="s">
        <v>183</v>
      </c>
      <c r="P47" s="112" t="s">
        <v>925</v>
      </c>
      <c r="Q47" s="112" t="s">
        <v>926</v>
      </c>
      <c r="R47" s="112" t="s">
        <v>4</v>
      </c>
      <c r="S47" s="112" t="s">
        <v>4</v>
      </c>
      <c r="T47" s="112" t="s">
        <v>4</v>
      </c>
      <c r="U47" s="112" t="s">
        <v>4</v>
      </c>
      <c r="V47" s="112" t="s">
        <v>1462</v>
      </c>
      <c r="W47" s="112" t="s">
        <v>120</v>
      </c>
      <c r="X47" s="112" t="s">
        <v>121</v>
      </c>
      <c r="Y47" s="112" t="s">
        <v>136</v>
      </c>
      <c r="Z47" s="112" t="s">
        <v>142</v>
      </c>
      <c r="AA47" s="112" t="s">
        <v>1463</v>
      </c>
      <c r="AB47" s="112" t="s">
        <v>1464</v>
      </c>
      <c r="AC47" s="112" t="s">
        <v>1465</v>
      </c>
      <c r="AD47" s="112">
        <v>87880000</v>
      </c>
      <c r="AE47" s="112">
        <v>74098582.739999995</v>
      </c>
      <c r="AF47" s="112">
        <v>67600000</v>
      </c>
      <c r="AG47" s="112">
        <v>20280000</v>
      </c>
      <c r="AH47" s="112">
        <v>19085700</v>
      </c>
      <c r="AI47" s="112">
        <v>0</v>
      </c>
      <c r="AJ47" s="112">
        <v>3380000</v>
      </c>
      <c r="AK47" s="112">
        <v>176</v>
      </c>
      <c r="AL47" s="112">
        <v>6</v>
      </c>
      <c r="AM47" s="112">
        <v>35</v>
      </c>
      <c r="AN47" s="112">
        <v>60</v>
      </c>
      <c r="AO47" s="112" t="s">
        <v>123</v>
      </c>
      <c r="AP47" s="112" t="s">
        <v>123</v>
      </c>
      <c r="AQ47" s="112" t="s">
        <v>124</v>
      </c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 t="s">
        <v>129</v>
      </c>
      <c r="BG47" s="112" t="s">
        <v>130</v>
      </c>
      <c r="BH47" s="112">
        <v>7</v>
      </c>
      <c r="BI47" s="112">
        <v>23660000</v>
      </c>
      <c r="BJ47" s="113"/>
      <c r="BK47" s="113"/>
      <c r="BL47" s="113"/>
      <c r="BM47" s="112"/>
      <c r="BN47" s="113">
        <v>46173</v>
      </c>
      <c r="BO47" s="112">
        <v>1</v>
      </c>
      <c r="BP47" s="114">
        <v>46149</v>
      </c>
      <c r="BQ47" s="112" t="s">
        <v>131</v>
      </c>
      <c r="BR47" s="112">
        <v>183</v>
      </c>
      <c r="BS47" s="113">
        <v>45966</v>
      </c>
      <c r="BT47" s="112">
        <v>87880000</v>
      </c>
      <c r="BU47" s="112">
        <v>0</v>
      </c>
      <c r="BV47" s="112">
        <v>1</v>
      </c>
      <c r="BW47" s="112">
        <v>0</v>
      </c>
      <c r="BX47" s="112">
        <v>0</v>
      </c>
      <c r="BY47" s="112">
        <v>0</v>
      </c>
      <c r="BZ47" s="112">
        <v>0</v>
      </c>
      <c r="CA47" s="112">
        <v>0</v>
      </c>
      <c r="CB47" s="112">
        <v>0</v>
      </c>
      <c r="CC47" s="113"/>
      <c r="CD47" s="112">
        <v>0</v>
      </c>
      <c r="CE47" s="113"/>
      <c r="CF47" s="112">
        <v>0</v>
      </c>
      <c r="CG47" s="113"/>
      <c r="CH47" s="112">
        <v>0</v>
      </c>
      <c r="CI47" s="113"/>
      <c r="CJ47" s="112">
        <v>0</v>
      </c>
      <c r="CK47" s="113"/>
      <c r="CL47" s="112">
        <v>0</v>
      </c>
      <c r="CM47" s="113">
        <v>46149</v>
      </c>
      <c r="CN47" s="112" t="s">
        <v>132</v>
      </c>
      <c r="CO47" s="112">
        <v>74098582.739999995</v>
      </c>
      <c r="CP47" s="112">
        <v>74098582.739999995</v>
      </c>
      <c r="CQ47" s="112">
        <v>5</v>
      </c>
      <c r="CR47" s="118"/>
      <c r="CS47" s="119"/>
      <c r="CT47" s="112">
        <v>0</v>
      </c>
      <c r="CU47" s="112" t="s">
        <v>185</v>
      </c>
      <c r="CV47" s="112" t="s">
        <v>182</v>
      </c>
      <c r="CW47" s="113">
        <v>46149</v>
      </c>
      <c r="CX47" s="112" t="s">
        <v>2116</v>
      </c>
      <c r="CY47" s="120">
        <f>MONTH(Table_ExternalData_14[[#This Row],[RunningReportDate]])</f>
        <v>5</v>
      </c>
      <c r="CZ47" s="120">
        <f>181-Table_ExternalData_14[[#This Row],[DaysOD]]</f>
        <v>5</v>
      </c>
      <c r="DA47" s="120">
        <f>IF(Table_ExternalData_14[[#This Row],[Status]]="PU-WC",0,Table_ExternalData_14[[#This Row],[Amount_CWO]]/1000000)</f>
        <v>74.098582739999998</v>
      </c>
      <c r="DB47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47" s="120">
        <f>IF(Table_ExternalData_14[[#This Row],[Status]]="PU-WC",0,IF(Table_ExternalData_14[[#This Row],[Success CWO]]=1,Table_ExternalData_14[[#This Row],[CWO Amt]],0))</f>
        <v>0</v>
      </c>
      <c r="DD47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74.098582739999998</v>
      </c>
      <c r="DE47" s="120">
        <f>DAY(Table_ExternalData_14[[#This Row],[Tanggal_Sukses-new]])</f>
        <v>0</v>
      </c>
      <c r="DF47" s="120">
        <f>IF(Table_ExternalData_14[[#This Row],[Status]]="PU-WC",0,IF(SUM(Table_ExternalData_14[[#This Row],[Success CWO]:[WO-In-Amt]])=0,1,0))</f>
        <v>0</v>
      </c>
      <c r="DG47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47" s="120" t="str">
        <f>VLOOKUP(Table_ExternalData_14[[#This Row],[BranchID]],KC!$A:$K,5,0)</f>
        <v>4W</v>
      </c>
      <c r="DI47" s="120" t="str">
        <f>VLOOKUP(Table_ExternalData_14[[#This Row],[BranchID]],KC!$A:$K,8,0)</f>
        <v>03. Jawa Tengah</v>
      </c>
      <c r="DJ47" s="120" t="str">
        <f>VLOOKUP(Table_ExternalData_14[[#This Row],[BranchID]],KC!$A:$K,9,0)</f>
        <v>SEMARANG</v>
      </c>
      <c r="DK47" s="121">
        <f>IF(Table_ExternalData_14[[#This Row],[Tanggal_Sukses]]=" ",Table_ExternalData_14[[#This Row],[Tanggal_Sukses]],VLOOKUP(Table_ExternalData_14[[#This Row],[ContractID]],Bantuan!$A:$C,2,0))</f>
        <v>0</v>
      </c>
      <c r="DL47" s="120">
        <f>IF(Table_ExternalData_14[[#This Row],[Keterangan_Sukses]]=" ",Table_ExternalData_14[[#This Row],[Keterangan_Sukses]],VLOOKUP(Table_ExternalData_14[[#This Row],[ContractID]],Bantuan!$A:$C,3,0))</f>
        <v>0</v>
      </c>
    </row>
    <row r="48" spans="1:116" x14ac:dyDescent="0.3">
      <c r="A48" s="117" t="s">
        <v>178</v>
      </c>
      <c r="B48" s="112" t="s">
        <v>177</v>
      </c>
      <c r="C48" s="113">
        <v>46142</v>
      </c>
      <c r="D48" s="279">
        <v>45981</v>
      </c>
      <c r="E48" s="113">
        <v>45828</v>
      </c>
      <c r="F48" s="112" t="s">
        <v>1466</v>
      </c>
      <c r="G48" s="112" t="s">
        <v>1467</v>
      </c>
      <c r="H48" s="112" t="s">
        <v>1468</v>
      </c>
      <c r="I48" s="112" t="s">
        <v>1469</v>
      </c>
      <c r="J48" s="112" t="s">
        <v>1470</v>
      </c>
      <c r="K48" s="112" t="s">
        <v>4</v>
      </c>
      <c r="L48" s="112" t="s">
        <v>1470</v>
      </c>
      <c r="M48" s="112" t="s">
        <v>1471</v>
      </c>
      <c r="N48" s="112" t="s">
        <v>1472</v>
      </c>
      <c r="O48" s="112" t="s">
        <v>562</v>
      </c>
      <c r="P48" s="112" t="s">
        <v>179</v>
      </c>
      <c r="Q48" s="112" t="s">
        <v>1022</v>
      </c>
      <c r="R48" s="112" t="s">
        <v>4</v>
      </c>
      <c r="S48" s="112" t="s">
        <v>4</v>
      </c>
      <c r="T48" s="112" t="s">
        <v>1473</v>
      </c>
      <c r="U48" s="112" t="s">
        <v>1473</v>
      </c>
      <c r="V48" s="112" t="s">
        <v>222</v>
      </c>
      <c r="W48" s="112" t="s">
        <v>120</v>
      </c>
      <c r="X48" s="112" t="s">
        <v>121</v>
      </c>
      <c r="Y48" s="112" t="s">
        <v>136</v>
      </c>
      <c r="Z48" s="112" t="s">
        <v>137</v>
      </c>
      <c r="AA48" s="112" t="s">
        <v>1474</v>
      </c>
      <c r="AB48" s="112" t="s">
        <v>1475</v>
      </c>
      <c r="AC48" s="112" t="s">
        <v>1476</v>
      </c>
      <c r="AD48" s="112">
        <v>226800000</v>
      </c>
      <c r="AE48" s="112">
        <v>146468069.63</v>
      </c>
      <c r="AF48" s="112">
        <v>202500000</v>
      </c>
      <c r="AG48" s="112">
        <v>24300000</v>
      </c>
      <c r="AH48" s="112">
        <v>10489500</v>
      </c>
      <c r="AI48" s="112">
        <v>0</v>
      </c>
      <c r="AJ48" s="112">
        <v>4050000</v>
      </c>
      <c r="AK48" s="112">
        <v>161</v>
      </c>
      <c r="AL48" s="112">
        <v>6</v>
      </c>
      <c r="AM48" s="112">
        <v>5</v>
      </c>
      <c r="AN48" s="112">
        <v>60</v>
      </c>
      <c r="AO48" s="112" t="s">
        <v>123</v>
      </c>
      <c r="AP48" s="112" t="s">
        <v>123</v>
      </c>
      <c r="AQ48" s="112" t="s">
        <v>124</v>
      </c>
      <c r="AR48" s="112"/>
      <c r="AS48" s="112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2"/>
      <c r="BE48" s="112"/>
      <c r="BF48" s="112" t="s">
        <v>129</v>
      </c>
      <c r="BG48" s="112" t="s">
        <v>130</v>
      </c>
      <c r="BH48" s="112">
        <v>7</v>
      </c>
      <c r="BI48" s="112">
        <v>28350000</v>
      </c>
      <c r="BJ48" s="113"/>
      <c r="BK48" s="113"/>
      <c r="BL48" s="113"/>
      <c r="BM48" s="112"/>
      <c r="BN48" s="113">
        <v>46173</v>
      </c>
      <c r="BO48" s="112">
        <v>1</v>
      </c>
      <c r="BP48" s="114">
        <v>46149</v>
      </c>
      <c r="BQ48" s="112" t="s">
        <v>131</v>
      </c>
      <c r="BR48" s="112">
        <v>168</v>
      </c>
      <c r="BS48" s="113">
        <v>45981</v>
      </c>
      <c r="BT48" s="112">
        <v>226800000</v>
      </c>
      <c r="BU48" s="112">
        <v>0</v>
      </c>
      <c r="BV48" s="112">
        <v>1</v>
      </c>
      <c r="BW48" s="112">
        <v>0</v>
      </c>
      <c r="BX48" s="112">
        <v>0</v>
      </c>
      <c r="BY48" s="112">
        <v>0</v>
      </c>
      <c r="BZ48" s="112">
        <v>0</v>
      </c>
      <c r="CA48" s="112">
        <v>0</v>
      </c>
      <c r="CB48" s="112">
        <v>0</v>
      </c>
      <c r="CC48" s="113"/>
      <c r="CD48" s="112">
        <v>0</v>
      </c>
      <c r="CE48" s="113"/>
      <c r="CF48" s="112">
        <v>0</v>
      </c>
      <c r="CG48" s="113"/>
      <c r="CH48" s="112">
        <v>0</v>
      </c>
      <c r="CI48" s="113"/>
      <c r="CJ48" s="112">
        <v>0</v>
      </c>
      <c r="CK48" s="113"/>
      <c r="CL48" s="112">
        <v>0</v>
      </c>
      <c r="CM48" s="113">
        <v>46149</v>
      </c>
      <c r="CN48" s="112" t="s">
        <v>132</v>
      </c>
      <c r="CO48" s="112">
        <v>146468069.63</v>
      </c>
      <c r="CP48" s="112">
        <v>146468069.63</v>
      </c>
      <c r="CQ48" s="112">
        <v>20</v>
      </c>
      <c r="CR48" s="118"/>
      <c r="CS48" s="119"/>
      <c r="CT48" s="112">
        <v>0</v>
      </c>
      <c r="CU48" s="112" t="s">
        <v>181</v>
      </c>
      <c r="CV48" s="112" t="s">
        <v>182</v>
      </c>
      <c r="CW48" s="113">
        <v>46149</v>
      </c>
      <c r="CX48" s="112" t="s">
        <v>2116</v>
      </c>
      <c r="CY48" s="120">
        <f>MONTH(Table_ExternalData_14[[#This Row],[RunningReportDate]])</f>
        <v>5</v>
      </c>
      <c r="CZ48" s="120">
        <f>181-Table_ExternalData_14[[#This Row],[DaysOD]]</f>
        <v>20</v>
      </c>
      <c r="DA48" s="120">
        <f>IF(Table_ExternalData_14[[#This Row],[Status]]="PU-WC",0,Table_ExternalData_14[[#This Row],[Amount_CWO]]/1000000)</f>
        <v>146.46806963</v>
      </c>
      <c r="DB48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48" s="120">
        <f>IF(Table_ExternalData_14[[#This Row],[Status]]="PU-WC",0,IF(Table_ExternalData_14[[#This Row],[Success CWO]]=1,Table_ExternalData_14[[#This Row],[CWO Amt]],0))</f>
        <v>0</v>
      </c>
      <c r="DD48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48" s="120">
        <f>DAY(Table_ExternalData_14[[#This Row],[Tanggal_Sukses-new]])</f>
        <v>0</v>
      </c>
      <c r="DF48" s="120">
        <f>IF(Table_ExternalData_14[[#This Row],[Status]]="PU-WC",0,IF(SUM(Table_ExternalData_14[[#This Row],[Success CWO]:[WO-In-Amt]])=0,1,0))</f>
        <v>1</v>
      </c>
      <c r="DG48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146.46806963</v>
      </c>
      <c r="DH48" s="120" t="str">
        <f>VLOOKUP(Table_ExternalData_14[[#This Row],[BranchID]],KC!$A:$K,5,0)</f>
        <v>4W</v>
      </c>
      <c r="DI48" s="120" t="str">
        <f>VLOOKUP(Table_ExternalData_14[[#This Row],[BranchID]],KC!$A:$K,8,0)</f>
        <v>03. Jawa Tengah</v>
      </c>
      <c r="DJ48" s="120" t="str">
        <f>VLOOKUP(Table_ExternalData_14[[#This Row],[BranchID]],KC!$A:$K,9,0)</f>
        <v>YOGYAKARTA</v>
      </c>
      <c r="DK48" s="121">
        <f>IF(Table_ExternalData_14[[#This Row],[Tanggal_Sukses]]=" ",Table_ExternalData_14[[#This Row],[Tanggal_Sukses]],VLOOKUP(Table_ExternalData_14[[#This Row],[ContractID]],Bantuan!$A:$C,2,0))</f>
        <v>0</v>
      </c>
      <c r="DL48" s="120">
        <f>IF(Table_ExternalData_14[[#This Row],[Keterangan_Sukses]]=" ",Table_ExternalData_14[[#This Row],[Keterangan_Sukses]],VLOOKUP(Table_ExternalData_14[[#This Row],[ContractID]],Bantuan!$A:$C,3,0))</f>
        <v>0</v>
      </c>
    </row>
    <row r="49" spans="1:116" x14ac:dyDescent="0.3">
      <c r="A49" s="117" t="s">
        <v>178</v>
      </c>
      <c r="B49" s="112" t="s">
        <v>177</v>
      </c>
      <c r="C49" s="113">
        <v>46142</v>
      </c>
      <c r="D49" s="279">
        <v>45992</v>
      </c>
      <c r="E49" s="113">
        <v>45016</v>
      </c>
      <c r="F49" s="112" t="s">
        <v>1023</v>
      </c>
      <c r="G49" s="112" t="s">
        <v>1024</v>
      </c>
      <c r="H49" s="112" t="s">
        <v>1025</v>
      </c>
      <c r="I49" s="112" t="s">
        <v>1026</v>
      </c>
      <c r="J49" s="112" t="s">
        <v>1027</v>
      </c>
      <c r="K49" s="112" t="s">
        <v>4</v>
      </c>
      <c r="L49" s="112" t="s">
        <v>1027</v>
      </c>
      <c r="M49" s="112" t="s">
        <v>1028</v>
      </c>
      <c r="N49" s="112" t="s">
        <v>1029</v>
      </c>
      <c r="O49" s="112" t="s">
        <v>1030</v>
      </c>
      <c r="P49" s="112" t="s">
        <v>179</v>
      </c>
      <c r="Q49" s="112" t="s">
        <v>180</v>
      </c>
      <c r="R49" s="112" t="s">
        <v>4</v>
      </c>
      <c r="S49" s="112" t="s">
        <v>4</v>
      </c>
      <c r="T49" s="112" t="s">
        <v>1031</v>
      </c>
      <c r="U49" s="112" t="s">
        <v>1031</v>
      </c>
      <c r="V49" s="112" t="s">
        <v>1032</v>
      </c>
      <c r="W49" s="112" t="s">
        <v>120</v>
      </c>
      <c r="X49" s="112" t="s">
        <v>121</v>
      </c>
      <c r="Y49" s="112" t="s">
        <v>136</v>
      </c>
      <c r="Z49" s="112" t="s">
        <v>142</v>
      </c>
      <c r="AA49" s="112" t="s">
        <v>1033</v>
      </c>
      <c r="AB49" s="112" t="s">
        <v>1034</v>
      </c>
      <c r="AC49" s="112" t="s">
        <v>1035</v>
      </c>
      <c r="AD49" s="112">
        <v>113100000</v>
      </c>
      <c r="AE49" s="112">
        <v>92035874.409999996</v>
      </c>
      <c r="AF49" s="112">
        <v>93600000</v>
      </c>
      <c r="AG49" s="112">
        <v>19500000</v>
      </c>
      <c r="AH49" s="112">
        <v>38422500</v>
      </c>
      <c r="AI49" s="112">
        <v>0</v>
      </c>
      <c r="AJ49" s="112">
        <v>3900000</v>
      </c>
      <c r="AK49" s="112">
        <v>150</v>
      </c>
      <c r="AL49" s="112">
        <v>5</v>
      </c>
      <c r="AM49" s="112">
        <v>32</v>
      </c>
      <c r="AN49" s="112">
        <v>60</v>
      </c>
      <c r="AO49" s="112" t="s">
        <v>236</v>
      </c>
      <c r="AP49" s="112" t="s">
        <v>236</v>
      </c>
      <c r="AQ49" s="112" t="s">
        <v>124</v>
      </c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 t="s">
        <v>129</v>
      </c>
      <c r="BG49" s="112" t="s">
        <v>130</v>
      </c>
      <c r="BH49" s="112">
        <v>6</v>
      </c>
      <c r="BI49" s="112">
        <v>23400000</v>
      </c>
      <c r="BJ49" s="113"/>
      <c r="BK49" s="113"/>
      <c r="BL49" s="113"/>
      <c r="BM49" s="112"/>
      <c r="BN49" s="113">
        <v>46173</v>
      </c>
      <c r="BO49" s="112">
        <v>1</v>
      </c>
      <c r="BP49" s="114">
        <v>46149</v>
      </c>
      <c r="BQ49" s="112" t="s">
        <v>131</v>
      </c>
      <c r="BR49" s="112">
        <v>157</v>
      </c>
      <c r="BS49" s="113">
        <v>45992</v>
      </c>
      <c r="BT49" s="112">
        <v>113100000</v>
      </c>
      <c r="BU49" s="112">
        <v>0</v>
      </c>
      <c r="BV49" s="112">
        <v>1</v>
      </c>
      <c r="BW49" s="112">
        <v>0</v>
      </c>
      <c r="BX49" s="112">
        <v>0</v>
      </c>
      <c r="BY49" s="112">
        <v>0</v>
      </c>
      <c r="BZ49" s="112">
        <v>0</v>
      </c>
      <c r="CA49" s="112">
        <v>0</v>
      </c>
      <c r="CB49" s="112">
        <v>0</v>
      </c>
      <c r="CC49" s="113"/>
      <c r="CD49" s="112">
        <v>0</v>
      </c>
      <c r="CE49" s="113"/>
      <c r="CF49" s="112">
        <v>0</v>
      </c>
      <c r="CG49" s="113"/>
      <c r="CH49" s="112">
        <v>0</v>
      </c>
      <c r="CI49" s="113"/>
      <c r="CJ49" s="112">
        <v>0</v>
      </c>
      <c r="CK49" s="113"/>
      <c r="CL49" s="112">
        <v>0</v>
      </c>
      <c r="CM49" s="113">
        <v>46149</v>
      </c>
      <c r="CN49" s="112" t="s">
        <v>132</v>
      </c>
      <c r="CO49" s="112">
        <v>92035874.409999996</v>
      </c>
      <c r="CP49" s="112">
        <v>92035874.409999996</v>
      </c>
      <c r="CQ49" s="112">
        <v>31</v>
      </c>
      <c r="CR49" s="118"/>
      <c r="CS49" s="119"/>
      <c r="CT49" s="112">
        <v>0</v>
      </c>
      <c r="CU49" s="112" t="s">
        <v>181</v>
      </c>
      <c r="CV49" s="112" t="s">
        <v>182</v>
      </c>
      <c r="CW49" s="113">
        <v>46149</v>
      </c>
      <c r="CX49" s="112" t="s">
        <v>2116</v>
      </c>
      <c r="CY49" s="120">
        <f>MONTH(Table_ExternalData_14[[#This Row],[RunningReportDate]])</f>
        <v>5</v>
      </c>
      <c r="CZ49" s="120">
        <f>181-Table_ExternalData_14[[#This Row],[DaysOD]]</f>
        <v>31</v>
      </c>
      <c r="DA49" s="120">
        <f>IF(Table_ExternalData_14[[#This Row],[Status]]="PU-WC",0,Table_ExternalData_14[[#This Row],[Amount_CWO]]/1000000)</f>
        <v>92.035874409999991</v>
      </c>
      <c r="DB49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49" s="120">
        <f>IF(Table_ExternalData_14[[#This Row],[Status]]="PU-WC",0,IF(Table_ExternalData_14[[#This Row],[Success CWO]]=1,Table_ExternalData_14[[#This Row],[CWO Amt]],0))</f>
        <v>0</v>
      </c>
      <c r="DD49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49" s="120">
        <f>DAY(Table_ExternalData_14[[#This Row],[Tanggal_Sukses-new]])</f>
        <v>0</v>
      </c>
      <c r="DF49" s="120">
        <f>IF(Table_ExternalData_14[[#This Row],[Status]]="PU-WC",0,IF(SUM(Table_ExternalData_14[[#This Row],[Success CWO]:[WO-In-Amt]])=0,1,0))</f>
        <v>1</v>
      </c>
      <c r="DG49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92.035874409999991</v>
      </c>
      <c r="DH49" s="120" t="str">
        <f>VLOOKUP(Table_ExternalData_14[[#This Row],[BranchID]],KC!$A:$K,5,0)</f>
        <v>4W</v>
      </c>
      <c r="DI49" s="120" t="str">
        <f>VLOOKUP(Table_ExternalData_14[[#This Row],[BranchID]],KC!$A:$K,8,0)</f>
        <v>03. Jawa Tengah</v>
      </c>
      <c r="DJ49" s="120" t="str">
        <f>VLOOKUP(Table_ExternalData_14[[#This Row],[BranchID]],KC!$A:$K,9,0)</f>
        <v>YOGYAKARTA</v>
      </c>
      <c r="DK49" s="121">
        <f>IF(Table_ExternalData_14[[#This Row],[Tanggal_Sukses]]=" ",Table_ExternalData_14[[#This Row],[Tanggal_Sukses]],VLOOKUP(Table_ExternalData_14[[#This Row],[ContractID]],Bantuan!$A:$C,2,0))</f>
        <v>0</v>
      </c>
      <c r="DL49" s="120">
        <f>IF(Table_ExternalData_14[[#This Row],[Keterangan_Sukses]]=" ",Table_ExternalData_14[[#This Row],[Keterangan_Sukses]],VLOOKUP(Table_ExternalData_14[[#This Row],[ContractID]],Bantuan!$A:$C,3,0))</f>
        <v>0</v>
      </c>
    </row>
    <row r="50" spans="1:116" x14ac:dyDescent="0.3">
      <c r="A50" s="117" t="s">
        <v>178</v>
      </c>
      <c r="B50" s="112" t="s">
        <v>177</v>
      </c>
      <c r="C50" s="113">
        <v>46142</v>
      </c>
      <c r="D50" s="279">
        <v>45967</v>
      </c>
      <c r="E50" s="113">
        <v>44782</v>
      </c>
      <c r="F50" s="112" t="s">
        <v>1477</v>
      </c>
      <c r="G50" s="112" t="s">
        <v>1478</v>
      </c>
      <c r="H50" s="112" t="s">
        <v>1479</v>
      </c>
      <c r="I50" s="112" t="s">
        <v>1480</v>
      </c>
      <c r="J50" s="112" t="s">
        <v>1481</v>
      </c>
      <c r="K50" s="112" t="s">
        <v>4</v>
      </c>
      <c r="L50" s="112" t="s">
        <v>1481</v>
      </c>
      <c r="M50" s="112" t="s">
        <v>1482</v>
      </c>
      <c r="N50" s="112" t="s">
        <v>1483</v>
      </c>
      <c r="O50" s="112" t="s">
        <v>1484</v>
      </c>
      <c r="P50" s="112" t="s">
        <v>179</v>
      </c>
      <c r="Q50" s="112" t="s">
        <v>1022</v>
      </c>
      <c r="R50" s="112" t="s">
        <v>4</v>
      </c>
      <c r="S50" s="112" t="s">
        <v>4</v>
      </c>
      <c r="T50" s="112" t="s">
        <v>1485</v>
      </c>
      <c r="U50" s="112" t="s">
        <v>1485</v>
      </c>
      <c r="V50" s="112" t="s">
        <v>1486</v>
      </c>
      <c r="W50" s="112" t="s">
        <v>120</v>
      </c>
      <c r="X50" s="112" t="s">
        <v>121</v>
      </c>
      <c r="Y50" s="112" t="s">
        <v>136</v>
      </c>
      <c r="Z50" s="112" t="s">
        <v>137</v>
      </c>
      <c r="AA50" s="112" t="s">
        <v>1487</v>
      </c>
      <c r="AB50" s="112" t="s">
        <v>1488</v>
      </c>
      <c r="AC50" s="112" t="s">
        <v>1489</v>
      </c>
      <c r="AD50" s="112">
        <v>76450000</v>
      </c>
      <c r="AE50" s="112">
        <v>65073464.950000003</v>
      </c>
      <c r="AF50" s="112">
        <v>55600000</v>
      </c>
      <c r="AG50" s="112">
        <v>20850000</v>
      </c>
      <c r="AH50" s="112">
        <v>56853500</v>
      </c>
      <c r="AI50" s="112">
        <v>150000</v>
      </c>
      <c r="AJ50" s="112">
        <v>3475000</v>
      </c>
      <c r="AK50" s="112">
        <v>175</v>
      </c>
      <c r="AL50" s="112">
        <v>6</v>
      </c>
      <c r="AM50" s="112">
        <v>39</v>
      </c>
      <c r="AN50" s="112">
        <v>60</v>
      </c>
      <c r="AO50" s="112" t="s">
        <v>123</v>
      </c>
      <c r="AP50" s="112" t="s">
        <v>123</v>
      </c>
      <c r="AQ50" s="112" t="s">
        <v>124</v>
      </c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 t="s">
        <v>129</v>
      </c>
      <c r="BG50" s="112" t="s">
        <v>375</v>
      </c>
      <c r="BH50" s="112">
        <v>7</v>
      </c>
      <c r="BI50" s="112">
        <v>24325000</v>
      </c>
      <c r="BJ50" s="113"/>
      <c r="BK50" s="113">
        <v>46120</v>
      </c>
      <c r="BL50" s="113"/>
      <c r="BM50" s="112"/>
      <c r="BN50" s="113">
        <v>46173</v>
      </c>
      <c r="BO50" s="112">
        <v>1</v>
      </c>
      <c r="BP50" s="114">
        <v>46149</v>
      </c>
      <c r="BQ50" s="112" t="s">
        <v>131</v>
      </c>
      <c r="BR50" s="112">
        <v>182</v>
      </c>
      <c r="BS50" s="113">
        <v>45967</v>
      </c>
      <c r="BT50" s="112">
        <v>76450000</v>
      </c>
      <c r="BU50" s="112">
        <v>0</v>
      </c>
      <c r="BV50" s="112">
        <v>1</v>
      </c>
      <c r="BW50" s="112">
        <v>0</v>
      </c>
      <c r="BX50" s="112">
        <v>0</v>
      </c>
      <c r="BY50" s="112">
        <v>0</v>
      </c>
      <c r="BZ50" s="112">
        <v>0</v>
      </c>
      <c r="CA50" s="112">
        <v>0</v>
      </c>
      <c r="CB50" s="112">
        <v>0</v>
      </c>
      <c r="CC50" s="113"/>
      <c r="CD50" s="112">
        <v>0</v>
      </c>
      <c r="CE50" s="113"/>
      <c r="CF50" s="112">
        <v>0</v>
      </c>
      <c r="CG50" s="113"/>
      <c r="CH50" s="112">
        <v>0</v>
      </c>
      <c r="CI50" s="113"/>
      <c r="CJ50" s="112">
        <v>0</v>
      </c>
      <c r="CK50" s="113"/>
      <c r="CL50" s="112">
        <v>0</v>
      </c>
      <c r="CM50" s="113">
        <v>46149</v>
      </c>
      <c r="CN50" s="112" t="s">
        <v>132</v>
      </c>
      <c r="CO50" s="112">
        <v>64923464.950000003</v>
      </c>
      <c r="CP50" s="112">
        <v>0</v>
      </c>
      <c r="CQ50" s="112">
        <v>0</v>
      </c>
      <c r="CR50" s="118">
        <v>46120</v>
      </c>
      <c r="CS50" s="119" t="s">
        <v>255</v>
      </c>
      <c r="CT50" s="112">
        <v>64923464.950000003</v>
      </c>
      <c r="CU50" s="112" t="s">
        <v>181</v>
      </c>
      <c r="CV50" s="112" t="s">
        <v>182</v>
      </c>
      <c r="CW50" s="113">
        <v>46149</v>
      </c>
      <c r="CX50" s="112" t="s">
        <v>2116</v>
      </c>
      <c r="CY50" s="120">
        <f>MONTH(Table_ExternalData_14[[#This Row],[RunningReportDate]])</f>
        <v>5</v>
      </c>
      <c r="CZ50" s="120">
        <f>181-Table_ExternalData_14[[#This Row],[DaysOD]]</f>
        <v>6</v>
      </c>
      <c r="DA50" s="120">
        <f>IF(Table_ExternalData_14[[#This Row],[Status]]="PU-WC",0,Table_ExternalData_14[[#This Row],[Amount_CWO]]/1000000)</f>
        <v>0</v>
      </c>
      <c r="DB50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50" s="120">
        <f>IF(Table_ExternalData_14[[#This Row],[Status]]="PU-WC",0,IF(Table_ExternalData_14[[#This Row],[Success CWO]]=1,Table_ExternalData_14[[#This Row],[CWO Amt]],0))</f>
        <v>0</v>
      </c>
      <c r="DD50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50" s="120">
        <f>DAY(Table_ExternalData_14[[#This Row],[Tanggal_Sukses-new]])</f>
        <v>8</v>
      </c>
      <c r="DF50" s="120">
        <f>IF(Table_ExternalData_14[[#This Row],[Status]]="PU-WC",0,IF(SUM(Table_ExternalData_14[[#This Row],[Success CWO]:[WO-In-Amt]])=0,1,0))</f>
        <v>0</v>
      </c>
      <c r="DG50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50" s="120" t="str">
        <f>VLOOKUP(Table_ExternalData_14[[#This Row],[BranchID]],KC!$A:$K,5,0)</f>
        <v>4W</v>
      </c>
      <c r="DI50" s="120" t="str">
        <f>VLOOKUP(Table_ExternalData_14[[#This Row],[BranchID]],KC!$A:$K,8,0)</f>
        <v>03. Jawa Tengah</v>
      </c>
      <c r="DJ50" s="120" t="str">
        <f>VLOOKUP(Table_ExternalData_14[[#This Row],[BranchID]],KC!$A:$K,9,0)</f>
        <v>YOGYAKARTA</v>
      </c>
      <c r="DK50" s="121">
        <f>IF(Table_ExternalData_14[[#This Row],[Tanggal_Sukses]]=" ",Table_ExternalData_14[[#This Row],[Tanggal_Sukses]],VLOOKUP(Table_ExternalData_14[[#This Row],[ContractID]],Bantuan!$A:$C,2,0))</f>
        <v>46120</v>
      </c>
      <c r="DL50" s="120" t="str">
        <f>IF(Table_ExternalData_14[[#This Row],[Keterangan_Sukses]]=" ",Table_ExternalData_14[[#This Row],[Keterangan_Sukses]],VLOOKUP(Table_ExternalData_14[[#This Row],[ContractID]],Bantuan!$A:$C,3,0))</f>
        <v>REPO SEBELUM WO</v>
      </c>
    </row>
    <row r="51" spans="1:116" x14ac:dyDescent="0.3">
      <c r="A51" s="117" t="s">
        <v>174</v>
      </c>
      <c r="B51" s="112" t="s">
        <v>173</v>
      </c>
      <c r="C51" s="113">
        <v>46142</v>
      </c>
      <c r="D51" s="279">
        <v>45966</v>
      </c>
      <c r="E51" s="113">
        <v>44561</v>
      </c>
      <c r="F51" s="112" t="s">
        <v>1490</v>
      </c>
      <c r="G51" s="112" t="s">
        <v>1491</v>
      </c>
      <c r="H51" s="112" t="s">
        <v>1492</v>
      </c>
      <c r="I51" s="112" t="s">
        <v>1493</v>
      </c>
      <c r="J51" s="112" t="s">
        <v>896</v>
      </c>
      <c r="K51" s="112" t="s">
        <v>4</v>
      </c>
      <c r="L51" s="112" t="s">
        <v>896</v>
      </c>
      <c r="M51" s="112" t="s">
        <v>1494</v>
      </c>
      <c r="N51" s="112" t="s">
        <v>1495</v>
      </c>
      <c r="O51" s="112" t="s">
        <v>0</v>
      </c>
      <c r="P51" s="112" t="s">
        <v>1496</v>
      </c>
      <c r="Q51" s="112" t="s">
        <v>1497</v>
      </c>
      <c r="R51" s="112" t="s">
        <v>4</v>
      </c>
      <c r="S51" s="112" t="s">
        <v>4</v>
      </c>
      <c r="T51" s="112" t="s">
        <v>1498</v>
      </c>
      <c r="U51" s="112" t="s">
        <v>1498</v>
      </c>
      <c r="V51" s="112" t="s">
        <v>4</v>
      </c>
      <c r="W51" s="112" t="s">
        <v>120</v>
      </c>
      <c r="X51" s="112" t="s">
        <v>121</v>
      </c>
      <c r="Y51" s="112" t="s">
        <v>136</v>
      </c>
      <c r="Z51" s="112" t="s">
        <v>142</v>
      </c>
      <c r="AA51" s="112" t="s">
        <v>1499</v>
      </c>
      <c r="AB51" s="112" t="s">
        <v>1500</v>
      </c>
      <c r="AC51" s="112" t="s">
        <v>1501</v>
      </c>
      <c r="AD51" s="112">
        <v>10500000</v>
      </c>
      <c r="AE51" s="112">
        <v>10225232.75</v>
      </c>
      <c r="AF51" s="112">
        <v>0</v>
      </c>
      <c r="AG51" s="112">
        <v>10500000</v>
      </c>
      <c r="AH51" s="112">
        <v>21260000</v>
      </c>
      <c r="AI51" s="112">
        <v>0</v>
      </c>
      <c r="AJ51" s="112">
        <v>3500000</v>
      </c>
      <c r="AK51" s="112">
        <v>176</v>
      </c>
      <c r="AL51" s="112">
        <v>3</v>
      </c>
      <c r="AM51" s="112">
        <v>46</v>
      </c>
      <c r="AN51" s="112">
        <v>48</v>
      </c>
      <c r="AO51" s="112" t="s">
        <v>123</v>
      </c>
      <c r="AP51" s="112" t="s">
        <v>123</v>
      </c>
      <c r="AQ51" s="112" t="s">
        <v>124</v>
      </c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 t="s">
        <v>129</v>
      </c>
      <c r="BG51" s="112" t="s">
        <v>130</v>
      </c>
      <c r="BH51" s="112">
        <v>3</v>
      </c>
      <c r="BI51" s="112">
        <v>10500000</v>
      </c>
      <c r="BJ51" s="113"/>
      <c r="BK51" s="113"/>
      <c r="BL51" s="113"/>
      <c r="BM51" s="112"/>
      <c r="BN51" s="113">
        <v>46173</v>
      </c>
      <c r="BO51" s="112">
        <v>1</v>
      </c>
      <c r="BP51" s="114">
        <v>46149</v>
      </c>
      <c r="BQ51" s="112" t="s">
        <v>131</v>
      </c>
      <c r="BR51" s="112">
        <v>183</v>
      </c>
      <c r="BS51" s="113">
        <v>45966</v>
      </c>
      <c r="BT51" s="112">
        <v>10500000</v>
      </c>
      <c r="BU51" s="112">
        <v>0</v>
      </c>
      <c r="BV51" s="112">
        <v>1</v>
      </c>
      <c r="BW51" s="112">
        <v>0</v>
      </c>
      <c r="BX51" s="112">
        <v>0</v>
      </c>
      <c r="BY51" s="112">
        <v>0</v>
      </c>
      <c r="BZ51" s="112">
        <v>0</v>
      </c>
      <c r="CA51" s="112">
        <v>0</v>
      </c>
      <c r="CB51" s="112">
        <v>0</v>
      </c>
      <c r="CC51" s="113"/>
      <c r="CD51" s="112">
        <v>0</v>
      </c>
      <c r="CE51" s="113"/>
      <c r="CF51" s="112">
        <v>0</v>
      </c>
      <c r="CG51" s="113"/>
      <c r="CH51" s="112">
        <v>0</v>
      </c>
      <c r="CI51" s="113"/>
      <c r="CJ51" s="112">
        <v>0</v>
      </c>
      <c r="CK51" s="113"/>
      <c r="CL51" s="112">
        <v>0</v>
      </c>
      <c r="CM51" s="113">
        <v>46149</v>
      </c>
      <c r="CN51" s="112" t="s">
        <v>132</v>
      </c>
      <c r="CO51" s="112">
        <v>10225232.75</v>
      </c>
      <c r="CP51" s="112">
        <v>10225232.75</v>
      </c>
      <c r="CQ51" s="112">
        <v>5</v>
      </c>
      <c r="CR51" s="118"/>
      <c r="CS51" s="119"/>
      <c r="CT51" s="112">
        <v>0</v>
      </c>
      <c r="CU51" s="112" t="s">
        <v>176</v>
      </c>
      <c r="CV51" s="112" t="s">
        <v>164</v>
      </c>
      <c r="CW51" s="113">
        <v>46149</v>
      </c>
      <c r="CX51" s="112" t="s">
        <v>2116</v>
      </c>
      <c r="CY51" s="120">
        <f>MONTH(Table_ExternalData_14[[#This Row],[RunningReportDate]])</f>
        <v>5</v>
      </c>
      <c r="CZ51" s="120">
        <f>181-Table_ExternalData_14[[#This Row],[DaysOD]]</f>
        <v>5</v>
      </c>
      <c r="DA51" s="120">
        <f>IF(Table_ExternalData_14[[#This Row],[Status]]="PU-WC",0,Table_ExternalData_14[[#This Row],[Amount_CWO]]/1000000)</f>
        <v>10.22523275</v>
      </c>
      <c r="DB51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51" s="120">
        <f>IF(Table_ExternalData_14[[#This Row],[Status]]="PU-WC",0,IF(Table_ExternalData_14[[#This Row],[Success CWO]]=1,Table_ExternalData_14[[#This Row],[CWO Amt]],0))</f>
        <v>0</v>
      </c>
      <c r="DD51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10.22523275</v>
      </c>
      <c r="DE51" s="120">
        <f>DAY(Table_ExternalData_14[[#This Row],[Tanggal_Sukses-new]])</f>
        <v>0</v>
      </c>
      <c r="DF51" s="120">
        <f>IF(Table_ExternalData_14[[#This Row],[Status]]="PU-WC",0,IF(SUM(Table_ExternalData_14[[#This Row],[Success CWO]:[WO-In-Amt]])=0,1,0))</f>
        <v>0</v>
      </c>
      <c r="DG51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51" s="120" t="str">
        <f>VLOOKUP(Table_ExternalData_14[[#This Row],[BranchID]],KC!$A:$K,5,0)</f>
        <v>4W</v>
      </c>
      <c r="DI51" s="120" t="str">
        <f>VLOOKUP(Table_ExternalData_14[[#This Row],[BranchID]],KC!$A:$K,8,0)</f>
        <v>02. Jawa Barat</v>
      </c>
      <c r="DJ51" s="120" t="str">
        <f>VLOOKUP(Table_ExternalData_14[[#This Row],[BranchID]],KC!$A:$K,9,0)</f>
        <v>KARAWANG</v>
      </c>
      <c r="DK51" s="121">
        <f>IF(Table_ExternalData_14[[#This Row],[Tanggal_Sukses]]=" ",Table_ExternalData_14[[#This Row],[Tanggal_Sukses]],VLOOKUP(Table_ExternalData_14[[#This Row],[ContractID]],Bantuan!$A:$C,2,0))</f>
        <v>0</v>
      </c>
      <c r="DL51" s="120">
        <f>IF(Table_ExternalData_14[[#This Row],[Keterangan_Sukses]]=" ",Table_ExternalData_14[[#This Row],[Keterangan_Sukses]],VLOOKUP(Table_ExternalData_14[[#This Row],[ContractID]],Bantuan!$A:$C,3,0))</f>
        <v>0</v>
      </c>
    </row>
    <row r="52" spans="1:116" x14ac:dyDescent="0.3">
      <c r="A52" s="117" t="s">
        <v>16</v>
      </c>
      <c r="B52" s="112" t="s">
        <v>15</v>
      </c>
      <c r="C52" s="113">
        <v>46142</v>
      </c>
      <c r="D52" s="279">
        <v>45973</v>
      </c>
      <c r="E52" s="113">
        <v>45363</v>
      </c>
      <c r="F52" s="112" t="s">
        <v>1502</v>
      </c>
      <c r="G52" s="112" t="s">
        <v>1503</v>
      </c>
      <c r="H52" s="112" t="s">
        <v>1504</v>
      </c>
      <c r="I52" s="112" t="s">
        <v>1505</v>
      </c>
      <c r="J52" s="112" t="s">
        <v>1506</v>
      </c>
      <c r="K52" s="112" t="s">
        <v>4</v>
      </c>
      <c r="L52" s="112" t="s">
        <v>1506</v>
      </c>
      <c r="M52" s="112" t="s">
        <v>1507</v>
      </c>
      <c r="N52" s="112" t="s">
        <v>1508</v>
      </c>
      <c r="O52" s="112" t="s">
        <v>15</v>
      </c>
      <c r="P52" s="112" t="s">
        <v>165</v>
      </c>
      <c r="Q52" s="112" t="s">
        <v>166</v>
      </c>
      <c r="R52" s="112" t="s">
        <v>4</v>
      </c>
      <c r="S52" s="112" t="s">
        <v>4</v>
      </c>
      <c r="T52" s="112" t="s">
        <v>1038</v>
      </c>
      <c r="U52" s="112" t="s">
        <v>1038</v>
      </c>
      <c r="V52" s="112" t="s">
        <v>1038</v>
      </c>
      <c r="W52" s="112" t="s">
        <v>120</v>
      </c>
      <c r="X52" s="112" t="s">
        <v>121</v>
      </c>
      <c r="Y52" s="112" t="s">
        <v>136</v>
      </c>
      <c r="Z52" s="112" t="s">
        <v>137</v>
      </c>
      <c r="AA52" s="112" t="s">
        <v>1509</v>
      </c>
      <c r="AB52" s="112" t="s">
        <v>1510</v>
      </c>
      <c r="AC52" s="112" t="s">
        <v>1511</v>
      </c>
      <c r="AD52" s="112">
        <v>143090000</v>
      </c>
      <c r="AE52" s="112">
        <v>105797304.42</v>
      </c>
      <c r="AF52" s="112">
        <v>122150000</v>
      </c>
      <c r="AG52" s="112">
        <v>20940000</v>
      </c>
      <c r="AH52" s="112">
        <v>15870450</v>
      </c>
      <c r="AI52" s="112">
        <v>0</v>
      </c>
      <c r="AJ52" s="112">
        <v>3490000</v>
      </c>
      <c r="AK52" s="112">
        <v>169</v>
      </c>
      <c r="AL52" s="112">
        <v>6</v>
      </c>
      <c r="AM52" s="112">
        <v>20</v>
      </c>
      <c r="AN52" s="112">
        <v>60</v>
      </c>
      <c r="AO52" s="112" t="s">
        <v>123</v>
      </c>
      <c r="AP52" s="112" t="s">
        <v>123</v>
      </c>
      <c r="AQ52" s="112" t="s">
        <v>124</v>
      </c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2"/>
      <c r="BE52" s="112"/>
      <c r="BF52" s="112" t="s">
        <v>129</v>
      </c>
      <c r="BG52" s="112" t="s">
        <v>130</v>
      </c>
      <c r="BH52" s="112">
        <v>7</v>
      </c>
      <c r="BI52" s="112">
        <v>24430000</v>
      </c>
      <c r="BJ52" s="113"/>
      <c r="BK52" s="113"/>
      <c r="BL52" s="113"/>
      <c r="BM52" s="112"/>
      <c r="BN52" s="113">
        <v>46173</v>
      </c>
      <c r="BO52" s="112">
        <v>1</v>
      </c>
      <c r="BP52" s="114">
        <v>46149</v>
      </c>
      <c r="BQ52" s="112" t="s">
        <v>131</v>
      </c>
      <c r="BR52" s="112">
        <v>176</v>
      </c>
      <c r="BS52" s="113">
        <v>45973</v>
      </c>
      <c r="BT52" s="112">
        <v>143090000</v>
      </c>
      <c r="BU52" s="112">
        <v>0</v>
      </c>
      <c r="BV52" s="112">
        <v>1</v>
      </c>
      <c r="BW52" s="112">
        <v>0</v>
      </c>
      <c r="BX52" s="112">
        <v>0</v>
      </c>
      <c r="BY52" s="112">
        <v>0</v>
      </c>
      <c r="BZ52" s="112">
        <v>0</v>
      </c>
      <c r="CA52" s="112">
        <v>0</v>
      </c>
      <c r="CB52" s="112">
        <v>0</v>
      </c>
      <c r="CC52" s="113"/>
      <c r="CD52" s="112">
        <v>0</v>
      </c>
      <c r="CE52" s="113"/>
      <c r="CF52" s="112">
        <v>0</v>
      </c>
      <c r="CG52" s="113"/>
      <c r="CH52" s="112">
        <v>0</v>
      </c>
      <c r="CI52" s="113"/>
      <c r="CJ52" s="112">
        <v>0</v>
      </c>
      <c r="CK52" s="113"/>
      <c r="CL52" s="112">
        <v>0</v>
      </c>
      <c r="CM52" s="113">
        <v>46149</v>
      </c>
      <c r="CN52" s="112" t="s">
        <v>132</v>
      </c>
      <c r="CO52" s="112">
        <v>105797304.42</v>
      </c>
      <c r="CP52" s="112">
        <v>105797304.42</v>
      </c>
      <c r="CQ52" s="112">
        <v>12</v>
      </c>
      <c r="CR52" s="118"/>
      <c r="CS52" s="119"/>
      <c r="CT52" s="112">
        <v>0</v>
      </c>
      <c r="CU52" s="112" t="s">
        <v>167</v>
      </c>
      <c r="CV52" s="112" t="s">
        <v>168</v>
      </c>
      <c r="CW52" s="113">
        <v>46149</v>
      </c>
      <c r="CX52" s="112" t="s">
        <v>2116</v>
      </c>
      <c r="CY52" s="120">
        <f>MONTH(Table_ExternalData_14[[#This Row],[RunningReportDate]])</f>
        <v>5</v>
      </c>
      <c r="CZ52" s="120">
        <f>181-Table_ExternalData_14[[#This Row],[DaysOD]]</f>
        <v>12</v>
      </c>
      <c r="DA52" s="120">
        <f>IF(Table_ExternalData_14[[#This Row],[Status]]="PU-WC",0,Table_ExternalData_14[[#This Row],[Amount_CWO]]/1000000)</f>
        <v>105.79730442</v>
      </c>
      <c r="DB52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52" s="120">
        <f>IF(Table_ExternalData_14[[#This Row],[Status]]="PU-WC",0,IF(Table_ExternalData_14[[#This Row],[Success CWO]]=1,Table_ExternalData_14[[#This Row],[CWO Amt]],0))</f>
        <v>0</v>
      </c>
      <c r="DD52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52" s="120">
        <f>DAY(Table_ExternalData_14[[#This Row],[Tanggal_Sukses-new]])</f>
        <v>0</v>
      </c>
      <c r="DF52" s="120">
        <f>IF(Table_ExternalData_14[[#This Row],[Status]]="PU-WC",0,IF(SUM(Table_ExternalData_14[[#This Row],[Success CWO]:[WO-In-Amt]])=0,1,0))</f>
        <v>1</v>
      </c>
      <c r="DG52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105.79730442</v>
      </c>
      <c r="DH52" s="120" t="str">
        <f>VLOOKUP(Table_ExternalData_14[[#This Row],[BranchID]],KC!$A:$K,5,0)</f>
        <v>4W</v>
      </c>
      <c r="DI52" s="120" t="str">
        <f>VLOOKUP(Table_ExternalData_14[[#This Row],[BranchID]],KC!$A:$K,8,0)</f>
        <v>01. Jabodetabekser</v>
      </c>
      <c r="DJ52" s="120" t="str">
        <f>VLOOKUP(Table_ExternalData_14[[#This Row],[BranchID]],KC!$A:$K,9,0)</f>
        <v>TANGERANG</v>
      </c>
      <c r="DK52" s="121">
        <f>IF(Table_ExternalData_14[[#This Row],[Tanggal_Sukses]]=" ",Table_ExternalData_14[[#This Row],[Tanggal_Sukses]],VLOOKUP(Table_ExternalData_14[[#This Row],[ContractID]],Bantuan!$A:$C,2,0))</f>
        <v>0</v>
      </c>
      <c r="DL52" s="120">
        <f>IF(Table_ExternalData_14[[#This Row],[Keterangan_Sukses]]=" ",Table_ExternalData_14[[#This Row],[Keterangan_Sukses]],VLOOKUP(Table_ExternalData_14[[#This Row],[ContractID]],Bantuan!$A:$C,3,0))</f>
        <v>0</v>
      </c>
    </row>
    <row r="53" spans="1:116" x14ac:dyDescent="0.3">
      <c r="A53" s="117" t="s">
        <v>16</v>
      </c>
      <c r="B53" s="112" t="s">
        <v>15</v>
      </c>
      <c r="C53" s="113">
        <v>46142</v>
      </c>
      <c r="D53" s="279">
        <v>45966</v>
      </c>
      <c r="E53" s="113">
        <v>45182</v>
      </c>
      <c r="F53" s="112" t="s">
        <v>1512</v>
      </c>
      <c r="G53" s="112" t="s">
        <v>1513</v>
      </c>
      <c r="H53" s="112" t="s">
        <v>1514</v>
      </c>
      <c r="I53" s="112" t="s">
        <v>1515</v>
      </c>
      <c r="J53" s="112" t="s">
        <v>1516</v>
      </c>
      <c r="K53" s="112" t="s">
        <v>4</v>
      </c>
      <c r="L53" s="112" t="s">
        <v>1516</v>
      </c>
      <c r="M53" s="112" t="s">
        <v>1517</v>
      </c>
      <c r="N53" s="112" t="s">
        <v>1518</v>
      </c>
      <c r="O53" s="112" t="s">
        <v>15</v>
      </c>
      <c r="P53" s="112" t="s">
        <v>165</v>
      </c>
      <c r="Q53" s="112" t="s">
        <v>166</v>
      </c>
      <c r="R53" s="112" t="s">
        <v>4</v>
      </c>
      <c r="S53" s="112" t="s">
        <v>4</v>
      </c>
      <c r="T53" s="112" t="s">
        <v>1233</v>
      </c>
      <c r="U53" s="112" t="s">
        <v>1233</v>
      </c>
      <c r="V53" s="112" t="s">
        <v>1233</v>
      </c>
      <c r="W53" s="112" t="s">
        <v>120</v>
      </c>
      <c r="X53" s="112" t="s">
        <v>121</v>
      </c>
      <c r="Y53" s="112" t="s">
        <v>136</v>
      </c>
      <c r="Z53" s="112" t="s">
        <v>137</v>
      </c>
      <c r="AA53" s="112" t="s">
        <v>1519</v>
      </c>
      <c r="AB53" s="112" t="s">
        <v>1520</v>
      </c>
      <c r="AC53" s="112" t="s">
        <v>1521</v>
      </c>
      <c r="AD53" s="112">
        <v>152028000</v>
      </c>
      <c r="AE53" s="112">
        <v>116388145.05</v>
      </c>
      <c r="AF53" s="112">
        <v>129780000</v>
      </c>
      <c r="AG53" s="112">
        <v>22248000</v>
      </c>
      <c r="AH53" s="112">
        <v>18655424</v>
      </c>
      <c r="AI53" s="112">
        <v>0</v>
      </c>
      <c r="AJ53" s="112">
        <v>3708000</v>
      </c>
      <c r="AK53" s="112">
        <v>176</v>
      </c>
      <c r="AL53" s="112">
        <v>6</v>
      </c>
      <c r="AM53" s="112">
        <v>25</v>
      </c>
      <c r="AN53" s="112">
        <v>65</v>
      </c>
      <c r="AO53" s="112" t="s">
        <v>123</v>
      </c>
      <c r="AP53" s="112" t="s">
        <v>123</v>
      </c>
      <c r="AQ53" s="112" t="s">
        <v>124</v>
      </c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2"/>
      <c r="BE53" s="112"/>
      <c r="BF53" s="112" t="s">
        <v>129</v>
      </c>
      <c r="BG53" s="112" t="s">
        <v>130</v>
      </c>
      <c r="BH53" s="112">
        <v>7</v>
      </c>
      <c r="BI53" s="112">
        <v>25956000</v>
      </c>
      <c r="BJ53" s="113"/>
      <c r="BK53" s="113"/>
      <c r="BL53" s="113"/>
      <c r="BM53" s="112"/>
      <c r="BN53" s="113">
        <v>46173</v>
      </c>
      <c r="BO53" s="112">
        <v>1</v>
      </c>
      <c r="BP53" s="114">
        <v>46149</v>
      </c>
      <c r="BQ53" s="112" t="s">
        <v>131</v>
      </c>
      <c r="BR53" s="112">
        <v>183</v>
      </c>
      <c r="BS53" s="113">
        <v>45966</v>
      </c>
      <c r="BT53" s="112">
        <v>152028000</v>
      </c>
      <c r="BU53" s="112">
        <v>0</v>
      </c>
      <c r="BV53" s="112">
        <v>1</v>
      </c>
      <c r="BW53" s="112">
        <v>0</v>
      </c>
      <c r="BX53" s="112">
        <v>0</v>
      </c>
      <c r="BY53" s="112">
        <v>0</v>
      </c>
      <c r="BZ53" s="112">
        <v>0</v>
      </c>
      <c r="CA53" s="112">
        <v>0</v>
      </c>
      <c r="CB53" s="112">
        <v>0</v>
      </c>
      <c r="CC53" s="113"/>
      <c r="CD53" s="112">
        <v>0</v>
      </c>
      <c r="CE53" s="113"/>
      <c r="CF53" s="112">
        <v>0</v>
      </c>
      <c r="CG53" s="113"/>
      <c r="CH53" s="112">
        <v>0</v>
      </c>
      <c r="CI53" s="113"/>
      <c r="CJ53" s="112">
        <v>0</v>
      </c>
      <c r="CK53" s="113"/>
      <c r="CL53" s="112">
        <v>0</v>
      </c>
      <c r="CM53" s="113">
        <v>46149</v>
      </c>
      <c r="CN53" s="112" t="s">
        <v>132</v>
      </c>
      <c r="CO53" s="112">
        <v>116388145.05</v>
      </c>
      <c r="CP53" s="112">
        <v>116388145.05</v>
      </c>
      <c r="CQ53" s="112">
        <v>5</v>
      </c>
      <c r="CR53" s="118"/>
      <c r="CS53" s="119"/>
      <c r="CT53" s="112">
        <v>0</v>
      </c>
      <c r="CU53" s="112" t="s">
        <v>167</v>
      </c>
      <c r="CV53" s="112" t="s">
        <v>168</v>
      </c>
      <c r="CW53" s="113">
        <v>46149</v>
      </c>
      <c r="CX53" s="112" t="s">
        <v>2116</v>
      </c>
      <c r="CY53" s="120">
        <f>MONTH(Table_ExternalData_14[[#This Row],[RunningReportDate]])</f>
        <v>5</v>
      </c>
      <c r="CZ53" s="120">
        <f>181-Table_ExternalData_14[[#This Row],[DaysOD]]</f>
        <v>5</v>
      </c>
      <c r="DA53" s="120">
        <f>IF(Table_ExternalData_14[[#This Row],[Status]]="PU-WC",0,Table_ExternalData_14[[#This Row],[Amount_CWO]]/1000000)</f>
        <v>116.38814504999999</v>
      </c>
      <c r="DB53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53" s="120">
        <f>IF(Table_ExternalData_14[[#This Row],[Status]]="PU-WC",0,IF(Table_ExternalData_14[[#This Row],[Success CWO]]=1,Table_ExternalData_14[[#This Row],[CWO Amt]],0))</f>
        <v>0</v>
      </c>
      <c r="DD53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116.38814504999999</v>
      </c>
      <c r="DE53" s="120">
        <f>DAY(Table_ExternalData_14[[#This Row],[Tanggal_Sukses-new]])</f>
        <v>0</v>
      </c>
      <c r="DF53" s="120">
        <f>IF(Table_ExternalData_14[[#This Row],[Status]]="PU-WC",0,IF(SUM(Table_ExternalData_14[[#This Row],[Success CWO]:[WO-In-Amt]])=0,1,0))</f>
        <v>0</v>
      </c>
      <c r="DG53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53" s="120" t="str">
        <f>VLOOKUP(Table_ExternalData_14[[#This Row],[BranchID]],KC!$A:$K,5,0)</f>
        <v>4W</v>
      </c>
      <c r="DI53" s="120" t="str">
        <f>VLOOKUP(Table_ExternalData_14[[#This Row],[BranchID]],KC!$A:$K,8,0)</f>
        <v>01. Jabodetabekser</v>
      </c>
      <c r="DJ53" s="120" t="str">
        <f>VLOOKUP(Table_ExternalData_14[[#This Row],[BranchID]],KC!$A:$K,9,0)</f>
        <v>TANGERANG</v>
      </c>
      <c r="DK53" s="121">
        <f>IF(Table_ExternalData_14[[#This Row],[Tanggal_Sukses]]=" ",Table_ExternalData_14[[#This Row],[Tanggal_Sukses]],VLOOKUP(Table_ExternalData_14[[#This Row],[ContractID]],Bantuan!$A:$C,2,0))</f>
        <v>0</v>
      </c>
      <c r="DL53" s="120">
        <f>IF(Table_ExternalData_14[[#This Row],[Keterangan_Sukses]]=" ",Table_ExternalData_14[[#This Row],[Keterangan_Sukses]],VLOOKUP(Table_ExternalData_14[[#This Row],[ContractID]],Bantuan!$A:$C,3,0))</f>
        <v>0</v>
      </c>
    </row>
    <row r="54" spans="1:116" x14ac:dyDescent="0.3">
      <c r="A54" s="117" t="s">
        <v>16</v>
      </c>
      <c r="B54" s="112" t="s">
        <v>15</v>
      </c>
      <c r="C54" s="113">
        <v>46142</v>
      </c>
      <c r="D54" s="279">
        <v>45985</v>
      </c>
      <c r="E54" s="113">
        <v>44891</v>
      </c>
      <c r="F54" s="112" t="s">
        <v>1522</v>
      </c>
      <c r="G54" s="112" t="s">
        <v>1523</v>
      </c>
      <c r="H54" s="112" t="s">
        <v>1524</v>
      </c>
      <c r="I54" s="112" t="s">
        <v>1525</v>
      </c>
      <c r="J54" s="112" t="s">
        <v>1107</v>
      </c>
      <c r="K54" s="112" t="s">
        <v>4</v>
      </c>
      <c r="L54" s="112" t="s">
        <v>1107</v>
      </c>
      <c r="M54" s="112" t="s">
        <v>1526</v>
      </c>
      <c r="N54" s="112" t="s">
        <v>1527</v>
      </c>
      <c r="O54" s="112" t="s">
        <v>15</v>
      </c>
      <c r="P54" s="112" t="s">
        <v>165</v>
      </c>
      <c r="Q54" s="112" t="s">
        <v>166</v>
      </c>
      <c r="R54" s="112" t="s">
        <v>4</v>
      </c>
      <c r="S54" s="112" t="s">
        <v>4</v>
      </c>
      <c r="T54" s="112" t="s">
        <v>1044</v>
      </c>
      <c r="U54" s="112" t="s">
        <v>1528</v>
      </c>
      <c r="V54" s="112" t="s">
        <v>1528</v>
      </c>
      <c r="W54" s="112" t="s">
        <v>120</v>
      </c>
      <c r="X54" s="112" t="s">
        <v>121</v>
      </c>
      <c r="Y54" s="112" t="s">
        <v>136</v>
      </c>
      <c r="Z54" s="112" t="s">
        <v>189</v>
      </c>
      <c r="AA54" s="112" t="s">
        <v>1529</v>
      </c>
      <c r="AB54" s="112" t="s">
        <v>1530</v>
      </c>
      <c r="AC54" s="112" t="s">
        <v>1531</v>
      </c>
      <c r="AD54" s="112">
        <v>55835000</v>
      </c>
      <c r="AE54" s="112">
        <v>50363136.729999997</v>
      </c>
      <c r="AF54" s="112">
        <v>30065000</v>
      </c>
      <c r="AG54" s="112">
        <v>25770000</v>
      </c>
      <c r="AH54" s="112">
        <v>22979225</v>
      </c>
      <c r="AI54" s="112">
        <v>0</v>
      </c>
      <c r="AJ54" s="112">
        <v>4295000</v>
      </c>
      <c r="AK54" s="112">
        <v>157</v>
      </c>
      <c r="AL54" s="112">
        <v>6</v>
      </c>
      <c r="AM54" s="112">
        <v>36</v>
      </c>
      <c r="AN54" s="112">
        <v>48</v>
      </c>
      <c r="AO54" s="112" t="s">
        <v>123</v>
      </c>
      <c r="AP54" s="112" t="s">
        <v>123</v>
      </c>
      <c r="AQ54" s="112" t="s">
        <v>124</v>
      </c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2"/>
      <c r="BE54" s="112"/>
      <c r="BF54" s="112" t="s">
        <v>129</v>
      </c>
      <c r="BG54" s="112" t="s">
        <v>130</v>
      </c>
      <c r="BH54" s="112">
        <v>7</v>
      </c>
      <c r="BI54" s="112">
        <v>30065000</v>
      </c>
      <c r="BJ54" s="113"/>
      <c r="BK54" s="113"/>
      <c r="BL54" s="113"/>
      <c r="BM54" s="112"/>
      <c r="BN54" s="113">
        <v>46173</v>
      </c>
      <c r="BO54" s="112">
        <v>1</v>
      </c>
      <c r="BP54" s="114">
        <v>46149</v>
      </c>
      <c r="BQ54" s="112" t="s">
        <v>131</v>
      </c>
      <c r="BR54" s="112">
        <v>164</v>
      </c>
      <c r="BS54" s="113">
        <v>45985</v>
      </c>
      <c r="BT54" s="112">
        <v>55835000</v>
      </c>
      <c r="BU54" s="112">
        <v>0</v>
      </c>
      <c r="BV54" s="112">
        <v>1</v>
      </c>
      <c r="BW54" s="112">
        <v>0</v>
      </c>
      <c r="BX54" s="112">
        <v>0</v>
      </c>
      <c r="BY54" s="112">
        <v>0</v>
      </c>
      <c r="BZ54" s="112">
        <v>0</v>
      </c>
      <c r="CA54" s="112">
        <v>0</v>
      </c>
      <c r="CB54" s="112">
        <v>0</v>
      </c>
      <c r="CC54" s="113"/>
      <c r="CD54" s="112">
        <v>0</v>
      </c>
      <c r="CE54" s="113"/>
      <c r="CF54" s="112">
        <v>0</v>
      </c>
      <c r="CG54" s="113"/>
      <c r="CH54" s="112">
        <v>0</v>
      </c>
      <c r="CI54" s="113"/>
      <c r="CJ54" s="112">
        <v>0</v>
      </c>
      <c r="CK54" s="113"/>
      <c r="CL54" s="112">
        <v>0</v>
      </c>
      <c r="CM54" s="113">
        <v>46149</v>
      </c>
      <c r="CN54" s="112" t="s">
        <v>132</v>
      </c>
      <c r="CO54" s="112">
        <v>50363136.729999997</v>
      </c>
      <c r="CP54" s="112">
        <v>50363136.729999997</v>
      </c>
      <c r="CQ54" s="112">
        <v>24</v>
      </c>
      <c r="CR54" s="118"/>
      <c r="CS54" s="119"/>
      <c r="CT54" s="112">
        <v>0</v>
      </c>
      <c r="CU54" s="112" t="s">
        <v>167</v>
      </c>
      <c r="CV54" s="112" t="s">
        <v>168</v>
      </c>
      <c r="CW54" s="113">
        <v>46149</v>
      </c>
      <c r="CX54" s="112" t="s">
        <v>2116</v>
      </c>
      <c r="CY54" s="120">
        <f>MONTH(Table_ExternalData_14[[#This Row],[RunningReportDate]])</f>
        <v>5</v>
      </c>
      <c r="CZ54" s="120">
        <f>181-Table_ExternalData_14[[#This Row],[DaysOD]]</f>
        <v>24</v>
      </c>
      <c r="DA54" s="120">
        <f>IF(Table_ExternalData_14[[#This Row],[Status]]="PU-WC",0,Table_ExternalData_14[[#This Row],[Amount_CWO]]/1000000)</f>
        <v>50.363136729999994</v>
      </c>
      <c r="DB54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54" s="120">
        <f>IF(Table_ExternalData_14[[#This Row],[Status]]="PU-WC",0,IF(Table_ExternalData_14[[#This Row],[Success CWO]]=1,Table_ExternalData_14[[#This Row],[CWO Amt]],0))</f>
        <v>0</v>
      </c>
      <c r="DD54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54" s="120">
        <f>DAY(Table_ExternalData_14[[#This Row],[Tanggal_Sukses-new]])</f>
        <v>0</v>
      </c>
      <c r="DF54" s="120">
        <f>IF(Table_ExternalData_14[[#This Row],[Status]]="PU-WC",0,IF(SUM(Table_ExternalData_14[[#This Row],[Success CWO]:[WO-In-Amt]])=0,1,0))</f>
        <v>1</v>
      </c>
      <c r="DG54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50.363136729999994</v>
      </c>
      <c r="DH54" s="120" t="str">
        <f>VLOOKUP(Table_ExternalData_14[[#This Row],[BranchID]],KC!$A:$K,5,0)</f>
        <v>4W</v>
      </c>
      <c r="DI54" s="120" t="str">
        <f>VLOOKUP(Table_ExternalData_14[[#This Row],[BranchID]],KC!$A:$K,8,0)</f>
        <v>01. Jabodetabekser</v>
      </c>
      <c r="DJ54" s="120" t="str">
        <f>VLOOKUP(Table_ExternalData_14[[#This Row],[BranchID]],KC!$A:$K,9,0)</f>
        <v>TANGERANG</v>
      </c>
      <c r="DK54" s="121">
        <f>IF(Table_ExternalData_14[[#This Row],[Tanggal_Sukses]]=" ",Table_ExternalData_14[[#This Row],[Tanggal_Sukses]],VLOOKUP(Table_ExternalData_14[[#This Row],[ContractID]],Bantuan!$A:$C,2,0))</f>
        <v>0</v>
      </c>
      <c r="DL54" s="120">
        <f>IF(Table_ExternalData_14[[#This Row],[Keterangan_Sukses]]=" ",Table_ExternalData_14[[#This Row],[Keterangan_Sukses]],VLOOKUP(Table_ExternalData_14[[#This Row],[ContractID]],Bantuan!$A:$C,3,0))</f>
        <v>0</v>
      </c>
    </row>
    <row r="55" spans="1:116" x14ac:dyDescent="0.3">
      <c r="A55" s="117" t="s">
        <v>16</v>
      </c>
      <c r="B55" s="112" t="s">
        <v>15</v>
      </c>
      <c r="C55" s="113">
        <v>46142</v>
      </c>
      <c r="D55" s="279">
        <v>45981</v>
      </c>
      <c r="E55" s="113">
        <v>44854</v>
      </c>
      <c r="F55" s="112" t="s">
        <v>1532</v>
      </c>
      <c r="G55" s="112" t="s">
        <v>1533</v>
      </c>
      <c r="H55" s="112" t="s">
        <v>1534</v>
      </c>
      <c r="I55" s="112" t="s">
        <v>1535</v>
      </c>
      <c r="J55" s="112" t="s">
        <v>1536</v>
      </c>
      <c r="K55" s="112" t="s">
        <v>4</v>
      </c>
      <c r="L55" s="112" t="s">
        <v>1536</v>
      </c>
      <c r="M55" s="112" t="s">
        <v>1537</v>
      </c>
      <c r="N55" s="112" t="s">
        <v>1538</v>
      </c>
      <c r="O55" s="112" t="s">
        <v>15</v>
      </c>
      <c r="P55" s="112" t="s">
        <v>165</v>
      </c>
      <c r="Q55" s="112" t="s">
        <v>166</v>
      </c>
      <c r="R55" s="112" t="s">
        <v>4</v>
      </c>
      <c r="S55" s="112" t="s">
        <v>4</v>
      </c>
      <c r="T55" s="112" t="s">
        <v>172</v>
      </c>
      <c r="U55" s="112" t="s">
        <v>172</v>
      </c>
      <c r="V55" s="112" t="s">
        <v>172</v>
      </c>
      <c r="W55" s="112" t="s">
        <v>120</v>
      </c>
      <c r="X55" s="112" t="s">
        <v>121</v>
      </c>
      <c r="Y55" s="112" t="s">
        <v>136</v>
      </c>
      <c r="Z55" s="112" t="s">
        <v>142</v>
      </c>
      <c r="AA55" s="112" t="s">
        <v>1539</v>
      </c>
      <c r="AB55" s="112" t="s">
        <v>1540</v>
      </c>
      <c r="AC55" s="112" t="s">
        <v>1541</v>
      </c>
      <c r="AD55" s="112">
        <v>49956000</v>
      </c>
      <c r="AE55" s="112">
        <v>45613431.859999999</v>
      </c>
      <c r="AF55" s="112">
        <v>24978000</v>
      </c>
      <c r="AG55" s="112">
        <v>24978000</v>
      </c>
      <c r="AH55" s="112">
        <v>10782170</v>
      </c>
      <c r="AI55" s="112">
        <v>0</v>
      </c>
      <c r="AJ55" s="112">
        <v>4163000</v>
      </c>
      <c r="AK55" s="112">
        <v>161</v>
      </c>
      <c r="AL55" s="112">
        <v>6</v>
      </c>
      <c r="AM55" s="112">
        <v>37</v>
      </c>
      <c r="AN55" s="112">
        <v>48</v>
      </c>
      <c r="AO55" s="112" t="s">
        <v>123</v>
      </c>
      <c r="AP55" s="112" t="s">
        <v>123</v>
      </c>
      <c r="AQ55" s="112" t="s">
        <v>124</v>
      </c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 t="s">
        <v>129</v>
      </c>
      <c r="BG55" s="112" t="s">
        <v>130</v>
      </c>
      <c r="BH55" s="112">
        <v>7</v>
      </c>
      <c r="BI55" s="112">
        <v>29141000</v>
      </c>
      <c r="BJ55" s="113"/>
      <c r="BK55" s="113"/>
      <c r="BL55" s="113"/>
      <c r="BM55" s="112"/>
      <c r="BN55" s="113">
        <v>46173</v>
      </c>
      <c r="BO55" s="112">
        <v>1</v>
      </c>
      <c r="BP55" s="114">
        <v>46149</v>
      </c>
      <c r="BQ55" s="112" t="s">
        <v>131</v>
      </c>
      <c r="BR55" s="112">
        <v>168</v>
      </c>
      <c r="BS55" s="113">
        <v>45981</v>
      </c>
      <c r="BT55" s="112">
        <v>49956000</v>
      </c>
      <c r="BU55" s="112">
        <v>0</v>
      </c>
      <c r="BV55" s="112">
        <v>1</v>
      </c>
      <c r="BW55" s="112">
        <v>0</v>
      </c>
      <c r="BX55" s="112">
        <v>0</v>
      </c>
      <c r="BY55" s="112">
        <v>0</v>
      </c>
      <c r="BZ55" s="112">
        <v>0</v>
      </c>
      <c r="CA55" s="112">
        <v>0</v>
      </c>
      <c r="CB55" s="112">
        <v>0</v>
      </c>
      <c r="CC55" s="113"/>
      <c r="CD55" s="112">
        <v>0</v>
      </c>
      <c r="CE55" s="113"/>
      <c r="CF55" s="112">
        <v>0</v>
      </c>
      <c r="CG55" s="113"/>
      <c r="CH55" s="112">
        <v>0</v>
      </c>
      <c r="CI55" s="113"/>
      <c r="CJ55" s="112">
        <v>0</v>
      </c>
      <c r="CK55" s="113"/>
      <c r="CL55" s="112">
        <v>0</v>
      </c>
      <c r="CM55" s="113">
        <v>46149</v>
      </c>
      <c r="CN55" s="112" t="s">
        <v>132</v>
      </c>
      <c r="CO55" s="112">
        <v>45613431.859999999</v>
      </c>
      <c r="CP55" s="112">
        <v>45613431.859999999</v>
      </c>
      <c r="CQ55" s="112">
        <v>20</v>
      </c>
      <c r="CR55" s="118"/>
      <c r="CS55" s="119"/>
      <c r="CT55" s="112">
        <v>0</v>
      </c>
      <c r="CU55" s="112" t="s">
        <v>167</v>
      </c>
      <c r="CV55" s="112" t="s">
        <v>168</v>
      </c>
      <c r="CW55" s="113">
        <v>46149</v>
      </c>
      <c r="CX55" s="112" t="s">
        <v>2116</v>
      </c>
      <c r="CY55" s="120">
        <f>MONTH(Table_ExternalData_14[[#This Row],[RunningReportDate]])</f>
        <v>5</v>
      </c>
      <c r="CZ55" s="120">
        <f>181-Table_ExternalData_14[[#This Row],[DaysOD]]</f>
        <v>20</v>
      </c>
      <c r="DA55" s="120">
        <f>IF(Table_ExternalData_14[[#This Row],[Status]]="PU-WC",0,Table_ExternalData_14[[#This Row],[Amount_CWO]]/1000000)</f>
        <v>45.613431859999999</v>
      </c>
      <c r="DB55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55" s="120">
        <f>IF(Table_ExternalData_14[[#This Row],[Status]]="PU-WC",0,IF(Table_ExternalData_14[[#This Row],[Success CWO]]=1,Table_ExternalData_14[[#This Row],[CWO Amt]],0))</f>
        <v>0</v>
      </c>
      <c r="DD55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55" s="120">
        <f>DAY(Table_ExternalData_14[[#This Row],[Tanggal_Sukses-new]])</f>
        <v>0</v>
      </c>
      <c r="DF55" s="120">
        <f>IF(Table_ExternalData_14[[#This Row],[Status]]="PU-WC",0,IF(SUM(Table_ExternalData_14[[#This Row],[Success CWO]:[WO-In-Amt]])=0,1,0))</f>
        <v>1</v>
      </c>
      <c r="DG55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45.613431859999999</v>
      </c>
      <c r="DH55" s="120" t="str">
        <f>VLOOKUP(Table_ExternalData_14[[#This Row],[BranchID]],KC!$A:$K,5,0)</f>
        <v>4W</v>
      </c>
      <c r="DI55" s="120" t="str">
        <f>VLOOKUP(Table_ExternalData_14[[#This Row],[BranchID]],KC!$A:$K,8,0)</f>
        <v>01. Jabodetabekser</v>
      </c>
      <c r="DJ55" s="120" t="str">
        <f>VLOOKUP(Table_ExternalData_14[[#This Row],[BranchID]],KC!$A:$K,9,0)</f>
        <v>TANGERANG</v>
      </c>
      <c r="DK55" s="121">
        <f>IF(Table_ExternalData_14[[#This Row],[Tanggal_Sukses]]=" ",Table_ExternalData_14[[#This Row],[Tanggal_Sukses]],VLOOKUP(Table_ExternalData_14[[#This Row],[ContractID]],Bantuan!$A:$C,2,0))</f>
        <v>0</v>
      </c>
      <c r="DL55" s="120">
        <f>IF(Table_ExternalData_14[[#This Row],[Keterangan_Sukses]]=" ",Table_ExternalData_14[[#This Row],[Keterangan_Sukses]],VLOOKUP(Table_ExternalData_14[[#This Row],[ContractID]],Bantuan!$A:$C,3,0))</f>
        <v>0</v>
      </c>
    </row>
    <row r="56" spans="1:116" x14ac:dyDescent="0.3">
      <c r="A56" s="117" t="s">
        <v>1</v>
      </c>
      <c r="B56" s="112" t="s">
        <v>0</v>
      </c>
      <c r="C56" s="113">
        <v>46142</v>
      </c>
      <c r="D56" s="279">
        <v>45966</v>
      </c>
      <c r="E56" s="113">
        <v>44957</v>
      </c>
      <c r="F56" s="112" t="s">
        <v>1542</v>
      </c>
      <c r="G56" s="112" t="s">
        <v>1543</v>
      </c>
      <c r="H56" s="112" t="s">
        <v>1544</v>
      </c>
      <c r="I56" s="112" t="s">
        <v>1545</v>
      </c>
      <c r="J56" s="112" t="s">
        <v>1546</v>
      </c>
      <c r="K56" s="112" t="s">
        <v>4</v>
      </c>
      <c r="L56" s="112" t="s">
        <v>1546</v>
      </c>
      <c r="M56" s="112" t="s">
        <v>1547</v>
      </c>
      <c r="N56" s="112" t="s">
        <v>1548</v>
      </c>
      <c r="O56" s="112" t="s">
        <v>0</v>
      </c>
      <c r="P56" s="112" t="s">
        <v>188</v>
      </c>
      <c r="Q56" s="112" t="s">
        <v>903</v>
      </c>
      <c r="R56" s="112" t="s">
        <v>4</v>
      </c>
      <c r="S56" s="112" t="s">
        <v>4</v>
      </c>
      <c r="T56" s="112" t="s">
        <v>1549</v>
      </c>
      <c r="U56" s="112" t="s">
        <v>1549</v>
      </c>
      <c r="V56" s="112" t="s">
        <v>169</v>
      </c>
      <c r="W56" s="112" t="s">
        <v>120</v>
      </c>
      <c r="X56" s="112" t="s">
        <v>121</v>
      </c>
      <c r="Y56" s="112" t="s">
        <v>136</v>
      </c>
      <c r="Z56" s="112" t="s">
        <v>189</v>
      </c>
      <c r="AA56" s="112" t="s">
        <v>1550</v>
      </c>
      <c r="AB56" s="112" t="s">
        <v>1551</v>
      </c>
      <c r="AC56" s="112" t="s">
        <v>1552</v>
      </c>
      <c r="AD56" s="112">
        <v>89600000</v>
      </c>
      <c r="AE56" s="112">
        <v>72795177.799999997</v>
      </c>
      <c r="AF56" s="112">
        <v>70400000</v>
      </c>
      <c r="AG56" s="112">
        <v>19200000</v>
      </c>
      <c r="AH56" s="112">
        <v>9744000</v>
      </c>
      <c r="AI56" s="112">
        <v>16000</v>
      </c>
      <c r="AJ56" s="112">
        <v>3200000</v>
      </c>
      <c r="AK56" s="112">
        <v>176</v>
      </c>
      <c r="AL56" s="112">
        <v>6</v>
      </c>
      <c r="AM56" s="112">
        <v>33</v>
      </c>
      <c r="AN56" s="112">
        <v>60</v>
      </c>
      <c r="AO56" s="112" t="s">
        <v>123</v>
      </c>
      <c r="AP56" s="112" t="s">
        <v>123</v>
      </c>
      <c r="AQ56" s="112" t="s">
        <v>124</v>
      </c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 t="s">
        <v>129</v>
      </c>
      <c r="BG56" s="112" t="s">
        <v>130</v>
      </c>
      <c r="BH56" s="112">
        <v>7</v>
      </c>
      <c r="BI56" s="112">
        <v>22400000</v>
      </c>
      <c r="BJ56" s="113"/>
      <c r="BK56" s="113"/>
      <c r="BL56" s="113"/>
      <c r="BM56" s="112"/>
      <c r="BN56" s="113">
        <v>46173</v>
      </c>
      <c r="BO56" s="112">
        <v>1</v>
      </c>
      <c r="BP56" s="114">
        <v>46149</v>
      </c>
      <c r="BQ56" s="112" t="s">
        <v>131</v>
      </c>
      <c r="BR56" s="112">
        <v>183</v>
      </c>
      <c r="BS56" s="113">
        <v>45966</v>
      </c>
      <c r="BT56" s="112">
        <v>89600000</v>
      </c>
      <c r="BU56" s="112">
        <v>0</v>
      </c>
      <c r="BV56" s="112">
        <v>1</v>
      </c>
      <c r="BW56" s="112">
        <v>0</v>
      </c>
      <c r="BX56" s="112">
        <v>0</v>
      </c>
      <c r="BY56" s="112">
        <v>0</v>
      </c>
      <c r="BZ56" s="112">
        <v>0</v>
      </c>
      <c r="CA56" s="112">
        <v>0</v>
      </c>
      <c r="CB56" s="112">
        <v>0</v>
      </c>
      <c r="CC56" s="113"/>
      <c r="CD56" s="112">
        <v>0</v>
      </c>
      <c r="CE56" s="113"/>
      <c r="CF56" s="112">
        <v>0</v>
      </c>
      <c r="CG56" s="113"/>
      <c r="CH56" s="112">
        <v>0</v>
      </c>
      <c r="CI56" s="113"/>
      <c r="CJ56" s="112">
        <v>0</v>
      </c>
      <c r="CK56" s="113"/>
      <c r="CL56" s="112">
        <v>0</v>
      </c>
      <c r="CM56" s="113">
        <v>46149</v>
      </c>
      <c r="CN56" s="112" t="s">
        <v>132</v>
      </c>
      <c r="CO56" s="112">
        <v>72779177.799999997</v>
      </c>
      <c r="CP56" s="112">
        <v>72779177.799999997</v>
      </c>
      <c r="CQ56" s="112">
        <v>5</v>
      </c>
      <c r="CR56" s="118"/>
      <c r="CS56" s="119"/>
      <c r="CT56" s="112">
        <v>0</v>
      </c>
      <c r="CU56" s="112" t="s">
        <v>191</v>
      </c>
      <c r="CV56" s="112" t="s">
        <v>192</v>
      </c>
      <c r="CW56" s="113">
        <v>46149</v>
      </c>
      <c r="CX56" s="112" t="s">
        <v>2116</v>
      </c>
      <c r="CY56" s="120">
        <f>MONTH(Table_ExternalData_14[[#This Row],[RunningReportDate]])</f>
        <v>5</v>
      </c>
      <c r="CZ56" s="120">
        <f>181-Table_ExternalData_14[[#This Row],[DaysOD]]</f>
        <v>5</v>
      </c>
      <c r="DA56" s="120">
        <f>IF(Table_ExternalData_14[[#This Row],[Status]]="PU-WC",0,Table_ExternalData_14[[#This Row],[Amount_CWO]]/1000000)</f>
        <v>72.779177799999999</v>
      </c>
      <c r="DB56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56" s="120">
        <f>IF(Table_ExternalData_14[[#This Row],[Status]]="PU-WC",0,IF(Table_ExternalData_14[[#This Row],[Success CWO]]=1,Table_ExternalData_14[[#This Row],[CWO Amt]],0))</f>
        <v>0</v>
      </c>
      <c r="DD56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72.779177799999999</v>
      </c>
      <c r="DE56" s="120">
        <f>DAY(Table_ExternalData_14[[#This Row],[Tanggal_Sukses-new]])</f>
        <v>0</v>
      </c>
      <c r="DF56" s="120">
        <f>IF(Table_ExternalData_14[[#This Row],[Status]]="PU-WC",0,IF(SUM(Table_ExternalData_14[[#This Row],[Success CWO]:[WO-In-Amt]])=0,1,0))</f>
        <v>0</v>
      </c>
      <c r="DG56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56" s="120" t="str">
        <f>VLOOKUP(Table_ExternalData_14[[#This Row],[BranchID]],KC!$A:$K,5,0)</f>
        <v>4W</v>
      </c>
      <c r="DI56" s="120" t="str">
        <f>VLOOKUP(Table_ExternalData_14[[#This Row],[BranchID]],KC!$A:$K,8,0)</f>
        <v>01. Jabodetabekser</v>
      </c>
      <c r="DJ56" s="120" t="str">
        <f>VLOOKUP(Table_ExternalData_14[[#This Row],[BranchID]],KC!$A:$K,9,0)</f>
        <v>BEKASI</v>
      </c>
      <c r="DK56" s="121">
        <f>IF(Table_ExternalData_14[[#This Row],[Tanggal_Sukses]]=" ",Table_ExternalData_14[[#This Row],[Tanggal_Sukses]],VLOOKUP(Table_ExternalData_14[[#This Row],[ContractID]],Bantuan!$A:$C,2,0))</f>
        <v>0</v>
      </c>
      <c r="DL56" s="120">
        <f>IF(Table_ExternalData_14[[#This Row],[Keterangan_Sukses]]=" ",Table_ExternalData_14[[#This Row],[Keterangan_Sukses]],VLOOKUP(Table_ExternalData_14[[#This Row],[ContractID]],Bantuan!$A:$C,3,0))</f>
        <v>0</v>
      </c>
    </row>
    <row r="57" spans="1:116" x14ac:dyDescent="0.3">
      <c r="A57" s="117" t="s">
        <v>1</v>
      </c>
      <c r="B57" s="112" t="s">
        <v>0</v>
      </c>
      <c r="C57" s="113">
        <v>46142</v>
      </c>
      <c r="D57" s="279">
        <v>45966</v>
      </c>
      <c r="E57" s="113">
        <v>44445</v>
      </c>
      <c r="F57" s="112" t="s">
        <v>1553</v>
      </c>
      <c r="G57" s="112" t="s">
        <v>1554</v>
      </c>
      <c r="H57" s="112" t="s">
        <v>1555</v>
      </c>
      <c r="I57" s="112" t="s">
        <v>1556</v>
      </c>
      <c r="J57" s="112" t="s">
        <v>1557</v>
      </c>
      <c r="K57" s="112" t="s">
        <v>4</v>
      </c>
      <c r="L57" s="112" t="s">
        <v>1557</v>
      </c>
      <c r="M57" s="112" t="s">
        <v>1558</v>
      </c>
      <c r="N57" s="112" t="s">
        <v>1559</v>
      </c>
      <c r="O57" s="112" t="s">
        <v>11</v>
      </c>
      <c r="P57" s="112" t="s">
        <v>188</v>
      </c>
      <c r="Q57" s="112" t="s">
        <v>1037</v>
      </c>
      <c r="R57" s="112" t="s">
        <v>4</v>
      </c>
      <c r="S57" s="112" t="s">
        <v>4</v>
      </c>
      <c r="T57" s="112" t="s">
        <v>1560</v>
      </c>
      <c r="U57" s="112" t="s">
        <v>1560</v>
      </c>
      <c r="V57" s="112" t="s">
        <v>171</v>
      </c>
      <c r="W57" s="112" t="s">
        <v>120</v>
      </c>
      <c r="X57" s="112" t="s">
        <v>121</v>
      </c>
      <c r="Y57" s="112" t="s">
        <v>215</v>
      </c>
      <c r="Z57" s="112" t="s">
        <v>1561</v>
      </c>
      <c r="AA57" s="112" t="s">
        <v>1562</v>
      </c>
      <c r="AB57" s="112" t="s">
        <v>1563</v>
      </c>
      <c r="AC57" s="112" t="s">
        <v>1564</v>
      </c>
      <c r="AD57" s="112">
        <v>85984000</v>
      </c>
      <c r="AE57" s="112">
        <v>76982555.659999996</v>
      </c>
      <c r="AF57" s="112">
        <v>53740000</v>
      </c>
      <c r="AG57" s="112">
        <v>32244000</v>
      </c>
      <c r="AH57" s="112">
        <v>71351905</v>
      </c>
      <c r="AI57" s="112">
        <v>0</v>
      </c>
      <c r="AJ57" s="112">
        <v>5374000</v>
      </c>
      <c r="AK57" s="112">
        <v>176</v>
      </c>
      <c r="AL57" s="112">
        <v>6</v>
      </c>
      <c r="AM57" s="112">
        <v>49</v>
      </c>
      <c r="AN57" s="112">
        <v>64</v>
      </c>
      <c r="AO57" s="112" t="s">
        <v>123</v>
      </c>
      <c r="AP57" s="112" t="s">
        <v>123</v>
      </c>
      <c r="AQ57" s="112" t="s">
        <v>124</v>
      </c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 t="s">
        <v>129</v>
      </c>
      <c r="BG57" s="112" t="s">
        <v>130</v>
      </c>
      <c r="BH57" s="112">
        <v>7</v>
      </c>
      <c r="BI57" s="112">
        <v>37618000</v>
      </c>
      <c r="BJ57" s="113"/>
      <c r="BK57" s="113"/>
      <c r="BL57" s="113"/>
      <c r="BM57" s="112"/>
      <c r="BN57" s="113">
        <v>46173</v>
      </c>
      <c r="BO57" s="112">
        <v>1</v>
      </c>
      <c r="BP57" s="114">
        <v>46149</v>
      </c>
      <c r="BQ57" s="112" t="s">
        <v>131</v>
      </c>
      <c r="BR57" s="112">
        <v>183</v>
      </c>
      <c r="BS57" s="113">
        <v>45966</v>
      </c>
      <c r="BT57" s="112">
        <v>85984000</v>
      </c>
      <c r="BU57" s="112">
        <v>0</v>
      </c>
      <c r="BV57" s="112">
        <v>1</v>
      </c>
      <c r="BW57" s="112">
        <v>0</v>
      </c>
      <c r="BX57" s="112">
        <v>0</v>
      </c>
      <c r="BY57" s="112">
        <v>0</v>
      </c>
      <c r="BZ57" s="112">
        <v>0</v>
      </c>
      <c r="CA57" s="112">
        <v>0</v>
      </c>
      <c r="CB57" s="112">
        <v>0</v>
      </c>
      <c r="CC57" s="113"/>
      <c r="CD57" s="112">
        <v>0</v>
      </c>
      <c r="CE57" s="113"/>
      <c r="CF57" s="112">
        <v>0</v>
      </c>
      <c r="CG57" s="113"/>
      <c r="CH57" s="112">
        <v>0</v>
      </c>
      <c r="CI57" s="113"/>
      <c r="CJ57" s="112">
        <v>0</v>
      </c>
      <c r="CK57" s="113"/>
      <c r="CL57" s="112">
        <v>0</v>
      </c>
      <c r="CM57" s="113">
        <v>46149</v>
      </c>
      <c r="CN57" s="112" t="s">
        <v>132</v>
      </c>
      <c r="CO57" s="112">
        <v>76982555.659999996</v>
      </c>
      <c r="CP57" s="112">
        <v>76982555.659999996</v>
      </c>
      <c r="CQ57" s="112">
        <v>5</v>
      </c>
      <c r="CR57" s="118"/>
      <c r="CS57" s="119"/>
      <c r="CT57" s="112">
        <v>0</v>
      </c>
      <c r="CU57" s="112" t="s">
        <v>191</v>
      </c>
      <c r="CV57" s="112" t="s">
        <v>192</v>
      </c>
      <c r="CW57" s="113">
        <v>46149</v>
      </c>
      <c r="CX57" s="112" t="s">
        <v>2116</v>
      </c>
      <c r="CY57" s="120">
        <f>MONTH(Table_ExternalData_14[[#This Row],[RunningReportDate]])</f>
        <v>5</v>
      </c>
      <c r="CZ57" s="120">
        <f>181-Table_ExternalData_14[[#This Row],[DaysOD]]</f>
        <v>5</v>
      </c>
      <c r="DA57" s="120">
        <f>IF(Table_ExternalData_14[[#This Row],[Status]]="PU-WC",0,Table_ExternalData_14[[#This Row],[Amount_CWO]]/1000000)</f>
        <v>76.982555660000003</v>
      </c>
      <c r="DB57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57" s="120">
        <f>IF(Table_ExternalData_14[[#This Row],[Status]]="PU-WC",0,IF(Table_ExternalData_14[[#This Row],[Success CWO]]=1,Table_ExternalData_14[[#This Row],[CWO Amt]],0))</f>
        <v>0</v>
      </c>
      <c r="DD57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76.982555660000003</v>
      </c>
      <c r="DE57" s="120">
        <f>DAY(Table_ExternalData_14[[#This Row],[Tanggal_Sukses-new]])</f>
        <v>0</v>
      </c>
      <c r="DF57" s="120">
        <f>IF(Table_ExternalData_14[[#This Row],[Status]]="PU-WC",0,IF(SUM(Table_ExternalData_14[[#This Row],[Success CWO]:[WO-In-Amt]])=0,1,0))</f>
        <v>0</v>
      </c>
      <c r="DG57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57" s="120" t="str">
        <f>VLOOKUP(Table_ExternalData_14[[#This Row],[BranchID]],KC!$A:$K,5,0)</f>
        <v>4W</v>
      </c>
      <c r="DI57" s="120" t="str">
        <f>VLOOKUP(Table_ExternalData_14[[#This Row],[BranchID]],KC!$A:$K,8,0)</f>
        <v>01. Jabodetabekser</v>
      </c>
      <c r="DJ57" s="120" t="str">
        <f>VLOOKUP(Table_ExternalData_14[[#This Row],[BranchID]],KC!$A:$K,9,0)</f>
        <v>BEKASI</v>
      </c>
      <c r="DK57" s="121">
        <f>IF(Table_ExternalData_14[[#This Row],[Tanggal_Sukses]]=" ",Table_ExternalData_14[[#This Row],[Tanggal_Sukses]],VLOOKUP(Table_ExternalData_14[[#This Row],[ContractID]],Bantuan!$A:$C,2,0))</f>
        <v>0</v>
      </c>
      <c r="DL57" s="120">
        <f>IF(Table_ExternalData_14[[#This Row],[Keterangan_Sukses]]=" ",Table_ExternalData_14[[#This Row],[Keterangan_Sukses]],VLOOKUP(Table_ExternalData_14[[#This Row],[ContractID]],Bantuan!$A:$C,3,0))</f>
        <v>0</v>
      </c>
    </row>
    <row r="58" spans="1:116" x14ac:dyDescent="0.3">
      <c r="A58" s="117" t="s">
        <v>159</v>
      </c>
      <c r="B58" s="112" t="s">
        <v>158</v>
      </c>
      <c r="C58" s="113">
        <v>46142</v>
      </c>
      <c r="D58" s="279">
        <v>45966</v>
      </c>
      <c r="E58" s="113">
        <v>45162</v>
      </c>
      <c r="F58" s="112" t="s">
        <v>1096</v>
      </c>
      <c r="G58" s="112" t="s">
        <v>1097</v>
      </c>
      <c r="H58" s="112" t="s">
        <v>1098</v>
      </c>
      <c r="I58" s="112" t="s">
        <v>1099</v>
      </c>
      <c r="J58" s="112" t="s">
        <v>1100</v>
      </c>
      <c r="K58" s="112" t="s">
        <v>4</v>
      </c>
      <c r="L58" s="112" t="s">
        <v>1100</v>
      </c>
      <c r="M58" s="112" t="s">
        <v>1101</v>
      </c>
      <c r="N58" s="112" t="s">
        <v>1102</v>
      </c>
      <c r="O58" s="112" t="s">
        <v>158</v>
      </c>
      <c r="P58" s="112" t="s">
        <v>160</v>
      </c>
      <c r="Q58" s="112" t="s">
        <v>186</v>
      </c>
      <c r="R58" s="112" t="s">
        <v>4</v>
      </c>
      <c r="S58" s="112" t="s">
        <v>4</v>
      </c>
      <c r="T58" s="112" t="s">
        <v>1103</v>
      </c>
      <c r="U58" s="112" t="s">
        <v>1103</v>
      </c>
      <c r="V58" s="112" t="s">
        <v>897</v>
      </c>
      <c r="W58" s="112" t="s">
        <v>120</v>
      </c>
      <c r="X58" s="112" t="s">
        <v>121</v>
      </c>
      <c r="Y58" s="112" t="s">
        <v>136</v>
      </c>
      <c r="Z58" s="112" t="s">
        <v>137</v>
      </c>
      <c r="AA58" s="112" t="s">
        <v>1104</v>
      </c>
      <c r="AB58" s="112" t="s">
        <v>1105</v>
      </c>
      <c r="AC58" s="112" t="s">
        <v>1106</v>
      </c>
      <c r="AD58" s="112">
        <v>133000000</v>
      </c>
      <c r="AE58" s="112">
        <v>107223871.41</v>
      </c>
      <c r="AF58" s="112">
        <v>112000000</v>
      </c>
      <c r="AG58" s="112">
        <v>21000000</v>
      </c>
      <c r="AH58" s="112">
        <v>33542500</v>
      </c>
      <c r="AI58" s="112">
        <v>0</v>
      </c>
      <c r="AJ58" s="112">
        <v>3500000</v>
      </c>
      <c r="AK58" s="112">
        <v>176</v>
      </c>
      <c r="AL58" s="112">
        <v>6</v>
      </c>
      <c r="AM58" s="112">
        <v>26</v>
      </c>
      <c r="AN58" s="112">
        <v>63</v>
      </c>
      <c r="AO58" s="112" t="s">
        <v>123</v>
      </c>
      <c r="AP58" s="112" t="s">
        <v>123</v>
      </c>
      <c r="AQ58" s="112" t="s">
        <v>124</v>
      </c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2"/>
      <c r="BE58" s="112"/>
      <c r="BF58" s="112" t="s">
        <v>129</v>
      </c>
      <c r="BG58" s="112" t="s">
        <v>130</v>
      </c>
      <c r="BH58" s="112">
        <v>7</v>
      </c>
      <c r="BI58" s="112">
        <v>24500000</v>
      </c>
      <c r="BJ58" s="113"/>
      <c r="BK58" s="113"/>
      <c r="BL58" s="113"/>
      <c r="BM58" s="112"/>
      <c r="BN58" s="113">
        <v>46173</v>
      </c>
      <c r="BO58" s="112">
        <v>1</v>
      </c>
      <c r="BP58" s="114">
        <v>46149</v>
      </c>
      <c r="BQ58" s="112" t="s">
        <v>131</v>
      </c>
      <c r="BR58" s="112">
        <v>153</v>
      </c>
      <c r="BS58" s="113">
        <v>45996</v>
      </c>
      <c r="BT58" s="112">
        <v>129500000</v>
      </c>
      <c r="BU58" s="112">
        <v>3500000</v>
      </c>
      <c r="BV58" s="112">
        <v>0</v>
      </c>
      <c r="BW58" s="112">
        <v>0</v>
      </c>
      <c r="BX58" s="112">
        <v>0</v>
      </c>
      <c r="BY58" s="112">
        <v>1</v>
      </c>
      <c r="BZ58" s="112">
        <v>1</v>
      </c>
      <c r="CA58" s="112">
        <v>3500000</v>
      </c>
      <c r="CB58" s="112">
        <v>3500000</v>
      </c>
      <c r="CC58" s="113"/>
      <c r="CD58" s="112">
        <v>0</v>
      </c>
      <c r="CE58" s="113"/>
      <c r="CF58" s="112">
        <v>0</v>
      </c>
      <c r="CG58" s="113"/>
      <c r="CH58" s="112">
        <v>0</v>
      </c>
      <c r="CI58" s="113"/>
      <c r="CJ58" s="112">
        <v>0</v>
      </c>
      <c r="CK58" s="113"/>
      <c r="CL58" s="112">
        <v>0</v>
      </c>
      <c r="CM58" s="113">
        <v>46149</v>
      </c>
      <c r="CN58" s="112" t="s">
        <v>132</v>
      </c>
      <c r="CO58" s="112">
        <v>107223871.41</v>
      </c>
      <c r="CP58" s="112">
        <v>0</v>
      </c>
      <c r="CQ58" s="112">
        <v>0</v>
      </c>
      <c r="CR58" s="118">
        <v>46146</v>
      </c>
      <c r="CS58" s="119" t="s">
        <v>2114</v>
      </c>
      <c r="CT58" s="112">
        <v>107223871.41</v>
      </c>
      <c r="CU58" s="112" t="s">
        <v>163</v>
      </c>
      <c r="CV58" s="112" t="s">
        <v>164</v>
      </c>
      <c r="CW58" s="113">
        <v>46149</v>
      </c>
      <c r="CX58" s="112" t="s">
        <v>2116</v>
      </c>
      <c r="CY58" s="120">
        <f>MONTH(Table_ExternalData_14[[#This Row],[RunningReportDate]])</f>
        <v>5</v>
      </c>
      <c r="CZ58" s="120">
        <f>181-Table_ExternalData_14[[#This Row],[DaysOD]]</f>
        <v>5</v>
      </c>
      <c r="DA58" s="120">
        <f>IF(Table_ExternalData_14[[#This Row],[Status]]="PU-WC",0,Table_ExternalData_14[[#This Row],[Amount_CWO]]/1000000)</f>
        <v>107.22387141</v>
      </c>
      <c r="DB58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1</v>
      </c>
      <c r="DC58" s="120">
        <f>IF(Table_ExternalData_14[[#This Row],[Status]]="PU-WC",0,IF(Table_ExternalData_14[[#This Row],[Success CWO]]=1,Table_ExternalData_14[[#This Row],[CWO Amt]],0))</f>
        <v>107.22387141</v>
      </c>
      <c r="DD58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58" s="120">
        <f>DAY(Table_ExternalData_14[[#This Row],[Tanggal_Sukses-new]])</f>
        <v>4</v>
      </c>
      <c r="DF58" s="120">
        <f>IF(Table_ExternalData_14[[#This Row],[Status]]="PU-WC",0,IF(SUM(Table_ExternalData_14[[#This Row],[Success CWO]:[WO-In-Amt]])=0,1,0))</f>
        <v>0</v>
      </c>
      <c r="DG58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58" s="120" t="str">
        <f>VLOOKUP(Table_ExternalData_14[[#This Row],[BranchID]],KC!$A:$K,5,0)</f>
        <v>4W</v>
      </c>
      <c r="DI58" s="120" t="str">
        <f>VLOOKUP(Table_ExternalData_14[[#This Row],[BranchID]],KC!$A:$K,8,0)</f>
        <v>02. Jawa Barat</v>
      </c>
      <c r="DJ58" s="120" t="str">
        <f>VLOOKUP(Table_ExternalData_14[[#This Row],[BranchID]],KC!$A:$K,9,0)</f>
        <v>BANDUNG</v>
      </c>
      <c r="DK58" s="121">
        <f>IF(Table_ExternalData_14[[#This Row],[Tanggal_Sukses]]=" ",Table_ExternalData_14[[#This Row],[Tanggal_Sukses]],VLOOKUP(Table_ExternalData_14[[#This Row],[ContractID]],Bantuan!$A:$C,2,0))</f>
        <v>46146</v>
      </c>
      <c r="DL58" s="120" t="str">
        <f>IF(Table_ExternalData_14[[#This Row],[Keterangan_Sukses]]=" ",Table_ExternalData_14[[#This Row],[Keterangan_Sukses]],VLOOKUP(Table_ExternalData_14[[#This Row],[ContractID]],Bantuan!$A:$C,3,0))</f>
        <v>RB</v>
      </c>
    </row>
    <row r="59" spans="1:116" x14ac:dyDescent="0.3">
      <c r="A59" s="117" t="s">
        <v>159</v>
      </c>
      <c r="B59" s="112" t="s">
        <v>158</v>
      </c>
      <c r="C59" s="113">
        <v>46142</v>
      </c>
      <c r="D59" s="279">
        <v>45983</v>
      </c>
      <c r="E59" s="113">
        <v>45099</v>
      </c>
      <c r="F59" s="112" t="s">
        <v>1565</v>
      </c>
      <c r="G59" s="112" t="s">
        <v>1566</v>
      </c>
      <c r="H59" s="112" t="s">
        <v>1567</v>
      </c>
      <c r="I59" s="112" t="s">
        <v>1568</v>
      </c>
      <c r="J59" s="112" t="s">
        <v>1569</v>
      </c>
      <c r="K59" s="112" t="s">
        <v>4</v>
      </c>
      <c r="L59" s="112" t="s">
        <v>1569</v>
      </c>
      <c r="M59" s="112" t="s">
        <v>1570</v>
      </c>
      <c r="N59" s="112" t="s">
        <v>1571</v>
      </c>
      <c r="O59" s="112" t="s">
        <v>158</v>
      </c>
      <c r="P59" s="112" t="s">
        <v>160</v>
      </c>
      <c r="Q59" s="112" t="s">
        <v>186</v>
      </c>
      <c r="R59" s="112" t="s">
        <v>4</v>
      </c>
      <c r="S59" s="112" t="s">
        <v>4</v>
      </c>
      <c r="T59" s="112" t="s">
        <v>1572</v>
      </c>
      <c r="U59" s="112" t="s">
        <v>1572</v>
      </c>
      <c r="V59" s="112" t="s">
        <v>1573</v>
      </c>
      <c r="W59" s="112" t="s">
        <v>120</v>
      </c>
      <c r="X59" s="112" t="s">
        <v>121</v>
      </c>
      <c r="Y59" s="112" t="s">
        <v>122</v>
      </c>
      <c r="Z59" s="112" t="s">
        <v>1118</v>
      </c>
      <c r="AA59" s="112" t="s">
        <v>1574</v>
      </c>
      <c r="AB59" s="112" t="s">
        <v>1575</v>
      </c>
      <c r="AC59" s="112" t="s">
        <v>1576</v>
      </c>
      <c r="AD59" s="112">
        <v>130880000</v>
      </c>
      <c r="AE59" s="112">
        <v>108545504.62</v>
      </c>
      <c r="AF59" s="112">
        <v>106340000</v>
      </c>
      <c r="AG59" s="112">
        <v>24540000</v>
      </c>
      <c r="AH59" s="112">
        <v>11475345</v>
      </c>
      <c r="AI59" s="112">
        <v>0</v>
      </c>
      <c r="AJ59" s="112">
        <v>4090000</v>
      </c>
      <c r="AK59" s="112">
        <v>159</v>
      </c>
      <c r="AL59" s="112">
        <v>6</v>
      </c>
      <c r="AM59" s="112">
        <v>29</v>
      </c>
      <c r="AN59" s="112">
        <v>60</v>
      </c>
      <c r="AO59" s="112" t="s">
        <v>123</v>
      </c>
      <c r="AP59" s="112" t="s">
        <v>123</v>
      </c>
      <c r="AQ59" s="112" t="s">
        <v>124</v>
      </c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2" t="s">
        <v>129</v>
      </c>
      <c r="BG59" s="112" t="s">
        <v>375</v>
      </c>
      <c r="BH59" s="112">
        <v>7</v>
      </c>
      <c r="BI59" s="112">
        <v>28630000</v>
      </c>
      <c r="BJ59" s="113"/>
      <c r="BK59" s="113">
        <v>46121</v>
      </c>
      <c r="BL59" s="113"/>
      <c r="BM59" s="112"/>
      <c r="BN59" s="113">
        <v>46173</v>
      </c>
      <c r="BO59" s="112">
        <v>1</v>
      </c>
      <c r="BP59" s="114">
        <v>46149</v>
      </c>
      <c r="BQ59" s="112" t="s">
        <v>131</v>
      </c>
      <c r="BR59" s="112">
        <v>166</v>
      </c>
      <c r="BS59" s="113">
        <v>45983</v>
      </c>
      <c r="BT59" s="112">
        <v>130880000</v>
      </c>
      <c r="BU59" s="112">
        <v>0</v>
      </c>
      <c r="BV59" s="112">
        <v>1</v>
      </c>
      <c r="BW59" s="112">
        <v>0</v>
      </c>
      <c r="BX59" s="112">
        <v>0</v>
      </c>
      <c r="BY59" s="112">
        <v>0</v>
      </c>
      <c r="BZ59" s="112">
        <v>0</v>
      </c>
      <c r="CA59" s="112">
        <v>0</v>
      </c>
      <c r="CB59" s="112">
        <v>0</v>
      </c>
      <c r="CC59" s="113"/>
      <c r="CD59" s="112">
        <v>0</v>
      </c>
      <c r="CE59" s="113"/>
      <c r="CF59" s="112">
        <v>0</v>
      </c>
      <c r="CG59" s="113"/>
      <c r="CH59" s="112">
        <v>0</v>
      </c>
      <c r="CI59" s="113"/>
      <c r="CJ59" s="112">
        <v>0</v>
      </c>
      <c r="CK59" s="113"/>
      <c r="CL59" s="112">
        <v>0</v>
      </c>
      <c r="CM59" s="113">
        <v>46149</v>
      </c>
      <c r="CN59" s="112" t="s">
        <v>132</v>
      </c>
      <c r="CO59" s="112">
        <v>108545504.62</v>
      </c>
      <c r="CP59" s="112">
        <v>0</v>
      </c>
      <c r="CQ59" s="112">
        <v>0</v>
      </c>
      <c r="CR59" s="118">
        <v>46121</v>
      </c>
      <c r="CS59" s="119" t="s">
        <v>255</v>
      </c>
      <c r="CT59" s="112">
        <v>108545504.62</v>
      </c>
      <c r="CU59" s="112" t="s">
        <v>163</v>
      </c>
      <c r="CV59" s="112" t="s">
        <v>164</v>
      </c>
      <c r="CW59" s="113">
        <v>46149</v>
      </c>
      <c r="CX59" s="112" t="s">
        <v>2116</v>
      </c>
      <c r="CY59" s="120">
        <f>MONTH(Table_ExternalData_14[[#This Row],[RunningReportDate]])</f>
        <v>5</v>
      </c>
      <c r="CZ59" s="120">
        <f>181-Table_ExternalData_14[[#This Row],[DaysOD]]</f>
        <v>22</v>
      </c>
      <c r="DA59" s="120">
        <f>IF(Table_ExternalData_14[[#This Row],[Status]]="PU-WC",0,Table_ExternalData_14[[#This Row],[Amount_CWO]]/1000000)</f>
        <v>0</v>
      </c>
      <c r="DB59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59" s="120">
        <f>IF(Table_ExternalData_14[[#This Row],[Status]]="PU-WC",0,IF(Table_ExternalData_14[[#This Row],[Success CWO]]=1,Table_ExternalData_14[[#This Row],[CWO Amt]],0))</f>
        <v>0</v>
      </c>
      <c r="DD59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59" s="120">
        <f>DAY(Table_ExternalData_14[[#This Row],[Tanggal_Sukses-new]])</f>
        <v>9</v>
      </c>
      <c r="DF59" s="120">
        <f>IF(Table_ExternalData_14[[#This Row],[Status]]="PU-WC",0,IF(SUM(Table_ExternalData_14[[#This Row],[Success CWO]:[WO-In-Amt]])=0,1,0))</f>
        <v>0</v>
      </c>
      <c r="DG59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59" s="120" t="str">
        <f>VLOOKUP(Table_ExternalData_14[[#This Row],[BranchID]],KC!$A:$K,5,0)</f>
        <v>4W</v>
      </c>
      <c r="DI59" s="120" t="str">
        <f>VLOOKUP(Table_ExternalData_14[[#This Row],[BranchID]],KC!$A:$K,8,0)</f>
        <v>02. Jawa Barat</v>
      </c>
      <c r="DJ59" s="120" t="str">
        <f>VLOOKUP(Table_ExternalData_14[[#This Row],[BranchID]],KC!$A:$K,9,0)</f>
        <v>BANDUNG</v>
      </c>
      <c r="DK59" s="121">
        <f>IF(Table_ExternalData_14[[#This Row],[Tanggal_Sukses]]=" ",Table_ExternalData_14[[#This Row],[Tanggal_Sukses]],VLOOKUP(Table_ExternalData_14[[#This Row],[ContractID]],Bantuan!$A:$C,2,0))</f>
        <v>46121</v>
      </c>
      <c r="DL59" s="120" t="str">
        <f>IF(Table_ExternalData_14[[#This Row],[Keterangan_Sukses]]=" ",Table_ExternalData_14[[#This Row],[Keterangan_Sukses]],VLOOKUP(Table_ExternalData_14[[#This Row],[ContractID]],Bantuan!$A:$C,3,0))</f>
        <v>REPO SEBELUM WO</v>
      </c>
    </row>
    <row r="60" spans="1:116" x14ac:dyDescent="0.3">
      <c r="A60" s="117" t="s">
        <v>159</v>
      </c>
      <c r="B60" s="112" t="s">
        <v>158</v>
      </c>
      <c r="C60" s="113">
        <v>46142</v>
      </c>
      <c r="D60" s="279">
        <v>45992</v>
      </c>
      <c r="E60" s="113">
        <v>45016</v>
      </c>
      <c r="F60" s="112" t="s">
        <v>1577</v>
      </c>
      <c r="G60" s="112" t="s">
        <v>1578</v>
      </c>
      <c r="H60" s="112" t="s">
        <v>1579</v>
      </c>
      <c r="I60" s="112" t="s">
        <v>1580</v>
      </c>
      <c r="J60" s="112" t="s">
        <v>1581</v>
      </c>
      <c r="K60" s="112" t="s">
        <v>4</v>
      </c>
      <c r="L60" s="112" t="s">
        <v>1581</v>
      </c>
      <c r="M60" s="112" t="s">
        <v>1582</v>
      </c>
      <c r="N60" s="112" t="s">
        <v>1583</v>
      </c>
      <c r="O60" s="112" t="s">
        <v>158</v>
      </c>
      <c r="P60" s="112" t="s">
        <v>160</v>
      </c>
      <c r="Q60" s="112" t="s">
        <v>186</v>
      </c>
      <c r="R60" s="112" t="s">
        <v>4</v>
      </c>
      <c r="S60" s="112" t="s">
        <v>4</v>
      </c>
      <c r="T60" s="112" t="s">
        <v>1584</v>
      </c>
      <c r="U60" s="112" t="s">
        <v>1584</v>
      </c>
      <c r="V60" s="112" t="s">
        <v>1585</v>
      </c>
      <c r="W60" s="112" t="s">
        <v>120</v>
      </c>
      <c r="X60" s="112" t="s">
        <v>121</v>
      </c>
      <c r="Y60" s="112" t="s">
        <v>136</v>
      </c>
      <c r="Z60" s="112" t="s">
        <v>142</v>
      </c>
      <c r="AA60" s="112" t="s">
        <v>1586</v>
      </c>
      <c r="AB60" s="112" t="s">
        <v>1587</v>
      </c>
      <c r="AC60" s="112" t="s">
        <v>1588</v>
      </c>
      <c r="AD60" s="112">
        <v>60350000</v>
      </c>
      <c r="AE60" s="112">
        <v>52947091.280000001</v>
      </c>
      <c r="AF60" s="112">
        <v>42600000</v>
      </c>
      <c r="AG60" s="112">
        <v>17750000</v>
      </c>
      <c r="AH60" s="112">
        <v>40975500</v>
      </c>
      <c r="AI60" s="112">
        <v>0</v>
      </c>
      <c r="AJ60" s="112">
        <v>3550000</v>
      </c>
      <c r="AK60" s="112">
        <v>150</v>
      </c>
      <c r="AL60" s="112">
        <v>5</v>
      </c>
      <c r="AM60" s="112">
        <v>32</v>
      </c>
      <c r="AN60" s="112">
        <v>48</v>
      </c>
      <c r="AO60" s="112" t="s">
        <v>236</v>
      </c>
      <c r="AP60" s="112" t="s">
        <v>236</v>
      </c>
      <c r="AQ60" s="112" t="s">
        <v>124</v>
      </c>
      <c r="AR60" s="112" t="s">
        <v>1089</v>
      </c>
      <c r="AS60" s="112" t="s">
        <v>1090</v>
      </c>
      <c r="AT60" s="112" t="s">
        <v>1091</v>
      </c>
      <c r="AU60" s="112" t="s">
        <v>1092</v>
      </c>
      <c r="AV60" s="112" t="s">
        <v>1093</v>
      </c>
      <c r="AW60" s="112" t="s">
        <v>162</v>
      </c>
      <c r="AX60" s="112" t="s">
        <v>127</v>
      </c>
      <c r="AY60" s="112" t="s">
        <v>1094</v>
      </c>
      <c r="AZ60" s="112" t="s">
        <v>1090</v>
      </c>
      <c r="BA60" s="112" t="s">
        <v>1091</v>
      </c>
      <c r="BB60" s="112" t="s">
        <v>128</v>
      </c>
      <c r="BC60" s="112" t="s">
        <v>1095</v>
      </c>
      <c r="BD60" s="112" t="s">
        <v>125</v>
      </c>
      <c r="BE60" s="112" t="s">
        <v>126</v>
      </c>
      <c r="BF60" s="112" t="s">
        <v>129</v>
      </c>
      <c r="BG60" s="112" t="s">
        <v>130</v>
      </c>
      <c r="BH60" s="112">
        <v>6</v>
      </c>
      <c r="BI60" s="112">
        <v>21300000</v>
      </c>
      <c r="BJ60" s="113"/>
      <c r="BK60" s="113"/>
      <c r="BL60" s="113"/>
      <c r="BM60" s="112"/>
      <c r="BN60" s="113">
        <v>46173</v>
      </c>
      <c r="BO60" s="112">
        <v>1</v>
      </c>
      <c r="BP60" s="114">
        <v>46149</v>
      </c>
      <c r="BQ60" s="112" t="s">
        <v>131</v>
      </c>
      <c r="BR60" s="112">
        <v>126</v>
      </c>
      <c r="BS60" s="113">
        <v>46023</v>
      </c>
      <c r="BT60" s="112">
        <v>56800000</v>
      </c>
      <c r="BU60" s="112">
        <v>3550000</v>
      </c>
      <c r="BV60" s="112">
        <v>0</v>
      </c>
      <c r="BW60" s="112">
        <v>0</v>
      </c>
      <c r="BX60" s="112">
        <v>0</v>
      </c>
      <c r="BY60" s="112">
        <v>1</v>
      </c>
      <c r="BZ60" s="112">
        <v>1</v>
      </c>
      <c r="CA60" s="112">
        <v>3550000</v>
      </c>
      <c r="CB60" s="112">
        <v>3550000</v>
      </c>
      <c r="CC60" s="113"/>
      <c r="CD60" s="112">
        <v>0</v>
      </c>
      <c r="CE60" s="113"/>
      <c r="CF60" s="112">
        <v>0</v>
      </c>
      <c r="CG60" s="113"/>
      <c r="CH60" s="112">
        <v>0</v>
      </c>
      <c r="CI60" s="113"/>
      <c r="CJ60" s="112">
        <v>0</v>
      </c>
      <c r="CK60" s="113"/>
      <c r="CL60" s="112">
        <v>0</v>
      </c>
      <c r="CM60" s="113">
        <v>46149</v>
      </c>
      <c r="CN60" s="112" t="s">
        <v>132</v>
      </c>
      <c r="CO60" s="112">
        <v>52947091.280000001</v>
      </c>
      <c r="CP60" s="112">
        <v>0</v>
      </c>
      <c r="CQ60" s="112">
        <v>0</v>
      </c>
      <c r="CR60" s="118">
        <v>46146</v>
      </c>
      <c r="CS60" s="119" t="s">
        <v>2114</v>
      </c>
      <c r="CT60" s="112">
        <v>52947091.280000001</v>
      </c>
      <c r="CU60" s="112" t="s">
        <v>163</v>
      </c>
      <c r="CV60" s="112" t="s">
        <v>164</v>
      </c>
      <c r="CW60" s="113">
        <v>46149</v>
      </c>
      <c r="CX60" s="112" t="s">
        <v>2116</v>
      </c>
      <c r="CY60" s="120">
        <f>MONTH(Table_ExternalData_14[[#This Row],[RunningReportDate]])</f>
        <v>5</v>
      </c>
      <c r="CZ60" s="120">
        <f>181-Table_ExternalData_14[[#This Row],[DaysOD]]</f>
        <v>31</v>
      </c>
      <c r="DA60" s="120">
        <f>IF(Table_ExternalData_14[[#This Row],[Status]]="PU-WC",0,Table_ExternalData_14[[#This Row],[Amount_CWO]]/1000000)</f>
        <v>52.947091280000002</v>
      </c>
      <c r="DB60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1</v>
      </c>
      <c r="DC60" s="120">
        <f>IF(Table_ExternalData_14[[#This Row],[Status]]="PU-WC",0,IF(Table_ExternalData_14[[#This Row],[Success CWO]]=1,Table_ExternalData_14[[#This Row],[CWO Amt]],0))</f>
        <v>52.947091280000002</v>
      </c>
      <c r="DD60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60" s="120">
        <f>DAY(Table_ExternalData_14[[#This Row],[Tanggal_Sukses-new]])</f>
        <v>4</v>
      </c>
      <c r="DF60" s="120">
        <f>IF(Table_ExternalData_14[[#This Row],[Status]]="PU-WC",0,IF(SUM(Table_ExternalData_14[[#This Row],[Success CWO]:[WO-In-Amt]])=0,1,0))</f>
        <v>0</v>
      </c>
      <c r="DG60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60" s="120" t="str">
        <f>VLOOKUP(Table_ExternalData_14[[#This Row],[BranchID]],KC!$A:$K,5,0)</f>
        <v>4W</v>
      </c>
      <c r="DI60" s="120" t="str">
        <f>VLOOKUP(Table_ExternalData_14[[#This Row],[BranchID]],KC!$A:$K,8,0)</f>
        <v>02. Jawa Barat</v>
      </c>
      <c r="DJ60" s="120" t="str">
        <f>VLOOKUP(Table_ExternalData_14[[#This Row],[BranchID]],KC!$A:$K,9,0)</f>
        <v>BANDUNG</v>
      </c>
      <c r="DK60" s="121">
        <f>IF(Table_ExternalData_14[[#This Row],[Tanggal_Sukses]]=" ",Table_ExternalData_14[[#This Row],[Tanggal_Sukses]],VLOOKUP(Table_ExternalData_14[[#This Row],[ContractID]],Bantuan!$A:$C,2,0))</f>
        <v>46146</v>
      </c>
      <c r="DL60" s="120" t="str">
        <f>IF(Table_ExternalData_14[[#This Row],[Keterangan_Sukses]]=" ",Table_ExternalData_14[[#This Row],[Keterangan_Sukses]],VLOOKUP(Table_ExternalData_14[[#This Row],[ContractID]],Bantuan!$A:$C,3,0))</f>
        <v>RB</v>
      </c>
    </row>
    <row r="61" spans="1:116" x14ac:dyDescent="0.3">
      <c r="A61" s="117" t="s">
        <v>159</v>
      </c>
      <c r="B61" s="112" t="s">
        <v>158</v>
      </c>
      <c r="C61" s="113">
        <v>46142</v>
      </c>
      <c r="D61" s="279">
        <v>45966</v>
      </c>
      <c r="E61" s="113">
        <v>44424</v>
      </c>
      <c r="F61" s="112" t="s">
        <v>1589</v>
      </c>
      <c r="G61" s="112" t="s">
        <v>1590</v>
      </c>
      <c r="H61" s="112" t="s">
        <v>1591</v>
      </c>
      <c r="I61" s="112" t="s">
        <v>1592</v>
      </c>
      <c r="J61" s="112" t="s">
        <v>1593</v>
      </c>
      <c r="K61" s="112" t="s">
        <v>4</v>
      </c>
      <c r="L61" s="112" t="s">
        <v>1593</v>
      </c>
      <c r="M61" s="112" t="s">
        <v>1594</v>
      </c>
      <c r="N61" s="112" t="s">
        <v>1595</v>
      </c>
      <c r="O61" s="112" t="s">
        <v>158</v>
      </c>
      <c r="P61" s="112" t="s">
        <v>160</v>
      </c>
      <c r="Q61" s="112" t="s">
        <v>161</v>
      </c>
      <c r="R61" s="112" t="s">
        <v>4</v>
      </c>
      <c r="S61" s="112" t="s">
        <v>4</v>
      </c>
      <c r="T61" s="112" t="s">
        <v>1596</v>
      </c>
      <c r="U61" s="112" t="s">
        <v>1596</v>
      </c>
      <c r="V61" s="112" t="s">
        <v>170</v>
      </c>
      <c r="W61" s="112" t="s">
        <v>120</v>
      </c>
      <c r="X61" s="112" t="s">
        <v>121</v>
      </c>
      <c r="Y61" s="112" t="s">
        <v>136</v>
      </c>
      <c r="Z61" s="112" t="s">
        <v>137</v>
      </c>
      <c r="AA61" s="112" t="s">
        <v>1597</v>
      </c>
      <c r="AB61" s="112" t="s">
        <v>1598</v>
      </c>
      <c r="AC61" s="112" t="s">
        <v>1599</v>
      </c>
      <c r="AD61" s="112">
        <v>3872000</v>
      </c>
      <c r="AE61" s="112">
        <v>3827906.94</v>
      </c>
      <c r="AF61" s="112">
        <v>0</v>
      </c>
      <c r="AG61" s="112">
        <v>3872000</v>
      </c>
      <c r="AH61" s="112">
        <v>32320046</v>
      </c>
      <c r="AI61" s="112">
        <v>0</v>
      </c>
      <c r="AJ61" s="112">
        <v>3872000</v>
      </c>
      <c r="AK61" s="112">
        <v>176</v>
      </c>
      <c r="AL61" s="112">
        <v>1</v>
      </c>
      <c r="AM61" s="112">
        <v>50</v>
      </c>
      <c r="AN61" s="112">
        <v>50</v>
      </c>
      <c r="AO61" s="112" t="s">
        <v>123</v>
      </c>
      <c r="AP61" s="112" t="s">
        <v>123</v>
      </c>
      <c r="AQ61" s="112" t="s">
        <v>124</v>
      </c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2"/>
      <c r="BE61" s="112"/>
      <c r="BF61" s="112" t="s">
        <v>129</v>
      </c>
      <c r="BG61" s="112" t="s">
        <v>130</v>
      </c>
      <c r="BH61" s="112">
        <v>1</v>
      </c>
      <c r="BI61" s="112">
        <v>3872000</v>
      </c>
      <c r="BJ61" s="113"/>
      <c r="BK61" s="113"/>
      <c r="BL61" s="113"/>
      <c r="BM61" s="112"/>
      <c r="BN61" s="113">
        <v>46173</v>
      </c>
      <c r="BO61" s="112">
        <v>1</v>
      </c>
      <c r="BP61" s="114">
        <v>46149</v>
      </c>
      <c r="BQ61" s="112" t="s">
        <v>131</v>
      </c>
      <c r="BR61" s="112">
        <v>183</v>
      </c>
      <c r="BS61" s="113">
        <v>45966</v>
      </c>
      <c r="BT61" s="112">
        <v>3872000</v>
      </c>
      <c r="BU61" s="112">
        <v>0</v>
      </c>
      <c r="BV61" s="112">
        <v>1</v>
      </c>
      <c r="BW61" s="112">
        <v>0</v>
      </c>
      <c r="BX61" s="112">
        <v>0</v>
      </c>
      <c r="BY61" s="112">
        <v>0</v>
      </c>
      <c r="BZ61" s="112">
        <v>0</v>
      </c>
      <c r="CA61" s="112">
        <v>0</v>
      </c>
      <c r="CB61" s="112">
        <v>0</v>
      </c>
      <c r="CC61" s="113"/>
      <c r="CD61" s="112">
        <v>0</v>
      </c>
      <c r="CE61" s="113"/>
      <c r="CF61" s="112">
        <v>0</v>
      </c>
      <c r="CG61" s="113"/>
      <c r="CH61" s="112">
        <v>0</v>
      </c>
      <c r="CI61" s="113"/>
      <c r="CJ61" s="112">
        <v>0</v>
      </c>
      <c r="CK61" s="113"/>
      <c r="CL61" s="112">
        <v>0</v>
      </c>
      <c r="CM61" s="113">
        <v>46149</v>
      </c>
      <c r="CN61" s="112" t="s">
        <v>132</v>
      </c>
      <c r="CO61" s="112">
        <v>3827906.94</v>
      </c>
      <c r="CP61" s="112">
        <v>3827906.94</v>
      </c>
      <c r="CQ61" s="112">
        <v>5</v>
      </c>
      <c r="CR61" s="118"/>
      <c r="CS61" s="119"/>
      <c r="CT61" s="112">
        <v>0</v>
      </c>
      <c r="CU61" s="112" t="s">
        <v>163</v>
      </c>
      <c r="CV61" s="112" t="s">
        <v>164</v>
      </c>
      <c r="CW61" s="113">
        <v>46149</v>
      </c>
      <c r="CX61" s="112" t="s">
        <v>2116</v>
      </c>
      <c r="CY61" s="120">
        <f>MONTH(Table_ExternalData_14[[#This Row],[RunningReportDate]])</f>
        <v>5</v>
      </c>
      <c r="CZ61" s="120">
        <f>181-Table_ExternalData_14[[#This Row],[DaysOD]]</f>
        <v>5</v>
      </c>
      <c r="DA61" s="120">
        <f>IF(Table_ExternalData_14[[#This Row],[Status]]="PU-WC",0,Table_ExternalData_14[[#This Row],[Amount_CWO]]/1000000)</f>
        <v>3.8279069400000001</v>
      </c>
      <c r="DB61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61" s="120">
        <f>IF(Table_ExternalData_14[[#This Row],[Status]]="PU-WC",0,IF(Table_ExternalData_14[[#This Row],[Success CWO]]=1,Table_ExternalData_14[[#This Row],[CWO Amt]],0))</f>
        <v>0</v>
      </c>
      <c r="DD61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3.8279069400000001</v>
      </c>
      <c r="DE61" s="120">
        <f>DAY(Table_ExternalData_14[[#This Row],[Tanggal_Sukses-new]])</f>
        <v>0</v>
      </c>
      <c r="DF61" s="120">
        <f>IF(Table_ExternalData_14[[#This Row],[Status]]="PU-WC",0,IF(SUM(Table_ExternalData_14[[#This Row],[Success CWO]:[WO-In-Amt]])=0,1,0))</f>
        <v>0</v>
      </c>
      <c r="DG61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61" s="120" t="str">
        <f>VLOOKUP(Table_ExternalData_14[[#This Row],[BranchID]],KC!$A:$K,5,0)</f>
        <v>4W</v>
      </c>
      <c r="DI61" s="120" t="str">
        <f>VLOOKUP(Table_ExternalData_14[[#This Row],[BranchID]],KC!$A:$K,8,0)</f>
        <v>02. Jawa Barat</v>
      </c>
      <c r="DJ61" s="120" t="str">
        <f>VLOOKUP(Table_ExternalData_14[[#This Row],[BranchID]],KC!$A:$K,9,0)</f>
        <v>BANDUNG</v>
      </c>
      <c r="DK61" s="121">
        <f>IF(Table_ExternalData_14[[#This Row],[Tanggal_Sukses]]=" ",Table_ExternalData_14[[#This Row],[Tanggal_Sukses]],VLOOKUP(Table_ExternalData_14[[#This Row],[ContractID]],Bantuan!$A:$C,2,0))</f>
        <v>0</v>
      </c>
      <c r="DL61" s="120">
        <f>IF(Table_ExternalData_14[[#This Row],[Keterangan_Sukses]]=" ",Table_ExternalData_14[[#This Row],[Keterangan_Sukses]],VLOOKUP(Table_ExternalData_14[[#This Row],[ContractID]],Bantuan!$A:$C,3,0))</f>
        <v>0</v>
      </c>
    </row>
    <row r="62" spans="1:116" x14ac:dyDescent="0.3">
      <c r="A62" s="117" t="s">
        <v>139</v>
      </c>
      <c r="B62" s="112" t="s">
        <v>138</v>
      </c>
      <c r="C62" s="113">
        <v>46142</v>
      </c>
      <c r="D62" s="279">
        <v>45979</v>
      </c>
      <c r="E62" s="113">
        <v>45034</v>
      </c>
      <c r="F62" s="112" t="s">
        <v>1600</v>
      </c>
      <c r="G62" s="112" t="s">
        <v>1601</v>
      </c>
      <c r="H62" s="112" t="s">
        <v>1602</v>
      </c>
      <c r="I62" s="112" t="s">
        <v>1603</v>
      </c>
      <c r="J62" s="112" t="s">
        <v>1604</v>
      </c>
      <c r="K62" s="112" t="s">
        <v>4</v>
      </c>
      <c r="L62" s="112" t="s">
        <v>1604</v>
      </c>
      <c r="M62" s="112" t="s">
        <v>1605</v>
      </c>
      <c r="N62" s="112" t="s">
        <v>140</v>
      </c>
      <c r="O62" s="112" t="s">
        <v>140</v>
      </c>
      <c r="P62" s="112" t="s">
        <v>1084</v>
      </c>
      <c r="Q62" s="112" t="s">
        <v>1062</v>
      </c>
      <c r="R62" s="112" t="s">
        <v>4</v>
      </c>
      <c r="S62" s="112" t="s">
        <v>4</v>
      </c>
      <c r="T62" s="112" t="s">
        <v>135</v>
      </c>
      <c r="U62" s="112" t="s">
        <v>135</v>
      </c>
      <c r="V62" s="112" t="s">
        <v>135</v>
      </c>
      <c r="W62" s="112" t="s">
        <v>120</v>
      </c>
      <c r="X62" s="112" t="s">
        <v>121</v>
      </c>
      <c r="Y62" s="112" t="s">
        <v>136</v>
      </c>
      <c r="Z62" s="112" t="s">
        <v>142</v>
      </c>
      <c r="AA62" s="112" t="s">
        <v>1606</v>
      </c>
      <c r="AB62" s="112" t="s">
        <v>1607</v>
      </c>
      <c r="AC62" s="112" t="s">
        <v>1608</v>
      </c>
      <c r="AD62" s="112">
        <v>117000000</v>
      </c>
      <c r="AE62" s="112">
        <v>94350998.239999995</v>
      </c>
      <c r="AF62" s="112">
        <v>93600000</v>
      </c>
      <c r="AG62" s="112">
        <v>23400000</v>
      </c>
      <c r="AH62" s="112">
        <v>12009550</v>
      </c>
      <c r="AI62" s="112">
        <v>0</v>
      </c>
      <c r="AJ62" s="112">
        <v>3900000</v>
      </c>
      <c r="AK62" s="112">
        <v>163</v>
      </c>
      <c r="AL62" s="112">
        <v>6</v>
      </c>
      <c r="AM62" s="112">
        <v>31</v>
      </c>
      <c r="AN62" s="112">
        <v>60</v>
      </c>
      <c r="AO62" s="112" t="s">
        <v>123</v>
      </c>
      <c r="AP62" s="112" t="s">
        <v>123</v>
      </c>
      <c r="AQ62" s="112" t="s">
        <v>124</v>
      </c>
      <c r="AR62" s="112" t="s">
        <v>1085</v>
      </c>
      <c r="AS62" s="112" t="s">
        <v>1086</v>
      </c>
      <c r="AT62" s="112" t="s">
        <v>1087</v>
      </c>
      <c r="AU62" s="112" t="s">
        <v>143</v>
      </c>
      <c r="AV62" s="112" t="s">
        <v>144</v>
      </c>
      <c r="AW62" s="112" t="s">
        <v>145</v>
      </c>
      <c r="AX62" s="112" t="s">
        <v>127</v>
      </c>
      <c r="AY62" s="112" t="s">
        <v>1088</v>
      </c>
      <c r="AZ62" s="112" t="s">
        <v>1073</v>
      </c>
      <c r="BA62" s="112" t="s">
        <v>1074</v>
      </c>
      <c r="BB62" s="112" t="s">
        <v>128</v>
      </c>
      <c r="BC62" s="112" t="s">
        <v>146</v>
      </c>
      <c r="BD62" s="112" t="s">
        <v>147</v>
      </c>
      <c r="BE62" s="112" t="s">
        <v>145</v>
      </c>
      <c r="BF62" s="112" t="s">
        <v>129</v>
      </c>
      <c r="BG62" s="112" t="s">
        <v>130</v>
      </c>
      <c r="BH62" s="112">
        <v>7</v>
      </c>
      <c r="BI62" s="112">
        <v>27300000</v>
      </c>
      <c r="BJ62" s="113"/>
      <c r="BK62" s="113"/>
      <c r="BL62" s="113"/>
      <c r="BM62" s="112"/>
      <c r="BN62" s="113">
        <v>46173</v>
      </c>
      <c r="BO62" s="112">
        <v>1</v>
      </c>
      <c r="BP62" s="114">
        <v>46149</v>
      </c>
      <c r="BQ62" s="112" t="s">
        <v>131</v>
      </c>
      <c r="BR62" s="112">
        <v>170</v>
      </c>
      <c r="BS62" s="113">
        <v>45979</v>
      </c>
      <c r="BT62" s="112">
        <v>117000000</v>
      </c>
      <c r="BU62" s="112">
        <v>0</v>
      </c>
      <c r="BV62" s="112">
        <v>1</v>
      </c>
      <c r="BW62" s="112">
        <v>0</v>
      </c>
      <c r="BX62" s="112">
        <v>0</v>
      </c>
      <c r="BY62" s="112">
        <v>0</v>
      </c>
      <c r="BZ62" s="112">
        <v>0</v>
      </c>
      <c r="CA62" s="112">
        <v>0</v>
      </c>
      <c r="CB62" s="112">
        <v>0</v>
      </c>
      <c r="CC62" s="113"/>
      <c r="CD62" s="112">
        <v>0</v>
      </c>
      <c r="CE62" s="113"/>
      <c r="CF62" s="112">
        <v>0</v>
      </c>
      <c r="CG62" s="113"/>
      <c r="CH62" s="112">
        <v>0</v>
      </c>
      <c r="CI62" s="113"/>
      <c r="CJ62" s="112">
        <v>0</v>
      </c>
      <c r="CK62" s="113"/>
      <c r="CL62" s="112">
        <v>0</v>
      </c>
      <c r="CM62" s="113">
        <v>46149</v>
      </c>
      <c r="CN62" s="112" t="s">
        <v>132</v>
      </c>
      <c r="CO62" s="112">
        <v>94350998.239999995</v>
      </c>
      <c r="CP62" s="112">
        <v>94350998.239999995</v>
      </c>
      <c r="CQ62" s="112">
        <v>18</v>
      </c>
      <c r="CR62" s="118"/>
      <c r="CS62" s="119"/>
      <c r="CT62" s="112">
        <v>0</v>
      </c>
      <c r="CU62" s="112" t="s">
        <v>148</v>
      </c>
      <c r="CV62" s="112" t="s">
        <v>149</v>
      </c>
      <c r="CW62" s="113">
        <v>46149</v>
      </c>
      <c r="CX62" s="112" t="s">
        <v>2116</v>
      </c>
      <c r="CY62" s="120">
        <f>MONTH(Table_ExternalData_14[[#This Row],[RunningReportDate]])</f>
        <v>5</v>
      </c>
      <c r="CZ62" s="120">
        <f>181-Table_ExternalData_14[[#This Row],[DaysOD]]</f>
        <v>18</v>
      </c>
      <c r="DA62" s="120">
        <f>IF(Table_ExternalData_14[[#This Row],[Status]]="PU-WC",0,Table_ExternalData_14[[#This Row],[Amount_CWO]]/1000000)</f>
        <v>94.350998239999996</v>
      </c>
      <c r="DB62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62" s="120">
        <f>IF(Table_ExternalData_14[[#This Row],[Status]]="PU-WC",0,IF(Table_ExternalData_14[[#This Row],[Success CWO]]=1,Table_ExternalData_14[[#This Row],[CWO Amt]],0))</f>
        <v>0</v>
      </c>
      <c r="DD62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62" s="120">
        <f>DAY(Table_ExternalData_14[[#This Row],[Tanggal_Sukses-new]])</f>
        <v>0</v>
      </c>
      <c r="DF62" s="120">
        <f>IF(Table_ExternalData_14[[#This Row],[Status]]="PU-WC",0,IF(SUM(Table_ExternalData_14[[#This Row],[Success CWO]:[WO-In-Amt]])=0,1,0))</f>
        <v>1</v>
      </c>
      <c r="DG62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94.350998239999996</v>
      </c>
      <c r="DH62" s="120" t="str">
        <f>VLOOKUP(Table_ExternalData_14[[#This Row],[BranchID]],KC!$A:$K,5,0)</f>
        <v>4W</v>
      </c>
      <c r="DI62" s="120" t="str">
        <f>VLOOKUP(Table_ExternalData_14[[#This Row],[BranchID]],KC!$A:$K,8,0)</f>
        <v>04. Jawa Timur</v>
      </c>
      <c r="DJ62" s="120" t="str">
        <f>VLOOKUP(Table_ExternalData_14[[#This Row],[BranchID]],KC!$A:$K,9,0)</f>
        <v>SURABAYA</v>
      </c>
      <c r="DK62" s="121">
        <f>IF(Table_ExternalData_14[[#This Row],[Tanggal_Sukses]]=" ",Table_ExternalData_14[[#This Row],[Tanggal_Sukses]],VLOOKUP(Table_ExternalData_14[[#This Row],[ContractID]],Bantuan!$A:$C,2,0))</f>
        <v>0</v>
      </c>
      <c r="DL62" s="120">
        <f>IF(Table_ExternalData_14[[#This Row],[Keterangan_Sukses]]=" ",Table_ExternalData_14[[#This Row],[Keterangan_Sukses]],VLOOKUP(Table_ExternalData_14[[#This Row],[ContractID]],Bantuan!$A:$C,3,0))</f>
        <v>0</v>
      </c>
    </row>
    <row r="63" spans="1:116" x14ac:dyDescent="0.3">
      <c r="A63" s="117" t="s">
        <v>139</v>
      </c>
      <c r="B63" s="112" t="s">
        <v>138</v>
      </c>
      <c r="C63" s="113">
        <v>46142</v>
      </c>
      <c r="D63" s="279">
        <v>45983</v>
      </c>
      <c r="E63" s="113">
        <v>44795</v>
      </c>
      <c r="F63" s="112" t="s">
        <v>1609</v>
      </c>
      <c r="G63" s="112" t="s">
        <v>1610</v>
      </c>
      <c r="H63" s="112" t="s">
        <v>1611</v>
      </c>
      <c r="I63" s="112" t="s">
        <v>1612</v>
      </c>
      <c r="J63" s="112" t="s">
        <v>1613</v>
      </c>
      <c r="K63" s="112" t="s">
        <v>4</v>
      </c>
      <c r="L63" s="112" t="s">
        <v>1613</v>
      </c>
      <c r="M63" s="112" t="s">
        <v>1614</v>
      </c>
      <c r="N63" s="112" t="s">
        <v>1615</v>
      </c>
      <c r="O63" s="112" t="s">
        <v>138</v>
      </c>
      <c r="P63" s="112" t="s">
        <v>150</v>
      </c>
      <c r="Q63" s="112" t="s">
        <v>151</v>
      </c>
      <c r="R63" s="112" t="s">
        <v>4</v>
      </c>
      <c r="S63" s="112" t="s">
        <v>4</v>
      </c>
      <c r="T63" s="112" t="s">
        <v>1528</v>
      </c>
      <c r="U63" s="112" t="s">
        <v>1528</v>
      </c>
      <c r="V63" s="112" t="s">
        <v>1528</v>
      </c>
      <c r="W63" s="112" t="s">
        <v>120</v>
      </c>
      <c r="X63" s="112" t="s">
        <v>121</v>
      </c>
      <c r="Y63" s="112" t="s">
        <v>136</v>
      </c>
      <c r="Z63" s="112" t="s">
        <v>142</v>
      </c>
      <c r="AA63" s="112" t="s">
        <v>1616</v>
      </c>
      <c r="AB63" s="112" t="s">
        <v>1617</v>
      </c>
      <c r="AC63" s="112" t="s">
        <v>1618</v>
      </c>
      <c r="AD63" s="112">
        <v>76890000</v>
      </c>
      <c r="AE63" s="112">
        <v>65956255.299999997</v>
      </c>
      <c r="AF63" s="112">
        <v>55920000</v>
      </c>
      <c r="AG63" s="112">
        <v>20970000</v>
      </c>
      <c r="AH63" s="112">
        <v>11250975</v>
      </c>
      <c r="AI63" s="112">
        <v>0</v>
      </c>
      <c r="AJ63" s="112">
        <v>3495000</v>
      </c>
      <c r="AK63" s="112">
        <v>159</v>
      </c>
      <c r="AL63" s="112">
        <v>6</v>
      </c>
      <c r="AM63" s="112">
        <v>39</v>
      </c>
      <c r="AN63" s="112">
        <v>60</v>
      </c>
      <c r="AO63" s="112" t="s">
        <v>123</v>
      </c>
      <c r="AP63" s="112" t="s">
        <v>123</v>
      </c>
      <c r="AQ63" s="112" t="s">
        <v>124</v>
      </c>
      <c r="AR63" s="112" t="s">
        <v>1619</v>
      </c>
      <c r="AS63" s="112" t="s">
        <v>1620</v>
      </c>
      <c r="AT63" s="112" t="s">
        <v>1621</v>
      </c>
      <c r="AU63" s="112" t="s">
        <v>143</v>
      </c>
      <c r="AV63" s="112" t="s">
        <v>144</v>
      </c>
      <c r="AW63" s="112" t="s">
        <v>145</v>
      </c>
      <c r="AX63" s="112" t="s">
        <v>127</v>
      </c>
      <c r="AY63" s="112" t="s">
        <v>153</v>
      </c>
      <c r="AZ63" s="112" t="s">
        <v>154</v>
      </c>
      <c r="BA63" s="112" t="s">
        <v>155</v>
      </c>
      <c r="BB63" s="112" t="s">
        <v>128</v>
      </c>
      <c r="BC63" s="112" t="s">
        <v>146</v>
      </c>
      <c r="BD63" s="112" t="s">
        <v>147</v>
      </c>
      <c r="BE63" s="112" t="s">
        <v>145</v>
      </c>
      <c r="BF63" s="112" t="s">
        <v>129</v>
      </c>
      <c r="BG63" s="112" t="s">
        <v>130</v>
      </c>
      <c r="BH63" s="112">
        <v>7</v>
      </c>
      <c r="BI63" s="112">
        <v>24465000</v>
      </c>
      <c r="BJ63" s="113"/>
      <c r="BK63" s="113"/>
      <c r="BL63" s="113"/>
      <c r="BM63" s="112"/>
      <c r="BN63" s="113">
        <v>46173</v>
      </c>
      <c r="BO63" s="112">
        <v>1</v>
      </c>
      <c r="BP63" s="114">
        <v>46149</v>
      </c>
      <c r="BQ63" s="112" t="s">
        <v>131</v>
      </c>
      <c r="BR63" s="112">
        <v>166</v>
      </c>
      <c r="BS63" s="113">
        <v>45983</v>
      </c>
      <c r="BT63" s="112">
        <v>76890000</v>
      </c>
      <c r="BU63" s="112">
        <v>0</v>
      </c>
      <c r="BV63" s="112">
        <v>1</v>
      </c>
      <c r="BW63" s="112">
        <v>0</v>
      </c>
      <c r="BX63" s="112">
        <v>0</v>
      </c>
      <c r="BY63" s="112">
        <v>0</v>
      </c>
      <c r="BZ63" s="112">
        <v>0</v>
      </c>
      <c r="CA63" s="112">
        <v>0</v>
      </c>
      <c r="CB63" s="112">
        <v>0</v>
      </c>
      <c r="CC63" s="113"/>
      <c r="CD63" s="112">
        <v>0</v>
      </c>
      <c r="CE63" s="113"/>
      <c r="CF63" s="112">
        <v>0</v>
      </c>
      <c r="CG63" s="113"/>
      <c r="CH63" s="112">
        <v>0</v>
      </c>
      <c r="CI63" s="113"/>
      <c r="CJ63" s="112">
        <v>0</v>
      </c>
      <c r="CK63" s="113"/>
      <c r="CL63" s="112">
        <v>0</v>
      </c>
      <c r="CM63" s="113">
        <v>46149</v>
      </c>
      <c r="CN63" s="112" t="s">
        <v>132</v>
      </c>
      <c r="CO63" s="112">
        <v>65956255.299999997</v>
      </c>
      <c r="CP63" s="112">
        <v>65956255.299999997</v>
      </c>
      <c r="CQ63" s="112">
        <v>22</v>
      </c>
      <c r="CR63" s="118"/>
      <c r="CS63" s="119"/>
      <c r="CT63" s="112">
        <v>0</v>
      </c>
      <c r="CU63" s="112" t="s">
        <v>148</v>
      </c>
      <c r="CV63" s="112" t="s">
        <v>149</v>
      </c>
      <c r="CW63" s="113">
        <v>46149</v>
      </c>
      <c r="CX63" s="112" t="s">
        <v>2116</v>
      </c>
      <c r="CY63" s="120">
        <f>MONTH(Table_ExternalData_14[[#This Row],[RunningReportDate]])</f>
        <v>5</v>
      </c>
      <c r="CZ63" s="120">
        <f>181-Table_ExternalData_14[[#This Row],[DaysOD]]</f>
        <v>22</v>
      </c>
      <c r="DA63" s="120">
        <f>IF(Table_ExternalData_14[[#This Row],[Status]]="PU-WC",0,Table_ExternalData_14[[#This Row],[Amount_CWO]]/1000000)</f>
        <v>65.956255299999995</v>
      </c>
      <c r="DB63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63" s="120">
        <f>IF(Table_ExternalData_14[[#This Row],[Status]]="PU-WC",0,IF(Table_ExternalData_14[[#This Row],[Success CWO]]=1,Table_ExternalData_14[[#This Row],[CWO Amt]],0))</f>
        <v>0</v>
      </c>
      <c r="DD63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63" s="120">
        <f>DAY(Table_ExternalData_14[[#This Row],[Tanggal_Sukses-new]])</f>
        <v>0</v>
      </c>
      <c r="DF63" s="120">
        <f>IF(Table_ExternalData_14[[#This Row],[Status]]="PU-WC",0,IF(SUM(Table_ExternalData_14[[#This Row],[Success CWO]:[WO-In-Amt]])=0,1,0))</f>
        <v>1</v>
      </c>
      <c r="DG63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65.956255299999995</v>
      </c>
      <c r="DH63" s="120" t="str">
        <f>VLOOKUP(Table_ExternalData_14[[#This Row],[BranchID]],KC!$A:$K,5,0)</f>
        <v>4W</v>
      </c>
      <c r="DI63" s="120" t="str">
        <f>VLOOKUP(Table_ExternalData_14[[#This Row],[BranchID]],KC!$A:$K,8,0)</f>
        <v>04. Jawa Timur</v>
      </c>
      <c r="DJ63" s="120" t="str">
        <f>VLOOKUP(Table_ExternalData_14[[#This Row],[BranchID]],KC!$A:$K,9,0)</f>
        <v>SURABAYA</v>
      </c>
      <c r="DK63" s="121">
        <f>IF(Table_ExternalData_14[[#This Row],[Tanggal_Sukses]]=" ",Table_ExternalData_14[[#This Row],[Tanggal_Sukses]],VLOOKUP(Table_ExternalData_14[[#This Row],[ContractID]],Bantuan!$A:$C,2,0))</f>
        <v>0</v>
      </c>
      <c r="DL63" s="120">
        <f>IF(Table_ExternalData_14[[#This Row],[Keterangan_Sukses]]=" ",Table_ExternalData_14[[#This Row],[Keterangan_Sukses]],VLOOKUP(Table_ExternalData_14[[#This Row],[ContractID]],Bantuan!$A:$C,3,0))</f>
        <v>0</v>
      </c>
    </row>
    <row r="64" spans="1:116" x14ac:dyDescent="0.3">
      <c r="A64" s="117" t="s">
        <v>139</v>
      </c>
      <c r="B64" s="112" t="s">
        <v>138</v>
      </c>
      <c r="C64" s="113">
        <v>46142</v>
      </c>
      <c r="D64" s="279">
        <v>45984</v>
      </c>
      <c r="E64" s="113">
        <v>44674</v>
      </c>
      <c r="F64" s="112" t="s">
        <v>1622</v>
      </c>
      <c r="G64" s="112" t="s">
        <v>1623</v>
      </c>
      <c r="H64" s="112" t="s">
        <v>1624</v>
      </c>
      <c r="I64" s="112" t="s">
        <v>1625</v>
      </c>
      <c r="J64" s="112" t="s">
        <v>1626</v>
      </c>
      <c r="K64" s="112" t="s">
        <v>4</v>
      </c>
      <c r="L64" s="112" t="s">
        <v>1626</v>
      </c>
      <c r="M64" s="112" t="s">
        <v>1627</v>
      </c>
      <c r="N64" s="112" t="s">
        <v>1628</v>
      </c>
      <c r="O64" s="112" t="s">
        <v>1628</v>
      </c>
      <c r="P64" s="112" t="s">
        <v>150</v>
      </c>
      <c r="Q64" s="112" t="s">
        <v>151</v>
      </c>
      <c r="R64" s="112" t="s">
        <v>4</v>
      </c>
      <c r="S64" s="112" t="s">
        <v>4</v>
      </c>
      <c r="T64" s="112" t="s">
        <v>1629</v>
      </c>
      <c r="U64" s="112" t="s">
        <v>1629</v>
      </c>
      <c r="V64" s="112" t="s">
        <v>1630</v>
      </c>
      <c r="W64" s="112" t="s">
        <v>120</v>
      </c>
      <c r="X64" s="112" t="s">
        <v>121</v>
      </c>
      <c r="Y64" s="112" t="s">
        <v>136</v>
      </c>
      <c r="Z64" s="112" t="s">
        <v>142</v>
      </c>
      <c r="AA64" s="112" t="s">
        <v>1631</v>
      </c>
      <c r="AB64" s="112" t="s">
        <v>1632</v>
      </c>
      <c r="AC64" s="112" t="s">
        <v>1633</v>
      </c>
      <c r="AD64" s="112">
        <v>63900000</v>
      </c>
      <c r="AE64" s="112">
        <v>56167335.880000003</v>
      </c>
      <c r="AF64" s="112">
        <v>42600000</v>
      </c>
      <c r="AG64" s="112">
        <v>21300000</v>
      </c>
      <c r="AH64" s="112">
        <v>26606750</v>
      </c>
      <c r="AI64" s="112">
        <v>0</v>
      </c>
      <c r="AJ64" s="112">
        <v>3550000</v>
      </c>
      <c r="AK64" s="112">
        <v>158</v>
      </c>
      <c r="AL64" s="112">
        <v>6</v>
      </c>
      <c r="AM64" s="112">
        <v>43</v>
      </c>
      <c r="AN64" s="112">
        <v>60</v>
      </c>
      <c r="AO64" s="112" t="s">
        <v>123</v>
      </c>
      <c r="AP64" s="112" t="s">
        <v>123</v>
      </c>
      <c r="AQ64" s="112" t="s">
        <v>124</v>
      </c>
      <c r="AR64" s="112" t="s">
        <v>1039</v>
      </c>
      <c r="AS64" s="112" t="s">
        <v>1040</v>
      </c>
      <c r="AT64" s="112" t="s">
        <v>1041</v>
      </c>
      <c r="AU64" s="112" t="s">
        <v>143</v>
      </c>
      <c r="AV64" s="112" t="s">
        <v>144</v>
      </c>
      <c r="AW64" s="112" t="s">
        <v>145</v>
      </c>
      <c r="AX64" s="112" t="s">
        <v>127</v>
      </c>
      <c r="AY64" s="112" t="s">
        <v>153</v>
      </c>
      <c r="AZ64" s="112" t="s">
        <v>154</v>
      </c>
      <c r="BA64" s="112" t="s">
        <v>155</v>
      </c>
      <c r="BB64" s="112" t="s">
        <v>128</v>
      </c>
      <c r="BC64" s="112" t="s">
        <v>146</v>
      </c>
      <c r="BD64" s="112" t="s">
        <v>147</v>
      </c>
      <c r="BE64" s="112" t="s">
        <v>145</v>
      </c>
      <c r="BF64" s="112" t="s">
        <v>129</v>
      </c>
      <c r="BG64" s="112" t="s">
        <v>130</v>
      </c>
      <c r="BH64" s="112">
        <v>7</v>
      </c>
      <c r="BI64" s="112">
        <v>24850000</v>
      </c>
      <c r="BJ64" s="113"/>
      <c r="BK64" s="113"/>
      <c r="BL64" s="113"/>
      <c r="BM64" s="112"/>
      <c r="BN64" s="113">
        <v>46173</v>
      </c>
      <c r="BO64" s="112">
        <v>1</v>
      </c>
      <c r="BP64" s="114">
        <v>46149</v>
      </c>
      <c r="BQ64" s="112" t="s">
        <v>131</v>
      </c>
      <c r="BR64" s="112">
        <v>165</v>
      </c>
      <c r="BS64" s="113">
        <v>45984</v>
      </c>
      <c r="BT64" s="112">
        <v>63900000</v>
      </c>
      <c r="BU64" s="112">
        <v>0</v>
      </c>
      <c r="BV64" s="112">
        <v>1</v>
      </c>
      <c r="BW64" s="112">
        <v>0</v>
      </c>
      <c r="BX64" s="112">
        <v>0</v>
      </c>
      <c r="BY64" s="112">
        <v>0</v>
      </c>
      <c r="BZ64" s="112">
        <v>0</v>
      </c>
      <c r="CA64" s="112">
        <v>0</v>
      </c>
      <c r="CB64" s="112">
        <v>0</v>
      </c>
      <c r="CC64" s="113"/>
      <c r="CD64" s="112">
        <v>0</v>
      </c>
      <c r="CE64" s="113"/>
      <c r="CF64" s="112">
        <v>0</v>
      </c>
      <c r="CG64" s="113"/>
      <c r="CH64" s="112">
        <v>0</v>
      </c>
      <c r="CI64" s="113"/>
      <c r="CJ64" s="112">
        <v>0</v>
      </c>
      <c r="CK64" s="113"/>
      <c r="CL64" s="112">
        <v>0</v>
      </c>
      <c r="CM64" s="113">
        <v>46149</v>
      </c>
      <c r="CN64" s="112" t="s">
        <v>132</v>
      </c>
      <c r="CO64" s="112">
        <v>56167335.880000003</v>
      </c>
      <c r="CP64" s="112">
        <v>56167335.880000003</v>
      </c>
      <c r="CQ64" s="112">
        <v>23</v>
      </c>
      <c r="CR64" s="118"/>
      <c r="CS64" s="119"/>
      <c r="CT64" s="112">
        <v>0</v>
      </c>
      <c r="CU64" s="112" t="s">
        <v>148</v>
      </c>
      <c r="CV64" s="112" t="s">
        <v>149</v>
      </c>
      <c r="CW64" s="113">
        <v>46149</v>
      </c>
      <c r="CX64" s="112" t="s">
        <v>2116</v>
      </c>
      <c r="CY64" s="120">
        <f>MONTH(Table_ExternalData_14[[#This Row],[RunningReportDate]])</f>
        <v>5</v>
      </c>
      <c r="CZ64" s="120">
        <f>181-Table_ExternalData_14[[#This Row],[DaysOD]]</f>
        <v>23</v>
      </c>
      <c r="DA64" s="120">
        <f>IF(Table_ExternalData_14[[#This Row],[Status]]="PU-WC",0,Table_ExternalData_14[[#This Row],[Amount_CWO]]/1000000)</f>
        <v>56.167335880000003</v>
      </c>
      <c r="DB64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64" s="120">
        <f>IF(Table_ExternalData_14[[#This Row],[Status]]="PU-WC",0,IF(Table_ExternalData_14[[#This Row],[Success CWO]]=1,Table_ExternalData_14[[#This Row],[CWO Amt]],0))</f>
        <v>0</v>
      </c>
      <c r="DD64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64" s="120">
        <f>DAY(Table_ExternalData_14[[#This Row],[Tanggal_Sukses-new]])</f>
        <v>0</v>
      </c>
      <c r="DF64" s="120">
        <f>IF(Table_ExternalData_14[[#This Row],[Status]]="PU-WC",0,IF(SUM(Table_ExternalData_14[[#This Row],[Success CWO]:[WO-In-Amt]])=0,1,0))</f>
        <v>1</v>
      </c>
      <c r="DG64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56.167335880000003</v>
      </c>
      <c r="DH64" s="120" t="str">
        <f>VLOOKUP(Table_ExternalData_14[[#This Row],[BranchID]],KC!$A:$K,5,0)</f>
        <v>4W</v>
      </c>
      <c r="DI64" s="120" t="str">
        <f>VLOOKUP(Table_ExternalData_14[[#This Row],[BranchID]],KC!$A:$K,8,0)</f>
        <v>04. Jawa Timur</v>
      </c>
      <c r="DJ64" s="120" t="str">
        <f>VLOOKUP(Table_ExternalData_14[[#This Row],[BranchID]],KC!$A:$K,9,0)</f>
        <v>SURABAYA</v>
      </c>
      <c r="DK64" s="121">
        <f>IF(Table_ExternalData_14[[#This Row],[Tanggal_Sukses]]=" ",Table_ExternalData_14[[#This Row],[Tanggal_Sukses]],VLOOKUP(Table_ExternalData_14[[#This Row],[ContractID]],Bantuan!$A:$C,2,0))</f>
        <v>0</v>
      </c>
      <c r="DL64" s="120">
        <f>IF(Table_ExternalData_14[[#This Row],[Keterangan_Sukses]]=" ",Table_ExternalData_14[[#This Row],[Keterangan_Sukses]],VLOOKUP(Table_ExternalData_14[[#This Row],[ContractID]],Bantuan!$A:$C,3,0))</f>
        <v>0</v>
      </c>
    </row>
    <row r="65" spans="1:116" x14ac:dyDescent="0.3">
      <c r="A65" s="117" t="s">
        <v>139</v>
      </c>
      <c r="B65" s="112" t="s">
        <v>138</v>
      </c>
      <c r="C65" s="113">
        <v>46142</v>
      </c>
      <c r="D65" s="279">
        <v>45976</v>
      </c>
      <c r="E65" s="113">
        <v>44515</v>
      </c>
      <c r="F65" s="112" t="s">
        <v>1634</v>
      </c>
      <c r="G65" s="112" t="s">
        <v>1635</v>
      </c>
      <c r="H65" s="112" t="s">
        <v>1636</v>
      </c>
      <c r="I65" s="112" t="s">
        <v>1637</v>
      </c>
      <c r="J65" s="112" t="s">
        <v>1638</v>
      </c>
      <c r="K65" s="112" t="s">
        <v>4</v>
      </c>
      <c r="L65" s="112" t="s">
        <v>1638</v>
      </c>
      <c r="M65" s="112" t="s">
        <v>1639</v>
      </c>
      <c r="N65" s="112" t="s">
        <v>1640</v>
      </c>
      <c r="O65" s="112" t="s">
        <v>140</v>
      </c>
      <c r="P65" s="112" t="s">
        <v>1084</v>
      </c>
      <c r="Q65" s="112" t="s">
        <v>1641</v>
      </c>
      <c r="R65" s="112" t="s">
        <v>4</v>
      </c>
      <c r="S65" s="112" t="s">
        <v>4</v>
      </c>
      <c r="T65" s="112" t="s">
        <v>156</v>
      </c>
      <c r="U65" s="112" t="s">
        <v>156</v>
      </c>
      <c r="V65" s="112" t="s">
        <v>156</v>
      </c>
      <c r="W65" s="112" t="s">
        <v>120</v>
      </c>
      <c r="X65" s="112" t="s">
        <v>121</v>
      </c>
      <c r="Y65" s="112" t="s">
        <v>136</v>
      </c>
      <c r="Z65" s="112" t="s">
        <v>142</v>
      </c>
      <c r="AA65" s="112" t="s">
        <v>1642</v>
      </c>
      <c r="AB65" s="112" t="s">
        <v>1643</v>
      </c>
      <c r="AC65" s="112" t="s">
        <v>1644</v>
      </c>
      <c r="AD65" s="112">
        <v>3896000</v>
      </c>
      <c r="AE65" s="112">
        <v>3848478.61</v>
      </c>
      <c r="AF65" s="112">
        <v>0</v>
      </c>
      <c r="AG65" s="112">
        <v>3896000</v>
      </c>
      <c r="AH65" s="112">
        <v>25075920</v>
      </c>
      <c r="AI65" s="112">
        <v>0</v>
      </c>
      <c r="AJ65" s="112">
        <v>3896000</v>
      </c>
      <c r="AK65" s="112">
        <v>166</v>
      </c>
      <c r="AL65" s="112">
        <v>1</v>
      </c>
      <c r="AM65" s="112">
        <v>48</v>
      </c>
      <c r="AN65" s="112">
        <v>48</v>
      </c>
      <c r="AO65" s="112" t="s">
        <v>123</v>
      </c>
      <c r="AP65" s="112" t="s">
        <v>123</v>
      </c>
      <c r="AQ65" s="112" t="s">
        <v>124</v>
      </c>
      <c r="AR65" s="112" t="s">
        <v>1645</v>
      </c>
      <c r="AS65" s="112" t="s">
        <v>1069</v>
      </c>
      <c r="AT65" s="112" t="s">
        <v>1070</v>
      </c>
      <c r="AU65" s="112" t="s">
        <v>143</v>
      </c>
      <c r="AV65" s="112" t="s">
        <v>144</v>
      </c>
      <c r="AW65" s="112" t="s">
        <v>145</v>
      </c>
      <c r="AX65" s="112" t="s">
        <v>127</v>
      </c>
      <c r="AY65" s="112" t="s">
        <v>1646</v>
      </c>
      <c r="AZ65" s="112" t="s">
        <v>1073</v>
      </c>
      <c r="BA65" s="112" t="s">
        <v>1074</v>
      </c>
      <c r="BB65" s="112" t="s">
        <v>128</v>
      </c>
      <c r="BC65" s="112" t="s">
        <v>146</v>
      </c>
      <c r="BD65" s="112" t="s">
        <v>147</v>
      </c>
      <c r="BE65" s="112" t="s">
        <v>145</v>
      </c>
      <c r="BF65" s="112" t="s">
        <v>129</v>
      </c>
      <c r="BG65" s="112" t="s">
        <v>130</v>
      </c>
      <c r="BH65" s="112">
        <v>1</v>
      </c>
      <c r="BI65" s="112">
        <v>3896000</v>
      </c>
      <c r="BJ65" s="113"/>
      <c r="BK65" s="113"/>
      <c r="BL65" s="113"/>
      <c r="BM65" s="112"/>
      <c r="BN65" s="113">
        <v>46173</v>
      </c>
      <c r="BO65" s="112">
        <v>1</v>
      </c>
      <c r="BP65" s="114">
        <v>46149</v>
      </c>
      <c r="BQ65" s="112" t="s">
        <v>131</v>
      </c>
      <c r="BR65" s="112">
        <v>173</v>
      </c>
      <c r="BS65" s="113">
        <v>45976</v>
      </c>
      <c r="BT65" s="112">
        <v>3896000</v>
      </c>
      <c r="BU65" s="112">
        <v>0</v>
      </c>
      <c r="BV65" s="112">
        <v>1</v>
      </c>
      <c r="BW65" s="112">
        <v>0</v>
      </c>
      <c r="BX65" s="112">
        <v>0</v>
      </c>
      <c r="BY65" s="112">
        <v>0</v>
      </c>
      <c r="BZ65" s="112">
        <v>0</v>
      </c>
      <c r="CA65" s="112">
        <v>0</v>
      </c>
      <c r="CB65" s="112">
        <v>0</v>
      </c>
      <c r="CC65" s="113"/>
      <c r="CD65" s="112">
        <v>0</v>
      </c>
      <c r="CE65" s="113"/>
      <c r="CF65" s="112">
        <v>0</v>
      </c>
      <c r="CG65" s="113"/>
      <c r="CH65" s="112">
        <v>0</v>
      </c>
      <c r="CI65" s="113"/>
      <c r="CJ65" s="112">
        <v>0</v>
      </c>
      <c r="CK65" s="113"/>
      <c r="CL65" s="112">
        <v>0</v>
      </c>
      <c r="CM65" s="113">
        <v>46149</v>
      </c>
      <c r="CN65" s="112" t="s">
        <v>132</v>
      </c>
      <c r="CO65" s="112">
        <v>3848478.61</v>
      </c>
      <c r="CP65" s="112">
        <v>3848478.61</v>
      </c>
      <c r="CQ65" s="112">
        <v>15</v>
      </c>
      <c r="CR65" s="118"/>
      <c r="CS65" s="119"/>
      <c r="CT65" s="112">
        <v>0</v>
      </c>
      <c r="CU65" s="112" t="s">
        <v>148</v>
      </c>
      <c r="CV65" s="112" t="s">
        <v>149</v>
      </c>
      <c r="CW65" s="113">
        <v>46149</v>
      </c>
      <c r="CX65" s="112" t="s">
        <v>2116</v>
      </c>
      <c r="CY65" s="120">
        <f>MONTH(Table_ExternalData_14[[#This Row],[RunningReportDate]])</f>
        <v>5</v>
      </c>
      <c r="CZ65" s="120">
        <f>181-Table_ExternalData_14[[#This Row],[DaysOD]]</f>
        <v>15</v>
      </c>
      <c r="DA65" s="120">
        <f>IF(Table_ExternalData_14[[#This Row],[Status]]="PU-WC",0,Table_ExternalData_14[[#This Row],[Amount_CWO]]/1000000)</f>
        <v>3.8484786099999999</v>
      </c>
      <c r="DB65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65" s="120">
        <f>IF(Table_ExternalData_14[[#This Row],[Status]]="PU-WC",0,IF(Table_ExternalData_14[[#This Row],[Success CWO]]=1,Table_ExternalData_14[[#This Row],[CWO Amt]],0))</f>
        <v>0</v>
      </c>
      <c r="DD65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65" s="120">
        <f>DAY(Table_ExternalData_14[[#This Row],[Tanggal_Sukses-new]])</f>
        <v>0</v>
      </c>
      <c r="DF65" s="120">
        <f>IF(Table_ExternalData_14[[#This Row],[Status]]="PU-WC",0,IF(SUM(Table_ExternalData_14[[#This Row],[Success CWO]:[WO-In-Amt]])=0,1,0))</f>
        <v>1</v>
      </c>
      <c r="DG65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3.8484786099999999</v>
      </c>
      <c r="DH65" s="120" t="str">
        <f>VLOOKUP(Table_ExternalData_14[[#This Row],[BranchID]],KC!$A:$K,5,0)</f>
        <v>4W</v>
      </c>
      <c r="DI65" s="120" t="str">
        <f>VLOOKUP(Table_ExternalData_14[[#This Row],[BranchID]],KC!$A:$K,8,0)</f>
        <v>04. Jawa Timur</v>
      </c>
      <c r="DJ65" s="120" t="str">
        <f>VLOOKUP(Table_ExternalData_14[[#This Row],[BranchID]],KC!$A:$K,9,0)</f>
        <v>SURABAYA</v>
      </c>
      <c r="DK65" s="121">
        <f>IF(Table_ExternalData_14[[#This Row],[Tanggal_Sukses]]=" ",Table_ExternalData_14[[#This Row],[Tanggal_Sukses]],VLOOKUP(Table_ExternalData_14[[#This Row],[ContractID]],Bantuan!$A:$C,2,0))</f>
        <v>0</v>
      </c>
      <c r="DL65" s="120">
        <f>IF(Table_ExternalData_14[[#This Row],[Keterangan_Sukses]]=" ",Table_ExternalData_14[[#This Row],[Keterangan_Sukses]],VLOOKUP(Table_ExternalData_14[[#This Row],[ContractID]],Bantuan!$A:$C,3,0))</f>
        <v>0</v>
      </c>
    </row>
    <row r="66" spans="1:116" x14ac:dyDescent="0.3">
      <c r="A66" s="117" t="s">
        <v>119</v>
      </c>
      <c r="B66" s="112" t="s">
        <v>118</v>
      </c>
      <c r="C66" s="113">
        <v>46142</v>
      </c>
      <c r="D66" s="279">
        <v>45969</v>
      </c>
      <c r="E66" s="113">
        <v>45420</v>
      </c>
      <c r="F66" s="112" t="s">
        <v>1647</v>
      </c>
      <c r="G66" s="112" t="s">
        <v>1648</v>
      </c>
      <c r="H66" s="112" t="s">
        <v>1649</v>
      </c>
      <c r="I66" s="112" t="s">
        <v>1650</v>
      </c>
      <c r="J66" s="112" t="s">
        <v>1651</v>
      </c>
      <c r="K66" s="112" t="s">
        <v>4</v>
      </c>
      <c r="L66" s="112" t="s">
        <v>1651</v>
      </c>
      <c r="M66" s="112" t="s">
        <v>1652</v>
      </c>
      <c r="N66" s="112" t="s">
        <v>1653</v>
      </c>
      <c r="O66" s="112" t="s">
        <v>118</v>
      </c>
      <c r="P66" s="112" t="s">
        <v>929</v>
      </c>
      <c r="Q66" s="112" t="s">
        <v>930</v>
      </c>
      <c r="R66" s="112" t="s">
        <v>4</v>
      </c>
      <c r="S66" s="112" t="s">
        <v>4</v>
      </c>
      <c r="T66" s="112" t="s">
        <v>1630</v>
      </c>
      <c r="U66" s="112" t="s">
        <v>1630</v>
      </c>
      <c r="V66" s="112" t="s">
        <v>1630</v>
      </c>
      <c r="W66" s="112" t="s">
        <v>120</v>
      </c>
      <c r="X66" s="112" t="s">
        <v>121</v>
      </c>
      <c r="Y66" s="112" t="s">
        <v>122</v>
      </c>
      <c r="Z66" s="112" t="s">
        <v>1118</v>
      </c>
      <c r="AA66" s="112" t="s">
        <v>1654</v>
      </c>
      <c r="AB66" s="112" t="s">
        <v>1655</v>
      </c>
      <c r="AC66" s="112" t="s">
        <v>1656</v>
      </c>
      <c r="AD66" s="112">
        <v>163959000</v>
      </c>
      <c r="AE66" s="112">
        <v>130662073.28</v>
      </c>
      <c r="AF66" s="112">
        <v>141081000</v>
      </c>
      <c r="AG66" s="112">
        <v>22878000</v>
      </c>
      <c r="AH66" s="112">
        <v>13998750</v>
      </c>
      <c r="AI66" s="112">
        <v>0</v>
      </c>
      <c r="AJ66" s="112">
        <v>3813000</v>
      </c>
      <c r="AK66" s="112">
        <v>173</v>
      </c>
      <c r="AL66" s="112">
        <v>6</v>
      </c>
      <c r="AM66" s="112">
        <v>18</v>
      </c>
      <c r="AN66" s="112">
        <v>60</v>
      </c>
      <c r="AO66" s="112" t="s">
        <v>123</v>
      </c>
      <c r="AP66" s="112" t="s">
        <v>123</v>
      </c>
      <c r="AQ66" s="112" t="s">
        <v>124</v>
      </c>
      <c r="AR66" s="112"/>
      <c r="AS66" s="112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2"/>
      <c r="BE66" s="112"/>
      <c r="BF66" s="112" t="s">
        <v>129</v>
      </c>
      <c r="BG66" s="112" t="s">
        <v>130</v>
      </c>
      <c r="BH66" s="112">
        <v>7</v>
      </c>
      <c r="BI66" s="112">
        <v>26691000</v>
      </c>
      <c r="BJ66" s="113"/>
      <c r="BK66" s="113"/>
      <c r="BL66" s="113"/>
      <c r="BM66" s="112"/>
      <c r="BN66" s="113">
        <v>46173</v>
      </c>
      <c r="BO66" s="112">
        <v>1</v>
      </c>
      <c r="BP66" s="114">
        <v>46149</v>
      </c>
      <c r="BQ66" s="112" t="s">
        <v>131</v>
      </c>
      <c r="BR66" s="112">
        <v>180</v>
      </c>
      <c r="BS66" s="113">
        <v>45969</v>
      </c>
      <c r="BT66" s="112">
        <v>163959000</v>
      </c>
      <c r="BU66" s="112">
        <v>0</v>
      </c>
      <c r="BV66" s="112">
        <v>1</v>
      </c>
      <c r="BW66" s="112">
        <v>0</v>
      </c>
      <c r="BX66" s="112">
        <v>0</v>
      </c>
      <c r="BY66" s="112">
        <v>0</v>
      </c>
      <c r="BZ66" s="112">
        <v>0</v>
      </c>
      <c r="CA66" s="112">
        <v>0</v>
      </c>
      <c r="CB66" s="112">
        <v>0</v>
      </c>
      <c r="CC66" s="113"/>
      <c r="CD66" s="112">
        <v>0</v>
      </c>
      <c r="CE66" s="113"/>
      <c r="CF66" s="112">
        <v>0</v>
      </c>
      <c r="CG66" s="113"/>
      <c r="CH66" s="112">
        <v>0</v>
      </c>
      <c r="CI66" s="113"/>
      <c r="CJ66" s="112">
        <v>0</v>
      </c>
      <c r="CK66" s="113"/>
      <c r="CL66" s="112">
        <v>0</v>
      </c>
      <c r="CM66" s="113">
        <v>46149</v>
      </c>
      <c r="CN66" s="112" t="s">
        <v>132</v>
      </c>
      <c r="CO66" s="112">
        <v>130662073.28</v>
      </c>
      <c r="CP66" s="112">
        <v>130662073.28</v>
      </c>
      <c r="CQ66" s="112">
        <v>8</v>
      </c>
      <c r="CR66" s="118"/>
      <c r="CS66" s="119"/>
      <c r="CT66" s="112">
        <v>0</v>
      </c>
      <c r="CU66" s="112" t="s">
        <v>133</v>
      </c>
      <c r="CV66" s="112" t="s">
        <v>134</v>
      </c>
      <c r="CW66" s="113">
        <v>46149</v>
      </c>
      <c r="CX66" s="112" t="s">
        <v>2116</v>
      </c>
      <c r="CY66" s="120">
        <f>MONTH(Table_ExternalData_14[[#This Row],[RunningReportDate]])</f>
        <v>5</v>
      </c>
      <c r="CZ66" s="120">
        <f>181-Table_ExternalData_14[[#This Row],[DaysOD]]</f>
        <v>8</v>
      </c>
      <c r="DA66" s="120">
        <f>IF(Table_ExternalData_14[[#This Row],[Status]]="PU-WC",0,Table_ExternalData_14[[#This Row],[Amount_CWO]]/1000000)</f>
        <v>130.66207327999999</v>
      </c>
      <c r="DB66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66" s="120">
        <f>IF(Table_ExternalData_14[[#This Row],[Status]]="PU-WC",0,IF(Table_ExternalData_14[[#This Row],[Success CWO]]=1,Table_ExternalData_14[[#This Row],[CWO Amt]],0))</f>
        <v>0</v>
      </c>
      <c r="DD66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66" s="120">
        <f>DAY(Table_ExternalData_14[[#This Row],[Tanggal_Sukses-new]])</f>
        <v>0</v>
      </c>
      <c r="DF66" s="120">
        <f>IF(Table_ExternalData_14[[#This Row],[Status]]="PU-WC",0,IF(SUM(Table_ExternalData_14[[#This Row],[Success CWO]:[WO-In-Amt]])=0,1,0))</f>
        <v>1</v>
      </c>
      <c r="DG66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130.66207327999999</v>
      </c>
      <c r="DH66" s="120" t="str">
        <f>VLOOKUP(Table_ExternalData_14[[#This Row],[BranchID]],KC!$A:$K,5,0)</f>
        <v>4W</v>
      </c>
      <c r="DI66" s="120" t="str">
        <f>VLOOKUP(Table_ExternalData_14[[#This Row],[BranchID]],KC!$A:$K,8,0)</f>
        <v>09. IBT</v>
      </c>
      <c r="DJ66" s="120" t="str">
        <f>VLOOKUP(Table_ExternalData_14[[#This Row],[BranchID]],KC!$A:$K,9,0)</f>
        <v>DENPASAR</v>
      </c>
      <c r="DK66" s="121">
        <f>IF(Table_ExternalData_14[[#This Row],[Tanggal_Sukses]]=" ",Table_ExternalData_14[[#This Row],[Tanggal_Sukses]],VLOOKUP(Table_ExternalData_14[[#This Row],[ContractID]],Bantuan!$A:$C,2,0))</f>
        <v>0</v>
      </c>
      <c r="DL66" s="120">
        <f>IF(Table_ExternalData_14[[#This Row],[Keterangan_Sukses]]=" ",Table_ExternalData_14[[#This Row],[Keterangan_Sukses]],VLOOKUP(Table_ExternalData_14[[#This Row],[ContractID]],Bantuan!$A:$C,3,0))</f>
        <v>0</v>
      </c>
    </row>
    <row r="67" spans="1:116" x14ac:dyDescent="0.3">
      <c r="A67" s="117" t="s">
        <v>10</v>
      </c>
      <c r="B67" s="112" t="s">
        <v>9</v>
      </c>
      <c r="C67" s="113">
        <v>46142</v>
      </c>
      <c r="D67" s="279">
        <v>45992</v>
      </c>
      <c r="E67" s="113">
        <v>45259</v>
      </c>
      <c r="F67" s="112" t="s">
        <v>1657</v>
      </c>
      <c r="G67" s="112" t="s">
        <v>1658</v>
      </c>
      <c r="H67" s="112" t="s">
        <v>1659</v>
      </c>
      <c r="I67" s="112" t="s">
        <v>1660</v>
      </c>
      <c r="J67" s="112" t="s">
        <v>1661</v>
      </c>
      <c r="K67" s="112" t="s">
        <v>4</v>
      </c>
      <c r="L67" s="112" t="s">
        <v>1661</v>
      </c>
      <c r="M67" s="112" t="s">
        <v>1662</v>
      </c>
      <c r="N67" s="112" t="s">
        <v>1662</v>
      </c>
      <c r="O67" s="112" t="s">
        <v>1078</v>
      </c>
      <c r="P67" s="112" t="s">
        <v>372</v>
      </c>
      <c r="Q67" s="112" t="s">
        <v>373</v>
      </c>
      <c r="R67" s="112" t="s">
        <v>4</v>
      </c>
      <c r="S67" s="112" t="s">
        <v>4</v>
      </c>
      <c r="T67" s="112" t="s">
        <v>1663</v>
      </c>
      <c r="U67" s="112" t="s">
        <v>1663</v>
      </c>
      <c r="V67" s="112" t="s">
        <v>381</v>
      </c>
      <c r="W67" s="112" t="s">
        <v>120</v>
      </c>
      <c r="X67" s="112" t="s">
        <v>121</v>
      </c>
      <c r="Y67" s="112" t="s">
        <v>136</v>
      </c>
      <c r="Z67" s="112" t="s">
        <v>142</v>
      </c>
      <c r="AA67" s="112" t="s">
        <v>1664</v>
      </c>
      <c r="AB67" s="112" t="s">
        <v>1665</v>
      </c>
      <c r="AC67" s="112" t="s">
        <v>1666</v>
      </c>
      <c r="AD67" s="112">
        <v>69238000</v>
      </c>
      <c r="AE67" s="112">
        <v>62351531.719999999</v>
      </c>
      <c r="AF67" s="112">
        <v>42608000</v>
      </c>
      <c r="AG67" s="112">
        <v>26630000</v>
      </c>
      <c r="AH67" s="112">
        <v>30224500</v>
      </c>
      <c r="AI67" s="112">
        <v>58105</v>
      </c>
      <c r="AJ67" s="112">
        <v>5326000</v>
      </c>
      <c r="AK67" s="112">
        <v>150</v>
      </c>
      <c r="AL67" s="112">
        <v>5</v>
      </c>
      <c r="AM67" s="112">
        <v>24</v>
      </c>
      <c r="AN67" s="112">
        <v>36</v>
      </c>
      <c r="AO67" s="112" t="s">
        <v>236</v>
      </c>
      <c r="AP67" s="112" t="s">
        <v>236</v>
      </c>
      <c r="AQ67" s="112" t="s">
        <v>124</v>
      </c>
      <c r="AR67" s="112" t="s">
        <v>1079</v>
      </c>
      <c r="AS67" s="112" t="s">
        <v>1080</v>
      </c>
      <c r="AT67" s="112" t="s">
        <v>1081</v>
      </c>
      <c r="AU67" s="112" t="s">
        <v>1082</v>
      </c>
      <c r="AV67" s="112" t="s">
        <v>125</v>
      </c>
      <c r="AW67" s="112" t="s">
        <v>126</v>
      </c>
      <c r="AX67" s="112" t="s">
        <v>127</v>
      </c>
      <c r="AY67" s="112" t="s">
        <v>1083</v>
      </c>
      <c r="AZ67" s="112" t="s">
        <v>1080</v>
      </c>
      <c r="BA67" s="112" t="s">
        <v>1081</v>
      </c>
      <c r="BB67" s="112" t="s">
        <v>128</v>
      </c>
      <c r="BC67" s="112" t="s">
        <v>1082</v>
      </c>
      <c r="BD67" s="112" t="s">
        <v>125</v>
      </c>
      <c r="BE67" s="112" t="s">
        <v>126</v>
      </c>
      <c r="BF67" s="112" t="s">
        <v>129</v>
      </c>
      <c r="BG67" s="112" t="s">
        <v>130</v>
      </c>
      <c r="BH67" s="112">
        <v>6</v>
      </c>
      <c r="BI67" s="112">
        <v>31956000</v>
      </c>
      <c r="BJ67" s="113"/>
      <c r="BK67" s="113"/>
      <c r="BL67" s="113"/>
      <c r="BM67" s="112"/>
      <c r="BN67" s="113">
        <v>46173</v>
      </c>
      <c r="BO67" s="112">
        <v>1</v>
      </c>
      <c r="BP67" s="114">
        <v>46149</v>
      </c>
      <c r="BQ67" s="112" t="s">
        <v>131</v>
      </c>
      <c r="BR67" s="112">
        <v>157</v>
      </c>
      <c r="BS67" s="113">
        <v>45992</v>
      </c>
      <c r="BT67" s="112">
        <v>69238000</v>
      </c>
      <c r="BU67" s="112">
        <v>0</v>
      </c>
      <c r="BV67" s="112">
        <v>1</v>
      </c>
      <c r="BW67" s="112">
        <v>0</v>
      </c>
      <c r="BX67" s="112">
        <v>0</v>
      </c>
      <c r="BY67" s="112">
        <v>0</v>
      </c>
      <c r="BZ67" s="112">
        <v>0</v>
      </c>
      <c r="CA67" s="112">
        <v>0</v>
      </c>
      <c r="CB67" s="112">
        <v>0</v>
      </c>
      <c r="CC67" s="113"/>
      <c r="CD67" s="112">
        <v>0</v>
      </c>
      <c r="CE67" s="113"/>
      <c r="CF67" s="112">
        <v>0</v>
      </c>
      <c r="CG67" s="113"/>
      <c r="CH67" s="112">
        <v>0</v>
      </c>
      <c r="CI67" s="113"/>
      <c r="CJ67" s="112">
        <v>0</v>
      </c>
      <c r="CK67" s="113"/>
      <c r="CL67" s="112">
        <v>0</v>
      </c>
      <c r="CM67" s="113">
        <v>46149</v>
      </c>
      <c r="CN67" s="112" t="s">
        <v>132</v>
      </c>
      <c r="CO67" s="112">
        <v>62293426.719999999</v>
      </c>
      <c r="CP67" s="112">
        <v>62293426.719999999</v>
      </c>
      <c r="CQ67" s="112">
        <v>31</v>
      </c>
      <c r="CR67" s="118"/>
      <c r="CS67" s="119"/>
      <c r="CT67" s="112">
        <v>0</v>
      </c>
      <c r="CU67" s="112" t="s">
        <v>374</v>
      </c>
      <c r="CV67" s="112" t="s">
        <v>192</v>
      </c>
      <c r="CW67" s="113">
        <v>46149</v>
      </c>
      <c r="CX67" s="112" t="s">
        <v>2116</v>
      </c>
      <c r="CY67" s="120">
        <f>MONTH(Table_ExternalData_14[[#This Row],[RunningReportDate]])</f>
        <v>5</v>
      </c>
      <c r="CZ67" s="120">
        <f>181-Table_ExternalData_14[[#This Row],[DaysOD]]</f>
        <v>31</v>
      </c>
      <c r="DA67" s="120">
        <f>IF(Table_ExternalData_14[[#This Row],[Status]]="PU-WC",0,Table_ExternalData_14[[#This Row],[Amount_CWO]]/1000000)</f>
        <v>62.293426719999999</v>
      </c>
      <c r="DB67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67" s="120">
        <f>IF(Table_ExternalData_14[[#This Row],[Status]]="PU-WC",0,IF(Table_ExternalData_14[[#This Row],[Success CWO]]=1,Table_ExternalData_14[[#This Row],[CWO Amt]],0))</f>
        <v>0</v>
      </c>
      <c r="DD67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67" s="120">
        <f>DAY(Table_ExternalData_14[[#This Row],[Tanggal_Sukses-new]])</f>
        <v>0</v>
      </c>
      <c r="DF67" s="120">
        <f>IF(Table_ExternalData_14[[#This Row],[Status]]="PU-WC",0,IF(SUM(Table_ExternalData_14[[#This Row],[Success CWO]:[WO-In-Amt]])=0,1,0))</f>
        <v>1</v>
      </c>
      <c r="DG67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62.293426719999999</v>
      </c>
      <c r="DH67" s="120" t="str">
        <f>VLOOKUP(Table_ExternalData_14[[#This Row],[BranchID]],KC!$A:$K,5,0)</f>
        <v>4W</v>
      </c>
      <c r="DI67" s="120" t="str">
        <f>VLOOKUP(Table_ExternalData_14[[#This Row],[BranchID]],KC!$A:$K,8,0)</f>
        <v>01. Jabodetabekser</v>
      </c>
      <c r="DJ67" s="120" t="str">
        <f>VLOOKUP(Table_ExternalData_14[[#This Row],[BranchID]],KC!$A:$K,9,0)</f>
        <v>SUNTER</v>
      </c>
      <c r="DK67" s="121">
        <f>IF(Table_ExternalData_14[[#This Row],[Tanggal_Sukses]]=" ",Table_ExternalData_14[[#This Row],[Tanggal_Sukses]],VLOOKUP(Table_ExternalData_14[[#This Row],[ContractID]],Bantuan!$A:$C,2,0))</f>
        <v>0</v>
      </c>
      <c r="DL67" s="120">
        <f>IF(Table_ExternalData_14[[#This Row],[Keterangan_Sukses]]=" ",Table_ExternalData_14[[#This Row],[Keterangan_Sukses]],VLOOKUP(Table_ExternalData_14[[#This Row],[ContractID]],Bantuan!$A:$C,3,0))</f>
        <v>0</v>
      </c>
    </row>
    <row r="68" spans="1:116" x14ac:dyDescent="0.3">
      <c r="A68" s="117" t="s">
        <v>10</v>
      </c>
      <c r="B68" s="112" t="s">
        <v>9</v>
      </c>
      <c r="C68" s="113">
        <v>46142</v>
      </c>
      <c r="D68" s="279">
        <v>45992</v>
      </c>
      <c r="E68" s="113">
        <v>44925</v>
      </c>
      <c r="F68" s="112" t="s">
        <v>1667</v>
      </c>
      <c r="G68" s="112" t="s">
        <v>1668</v>
      </c>
      <c r="H68" s="112" t="s">
        <v>1669</v>
      </c>
      <c r="I68" s="112" t="s">
        <v>1670</v>
      </c>
      <c r="J68" s="112" t="s">
        <v>1671</v>
      </c>
      <c r="K68" s="112" t="s">
        <v>4</v>
      </c>
      <c r="L68" s="112" t="s">
        <v>1671</v>
      </c>
      <c r="M68" s="112" t="s">
        <v>1672</v>
      </c>
      <c r="N68" s="112" t="s">
        <v>1036</v>
      </c>
      <c r="O68" s="112" t="s">
        <v>0</v>
      </c>
      <c r="P68" s="112" t="s">
        <v>372</v>
      </c>
      <c r="Q68" s="112" t="s">
        <v>373</v>
      </c>
      <c r="R68" s="112" t="s">
        <v>4</v>
      </c>
      <c r="S68" s="112" t="s">
        <v>4</v>
      </c>
      <c r="T68" s="112" t="s">
        <v>1673</v>
      </c>
      <c r="U68" s="112" t="s">
        <v>1673</v>
      </c>
      <c r="V68" s="112" t="s">
        <v>1674</v>
      </c>
      <c r="W68" s="112" t="s">
        <v>120</v>
      </c>
      <c r="X68" s="112" t="s">
        <v>121</v>
      </c>
      <c r="Y68" s="112" t="s">
        <v>136</v>
      </c>
      <c r="Z68" s="112" t="s">
        <v>142</v>
      </c>
      <c r="AA68" s="112" t="s">
        <v>1675</v>
      </c>
      <c r="AB68" s="112" t="s">
        <v>1676</v>
      </c>
      <c r="AC68" s="112" t="s">
        <v>1677</v>
      </c>
      <c r="AD68" s="112">
        <v>59780000</v>
      </c>
      <c r="AE68" s="112">
        <v>53541685.289999999</v>
      </c>
      <c r="AF68" s="112">
        <v>38430000</v>
      </c>
      <c r="AG68" s="112">
        <v>21350000</v>
      </c>
      <c r="AH68" s="112">
        <v>37992262.5</v>
      </c>
      <c r="AI68" s="112">
        <v>100000</v>
      </c>
      <c r="AJ68" s="112">
        <v>4270000</v>
      </c>
      <c r="AK68" s="112">
        <v>150</v>
      </c>
      <c r="AL68" s="112">
        <v>5</v>
      </c>
      <c r="AM68" s="112">
        <v>35</v>
      </c>
      <c r="AN68" s="112">
        <v>48</v>
      </c>
      <c r="AO68" s="112" t="s">
        <v>236</v>
      </c>
      <c r="AP68" s="112" t="s">
        <v>236</v>
      </c>
      <c r="AQ68" s="112" t="s">
        <v>124</v>
      </c>
      <c r="AR68" s="112" t="s">
        <v>1079</v>
      </c>
      <c r="AS68" s="112" t="s">
        <v>1080</v>
      </c>
      <c r="AT68" s="112" t="s">
        <v>1081</v>
      </c>
      <c r="AU68" s="112" t="s">
        <v>1082</v>
      </c>
      <c r="AV68" s="112" t="s">
        <v>125</v>
      </c>
      <c r="AW68" s="112" t="s">
        <v>126</v>
      </c>
      <c r="AX68" s="112" t="s">
        <v>127</v>
      </c>
      <c r="AY68" s="112" t="s">
        <v>1083</v>
      </c>
      <c r="AZ68" s="112" t="s">
        <v>1080</v>
      </c>
      <c r="BA68" s="112" t="s">
        <v>1081</v>
      </c>
      <c r="BB68" s="112" t="s">
        <v>128</v>
      </c>
      <c r="BC68" s="112" t="s">
        <v>1082</v>
      </c>
      <c r="BD68" s="112" t="s">
        <v>125</v>
      </c>
      <c r="BE68" s="112" t="s">
        <v>126</v>
      </c>
      <c r="BF68" s="112" t="s">
        <v>129</v>
      </c>
      <c r="BG68" s="112" t="s">
        <v>130</v>
      </c>
      <c r="BH68" s="112">
        <v>6</v>
      </c>
      <c r="BI68" s="112">
        <v>25620000</v>
      </c>
      <c r="BJ68" s="113"/>
      <c r="BK68" s="113"/>
      <c r="BL68" s="113"/>
      <c r="BM68" s="112"/>
      <c r="BN68" s="113">
        <v>46173</v>
      </c>
      <c r="BO68" s="112">
        <v>1</v>
      </c>
      <c r="BP68" s="114">
        <v>46149</v>
      </c>
      <c r="BQ68" s="112" t="s">
        <v>131</v>
      </c>
      <c r="BR68" s="112">
        <v>157</v>
      </c>
      <c r="BS68" s="113">
        <v>45992</v>
      </c>
      <c r="BT68" s="112">
        <v>59780000</v>
      </c>
      <c r="BU68" s="112">
        <v>0</v>
      </c>
      <c r="BV68" s="112">
        <v>1</v>
      </c>
      <c r="BW68" s="112">
        <v>0</v>
      </c>
      <c r="BX68" s="112">
        <v>0</v>
      </c>
      <c r="BY68" s="112">
        <v>0</v>
      </c>
      <c r="BZ68" s="112">
        <v>0</v>
      </c>
      <c r="CA68" s="112">
        <v>0</v>
      </c>
      <c r="CB68" s="112">
        <v>0</v>
      </c>
      <c r="CC68" s="113"/>
      <c r="CD68" s="112">
        <v>0</v>
      </c>
      <c r="CE68" s="113"/>
      <c r="CF68" s="112">
        <v>0</v>
      </c>
      <c r="CG68" s="113"/>
      <c r="CH68" s="112">
        <v>0</v>
      </c>
      <c r="CI68" s="113"/>
      <c r="CJ68" s="112">
        <v>0</v>
      </c>
      <c r="CK68" s="113"/>
      <c r="CL68" s="112">
        <v>0</v>
      </c>
      <c r="CM68" s="113">
        <v>46149</v>
      </c>
      <c r="CN68" s="112" t="s">
        <v>132</v>
      </c>
      <c r="CO68" s="112">
        <v>53441685.289999999</v>
      </c>
      <c r="CP68" s="112">
        <v>53441685.289999999</v>
      </c>
      <c r="CQ68" s="112">
        <v>31</v>
      </c>
      <c r="CR68" s="118"/>
      <c r="CS68" s="119"/>
      <c r="CT68" s="112">
        <v>0</v>
      </c>
      <c r="CU68" s="112" t="s">
        <v>374</v>
      </c>
      <c r="CV68" s="112" t="s">
        <v>192</v>
      </c>
      <c r="CW68" s="113">
        <v>46149</v>
      </c>
      <c r="CX68" s="112" t="s">
        <v>2116</v>
      </c>
      <c r="CY68" s="120">
        <f>MONTH(Table_ExternalData_14[[#This Row],[RunningReportDate]])</f>
        <v>5</v>
      </c>
      <c r="CZ68" s="120">
        <f>181-Table_ExternalData_14[[#This Row],[DaysOD]]</f>
        <v>31</v>
      </c>
      <c r="DA68" s="120">
        <f>IF(Table_ExternalData_14[[#This Row],[Status]]="PU-WC",0,Table_ExternalData_14[[#This Row],[Amount_CWO]]/1000000)</f>
        <v>53.441685290000002</v>
      </c>
      <c r="DB68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68" s="120">
        <f>IF(Table_ExternalData_14[[#This Row],[Status]]="PU-WC",0,IF(Table_ExternalData_14[[#This Row],[Success CWO]]=1,Table_ExternalData_14[[#This Row],[CWO Amt]],0))</f>
        <v>0</v>
      </c>
      <c r="DD68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68" s="120">
        <f>DAY(Table_ExternalData_14[[#This Row],[Tanggal_Sukses-new]])</f>
        <v>0</v>
      </c>
      <c r="DF68" s="120">
        <f>IF(Table_ExternalData_14[[#This Row],[Status]]="PU-WC",0,IF(SUM(Table_ExternalData_14[[#This Row],[Success CWO]:[WO-In-Amt]])=0,1,0))</f>
        <v>1</v>
      </c>
      <c r="DG68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53.441685290000002</v>
      </c>
      <c r="DH68" s="120" t="str">
        <f>VLOOKUP(Table_ExternalData_14[[#This Row],[BranchID]],KC!$A:$K,5,0)</f>
        <v>4W</v>
      </c>
      <c r="DI68" s="120" t="str">
        <f>VLOOKUP(Table_ExternalData_14[[#This Row],[BranchID]],KC!$A:$K,8,0)</f>
        <v>01. Jabodetabekser</v>
      </c>
      <c r="DJ68" s="120" t="str">
        <f>VLOOKUP(Table_ExternalData_14[[#This Row],[BranchID]],KC!$A:$K,9,0)</f>
        <v>SUNTER</v>
      </c>
      <c r="DK68" s="121">
        <f>IF(Table_ExternalData_14[[#This Row],[Tanggal_Sukses]]=" ",Table_ExternalData_14[[#This Row],[Tanggal_Sukses]],VLOOKUP(Table_ExternalData_14[[#This Row],[ContractID]],Bantuan!$A:$C,2,0))</f>
        <v>0</v>
      </c>
      <c r="DL68" s="120">
        <f>IF(Table_ExternalData_14[[#This Row],[Keterangan_Sukses]]=" ",Table_ExternalData_14[[#This Row],[Keterangan_Sukses]],VLOOKUP(Table_ExternalData_14[[#This Row],[ContractID]],Bantuan!$A:$C,3,0))</f>
        <v>0</v>
      </c>
    </row>
    <row r="69" spans="1:116" x14ac:dyDescent="0.3">
      <c r="A69" s="117" t="s">
        <v>10</v>
      </c>
      <c r="B69" s="112" t="s">
        <v>9</v>
      </c>
      <c r="C69" s="113">
        <v>46142</v>
      </c>
      <c r="D69" s="279">
        <v>45966</v>
      </c>
      <c r="E69" s="113">
        <v>44865</v>
      </c>
      <c r="F69" s="112" t="s">
        <v>1678</v>
      </c>
      <c r="G69" s="112" t="s">
        <v>1679</v>
      </c>
      <c r="H69" s="112" t="s">
        <v>1680</v>
      </c>
      <c r="I69" s="112" t="s">
        <v>1681</v>
      </c>
      <c r="J69" s="112" t="s">
        <v>1682</v>
      </c>
      <c r="K69" s="112" t="s">
        <v>4</v>
      </c>
      <c r="L69" s="112" t="s">
        <v>1682</v>
      </c>
      <c r="M69" s="112" t="s">
        <v>1683</v>
      </c>
      <c r="N69" s="112" t="s">
        <v>931</v>
      </c>
      <c r="O69" s="112" t="s">
        <v>0</v>
      </c>
      <c r="P69" s="112" t="s">
        <v>372</v>
      </c>
      <c r="Q69" s="112" t="s">
        <v>373</v>
      </c>
      <c r="R69" s="112" t="s">
        <v>4</v>
      </c>
      <c r="S69" s="112" t="s">
        <v>4</v>
      </c>
      <c r="T69" s="112" t="s">
        <v>1684</v>
      </c>
      <c r="U69" s="112" t="s">
        <v>1684</v>
      </c>
      <c r="V69" s="112" t="s">
        <v>230</v>
      </c>
      <c r="W69" s="112" t="s">
        <v>120</v>
      </c>
      <c r="X69" s="112" t="s">
        <v>121</v>
      </c>
      <c r="Y69" s="112" t="s">
        <v>136</v>
      </c>
      <c r="Z69" s="112" t="s">
        <v>142</v>
      </c>
      <c r="AA69" s="112" t="s">
        <v>1685</v>
      </c>
      <c r="AB69" s="112" t="s">
        <v>1686</v>
      </c>
      <c r="AC69" s="112" t="s">
        <v>1687</v>
      </c>
      <c r="AD69" s="112">
        <v>70754000</v>
      </c>
      <c r="AE69" s="112">
        <v>63130445.380000003</v>
      </c>
      <c r="AF69" s="112">
        <v>45782000</v>
      </c>
      <c r="AG69" s="112">
        <v>24972000</v>
      </c>
      <c r="AH69" s="112">
        <v>30570962.5</v>
      </c>
      <c r="AI69" s="112">
        <v>50000</v>
      </c>
      <c r="AJ69" s="112">
        <v>4162000</v>
      </c>
      <c r="AK69" s="112">
        <v>176</v>
      </c>
      <c r="AL69" s="112">
        <v>6</v>
      </c>
      <c r="AM69" s="112">
        <v>35</v>
      </c>
      <c r="AN69" s="112">
        <v>51</v>
      </c>
      <c r="AO69" s="112" t="s">
        <v>123</v>
      </c>
      <c r="AP69" s="112" t="s">
        <v>123</v>
      </c>
      <c r="AQ69" s="112" t="s">
        <v>124</v>
      </c>
      <c r="AR69" s="112"/>
      <c r="AS69" s="112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2"/>
      <c r="BE69" s="112"/>
      <c r="BF69" s="112" t="s">
        <v>129</v>
      </c>
      <c r="BG69" s="112" t="s">
        <v>130</v>
      </c>
      <c r="BH69" s="112">
        <v>7</v>
      </c>
      <c r="BI69" s="112">
        <v>29134000</v>
      </c>
      <c r="BJ69" s="113"/>
      <c r="BK69" s="113"/>
      <c r="BL69" s="113"/>
      <c r="BM69" s="112"/>
      <c r="BN69" s="113">
        <v>46173</v>
      </c>
      <c r="BO69" s="112">
        <v>1</v>
      </c>
      <c r="BP69" s="114">
        <v>46149</v>
      </c>
      <c r="BQ69" s="112" t="s">
        <v>131</v>
      </c>
      <c r="BR69" s="112">
        <v>183</v>
      </c>
      <c r="BS69" s="113">
        <v>45966</v>
      </c>
      <c r="BT69" s="112">
        <v>70754000</v>
      </c>
      <c r="BU69" s="112">
        <v>0</v>
      </c>
      <c r="BV69" s="112">
        <v>1</v>
      </c>
      <c r="BW69" s="112">
        <v>0</v>
      </c>
      <c r="BX69" s="112">
        <v>0</v>
      </c>
      <c r="BY69" s="112">
        <v>0</v>
      </c>
      <c r="BZ69" s="112">
        <v>0</v>
      </c>
      <c r="CA69" s="112">
        <v>0</v>
      </c>
      <c r="CB69" s="112">
        <v>0</v>
      </c>
      <c r="CC69" s="113"/>
      <c r="CD69" s="112">
        <v>0</v>
      </c>
      <c r="CE69" s="113"/>
      <c r="CF69" s="112">
        <v>0</v>
      </c>
      <c r="CG69" s="113"/>
      <c r="CH69" s="112">
        <v>0</v>
      </c>
      <c r="CI69" s="113"/>
      <c r="CJ69" s="112">
        <v>0</v>
      </c>
      <c r="CK69" s="113"/>
      <c r="CL69" s="112">
        <v>0</v>
      </c>
      <c r="CM69" s="113">
        <v>46149</v>
      </c>
      <c r="CN69" s="112" t="s">
        <v>132</v>
      </c>
      <c r="CO69" s="112">
        <v>63080445.380000003</v>
      </c>
      <c r="CP69" s="112">
        <v>63080445.380000003</v>
      </c>
      <c r="CQ69" s="112">
        <v>5</v>
      </c>
      <c r="CR69" s="118"/>
      <c r="CS69" s="119"/>
      <c r="CT69" s="112">
        <v>0</v>
      </c>
      <c r="CU69" s="112" t="s">
        <v>374</v>
      </c>
      <c r="CV69" s="112" t="s">
        <v>192</v>
      </c>
      <c r="CW69" s="113">
        <v>46149</v>
      </c>
      <c r="CX69" s="112" t="s">
        <v>2116</v>
      </c>
      <c r="CY69" s="120">
        <f>MONTH(Table_ExternalData_14[[#This Row],[RunningReportDate]])</f>
        <v>5</v>
      </c>
      <c r="CZ69" s="120">
        <f>181-Table_ExternalData_14[[#This Row],[DaysOD]]</f>
        <v>5</v>
      </c>
      <c r="DA69" s="120">
        <f>IF(Table_ExternalData_14[[#This Row],[Status]]="PU-WC",0,Table_ExternalData_14[[#This Row],[Amount_CWO]]/1000000)</f>
        <v>63.08044538</v>
      </c>
      <c r="DB69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69" s="120">
        <f>IF(Table_ExternalData_14[[#This Row],[Status]]="PU-WC",0,IF(Table_ExternalData_14[[#This Row],[Success CWO]]=1,Table_ExternalData_14[[#This Row],[CWO Amt]],0))</f>
        <v>0</v>
      </c>
      <c r="DD69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63.08044538</v>
      </c>
      <c r="DE69" s="120">
        <f>DAY(Table_ExternalData_14[[#This Row],[Tanggal_Sukses-new]])</f>
        <v>0</v>
      </c>
      <c r="DF69" s="120">
        <f>IF(Table_ExternalData_14[[#This Row],[Status]]="PU-WC",0,IF(SUM(Table_ExternalData_14[[#This Row],[Success CWO]:[WO-In-Amt]])=0,1,0))</f>
        <v>0</v>
      </c>
      <c r="DG69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69" s="120" t="str">
        <f>VLOOKUP(Table_ExternalData_14[[#This Row],[BranchID]],KC!$A:$K,5,0)</f>
        <v>4W</v>
      </c>
      <c r="DI69" s="120" t="str">
        <f>VLOOKUP(Table_ExternalData_14[[#This Row],[BranchID]],KC!$A:$K,8,0)</f>
        <v>01. Jabodetabekser</v>
      </c>
      <c r="DJ69" s="120" t="str">
        <f>VLOOKUP(Table_ExternalData_14[[#This Row],[BranchID]],KC!$A:$K,9,0)</f>
        <v>SUNTER</v>
      </c>
      <c r="DK69" s="121">
        <f>IF(Table_ExternalData_14[[#This Row],[Tanggal_Sukses]]=" ",Table_ExternalData_14[[#This Row],[Tanggal_Sukses]],VLOOKUP(Table_ExternalData_14[[#This Row],[ContractID]],Bantuan!$A:$C,2,0))</f>
        <v>0</v>
      </c>
      <c r="DL69" s="120">
        <f>IF(Table_ExternalData_14[[#This Row],[Keterangan_Sukses]]=" ",Table_ExternalData_14[[#This Row],[Keterangan_Sukses]],VLOOKUP(Table_ExternalData_14[[#This Row],[ContractID]],Bantuan!$A:$C,3,0))</f>
        <v>0</v>
      </c>
    </row>
    <row r="70" spans="1:116" x14ac:dyDescent="0.3">
      <c r="A70" s="117" t="s">
        <v>14</v>
      </c>
      <c r="B70" s="112" t="s">
        <v>13</v>
      </c>
      <c r="C70" s="113">
        <v>46142</v>
      </c>
      <c r="D70" s="279">
        <v>45966</v>
      </c>
      <c r="E70" s="113">
        <v>45626</v>
      </c>
      <c r="F70" s="112" t="s">
        <v>1688</v>
      </c>
      <c r="G70" s="112" t="s">
        <v>1689</v>
      </c>
      <c r="H70" s="112" t="s">
        <v>1690</v>
      </c>
      <c r="I70" s="112" t="s">
        <v>1691</v>
      </c>
      <c r="J70" s="112" t="s">
        <v>1045</v>
      </c>
      <c r="K70" s="112" t="s">
        <v>4</v>
      </c>
      <c r="L70" s="112" t="s">
        <v>1045</v>
      </c>
      <c r="M70" s="112" t="s">
        <v>1692</v>
      </c>
      <c r="N70" s="112" t="s">
        <v>1693</v>
      </c>
      <c r="O70" s="112" t="s">
        <v>15</v>
      </c>
      <c r="P70" s="112" t="s">
        <v>900</v>
      </c>
      <c r="Q70" s="112" t="s">
        <v>901</v>
      </c>
      <c r="R70" s="112" t="s">
        <v>4</v>
      </c>
      <c r="S70" s="112" t="s">
        <v>4</v>
      </c>
      <c r="T70" s="112" t="s">
        <v>1694</v>
      </c>
      <c r="U70" s="112" t="s">
        <v>1694</v>
      </c>
      <c r="V70" s="112" t="s">
        <v>1694</v>
      </c>
      <c r="W70" s="112" t="s">
        <v>120</v>
      </c>
      <c r="X70" s="112" t="s">
        <v>121</v>
      </c>
      <c r="Y70" s="112" t="s">
        <v>136</v>
      </c>
      <c r="Z70" s="112" t="s">
        <v>137</v>
      </c>
      <c r="AA70" s="112" t="s">
        <v>1695</v>
      </c>
      <c r="AB70" s="112" t="s">
        <v>1696</v>
      </c>
      <c r="AC70" s="112" t="s">
        <v>1697</v>
      </c>
      <c r="AD70" s="112">
        <v>165000000</v>
      </c>
      <c r="AE70" s="112">
        <v>118966964.83</v>
      </c>
      <c r="AF70" s="112">
        <v>145200000</v>
      </c>
      <c r="AG70" s="112">
        <v>19800000</v>
      </c>
      <c r="AH70" s="112">
        <v>10623000</v>
      </c>
      <c r="AI70" s="112">
        <v>0</v>
      </c>
      <c r="AJ70" s="112">
        <v>3300000</v>
      </c>
      <c r="AK70" s="112">
        <v>176</v>
      </c>
      <c r="AL70" s="112">
        <v>6</v>
      </c>
      <c r="AM70" s="112">
        <v>11</v>
      </c>
      <c r="AN70" s="112">
        <v>60</v>
      </c>
      <c r="AO70" s="112" t="s">
        <v>123</v>
      </c>
      <c r="AP70" s="112" t="s">
        <v>123</v>
      </c>
      <c r="AQ70" s="112" t="s">
        <v>124</v>
      </c>
      <c r="AR70" s="112"/>
      <c r="AS70" s="112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2"/>
      <c r="BE70" s="112"/>
      <c r="BF70" s="112" t="s">
        <v>129</v>
      </c>
      <c r="BG70" s="112" t="s">
        <v>130</v>
      </c>
      <c r="BH70" s="112">
        <v>7</v>
      </c>
      <c r="BI70" s="112">
        <v>23100000</v>
      </c>
      <c r="BJ70" s="113"/>
      <c r="BK70" s="113"/>
      <c r="BL70" s="113"/>
      <c r="BM70" s="112"/>
      <c r="BN70" s="113">
        <v>46173</v>
      </c>
      <c r="BO70" s="112">
        <v>1</v>
      </c>
      <c r="BP70" s="114">
        <v>46149</v>
      </c>
      <c r="BQ70" s="112" t="s">
        <v>131</v>
      </c>
      <c r="BR70" s="112">
        <v>183</v>
      </c>
      <c r="BS70" s="113">
        <v>45966</v>
      </c>
      <c r="BT70" s="112">
        <v>165000000</v>
      </c>
      <c r="BU70" s="112">
        <v>0</v>
      </c>
      <c r="BV70" s="112">
        <v>1</v>
      </c>
      <c r="BW70" s="112">
        <v>0</v>
      </c>
      <c r="BX70" s="112">
        <v>0</v>
      </c>
      <c r="BY70" s="112">
        <v>0</v>
      </c>
      <c r="BZ70" s="112">
        <v>0</v>
      </c>
      <c r="CA70" s="112">
        <v>0</v>
      </c>
      <c r="CB70" s="112">
        <v>0</v>
      </c>
      <c r="CC70" s="113"/>
      <c r="CD70" s="112">
        <v>0</v>
      </c>
      <c r="CE70" s="113"/>
      <c r="CF70" s="112">
        <v>0</v>
      </c>
      <c r="CG70" s="113"/>
      <c r="CH70" s="112">
        <v>0</v>
      </c>
      <c r="CI70" s="113"/>
      <c r="CJ70" s="112">
        <v>0</v>
      </c>
      <c r="CK70" s="113"/>
      <c r="CL70" s="112">
        <v>0</v>
      </c>
      <c r="CM70" s="113">
        <v>46149</v>
      </c>
      <c r="CN70" s="112" t="s">
        <v>132</v>
      </c>
      <c r="CO70" s="112">
        <v>118966964.83</v>
      </c>
      <c r="CP70" s="112">
        <v>118966964.83</v>
      </c>
      <c r="CQ70" s="112">
        <v>5</v>
      </c>
      <c r="CR70" s="118"/>
      <c r="CS70" s="119"/>
      <c r="CT70" s="112">
        <v>0</v>
      </c>
      <c r="CU70" s="112" t="s">
        <v>371</v>
      </c>
      <c r="CV70" s="112" t="s">
        <v>168</v>
      </c>
      <c r="CW70" s="113">
        <v>46149</v>
      </c>
      <c r="CX70" s="112" t="s">
        <v>2116</v>
      </c>
      <c r="CY70" s="120">
        <f>MONTH(Table_ExternalData_14[[#This Row],[RunningReportDate]])</f>
        <v>5</v>
      </c>
      <c r="CZ70" s="120">
        <f>181-Table_ExternalData_14[[#This Row],[DaysOD]]</f>
        <v>5</v>
      </c>
      <c r="DA70" s="120">
        <f>IF(Table_ExternalData_14[[#This Row],[Status]]="PU-WC",0,Table_ExternalData_14[[#This Row],[Amount_CWO]]/1000000)</f>
        <v>118.96696482999999</v>
      </c>
      <c r="DB70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70" s="120">
        <f>IF(Table_ExternalData_14[[#This Row],[Status]]="PU-WC",0,IF(Table_ExternalData_14[[#This Row],[Success CWO]]=1,Table_ExternalData_14[[#This Row],[CWO Amt]],0))</f>
        <v>0</v>
      </c>
      <c r="DD70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118.96696482999999</v>
      </c>
      <c r="DE70" s="120">
        <f>DAY(Table_ExternalData_14[[#This Row],[Tanggal_Sukses-new]])</f>
        <v>0</v>
      </c>
      <c r="DF70" s="120">
        <f>IF(Table_ExternalData_14[[#This Row],[Status]]="PU-WC",0,IF(SUM(Table_ExternalData_14[[#This Row],[Success CWO]:[WO-In-Amt]])=0,1,0))</f>
        <v>0</v>
      </c>
      <c r="DG70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70" s="120" t="str">
        <f>VLOOKUP(Table_ExternalData_14[[#This Row],[BranchID]],KC!$A:$K,5,0)</f>
        <v>4W</v>
      </c>
      <c r="DI70" s="120" t="str">
        <f>VLOOKUP(Table_ExternalData_14[[#This Row],[BranchID]],KC!$A:$K,8,0)</f>
        <v>01. Jabodetabekser</v>
      </c>
      <c r="DJ70" s="120" t="str">
        <f>VLOOKUP(Table_ExternalData_14[[#This Row],[BranchID]],KC!$A:$K,9,0)</f>
        <v>KEDOYA</v>
      </c>
      <c r="DK70" s="121">
        <f>IF(Table_ExternalData_14[[#This Row],[Tanggal_Sukses]]=" ",Table_ExternalData_14[[#This Row],[Tanggal_Sukses]],VLOOKUP(Table_ExternalData_14[[#This Row],[ContractID]],Bantuan!$A:$C,2,0))</f>
        <v>0</v>
      </c>
      <c r="DL70" s="120">
        <f>IF(Table_ExternalData_14[[#This Row],[Keterangan_Sukses]]=" ",Table_ExternalData_14[[#This Row],[Keterangan_Sukses]],VLOOKUP(Table_ExternalData_14[[#This Row],[ContractID]],Bantuan!$A:$C,3,0))</f>
        <v>0</v>
      </c>
    </row>
    <row r="71" spans="1:116" x14ac:dyDescent="0.3">
      <c r="A71" s="117" t="s">
        <v>358</v>
      </c>
      <c r="B71" s="112" t="s">
        <v>157</v>
      </c>
      <c r="C71" s="113">
        <v>46142</v>
      </c>
      <c r="D71" s="279">
        <v>45992</v>
      </c>
      <c r="E71" s="113">
        <v>45077</v>
      </c>
      <c r="F71" s="112" t="s">
        <v>1698</v>
      </c>
      <c r="G71" s="112" t="s">
        <v>1699</v>
      </c>
      <c r="H71" s="112" t="s">
        <v>1700</v>
      </c>
      <c r="I71" s="112" t="s">
        <v>1701</v>
      </c>
      <c r="J71" s="112" t="s">
        <v>1702</v>
      </c>
      <c r="K71" s="112" t="s">
        <v>4</v>
      </c>
      <c r="L71" s="112" t="s">
        <v>1702</v>
      </c>
      <c r="M71" s="112" t="s">
        <v>1703</v>
      </c>
      <c r="N71" s="112" t="s">
        <v>1704</v>
      </c>
      <c r="O71" s="112" t="s">
        <v>229</v>
      </c>
      <c r="P71" s="112" t="s">
        <v>1046</v>
      </c>
      <c r="Q71" s="112" t="s">
        <v>235</v>
      </c>
      <c r="R71" s="112" t="s">
        <v>4</v>
      </c>
      <c r="S71" s="112" t="s">
        <v>4</v>
      </c>
      <c r="T71" s="112" t="s">
        <v>4</v>
      </c>
      <c r="U71" s="112" t="s">
        <v>4</v>
      </c>
      <c r="V71" s="112" t="s">
        <v>156</v>
      </c>
      <c r="W71" s="112" t="s">
        <v>347</v>
      </c>
      <c r="X71" s="112" t="s">
        <v>348</v>
      </c>
      <c r="Y71" s="112" t="s">
        <v>1705</v>
      </c>
      <c r="Z71" s="112" t="s">
        <v>1706</v>
      </c>
      <c r="AA71" s="112" t="s">
        <v>1707</v>
      </c>
      <c r="AB71" s="112" t="s">
        <v>1708</v>
      </c>
      <c r="AC71" s="112" t="s">
        <v>1709</v>
      </c>
      <c r="AD71" s="112">
        <v>4690000</v>
      </c>
      <c r="AE71" s="112">
        <v>4277564.51</v>
      </c>
      <c r="AF71" s="112">
        <v>1340000</v>
      </c>
      <c r="AG71" s="112">
        <v>3350000</v>
      </c>
      <c r="AH71" s="112">
        <v>6705450</v>
      </c>
      <c r="AI71" s="112">
        <v>0</v>
      </c>
      <c r="AJ71" s="112">
        <v>670000</v>
      </c>
      <c r="AK71" s="112">
        <v>150</v>
      </c>
      <c r="AL71" s="112">
        <v>5</v>
      </c>
      <c r="AM71" s="112">
        <v>30</v>
      </c>
      <c r="AN71" s="112">
        <v>36</v>
      </c>
      <c r="AO71" s="112" t="s">
        <v>236</v>
      </c>
      <c r="AP71" s="112" t="s">
        <v>236</v>
      </c>
      <c r="AQ71" s="112" t="s">
        <v>124</v>
      </c>
      <c r="AR71" s="112" t="s">
        <v>1047</v>
      </c>
      <c r="AS71" s="112" t="s">
        <v>1048</v>
      </c>
      <c r="AT71" s="112" t="s">
        <v>1049</v>
      </c>
      <c r="AU71" s="112" t="s">
        <v>1050</v>
      </c>
      <c r="AV71" s="112" t="s">
        <v>125</v>
      </c>
      <c r="AW71" s="112" t="s">
        <v>126</v>
      </c>
      <c r="AX71" s="112" t="s">
        <v>127</v>
      </c>
      <c r="AY71" s="112" t="s">
        <v>1051</v>
      </c>
      <c r="AZ71" s="112" t="s">
        <v>1052</v>
      </c>
      <c r="BA71" s="112" t="s">
        <v>1053</v>
      </c>
      <c r="BB71" s="112" t="s">
        <v>128</v>
      </c>
      <c r="BC71" s="112" t="s">
        <v>1050</v>
      </c>
      <c r="BD71" s="112" t="s">
        <v>125</v>
      </c>
      <c r="BE71" s="112" t="s">
        <v>126</v>
      </c>
      <c r="BF71" s="112" t="s">
        <v>129</v>
      </c>
      <c r="BG71" s="112" t="s">
        <v>130</v>
      </c>
      <c r="BH71" s="112">
        <v>6</v>
      </c>
      <c r="BI71" s="112">
        <v>4020000</v>
      </c>
      <c r="BJ71" s="113"/>
      <c r="BK71" s="113"/>
      <c r="BL71" s="113"/>
      <c r="BM71" s="112"/>
      <c r="BN71" s="113">
        <v>46173</v>
      </c>
      <c r="BO71" s="112">
        <v>1</v>
      </c>
      <c r="BP71" s="114">
        <v>46149</v>
      </c>
      <c r="BQ71" s="112" t="s">
        <v>131</v>
      </c>
      <c r="BR71" s="112">
        <v>126</v>
      </c>
      <c r="BS71" s="113">
        <v>46023</v>
      </c>
      <c r="BT71" s="112">
        <v>4020000</v>
      </c>
      <c r="BU71" s="112">
        <v>670000</v>
      </c>
      <c r="BV71" s="112">
        <v>0</v>
      </c>
      <c r="BW71" s="112">
        <v>0</v>
      </c>
      <c r="BX71" s="112">
        <v>0</v>
      </c>
      <c r="BY71" s="112">
        <v>1</v>
      </c>
      <c r="BZ71" s="112">
        <v>1</v>
      </c>
      <c r="CA71" s="112">
        <v>670000</v>
      </c>
      <c r="CB71" s="112">
        <v>670000</v>
      </c>
      <c r="CC71" s="113"/>
      <c r="CD71" s="112">
        <v>0</v>
      </c>
      <c r="CE71" s="113"/>
      <c r="CF71" s="112">
        <v>0</v>
      </c>
      <c r="CG71" s="113"/>
      <c r="CH71" s="112">
        <v>0</v>
      </c>
      <c r="CI71" s="113"/>
      <c r="CJ71" s="112">
        <v>0</v>
      </c>
      <c r="CK71" s="113"/>
      <c r="CL71" s="112">
        <v>0</v>
      </c>
      <c r="CM71" s="113">
        <v>46149</v>
      </c>
      <c r="CN71" s="112" t="s">
        <v>349</v>
      </c>
      <c r="CO71" s="112">
        <v>4277564.51</v>
      </c>
      <c r="CP71" s="112">
        <v>0</v>
      </c>
      <c r="CQ71" s="112">
        <v>0</v>
      </c>
      <c r="CR71" s="118">
        <v>46148</v>
      </c>
      <c r="CS71" s="119" t="s">
        <v>2114</v>
      </c>
      <c r="CT71" s="112">
        <v>4277564.51</v>
      </c>
      <c r="CU71" s="112" t="s">
        <v>157</v>
      </c>
      <c r="CV71" s="112" t="s">
        <v>357</v>
      </c>
      <c r="CW71" s="113">
        <v>46149</v>
      </c>
      <c r="CX71" s="112" t="s">
        <v>2116</v>
      </c>
      <c r="CY71" s="120">
        <f>MONTH(Table_ExternalData_14[[#This Row],[RunningReportDate]])</f>
        <v>5</v>
      </c>
      <c r="CZ71" s="120">
        <f>181-Table_ExternalData_14[[#This Row],[DaysOD]]</f>
        <v>31</v>
      </c>
      <c r="DA71" s="120">
        <f>IF(Table_ExternalData_14[[#This Row],[Status]]="PU-WC",0,Table_ExternalData_14[[#This Row],[Amount_CWO]]/1000000)</f>
        <v>4.2775645099999995</v>
      </c>
      <c r="DB71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1</v>
      </c>
      <c r="DC71" s="120">
        <f>IF(Table_ExternalData_14[[#This Row],[Status]]="PU-WC",0,IF(Table_ExternalData_14[[#This Row],[Success CWO]]=1,Table_ExternalData_14[[#This Row],[CWO Amt]],0))</f>
        <v>4.2775645099999995</v>
      </c>
      <c r="DD71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71" s="120">
        <f>DAY(Table_ExternalData_14[[#This Row],[Tanggal_Sukses-new]])</f>
        <v>6</v>
      </c>
      <c r="DF71" s="120">
        <f>IF(Table_ExternalData_14[[#This Row],[Status]]="PU-WC",0,IF(SUM(Table_ExternalData_14[[#This Row],[Success CWO]:[WO-In-Amt]])=0,1,0))</f>
        <v>0</v>
      </c>
      <c r="DG71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71" s="120" t="str">
        <f>VLOOKUP(Table_ExternalData_14[[#This Row],[BranchID]],KC!$A:$K,5,0)</f>
        <v>2W</v>
      </c>
      <c r="DI71" s="120" t="str">
        <f>VLOOKUP(Table_ExternalData_14[[#This Row],[BranchID]],KC!$A:$K,8,0)</f>
        <v>04. Jawa Timur</v>
      </c>
      <c r="DJ71" s="120" t="str">
        <f>VLOOKUP(Table_ExternalData_14[[#This Row],[BranchID]],KC!$A:$K,9,0)</f>
        <v>GRESIK</v>
      </c>
      <c r="DK71" s="121">
        <f>IF(Table_ExternalData_14[[#This Row],[Tanggal_Sukses]]=" ",Table_ExternalData_14[[#This Row],[Tanggal_Sukses]],VLOOKUP(Table_ExternalData_14[[#This Row],[ContractID]],Bantuan!$A:$C,2,0))</f>
        <v>46148</v>
      </c>
      <c r="DL71" s="120" t="str">
        <f>IF(Table_ExternalData_14[[#This Row],[Keterangan_Sukses]]=" ",Table_ExternalData_14[[#This Row],[Keterangan_Sukses]],VLOOKUP(Table_ExternalData_14[[#This Row],[ContractID]],Bantuan!$A:$C,3,0))</f>
        <v>RB</v>
      </c>
    </row>
    <row r="72" spans="1:116" x14ac:dyDescent="0.3">
      <c r="A72" s="117" t="s">
        <v>376</v>
      </c>
      <c r="B72" s="112" t="s">
        <v>209</v>
      </c>
      <c r="C72" s="113">
        <v>46142</v>
      </c>
      <c r="D72" s="279">
        <v>45966</v>
      </c>
      <c r="E72" s="113">
        <v>44784</v>
      </c>
      <c r="F72" s="112" t="s">
        <v>1710</v>
      </c>
      <c r="G72" s="112" t="s">
        <v>1711</v>
      </c>
      <c r="H72" s="112" t="s">
        <v>1712</v>
      </c>
      <c r="I72" s="112" t="s">
        <v>1713</v>
      </c>
      <c r="J72" s="112" t="s">
        <v>1714</v>
      </c>
      <c r="K72" s="112" t="s">
        <v>4</v>
      </c>
      <c r="L72" s="112" t="s">
        <v>1714</v>
      </c>
      <c r="M72" s="112" t="s">
        <v>1715</v>
      </c>
      <c r="N72" s="112" t="s">
        <v>1716</v>
      </c>
      <c r="O72" s="112" t="s">
        <v>1717</v>
      </c>
      <c r="P72" s="112" t="s">
        <v>1718</v>
      </c>
      <c r="Q72" s="112" t="s">
        <v>1109</v>
      </c>
      <c r="R72" s="112" t="s">
        <v>4</v>
      </c>
      <c r="S72" s="112" t="s">
        <v>4</v>
      </c>
      <c r="T72" s="112" t="s">
        <v>4</v>
      </c>
      <c r="U72" s="112" t="s">
        <v>4</v>
      </c>
      <c r="V72" s="112" t="s">
        <v>156</v>
      </c>
      <c r="W72" s="112" t="s">
        <v>347</v>
      </c>
      <c r="X72" s="112" t="s">
        <v>348</v>
      </c>
      <c r="Y72" s="112" t="s">
        <v>1705</v>
      </c>
      <c r="Z72" s="112" t="s">
        <v>1719</v>
      </c>
      <c r="AA72" s="112" t="s">
        <v>1720</v>
      </c>
      <c r="AB72" s="112" t="s">
        <v>1721</v>
      </c>
      <c r="AC72" s="112" t="s">
        <v>1722</v>
      </c>
      <c r="AD72" s="112">
        <v>5320000</v>
      </c>
      <c r="AE72" s="112">
        <v>4982084.13</v>
      </c>
      <c r="AF72" s="112">
        <v>760000</v>
      </c>
      <c r="AG72" s="112">
        <v>4560000</v>
      </c>
      <c r="AH72" s="112">
        <v>9772150</v>
      </c>
      <c r="AI72" s="112">
        <v>0</v>
      </c>
      <c r="AJ72" s="112">
        <v>760000</v>
      </c>
      <c r="AK72" s="112">
        <v>176</v>
      </c>
      <c r="AL72" s="112">
        <v>6</v>
      </c>
      <c r="AM72" s="112">
        <v>38</v>
      </c>
      <c r="AN72" s="112">
        <v>44</v>
      </c>
      <c r="AO72" s="112" t="s">
        <v>123</v>
      </c>
      <c r="AP72" s="112" t="s">
        <v>123</v>
      </c>
      <c r="AQ72" s="112" t="s">
        <v>124</v>
      </c>
      <c r="AR72" s="112"/>
      <c r="AS72" s="112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2"/>
      <c r="BE72" s="112"/>
      <c r="BF72" s="112" t="s">
        <v>129</v>
      </c>
      <c r="BG72" s="112" t="s">
        <v>130</v>
      </c>
      <c r="BH72" s="112">
        <v>7</v>
      </c>
      <c r="BI72" s="112">
        <v>5320000</v>
      </c>
      <c r="BJ72" s="113"/>
      <c r="BK72" s="113"/>
      <c r="BL72" s="113"/>
      <c r="BM72" s="112"/>
      <c r="BN72" s="113">
        <v>46173</v>
      </c>
      <c r="BO72" s="112">
        <v>1</v>
      </c>
      <c r="BP72" s="114">
        <v>46149</v>
      </c>
      <c r="BQ72" s="112" t="s">
        <v>131</v>
      </c>
      <c r="BR72" s="112">
        <v>183</v>
      </c>
      <c r="BS72" s="113">
        <v>45966</v>
      </c>
      <c r="BT72" s="112">
        <v>5320000</v>
      </c>
      <c r="BU72" s="112">
        <v>0</v>
      </c>
      <c r="BV72" s="112">
        <v>1</v>
      </c>
      <c r="BW72" s="112">
        <v>0</v>
      </c>
      <c r="BX72" s="112">
        <v>0</v>
      </c>
      <c r="BY72" s="112">
        <v>0</v>
      </c>
      <c r="BZ72" s="112">
        <v>0</v>
      </c>
      <c r="CA72" s="112">
        <v>0</v>
      </c>
      <c r="CB72" s="112">
        <v>0</v>
      </c>
      <c r="CC72" s="113"/>
      <c r="CD72" s="112">
        <v>0</v>
      </c>
      <c r="CE72" s="113"/>
      <c r="CF72" s="112">
        <v>0</v>
      </c>
      <c r="CG72" s="113"/>
      <c r="CH72" s="112">
        <v>0</v>
      </c>
      <c r="CI72" s="113"/>
      <c r="CJ72" s="112">
        <v>0</v>
      </c>
      <c r="CK72" s="113"/>
      <c r="CL72" s="112">
        <v>0</v>
      </c>
      <c r="CM72" s="113">
        <v>46149</v>
      </c>
      <c r="CN72" s="112" t="s">
        <v>349</v>
      </c>
      <c r="CO72" s="112">
        <v>4982084.13</v>
      </c>
      <c r="CP72" s="112">
        <v>4982084.13</v>
      </c>
      <c r="CQ72" s="112">
        <v>5</v>
      </c>
      <c r="CR72" s="118"/>
      <c r="CS72" s="119"/>
      <c r="CT72" s="112">
        <v>0</v>
      </c>
      <c r="CU72" s="112" t="s">
        <v>209</v>
      </c>
      <c r="CV72" s="112" t="s">
        <v>377</v>
      </c>
      <c r="CW72" s="113">
        <v>46149</v>
      </c>
      <c r="CX72" s="112" t="s">
        <v>2116</v>
      </c>
      <c r="CY72" s="120">
        <f>MONTH(Table_ExternalData_14[[#This Row],[RunningReportDate]])</f>
        <v>5</v>
      </c>
      <c r="CZ72" s="120">
        <f>181-Table_ExternalData_14[[#This Row],[DaysOD]]</f>
        <v>5</v>
      </c>
      <c r="DA72" s="120">
        <f>IF(Table_ExternalData_14[[#This Row],[Status]]="PU-WC",0,Table_ExternalData_14[[#This Row],[Amount_CWO]]/1000000)</f>
        <v>4.9820841299999996</v>
      </c>
      <c r="DB72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72" s="120">
        <f>IF(Table_ExternalData_14[[#This Row],[Status]]="PU-WC",0,IF(Table_ExternalData_14[[#This Row],[Success CWO]]=1,Table_ExternalData_14[[#This Row],[CWO Amt]],0))</f>
        <v>0</v>
      </c>
      <c r="DD72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4.9820841299999996</v>
      </c>
      <c r="DE72" s="120">
        <f>DAY(Table_ExternalData_14[[#This Row],[Tanggal_Sukses-new]])</f>
        <v>0</v>
      </c>
      <c r="DF72" s="120">
        <f>IF(Table_ExternalData_14[[#This Row],[Status]]="PU-WC",0,IF(SUM(Table_ExternalData_14[[#This Row],[Success CWO]:[WO-In-Amt]])=0,1,0))</f>
        <v>0</v>
      </c>
      <c r="DG72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72" s="120" t="str">
        <f>VLOOKUP(Table_ExternalData_14[[#This Row],[BranchID]],KC!$A:$K,5,0)</f>
        <v>2W</v>
      </c>
      <c r="DI72" s="120" t="str">
        <f>VLOOKUP(Table_ExternalData_14[[#This Row],[BranchID]],KC!$A:$K,8,0)</f>
        <v>04. Jawa Timur</v>
      </c>
      <c r="DJ72" s="120" t="str">
        <f>VLOOKUP(Table_ExternalData_14[[#This Row],[BranchID]],KC!$A:$K,9,0)</f>
        <v>MALANG</v>
      </c>
      <c r="DK72" s="121">
        <f>IF(Table_ExternalData_14[[#This Row],[Tanggal_Sukses]]=" ",Table_ExternalData_14[[#This Row],[Tanggal_Sukses]],VLOOKUP(Table_ExternalData_14[[#This Row],[ContractID]],Bantuan!$A:$C,2,0))</f>
        <v>0</v>
      </c>
      <c r="DL72" s="120">
        <f>IF(Table_ExternalData_14[[#This Row],[Keterangan_Sukses]]=" ",Table_ExternalData_14[[#This Row],[Keterangan_Sukses]],VLOOKUP(Table_ExternalData_14[[#This Row],[ContractID]],Bantuan!$A:$C,3,0))</f>
        <v>0</v>
      </c>
    </row>
    <row r="73" spans="1:116" x14ac:dyDescent="0.3">
      <c r="A73" s="117" t="s">
        <v>356</v>
      </c>
      <c r="B73" s="112" t="s">
        <v>138</v>
      </c>
      <c r="C73" s="113">
        <v>46142</v>
      </c>
      <c r="D73" s="279">
        <v>45983</v>
      </c>
      <c r="E73" s="113">
        <v>44979</v>
      </c>
      <c r="F73" s="112" t="s">
        <v>1054</v>
      </c>
      <c r="G73" s="112" t="s">
        <v>1055</v>
      </c>
      <c r="H73" s="112" t="s">
        <v>1056</v>
      </c>
      <c r="I73" s="112" t="s">
        <v>1057</v>
      </c>
      <c r="J73" s="112" t="s">
        <v>1058</v>
      </c>
      <c r="K73" s="112" t="s">
        <v>4</v>
      </c>
      <c r="L73" s="112" t="s">
        <v>1058</v>
      </c>
      <c r="M73" s="112" t="s">
        <v>1059</v>
      </c>
      <c r="N73" s="112" t="s">
        <v>1060</v>
      </c>
      <c r="O73" s="112" t="s">
        <v>140</v>
      </c>
      <c r="P73" s="112" t="s">
        <v>1061</v>
      </c>
      <c r="Q73" s="112" t="s">
        <v>1062</v>
      </c>
      <c r="R73" s="112" t="s">
        <v>4</v>
      </c>
      <c r="S73" s="112" t="s">
        <v>4</v>
      </c>
      <c r="T73" s="112" t="s">
        <v>919</v>
      </c>
      <c r="U73" s="112" t="s">
        <v>919</v>
      </c>
      <c r="V73" s="112" t="s">
        <v>919</v>
      </c>
      <c r="W73" s="112" t="s">
        <v>347</v>
      </c>
      <c r="X73" s="112" t="s">
        <v>366</v>
      </c>
      <c r="Y73" s="112" t="s">
        <v>1063</v>
      </c>
      <c r="Z73" s="112" t="s">
        <v>1064</v>
      </c>
      <c r="AA73" s="112" t="s">
        <v>1065</v>
      </c>
      <c r="AB73" s="112" t="s">
        <v>1066</v>
      </c>
      <c r="AC73" s="112" t="s">
        <v>1067</v>
      </c>
      <c r="AD73" s="112">
        <v>4012000</v>
      </c>
      <c r="AE73" s="112">
        <v>3784532.13</v>
      </c>
      <c r="AF73" s="112">
        <v>0</v>
      </c>
      <c r="AG73" s="112">
        <v>4012000</v>
      </c>
      <c r="AH73" s="112">
        <v>6711120</v>
      </c>
      <c r="AI73" s="112">
        <v>0</v>
      </c>
      <c r="AJ73" s="112">
        <v>1003000</v>
      </c>
      <c r="AK73" s="112">
        <v>159</v>
      </c>
      <c r="AL73" s="112">
        <v>4</v>
      </c>
      <c r="AM73" s="112">
        <v>33</v>
      </c>
      <c r="AN73" s="112">
        <v>36</v>
      </c>
      <c r="AO73" s="112" t="s">
        <v>123</v>
      </c>
      <c r="AP73" s="112" t="s">
        <v>123</v>
      </c>
      <c r="AQ73" s="112" t="s">
        <v>124</v>
      </c>
      <c r="AR73" s="112" t="s">
        <v>1068</v>
      </c>
      <c r="AS73" s="112" t="s">
        <v>1069</v>
      </c>
      <c r="AT73" s="112" t="s">
        <v>1070</v>
      </c>
      <c r="AU73" s="112" t="s">
        <v>1071</v>
      </c>
      <c r="AV73" s="112" t="s">
        <v>125</v>
      </c>
      <c r="AW73" s="112" t="s">
        <v>126</v>
      </c>
      <c r="AX73" s="112" t="s">
        <v>127</v>
      </c>
      <c r="AY73" s="112" t="s">
        <v>1072</v>
      </c>
      <c r="AZ73" s="112" t="s">
        <v>1073</v>
      </c>
      <c r="BA73" s="112" t="s">
        <v>1074</v>
      </c>
      <c r="BB73" s="112" t="s">
        <v>128</v>
      </c>
      <c r="BC73" s="112" t="s">
        <v>1075</v>
      </c>
      <c r="BD73" s="112" t="s">
        <v>125</v>
      </c>
      <c r="BE73" s="112" t="s">
        <v>126</v>
      </c>
      <c r="BF73" s="112" t="s">
        <v>129</v>
      </c>
      <c r="BG73" s="112" t="s">
        <v>130</v>
      </c>
      <c r="BH73" s="112">
        <v>4</v>
      </c>
      <c r="BI73" s="112">
        <v>4012000</v>
      </c>
      <c r="BJ73" s="113"/>
      <c r="BK73" s="113"/>
      <c r="BL73" s="113"/>
      <c r="BM73" s="112"/>
      <c r="BN73" s="113">
        <v>46173</v>
      </c>
      <c r="BO73" s="112">
        <v>1</v>
      </c>
      <c r="BP73" s="114">
        <v>46149</v>
      </c>
      <c r="BQ73" s="112" t="s">
        <v>131</v>
      </c>
      <c r="BR73" s="112">
        <v>166</v>
      </c>
      <c r="BS73" s="113">
        <v>45983</v>
      </c>
      <c r="BT73" s="112">
        <v>4012000</v>
      </c>
      <c r="BU73" s="112">
        <v>0</v>
      </c>
      <c r="BV73" s="112">
        <v>1</v>
      </c>
      <c r="BW73" s="112">
        <v>0</v>
      </c>
      <c r="BX73" s="112">
        <v>0</v>
      </c>
      <c r="BY73" s="112">
        <v>0</v>
      </c>
      <c r="BZ73" s="112">
        <v>0</v>
      </c>
      <c r="CA73" s="112">
        <v>0</v>
      </c>
      <c r="CB73" s="112">
        <v>0</v>
      </c>
      <c r="CC73" s="113"/>
      <c r="CD73" s="112">
        <v>0</v>
      </c>
      <c r="CE73" s="113"/>
      <c r="CF73" s="112">
        <v>0</v>
      </c>
      <c r="CG73" s="113"/>
      <c r="CH73" s="112">
        <v>0</v>
      </c>
      <c r="CI73" s="113"/>
      <c r="CJ73" s="112">
        <v>0</v>
      </c>
      <c r="CK73" s="113"/>
      <c r="CL73" s="112">
        <v>0</v>
      </c>
      <c r="CM73" s="113">
        <v>46149</v>
      </c>
      <c r="CN73" s="112" t="s">
        <v>349</v>
      </c>
      <c r="CO73" s="112">
        <v>3784532.13</v>
      </c>
      <c r="CP73" s="112">
        <v>3784532.13</v>
      </c>
      <c r="CQ73" s="112">
        <v>22</v>
      </c>
      <c r="CR73" s="118"/>
      <c r="CS73" s="119"/>
      <c r="CT73" s="112">
        <v>0</v>
      </c>
      <c r="CU73" s="112" t="s">
        <v>138</v>
      </c>
      <c r="CV73" s="112" t="s">
        <v>357</v>
      </c>
      <c r="CW73" s="113">
        <v>46149</v>
      </c>
      <c r="CX73" s="112" t="s">
        <v>2116</v>
      </c>
      <c r="CY73" s="120">
        <f>MONTH(Table_ExternalData_14[[#This Row],[RunningReportDate]])</f>
        <v>5</v>
      </c>
      <c r="CZ73" s="120">
        <f>181-Table_ExternalData_14[[#This Row],[DaysOD]]</f>
        <v>22</v>
      </c>
      <c r="DA73" s="120">
        <f>IF(Table_ExternalData_14[[#This Row],[Status]]="PU-WC",0,Table_ExternalData_14[[#This Row],[Amount_CWO]]/1000000)</f>
        <v>3.7845321300000001</v>
      </c>
      <c r="DB73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73" s="120">
        <f>IF(Table_ExternalData_14[[#This Row],[Status]]="PU-WC",0,IF(Table_ExternalData_14[[#This Row],[Success CWO]]=1,Table_ExternalData_14[[#This Row],[CWO Amt]],0))</f>
        <v>0</v>
      </c>
      <c r="DD73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73" s="120">
        <f>DAY(Table_ExternalData_14[[#This Row],[Tanggal_Sukses-new]])</f>
        <v>0</v>
      </c>
      <c r="DF73" s="120">
        <f>IF(Table_ExternalData_14[[#This Row],[Status]]="PU-WC",0,IF(SUM(Table_ExternalData_14[[#This Row],[Success CWO]:[WO-In-Amt]])=0,1,0))</f>
        <v>1</v>
      </c>
      <c r="DG73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3.7845321300000001</v>
      </c>
      <c r="DH73" s="120" t="str">
        <f>VLOOKUP(Table_ExternalData_14[[#This Row],[BranchID]],KC!$A:$K,5,0)</f>
        <v>2W</v>
      </c>
      <c r="DI73" s="120" t="str">
        <f>VLOOKUP(Table_ExternalData_14[[#This Row],[BranchID]],KC!$A:$K,8,0)</f>
        <v>04. Jawa Timur</v>
      </c>
      <c r="DJ73" s="120" t="str">
        <f>VLOOKUP(Table_ExternalData_14[[#This Row],[BranchID]],KC!$A:$K,9,0)</f>
        <v>SURABAYA</v>
      </c>
      <c r="DK73" s="121">
        <f>IF(Table_ExternalData_14[[#This Row],[Tanggal_Sukses]]=" ",Table_ExternalData_14[[#This Row],[Tanggal_Sukses]],VLOOKUP(Table_ExternalData_14[[#This Row],[ContractID]],Bantuan!$A:$C,2,0))</f>
        <v>0</v>
      </c>
      <c r="DL73" s="120">
        <f>IF(Table_ExternalData_14[[#This Row],[Keterangan_Sukses]]=" ",Table_ExternalData_14[[#This Row],[Keterangan_Sukses]],VLOOKUP(Table_ExternalData_14[[#This Row],[ContractID]],Bantuan!$A:$C,3,0))</f>
        <v>0</v>
      </c>
    </row>
    <row r="74" spans="1:116" x14ac:dyDescent="0.3">
      <c r="A74" s="117" t="s">
        <v>346</v>
      </c>
      <c r="B74" s="112" t="s">
        <v>280</v>
      </c>
      <c r="C74" s="113">
        <v>46142</v>
      </c>
      <c r="D74" s="279">
        <v>45966</v>
      </c>
      <c r="E74" s="113">
        <v>45131</v>
      </c>
      <c r="F74" s="112" t="s">
        <v>1723</v>
      </c>
      <c r="G74" s="112" t="s">
        <v>1724</v>
      </c>
      <c r="H74" s="112" t="s">
        <v>1725</v>
      </c>
      <c r="I74" s="112" t="s">
        <v>1726</v>
      </c>
      <c r="J74" s="112" t="s">
        <v>1727</v>
      </c>
      <c r="K74" s="112" t="s">
        <v>4</v>
      </c>
      <c r="L74" s="112" t="s">
        <v>1727</v>
      </c>
      <c r="M74" s="112" t="s">
        <v>1728</v>
      </c>
      <c r="N74" s="112" t="s">
        <v>1729</v>
      </c>
      <c r="O74" s="112" t="s">
        <v>292</v>
      </c>
      <c r="P74" s="112" t="s">
        <v>1076</v>
      </c>
      <c r="Q74" s="112" t="s">
        <v>1077</v>
      </c>
      <c r="R74" s="112" t="s">
        <v>4</v>
      </c>
      <c r="S74" s="112" t="s">
        <v>4</v>
      </c>
      <c r="T74" s="112" t="s">
        <v>1730</v>
      </c>
      <c r="U74" s="112" t="s">
        <v>1730</v>
      </c>
      <c r="V74" s="112" t="s">
        <v>369</v>
      </c>
      <c r="W74" s="112" t="s">
        <v>347</v>
      </c>
      <c r="X74" s="112" t="s">
        <v>348</v>
      </c>
      <c r="Y74" s="112" t="s">
        <v>363</v>
      </c>
      <c r="Z74" s="112" t="s">
        <v>1731</v>
      </c>
      <c r="AA74" s="112" t="s">
        <v>1732</v>
      </c>
      <c r="AB74" s="112" t="s">
        <v>1733</v>
      </c>
      <c r="AC74" s="112" t="s">
        <v>1734</v>
      </c>
      <c r="AD74" s="112">
        <v>4830000</v>
      </c>
      <c r="AE74" s="112">
        <v>4445637.18</v>
      </c>
      <c r="AF74" s="112">
        <v>0</v>
      </c>
      <c r="AG74" s="112">
        <v>4830000</v>
      </c>
      <c r="AH74" s="112">
        <v>2699950</v>
      </c>
      <c r="AI74" s="112">
        <v>150500</v>
      </c>
      <c r="AJ74" s="112">
        <v>805000</v>
      </c>
      <c r="AK74" s="112">
        <v>176</v>
      </c>
      <c r="AL74" s="112">
        <v>6</v>
      </c>
      <c r="AM74" s="112">
        <v>27</v>
      </c>
      <c r="AN74" s="112">
        <v>32</v>
      </c>
      <c r="AO74" s="112" t="s">
        <v>123</v>
      </c>
      <c r="AP74" s="112" t="s">
        <v>123</v>
      </c>
      <c r="AQ74" s="112" t="s">
        <v>124</v>
      </c>
      <c r="AR74" s="112" t="s">
        <v>932</v>
      </c>
      <c r="AS74" s="112" t="s">
        <v>917</v>
      </c>
      <c r="AT74" s="112" t="s">
        <v>918</v>
      </c>
      <c r="AU74" s="112" t="s">
        <v>933</v>
      </c>
      <c r="AV74" s="112" t="s">
        <v>934</v>
      </c>
      <c r="AW74" s="112" t="s">
        <v>126</v>
      </c>
      <c r="AX74" s="112" t="s">
        <v>127</v>
      </c>
      <c r="AY74" s="112" t="s">
        <v>898</v>
      </c>
      <c r="AZ74" s="112" t="s">
        <v>284</v>
      </c>
      <c r="BA74" s="112" t="s">
        <v>285</v>
      </c>
      <c r="BB74" s="112" t="s">
        <v>128</v>
      </c>
      <c r="BC74" s="112" t="s">
        <v>899</v>
      </c>
      <c r="BD74" s="112" t="s">
        <v>125</v>
      </c>
      <c r="BE74" s="112" t="s">
        <v>126</v>
      </c>
      <c r="BF74" s="112" t="s">
        <v>129</v>
      </c>
      <c r="BG74" s="112" t="s">
        <v>130</v>
      </c>
      <c r="BH74" s="112">
        <v>6</v>
      </c>
      <c r="BI74" s="112">
        <v>4830000</v>
      </c>
      <c r="BJ74" s="113"/>
      <c r="BK74" s="113"/>
      <c r="BL74" s="113"/>
      <c r="BM74" s="112"/>
      <c r="BN74" s="113">
        <v>46173</v>
      </c>
      <c r="BO74" s="112">
        <v>1</v>
      </c>
      <c r="BP74" s="114">
        <v>46149</v>
      </c>
      <c r="BQ74" s="112" t="s">
        <v>131</v>
      </c>
      <c r="BR74" s="112">
        <v>183</v>
      </c>
      <c r="BS74" s="113">
        <v>45966</v>
      </c>
      <c r="BT74" s="112">
        <v>4830000</v>
      </c>
      <c r="BU74" s="112">
        <v>0</v>
      </c>
      <c r="BV74" s="112">
        <v>1</v>
      </c>
      <c r="BW74" s="112">
        <v>0</v>
      </c>
      <c r="BX74" s="112">
        <v>0</v>
      </c>
      <c r="BY74" s="112">
        <v>0</v>
      </c>
      <c r="BZ74" s="112">
        <v>0</v>
      </c>
      <c r="CA74" s="112">
        <v>0</v>
      </c>
      <c r="CB74" s="112">
        <v>0</v>
      </c>
      <c r="CC74" s="113"/>
      <c r="CD74" s="112">
        <v>0</v>
      </c>
      <c r="CE74" s="113"/>
      <c r="CF74" s="112">
        <v>0</v>
      </c>
      <c r="CG74" s="113"/>
      <c r="CH74" s="112">
        <v>0</v>
      </c>
      <c r="CI74" s="113"/>
      <c r="CJ74" s="112">
        <v>0</v>
      </c>
      <c r="CK74" s="113"/>
      <c r="CL74" s="112">
        <v>0</v>
      </c>
      <c r="CM74" s="113">
        <v>46149</v>
      </c>
      <c r="CN74" s="112" t="s">
        <v>349</v>
      </c>
      <c r="CO74" s="112">
        <v>4295137.18</v>
      </c>
      <c r="CP74" s="112">
        <v>4295137.18</v>
      </c>
      <c r="CQ74" s="112">
        <v>5</v>
      </c>
      <c r="CR74" s="118"/>
      <c r="CS74" s="119"/>
      <c r="CT74" s="112">
        <v>0</v>
      </c>
      <c r="CU74" s="112" t="s">
        <v>280</v>
      </c>
      <c r="CV74" s="112" t="s">
        <v>350</v>
      </c>
      <c r="CW74" s="113">
        <v>46149</v>
      </c>
      <c r="CX74" s="112" t="s">
        <v>2116</v>
      </c>
      <c r="CY74" s="120">
        <f>MONTH(Table_ExternalData_14[[#This Row],[RunningReportDate]])</f>
        <v>5</v>
      </c>
      <c r="CZ74" s="120">
        <f>181-Table_ExternalData_14[[#This Row],[DaysOD]]</f>
        <v>5</v>
      </c>
      <c r="DA74" s="120">
        <f>IF(Table_ExternalData_14[[#This Row],[Status]]="PU-WC",0,Table_ExternalData_14[[#This Row],[Amount_CWO]]/1000000)</f>
        <v>4.2951371799999993</v>
      </c>
      <c r="DB74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74" s="120">
        <f>IF(Table_ExternalData_14[[#This Row],[Status]]="PU-WC",0,IF(Table_ExternalData_14[[#This Row],[Success CWO]]=1,Table_ExternalData_14[[#This Row],[CWO Amt]],0))</f>
        <v>0</v>
      </c>
      <c r="DD74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4.2951371799999993</v>
      </c>
      <c r="DE74" s="120">
        <f>DAY(Table_ExternalData_14[[#This Row],[Tanggal_Sukses-new]])</f>
        <v>0</v>
      </c>
      <c r="DF74" s="120">
        <f>IF(Table_ExternalData_14[[#This Row],[Status]]="PU-WC",0,IF(SUM(Table_ExternalData_14[[#This Row],[Success CWO]:[WO-In-Amt]])=0,1,0))</f>
        <v>0</v>
      </c>
      <c r="DG74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74" s="120" t="str">
        <f>VLOOKUP(Table_ExternalData_14[[#This Row],[BranchID]],KC!$A:$K,5,0)</f>
        <v>2W</v>
      </c>
      <c r="DI74" s="120" t="str">
        <f>VLOOKUP(Table_ExternalData_14[[#This Row],[BranchID]],KC!$A:$K,8,0)</f>
        <v>05. Kalimantan</v>
      </c>
      <c r="DJ74" s="120" t="str">
        <f>VLOOKUP(Table_ExternalData_14[[#This Row],[BranchID]],KC!$A:$K,9,0)</f>
        <v>BANJARMASIN</v>
      </c>
      <c r="DK74" s="121">
        <f>IF(Table_ExternalData_14[[#This Row],[Tanggal_Sukses]]=" ",Table_ExternalData_14[[#This Row],[Tanggal_Sukses]],VLOOKUP(Table_ExternalData_14[[#This Row],[ContractID]],Bantuan!$A:$C,2,0))</f>
        <v>0</v>
      </c>
      <c r="DL74" s="120">
        <f>IF(Table_ExternalData_14[[#This Row],[Keterangan_Sukses]]=" ",Table_ExternalData_14[[#This Row],[Keterangan_Sukses]],VLOOKUP(Table_ExternalData_14[[#This Row],[ContractID]],Bantuan!$A:$C,3,0))</f>
        <v>0</v>
      </c>
    </row>
    <row r="75" spans="1:116" x14ac:dyDescent="0.3">
      <c r="A75" s="117" t="s">
        <v>344</v>
      </c>
      <c r="B75" s="112" t="s">
        <v>343</v>
      </c>
      <c r="C75" s="113">
        <v>46142</v>
      </c>
      <c r="D75" s="279">
        <v>45976</v>
      </c>
      <c r="E75" s="113">
        <v>45337</v>
      </c>
      <c r="F75" s="112" t="s">
        <v>1735</v>
      </c>
      <c r="G75" s="112" t="s">
        <v>1736</v>
      </c>
      <c r="H75" s="112" t="s">
        <v>1737</v>
      </c>
      <c r="I75" s="112" t="s">
        <v>1738</v>
      </c>
      <c r="J75" s="112" t="s">
        <v>1739</v>
      </c>
      <c r="K75" s="112" t="s">
        <v>4</v>
      </c>
      <c r="L75" s="112" t="s">
        <v>1739</v>
      </c>
      <c r="M75" s="112" t="s">
        <v>1740</v>
      </c>
      <c r="N75" s="112" t="s">
        <v>1741</v>
      </c>
      <c r="O75" s="112" t="s">
        <v>1742</v>
      </c>
      <c r="P75" s="112" t="s">
        <v>1743</v>
      </c>
      <c r="Q75" s="112" t="s">
        <v>1744</v>
      </c>
      <c r="R75" s="112" t="s">
        <v>4</v>
      </c>
      <c r="S75" s="112" t="s">
        <v>4</v>
      </c>
      <c r="T75" s="112" t="s">
        <v>1745</v>
      </c>
      <c r="U75" s="112" t="s">
        <v>1745</v>
      </c>
      <c r="V75" s="112" t="s">
        <v>369</v>
      </c>
      <c r="W75" s="112" t="s">
        <v>120</v>
      </c>
      <c r="X75" s="112" t="s">
        <v>121</v>
      </c>
      <c r="Y75" s="112" t="s">
        <v>136</v>
      </c>
      <c r="Z75" s="112" t="s">
        <v>1746</v>
      </c>
      <c r="AA75" s="112" t="s">
        <v>1747</v>
      </c>
      <c r="AB75" s="112" t="s">
        <v>1748</v>
      </c>
      <c r="AC75" s="112" t="s">
        <v>1749</v>
      </c>
      <c r="AD75" s="112">
        <v>171560000</v>
      </c>
      <c r="AE75" s="112">
        <v>123548724.42</v>
      </c>
      <c r="AF75" s="112">
        <v>145826000</v>
      </c>
      <c r="AG75" s="112">
        <v>25734000</v>
      </c>
      <c r="AH75" s="112">
        <v>12633112.5</v>
      </c>
      <c r="AI75" s="112">
        <v>0</v>
      </c>
      <c r="AJ75" s="112">
        <v>4289000</v>
      </c>
      <c r="AK75" s="112">
        <v>166</v>
      </c>
      <c r="AL75" s="112">
        <v>6</v>
      </c>
      <c r="AM75" s="112">
        <v>21</v>
      </c>
      <c r="AN75" s="112">
        <v>60</v>
      </c>
      <c r="AO75" s="112" t="s">
        <v>123</v>
      </c>
      <c r="AP75" s="112" t="s">
        <v>123</v>
      </c>
      <c r="AQ75" s="112" t="s">
        <v>124</v>
      </c>
      <c r="AR75" s="112"/>
      <c r="AS75" s="112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2"/>
      <c r="BE75" s="112"/>
      <c r="BF75" s="112" t="s">
        <v>129</v>
      </c>
      <c r="BG75" s="112" t="s">
        <v>375</v>
      </c>
      <c r="BH75" s="112">
        <v>7</v>
      </c>
      <c r="BI75" s="112">
        <v>30023000</v>
      </c>
      <c r="BJ75" s="113"/>
      <c r="BK75" s="113">
        <v>46125</v>
      </c>
      <c r="BL75" s="113"/>
      <c r="BM75" s="112"/>
      <c r="BN75" s="113">
        <v>46173</v>
      </c>
      <c r="BO75" s="112">
        <v>1</v>
      </c>
      <c r="BP75" s="114">
        <v>46149</v>
      </c>
      <c r="BQ75" s="112" t="s">
        <v>131</v>
      </c>
      <c r="BR75" s="112">
        <v>173</v>
      </c>
      <c r="BS75" s="113">
        <v>45976</v>
      </c>
      <c r="BT75" s="112">
        <v>171560000</v>
      </c>
      <c r="BU75" s="112">
        <v>0</v>
      </c>
      <c r="BV75" s="112">
        <v>1</v>
      </c>
      <c r="BW75" s="112">
        <v>0</v>
      </c>
      <c r="BX75" s="112">
        <v>0</v>
      </c>
      <c r="BY75" s="112">
        <v>0</v>
      </c>
      <c r="BZ75" s="112">
        <v>0</v>
      </c>
      <c r="CA75" s="112">
        <v>0</v>
      </c>
      <c r="CB75" s="112">
        <v>0</v>
      </c>
      <c r="CC75" s="113"/>
      <c r="CD75" s="112">
        <v>0</v>
      </c>
      <c r="CE75" s="113"/>
      <c r="CF75" s="112">
        <v>0</v>
      </c>
      <c r="CG75" s="113"/>
      <c r="CH75" s="112">
        <v>0</v>
      </c>
      <c r="CI75" s="113"/>
      <c r="CJ75" s="112">
        <v>0</v>
      </c>
      <c r="CK75" s="113"/>
      <c r="CL75" s="112">
        <v>0</v>
      </c>
      <c r="CM75" s="113">
        <v>46149</v>
      </c>
      <c r="CN75" s="112" t="s">
        <v>132</v>
      </c>
      <c r="CO75" s="112">
        <v>123548724.42</v>
      </c>
      <c r="CP75" s="112">
        <v>0</v>
      </c>
      <c r="CQ75" s="112">
        <v>0</v>
      </c>
      <c r="CR75" s="118">
        <v>46125</v>
      </c>
      <c r="CS75" s="119" t="s">
        <v>255</v>
      </c>
      <c r="CT75" s="112">
        <v>123548724.42</v>
      </c>
      <c r="CU75" s="112" t="s">
        <v>345</v>
      </c>
      <c r="CV75" s="112" t="s">
        <v>205</v>
      </c>
      <c r="CW75" s="113">
        <v>46149</v>
      </c>
      <c r="CX75" s="112" t="s">
        <v>2116</v>
      </c>
      <c r="CY75" s="120">
        <f>MONTH(Table_ExternalData_14[[#This Row],[RunningReportDate]])</f>
        <v>5</v>
      </c>
      <c r="CZ75" s="120">
        <f>181-Table_ExternalData_14[[#This Row],[DaysOD]]</f>
        <v>15</v>
      </c>
      <c r="DA75" s="120">
        <f>IF(Table_ExternalData_14[[#This Row],[Status]]="PU-WC",0,Table_ExternalData_14[[#This Row],[Amount_CWO]]/1000000)</f>
        <v>0</v>
      </c>
      <c r="DB75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75" s="120">
        <f>IF(Table_ExternalData_14[[#This Row],[Status]]="PU-WC",0,IF(Table_ExternalData_14[[#This Row],[Success CWO]]=1,Table_ExternalData_14[[#This Row],[CWO Amt]],0))</f>
        <v>0</v>
      </c>
      <c r="DD75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75" s="120">
        <f>DAY(Table_ExternalData_14[[#This Row],[Tanggal_Sukses-new]])</f>
        <v>13</v>
      </c>
      <c r="DF75" s="120">
        <f>IF(Table_ExternalData_14[[#This Row],[Status]]="PU-WC",0,IF(SUM(Table_ExternalData_14[[#This Row],[Success CWO]:[WO-In-Amt]])=0,1,0))</f>
        <v>0</v>
      </c>
      <c r="DG75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75" s="120" t="str">
        <f>VLOOKUP(Table_ExternalData_14[[#This Row],[BranchID]],KC!$A:$K,5,0)</f>
        <v>4W</v>
      </c>
      <c r="DI75" s="120" t="str">
        <f>VLOOKUP(Table_ExternalData_14[[#This Row],[BranchID]],KC!$A:$K,8,0)</f>
        <v>05. Kalimantan</v>
      </c>
      <c r="DJ75" s="120" t="str">
        <f>VLOOKUP(Table_ExternalData_14[[#This Row],[BranchID]],KC!$A:$K,9,0)</f>
        <v>SAMPIT</v>
      </c>
      <c r="DK75" s="121">
        <f>IF(Table_ExternalData_14[[#This Row],[Tanggal_Sukses]]=" ",Table_ExternalData_14[[#This Row],[Tanggal_Sukses]],VLOOKUP(Table_ExternalData_14[[#This Row],[ContractID]],Bantuan!$A:$C,2,0))</f>
        <v>46125</v>
      </c>
      <c r="DL75" s="120" t="str">
        <f>IF(Table_ExternalData_14[[#This Row],[Keterangan_Sukses]]=" ",Table_ExternalData_14[[#This Row],[Keterangan_Sukses]],VLOOKUP(Table_ExternalData_14[[#This Row],[ContractID]],Bantuan!$A:$C,3,0))</f>
        <v>REPO SEBELUM WO</v>
      </c>
    </row>
    <row r="76" spans="1:116" x14ac:dyDescent="0.3">
      <c r="A76" s="117" t="s">
        <v>344</v>
      </c>
      <c r="B76" s="112" t="s">
        <v>343</v>
      </c>
      <c r="C76" s="113">
        <v>46142</v>
      </c>
      <c r="D76" s="279">
        <v>45985</v>
      </c>
      <c r="E76" s="113">
        <v>44772</v>
      </c>
      <c r="F76" s="112" t="s">
        <v>944</v>
      </c>
      <c r="G76" s="112" t="s">
        <v>945</v>
      </c>
      <c r="H76" s="112" t="s">
        <v>946</v>
      </c>
      <c r="I76" s="112" t="s">
        <v>947</v>
      </c>
      <c r="J76" s="112" t="s">
        <v>948</v>
      </c>
      <c r="K76" s="112" t="s">
        <v>4</v>
      </c>
      <c r="L76" s="112" t="s">
        <v>948</v>
      </c>
      <c r="M76" s="112" t="s">
        <v>949</v>
      </c>
      <c r="N76" s="112" t="s">
        <v>950</v>
      </c>
      <c r="O76" s="112" t="s">
        <v>951</v>
      </c>
      <c r="P76" s="112" t="s">
        <v>952</v>
      </c>
      <c r="Q76" s="112" t="s">
        <v>953</v>
      </c>
      <c r="R76" s="112" t="s">
        <v>4</v>
      </c>
      <c r="S76" s="112" t="s">
        <v>4</v>
      </c>
      <c r="T76" s="112" t="s">
        <v>954</v>
      </c>
      <c r="U76" s="112" t="s">
        <v>954</v>
      </c>
      <c r="V76" s="112" t="s">
        <v>955</v>
      </c>
      <c r="W76" s="112" t="s">
        <v>120</v>
      </c>
      <c r="X76" s="112" t="s">
        <v>121</v>
      </c>
      <c r="Y76" s="112" t="s">
        <v>268</v>
      </c>
      <c r="Z76" s="112" t="s">
        <v>403</v>
      </c>
      <c r="AA76" s="112" t="s">
        <v>956</v>
      </c>
      <c r="AB76" s="112" t="s">
        <v>957</v>
      </c>
      <c r="AC76" s="112" t="s">
        <v>958</v>
      </c>
      <c r="AD76" s="112">
        <v>152784000</v>
      </c>
      <c r="AE76" s="112">
        <v>128086162.43000001</v>
      </c>
      <c r="AF76" s="112">
        <v>114588000</v>
      </c>
      <c r="AG76" s="112">
        <v>38196000</v>
      </c>
      <c r="AH76" s="112">
        <v>72162109.900000006</v>
      </c>
      <c r="AI76" s="112">
        <v>0</v>
      </c>
      <c r="AJ76" s="112">
        <v>6366000</v>
      </c>
      <c r="AK76" s="112">
        <v>157</v>
      </c>
      <c r="AL76" s="112">
        <v>6</v>
      </c>
      <c r="AM76" s="112">
        <v>39</v>
      </c>
      <c r="AN76" s="112">
        <v>62</v>
      </c>
      <c r="AO76" s="112" t="s">
        <v>123</v>
      </c>
      <c r="AP76" s="112" t="s">
        <v>123</v>
      </c>
      <c r="AQ76" s="112" t="s">
        <v>124</v>
      </c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2"/>
      <c r="BE76" s="112"/>
      <c r="BF76" s="112" t="s">
        <v>129</v>
      </c>
      <c r="BG76" s="112" t="s">
        <v>130</v>
      </c>
      <c r="BH76" s="112">
        <v>7</v>
      </c>
      <c r="BI76" s="112">
        <v>44562000</v>
      </c>
      <c r="BJ76" s="113"/>
      <c r="BK76" s="113"/>
      <c r="BL76" s="113"/>
      <c r="BM76" s="112"/>
      <c r="BN76" s="113">
        <v>46173</v>
      </c>
      <c r="BO76" s="112">
        <v>1</v>
      </c>
      <c r="BP76" s="114">
        <v>46149</v>
      </c>
      <c r="BQ76" s="112" t="s">
        <v>131</v>
      </c>
      <c r="BR76" s="112">
        <v>164</v>
      </c>
      <c r="BS76" s="113">
        <v>45985</v>
      </c>
      <c r="BT76" s="112">
        <v>152784000</v>
      </c>
      <c r="BU76" s="112">
        <v>0</v>
      </c>
      <c r="BV76" s="112">
        <v>1</v>
      </c>
      <c r="BW76" s="112">
        <v>0</v>
      </c>
      <c r="BX76" s="112">
        <v>0</v>
      </c>
      <c r="BY76" s="112">
        <v>0</v>
      </c>
      <c r="BZ76" s="112">
        <v>0</v>
      </c>
      <c r="CA76" s="112">
        <v>0</v>
      </c>
      <c r="CB76" s="112">
        <v>0</v>
      </c>
      <c r="CC76" s="113"/>
      <c r="CD76" s="112">
        <v>0</v>
      </c>
      <c r="CE76" s="113"/>
      <c r="CF76" s="112">
        <v>0</v>
      </c>
      <c r="CG76" s="113"/>
      <c r="CH76" s="112">
        <v>0</v>
      </c>
      <c r="CI76" s="113"/>
      <c r="CJ76" s="112">
        <v>0</v>
      </c>
      <c r="CK76" s="113"/>
      <c r="CL76" s="112">
        <v>0</v>
      </c>
      <c r="CM76" s="113">
        <v>46149</v>
      </c>
      <c r="CN76" s="112" t="s">
        <v>132</v>
      </c>
      <c r="CO76" s="112">
        <v>128086162.43000001</v>
      </c>
      <c r="CP76" s="112">
        <v>128086162.43000001</v>
      </c>
      <c r="CQ76" s="112">
        <v>24</v>
      </c>
      <c r="CR76" s="118"/>
      <c r="CS76" s="119"/>
      <c r="CT76" s="112">
        <v>0</v>
      </c>
      <c r="CU76" s="112" t="s">
        <v>345</v>
      </c>
      <c r="CV76" s="112" t="s">
        <v>205</v>
      </c>
      <c r="CW76" s="113">
        <v>46149</v>
      </c>
      <c r="CX76" s="112" t="s">
        <v>2116</v>
      </c>
      <c r="CY76" s="120">
        <f>MONTH(Table_ExternalData_14[[#This Row],[RunningReportDate]])</f>
        <v>5</v>
      </c>
      <c r="CZ76" s="120">
        <f>181-Table_ExternalData_14[[#This Row],[DaysOD]]</f>
        <v>24</v>
      </c>
      <c r="DA76" s="120">
        <f>IF(Table_ExternalData_14[[#This Row],[Status]]="PU-WC",0,Table_ExternalData_14[[#This Row],[Amount_CWO]]/1000000)</f>
        <v>128.08616243</v>
      </c>
      <c r="DB76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76" s="120">
        <f>IF(Table_ExternalData_14[[#This Row],[Status]]="PU-WC",0,IF(Table_ExternalData_14[[#This Row],[Success CWO]]=1,Table_ExternalData_14[[#This Row],[CWO Amt]],0))</f>
        <v>0</v>
      </c>
      <c r="DD76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76" s="120">
        <f>DAY(Table_ExternalData_14[[#This Row],[Tanggal_Sukses-new]])</f>
        <v>0</v>
      </c>
      <c r="DF76" s="120">
        <f>IF(Table_ExternalData_14[[#This Row],[Status]]="PU-WC",0,IF(SUM(Table_ExternalData_14[[#This Row],[Success CWO]:[WO-In-Amt]])=0,1,0))</f>
        <v>1</v>
      </c>
      <c r="DG76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128.08616243</v>
      </c>
      <c r="DH76" s="120" t="str">
        <f>VLOOKUP(Table_ExternalData_14[[#This Row],[BranchID]],KC!$A:$K,5,0)</f>
        <v>4W</v>
      </c>
      <c r="DI76" s="120" t="str">
        <f>VLOOKUP(Table_ExternalData_14[[#This Row],[BranchID]],KC!$A:$K,8,0)</f>
        <v>05. Kalimantan</v>
      </c>
      <c r="DJ76" s="120" t="str">
        <f>VLOOKUP(Table_ExternalData_14[[#This Row],[BranchID]],KC!$A:$K,9,0)</f>
        <v>SAMPIT</v>
      </c>
      <c r="DK76" s="121">
        <f>IF(Table_ExternalData_14[[#This Row],[Tanggal_Sukses]]=" ",Table_ExternalData_14[[#This Row],[Tanggal_Sukses]],VLOOKUP(Table_ExternalData_14[[#This Row],[ContractID]],Bantuan!$A:$C,2,0))</f>
        <v>0</v>
      </c>
      <c r="DL76" s="120">
        <f>IF(Table_ExternalData_14[[#This Row],[Keterangan_Sukses]]=" ",Table_ExternalData_14[[#This Row],[Keterangan_Sukses]],VLOOKUP(Table_ExternalData_14[[#This Row],[ContractID]],Bantuan!$A:$C,3,0))</f>
        <v>0</v>
      </c>
    </row>
    <row r="77" spans="1:116" x14ac:dyDescent="0.3">
      <c r="A77" s="117" t="s">
        <v>344</v>
      </c>
      <c r="B77" s="112" t="s">
        <v>343</v>
      </c>
      <c r="C77" s="113">
        <v>46142</v>
      </c>
      <c r="D77" s="279">
        <v>45971</v>
      </c>
      <c r="E77" s="113">
        <v>44575</v>
      </c>
      <c r="F77" s="112" t="s">
        <v>1750</v>
      </c>
      <c r="G77" s="112" t="s">
        <v>1751</v>
      </c>
      <c r="H77" s="112" t="s">
        <v>1752</v>
      </c>
      <c r="I77" s="112" t="s">
        <v>1753</v>
      </c>
      <c r="J77" s="112" t="s">
        <v>1739</v>
      </c>
      <c r="K77" s="112" t="s">
        <v>4</v>
      </c>
      <c r="L77" s="112" t="s">
        <v>1739</v>
      </c>
      <c r="M77" s="112" t="s">
        <v>1754</v>
      </c>
      <c r="N77" s="112" t="s">
        <v>1755</v>
      </c>
      <c r="O77" s="112" t="s">
        <v>1742</v>
      </c>
      <c r="P77" s="112" t="s">
        <v>1743</v>
      </c>
      <c r="Q77" s="112" t="s">
        <v>1756</v>
      </c>
      <c r="R77" s="112" t="s">
        <v>4</v>
      </c>
      <c r="S77" s="112" t="s">
        <v>4</v>
      </c>
      <c r="T77" s="112" t="s">
        <v>1757</v>
      </c>
      <c r="U77" s="112" t="s">
        <v>1757</v>
      </c>
      <c r="V77" s="112" t="s">
        <v>341</v>
      </c>
      <c r="W77" s="112" t="s">
        <v>120</v>
      </c>
      <c r="X77" s="112" t="s">
        <v>121</v>
      </c>
      <c r="Y77" s="112" t="s">
        <v>268</v>
      </c>
      <c r="Z77" s="112" t="s">
        <v>1758</v>
      </c>
      <c r="AA77" s="112" t="s">
        <v>1759</v>
      </c>
      <c r="AB77" s="112" t="s">
        <v>1760</v>
      </c>
      <c r="AC77" s="112" t="s">
        <v>1761</v>
      </c>
      <c r="AD77" s="112">
        <v>83715000</v>
      </c>
      <c r="AE77" s="112">
        <v>74754532.989999995</v>
      </c>
      <c r="AF77" s="112">
        <v>50229000</v>
      </c>
      <c r="AG77" s="112">
        <v>33486000</v>
      </c>
      <c r="AH77" s="112">
        <v>37622114.5</v>
      </c>
      <c r="AI77" s="112">
        <v>0</v>
      </c>
      <c r="AJ77" s="112">
        <v>5581000</v>
      </c>
      <c r="AK77" s="112">
        <v>171</v>
      </c>
      <c r="AL77" s="112">
        <v>6</v>
      </c>
      <c r="AM77" s="112">
        <v>46</v>
      </c>
      <c r="AN77" s="112">
        <v>60</v>
      </c>
      <c r="AO77" s="112" t="s">
        <v>123</v>
      </c>
      <c r="AP77" s="112" t="s">
        <v>123</v>
      </c>
      <c r="AQ77" s="112" t="s">
        <v>124</v>
      </c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2"/>
      <c r="BE77" s="112"/>
      <c r="BF77" s="112" t="s">
        <v>129</v>
      </c>
      <c r="BG77" s="112" t="s">
        <v>130</v>
      </c>
      <c r="BH77" s="112">
        <v>7</v>
      </c>
      <c r="BI77" s="112">
        <v>39067000</v>
      </c>
      <c r="BJ77" s="113"/>
      <c r="BK77" s="113"/>
      <c r="BL77" s="113"/>
      <c r="BM77" s="112"/>
      <c r="BN77" s="113">
        <v>46173</v>
      </c>
      <c r="BO77" s="112">
        <v>1</v>
      </c>
      <c r="BP77" s="114">
        <v>46149</v>
      </c>
      <c r="BQ77" s="112" t="s">
        <v>131</v>
      </c>
      <c r="BR77" s="112">
        <v>178</v>
      </c>
      <c r="BS77" s="113">
        <v>45971</v>
      </c>
      <c r="BT77" s="112">
        <v>83715000</v>
      </c>
      <c r="BU77" s="112">
        <v>0</v>
      </c>
      <c r="BV77" s="112">
        <v>1</v>
      </c>
      <c r="BW77" s="112">
        <v>0</v>
      </c>
      <c r="BX77" s="112">
        <v>0</v>
      </c>
      <c r="BY77" s="112">
        <v>0</v>
      </c>
      <c r="BZ77" s="112">
        <v>0</v>
      </c>
      <c r="CA77" s="112">
        <v>0</v>
      </c>
      <c r="CB77" s="112">
        <v>0</v>
      </c>
      <c r="CC77" s="113"/>
      <c r="CD77" s="112">
        <v>0</v>
      </c>
      <c r="CE77" s="113"/>
      <c r="CF77" s="112">
        <v>0</v>
      </c>
      <c r="CG77" s="113"/>
      <c r="CH77" s="112">
        <v>0</v>
      </c>
      <c r="CI77" s="113"/>
      <c r="CJ77" s="112">
        <v>0</v>
      </c>
      <c r="CK77" s="113"/>
      <c r="CL77" s="112">
        <v>0</v>
      </c>
      <c r="CM77" s="113">
        <v>46149</v>
      </c>
      <c r="CN77" s="112" t="s">
        <v>132</v>
      </c>
      <c r="CO77" s="112">
        <v>74754532.989999995</v>
      </c>
      <c r="CP77" s="112">
        <v>74754532.989999995</v>
      </c>
      <c r="CQ77" s="112">
        <v>10</v>
      </c>
      <c r="CR77" s="118"/>
      <c r="CS77" s="119"/>
      <c r="CT77" s="112">
        <v>0</v>
      </c>
      <c r="CU77" s="112" t="s">
        <v>345</v>
      </c>
      <c r="CV77" s="112" t="s">
        <v>205</v>
      </c>
      <c r="CW77" s="113">
        <v>46149</v>
      </c>
      <c r="CX77" s="112" t="s">
        <v>2116</v>
      </c>
      <c r="CY77" s="120">
        <f>MONTH(Table_ExternalData_14[[#This Row],[RunningReportDate]])</f>
        <v>5</v>
      </c>
      <c r="CZ77" s="120">
        <f>181-Table_ExternalData_14[[#This Row],[DaysOD]]</f>
        <v>10</v>
      </c>
      <c r="DA77" s="120">
        <f>IF(Table_ExternalData_14[[#This Row],[Status]]="PU-WC",0,Table_ExternalData_14[[#This Row],[Amount_CWO]]/1000000)</f>
        <v>74.754532990000001</v>
      </c>
      <c r="DB77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77" s="120">
        <f>IF(Table_ExternalData_14[[#This Row],[Status]]="PU-WC",0,IF(Table_ExternalData_14[[#This Row],[Success CWO]]=1,Table_ExternalData_14[[#This Row],[CWO Amt]],0))</f>
        <v>0</v>
      </c>
      <c r="DD77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77" s="120">
        <f>DAY(Table_ExternalData_14[[#This Row],[Tanggal_Sukses-new]])</f>
        <v>0</v>
      </c>
      <c r="DF77" s="120">
        <f>IF(Table_ExternalData_14[[#This Row],[Status]]="PU-WC",0,IF(SUM(Table_ExternalData_14[[#This Row],[Success CWO]:[WO-In-Amt]])=0,1,0))</f>
        <v>1</v>
      </c>
      <c r="DG77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74.754532990000001</v>
      </c>
      <c r="DH77" s="120" t="str">
        <f>VLOOKUP(Table_ExternalData_14[[#This Row],[BranchID]],KC!$A:$K,5,0)</f>
        <v>4W</v>
      </c>
      <c r="DI77" s="120" t="str">
        <f>VLOOKUP(Table_ExternalData_14[[#This Row],[BranchID]],KC!$A:$K,8,0)</f>
        <v>05. Kalimantan</v>
      </c>
      <c r="DJ77" s="120" t="str">
        <f>VLOOKUP(Table_ExternalData_14[[#This Row],[BranchID]],KC!$A:$K,9,0)</f>
        <v>SAMPIT</v>
      </c>
      <c r="DK77" s="121">
        <f>IF(Table_ExternalData_14[[#This Row],[Tanggal_Sukses]]=" ",Table_ExternalData_14[[#This Row],[Tanggal_Sukses]],VLOOKUP(Table_ExternalData_14[[#This Row],[ContractID]],Bantuan!$A:$C,2,0))</f>
        <v>0</v>
      </c>
      <c r="DL77" s="120">
        <f>IF(Table_ExternalData_14[[#This Row],[Keterangan_Sukses]]=" ",Table_ExternalData_14[[#This Row],[Keterangan_Sukses]],VLOOKUP(Table_ExternalData_14[[#This Row],[ContractID]],Bantuan!$A:$C,3,0))</f>
        <v>0</v>
      </c>
    </row>
    <row r="78" spans="1:116" x14ac:dyDescent="0.3">
      <c r="A78" s="117" t="s">
        <v>337</v>
      </c>
      <c r="B78" s="112" t="s">
        <v>336</v>
      </c>
      <c r="C78" s="113">
        <v>46142</v>
      </c>
      <c r="D78" s="279">
        <v>45974</v>
      </c>
      <c r="E78" s="113">
        <v>45364</v>
      </c>
      <c r="F78" s="112" t="s">
        <v>1762</v>
      </c>
      <c r="G78" s="112" t="s">
        <v>1763</v>
      </c>
      <c r="H78" s="112" t="s">
        <v>1764</v>
      </c>
      <c r="I78" s="112" t="s">
        <v>1765</v>
      </c>
      <c r="J78" s="112" t="s">
        <v>1766</v>
      </c>
      <c r="K78" s="112" t="s">
        <v>4</v>
      </c>
      <c r="L78" s="112" t="s">
        <v>1766</v>
      </c>
      <c r="M78" s="112" t="s">
        <v>1767</v>
      </c>
      <c r="N78" s="112" t="s">
        <v>1768</v>
      </c>
      <c r="O78" s="112" t="s">
        <v>1769</v>
      </c>
      <c r="P78" s="112" t="s">
        <v>1770</v>
      </c>
      <c r="Q78" s="112" t="s">
        <v>1771</v>
      </c>
      <c r="R78" s="112" t="s">
        <v>4</v>
      </c>
      <c r="S78" s="112" t="s">
        <v>4</v>
      </c>
      <c r="T78" s="112" t="s">
        <v>1772</v>
      </c>
      <c r="U78" s="112" t="s">
        <v>1772</v>
      </c>
      <c r="V78" s="112" t="s">
        <v>365</v>
      </c>
      <c r="W78" s="112" t="s">
        <v>120</v>
      </c>
      <c r="X78" s="112" t="s">
        <v>121</v>
      </c>
      <c r="Y78" s="112" t="s">
        <v>136</v>
      </c>
      <c r="Z78" s="112" t="s">
        <v>189</v>
      </c>
      <c r="AA78" s="112" t="s">
        <v>1773</v>
      </c>
      <c r="AB78" s="112" t="s">
        <v>1774</v>
      </c>
      <c r="AC78" s="112" t="s">
        <v>1775</v>
      </c>
      <c r="AD78" s="112">
        <v>153700000</v>
      </c>
      <c r="AE78" s="112">
        <v>121054371.14</v>
      </c>
      <c r="AF78" s="112">
        <v>121900000</v>
      </c>
      <c r="AG78" s="112">
        <v>31800000</v>
      </c>
      <c r="AH78" s="112">
        <v>29920500</v>
      </c>
      <c r="AI78" s="112">
        <v>0</v>
      </c>
      <c r="AJ78" s="112">
        <v>5300000</v>
      </c>
      <c r="AK78" s="112">
        <v>168</v>
      </c>
      <c r="AL78" s="112">
        <v>6</v>
      </c>
      <c r="AM78" s="112">
        <v>20</v>
      </c>
      <c r="AN78" s="112">
        <v>48</v>
      </c>
      <c r="AO78" s="112" t="s">
        <v>123</v>
      </c>
      <c r="AP78" s="112" t="s">
        <v>123</v>
      </c>
      <c r="AQ78" s="112" t="s">
        <v>124</v>
      </c>
      <c r="AR78" s="112" t="s">
        <v>1776</v>
      </c>
      <c r="AS78" s="112" t="s">
        <v>1777</v>
      </c>
      <c r="AT78" s="112" t="s">
        <v>1778</v>
      </c>
      <c r="AU78" s="112" t="s">
        <v>1779</v>
      </c>
      <c r="AV78" s="112" t="s">
        <v>1780</v>
      </c>
      <c r="AW78" s="112" t="s">
        <v>1781</v>
      </c>
      <c r="AX78" s="112" t="s">
        <v>1782</v>
      </c>
      <c r="AY78" s="112" t="s">
        <v>1783</v>
      </c>
      <c r="AZ78" s="112" t="s">
        <v>1780</v>
      </c>
      <c r="BA78" s="112" t="s">
        <v>1781</v>
      </c>
      <c r="BB78" s="112" t="s">
        <v>1784</v>
      </c>
      <c r="BC78" s="112" t="s">
        <v>1785</v>
      </c>
      <c r="BD78" s="112" t="s">
        <v>1786</v>
      </c>
      <c r="BE78" s="112" t="s">
        <v>126</v>
      </c>
      <c r="BF78" s="112" t="s">
        <v>129</v>
      </c>
      <c r="BG78" s="112" t="s">
        <v>130</v>
      </c>
      <c r="BH78" s="112">
        <v>7</v>
      </c>
      <c r="BI78" s="112">
        <v>37100000</v>
      </c>
      <c r="BJ78" s="113"/>
      <c r="BK78" s="113"/>
      <c r="BL78" s="113"/>
      <c r="BM78" s="112"/>
      <c r="BN78" s="113">
        <v>46173</v>
      </c>
      <c r="BO78" s="112">
        <v>1</v>
      </c>
      <c r="BP78" s="114">
        <v>46149</v>
      </c>
      <c r="BQ78" s="112" t="s">
        <v>131</v>
      </c>
      <c r="BR78" s="112">
        <v>175</v>
      </c>
      <c r="BS78" s="113">
        <v>45974</v>
      </c>
      <c r="BT78" s="112">
        <v>153700000</v>
      </c>
      <c r="BU78" s="112">
        <v>0</v>
      </c>
      <c r="BV78" s="112">
        <v>1</v>
      </c>
      <c r="BW78" s="112">
        <v>0</v>
      </c>
      <c r="BX78" s="112">
        <v>0</v>
      </c>
      <c r="BY78" s="112">
        <v>0</v>
      </c>
      <c r="BZ78" s="112">
        <v>0</v>
      </c>
      <c r="CA78" s="112">
        <v>0</v>
      </c>
      <c r="CB78" s="112">
        <v>0</v>
      </c>
      <c r="CC78" s="113"/>
      <c r="CD78" s="112">
        <v>0</v>
      </c>
      <c r="CE78" s="113"/>
      <c r="CF78" s="112">
        <v>0</v>
      </c>
      <c r="CG78" s="113"/>
      <c r="CH78" s="112">
        <v>0</v>
      </c>
      <c r="CI78" s="113"/>
      <c r="CJ78" s="112">
        <v>0</v>
      </c>
      <c r="CK78" s="113"/>
      <c r="CL78" s="112">
        <v>0</v>
      </c>
      <c r="CM78" s="113">
        <v>46149</v>
      </c>
      <c r="CN78" s="112" t="s">
        <v>132</v>
      </c>
      <c r="CO78" s="112">
        <v>121054371.14</v>
      </c>
      <c r="CP78" s="112">
        <v>121054371.14</v>
      </c>
      <c r="CQ78" s="112">
        <v>13</v>
      </c>
      <c r="CR78" s="118"/>
      <c r="CS78" s="119"/>
      <c r="CT78" s="112">
        <v>0</v>
      </c>
      <c r="CU78" s="112" t="s">
        <v>338</v>
      </c>
      <c r="CV78" s="112" t="s">
        <v>134</v>
      </c>
      <c r="CW78" s="113">
        <v>46149</v>
      </c>
      <c r="CX78" s="112" t="s">
        <v>2116</v>
      </c>
      <c r="CY78" s="120">
        <f>MONTH(Table_ExternalData_14[[#This Row],[RunningReportDate]])</f>
        <v>5</v>
      </c>
      <c r="CZ78" s="120">
        <f>181-Table_ExternalData_14[[#This Row],[DaysOD]]</f>
        <v>13</v>
      </c>
      <c r="DA78" s="120">
        <f>IF(Table_ExternalData_14[[#This Row],[Status]]="PU-WC",0,Table_ExternalData_14[[#This Row],[Amount_CWO]]/1000000)</f>
        <v>121.05437114</v>
      </c>
      <c r="DB78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78" s="120">
        <f>IF(Table_ExternalData_14[[#This Row],[Status]]="PU-WC",0,IF(Table_ExternalData_14[[#This Row],[Success CWO]]=1,Table_ExternalData_14[[#This Row],[CWO Amt]],0))</f>
        <v>0</v>
      </c>
      <c r="DD78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78" s="120">
        <f>DAY(Table_ExternalData_14[[#This Row],[Tanggal_Sukses-new]])</f>
        <v>0</v>
      </c>
      <c r="DF78" s="120">
        <f>IF(Table_ExternalData_14[[#This Row],[Status]]="PU-WC",0,IF(SUM(Table_ExternalData_14[[#This Row],[Success CWO]:[WO-In-Amt]])=0,1,0))</f>
        <v>1</v>
      </c>
      <c r="DG78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121.05437114</v>
      </c>
      <c r="DH78" s="120" t="str">
        <f>VLOOKUP(Table_ExternalData_14[[#This Row],[BranchID]],KC!$A:$K,5,0)</f>
        <v>4W</v>
      </c>
      <c r="DI78" s="120" t="str">
        <f>VLOOKUP(Table_ExternalData_14[[#This Row],[BranchID]],KC!$A:$K,8,0)</f>
        <v>06. Sulawesi</v>
      </c>
      <c r="DJ78" s="120" t="str">
        <f>VLOOKUP(Table_ExternalData_14[[#This Row],[BranchID]],KC!$A:$K,9,0)</f>
        <v>TERNATE</v>
      </c>
      <c r="DK78" s="121">
        <f>IF(Table_ExternalData_14[[#This Row],[Tanggal_Sukses]]=" ",Table_ExternalData_14[[#This Row],[Tanggal_Sukses]],VLOOKUP(Table_ExternalData_14[[#This Row],[ContractID]],Bantuan!$A:$C,2,0))</f>
        <v>0</v>
      </c>
      <c r="DL78" s="120">
        <f>IF(Table_ExternalData_14[[#This Row],[Keterangan_Sukses]]=" ",Table_ExternalData_14[[#This Row],[Keterangan_Sukses]],VLOOKUP(Table_ExternalData_14[[#This Row],[ContractID]],Bantuan!$A:$C,3,0))</f>
        <v>0</v>
      </c>
    </row>
    <row r="79" spans="1:116" x14ac:dyDescent="0.3">
      <c r="A79" s="117" t="s">
        <v>756</v>
      </c>
      <c r="B79" s="112" t="s">
        <v>242</v>
      </c>
      <c r="C79" s="113">
        <v>46142</v>
      </c>
      <c r="D79" s="279">
        <v>45983</v>
      </c>
      <c r="E79" s="113">
        <v>44487</v>
      </c>
      <c r="F79" s="112" t="s">
        <v>1787</v>
      </c>
      <c r="G79" s="112" t="s">
        <v>1788</v>
      </c>
      <c r="H79" s="112" t="s">
        <v>1789</v>
      </c>
      <c r="I79" s="112" t="s">
        <v>1790</v>
      </c>
      <c r="J79" s="112" t="s">
        <v>1791</v>
      </c>
      <c r="K79" s="112" t="s">
        <v>4</v>
      </c>
      <c r="L79" s="112" t="s">
        <v>1791</v>
      </c>
      <c r="M79" s="112" t="s">
        <v>1792</v>
      </c>
      <c r="N79" s="112" t="s">
        <v>1793</v>
      </c>
      <c r="O79" s="112" t="s">
        <v>1794</v>
      </c>
      <c r="P79" s="112" t="s">
        <v>244</v>
      </c>
      <c r="Q79" s="112" t="s">
        <v>294</v>
      </c>
      <c r="R79" s="112" t="s">
        <v>4</v>
      </c>
      <c r="S79" s="112" t="s">
        <v>4</v>
      </c>
      <c r="T79" s="112" t="s">
        <v>1795</v>
      </c>
      <c r="U79" s="112" t="s">
        <v>1795</v>
      </c>
      <c r="V79" s="112" t="s">
        <v>1796</v>
      </c>
      <c r="W79" s="112" t="s">
        <v>120</v>
      </c>
      <c r="X79" s="112" t="s">
        <v>121</v>
      </c>
      <c r="Y79" s="112" t="s">
        <v>136</v>
      </c>
      <c r="Z79" s="112" t="s">
        <v>137</v>
      </c>
      <c r="AA79" s="112" t="s">
        <v>1797</v>
      </c>
      <c r="AB79" s="112" t="s">
        <v>1798</v>
      </c>
      <c r="AC79" s="112" t="s">
        <v>1799</v>
      </c>
      <c r="AD79" s="112">
        <v>14880000</v>
      </c>
      <c r="AE79" s="112">
        <v>14399782.460000001</v>
      </c>
      <c r="AF79" s="112">
        <v>0</v>
      </c>
      <c r="AG79" s="112">
        <v>14880000</v>
      </c>
      <c r="AH79" s="112">
        <v>50038000</v>
      </c>
      <c r="AI79" s="112">
        <v>0</v>
      </c>
      <c r="AJ79" s="112">
        <v>3720000</v>
      </c>
      <c r="AK79" s="112">
        <v>159</v>
      </c>
      <c r="AL79" s="112">
        <v>4</v>
      </c>
      <c r="AM79" s="112">
        <v>49</v>
      </c>
      <c r="AN79" s="112">
        <v>52</v>
      </c>
      <c r="AO79" s="112" t="s">
        <v>123</v>
      </c>
      <c r="AP79" s="112" t="s">
        <v>123</v>
      </c>
      <c r="AQ79" s="112" t="s">
        <v>124</v>
      </c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2"/>
      <c r="BE79" s="112"/>
      <c r="BF79" s="112" t="s">
        <v>129</v>
      </c>
      <c r="BG79" s="112" t="s">
        <v>130</v>
      </c>
      <c r="BH79" s="112">
        <v>4</v>
      </c>
      <c r="BI79" s="112">
        <v>14880000</v>
      </c>
      <c r="BJ79" s="113"/>
      <c r="BK79" s="113"/>
      <c r="BL79" s="113"/>
      <c r="BM79" s="112"/>
      <c r="BN79" s="113">
        <v>46173</v>
      </c>
      <c r="BO79" s="112">
        <v>1</v>
      </c>
      <c r="BP79" s="114">
        <v>46149</v>
      </c>
      <c r="BQ79" s="112" t="s">
        <v>131</v>
      </c>
      <c r="BR79" s="112">
        <v>166</v>
      </c>
      <c r="BS79" s="113">
        <v>45983</v>
      </c>
      <c r="BT79" s="112">
        <v>14880000</v>
      </c>
      <c r="BU79" s="112">
        <v>0</v>
      </c>
      <c r="BV79" s="112">
        <v>1</v>
      </c>
      <c r="BW79" s="112">
        <v>0</v>
      </c>
      <c r="BX79" s="112">
        <v>0</v>
      </c>
      <c r="BY79" s="112">
        <v>0</v>
      </c>
      <c r="BZ79" s="112">
        <v>0</v>
      </c>
      <c r="CA79" s="112">
        <v>0</v>
      </c>
      <c r="CB79" s="112">
        <v>0</v>
      </c>
      <c r="CC79" s="113"/>
      <c r="CD79" s="112">
        <v>0</v>
      </c>
      <c r="CE79" s="113"/>
      <c r="CF79" s="112">
        <v>0</v>
      </c>
      <c r="CG79" s="113"/>
      <c r="CH79" s="112">
        <v>0</v>
      </c>
      <c r="CI79" s="113"/>
      <c r="CJ79" s="112">
        <v>0</v>
      </c>
      <c r="CK79" s="113"/>
      <c r="CL79" s="112">
        <v>0</v>
      </c>
      <c r="CM79" s="113">
        <v>46149</v>
      </c>
      <c r="CN79" s="112" t="s">
        <v>132</v>
      </c>
      <c r="CO79" s="112">
        <v>14399782.460000001</v>
      </c>
      <c r="CP79" s="112">
        <v>14399782.460000001</v>
      </c>
      <c r="CQ79" s="112">
        <v>22</v>
      </c>
      <c r="CR79" s="118"/>
      <c r="CS79" s="119"/>
      <c r="CT79" s="112">
        <v>0</v>
      </c>
      <c r="CU79" s="112" t="s">
        <v>757</v>
      </c>
      <c r="CV79" s="112" t="s">
        <v>246</v>
      </c>
      <c r="CW79" s="113">
        <v>46149</v>
      </c>
      <c r="CX79" s="112" t="s">
        <v>2116</v>
      </c>
      <c r="CY79" s="120">
        <f>MONTH(Table_ExternalData_14[[#This Row],[RunningReportDate]])</f>
        <v>5</v>
      </c>
      <c r="CZ79" s="120">
        <f>181-Table_ExternalData_14[[#This Row],[DaysOD]]</f>
        <v>22</v>
      </c>
      <c r="DA79" s="120">
        <f>IF(Table_ExternalData_14[[#This Row],[Status]]="PU-WC",0,Table_ExternalData_14[[#This Row],[Amount_CWO]]/1000000)</f>
        <v>14.399782460000001</v>
      </c>
      <c r="DB79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79" s="120">
        <f>IF(Table_ExternalData_14[[#This Row],[Status]]="PU-WC",0,IF(Table_ExternalData_14[[#This Row],[Success CWO]]=1,Table_ExternalData_14[[#This Row],[CWO Amt]],0))</f>
        <v>0</v>
      </c>
      <c r="DD79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79" s="120">
        <f>DAY(Table_ExternalData_14[[#This Row],[Tanggal_Sukses-new]])</f>
        <v>0</v>
      </c>
      <c r="DF79" s="120">
        <f>IF(Table_ExternalData_14[[#This Row],[Status]]="PU-WC",0,IF(SUM(Table_ExternalData_14[[#This Row],[Success CWO]:[WO-In-Amt]])=0,1,0))</f>
        <v>1</v>
      </c>
      <c r="DG79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14.399782460000001</v>
      </c>
      <c r="DH79" s="120" t="str">
        <f>VLOOKUP(Table_ExternalData_14[[#This Row],[BranchID]],KC!$A:$K,5,0)</f>
        <v>4W</v>
      </c>
      <c r="DI79" s="120" t="str">
        <f>VLOOKUP(Table_ExternalData_14[[#This Row],[BranchID]],KC!$A:$K,8,0)</f>
        <v>08. Sumbaguteng</v>
      </c>
      <c r="DJ79" s="120" t="str">
        <f>VLOOKUP(Table_ExternalData_14[[#This Row],[BranchID]],KC!$A:$K,9,0)</f>
        <v>MEDAN</v>
      </c>
      <c r="DK79" s="121">
        <f>IF(Table_ExternalData_14[[#This Row],[Tanggal_Sukses]]=" ",Table_ExternalData_14[[#This Row],[Tanggal_Sukses]],VLOOKUP(Table_ExternalData_14[[#This Row],[ContractID]],Bantuan!$A:$C,2,0))</f>
        <v>0</v>
      </c>
      <c r="DL79" s="120">
        <f>IF(Table_ExternalData_14[[#This Row],[Keterangan_Sukses]]=" ",Table_ExternalData_14[[#This Row],[Keterangan_Sukses]],VLOOKUP(Table_ExternalData_14[[#This Row],[ContractID]],Bantuan!$A:$C,3,0))</f>
        <v>0</v>
      </c>
    </row>
    <row r="80" spans="1:116" x14ac:dyDescent="0.3">
      <c r="A80" s="117" t="s">
        <v>8</v>
      </c>
      <c r="B80" s="112" t="s">
        <v>7</v>
      </c>
      <c r="C80" s="113">
        <v>46142</v>
      </c>
      <c r="D80" s="279">
        <v>45966</v>
      </c>
      <c r="E80" s="113">
        <v>44560</v>
      </c>
      <c r="F80" s="112" t="s">
        <v>1800</v>
      </c>
      <c r="G80" s="112" t="s">
        <v>1801</v>
      </c>
      <c r="H80" s="112" t="s">
        <v>1802</v>
      </c>
      <c r="I80" s="112" t="s">
        <v>1803</v>
      </c>
      <c r="J80" s="112" t="s">
        <v>1804</v>
      </c>
      <c r="K80" s="112" t="s">
        <v>4</v>
      </c>
      <c r="L80" s="112" t="s">
        <v>1804</v>
      </c>
      <c r="M80" s="112" t="s">
        <v>1805</v>
      </c>
      <c r="N80" s="112" t="s">
        <v>1806</v>
      </c>
      <c r="O80" s="112" t="s">
        <v>0</v>
      </c>
      <c r="P80" s="112" t="s">
        <v>959</v>
      </c>
      <c r="Q80" s="112" t="s">
        <v>1148</v>
      </c>
      <c r="R80" s="112" t="s">
        <v>4</v>
      </c>
      <c r="S80" s="112" t="s">
        <v>4</v>
      </c>
      <c r="T80" s="112" t="s">
        <v>4</v>
      </c>
      <c r="U80" s="112" t="s">
        <v>4</v>
      </c>
      <c r="V80" s="112" t="s">
        <v>1807</v>
      </c>
      <c r="W80" s="112" t="s">
        <v>120</v>
      </c>
      <c r="X80" s="112" t="s">
        <v>121</v>
      </c>
      <c r="Y80" s="112" t="s">
        <v>136</v>
      </c>
      <c r="Z80" s="112" t="s">
        <v>137</v>
      </c>
      <c r="AA80" s="112" t="s">
        <v>1808</v>
      </c>
      <c r="AB80" s="112" t="s">
        <v>1809</v>
      </c>
      <c r="AC80" s="112" t="s">
        <v>1810</v>
      </c>
      <c r="AD80" s="112">
        <v>11100000</v>
      </c>
      <c r="AE80" s="112">
        <v>10787031.26</v>
      </c>
      <c r="AF80" s="112">
        <v>0</v>
      </c>
      <c r="AG80" s="112">
        <v>11100000</v>
      </c>
      <c r="AH80" s="112">
        <v>23400350</v>
      </c>
      <c r="AI80" s="112">
        <v>150000</v>
      </c>
      <c r="AJ80" s="112">
        <v>3700000</v>
      </c>
      <c r="AK80" s="112">
        <v>176</v>
      </c>
      <c r="AL80" s="112">
        <v>3</v>
      </c>
      <c r="AM80" s="112">
        <v>46</v>
      </c>
      <c r="AN80" s="112">
        <v>48</v>
      </c>
      <c r="AO80" s="112" t="s">
        <v>123</v>
      </c>
      <c r="AP80" s="112" t="s">
        <v>123</v>
      </c>
      <c r="AQ80" s="112" t="s">
        <v>124</v>
      </c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2"/>
      <c r="BE80" s="112"/>
      <c r="BF80" s="112" t="s">
        <v>129</v>
      </c>
      <c r="BG80" s="112" t="s">
        <v>130</v>
      </c>
      <c r="BH80" s="112">
        <v>3</v>
      </c>
      <c r="BI80" s="112">
        <v>11100000</v>
      </c>
      <c r="BJ80" s="113"/>
      <c r="BK80" s="113"/>
      <c r="BL80" s="113"/>
      <c r="BM80" s="112"/>
      <c r="BN80" s="113">
        <v>46173</v>
      </c>
      <c r="BO80" s="112">
        <v>1</v>
      </c>
      <c r="BP80" s="114">
        <v>46149</v>
      </c>
      <c r="BQ80" s="112" t="s">
        <v>131</v>
      </c>
      <c r="BR80" s="112">
        <v>183</v>
      </c>
      <c r="BS80" s="113">
        <v>45966</v>
      </c>
      <c r="BT80" s="112">
        <v>11100000</v>
      </c>
      <c r="BU80" s="112">
        <v>0</v>
      </c>
      <c r="BV80" s="112">
        <v>1</v>
      </c>
      <c r="BW80" s="112">
        <v>0</v>
      </c>
      <c r="BX80" s="112">
        <v>0</v>
      </c>
      <c r="BY80" s="112">
        <v>0</v>
      </c>
      <c r="BZ80" s="112">
        <v>0</v>
      </c>
      <c r="CA80" s="112">
        <v>0</v>
      </c>
      <c r="CB80" s="112">
        <v>0</v>
      </c>
      <c r="CC80" s="113"/>
      <c r="CD80" s="112">
        <v>0</v>
      </c>
      <c r="CE80" s="113"/>
      <c r="CF80" s="112">
        <v>0</v>
      </c>
      <c r="CG80" s="113"/>
      <c r="CH80" s="112">
        <v>0</v>
      </c>
      <c r="CI80" s="113"/>
      <c r="CJ80" s="112">
        <v>0</v>
      </c>
      <c r="CK80" s="113"/>
      <c r="CL80" s="112">
        <v>0</v>
      </c>
      <c r="CM80" s="113">
        <v>46149</v>
      </c>
      <c r="CN80" s="112" t="s">
        <v>132</v>
      </c>
      <c r="CO80" s="112">
        <v>10637031.26</v>
      </c>
      <c r="CP80" s="112">
        <v>10637031.26</v>
      </c>
      <c r="CQ80" s="112">
        <v>5</v>
      </c>
      <c r="CR80" s="118"/>
      <c r="CS80" s="119"/>
      <c r="CT80" s="112">
        <v>0</v>
      </c>
      <c r="CU80" s="112" t="s">
        <v>414</v>
      </c>
      <c r="CV80" s="112" t="s">
        <v>192</v>
      </c>
      <c r="CW80" s="113">
        <v>46149</v>
      </c>
      <c r="CX80" s="112" t="s">
        <v>2116</v>
      </c>
      <c r="CY80" s="120">
        <f>MONTH(Table_ExternalData_14[[#This Row],[RunningReportDate]])</f>
        <v>5</v>
      </c>
      <c r="CZ80" s="120">
        <f>181-Table_ExternalData_14[[#This Row],[DaysOD]]</f>
        <v>5</v>
      </c>
      <c r="DA80" s="120">
        <f>IF(Table_ExternalData_14[[#This Row],[Status]]="PU-WC",0,Table_ExternalData_14[[#This Row],[Amount_CWO]]/1000000)</f>
        <v>10.637031260000001</v>
      </c>
      <c r="DB80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80" s="120">
        <f>IF(Table_ExternalData_14[[#This Row],[Status]]="PU-WC",0,IF(Table_ExternalData_14[[#This Row],[Success CWO]]=1,Table_ExternalData_14[[#This Row],[CWO Amt]],0))</f>
        <v>0</v>
      </c>
      <c r="DD80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10.637031260000001</v>
      </c>
      <c r="DE80" s="120">
        <f>DAY(Table_ExternalData_14[[#This Row],[Tanggal_Sukses-new]])</f>
        <v>0</v>
      </c>
      <c r="DF80" s="120">
        <f>IF(Table_ExternalData_14[[#This Row],[Status]]="PU-WC",0,IF(SUM(Table_ExternalData_14[[#This Row],[Success CWO]:[WO-In-Amt]])=0,1,0))</f>
        <v>0</v>
      </c>
      <c r="DG80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80" s="120" t="str">
        <f>VLOOKUP(Table_ExternalData_14[[#This Row],[BranchID]],KC!$A:$K,5,0)</f>
        <v>4W</v>
      </c>
      <c r="DI80" s="120" t="str">
        <f>VLOOKUP(Table_ExternalData_14[[#This Row],[BranchID]],KC!$A:$K,8,0)</f>
        <v>01. Jabodetabekser</v>
      </c>
      <c r="DJ80" s="120" t="str">
        <f>VLOOKUP(Table_ExternalData_14[[#This Row],[BranchID]],KC!$A:$K,9,0)</f>
        <v>DEPOK</v>
      </c>
      <c r="DK80" s="121">
        <f>IF(Table_ExternalData_14[[#This Row],[Tanggal_Sukses]]=" ",Table_ExternalData_14[[#This Row],[Tanggal_Sukses]],VLOOKUP(Table_ExternalData_14[[#This Row],[ContractID]],Bantuan!$A:$C,2,0))</f>
        <v>0</v>
      </c>
      <c r="DL80" s="120">
        <f>IF(Table_ExternalData_14[[#This Row],[Keterangan_Sukses]]=" ",Table_ExternalData_14[[#This Row],[Keterangan_Sukses]],VLOOKUP(Table_ExternalData_14[[#This Row],[ContractID]],Bantuan!$A:$C,3,0))</f>
        <v>0</v>
      </c>
    </row>
    <row r="81" spans="1:116" x14ac:dyDescent="0.3">
      <c r="A81" s="117" t="s">
        <v>752</v>
      </c>
      <c r="B81" s="112" t="s">
        <v>556</v>
      </c>
      <c r="C81" s="113">
        <v>46142</v>
      </c>
      <c r="D81" s="279">
        <v>45982</v>
      </c>
      <c r="E81" s="113">
        <v>45678</v>
      </c>
      <c r="F81" s="112" t="s">
        <v>1811</v>
      </c>
      <c r="G81" s="112" t="s">
        <v>1812</v>
      </c>
      <c r="H81" s="112" t="s">
        <v>1813</v>
      </c>
      <c r="I81" s="112" t="s">
        <v>1814</v>
      </c>
      <c r="J81" s="112" t="s">
        <v>1815</v>
      </c>
      <c r="K81" s="112" t="s">
        <v>4</v>
      </c>
      <c r="L81" s="112" t="s">
        <v>1815</v>
      </c>
      <c r="M81" s="112" t="s">
        <v>1816</v>
      </c>
      <c r="N81" s="112" t="s">
        <v>1817</v>
      </c>
      <c r="O81" s="112" t="s">
        <v>1818</v>
      </c>
      <c r="P81" s="112" t="s">
        <v>882</v>
      </c>
      <c r="Q81" s="112" t="s">
        <v>1147</v>
      </c>
      <c r="R81" s="112" t="s">
        <v>4</v>
      </c>
      <c r="S81" s="112" t="s">
        <v>4</v>
      </c>
      <c r="T81" s="112" t="s">
        <v>239</v>
      </c>
      <c r="U81" s="112" t="s">
        <v>239</v>
      </c>
      <c r="V81" s="112" t="s">
        <v>239</v>
      </c>
      <c r="W81" s="112" t="s">
        <v>120</v>
      </c>
      <c r="X81" s="112" t="s">
        <v>121</v>
      </c>
      <c r="Y81" s="112" t="s">
        <v>136</v>
      </c>
      <c r="Z81" s="112" t="s">
        <v>137</v>
      </c>
      <c r="AA81" s="112" t="s">
        <v>1819</v>
      </c>
      <c r="AB81" s="112" t="s">
        <v>1820</v>
      </c>
      <c r="AC81" s="112" t="s">
        <v>1821</v>
      </c>
      <c r="AD81" s="112">
        <v>186150000</v>
      </c>
      <c r="AE81" s="112">
        <v>136779018.58000001</v>
      </c>
      <c r="AF81" s="112">
        <v>164250000</v>
      </c>
      <c r="AG81" s="112">
        <v>21900000</v>
      </c>
      <c r="AH81" s="112">
        <v>10316750</v>
      </c>
      <c r="AI81" s="112">
        <v>0</v>
      </c>
      <c r="AJ81" s="112">
        <v>3650000</v>
      </c>
      <c r="AK81" s="112">
        <v>160</v>
      </c>
      <c r="AL81" s="112">
        <v>6</v>
      </c>
      <c r="AM81" s="112">
        <v>10</v>
      </c>
      <c r="AN81" s="112">
        <v>60</v>
      </c>
      <c r="AO81" s="112" t="s">
        <v>123</v>
      </c>
      <c r="AP81" s="112" t="s">
        <v>123</v>
      </c>
      <c r="AQ81" s="112" t="s">
        <v>124</v>
      </c>
      <c r="AR81" s="112" t="s">
        <v>884</v>
      </c>
      <c r="AS81" s="112" t="s">
        <v>885</v>
      </c>
      <c r="AT81" s="112" t="s">
        <v>886</v>
      </c>
      <c r="AU81" s="112" t="s">
        <v>887</v>
      </c>
      <c r="AV81" s="112" t="s">
        <v>125</v>
      </c>
      <c r="AW81" s="112" t="s">
        <v>126</v>
      </c>
      <c r="AX81" s="112"/>
      <c r="AY81" s="112" t="s">
        <v>888</v>
      </c>
      <c r="AZ81" s="112" t="s">
        <v>889</v>
      </c>
      <c r="BA81" s="112" t="s">
        <v>890</v>
      </c>
      <c r="BB81" s="112"/>
      <c r="BC81" s="112" t="s">
        <v>891</v>
      </c>
      <c r="BD81" s="112" t="s">
        <v>125</v>
      </c>
      <c r="BE81" s="112" t="s">
        <v>126</v>
      </c>
      <c r="BF81" s="112" t="s">
        <v>129</v>
      </c>
      <c r="BG81" s="112" t="s">
        <v>130</v>
      </c>
      <c r="BH81" s="112">
        <v>7</v>
      </c>
      <c r="BI81" s="112">
        <v>25550000</v>
      </c>
      <c r="BJ81" s="113"/>
      <c r="BK81" s="113"/>
      <c r="BL81" s="113"/>
      <c r="BM81" s="112"/>
      <c r="BN81" s="113">
        <v>46173</v>
      </c>
      <c r="BO81" s="112">
        <v>1</v>
      </c>
      <c r="BP81" s="114">
        <v>46149</v>
      </c>
      <c r="BQ81" s="112" t="s">
        <v>131</v>
      </c>
      <c r="BR81" s="112">
        <v>167</v>
      </c>
      <c r="BS81" s="113">
        <v>45982</v>
      </c>
      <c r="BT81" s="112">
        <v>186150000</v>
      </c>
      <c r="BU81" s="112">
        <v>0</v>
      </c>
      <c r="BV81" s="112">
        <v>1</v>
      </c>
      <c r="BW81" s="112">
        <v>0</v>
      </c>
      <c r="BX81" s="112">
        <v>0</v>
      </c>
      <c r="BY81" s="112">
        <v>0</v>
      </c>
      <c r="BZ81" s="112">
        <v>0</v>
      </c>
      <c r="CA81" s="112">
        <v>0</v>
      </c>
      <c r="CB81" s="112">
        <v>0</v>
      </c>
      <c r="CC81" s="113"/>
      <c r="CD81" s="112">
        <v>0</v>
      </c>
      <c r="CE81" s="113"/>
      <c r="CF81" s="112">
        <v>0</v>
      </c>
      <c r="CG81" s="113"/>
      <c r="CH81" s="112">
        <v>0</v>
      </c>
      <c r="CI81" s="113"/>
      <c r="CJ81" s="112">
        <v>0</v>
      </c>
      <c r="CK81" s="113"/>
      <c r="CL81" s="112">
        <v>0</v>
      </c>
      <c r="CM81" s="113">
        <v>46149</v>
      </c>
      <c r="CN81" s="112" t="s">
        <v>132</v>
      </c>
      <c r="CO81" s="112">
        <v>136779018.58000001</v>
      </c>
      <c r="CP81" s="112">
        <v>136779018.58000001</v>
      </c>
      <c r="CQ81" s="112">
        <v>21</v>
      </c>
      <c r="CR81" s="118"/>
      <c r="CS81" s="119"/>
      <c r="CT81" s="112">
        <v>0</v>
      </c>
      <c r="CU81" s="112" t="s">
        <v>753</v>
      </c>
      <c r="CV81" s="112" t="s">
        <v>308</v>
      </c>
      <c r="CW81" s="113">
        <v>46149</v>
      </c>
      <c r="CX81" s="112" t="s">
        <v>2116</v>
      </c>
      <c r="CY81" s="120">
        <f>MONTH(Table_ExternalData_14[[#This Row],[RunningReportDate]])</f>
        <v>5</v>
      </c>
      <c r="CZ81" s="120">
        <f>181-Table_ExternalData_14[[#This Row],[DaysOD]]</f>
        <v>21</v>
      </c>
      <c r="DA81" s="120">
        <f>IF(Table_ExternalData_14[[#This Row],[Status]]="PU-WC",0,Table_ExternalData_14[[#This Row],[Amount_CWO]]/1000000)</f>
        <v>136.77901858000001</v>
      </c>
      <c r="DB81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81" s="120">
        <f>IF(Table_ExternalData_14[[#This Row],[Status]]="PU-WC",0,IF(Table_ExternalData_14[[#This Row],[Success CWO]]=1,Table_ExternalData_14[[#This Row],[CWO Amt]],0))</f>
        <v>0</v>
      </c>
      <c r="DD81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81" s="120">
        <f>DAY(Table_ExternalData_14[[#This Row],[Tanggal_Sukses-new]])</f>
        <v>0</v>
      </c>
      <c r="DF81" s="120">
        <f>IF(Table_ExternalData_14[[#This Row],[Status]]="PU-WC",0,IF(SUM(Table_ExternalData_14[[#This Row],[Success CWO]:[WO-In-Amt]])=0,1,0))</f>
        <v>1</v>
      </c>
      <c r="DG81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136.77901858000001</v>
      </c>
      <c r="DH81" s="120" t="str">
        <f>VLOOKUP(Table_ExternalData_14[[#This Row],[BranchID]],KC!$A:$K,5,0)</f>
        <v>4W</v>
      </c>
      <c r="DI81" s="120" t="str">
        <f>VLOOKUP(Table_ExternalData_14[[#This Row],[BranchID]],KC!$A:$K,8,0)</f>
        <v>07. Sumbagsel</v>
      </c>
      <c r="DJ81" s="120" t="str">
        <f>VLOOKUP(Table_ExternalData_14[[#This Row],[BranchID]],KC!$A:$K,9,0)</f>
        <v>JAMBI</v>
      </c>
      <c r="DK81" s="121">
        <f>IF(Table_ExternalData_14[[#This Row],[Tanggal_Sukses]]=" ",Table_ExternalData_14[[#This Row],[Tanggal_Sukses]],VLOOKUP(Table_ExternalData_14[[#This Row],[ContractID]],Bantuan!$A:$C,2,0))</f>
        <v>0</v>
      </c>
      <c r="DL81" s="120">
        <f>IF(Table_ExternalData_14[[#This Row],[Keterangan_Sukses]]=" ",Table_ExternalData_14[[#This Row],[Keterangan_Sukses]],VLOOKUP(Table_ExternalData_14[[#This Row],[ContractID]],Bantuan!$A:$C,3,0))</f>
        <v>0</v>
      </c>
    </row>
    <row r="82" spans="1:116" x14ac:dyDescent="0.3">
      <c r="A82" s="117" t="s">
        <v>752</v>
      </c>
      <c r="B82" s="112" t="s">
        <v>556</v>
      </c>
      <c r="C82" s="113">
        <v>46142</v>
      </c>
      <c r="D82" s="279">
        <v>45973</v>
      </c>
      <c r="E82" s="113">
        <v>44609</v>
      </c>
      <c r="F82" s="112" t="s">
        <v>1822</v>
      </c>
      <c r="G82" s="112" t="s">
        <v>1823</v>
      </c>
      <c r="H82" s="112" t="s">
        <v>1824</v>
      </c>
      <c r="I82" s="112" t="s">
        <v>1825</v>
      </c>
      <c r="J82" s="112" t="s">
        <v>1815</v>
      </c>
      <c r="K82" s="112" t="s">
        <v>4</v>
      </c>
      <c r="L82" s="112" t="s">
        <v>1815</v>
      </c>
      <c r="M82" s="112" t="s">
        <v>1826</v>
      </c>
      <c r="N82" s="112" t="s">
        <v>1827</v>
      </c>
      <c r="O82" s="112" t="s">
        <v>1818</v>
      </c>
      <c r="P82" s="112" t="s">
        <v>882</v>
      </c>
      <c r="Q82" s="112" t="s">
        <v>883</v>
      </c>
      <c r="R82" s="112" t="s">
        <v>4</v>
      </c>
      <c r="S82" s="112" t="s">
        <v>4</v>
      </c>
      <c r="T82" s="112" t="s">
        <v>893</v>
      </c>
      <c r="U82" s="112" t="s">
        <v>893</v>
      </c>
      <c r="V82" s="112" t="s">
        <v>893</v>
      </c>
      <c r="W82" s="112" t="s">
        <v>120</v>
      </c>
      <c r="X82" s="112" t="s">
        <v>121</v>
      </c>
      <c r="Y82" s="112" t="s">
        <v>136</v>
      </c>
      <c r="Z82" s="112" t="s">
        <v>137</v>
      </c>
      <c r="AA82" s="112" t="s">
        <v>1828</v>
      </c>
      <c r="AB82" s="112" t="s">
        <v>1829</v>
      </c>
      <c r="AC82" s="112" t="s">
        <v>1830</v>
      </c>
      <c r="AD82" s="112">
        <v>58400000</v>
      </c>
      <c r="AE82" s="112">
        <v>51472803.310000002</v>
      </c>
      <c r="AF82" s="112">
        <v>36500000</v>
      </c>
      <c r="AG82" s="112">
        <v>21900000</v>
      </c>
      <c r="AH82" s="112">
        <v>11143500</v>
      </c>
      <c r="AI82" s="112">
        <v>0</v>
      </c>
      <c r="AJ82" s="112">
        <v>3650000</v>
      </c>
      <c r="AK82" s="112">
        <v>169</v>
      </c>
      <c r="AL82" s="112">
        <v>6</v>
      </c>
      <c r="AM82" s="112">
        <v>45</v>
      </c>
      <c r="AN82" s="112">
        <v>60</v>
      </c>
      <c r="AO82" s="112" t="s">
        <v>123</v>
      </c>
      <c r="AP82" s="112" t="s">
        <v>123</v>
      </c>
      <c r="AQ82" s="112" t="s">
        <v>124</v>
      </c>
      <c r="AR82" s="112" t="s">
        <v>884</v>
      </c>
      <c r="AS82" s="112" t="s">
        <v>885</v>
      </c>
      <c r="AT82" s="112" t="s">
        <v>886</v>
      </c>
      <c r="AU82" s="112" t="s">
        <v>887</v>
      </c>
      <c r="AV82" s="112" t="s">
        <v>125</v>
      </c>
      <c r="AW82" s="112" t="s">
        <v>126</v>
      </c>
      <c r="AX82" s="112"/>
      <c r="AY82" s="112" t="s">
        <v>888</v>
      </c>
      <c r="AZ82" s="112" t="s">
        <v>889</v>
      </c>
      <c r="BA82" s="112" t="s">
        <v>890</v>
      </c>
      <c r="BB82" s="112"/>
      <c r="BC82" s="112" t="s">
        <v>891</v>
      </c>
      <c r="BD82" s="112" t="s">
        <v>125</v>
      </c>
      <c r="BE82" s="112" t="s">
        <v>126</v>
      </c>
      <c r="BF82" s="112" t="s">
        <v>129</v>
      </c>
      <c r="BG82" s="112" t="s">
        <v>130</v>
      </c>
      <c r="BH82" s="112">
        <v>7</v>
      </c>
      <c r="BI82" s="112">
        <v>25550000</v>
      </c>
      <c r="BJ82" s="113"/>
      <c r="BK82" s="113"/>
      <c r="BL82" s="113"/>
      <c r="BM82" s="112"/>
      <c r="BN82" s="113">
        <v>46173</v>
      </c>
      <c r="BO82" s="112">
        <v>1</v>
      </c>
      <c r="BP82" s="114">
        <v>46149</v>
      </c>
      <c r="BQ82" s="112" t="s">
        <v>131</v>
      </c>
      <c r="BR82" s="112">
        <v>176</v>
      </c>
      <c r="BS82" s="113">
        <v>45973</v>
      </c>
      <c r="BT82" s="112">
        <v>58400000</v>
      </c>
      <c r="BU82" s="112">
        <v>0</v>
      </c>
      <c r="BV82" s="112">
        <v>1</v>
      </c>
      <c r="BW82" s="112">
        <v>0</v>
      </c>
      <c r="BX82" s="112">
        <v>0</v>
      </c>
      <c r="BY82" s="112">
        <v>0</v>
      </c>
      <c r="BZ82" s="112">
        <v>0</v>
      </c>
      <c r="CA82" s="112">
        <v>0</v>
      </c>
      <c r="CB82" s="112">
        <v>0</v>
      </c>
      <c r="CC82" s="113"/>
      <c r="CD82" s="112">
        <v>0</v>
      </c>
      <c r="CE82" s="113"/>
      <c r="CF82" s="112">
        <v>0</v>
      </c>
      <c r="CG82" s="113"/>
      <c r="CH82" s="112">
        <v>0</v>
      </c>
      <c r="CI82" s="113"/>
      <c r="CJ82" s="112">
        <v>0</v>
      </c>
      <c r="CK82" s="113"/>
      <c r="CL82" s="112">
        <v>0</v>
      </c>
      <c r="CM82" s="113">
        <v>46149</v>
      </c>
      <c r="CN82" s="112" t="s">
        <v>132</v>
      </c>
      <c r="CO82" s="112">
        <v>51472803.310000002</v>
      </c>
      <c r="CP82" s="112">
        <v>51472803.310000002</v>
      </c>
      <c r="CQ82" s="112">
        <v>12</v>
      </c>
      <c r="CR82" s="118"/>
      <c r="CS82" s="119"/>
      <c r="CT82" s="112">
        <v>0</v>
      </c>
      <c r="CU82" s="112" t="s">
        <v>753</v>
      </c>
      <c r="CV82" s="112" t="s">
        <v>308</v>
      </c>
      <c r="CW82" s="113">
        <v>46149</v>
      </c>
      <c r="CX82" s="112" t="s">
        <v>2116</v>
      </c>
      <c r="CY82" s="120">
        <f>MONTH(Table_ExternalData_14[[#This Row],[RunningReportDate]])</f>
        <v>5</v>
      </c>
      <c r="CZ82" s="120">
        <f>181-Table_ExternalData_14[[#This Row],[DaysOD]]</f>
        <v>12</v>
      </c>
      <c r="DA82" s="120">
        <f>IF(Table_ExternalData_14[[#This Row],[Status]]="PU-WC",0,Table_ExternalData_14[[#This Row],[Amount_CWO]]/1000000)</f>
        <v>51.472803310000003</v>
      </c>
      <c r="DB82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82" s="120">
        <f>IF(Table_ExternalData_14[[#This Row],[Status]]="PU-WC",0,IF(Table_ExternalData_14[[#This Row],[Success CWO]]=1,Table_ExternalData_14[[#This Row],[CWO Amt]],0))</f>
        <v>0</v>
      </c>
      <c r="DD82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82" s="120">
        <f>DAY(Table_ExternalData_14[[#This Row],[Tanggal_Sukses-new]])</f>
        <v>0</v>
      </c>
      <c r="DF82" s="120">
        <f>IF(Table_ExternalData_14[[#This Row],[Status]]="PU-WC",0,IF(SUM(Table_ExternalData_14[[#This Row],[Success CWO]:[WO-In-Amt]])=0,1,0))</f>
        <v>1</v>
      </c>
      <c r="DG82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51.472803310000003</v>
      </c>
      <c r="DH82" s="120" t="str">
        <f>VLOOKUP(Table_ExternalData_14[[#This Row],[BranchID]],KC!$A:$K,5,0)</f>
        <v>4W</v>
      </c>
      <c r="DI82" s="120" t="str">
        <f>VLOOKUP(Table_ExternalData_14[[#This Row],[BranchID]],KC!$A:$K,8,0)</f>
        <v>07. Sumbagsel</v>
      </c>
      <c r="DJ82" s="120" t="str">
        <f>VLOOKUP(Table_ExternalData_14[[#This Row],[BranchID]],KC!$A:$K,9,0)</f>
        <v>JAMBI</v>
      </c>
      <c r="DK82" s="121">
        <f>IF(Table_ExternalData_14[[#This Row],[Tanggal_Sukses]]=" ",Table_ExternalData_14[[#This Row],[Tanggal_Sukses]],VLOOKUP(Table_ExternalData_14[[#This Row],[ContractID]],Bantuan!$A:$C,2,0))</f>
        <v>0</v>
      </c>
      <c r="DL82" s="120">
        <f>IF(Table_ExternalData_14[[#This Row],[Keterangan_Sukses]]=" ",Table_ExternalData_14[[#This Row],[Keterangan_Sukses]],VLOOKUP(Table_ExternalData_14[[#This Row],[ContractID]],Bantuan!$A:$C,3,0))</f>
        <v>0</v>
      </c>
    </row>
    <row r="83" spans="1:116" x14ac:dyDescent="0.3">
      <c r="A83" s="117" t="s">
        <v>752</v>
      </c>
      <c r="B83" s="112" t="s">
        <v>556</v>
      </c>
      <c r="C83" s="113">
        <v>46142</v>
      </c>
      <c r="D83" s="279">
        <v>45984</v>
      </c>
      <c r="E83" s="113">
        <v>43920</v>
      </c>
      <c r="F83" s="112" t="s">
        <v>1135</v>
      </c>
      <c r="G83" s="112" t="s">
        <v>1136</v>
      </c>
      <c r="H83" s="112" t="s">
        <v>1137</v>
      </c>
      <c r="I83" s="112" t="s">
        <v>1138</v>
      </c>
      <c r="J83" s="112" t="s">
        <v>1139</v>
      </c>
      <c r="K83" s="112" t="s">
        <v>4</v>
      </c>
      <c r="L83" s="112" t="s">
        <v>1139</v>
      </c>
      <c r="M83" s="112" t="s">
        <v>1140</v>
      </c>
      <c r="N83" s="112" t="s">
        <v>1141</v>
      </c>
      <c r="O83" s="112" t="s">
        <v>556</v>
      </c>
      <c r="P83" s="112" t="s">
        <v>882</v>
      </c>
      <c r="Q83" s="112" t="s">
        <v>883</v>
      </c>
      <c r="R83" s="112" t="s">
        <v>4</v>
      </c>
      <c r="S83" s="112" t="s">
        <v>4</v>
      </c>
      <c r="T83" s="112" t="s">
        <v>1142</v>
      </c>
      <c r="U83" s="112" t="s">
        <v>1142</v>
      </c>
      <c r="V83" s="112" t="s">
        <v>4</v>
      </c>
      <c r="W83" s="112" t="s">
        <v>120</v>
      </c>
      <c r="X83" s="112" t="s">
        <v>121</v>
      </c>
      <c r="Y83" s="112" t="s">
        <v>215</v>
      </c>
      <c r="Z83" s="112" t="s">
        <v>1143</v>
      </c>
      <c r="AA83" s="112" t="s">
        <v>1144</v>
      </c>
      <c r="AB83" s="112" t="s">
        <v>1145</v>
      </c>
      <c r="AC83" s="112" t="s">
        <v>1146</v>
      </c>
      <c r="AD83" s="112">
        <v>37786000</v>
      </c>
      <c r="AE83" s="112">
        <v>35951448.670000002</v>
      </c>
      <c r="AF83" s="112">
        <v>5398000</v>
      </c>
      <c r="AG83" s="112">
        <v>32388000</v>
      </c>
      <c r="AH83" s="112">
        <v>104947769.5</v>
      </c>
      <c r="AI83" s="112">
        <v>300000</v>
      </c>
      <c r="AJ83" s="112">
        <v>5398000</v>
      </c>
      <c r="AK83" s="112">
        <v>158</v>
      </c>
      <c r="AL83" s="112">
        <v>6</v>
      </c>
      <c r="AM83" s="112">
        <v>67</v>
      </c>
      <c r="AN83" s="112">
        <v>73</v>
      </c>
      <c r="AO83" s="112" t="s">
        <v>123</v>
      </c>
      <c r="AP83" s="112" t="s">
        <v>123</v>
      </c>
      <c r="AQ83" s="112" t="s">
        <v>124</v>
      </c>
      <c r="AR83" s="112" t="s">
        <v>884</v>
      </c>
      <c r="AS83" s="112" t="s">
        <v>885</v>
      </c>
      <c r="AT83" s="112" t="s">
        <v>886</v>
      </c>
      <c r="AU83" s="112" t="s">
        <v>887</v>
      </c>
      <c r="AV83" s="112" t="s">
        <v>125</v>
      </c>
      <c r="AW83" s="112" t="s">
        <v>126</v>
      </c>
      <c r="AX83" s="112"/>
      <c r="AY83" s="112" t="s">
        <v>888</v>
      </c>
      <c r="AZ83" s="112" t="s">
        <v>889</v>
      </c>
      <c r="BA83" s="112" t="s">
        <v>890</v>
      </c>
      <c r="BB83" s="112"/>
      <c r="BC83" s="112" t="s">
        <v>891</v>
      </c>
      <c r="BD83" s="112" t="s">
        <v>125</v>
      </c>
      <c r="BE83" s="112" t="s">
        <v>126</v>
      </c>
      <c r="BF83" s="112" t="s">
        <v>129</v>
      </c>
      <c r="BG83" s="112" t="s">
        <v>130</v>
      </c>
      <c r="BH83" s="112">
        <v>7</v>
      </c>
      <c r="BI83" s="112">
        <v>37786000</v>
      </c>
      <c r="BJ83" s="113"/>
      <c r="BK83" s="113"/>
      <c r="BL83" s="113"/>
      <c r="BM83" s="112"/>
      <c r="BN83" s="113">
        <v>46173</v>
      </c>
      <c r="BO83" s="112">
        <v>1</v>
      </c>
      <c r="BP83" s="114">
        <v>46149</v>
      </c>
      <c r="BQ83" s="112" t="s">
        <v>131</v>
      </c>
      <c r="BR83" s="112">
        <v>165</v>
      </c>
      <c r="BS83" s="113">
        <v>45984</v>
      </c>
      <c r="BT83" s="112">
        <v>37786000</v>
      </c>
      <c r="BU83" s="112">
        <v>0</v>
      </c>
      <c r="BV83" s="112">
        <v>1</v>
      </c>
      <c r="BW83" s="112">
        <v>0</v>
      </c>
      <c r="BX83" s="112">
        <v>0</v>
      </c>
      <c r="BY83" s="112">
        <v>0</v>
      </c>
      <c r="BZ83" s="112">
        <v>0</v>
      </c>
      <c r="CA83" s="112">
        <v>0</v>
      </c>
      <c r="CB83" s="112">
        <v>0</v>
      </c>
      <c r="CC83" s="113"/>
      <c r="CD83" s="112">
        <v>0</v>
      </c>
      <c r="CE83" s="113"/>
      <c r="CF83" s="112">
        <v>0</v>
      </c>
      <c r="CG83" s="113"/>
      <c r="CH83" s="112">
        <v>0</v>
      </c>
      <c r="CI83" s="113"/>
      <c r="CJ83" s="112">
        <v>0</v>
      </c>
      <c r="CK83" s="113"/>
      <c r="CL83" s="112">
        <v>0</v>
      </c>
      <c r="CM83" s="113">
        <v>46149</v>
      </c>
      <c r="CN83" s="112" t="s">
        <v>132</v>
      </c>
      <c r="CO83" s="112">
        <v>35651448.670000002</v>
      </c>
      <c r="CP83" s="112">
        <v>35651448.670000002</v>
      </c>
      <c r="CQ83" s="112">
        <v>23</v>
      </c>
      <c r="CR83" s="118"/>
      <c r="CS83" s="119"/>
      <c r="CT83" s="112">
        <v>0</v>
      </c>
      <c r="CU83" s="112" t="s">
        <v>753</v>
      </c>
      <c r="CV83" s="112" t="s">
        <v>308</v>
      </c>
      <c r="CW83" s="113">
        <v>46149</v>
      </c>
      <c r="CX83" s="112" t="s">
        <v>2116</v>
      </c>
      <c r="CY83" s="120">
        <f>MONTH(Table_ExternalData_14[[#This Row],[RunningReportDate]])</f>
        <v>5</v>
      </c>
      <c r="CZ83" s="120">
        <f>181-Table_ExternalData_14[[#This Row],[DaysOD]]</f>
        <v>23</v>
      </c>
      <c r="DA83" s="120">
        <f>IF(Table_ExternalData_14[[#This Row],[Status]]="PU-WC",0,Table_ExternalData_14[[#This Row],[Amount_CWO]]/1000000)</f>
        <v>35.651448670000001</v>
      </c>
      <c r="DB83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83" s="120">
        <f>IF(Table_ExternalData_14[[#This Row],[Status]]="PU-WC",0,IF(Table_ExternalData_14[[#This Row],[Success CWO]]=1,Table_ExternalData_14[[#This Row],[CWO Amt]],0))</f>
        <v>0</v>
      </c>
      <c r="DD83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83" s="120">
        <f>DAY(Table_ExternalData_14[[#This Row],[Tanggal_Sukses-new]])</f>
        <v>0</v>
      </c>
      <c r="DF83" s="120">
        <f>IF(Table_ExternalData_14[[#This Row],[Status]]="PU-WC",0,IF(SUM(Table_ExternalData_14[[#This Row],[Success CWO]:[WO-In-Amt]])=0,1,0))</f>
        <v>1</v>
      </c>
      <c r="DG83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35.651448670000001</v>
      </c>
      <c r="DH83" s="120" t="str">
        <f>VLOOKUP(Table_ExternalData_14[[#This Row],[BranchID]],KC!$A:$K,5,0)</f>
        <v>4W</v>
      </c>
      <c r="DI83" s="120" t="str">
        <f>VLOOKUP(Table_ExternalData_14[[#This Row],[BranchID]],KC!$A:$K,8,0)</f>
        <v>07. Sumbagsel</v>
      </c>
      <c r="DJ83" s="120" t="str">
        <f>VLOOKUP(Table_ExternalData_14[[#This Row],[BranchID]],KC!$A:$K,9,0)</f>
        <v>JAMBI</v>
      </c>
      <c r="DK83" s="121">
        <f>IF(Table_ExternalData_14[[#This Row],[Tanggal_Sukses]]=" ",Table_ExternalData_14[[#This Row],[Tanggal_Sukses]],VLOOKUP(Table_ExternalData_14[[#This Row],[ContractID]],Bantuan!$A:$C,2,0))</f>
        <v>0</v>
      </c>
      <c r="DL83" s="120">
        <f>IF(Table_ExternalData_14[[#This Row],[Keterangan_Sukses]]=" ",Table_ExternalData_14[[#This Row],[Keterangan_Sukses]],VLOOKUP(Table_ExternalData_14[[#This Row],[ContractID]],Bantuan!$A:$C,3,0))</f>
        <v>0</v>
      </c>
    </row>
    <row r="84" spans="1:116" x14ac:dyDescent="0.3">
      <c r="A84" s="117" t="s">
        <v>400</v>
      </c>
      <c r="B84" s="112" t="s">
        <v>399</v>
      </c>
      <c r="C84" s="113">
        <v>46142</v>
      </c>
      <c r="D84" s="279">
        <v>45979</v>
      </c>
      <c r="E84" s="113">
        <v>45644</v>
      </c>
      <c r="F84" s="112" t="s">
        <v>1831</v>
      </c>
      <c r="G84" s="112" t="s">
        <v>1832</v>
      </c>
      <c r="H84" s="112" t="s">
        <v>1833</v>
      </c>
      <c r="I84" s="112" t="s">
        <v>1834</v>
      </c>
      <c r="J84" s="112" t="s">
        <v>1835</v>
      </c>
      <c r="K84" s="112" t="s">
        <v>4</v>
      </c>
      <c r="L84" s="112" t="s">
        <v>1835</v>
      </c>
      <c r="M84" s="112" t="s">
        <v>1836</v>
      </c>
      <c r="N84" s="112" t="s">
        <v>1837</v>
      </c>
      <c r="O84" s="112" t="s">
        <v>1838</v>
      </c>
      <c r="P84" s="112" t="s">
        <v>401</v>
      </c>
      <c r="Q84" s="112" t="s">
        <v>892</v>
      </c>
      <c r="R84" s="112" t="s">
        <v>4</v>
      </c>
      <c r="S84" s="112" t="s">
        <v>4</v>
      </c>
      <c r="T84" s="112" t="s">
        <v>1839</v>
      </c>
      <c r="U84" s="112" t="s">
        <v>1839</v>
      </c>
      <c r="V84" s="112" t="s">
        <v>895</v>
      </c>
      <c r="W84" s="112" t="s">
        <v>120</v>
      </c>
      <c r="X84" s="112" t="s">
        <v>121</v>
      </c>
      <c r="Y84" s="112" t="s">
        <v>136</v>
      </c>
      <c r="Z84" s="112" t="s">
        <v>189</v>
      </c>
      <c r="AA84" s="112" t="s">
        <v>1840</v>
      </c>
      <c r="AB84" s="112" t="s">
        <v>1841</v>
      </c>
      <c r="AC84" s="112" t="s">
        <v>1842</v>
      </c>
      <c r="AD84" s="112">
        <v>238300000</v>
      </c>
      <c r="AE84" s="112">
        <v>149636106.25999999</v>
      </c>
      <c r="AF84" s="112">
        <v>209704000</v>
      </c>
      <c r="AG84" s="112">
        <v>28596000</v>
      </c>
      <c r="AH84" s="112">
        <v>16081000</v>
      </c>
      <c r="AI84" s="112">
        <v>0</v>
      </c>
      <c r="AJ84" s="112">
        <v>4766000</v>
      </c>
      <c r="AK84" s="112">
        <v>163</v>
      </c>
      <c r="AL84" s="112">
        <v>6</v>
      </c>
      <c r="AM84" s="112">
        <v>11</v>
      </c>
      <c r="AN84" s="112">
        <v>60</v>
      </c>
      <c r="AO84" s="112" t="s">
        <v>123</v>
      </c>
      <c r="AP84" s="112" t="s">
        <v>123</v>
      </c>
      <c r="AQ84" s="112" t="s">
        <v>124</v>
      </c>
      <c r="AR84" s="112"/>
      <c r="AS84" s="112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2"/>
      <c r="BE84" s="112"/>
      <c r="BF84" s="112" t="s">
        <v>129</v>
      </c>
      <c r="BG84" s="112" t="s">
        <v>375</v>
      </c>
      <c r="BH84" s="112">
        <v>7</v>
      </c>
      <c r="BI84" s="112">
        <v>33362000</v>
      </c>
      <c r="BJ84" s="113"/>
      <c r="BK84" s="113">
        <v>46126</v>
      </c>
      <c r="BL84" s="113"/>
      <c r="BM84" s="112"/>
      <c r="BN84" s="113">
        <v>46173</v>
      </c>
      <c r="BO84" s="112">
        <v>1</v>
      </c>
      <c r="BP84" s="114">
        <v>46149</v>
      </c>
      <c r="BQ84" s="112" t="s">
        <v>131</v>
      </c>
      <c r="BR84" s="112">
        <v>170</v>
      </c>
      <c r="BS84" s="113">
        <v>45979</v>
      </c>
      <c r="BT84" s="112">
        <v>238300000</v>
      </c>
      <c r="BU84" s="112">
        <v>0</v>
      </c>
      <c r="BV84" s="112">
        <v>1</v>
      </c>
      <c r="BW84" s="112">
        <v>0</v>
      </c>
      <c r="BX84" s="112">
        <v>0</v>
      </c>
      <c r="BY84" s="112">
        <v>0</v>
      </c>
      <c r="BZ84" s="112">
        <v>0</v>
      </c>
      <c r="CA84" s="112">
        <v>0</v>
      </c>
      <c r="CB84" s="112">
        <v>0</v>
      </c>
      <c r="CC84" s="113"/>
      <c r="CD84" s="112">
        <v>0</v>
      </c>
      <c r="CE84" s="113"/>
      <c r="CF84" s="112">
        <v>0</v>
      </c>
      <c r="CG84" s="113"/>
      <c r="CH84" s="112">
        <v>0</v>
      </c>
      <c r="CI84" s="113"/>
      <c r="CJ84" s="112">
        <v>0</v>
      </c>
      <c r="CK84" s="113"/>
      <c r="CL84" s="112">
        <v>0</v>
      </c>
      <c r="CM84" s="113">
        <v>46149</v>
      </c>
      <c r="CN84" s="112" t="s">
        <v>132</v>
      </c>
      <c r="CO84" s="112">
        <v>149636106.25999999</v>
      </c>
      <c r="CP84" s="112">
        <v>0</v>
      </c>
      <c r="CQ84" s="112">
        <v>0</v>
      </c>
      <c r="CR84" s="118">
        <v>46126</v>
      </c>
      <c r="CS84" s="119" t="s">
        <v>255</v>
      </c>
      <c r="CT84" s="112">
        <v>149636106.25999999</v>
      </c>
      <c r="CU84" s="112" t="s">
        <v>402</v>
      </c>
      <c r="CV84" s="112" t="s">
        <v>320</v>
      </c>
      <c r="CW84" s="113">
        <v>46149</v>
      </c>
      <c r="CX84" s="112" t="s">
        <v>2116</v>
      </c>
      <c r="CY84" s="120">
        <f>MONTH(Table_ExternalData_14[[#This Row],[RunningReportDate]])</f>
        <v>5</v>
      </c>
      <c r="CZ84" s="120">
        <f>181-Table_ExternalData_14[[#This Row],[DaysOD]]</f>
        <v>18</v>
      </c>
      <c r="DA84" s="120">
        <f>IF(Table_ExternalData_14[[#This Row],[Status]]="PU-WC",0,Table_ExternalData_14[[#This Row],[Amount_CWO]]/1000000)</f>
        <v>0</v>
      </c>
      <c r="DB84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84" s="120">
        <f>IF(Table_ExternalData_14[[#This Row],[Status]]="PU-WC",0,IF(Table_ExternalData_14[[#This Row],[Success CWO]]=1,Table_ExternalData_14[[#This Row],[CWO Amt]],0))</f>
        <v>0</v>
      </c>
      <c r="DD84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84" s="120">
        <f>DAY(Table_ExternalData_14[[#This Row],[Tanggal_Sukses-new]])</f>
        <v>14</v>
      </c>
      <c r="DF84" s="120">
        <f>IF(Table_ExternalData_14[[#This Row],[Status]]="PU-WC",0,IF(SUM(Table_ExternalData_14[[#This Row],[Success CWO]:[WO-In-Amt]])=0,1,0))</f>
        <v>0</v>
      </c>
      <c r="DG84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84" s="120" t="str">
        <f>VLOOKUP(Table_ExternalData_14[[#This Row],[BranchID]],KC!$A:$K,5,0)</f>
        <v>4W</v>
      </c>
      <c r="DI84" s="120" t="str">
        <f>VLOOKUP(Table_ExternalData_14[[#This Row],[BranchID]],KC!$A:$K,8,0)</f>
        <v>06. Sulawesi</v>
      </c>
      <c r="DJ84" s="120" t="str">
        <f>VLOOKUP(Table_ExternalData_14[[#This Row],[BranchID]],KC!$A:$K,9,0)</f>
        <v>PALU</v>
      </c>
      <c r="DK84" s="121">
        <f>IF(Table_ExternalData_14[[#This Row],[Tanggal_Sukses]]=" ",Table_ExternalData_14[[#This Row],[Tanggal_Sukses]],VLOOKUP(Table_ExternalData_14[[#This Row],[ContractID]],Bantuan!$A:$C,2,0))</f>
        <v>46126</v>
      </c>
      <c r="DL84" s="120" t="str">
        <f>IF(Table_ExternalData_14[[#This Row],[Keterangan_Sukses]]=" ",Table_ExternalData_14[[#This Row],[Keterangan_Sukses]],VLOOKUP(Table_ExternalData_14[[#This Row],[ContractID]],Bantuan!$A:$C,3,0))</f>
        <v>REPO SEBELUM WO</v>
      </c>
    </row>
    <row r="85" spans="1:116" x14ac:dyDescent="0.3">
      <c r="A85" s="117" t="s">
        <v>400</v>
      </c>
      <c r="B85" s="112" t="s">
        <v>399</v>
      </c>
      <c r="C85" s="113">
        <v>46142</v>
      </c>
      <c r="D85" s="279">
        <v>45988</v>
      </c>
      <c r="E85" s="113">
        <v>45257</v>
      </c>
      <c r="F85" s="112" t="s">
        <v>1843</v>
      </c>
      <c r="G85" s="112" t="s">
        <v>1844</v>
      </c>
      <c r="H85" s="112" t="s">
        <v>1845</v>
      </c>
      <c r="I85" s="112" t="s">
        <v>1846</v>
      </c>
      <c r="J85" s="112" t="s">
        <v>1847</v>
      </c>
      <c r="K85" s="112" t="s">
        <v>4</v>
      </c>
      <c r="L85" s="112" t="s">
        <v>1847</v>
      </c>
      <c r="M85" s="112" t="s">
        <v>1848</v>
      </c>
      <c r="N85" s="112" t="s">
        <v>1849</v>
      </c>
      <c r="O85" s="112" t="s">
        <v>399</v>
      </c>
      <c r="P85" s="112" t="s">
        <v>401</v>
      </c>
      <c r="Q85" s="112" t="s">
        <v>892</v>
      </c>
      <c r="R85" s="112" t="s">
        <v>4</v>
      </c>
      <c r="S85" s="112" t="s">
        <v>4</v>
      </c>
      <c r="T85" s="112" t="s">
        <v>1850</v>
      </c>
      <c r="U85" s="112" t="s">
        <v>1850</v>
      </c>
      <c r="V85" s="112" t="s">
        <v>332</v>
      </c>
      <c r="W85" s="112" t="s">
        <v>120</v>
      </c>
      <c r="X85" s="112" t="s">
        <v>121</v>
      </c>
      <c r="Y85" s="112" t="s">
        <v>136</v>
      </c>
      <c r="Z85" s="112" t="s">
        <v>189</v>
      </c>
      <c r="AA85" s="112" t="s">
        <v>1851</v>
      </c>
      <c r="AB85" s="112" t="s">
        <v>1852</v>
      </c>
      <c r="AC85" s="112" t="s">
        <v>1853</v>
      </c>
      <c r="AD85" s="112">
        <v>119750000</v>
      </c>
      <c r="AE85" s="112">
        <v>99364288.090000004</v>
      </c>
      <c r="AF85" s="112">
        <v>91010000</v>
      </c>
      <c r="AG85" s="112">
        <v>28740000</v>
      </c>
      <c r="AH85" s="112">
        <v>23415550</v>
      </c>
      <c r="AI85" s="112">
        <v>0</v>
      </c>
      <c r="AJ85" s="112">
        <v>4790000</v>
      </c>
      <c r="AK85" s="112">
        <v>154</v>
      </c>
      <c r="AL85" s="112">
        <v>6</v>
      </c>
      <c r="AM85" s="112">
        <v>24</v>
      </c>
      <c r="AN85" s="112">
        <v>48</v>
      </c>
      <c r="AO85" s="112" t="s">
        <v>123</v>
      </c>
      <c r="AP85" s="112" t="s">
        <v>123</v>
      </c>
      <c r="AQ85" s="112" t="s">
        <v>124</v>
      </c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2"/>
      <c r="BE85" s="112"/>
      <c r="BF85" s="112" t="s">
        <v>129</v>
      </c>
      <c r="BG85" s="112" t="s">
        <v>130</v>
      </c>
      <c r="BH85" s="112">
        <v>7</v>
      </c>
      <c r="BI85" s="112">
        <v>33530000</v>
      </c>
      <c r="BJ85" s="113"/>
      <c r="BK85" s="113"/>
      <c r="BL85" s="113"/>
      <c r="BM85" s="112"/>
      <c r="BN85" s="113">
        <v>46173</v>
      </c>
      <c r="BO85" s="112">
        <v>1</v>
      </c>
      <c r="BP85" s="114">
        <v>46149</v>
      </c>
      <c r="BQ85" s="112" t="s">
        <v>131</v>
      </c>
      <c r="BR85" s="112">
        <v>161</v>
      </c>
      <c r="BS85" s="113">
        <v>45988</v>
      </c>
      <c r="BT85" s="112">
        <v>119750000</v>
      </c>
      <c r="BU85" s="112">
        <v>0</v>
      </c>
      <c r="BV85" s="112">
        <v>1</v>
      </c>
      <c r="BW85" s="112">
        <v>0</v>
      </c>
      <c r="BX85" s="112">
        <v>0</v>
      </c>
      <c r="BY85" s="112">
        <v>0</v>
      </c>
      <c r="BZ85" s="112">
        <v>0</v>
      </c>
      <c r="CA85" s="112">
        <v>0</v>
      </c>
      <c r="CB85" s="112">
        <v>0</v>
      </c>
      <c r="CC85" s="113"/>
      <c r="CD85" s="112">
        <v>0</v>
      </c>
      <c r="CE85" s="113"/>
      <c r="CF85" s="112">
        <v>0</v>
      </c>
      <c r="CG85" s="113"/>
      <c r="CH85" s="112">
        <v>0</v>
      </c>
      <c r="CI85" s="113"/>
      <c r="CJ85" s="112">
        <v>0</v>
      </c>
      <c r="CK85" s="113"/>
      <c r="CL85" s="112">
        <v>0</v>
      </c>
      <c r="CM85" s="113">
        <v>46149</v>
      </c>
      <c r="CN85" s="112" t="s">
        <v>132</v>
      </c>
      <c r="CO85" s="112">
        <v>99364288.090000004</v>
      </c>
      <c r="CP85" s="112">
        <v>99364288.090000004</v>
      </c>
      <c r="CQ85" s="112">
        <v>27</v>
      </c>
      <c r="CR85" s="118"/>
      <c r="CS85" s="119"/>
      <c r="CT85" s="112">
        <v>0</v>
      </c>
      <c r="CU85" s="112" t="s">
        <v>402</v>
      </c>
      <c r="CV85" s="112" t="s">
        <v>320</v>
      </c>
      <c r="CW85" s="113">
        <v>46149</v>
      </c>
      <c r="CX85" s="112" t="s">
        <v>2116</v>
      </c>
      <c r="CY85" s="120">
        <f>MONTH(Table_ExternalData_14[[#This Row],[RunningReportDate]])</f>
        <v>5</v>
      </c>
      <c r="CZ85" s="120">
        <f>181-Table_ExternalData_14[[#This Row],[DaysOD]]</f>
        <v>27</v>
      </c>
      <c r="DA85" s="120">
        <f>IF(Table_ExternalData_14[[#This Row],[Status]]="PU-WC",0,Table_ExternalData_14[[#This Row],[Amount_CWO]]/1000000)</f>
        <v>99.364288090000002</v>
      </c>
      <c r="DB85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85" s="120">
        <f>IF(Table_ExternalData_14[[#This Row],[Status]]="PU-WC",0,IF(Table_ExternalData_14[[#This Row],[Success CWO]]=1,Table_ExternalData_14[[#This Row],[CWO Amt]],0))</f>
        <v>0</v>
      </c>
      <c r="DD85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85" s="120">
        <f>DAY(Table_ExternalData_14[[#This Row],[Tanggal_Sukses-new]])</f>
        <v>0</v>
      </c>
      <c r="DF85" s="120">
        <f>IF(Table_ExternalData_14[[#This Row],[Status]]="PU-WC",0,IF(SUM(Table_ExternalData_14[[#This Row],[Success CWO]:[WO-In-Amt]])=0,1,0))</f>
        <v>1</v>
      </c>
      <c r="DG85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99.364288090000002</v>
      </c>
      <c r="DH85" s="120" t="str">
        <f>VLOOKUP(Table_ExternalData_14[[#This Row],[BranchID]],KC!$A:$K,5,0)</f>
        <v>4W</v>
      </c>
      <c r="DI85" s="120" t="str">
        <f>VLOOKUP(Table_ExternalData_14[[#This Row],[BranchID]],KC!$A:$K,8,0)</f>
        <v>06. Sulawesi</v>
      </c>
      <c r="DJ85" s="120" t="str">
        <f>VLOOKUP(Table_ExternalData_14[[#This Row],[BranchID]],KC!$A:$K,9,0)</f>
        <v>PALU</v>
      </c>
      <c r="DK85" s="121">
        <f>IF(Table_ExternalData_14[[#This Row],[Tanggal_Sukses]]=" ",Table_ExternalData_14[[#This Row],[Tanggal_Sukses]],VLOOKUP(Table_ExternalData_14[[#This Row],[ContractID]],Bantuan!$A:$C,2,0))</f>
        <v>0</v>
      </c>
      <c r="DL85" s="120">
        <f>IF(Table_ExternalData_14[[#This Row],[Keterangan_Sukses]]=" ",Table_ExternalData_14[[#This Row],[Keterangan_Sukses]],VLOOKUP(Table_ExternalData_14[[#This Row],[ContractID]],Bantuan!$A:$C,3,0))</f>
        <v>0</v>
      </c>
    </row>
    <row r="86" spans="1:116" x14ac:dyDescent="0.3">
      <c r="A86" s="117" t="s">
        <v>400</v>
      </c>
      <c r="B86" s="112" t="s">
        <v>399</v>
      </c>
      <c r="C86" s="113">
        <v>46142</v>
      </c>
      <c r="D86" s="279">
        <v>45962</v>
      </c>
      <c r="E86" s="113">
        <v>45199</v>
      </c>
      <c r="F86" s="112" t="s">
        <v>1854</v>
      </c>
      <c r="G86" s="112" t="s">
        <v>1855</v>
      </c>
      <c r="H86" s="112" t="s">
        <v>1856</v>
      </c>
      <c r="I86" s="112" t="s">
        <v>1857</v>
      </c>
      <c r="J86" s="112" t="s">
        <v>1858</v>
      </c>
      <c r="K86" s="112" t="s">
        <v>4</v>
      </c>
      <c r="L86" s="112" t="s">
        <v>1858</v>
      </c>
      <c r="M86" s="112" t="s">
        <v>1859</v>
      </c>
      <c r="N86" s="112" t="s">
        <v>1859</v>
      </c>
      <c r="O86" s="112" t="s">
        <v>1860</v>
      </c>
      <c r="P86" s="112" t="s">
        <v>1861</v>
      </c>
      <c r="Q86" s="112" t="s">
        <v>1862</v>
      </c>
      <c r="R86" s="112" t="s">
        <v>4</v>
      </c>
      <c r="S86" s="112" t="s">
        <v>4</v>
      </c>
      <c r="T86" s="112" t="s">
        <v>1863</v>
      </c>
      <c r="U86" s="112" t="s">
        <v>1863</v>
      </c>
      <c r="V86" s="112" t="s">
        <v>1864</v>
      </c>
      <c r="W86" s="112" t="s">
        <v>120</v>
      </c>
      <c r="X86" s="112" t="s">
        <v>121</v>
      </c>
      <c r="Y86" s="112" t="s">
        <v>136</v>
      </c>
      <c r="Z86" s="112" t="s">
        <v>137</v>
      </c>
      <c r="AA86" s="112" t="s">
        <v>1865</v>
      </c>
      <c r="AB86" s="112" t="s">
        <v>1866</v>
      </c>
      <c r="AC86" s="112" t="s">
        <v>1867</v>
      </c>
      <c r="AD86" s="112">
        <v>138708000</v>
      </c>
      <c r="AE86" s="112">
        <v>104299327.06</v>
      </c>
      <c r="AF86" s="112">
        <v>115590000</v>
      </c>
      <c r="AG86" s="112">
        <v>23118000</v>
      </c>
      <c r="AH86" s="112">
        <v>35065950.5</v>
      </c>
      <c r="AI86" s="112">
        <v>0</v>
      </c>
      <c r="AJ86" s="112">
        <v>3853000</v>
      </c>
      <c r="AK86" s="112">
        <v>180</v>
      </c>
      <c r="AL86" s="112">
        <v>6</v>
      </c>
      <c r="AM86" s="112">
        <v>25</v>
      </c>
      <c r="AN86" s="112">
        <v>60</v>
      </c>
      <c r="AO86" s="112" t="s">
        <v>123</v>
      </c>
      <c r="AP86" s="112" t="s">
        <v>123</v>
      </c>
      <c r="AQ86" s="112" t="s">
        <v>124</v>
      </c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2"/>
      <c r="BE86" s="112"/>
      <c r="BF86" s="112" t="s">
        <v>129</v>
      </c>
      <c r="BG86" s="112" t="s">
        <v>375</v>
      </c>
      <c r="BH86" s="112">
        <v>7</v>
      </c>
      <c r="BI86" s="112">
        <v>26971000</v>
      </c>
      <c r="BJ86" s="113"/>
      <c r="BK86" s="113">
        <v>46077</v>
      </c>
      <c r="BL86" s="113"/>
      <c r="BM86" s="112"/>
      <c r="BN86" s="113">
        <v>46173</v>
      </c>
      <c r="BO86" s="112">
        <v>1</v>
      </c>
      <c r="BP86" s="114">
        <v>46149</v>
      </c>
      <c r="BQ86" s="112" t="s">
        <v>131</v>
      </c>
      <c r="BR86" s="112">
        <v>187</v>
      </c>
      <c r="BS86" s="113">
        <v>45962</v>
      </c>
      <c r="BT86" s="112">
        <v>138708000</v>
      </c>
      <c r="BU86" s="112">
        <v>0</v>
      </c>
      <c r="BV86" s="112">
        <v>1</v>
      </c>
      <c r="BW86" s="112">
        <v>0</v>
      </c>
      <c r="BX86" s="112">
        <v>0</v>
      </c>
      <c r="BY86" s="112">
        <v>0</v>
      </c>
      <c r="BZ86" s="112">
        <v>0</v>
      </c>
      <c r="CA86" s="112">
        <v>0</v>
      </c>
      <c r="CB86" s="112">
        <v>0</v>
      </c>
      <c r="CC86" s="113"/>
      <c r="CD86" s="112">
        <v>0</v>
      </c>
      <c r="CE86" s="113"/>
      <c r="CF86" s="112">
        <v>0</v>
      </c>
      <c r="CG86" s="113"/>
      <c r="CH86" s="112">
        <v>0</v>
      </c>
      <c r="CI86" s="113"/>
      <c r="CJ86" s="112">
        <v>0</v>
      </c>
      <c r="CK86" s="113"/>
      <c r="CL86" s="112">
        <v>0</v>
      </c>
      <c r="CM86" s="113">
        <v>46149</v>
      </c>
      <c r="CN86" s="112" t="s">
        <v>132</v>
      </c>
      <c r="CO86" s="112">
        <v>104299327.06</v>
      </c>
      <c r="CP86" s="112">
        <v>0</v>
      </c>
      <c r="CQ86" s="112">
        <v>0</v>
      </c>
      <c r="CR86" s="118">
        <v>46077</v>
      </c>
      <c r="CS86" s="119" t="s">
        <v>255</v>
      </c>
      <c r="CT86" s="112">
        <v>104299327.06</v>
      </c>
      <c r="CU86" s="112" t="s">
        <v>402</v>
      </c>
      <c r="CV86" s="112" t="s">
        <v>320</v>
      </c>
      <c r="CW86" s="113">
        <v>46149</v>
      </c>
      <c r="CX86" s="112" t="s">
        <v>2116</v>
      </c>
      <c r="CY86" s="120">
        <f>MONTH(Table_ExternalData_14[[#This Row],[RunningReportDate]])</f>
        <v>5</v>
      </c>
      <c r="CZ86" s="120">
        <f>181-Table_ExternalData_14[[#This Row],[DaysOD]]</f>
        <v>1</v>
      </c>
      <c r="DA86" s="120">
        <f>IF(Table_ExternalData_14[[#This Row],[Status]]="PU-WC",0,Table_ExternalData_14[[#This Row],[Amount_CWO]]/1000000)</f>
        <v>0</v>
      </c>
      <c r="DB86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86" s="120">
        <f>IF(Table_ExternalData_14[[#This Row],[Status]]="PU-WC",0,IF(Table_ExternalData_14[[#This Row],[Success CWO]]=1,Table_ExternalData_14[[#This Row],[CWO Amt]],0))</f>
        <v>0</v>
      </c>
      <c r="DD86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86" s="120">
        <f>DAY(Table_ExternalData_14[[#This Row],[Tanggal_Sukses-new]])</f>
        <v>24</v>
      </c>
      <c r="DF86" s="120">
        <f>IF(Table_ExternalData_14[[#This Row],[Status]]="PU-WC",0,IF(SUM(Table_ExternalData_14[[#This Row],[Success CWO]:[WO-In-Amt]])=0,1,0))</f>
        <v>0</v>
      </c>
      <c r="DG86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86" s="120" t="str">
        <f>VLOOKUP(Table_ExternalData_14[[#This Row],[BranchID]],KC!$A:$K,5,0)</f>
        <v>4W</v>
      </c>
      <c r="DI86" s="120" t="str">
        <f>VLOOKUP(Table_ExternalData_14[[#This Row],[BranchID]],KC!$A:$K,8,0)</f>
        <v>06. Sulawesi</v>
      </c>
      <c r="DJ86" s="120" t="str">
        <f>VLOOKUP(Table_ExternalData_14[[#This Row],[BranchID]],KC!$A:$K,9,0)</f>
        <v>PALU</v>
      </c>
      <c r="DK86" s="121">
        <f>IF(Table_ExternalData_14[[#This Row],[Tanggal_Sukses]]=" ",Table_ExternalData_14[[#This Row],[Tanggal_Sukses]],VLOOKUP(Table_ExternalData_14[[#This Row],[ContractID]],Bantuan!$A:$C,2,0))</f>
        <v>46077</v>
      </c>
      <c r="DL86" s="120" t="str">
        <f>IF(Table_ExternalData_14[[#This Row],[Keterangan_Sukses]]=" ",Table_ExternalData_14[[#This Row],[Keterangan_Sukses]],VLOOKUP(Table_ExternalData_14[[#This Row],[ContractID]],Bantuan!$A:$C,3,0))</f>
        <v>REPO SEBELUM WO</v>
      </c>
    </row>
    <row r="87" spans="1:116" x14ac:dyDescent="0.3">
      <c r="A87" s="117" t="s">
        <v>330</v>
      </c>
      <c r="B87" s="112" t="s">
        <v>329</v>
      </c>
      <c r="C87" s="113">
        <v>46142</v>
      </c>
      <c r="D87" s="279">
        <v>45966</v>
      </c>
      <c r="E87" s="113">
        <v>45532</v>
      </c>
      <c r="F87" s="112" t="s">
        <v>1868</v>
      </c>
      <c r="G87" s="112" t="s">
        <v>1869</v>
      </c>
      <c r="H87" s="112" t="s">
        <v>1870</v>
      </c>
      <c r="I87" s="112" t="s">
        <v>1871</v>
      </c>
      <c r="J87" s="112" t="s">
        <v>1872</v>
      </c>
      <c r="K87" s="112" t="s">
        <v>4</v>
      </c>
      <c r="L87" s="112" t="s">
        <v>1872</v>
      </c>
      <c r="M87" s="112" t="s">
        <v>1873</v>
      </c>
      <c r="N87" s="112" t="s">
        <v>1874</v>
      </c>
      <c r="O87" s="112" t="s">
        <v>329</v>
      </c>
      <c r="P87" s="112" t="s">
        <v>960</v>
      </c>
      <c r="Q87" s="112" t="s">
        <v>938</v>
      </c>
      <c r="R87" s="112" t="s">
        <v>4</v>
      </c>
      <c r="S87" s="112" t="s">
        <v>4</v>
      </c>
      <c r="T87" s="112" t="s">
        <v>1875</v>
      </c>
      <c r="U87" s="112" t="s">
        <v>1875</v>
      </c>
      <c r="V87" s="112" t="s">
        <v>1113</v>
      </c>
      <c r="W87" s="112" t="s">
        <v>187</v>
      </c>
      <c r="X87" s="112" t="s">
        <v>121</v>
      </c>
      <c r="Y87" s="112" t="s">
        <v>136</v>
      </c>
      <c r="Z87" s="112" t="s">
        <v>137</v>
      </c>
      <c r="AA87" s="112" t="s">
        <v>1876</v>
      </c>
      <c r="AB87" s="112" t="s">
        <v>1877</v>
      </c>
      <c r="AC87" s="112" t="s">
        <v>1878</v>
      </c>
      <c r="AD87" s="112">
        <v>117500000</v>
      </c>
      <c r="AE87" s="112">
        <v>90797965.310000002</v>
      </c>
      <c r="AF87" s="112">
        <v>102500000</v>
      </c>
      <c r="AG87" s="112">
        <v>15000000</v>
      </c>
      <c r="AH87" s="112">
        <v>9025000</v>
      </c>
      <c r="AI87" s="112">
        <v>0</v>
      </c>
      <c r="AJ87" s="112">
        <v>2500000</v>
      </c>
      <c r="AK87" s="112">
        <v>176</v>
      </c>
      <c r="AL87" s="112">
        <v>6</v>
      </c>
      <c r="AM87" s="112">
        <v>14</v>
      </c>
      <c r="AN87" s="112">
        <v>60</v>
      </c>
      <c r="AO87" s="112" t="s">
        <v>123</v>
      </c>
      <c r="AP87" s="112" t="s">
        <v>123</v>
      </c>
      <c r="AQ87" s="112" t="s">
        <v>124</v>
      </c>
      <c r="AR87" s="112" t="s">
        <v>1879</v>
      </c>
      <c r="AS87" s="112" t="s">
        <v>1880</v>
      </c>
      <c r="AT87" s="112" t="s">
        <v>1881</v>
      </c>
      <c r="AU87" s="112" t="s">
        <v>939</v>
      </c>
      <c r="AV87" s="112" t="s">
        <v>125</v>
      </c>
      <c r="AW87" s="112" t="s">
        <v>126</v>
      </c>
      <c r="AX87" s="112" t="s">
        <v>127</v>
      </c>
      <c r="AY87" s="112" t="s">
        <v>940</v>
      </c>
      <c r="AZ87" s="112" t="s">
        <v>941</v>
      </c>
      <c r="BA87" s="112" t="s">
        <v>942</v>
      </c>
      <c r="BB87" s="112" t="s">
        <v>128</v>
      </c>
      <c r="BC87" s="112" t="s">
        <v>943</v>
      </c>
      <c r="BD87" s="112" t="s">
        <v>125</v>
      </c>
      <c r="BE87" s="112" t="s">
        <v>126</v>
      </c>
      <c r="BF87" s="112" t="s">
        <v>129</v>
      </c>
      <c r="BG87" s="112" t="s">
        <v>130</v>
      </c>
      <c r="BH87" s="112">
        <v>7</v>
      </c>
      <c r="BI87" s="112">
        <v>17500000</v>
      </c>
      <c r="BJ87" s="113"/>
      <c r="BK87" s="113"/>
      <c r="BL87" s="113"/>
      <c r="BM87" s="112"/>
      <c r="BN87" s="113">
        <v>46173</v>
      </c>
      <c r="BO87" s="112">
        <v>1</v>
      </c>
      <c r="BP87" s="114">
        <v>46149</v>
      </c>
      <c r="BQ87" s="112" t="s">
        <v>131</v>
      </c>
      <c r="BR87" s="112">
        <v>183</v>
      </c>
      <c r="BS87" s="113">
        <v>45966</v>
      </c>
      <c r="BT87" s="112">
        <v>117500000</v>
      </c>
      <c r="BU87" s="112">
        <v>0</v>
      </c>
      <c r="BV87" s="112">
        <v>1</v>
      </c>
      <c r="BW87" s="112">
        <v>0</v>
      </c>
      <c r="BX87" s="112">
        <v>0</v>
      </c>
      <c r="BY87" s="112">
        <v>0</v>
      </c>
      <c r="BZ87" s="112">
        <v>0</v>
      </c>
      <c r="CA87" s="112">
        <v>0</v>
      </c>
      <c r="CB87" s="112">
        <v>0</v>
      </c>
      <c r="CC87" s="113"/>
      <c r="CD87" s="112">
        <v>0</v>
      </c>
      <c r="CE87" s="113"/>
      <c r="CF87" s="112">
        <v>0</v>
      </c>
      <c r="CG87" s="113"/>
      <c r="CH87" s="112">
        <v>0</v>
      </c>
      <c r="CI87" s="113"/>
      <c r="CJ87" s="112">
        <v>0</v>
      </c>
      <c r="CK87" s="113"/>
      <c r="CL87" s="112">
        <v>0</v>
      </c>
      <c r="CM87" s="113">
        <v>46149</v>
      </c>
      <c r="CN87" s="112" t="s">
        <v>132</v>
      </c>
      <c r="CO87" s="112">
        <v>90797965.310000002</v>
      </c>
      <c r="CP87" s="112">
        <v>90797965.310000002</v>
      </c>
      <c r="CQ87" s="112">
        <v>5</v>
      </c>
      <c r="CR87" s="118"/>
      <c r="CS87" s="119"/>
      <c r="CT87" s="112">
        <v>0</v>
      </c>
      <c r="CU87" s="112" t="s">
        <v>331</v>
      </c>
      <c r="CV87" s="112" t="s">
        <v>320</v>
      </c>
      <c r="CW87" s="113">
        <v>46149</v>
      </c>
      <c r="CX87" s="112" t="s">
        <v>2116</v>
      </c>
      <c r="CY87" s="120">
        <f>MONTH(Table_ExternalData_14[[#This Row],[RunningReportDate]])</f>
        <v>5</v>
      </c>
      <c r="CZ87" s="120">
        <f>181-Table_ExternalData_14[[#This Row],[DaysOD]]</f>
        <v>5</v>
      </c>
      <c r="DA87" s="120">
        <f>IF(Table_ExternalData_14[[#This Row],[Status]]="PU-WC",0,Table_ExternalData_14[[#This Row],[Amount_CWO]]/1000000)</f>
        <v>90.797965310000009</v>
      </c>
      <c r="DB87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87" s="120">
        <f>IF(Table_ExternalData_14[[#This Row],[Status]]="PU-WC",0,IF(Table_ExternalData_14[[#This Row],[Success CWO]]=1,Table_ExternalData_14[[#This Row],[CWO Amt]],0))</f>
        <v>0</v>
      </c>
      <c r="DD87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90.797965310000009</v>
      </c>
      <c r="DE87" s="120">
        <f>DAY(Table_ExternalData_14[[#This Row],[Tanggal_Sukses-new]])</f>
        <v>0</v>
      </c>
      <c r="DF87" s="120">
        <f>IF(Table_ExternalData_14[[#This Row],[Status]]="PU-WC",0,IF(SUM(Table_ExternalData_14[[#This Row],[Success CWO]:[WO-In-Amt]])=0,1,0))</f>
        <v>0</v>
      </c>
      <c r="DG87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87" s="120" t="str">
        <f>VLOOKUP(Table_ExternalData_14[[#This Row],[BranchID]],KC!$A:$K,5,0)</f>
        <v>4W</v>
      </c>
      <c r="DI87" s="120" t="str">
        <f>VLOOKUP(Table_ExternalData_14[[#This Row],[BranchID]],KC!$A:$K,8,0)</f>
        <v>06. Sulawesi</v>
      </c>
      <c r="DJ87" s="120" t="str">
        <f>VLOOKUP(Table_ExternalData_14[[#This Row],[BranchID]],KC!$A:$K,9,0)</f>
        <v>GORONTALO</v>
      </c>
      <c r="DK87" s="121">
        <f>IF(Table_ExternalData_14[[#This Row],[Tanggal_Sukses]]=" ",Table_ExternalData_14[[#This Row],[Tanggal_Sukses]],VLOOKUP(Table_ExternalData_14[[#This Row],[ContractID]],Bantuan!$A:$C,2,0))</f>
        <v>0</v>
      </c>
      <c r="DL87" s="120">
        <f>IF(Table_ExternalData_14[[#This Row],[Keterangan_Sukses]]=" ",Table_ExternalData_14[[#This Row],[Keterangan_Sukses]],VLOOKUP(Table_ExternalData_14[[#This Row],[ContractID]],Bantuan!$A:$C,3,0))</f>
        <v>0</v>
      </c>
    </row>
    <row r="88" spans="1:116" x14ac:dyDescent="0.3">
      <c r="A88" s="117" t="s">
        <v>394</v>
      </c>
      <c r="B88" s="112" t="s">
        <v>393</v>
      </c>
      <c r="C88" s="113">
        <v>46142</v>
      </c>
      <c r="D88" s="279">
        <v>45992</v>
      </c>
      <c r="E88" s="113">
        <v>45077</v>
      </c>
      <c r="F88" s="112" t="s">
        <v>1882</v>
      </c>
      <c r="G88" s="112" t="s">
        <v>1883</v>
      </c>
      <c r="H88" s="112" t="s">
        <v>1884</v>
      </c>
      <c r="I88" s="112" t="s">
        <v>1885</v>
      </c>
      <c r="J88" s="112" t="s">
        <v>1886</v>
      </c>
      <c r="K88" s="112" t="s">
        <v>4</v>
      </c>
      <c r="L88" s="112" t="s">
        <v>1886</v>
      </c>
      <c r="M88" s="112" t="s">
        <v>1887</v>
      </c>
      <c r="N88" s="112" t="s">
        <v>1888</v>
      </c>
      <c r="O88" s="112" t="s">
        <v>1889</v>
      </c>
      <c r="P88" s="112" t="s">
        <v>1890</v>
      </c>
      <c r="Q88" s="112" t="s">
        <v>1891</v>
      </c>
      <c r="R88" s="112" t="s">
        <v>4</v>
      </c>
      <c r="S88" s="112" t="s">
        <v>4</v>
      </c>
      <c r="T88" s="112" t="s">
        <v>1892</v>
      </c>
      <c r="U88" s="112" t="s">
        <v>1892</v>
      </c>
      <c r="V88" s="112" t="s">
        <v>141</v>
      </c>
      <c r="W88" s="112" t="s">
        <v>120</v>
      </c>
      <c r="X88" s="112" t="s">
        <v>121</v>
      </c>
      <c r="Y88" s="112" t="s">
        <v>136</v>
      </c>
      <c r="Z88" s="112" t="s">
        <v>1746</v>
      </c>
      <c r="AA88" s="112" t="s">
        <v>1893</v>
      </c>
      <c r="AB88" s="112" t="s">
        <v>1894</v>
      </c>
      <c r="AC88" s="112" t="s">
        <v>1895</v>
      </c>
      <c r="AD88" s="112">
        <v>92625000</v>
      </c>
      <c r="AE88" s="112">
        <v>79240760.170000002</v>
      </c>
      <c r="AF88" s="112">
        <v>68250000</v>
      </c>
      <c r="AG88" s="112">
        <v>24375000</v>
      </c>
      <c r="AH88" s="112">
        <v>32734531.25</v>
      </c>
      <c r="AI88" s="112">
        <v>0</v>
      </c>
      <c r="AJ88" s="112">
        <v>4875000</v>
      </c>
      <c r="AK88" s="112">
        <v>150</v>
      </c>
      <c r="AL88" s="112">
        <v>5</v>
      </c>
      <c r="AM88" s="112">
        <v>30</v>
      </c>
      <c r="AN88" s="112">
        <v>48</v>
      </c>
      <c r="AO88" s="112" t="s">
        <v>236</v>
      </c>
      <c r="AP88" s="112" t="s">
        <v>236</v>
      </c>
      <c r="AQ88" s="112" t="s">
        <v>124</v>
      </c>
      <c r="AR88" s="112" t="s">
        <v>1896</v>
      </c>
      <c r="AS88" s="112" t="s">
        <v>1897</v>
      </c>
      <c r="AT88" s="112" t="s">
        <v>1898</v>
      </c>
      <c r="AU88" s="112" t="s">
        <v>1899</v>
      </c>
      <c r="AV88" s="112" t="s">
        <v>190</v>
      </c>
      <c r="AW88" s="112" t="s">
        <v>126</v>
      </c>
      <c r="AX88" s="112" t="s">
        <v>127</v>
      </c>
      <c r="AY88" s="112" t="s">
        <v>1900</v>
      </c>
      <c r="AZ88" s="112" t="s">
        <v>1901</v>
      </c>
      <c r="BA88" s="112" t="s">
        <v>1902</v>
      </c>
      <c r="BB88" s="112" t="s">
        <v>128</v>
      </c>
      <c r="BC88" s="112" t="s">
        <v>1903</v>
      </c>
      <c r="BD88" s="112" t="s">
        <v>4</v>
      </c>
      <c r="BE88" s="112" t="s">
        <v>4</v>
      </c>
      <c r="BF88" s="112" t="s">
        <v>129</v>
      </c>
      <c r="BG88" s="112" t="s">
        <v>130</v>
      </c>
      <c r="BH88" s="112">
        <v>6</v>
      </c>
      <c r="BI88" s="112">
        <v>29250000</v>
      </c>
      <c r="BJ88" s="113"/>
      <c r="BK88" s="113"/>
      <c r="BL88" s="113"/>
      <c r="BM88" s="112"/>
      <c r="BN88" s="113">
        <v>46173</v>
      </c>
      <c r="BO88" s="112">
        <v>1</v>
      </c>
      <c r="BP88" s="114">
        <v>46149</v>
      </c>
      <c r="BQ88" s="112" t="s">
        <v>131</v>
      </c>
      <c r="BR88" s="112">
        <v>157</v>
      </c>
      <c r="BS88" s="113">
        <v>45992</v>
      </c>
      <c r="BT88" s="112">
        <v>92625000</v>
      </c>
      <c r="BU88" s="112">
        <v>0</v>
      </c>
      <c r="BV88" s="112">
        <v>1</v>
      </c>
      <c r="BW88" s="112">
        <v>0</v>
      </c>
      <c r="BX88" s="112">
        <v>0</v>
      </c>
      <c r="BY88" s="112">
        <v>0</v>
      </c>
      <c r="BZ88" s="112">
        <v>0</v>
      </c>
      <c r="CA88" s="112">
        <v>0</v>
      </c>
      <c r="CB88" s="112">
        <v>0</v>
      </c>
      <c r="CC88" s="113"/>
      <c r="CD88" s="112">
        <v>0</v>
      </c>
      <c r="CE88" s="113"/>
      <c r="CF88" s="112">
        <v>0</v>
      </c>
      <c r="CG88" s="113"/>
      <c r="CH88" s="112">
        <v>0</v>
      </c>
      <c r="CI88" s="113"/>
      <c r="CJ88" s="112">
        <v>0</v>
      </c>
      <c r="CK88" s="113"/>
      <c r="CL88" s="112">
        <v>0</v>
      </c>
      <c r="CM88" s="113">
        <v>46149</v>
      </c>
      <c r="CN88" s="112" t="s">
        <v>132</v>
      </c>
      <c r="CO88" s="112">
        <v>79240760.170000002</v>
      </c>
      <c r="CP88" s="112">
        <v>79240760.170000002</v>
      </c>
      <c r="CQ88" s="112">
        <v>31</v>
      </c>
      <c r="CR88" s="118"/>
      <c r="CS88" s="119"/>
      <c r="CT88" s="112">
        <v>0</v>
      </c>
      <c r="CU88" s="112" t="s">
        <v>395</v>
      </c>
      <c r="CV88" s="112" t="s">
        <v>205</v>
      </c>
      <c r="CW88" s="113">
        <v>46149</v>
      </c>
      <c r="CX88" s="112" t="s">
        <v>2116</v>
      </c>
      <c r="CY88" s="120">
        <f>MONTH(Table_ExternalData_14[[#This Row],[RunningReportDate]])</f>
        <v>5</v>
      </c>
      <c r="CZ88" s="120">
        <f>181-Table_ExternalData_14[[#This Row],[DaysOD]]</f>
        <v>31</v>
      </c>
      <c r="DA88" s="120">
        <f>IF(Table_ExternalData_14[[#This Row],[Status]]="PU-WC",0,Table_ExternalData_14[[#This Row],[Amount_CWO]]/1000000)</f>
        <v>79.240760170000001</v>
      </c>
      <c r="DB88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88" s="120">
        <f>IF(Table_ExternalData_14[[#This Row],[Status]]="PU-WC",0,IF(Table_ExternalData_14[[#This Row],[Success CWO]]=1,Table_ExternalData_14[[#This Row],[CWO Amt]],0))</f>
        <v>0</v>
      </c>
      <c r="DD88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88" s="120">
        <f>DAY(Table_ExternalData_14[[#This Row],[Tanggal_Sukses-new]])</f>
        <v>0</v>
      </c>
      <c r="DF88" s="120">
        <f>IF(Table_ExternalData_14[[#This Row],[Status]]="PU-WC",0,IF(SUM(Table_ExternalData_14[[#This Row],[Success CWO]:[WO-In-Amt]])=0,1,0))</f>
        <v>1</v>
      </c>
      <c r="DG88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79.240760170000001</v>
      </c>
      <c r="DH88" s="120" t="str">
        <f>VLOOKUP(Table_ExternalData_14[[#This Row],[BranchID]],KC!$A:$K,5,0)</f>
        <v>4W</v>
      </c>
      <c r="DI88" s="120" t="str">
        <f>VLOOKUP(Table_ExternalData_14[[#This Row],[BranchID]],KC!$A:$K,8,0)</f>
        <v>05. Kalimantan</v>
      </c>
      <c r="DJ88" s="120" t="str">
        <f>VLOOKUP(Table_ExternalData_14[[#This Row],[BranchID]],KC!$A:$K,9,0)</f>
        <v>PALANGKARAYA</v>
      </c>
      <c r="DK88" s="121">
        <f>IF(Table_ExternalData_14[[#This Row],[Tanggal_Sukses]]=" ",Table_ExternalData_14[[#This Row],[Tanggal_Sukses]],VLOOKUP(Table_ExternalData_14[[#This Row],[ContractID]],Bantuan!$A:$C,2,0))</f>
        <v>0</v>
      </c>
      <c r="DL88" s="120">
        <f>IF(Table_ExternalData_14[[#This Row],[Keterangan_Sukses]]=" ",Table_ExternalData_14[[#This Row],[Keterangan_Sukses]],VLOOKUP(Table_ExternalData_14[[#This Row],[ContractID]],Bantuan!$A:$C,3,0))</f>
        <v>0</v>
      </c>
    </row>
    <row r="89" spans="1:116" x14ac:dyDescent="0.3">
      <c r="A89" s="117" t="s">
        <v>391</v>
      </c>
      <c r="B89" s="112" t="s">
        <v>390</v>
      </c>
      <c r="C89" s="113">
        <v>46142</v>
      </c>
      <c r="D89" s="279">
        <v>45979</v>
      </c>
      <c r="E89" s="113">
        <v>45187</v>
      </c>
      <c r="F89" s="112" t="s">
        <v>1904</v>
      </c>
      <c r="G89" s="112" t="s">
        <v>1905</v>
      </c>
      <c r="H89" s="112" t="s">
        <v>1906</v>
      </c>
      <c r="I89" s="112" t="s">
        <v>1907</v>
      </c>
      <c r="J89" s="112" t="s">
        <v>1908</v>
      </c>
      <c r="K89" s="112" t="s">
        <v>4</v>
      </c>
      <c r="L89" s="112" t="s">
        <v>1908</v>
      </c>
      <c r="M89" s="112" t="s">
        <v>1909</v>
      </c>
      <c r="N89" s="112" t="s">
        <v>1910</v>
      </c>
      <c r="O89" s="112" t="s">
        <v>1911</v>
      </c>
      <c r="P89" s="112" t="s">
        <v>936</v>
      </c>
      <c r="Q89" s="112" t="s">
        <v>937</v>
      </c>
      <c r="R89" s="112" t="s">
        <v>4</v>
      </c>
      <c r="S89" s="112" t="s">
        <v>4</v>
      </c>
      <c r="T89" s="112" t="s">
        <v>4</v>
      </c>
      <c r="U89" s="112" t="s">
        <v>4</v>
      </c>
      <c r="V89" s="112" t="s">
        <v>935</v>
      </c>
      <c r="W89" s="112" t="s">
        <v>120</v>
      </c>
      <c r="X89" s="112" t="s">
        <v>121</v>
      </c>
      <c r="Y89" s="112" t="s">
        <v>136</v>
      </c>
      <c r="Z89" s="112" t="s">
        <v>142</v>
      </c>
      <c r="AA89" s="112" t="s">
        <v>1912</v>
      </c>
      <c r="AB89" s="112" t="s">
        <v>1913</v>
      </c>
      <c r="AC89" s="112" t="s">
        <v>1914</v>
      </c>
      <c r="AD89" s="112">
        <v>60445000</v>
      </c>
      <c r="AE89" s="112">
        <v>55226704.100000001</v>
      </c>
      <c r="AF89" s="112">
        <v>27475000</v>
      </c>
      <c r="AG89" s="112">
        <v>32970000</v>
      </c>
      <c r="AH89" s="112">
        <v>49482165</v>
      </c>
      <c r="AI89" s="112">
        <v>0</v>
      </c>
      <c r="AJ89" s="112">
        <v>5495000</v>
      </c>
      <c r="AK89" s="112">
        <v>163</v>
      </c>
      <c r="AL89" s="112">
        <v>6</v>
      </c>
      <c r="AM89" s="112">
        <v>26</v>
      </c>
      <c r="AN89" s="112">
        <v>36</v>
      </c>
      <c r="AO89" s="112" t="s">
        <v>123</v>
      </c>
      <c r="AP89" s="112" t="s">
        <v>123</v>
      </c>
      <c r="AQ89" s="112" t="s">
        <v>124</v>
      </c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2"/>
      <c r="BE89" s="112"/>
      <c r="BF89" s="112" t="s">
        <v>129</v>
      </c>
      <c r="BG89" s="112" t="s">
        <v>130</v>
      </c>
      <c r="BH89" s="112">
        <v>7</v>
      </c>
      <c r="BI89" s="112">
        <v>38465000</v>
      </c>
      <c r="BJ89" s="113"/>
      <c r="BK89" s="113"/>
      <c r="BL89" s="113"/>
      <c r="BM89" s="112"/>
      <c r="BN89" s="113">
        <v>46173</v>
      </c>
      <c r="BO89" s="112">
        <v>1</v>
      </c>
      <c r="BP89" s="114">
        <v>46149</v>
      </c>
      <c r="BQ89" s="112" t="s">
        <v>131</v>
      </c>
      <c r="BR89" s="112">
        <v>170</v>
      </c>
      <c r="BS89" s="113">
        <v>45979</v>
      </c>
      <c r="BT89" s="112">
        <v>60445000</v>
      </c>
      <c r="BU89" s="112">
        <v>0</v>
      </c>
      <c r="BV89" s="112">
        <v>1</v>
      </c>
      <c r="BW89" s="112">
        <v>0</v>
      </c>
      <c r="BX89" s="112">
        <v>0</v>
      </c>
      <c r="BY89" s="112">
        <v>0</v>
      </c>
      <c r="BZ89" s="112">
        <v>0</v>
      </c>
      <c r="CA89" s="112">
        <v>0</v>
      </c>
      <c r="CB89" s="112">
        <v>0</v>
      </c>
      <c r="CC89" s="113"/>
      <c r="CD89" s="112">
        <v>0</v>
      </c>
      <c r="CE89" s="113"/>
      <c r="CF89" s="112">
        <v>0</v>
      </c>
      <c r="CG89" s="113"/>
      <c r="CH89" s="112">
        <v>0</v>
      </c>
      <c r="CI89" s="113"/>
      <c r="CJ89" s="112">
        <v>0</v>
      </c>
      <c r="CK89" s="113"/>
      <c r="CL89" s="112">
        <v>0</v>
      </c>
      <c r="CM89" s="113">
        <v>46149</v>
      </c>
      <c r="CN89" s="112" t="s">
        <v>132</v>
      </c>
      <c r="CO89" s="112">
        <v>55226704.100000001</v>
      </c>
      <c r="CP89" s="112">
        <v>55226704.100000001</v>
      </c>
      <c r="CQ89" s="112">
        <v>18</v>
      </c>
      <c r="CR89" s="118"/>
      <c r="CS89" s="119"/>
      <c r="CT89" s="112">
        <v>0</v>
      </c>
      <c r="CU89" s="112" t="s">
        <v>392</v>
      </c>
      <c r="CV89" s="112" t="s">
        <v>308</v>
      </c>
      <c r="CW89" s="113">
        <v>46149</v>
      </c>
      <c r="CX89" s="112" t="s">
        <v>2116</v>
      </c>
      <c r="CY89" s="120">
        <f>MONTH(Table_ExternalData_14[[#This Row],[RunningReportDate]])</f>
        <v>5</v>
      </c>
      <c r="CZ89" s="120">
        <f>181-Table_ExternalData_14[[#This Row],[DaysOD]]</f>
        <v>18</v>
      </c>
      <c r="DA89" s="120">
        <f>IF(Table_ExternalData_14[[#This Row],[Status]]="PU-WC",0,Table_ExternalData_14[[#This Row],[Amount_CWO]]/1000000)</f>
        <v>55.226704099999999</v>
      </c>
      <c r="DB89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89" s="120">
        <f>IF(Table_ExternalData_14[[#This Row],[Status]]="PU-WC",0,IF(Table_ExternalData_14[[#This Row],[Success CWO]]=1,Table_ExternalData_14[[#This Row],[CWO Amt]],0))</f>
        <v>0</v>
      </c>
      <c r="DD89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89" s="120">
        <f>DAY(Table_ExternalData_14[[#This Row],[Tanggal_Sukses-new]])</f>
        <v>0</v>
      </c>
      <c r="DF89" s="120">
        <f>IF(Table_ExternalData_14[[#This Row],[Status]]="PU-WC",0,IF(SUM(Table_ExternalData_14[[#This Row],[Success CWO]:[WO-In-Amt]])=0,1,0))</f>
        <v>1</v>
      </c>
      <c r="DG89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55.226704099999999</v>
      </c>
      <c r="DH89" s="120" t="str">
        <f>VLOOKUP(Table_ExternalData_14[[#This Row],[BranchID]],KC!$A:$K,5,0)</f>
        <v>4W</v>
      </c>
      <c r="DI89" s="120" t="str">
        <f>VLOOKUP(Table_ExternalData_14[[#This Row],[BranchID]],KC!$A:$K,8,0)</f>
        <v>07. Sumbagsel</v>
      </c>
      <c r="DJ89" s="120" t="str">
        <f>VLOOKUP(Table_ExternalData_14[[#This Row],[BranchID]],KC!$A:$K,9,0)</f>
        <v>BANDAR LAMPUNG</v>
      </c>
      <c r="DK89" s="121">
        <f>IF(Table_ExternalData_14[[#This Row],[Tanggal_Sukses]]=" ",Table_ExternalData_14[[#This Row],[Tanggal_Sukses]],VLOOKUP(Table_ExternalData_14[[#This Row],[ContractID]],Bantuan!$A:$C,2,0))</f>
        <v>0</v>
      </c>
      <c r="DL89" s="120">
        <f>IF(Table_ExternalData_14[[#This Row],[Keterangan_Sukses]]=" ",Table_ExternalData_14[[#This Row],[Keterangan_Sukses]],VLOOKUP(Table_ExternalData_14[[#This Row],[ContractID]],Bantuan!$A:$C,3,0))</f>
        <v>0</v>
      </c>
    </row>
    <row r="90" spans="1:116" x14ac:dyDescent="0.3">
      <c r="A90" s="117" t="s">
        <v>391</v>
      </c>
      <c r="B90" s="112" t="s">
        <v>390</v>
      </c>
      <c r="C90" s="113">
        <v>46142</v>
      </c>
      <c r="D90" s="279">
        <v>45966</v>
      </c>
      <c r="E90" s="113">
        <v>44592</v>
      </c>
      <c r="F90" s="112" t="s">
        <v>1915</v>
      </c>
      <c r="G90" s="112" t="s">
        <v>1916</v>
      </c>
      <c r="H90" s="112" t="s">
        <v>1917</v>
      </c>
      <c r="I90" s="112" t="s">
        <v>1918</v>
      </c>
      <c r="J90" s="112" t="s">
        <v>1919</v>
      </c>
      <c r="K90" s="112" t="s">
        <v>4</v>
      </c>
      <c r="L90" s="112" t="s">
        <v>1919</v>
      </c>
      <c r="M90" s="112" t="s">
        <v>1920</v>
      </c>
      <c r="N90" s="112" t="s">
        <v>1921</v>
      </c>
      <c r="O90" s="112" t="s">
        <v>390</v>
      </c>
      <c r="P90" s="112" t="s">
        <v>936</v>
      </c>
      <c r="Q90" s="112" t="s">
        <v>1922</v>
      </c>
      <c r="R90" s="112" t="s">
        <v>4</v>
      </c>
      <c r="S90" s="112" t="s">
        <v>4</v>
      </c>
      <c r="T90" s="112" t="s">
        <v>1923</v>
      </c>
      <c r="U90" s="112" t="s">
        <v>1923</v>
      </c>
      <c r="V90" s="112" t="s">
        <v>389</v>
      </c>
      <c r="W90" s="112" t="s">
        <v>120</v>
      </c>
      <c r="X90" s="112" t="s">
        <v>121</v>
      </c>
      <c r="Y90" s="112" t="s">
        <v>136</v>
      </c>
      <c r="Z90" s="112" t="s">
        <v>142</v>
      </c>
      <c r="AA90" s="112" t="s">
        <v>1924</v>
      </c>
      <c r="AB90" s="112" t="s">
        <v>1925</v>
      </c>
      <c r="AC90" s="112" t="s">
        <v>1926</v>
      </c>
      <c r="AD90" s="112">
        <v>17340000</v>
      </c>
      <c r="AE90" s="112">
        <v>16708986.02</v>
      </c>
      <c r="AF90" s="112">
        <v>0</v>
      </c>
      <c r="AG90" s="112">
        <v>17340000</v>
      </c>
      <c r="AH90" s="112">
        <v>27451552.5</v>
      </c>
      <c r="AI90" s="112">
        <v>0</v>
      </c>
      <c r="AJ90" s="112">
        <v>4335000</v>
      </c>
      <c r="AK90" s="112">
        <v>176</v>
      </c>
      <c r="AL90" s="112">
        <v>4</v>
      </c>
      <c r="AM90" s="112">
        <v>45</v>
      </c>
      <c r="AN90" s="112">
        <v>48</v>
      </c>
      <c r="AO90" s="112" t="s">
        <v>123</v>
      </c>
      <c r="AP90" s="112" t="s">
        <v>123</v>
      </c>
      <c r="AQ90" s="112" t="s">
        <v>124</v>
      </c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 t="s">
        <v>129</v>
      </c>
      <c r="BG90" s="112" t="s">
        <v>130</v>
      </c>
      <c r="BH90" s="112">
        <v>4</v>
      </c>
      <c r="BI90" s="112">
        <v>17340000</v>
      </c>
      <c r="BJ90" s="113"/>
      <c r="BK90" s="113"/>
      <c r="BL90" s="113"/>
      <c r="BM90" s="112"/>
      <c r="BN90" s="113">
        <v>46173</v>
      </c>
      <c r="BO90" s="112">
        <v>1</v>
      </c>
      <c r="BP90" s="114">
        <v>46149</v>
      </c>
      <c r="BQ90" s="112" t="s">
        <v>131</v>
      </c>
      <c r="BR90" s="112">
        <v>183</v>
      </c>
      <c r="BS90" s="113">
        <v>45966</v>
      </c>
      <c r="BT90" s="112">
        <v>17340000</v>
      </c>
      <c r="BU90" s="112">
        <v>0</v>
      </c>
      <c r="BV90" s="112">
        <v>1</v>
      </c>
      <c r="BW90" s="112">
        <v>0</v>
      </c>
      <c r="BX90" s="112">
        <v>0</v>
      </c>
      <c r="BY90" s="112">
        <v>0</v>
      </c>
      <c r="BZ90" s="112">
        <v>0</v>
      </c>
      <c r="CA90" s="112">
        <v>0</v>
      </c>
      <c r="CB90" s="112">
        <v>0</v>
      </c>
      <c r="CC90" s="113"/>
      <c r="CD90" s="112">
        <v>0</v>
      </c>
      <c r="CE90" s="113"/>
      <c r="CF90" s="112">
        <v>0</v>
      </c>
      <c r="CG90" s="113"/>
      <c r="CH90" s="112">
        <v>0</v>
      </c>
      <c r="CI90" s="113"/>
      <c r="CJ90" s="112">
        <v>0</v>
      </c>
      <c r="CK90" s="113"/>
      <c r="CL90" s="112">
        <v>0</v>
      </c>
      <c r="CM90" s="113">
        <v>46149</v>
      </c>
      <c r="CN90" s="112" t="s">
        <v>132</v>
      </c>
      <c r="CO90" s="112">
        <v>16708986.02</v>
      </c>
      <c r="CP90" s="112">
        <v>16708986.02</v>
      </c>
      <c r="CQ90" s="112">
        <v>5</v>
      </c>
      <c r="CR90" s="118"/>
      <c r="CS90" s="119"/>
      <c r="CT90" s="112">
        <v>0</v>
      </c>
      <c r="CU90" s="112" t="s">
        <v>392</v>
      </c>
      <c r="CV90" s="112" t="s">
        <v>308</v>
      </c>
      <c r="CW90" s="113">
        <v>46149</v>
      </c>
      <c r="CX90" s="112" t="s">
        <v>2116</v>
      </c>
      <c r="CY90" s="120">
        <f>MONTH(Table_ExternalData_14[[#This Row],[RunningReportDate]])</f>
        <v>5</v>
      </c>
      <c r="CZ90" s="120">
        <f>181-Table_ExternalData_14[[#This Row],[DaysOD]]</f>
        <v>5</v>
      </c>
      <c r="DA90" s="120">
        <f>IF(Table_ExternalData_14[[#This Row],[Status]]="PU-WC",0,Table_ExternalData_14[[#This Row],[Amount_CWO]]/1000000)</f>
        <v>16.708986020000001</v>
      </c>
      <c r="DB90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90" s="120">
        <f>IF(Table_ExternalData_14[[#This Row],[Status]]="PU-WC",0,IF(Table_ExternalData_14[[#This Row],[Success CWO]]=1,Table_ExternalData_14[[#This Row],[CWO Amt]],0))</f>
        <v>0</v>
      </c>
      <c r="DD90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16.708986020000001</v>
      </c>
      <c r="DE90" s="120">
        <f>DAY(Table_ExternalData_14[[#This Row],[Tanggal_Sukses-new]])</f>
        <v>0</v>
      </c>
      <c r="DF90" s="120">
        <f>IF(Table_ExternalData_14[[#This Row],[Status]]="PU-WC",0,IF(SUM(Table_ExternalData_14[[#This Row],[Success CWO]:[WO-In-Amt]])=0,1,0))</f>
        <v>0</v>
      </c>
      <c r="DG90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90" s="120" t="str">
        <f>VLOOKUP(Table_ExternalData_14[[#This Row],[BranchID]],KC!$A:$K,5,0)</f>
        <v>4W</v>
      </c>
      <c r="DI90" s="120" t="str">
        <f>VLOOKUP(Table_ExternalData_14[[#This Row],[BranchID]],KC!$A:$K,8,0)</f>
        <v>07. Sumbagsel</v>
      </c>
      <c r="DJ90" s="120" t="str">
        <f>VLOOKUP(Table_ExternalData_14[[#This Row],[BranchID]],KC!$A:$K,9,0)</f>
        <v>BANDAR LAMPUNG</v>
      </c>
      <c r="DK90" s="121">
        <f>IF(Table_ExternalData_14[[#This Row],[Tanggal_Sukses]]=" ",Table_ExternalData_14[[#This Row],[Tanggal_Sukses]],VLOOKUP(Table_ExternalData_14[[#This Row],[ContractID]],Bantuan!$A:$C,2,0))</f>
        <v>0</v>
      </c>
      <c r="DL90" s="120">
        <f>IF(Table_ExternalData_14[[#This Row],[Keterangan_Sukses]]=" ",Table_ExternalData_14[[#This Row],[Keterangan_Sukses]],VLOOKUP(Table_ExternalData_14[[#This Row],[ContractID]],Bantuan!$A:$C,3,0))</f>
        <v>0</v>
      </c>
    </row>
    <row r="91" spans="1:116" x14ac:dyDescent="0.3">
      <c r="A91" s="117" t="s">
        <v>325</v>
      </c>
      <c r="B91" s="112" t="s">
        <v>302</v>
      </c>
      <c r="C91" s="113">
        <v>46142</v>
      </c>
      <c r="D91" s="279">
        <v>45971</v>
      </c>
      <c r="E91" s="113">
        <v>44936</v>
      </c>
      <c r="F91" s="112" t="s">
        <v>1927</v>
      </c>
      <c r="G91" s="112" t="s">
        <v>1928</v>
      </c>
      <c r="H91" s="112" t="s">
        <v>1929</v>
      </c>
      <c r="I91" s="112" t="s">
        <v>1930</v>
      </c>
      <c r="J91" s="112" t="s">
        <v>1931</v>
      </c>
      <c r="K91" s="112" t="s">
        <v>4</v>
      </c>
      <c r="L91" s="112" t="s">
        <v>1931</v>
      </c>
      <c r="M91" s="112" t="s">
        <v>1932</v>
      </c>
      <c r="N91" s="112" t="s">
        <v>1933</v>
      </c>
      <c r="O91" s="112" t="s">
        <v>968</v>
      </c>
      <c r="P91" s="112" t="s">
        <v>326</v>
      </c>
      <c r="Q91" s="112" t="s">
        <v>327</v>
      </c>
      <c r="R91" s="112" t="s">
        <v>4</v>
      </c>
      <c r="S91" s="112" t="s">
        <v>4</v>
      </c>
      <c r="T91" s="112" t="s">
        <v>4</v>
      </c>
      <c r="U91" s="112" t="s">
        <v>4</v>
      </c>
      <c r="V91" s="112" t="s">
        <v>389</v>
      </c>
      <c r="W91" s="112" t="s">
        <v>120</v>
      </c>
      <c r="X91" s="112" t="s">
        <v>121</v>
      </c>
      <c r="Y91" s="112" t="s">
        <v>136</v>
      </c>
      <c r="Z91" s="112" t="s">
        <v>142</v>
      </c>
      <c r="AA91" s="112" t="s">
        <v>1934</v>
      </c>
      <c r="AB91" s="112" t="s">
        <v>1935</v>
      </c>
      <c r="AC91" s="112" t="s">
        <v>1936</v>
      </c>
      <c r="AD91" s="112">
        <v>90450000</v>
      </c>
      <c r="AE91" s="112">
        <v>74417529.170000002</v>
      </c>
      <c r="AF91" s="112">
        <v>70350000</v>
      </c>
      <c r="AG91" s="112">
        <v>20100000</v>
      </c>
      <c r="AH91" s="112">
        <v>9681500</v>
      </c>
      <c r="AI91" s="112">
        <v>0</v>
      </c>
      <c r="AJ91" s="112">
        <v>3350000</v>
      </c>
      <c r="AK91" s="112">
        <v>171</v>
      </c>
      <c r="AL91" s="112">
        <v>6</v>
      </c>
      <c r="AM91" s="112">
        <v>34</v>
      </c>
      <c r="AN91" s="112">
        <v>60</v>
      </c>
      <c r="AO91" s="112" t="s">
        <v>123</v>
      </c>
      <c r="AP91" s="112" t="s">
        <v>123</v>
      </c>
      <c r="AQ91" s="112" t="s">
        <v>124</v>
      </c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2"/>
      <c r="BE91" s="112"/>
      <c r="BF91" s="112" t="s">
        <v>129</v>
      </c>
      <c r="BG91" s="112" t="s">
        <v>375</v>
      </c>
      <c r="BH91" s="112">
        <v>7</v>
      </c>
      <c r="BI91" s="112">
        <v>23450000</v>
      </c>
      <c r="BJ91" s="113"/>
      <c r="BK91" s="113">
        <v>46137</v>
      </c>
      <c r="BL91" s="113"/>
      <c r="BM91" s="112"/>
      <c r="BN91" s="113">
        <v>46173</v>
      </c>
      <c r="BO91" s="112">
        <v>1</v>
      </c>
      <c r="BP91" s="114">
        <v>46149</v>
      </c>
      <c r="BQ91" s="112" t="s">
        <v>131</v>
      </c>
      <c r="BR91" s="112">
        <v>178</v>
      </c>
      <c r="BS91" s="113">
        <v>45971</v>
      </c>
      <c r="BT91" s="112">
        <v>90450000</v>
      </c>
      <c r="BU91" s="112">
        <v>0</v>
      </c>
      <c r="BV91" s="112">
        <v>1</v>
      </c>
      <c r="BW91" s="112">
        <v>0</v>
      </c>
      <c r="BX91" s="112">
        <v>0</v>
      </c>
      <c r="BY91" s="112">
        <v>0</v>
      </c>
      <c r="BZ91" s="112">
        <v>0</v>
      </c>
      <c r="CA91" s="112">
        <v>0</v>
      </c>
      <c r="CB91" s="112">
        <v>0</v>
      </c>
      <c r="CC91" s="113"/>
      <c r="CD91" s="112">
        <v>0</v>
      </c>
      <c r="CE91" s="113"/>
      <c r="CF91" s="112">
        <v>0</v>
      </c>
      <c r="CG91" s="113"/>
      <c r="CH91" s="112">
        <v>0</v>
      </c>
      <c r="CI91" s="113"/>
      <c r="CJ91" s="112">
        <v>0</v>
      </c>
      <c r="CK91" s="113"/>
      <c r="CL91" s="112">
        <v>0</v>
      </c>
      <c r="CM91" s="113">
        <v>46149</v>
      </c>
      <c r="CN91" s="112" t="s">
        <v>132</v>
      </c>
      <c r="CO91" s="112">
        <v>74417529.170000002</v>
      </c>
      <c r="CP91" s="112">
        <v>0</v>
      </c>
      <c r="CQ91" s="112">
        <v>0</v>
      </c>
      <c r="CR91" s="118">
        <v>46137</v>
      </c>
      <c r="CS91" s="119" t="s">
        <v>255</v>
      </c>
      <c r="CT91" s="112">
        <v>74417529.170000002</v>
      </c>
      <c r="CU91" s="112" t="s">
        <v>328</v>
      </c>
      <c r="CV91" s="112" t="s">
        <v>308</v>
      </c>
      <c r="CW91" s="113">
        <v>46149</v>
      </c>
      <c r="CX91" s="112" t="s">
        <v>2116</v>
      </c>
      <c r="CY91" s="120">
        <f>MONTH(Table_ExternalData_14[[#This Row],[RunningReportDate]])</f>
        <v>5</v>
      </c>
      <c r="CZ91" s="120">
        <f>181-Table_ExternalData_14[[#This Row],[DaysOD]]</f>
        <v>10</v>
      </c>
      <c r="DA91" s="120">
        <f>IF(Table_ExternalData_14[[#This Row],[Status]]="PU-WC",0,Table_ExternalData_14[[#This Row],[Amount_CWO]]/1000000)</f>
        <v>0</v>
      </c>
      <c r="DB91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0</v>
      </c>
      <c r="DC91" s="120">
        <f>IF(Table_ExternalData_14[[#This Row],[Status]]="PU-WC",0,IF(Table_ExternalData_14[[#This Row],[Success CWO]]=1,Table_ExternalData_14[[#This Row],[CWO Amt]],0))</f>
        <v>0</v>
      </c>
      <c r="DD91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91" s="120">
        <f>DAY(Table_ExternalData_14[[#This Row],[Tanggal_Sukses-new]])</f>
        <v>25</v>
      </c>
      <c r="DF91" s="120">
        <f>IF(Table_ExternalData_14[[#This Row],[Status]]="PU-WC",0,IF(SUM(Table_ExternalData_14[[#This Row],[Success CWO]:[WO-In-Amt]])=0,1,0))</f>
        <v>0</v>
      </c>
      <c r="DG91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91" s="120" t="str">
        <f>VLOOKUP(Table_ExternalData_14[[#This Row],[BranchID]],KC!$A:$K,5,0)</f>
        <v>4W</v>
      </c>
      <c r="DI91" s="120" t="str">
        <f>VLOOKUP(Table_ExternalData_14[[#This Row],[BranchID]],KC!$A:$K,8,0)</f>
        <v>07. Sumbagsel</v>
      </c>
      <c r="DJ91" s="120" t="str">
        <f>VLOOKUP(Table_ExternalData_14[[#This Row],[BranchID]],KC!$A:$K,9,0)</f>
        <v>PALEMBANG</v>
      </c>
      <c r="DK91" s="121">
        <f>IF(Table_ExternalData_14[[#This Row],[Tanggal_Sukses]]=" ",Table_ExternalData_14[[#This Row],[Tanggal_Sukses]],VLOOKUP(Table_ExternalData_14[[#This Row],[ContractID]],Bantuan!$A:$C,2,0))</f>
        <v>46137</v>
      </c>
      <c r="DL91" s="120" t="str">
        <f>IF(Table_ExternalData_14[[#This Row],[Keterangan_Sukses]]=" ",Table_ExternalData_14[[#This Row],[Keterangan_Sukses]],VLOOKUP(Table_ExternalData_14[[#This Row],[ContractID]],Bantuan!$A:$C,3,0))</f>
        <v>REPO SEBELUM WO</v>
      </c>
    </row>
    <row r="92" spans="1:116" x14ac:dyDescent="0.3">
      <c r="A92" s="117" t="s">
        <v>325</v>
      </c>
      <c r="B92" s="112" t="s">
        <v>302</v>
      </c>
      <c r="C92" s="113">
        <v>46142</v>
      </c>
      <c r="D92" s="279">
        <v>45992</v>
      </c>
      <c r="E92" s="113">
        <v>44712</v>
      </c>
      <c r="F92" s="112" t="s">
        <v>962</v>
      </c>
      <c r="G92" s="112" t="s">
        <v>963</v>
      </c>
      <c r="H92" s="112" t="s">
        <v>964</v>
      </c>
      <c r="I92" s="112" t="s">
        <v>965</v>
      </c>
      <c r="J92" s="112" t="s">
        <v>966</v>
      </c>
      <c r="K92" s="112" t="s">
        <v>4</v>
      </c>
      <c r="L92" s="112" t="s">
        <v>966</v>
      </c>
      <c r="M92" s="112" t="s">
        <v>902</v>
      </c>
      <c r="N92" s="112" t="s">
        <v>967</v>
      </c>
      <c r="O92" s="112" t="s">
        <v>968</v>
      </c>
      <c r="P92" s="112" t="s">
        <v>326</v>
      </c>
      <c r="Q92" s="112" t="s">
        <v>327</v>
      </c>
      <c r="R92" s="112" t="s">
        <v>4</v>
      </c>
      <c r="S92" s="112" t="s">
        <v>4</v>
      </c>
      <c r="T92" s="112" t="s">
        <v>4</v>
      </c>
      <c r="U92" s="112" t="s">
        <v>4</v>
      </c>
      <c r="V92" s="112" t="s">
        <v>927</v>
      </c>
      <c r="W92" s="112" t="s">
        <v>120</v>
      </c>
      <c r="X92" s="112" t="s">
        <v>121</v>
      </c>
      <c r="Y92" s="112" t="s">
        <v>136</v>
      </c>
      <c r="Z92" s="112" t="s">
        <v>142</v>
      </c>
      <c r="AA92" s="112" t="s">
        <v>969</v>
      </c>
      <c r="AB92" s="112" t="s">
        <v>970</v>
      </c>
      <c r="AC92" s="112" t="s">
        <v>971</v>
      </c>
      <c r="AD92" s="112">
        <v>20100000</v>
      </c>
      <c r="AE92" s="112">
        <v>19274606.120000001</v>
      </c>
      <c r="AF92" s="112">
        <v>3350000</v>
      </c>
      <c r="AG92" s="112">
        <v>16750000</v>
      </c>
      <c r="AH92" s="112">
        <v>44504000</v>
      </c>
      <c r="AI92" s="112">
        <v>150000</v>
      </c>
      <c r="AJ92" s="112">
        <v>3350000</v>
      </c>
      <c r="AK92" s="112">
        <v>150</v>
      </c>
      <c r="AL92" s="112">
        <v>5</v>
      </c>
      <c r="AM92" s="112">
        <v>43</v>
      </c>
      <c r="AN92" s="112">
        <v>48</v>
      </c>
      <c r="AO92" s="112" t="s">
        <v>236</v>
      </c>
      <c r="AP92" s="112" t="s">
        <v>236</v>
      </c>
      <c r="AQ92" s="112" t="s">
        <v>124</v>
      </c>
      <c r="AR92" s="112" t="s">
        <v>972</v>
      </c>
      <c r="AS92" s="112" t="s">
        <v>973</v>
      </c>
      <c r="AT92" s="112" t="s">
        <v>974</v>
      </c>
      <c r="AU92" s="112" t="s">
        <v>975</v>
      </c>
      <c r="AV92" s="112" t="s">
        <v>125</v>
      </c>
      <c r="AW92" s="112" t="s">
        <v>126</v>
      </c>
      <c r="AX92" s="112" t="s">
        <v>127</v>
      </c>
      <c r="AY92" s="112" t="s">
        <v>976</v>
      </c>
      <c r="AZ92" s="112" t="s">
        <v>977</v>
      </c>
      <c r="BA92" s="112" t="s">
        <v>978</v>
      </c>
      <c r="BB92" s="112" t="s">
        <v>128</v>
      </c>
      <c r="BC92" s="112" t="s">
        <v>979</v>
      </c>
      <c r="BD92" s="112" t="s">
        <v>125</v>
      </c>
      <c r="BE92" s="112" t="s">
        <v>126</v>
      </c>
      <c r="BF92" s="112" t="s">
        <v>129</v>
      </c>
      <c r="BG92" s="112" t="s">
        <v>130</v>
      </c>
      <c r="BH92" s="112">
        <v>6</v>
      </c>
      <c r="BI92" s="112">
        <v>20100000</v>
      </c>
      <c r="BJ92" s="113"/>
      <c r="BK92" s="113"/>
      <c r="BL92" s="113"/>
      <c r="BM92" s="112"/>
      <c r="BN92" s="113">
        <v>46173</v>
      </c>
      <c r="BO92" s="112">
        <v>1</v>
      </c>
      <c r="BP92" s="114">
        <v>46149</v>
      </c>
      <c r="BQ92" s="112" t="s">
        <v>131</v>
      </c>
      <c r="BR92" s="112">
        <v>126</v>
      </c>
      <c r="BS92" s="113">
        <v>46023</v>
      </c>
      <c r="BT92" s="112">
        <v>16750000</v>
      </c>
      <c r="BU92" s="112">
        <v>3350000</v>
      </c>
      <c r="BV92" s="112">
        <v>0</v>
      </c>
      <c r="BW92" s="112">
        <v>0</v>
      </c>
      <c r="BX92" s="112">
        <v>0</v>
      </c>
      <c r="BY92" s="112">
        <v>1</v>
      </c>
      <c r="BZ92" s="112">
        <v>1</v>
      </c>
      <c r="CA92" s="112">
        <v>3350000</v>
      </c>
      <c r="CB92" s="112">
        <v>3350000</v>
      </c>
      <c r="CC92" s="113"/>
      <c r="CD92" s="112">
        <v>0</v>
      </c>
      <c r="CE92" s="113"/>
      <c r="CF92" s="112">
        <v>0</v>
      </c>
      <c r="CG92" s="113"/>
      <c r="CH92" s="112">
        <v>0</v>
      </c>
      <c r="CI92" s="113"/>
      <c r="CJ92" s="112">
        <v>0</v>
      </c>
      <c r="CK92" s="113"/>
      <c r="CL92" s="112">
        <v>0</v>
      </c>
      <c r="CM92" s="113">
        <v>46149</v>
      </c>
      <c r="CN92" s="112" t="s">
        <v>132</v>
      </c>
      <c r="CO92" s="112">
        <v>19124606.120000001</v>
      </c>
      <c r="CP92" s="112">
        <v>0</v>
      </c>
      <c r="CQ92" s="112">
        <v>0</v>
      </c>
      <c r="CR92" s="118">
        <v>46147</v>
      </c>
      <c r="CS92" s="119" t="s">
        <v>2114</v>
      </c>
      <c r="CT92" s="112">
        <v>19124606.120000001</v>
      </c>
      <c r="CU92" s="112" t="s">
        <v>328</v>
      </c>
      <c r="CV92" s="112" t="s">
        <v>308</v>
      </c>
      <c r="CW92" s="113">
        <v>46149</v>
      </c>
      <c r="CX92" s="112" t="s">
        <v>2116</v>
      </c>
      <c r="CY92" s="120">
        <f>MONTH(Table_ExternalData_14[[#This Row],[RunningReportDate]])</f>
        <v>5</v>
      </c>
      <c r="CZ92" s="120">
        <f>181-Table_ExternalData_14[[#This Row],[DaysOD]]</f>
        <v>31</v>
      </c>
      <c r="DA92" s="120">
        <f>IF(Table_ExternalData_14[[#This Row],[Status]]="PU-WC",0,Table_ExternalData_14[[#This Row],[Amount_CWO]]/1000000)</f>
        <v>19.124606120000003</v>
      </c>
      <c r="DB92" s="120">
        <f>IF(Table_ExternalData_14[[#This Row],[Status]]="PU-WC",0,IF(Table_ExternalData_14[[#This Row],[Keterangan_Sukses-new]]="RB",1,IF(Table_ExternalData_14[[#This Row],[Keterangan_Sukses-new]]="STAY",1,IF(Table_ExternalData_14[[#This Row],[Keterangan_Sukses-new]]="BTC",1,IF(ISERROR(FIND("SEBELUM",Table_ExternalData_14[[#This Row],[Keterangan_Sukses-new]],1)),0,1)))))</f>
        <v>1</v>
      </c>
      <c r="DC92" s="120">
        <f>IF(Table_ExternalData_14[[#This Row],[Status]]="PU-WC",0,IF(Table_ExternalData_14[[#This Row],[Success CWO]]=1,Table_ExternalData_14[[#This Row],[CWO Amt]],0))</f>
        <v>19.124606120000003</v>
      </c>
      <c r="DD92" s="120">
        <f>IF(AND(Table_ExternalData_14[[#This Row],[Status]]="InsuranceClaim",Table_ExternalData_14[[#This Row],[TglTarik]]&gt;0),0,IF(Table_ExternalData_14[[#This Row],[ContractID]]="1547220000067",0,IF(Table_ExternalData_14[[#This Row],[Status]]="PU-WC",0,IF(Table_ExternalData_14[[#This Row],[Tgl WO-in]]&lt;= DAY(Table_ExternalData_14[[#This Row],[Period]]),Table_ExternalData_14[[#This Row],[Amount_WO]]/1000000,0))))</f>
        <v>0</v>
      </c>
      <c r="DE92" s="120">
        <f>DAY(Table_ExternalData_14[[#This Row],[Tanggal_Sukses-new]])</f>
        <v>5</v>
      </c>
      <c r="DF92" s="120">
        <f>IF(Table_ExternalData_14[[#This Row],[Status]]="PU-WC",0,IF(SUM(Table_ExternalData_14[[#This Row],[Success CWO]:[WO-In-Amt]])=0,1,0))</f>
        <v>0</v>
      </c>
      <c r="DG92" s="120">
        <f>IF(AND(Table_ExternalData_14[[#This Row],[Status]]="InsuranceClaim",Table_ExternalData_14[[#This Row],[TglTarik]]&gt;0),0,IF(Table_ExternalData_14[[#This Row],[Status]]="PU-WC",0,IF(Table_ExternalData_14[[#This Row],[Potensi WO]]=1,Table_ExternalData_14[[#This Row],[CWO Amt]],0)))</f>
        <v>0</v>
      </c>
      <c r="DH92" s="120" t="str">
        <f>VLOOKUP(Table_ExternalData_14[[#This Row],[BranchID]],KC!$A:$K,5,0)</f>
        <v>4W</v>
      </c>
      <c r="DI92" s="120" t="str">
        <f>VLOOKUP(Table_ExternalData_14[[#This Row],[BranchID]],KC!$A:$K,8,0)</f>
        <v>07. Sumbagsel</v>
      </c>
      <c r="DJ92" s="120" t="str">
        <f>VLOOKUP(Table_ExternalData_14[[#This Row],[BranchID]],KC!$A:$K,9,0)</f>
        <v>PALEMBANG</v>
      </c>
      <c r="DK92" s="121">
        <f>IF(Table_ExternalData_14[[#This Row],[Tanggal_Sukses]]=" ",Table_ExternalData_14[[#This Row],[Tanggal_Sukses]],VLOOKUP(Table_ExternalData_14[[#This Row],[ContractID]],Bantuan!$A:$C,2,0))</f>
        <v>46147</v>
      </c>
      <c r="DL92" s="120" t="str">
        <f>IF(Table_ExternalData_14[[#This Row],[Keterangan_Sukses]]=" ",Table_ExternalData_14[[#This Row],[Keterangan_Sukses]],VLOOKUP(Table_ExternalData_14[[#This Row],[ContractID]],Bantuan!$A:$C,3,0))</f>
        <v>RB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DJ78"/>
  <sheetViews>
    <sheetView showGridLines="0" workbookViewId="0">
      <selection activeCell="H8" sqref="H8"/>
    </sheetView>
  </sheetViews>
  <sheetFormatPr defaultColWidth="9.109375" defaultRowHeight="13.2" x14ac:dyDescent="0.3"/>
  <cols>
    <col min="1" max="1" width="17.88671875" style="3" bestFit="1" customWidth="1"/>
    <col min="2" max="2" width="13.5546875" style="2" bestFit="1" customWidth="1"/>
    <col min="3" max="3" width="15.33203125" style="2" bestFit="1" customWidth="1"/>
    <col min="4" max="4" width="19" style="2" bestFit="1" customWidth="1"/>
    <col min="5" max="5" width="15.33203125" style="2" bestFit="1" customWidth="1"/>
    <col min="6" max="6" width="17.5546875" style="2" bestFit="1" customWidth="1"/>
    <col min="7" max="7" width="14.88671875" style="2" bestFit="1" customWidth="1"/>
    <col min="8" max="8" width="32.88671875" style="1" bestFit="1" customWidth="1"/>
    <col min="9" max="9" width="145.77734375" style="1" bestFit="1" customWidth="1"/>
    <col min="10" max="10" width="13.33203125" style="1" bestFit="1" customWidth="1"/>
    <col min="11" max="11" width="16" style="1" bestFit="1" customWidth="1"/>
    <col min="12" max="12" width="14.33203125" style="1" bestFit="1" customWidth="1"/>
    <col min="13" max="13" width="35.5546875" style="1" bestFit="1" customWidth="1"/>
    <col min="14" max="14" width="26.21875" style="1" bestFit="1" customWidth="1"/>
    <col min="15" max="15" width="22.77734375" style="1" bestFit="1" customWidth="1"/>
    <col min="16" max="16" width="13.88671875" style="1" bestFit="1" customWidth="1"/>
    <col min="17" max="17" width="14.21875" style="1" bestFit="1" customWidth="1"/>
    <col min="18" max="18" width="12.77734375" style="1" bestFit="1" customWidth="1"/>
    <col min="19" max="19" width="24.6640625" style="1" bestFit="1" customWidth="1"/>
    <col min="20" max="20" width="14.21875" style="1" bestFit="1" customWidth="1"/>
    <col min="21" max="21" width="14.109375" style="1" bestFit="1" customWidth="1"/>
    <col min="22" max="22" width="16.5546875" style="1" bestFit="1" customWidth="1"/>
    <col min="23" max="23" width="15.44140625" style="1" bestFit="1" customWidth="1"/>
    <col min="24" max="24" width="15.109375" style="1" bestFit="1" customWidth="1"/>
    <col min="25" max="25" width="15" style="1" bestFit="1" customWidth="1"/>
    <col min="26" max="26" width="31.77734375" style="1" bestFit="1" customWidth="1"/>
    <col min="27" max="27" width="21.5546875" style="1" bestFit="1" customWidth="1"/>
    <col min="28" max="28" width="18.44140625" style="1" bestFit="1" customWidth="1"/>
    <col min="29" max="29" width="17.6640625" style="1" bestFit="1" customWidth="1"/>
    <col min="30" max="30" width="15.44140625" style="1" bestFit="1" customWidth="1"/>
    <col min="31" max="31" width="14" style="1" bestFit="1" customWidth="1"/>
    <col min="32" max="32" width="10" style="1" bestFit="1" customWidth="1"/>
    <col min="33" max="33" width="12.109375" style="1" bestFit="1" customWidth="1"/>
    <col min="34" max="34" width="12" style="1" bestFit="1" customWidth="1"/>
    <col min="35" max="35" width="11.33203125" style="1" bestFit="1" customWidth="1"/>
    <col min="36" max="36" width="14.88671875" style="1" bestFit="1" customWidth="1"/>
    <col min="37" max="37" width="12.5546875" style="1" bestFit="1" customWidth="1"/>
    <col min="38" max="38" width="23.109375" style="1" bestFit="1" customWidth="1"/>
    <col min="39" max="39" width="15.77734375" style="1" bestFit="1" customWidth="1"/>
    <col min="40" max="40" width="16.44140625" style="1" bestFit="1" customWidth="1"/>
    <col min="41" max="42" width="10.21875" style="1" bestFit="1" customWidth="1"/>
    <col min="43" max="43" width="9.21875" style="1" bestFit="1" customWidth="1"/>
    <col min="44" max="44" width="15.109375" style="1" bestFit="1" customWidth="1"/>
    <col min="45" max="45" width="16.44140625" style="1" bestFit="1" customWidth="1"/>
    <col min="46" max="46" width="30.44140625" style="1" bestFit="1" customWidth="1"/>
    <col min="47" max="47" width="17.88671875" style="1" bestFit="1" customWidth="1"/>
    <col min="48" max="48" width="19.21875" style="1" bestFit="1" customWidth="1"/>
    <col min="49" max="49" width="25.5546875" style="1" bestFit="1" customWidth="1"/>
    <col min="50" max="50" width="14.88671875" style="1" bestFit="1" customWidth="1"/>
    <col min="51" max="51" width="12.44140625" style="1" bestFit="1" customWidth="1"/>
    <col min="52" max="52" width="13" style="1" bestFit="1" customWidth="1"/>
    <col min="53" max="53" width="32.77734375" style="1" bestFit="1" customWidth="1"/>
    <col min="54" max="54" width="13.88671875" style="1" bestFit="1" customWidth="1"/>
    <col min="55" max="55" width="11.77734375" style="1" bestFit="1" customWidth="1"/>
    <col min="56" max="56" width="12" style="1" bestFit="1" customWidth="1"/>
    <col min="57" max="57" width="19.44140625" style="1" bestFit="1" customWidth="1"/>
    <col min="58" max="58" width="12.109375" style="1" bestFit="1" customWidth="1"/>
    <col min="59" max="59" width="11.109375" style="1" bestFit="1" customWidth="1"/>
    <col min="60" max="60" width="12.109375" style="1" bestFit="1" customWidth="1"/>
    <col min="61" max="61" width="14.5546875" style="1" bestFit="1" customWidth="1"/>
    <col min="62" max="62" width="13.44140625" style="1" bestFit="1" customWidth="1"/>
    <col min="63" max="63" width="15.33203125" style="1" bestFit="1" customWidth="1"/>
    <col min="64" max="64" width="17.21875" style="1" bestFit="1" customWidth="1"/>
    <col min="65" max="65" width="12.44140625" style="1" bestFit="1" customWidth="1"/>
    <col min="66" max="66" width="20.109375" style="1" bestFit="1" customWidth="1"/>
    <col min="67" max="67" width="9" style="1" bestFit="1" customWidth="1"/>
    <col min="68" max="68" width="23" style="1" bestFit="1" customWidth="1"/>
    <col min="69" max="69" width="20.33203125" style="1" bestFit="1" customWidth="1"/>
    <col min="70" max="70" width="19.109375" style="1" bestFit="1" customWidth="1"/>
    <col min="71" max="71" width="24.77734375" style="1" bestFit="1" customWidth="1"/>
    <col min="72" max="72" width="10" style="1" bestFit="1" customWidth="1"/>
    <col min="73" max="73" width="9.77734375" style="1" bestFit="1" customWidth="1"/>
    <col min="74" max="74" width="12" style="1" bestFit="1" customWidth="1"/>
    <col min="75" max="75" width="11.77734375" style="1" bestFit="1" customWidth="1"/>
    <col min="76" max="76" width="8.109375" style="1" bestFit="1" customWidth="1"/>
    <col min="77" max="77" width="16.21875" style="1" bestFit="1" customWidth="1"/>
    <col min="78" max="78" width="12.44140625" style="1" bestFit="1" customWidth="1"/>
    <col min="79" max="79" width="18.77734375" style="1" bestFit="1" customWidth="1"/>
    <col min="80" max="80" width="14.88671875" style="1" bestFit="1" customWidth="1"/>
    <col min="81" max="81" width="18.21875" style="1" bestFit="1" customWidth="1"/>
    <col min="82" max="82" width="11.109375" style="1" bestFit="1" customWidth="1"/>
    <col min="83" max="83" width="19.21875" style="1" bestFit="1" customWidth="1"/>
    <col min="84" max="84" width="12.109375" style="1" bestFit="1" customWidth="1"/>
    <col min="85" max="85" width="16.33203125" style="1" bestFit="1" customWidth="1"/>
    <col min="86" max="86" width="9.21875" style="1" bestFit="1" customWidth="1"/>
    <col min="87" max="87" width="23.6640625" style="1" bestFit="1" customWidth="1"/>
    <col min="88" max="88" width="20.33203125" style="1" bestFit="1" customWidth="1"/>
    <col min="89" max="89" width="18.88671875" style="1" bestFit="1" customWidth="1"/>
    <col min="90" max="90" width="13.21875" style="1" bestFit="1" customWidth="1"/>
    <col min="91" max="91" width="15.33203125" style="1" bestFit="1" customWidth="1"/>
    <col min="92" max="92" width="12.44140625" style="1" bestFit="1" customWidth="1"/>
    <col min="93" max="93" width="18" style="1" bestFit="1" customWidth="1"/>
    <col min="94" max="94" width="16.5546875" style="1" bestFit="1" customWidth="1"/>
    <col min="95" max="95" width="13.33203125" style="1" bestFit="1" customWidth="1"/>
    <col min="96" max="96" width="19.77734375" style="1" bestFit="1" customWidth="1"/>
    <col min="97" max="97" width="23.109375" style="1" bestFit="1" customWidth="1"/>
    <col min="98" max="98" width="17.21875" style="1" bestFit="1" customWidth="1"/>
    <col min="99" max="99" width="23.44140625" style="1" bestFit="1" customWidth="1"/>
    <col min="100" max="100" width="22.109375" style="1" bestFit="1" customWidth="1"/>
    <col min="101" max="101" width="14.88671875" style="82" bestFit="1" customWidth="1"/>
    <col min="102" max="102" width="15.109375" style="1" bestFit="1" customWidth="1"/>
    <col min="103" max="103" width="12.109375" style="1" bestFit="1" customWidth="1"/>
    <col min="104" max="104" width="14.21875" style="1" bestFit="1" customWidth="1"/>
    <col min="105" max="105" width="14.109375" style="1" bestFit="1" customWidth="1"/>
    <col min="106" max="106" width="18.109375" style="1" bestFit="1" customWidth="1"/>
    <col min="107" max="107" width="22.21875" style="1" bestFit="1" customWidth="1"/>
    <col min="108" max="108" width="15.109375" style="1" bestFit="1" customWidth="1"/>
    <col min="109" max="109" width="16" style="1" bestFit="1" customWidth="1"/>
    <col min="110" max="110" width="15.88671875" style="1" bestFit="1" customWidth="1"/>
    <col min="111" max="111" width="20.109375" style="1" bestFit="1" customWidth="1"/>
    <col min="112" max="112" width="12.88671875" style="1" bestFit="1" customWidth="1"/>
    <col min="113" max="113" width="17.21875" style="1" bestFit="1" customWidth="1"/>
    <col min="114" max="114" width="17.88671875" style="1" bestFit="1" customWidth="1"/>
    <col min="115" max="16384" width="9.109375" style="1"/>
  </cols>
  <sheetData>
    <row r="1" spans="1:114" s="2" customFormat="1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 t="s">
        <v>45</v>
      </c>
      <c r="AD1" s="2" t="s">
        <v>46</v>
      </c>
      <c r="AE1" s="2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53</v>
      </c>
      <c r="AL1" s="2" t="s">
        <v>54</v>
      </c>
      <c r="AM1" s="2" t="s">
        <v>55</v>
      </c>
      <c r="AN1" s="2" t="s">
        <v>56</v>
      </c>
      <c r="AO1" s="2" t="s">
        <v>57</v>
      </c>
      <c r="AP1" s="2" t="s">
        <v>58</v>
      </c>
      <c r="AQ1" s="2" t="s">
        <v>59</v>
      </c>
      <c r="AR1" s="2" t="s">
        <v>60</v>
      </c>
      <c r="AS1" s="2" t="s">
        <v>61</v>
      </c>
      <c r="AT1" s="2" t="s">
        <v>62</v>
      </c>
      <c r="AU1" s="2" t="s">
        <v>63</v>
      </c>
      <c r="AV1" s="2" t="s">
        <v>64</v>
      </c>
      <c r="AW1" s="2" t="s">
        <v>65</v>
      </c>
      <c r="AX1" s="2" t="s">
        <v>66</v>
      </c>
      <c r="AY1" s="2" t="s">
        <v>67</v>
      </c>
      <c r="AZ1" s="2" t="s">
        <v>68</v>
      </c>
      <c r="BA1" s="2" t="s">
        <v>69</v>
      </c>
      <c r="BB1" s="2" t="s">
        <v>70</v>
      </c>
      <c r="BC1" s="2" t="s">
        <v>71</v>
      </c>
      <c r="BD1" s="2" t="s">
        <v>72</v>
      </c>
      <c r="BE1" s="2" t="s">
        <v>73</v>
      </c>
      <c r="BF1" s="2" t="s">
        <v>74</v>
      </c>
      <c r="BG1" s="2" t="s">
        <v>75</v>
      </c>
      <c r="BH1" s="2" t="s">
        <v>76</v>
      </c>
      <c r="BI1" s="2" t="s">
        <v>77</v>
      </c>
      <c r="BJ1" s="2" t="s">
        <v>78</v>
      </c>
      <c r="BK1" s="2" t="s">
        <v>79</v>
      </c>
      <c r="BL1" s="2" t="s">
        <v>80</v>
      </c>
      <c r="BM1" s="2" t="s">
        <v>81</v>
      </c>
      <c r="BN1" s="2" t="s">
        <v>82</v>
      </c>
      <c r="BO1" s="2" t="s">
        <v>83</v>
      </c>
      <c r="BP1" s="80" t="s">
        <v>84</v>
      </c>
      <c r="BQ1" s="2" t="s">
        <v>85</v>
      </c>
      <c r="BR1" s="2" t="s">
        <v>86</v>
      </c>
      <c r="BS1" s="2" t="s">
        <v>87</v>
      </c>
      <c r="BT1" s="2" t="s">
        <v>88</v>
      </c>
      <c r="BU1" s="2" t="s">
        <v>89</v>
      </c>
      <c r="BV1" s="2" t="s">
        <v>90</v>
      </c>
      <c r="BW1" s="2" t="s">
        <v>91</v>
      </c>
      <c r="BX1" s="2" t="s">
        <v>92</v>
      </c>
      <c r="BY1" s="2" t="s">
        <v>93</v>
      </c>
      <c r="BZ1" s="2" t="s">
        <v>94</v>
      </c>
      <c r="CA1" s="2" t="s">
        <v>95</v>
      </c>
      <c r="CB1" s="2" t="s">
        <v>96</v>
      </c>
      <c r="CC1" s="2" t="s">
        <v>97</v>
      </c>
      <c r="CD1" s="2" t="s">
        <v>98</v>
      </c>
      <c r="CE1" s="2" t="s">
        <v>99</v>
      </c>
      <c r="CF1" s="2" t="s">
        <v>100</v>
      </c>
      <c r="CG1" s="2" t="s">
        <v>101</v>
      </c>
      <c r="CH1" s="2" t="s">
        <v>102</v>
      </c>
      <c r="CI1" s="2" t="s">
        <v>103</v>
      </c>
      <c r="CJ1" s="2" t="s">
        <v>104</v>
      </c>
      <c r="CK1" s="2" t="s">
        <v>105</v>
      </c>
      <c r="CL1" s="2" t="s">
        <v>106</v>
      </c>
      <c r="CM1" s="2" t="s">
        <v>107</v>
      </c>
      <c r="CN1" s="2" t="s">
        <v>108</v>
      </c>
      <c r="CO1" s="2" t="s">
        <v>109</v>
      </c>
      <c r="CP1" s="2" t="s">
        <v>110</v>
      </c>
      <c r="CQ1" s="2" t="s">
        <v>111</v>
      </c>
      <c r="CR1" s="2" t="s">
        <v>112</v>
      </c>
      <c r="CS1" s="2" t="s">
        <v>113</v>
      </c>
      <c r="CT1" s="2" t="s">
        <v>114</v>
      </c>
      <c r="CU1" s="2" t="s">
        <v>115</v>
      </c>
      <c r="CV1" s="2" t="s">
        <v>116</v>
      </c>
      <c r="CW1" s="83" t="s">
        <v>117</v>
      </c>
      <c r="CX1" s="2" t="s">
        <v>409</v>
      </c>
      <c r="CY1" s="109" t="s">
        <v>432</v>
      </c>
      <c r="CZ1" s="109" t="s">
        <v>433</v>
      </c>
      <c r="DA1" s="109" t="s">
        <v>434</v>
      </c>
      <c r="DB1" s="109" t="s">
        <v>429</v>
      </c>
      <c r="DC1" s="109" t="s">
        <v>435</v>
      </c>
      <c r="DD1" s="109" t="s">
        <v>436</v>
      </c>
      <c r="DE1" s="109" t="s">
        <v>437</v>
      </c>
      <c r="DF1" s="109" t="s">
        <v>420</v>
      </c>
      <c r="DG1" s="109" t="s">
        <v>438</v>
      </c>
      <c r="DH1" s="109" t="s">
        <v>416</v>
      </c>
      <c r="DI1" s="109" t="s">
        <v>787</v>
      </c>
      <c r="DJ1" s="109" t="s">
        <v>788</v>
      </c>
    </row>
    <row r="2" spans="1:114" x14ac:dyDescent="0.3">
      <c r="A2" s="3" t="s">
        <v>343</v>
      </c>
      <c r="B2" s="2" t="s">
        <v>344</v>
      </c>
      <c r="C2" s="278">
        <v>46173</v>
      </c>
      <c r="D2" s="278">
        <v>45996</v>
      </c>
      <c r="E2" s="278">
        <v>44742</v>
      </c>
      <c r="F2" s="2" t="s">
        <v>2984</v>
      </c>
      <c r="G2" s="2" t="s">
        <v>2985</v>
      </c>
      <c r="H2" s="1" t="s">
        <v>2986</v>
      </c>
      <c r="I2" s="1" t="s">
        <v>2987</v>
      </c>
      <c r="J2" s="1" t="s">
        <v>2988</v>
      </c>
      <c r="K2" s="1" t="s">
        <v>4</v>
      </c>
      <c r="L2" s="1" t="s">
        <v>2988</v>
      </c>
      <c r="M2" s="1" t="s">
        <v>2989</v>
      </c>
      <c r="N2" s="1" t="s">
        <v>2990</v>
      </c>
      <c r="O2" s="1" t="s">
        <v>2991</v>
      </c>
      <c r="P2" s="1" t="s">
        <v>1743</v>
      </c>
      <c r="Q2" s="1" t="s">
        <v>1744</v>
      </c>
      <c r="R2" s="1" t="s">
        <v>4</v>
      </c>
      <c r="S2" s="1" t="s">
        <v>4</v>
      </c>
      <c r="T2" s="1" t="s">
        <v>2992</v>
      </c>
      <c r="U2" s="1" t="s">
        <v>2992</v>
      </c>
      <c r="V2" s="1" t="s">
        <v>367</v>
      </c>
      <c r="W2" s="1" t="s">
        <v>120</v>
      </c>
      <c r="X2" s="1" t="s">
        <v>121</v>
      </c>
      <c r="Y2" s="1" t="s">
        <v>136</v>
      </c>
      <c r="Z2" s="1" t="s">
        <v>1746</v>
      </c>
      <c r="AA2" s="1" t="s">
        <v>2993</v>
      </c>
      <c r="AB2" s="1" t="s">
        <v>2994</v>
      </c>
      <c r="AC2" s="1" t="s">
        <v>2995</v>
      </c>
      <c r="AD2" s="1">
        <v>38672000</v>
      </c>
      <c r="AE2" s="1">
        <v>36055194.93</v>
      </c>
      <c r="AF2" s="1">
        <v>9668000</v>
      </c>
      <c r="AG2" s="1">
        <v>29004000</v>
      </c>
      <c r="AH2" s="1">
        <v>34561748.25</v>
      </c>
      <c r="AI2" s="1">
        <v>0</v>
      </c>
      <c r="AJ2" s="1">
        <v>4834000</v>
      </c>
      <c r="AK2" s="1">
        <v>177</v>
      </c>
      <c r="AL2" s="1">
        <v>6</v>
      </c>
      <c r="AM2" s="1">
        <v>41</v>
      </c>
      <c r="AN2" s="1">
        <v>48</v>
      </c>
      <c r="AO2" s="1" t="s">
        <v>123</v>
      </c>
      <c r="AP2" s="1" t="s">
        <v>123</v>
      </c>
      <c r="AQ2" s="1" t="s">
        <v>124</v>
      </c>
      <c r="AR2" s="1" t="s">
        <v>2996</v>
      </c>
      <c r="AS2" s="1" t="s">
        <v>2997</v>
      </c>
      <c r="AT2" s="1" t="s">
        <v>2998</v>
      </c>
      <c r="AU2" s="1" t="s">
        <v>2181</v>
      </c>
      <c r="AV2" s="1" t="s">
        <v>125</v>
      </c>
      <c r="AW2" s="1" t="s">
        <v>126</v>
      </c>
      <c r="AX2" s="1" t="s">
        <v>127</v>
      </c>
      <c r="AY2" s="1" t="s">
        <v>2182</v>
      </c>
      <c r="AZ2" s="1" t="s">
        <v>2183</v>
      </c>
      <c r="BA2" s="1" t="s">
        <v>2184</v>
      </c>
      <c r="BB2" s="1" t="s">
        <v>128</v>
      </c>
      <c r="BC2" s="1" t="s">
        <v>2185</v>
      </c>
      <c r="BD2" s="1" t="s">
        <v>125</v>
      </c>
      <c r="BE2" s="1" t="s">
        <v>126</v>
      </c>
      <c r="BF2" s="1" t="s">
        <v>129</v>
      </c>
      <c r="BG2" s="1" t="s">
        <v>130</v>
      </c>
      <c r="BH2" s="1">
        <v>7</v>
      </c>
      <c r="BI2" s="1">
        <v>33838000</v>
      </c>
      <c r="BJ2" s="75"/>
      <c r="BK2" s="75"/>
      <c r="BL2" s="75"/>
      <c r="BN2" s="75">
        <v>46203</v>
      </c>
      <c r="BO2" s="1">
        <v>1</v>
      </c>
      <c r="BP2" s="76">
        <v>46180</v>
      </c>
      <c r="BQ2" s="1" t="s">
        <v>131</v>
      </c>
      <c r="BR2" s="1">
        <v>184</v>
      </c>
      <c r="BS2" s="75">
        <v>45996</v>
      </c>
      <c r="BT2" s="1">
        <v>38672000</v>
      </c>
      <c r="BU2" s="1">
        <v>0</v>
      </c>
      <c r="BV2" s="1">
        <v>1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75"/>
      <c r="CD2" s="1">
        <v>0</v>
      </c>
      <c r="CE2" s="75"/>
      <c r="CF2" s="1">
        <v>0</v>
      </c>
      <c r="CG2" s="75"/>
      <c r="CH2" s="1">
        <v>0</v>
      </c>
      <c r="CI2" s="75"/>
      <c r="CJ2" s="1">
        <v>0</v>
      </c>
      <c r="CK2" s="75"/>
      <c r="CL2" s="1">
        <v>0</v>
      </c>
      <c r="CM2" s="75">
        <v>46180</v>
      </c>
      <c r="CN2" s="1" t="s">
        <v>132</v>
      </c>
      <c r="CO2" s="1">
        <v>36055194.93</v>
      </c>
      <c r="CP2" s="1">
        <v>36055194.93</v>
      </c>
      <c r="CQ2" s="1">
        <v>4</v>
      </c>
      <c r="CR2" s="75"/>
      <c r="CT2" s="1">
        <v>0</v>
      </c>
      <c r="CU2" s="1" t="s">
        <v>345</v>
      </c>
      <c r="CV2" s="1" t="s">
        <v>205</v>
      </c>
      <c r="CW2" s="82">
        <v>46180</v>
      </c>
      <c r="CX2" s="1" t="s">
        <v>2202</v>
      </c>
      <c r="CY2" s="36">
        <f>MONTH(Table_ExternalData_1[[#This Row],[RunningReportDate]])</f>
        <v>6</v>
      </c>
      <c r="CZ2" s="36">
        <f>181-Table_ExternalData_1[[#This Row],[DaysOD]]</f>
        <v>4</v>
      </c>
      <c r="DA2" s="36">
        <f>IF(Table_ExternalData_1[[#This Row],[Status]]="PU-WC",0,Table_ExternalData_1[[#This Row],[Amount_CWO]]/1000000)</f>
        <v>36.055194929999999</v>
      </c>
      <c r="DB2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2" s="36">
        <f>IF(Table_ExternalData_1[[#This Row],[Status]]="PU-WC",0,IF(Table_ExternalData_1[[#This Row],[Success CWO]]=1,Table_ExternalData_1[[#This Row],[CWO Amt]],0))</f>
        <v>0</v>
      </c>
      <c r="DD2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36.055194929999999</v>
      </c>
      <c r="DE2" s="36">
        <f>DAY(Table_ExternalData_1[[#This Row],[Tanggal_Sukses]])</f>
        <v>0</v>
      </c>
      <c r="DF2" s="36">
        <f>IF(Table_ExternalData_1[[#This Row],[Status]]="PU-WC",0,IF(SUM(Table_ExternalData_1[[#This Row],[Success CWO]:[WO-In-Amt]])=0,1,0))</f>
        <v>0</v>
      </c>
      <c r="DG2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2" s="36" t="str">
        <f>VLOOKUP(Table_ExternalData_1[[#This Row],[BranchID]],KC!$A:$K,5,0)</f>
        <v>4W</v>
      </c>
      <c r="DI2" s="36" t="str">
        <f>VLOOKUP(Table_ExternalData_1[[#This Row],[BranchID]],KC!$A:$K,8,0)</f>
        <v>05. Kalimantan</v>
      </c>
      <c r="DJ2" s="36" t="str">
        <f>VLOOKUP(Table_ExternalData_1[[#This Row],[BranchID]],KC!$A:$K,9,0)</f>
        <v>SAMPIT</v>
      </c>
    </row>
    <row r="3" spans="1:114" x14ac:dyDescent="0.3">
      <c r="A3" s="3" t="s">
        <v>455</v>
      </c>
      <c r="B3" s="2" t="s">
        <v>764</v>
      </c>
      <c r="C3" s="278">
        <v>46173</v>
      </c>
      <c r="D3" s="278">
        <v>46005</v>
      </c>
      <c r="E3" s="278">
        <v>44651</v>
      </c>
      <c r="F3" s="2" t="s">
        <v>2974</v>
      </c>
      <c r="G3" s="2" t="s">
        <v>2975</v>
      </c>
      <c r="H3" s="1" t="s">
        <v>2976</v>
      </c>
      <c r="I3" s="1" t="s">
        <v>2977</v>
      </c>
      <c r="J3" s="1" t="s">
        <v>2978</v>
      </c>
      <c r="K3" s="1" t="s">
        <v>4</v>
      </c>
      <c r="L3" s="1" t="s">
        <v>2978</v>
      </c>
      <c r="M3" s="1" t="s">
        <v>2979</v>
      </c>
      <c r="N3" s="1" t="s">
        <v>2980</v>
      </c>
      <c r="O3" s="1" t="s">
        <v>544</v>
      </c>
      <c r="P3" s="1" t="s">
        <v>2171</v>
      </c>
      <c r="Q3" s="1" t="s">
        <v>2172</v>
      </c>
      <c r="R3" s="1" t="s">
        <v>4</v>
      </c>
      <c r="S3" s="1" t="s">
        <v>4</v>
      </c>
      <c r="T3" s="1" t="s">
        <v>2123</v>
      </c>
      <c r="U3" s="1" t="s">
        <v>2123</v>
      </c>
      <c r="V3" s="1" t="s">
        <v>2123</v>
      </c>
      <c r="W3" s="1" t="s">
        <v>120</v>
      </c>
      <c r="X3" s="1" t="s">
        <v>121</v>
      </c>
      <c r="Y3" s="1" t="s">
        <v>136</v>
      </c>
      <c r="Z3" s="1" t="s">
        <v>137</v>
      </c>
      <c r="AA3" s="1" t="s">
        <v>2981</v>
      </c>
      <c r="AB3" s="1" t="s">
        <v>2982</v>
      </c>
      <c r="AC3" s="1" t="s">
        <v>2983</v>
      </c>
      <c r="AD3" s="1">
        <v>64980000</v>
      </c>
      <c r="AE3" s="1">
        <v>57199412.740000002</v>
      </c>
      <c r="AF3" s="1">
        <v>44460000</v>
      </c>
      <c r="AG3" s="1">
        <v>20520000</v>
      </c>
      <c r="AH3" s="1">
        <v>22802610</v>
      </c>
      <c r="AI3" s="1">
        <v>0</v>
      </c>
      <c r="AJ3" s="1">
        <v>3420000</v>
      </c>
      <c r="AK3" s="1">
        <v>168</v>
      </c>
      <c r="AL3" s="1">
        <v>6</v>
      </c>
      <c r="AM3" s="1">
        <v>44</v>
      </c>
      <c r="AN3" s="1">
        <v>62</v>
      </c>
      <c r="AO3" s="1" t="s">
        <v>123</v>
      </c>
      <c r="AP3" s="1" t="s">
        <v>123</v>
      </c>
      <c r="AQ3" s="1" t="s">
        <v>124</v>
      </c>
      <c r="AR3" s="1" t="s">
        <v>2173</v>
      </c>
      <c r="AS3" s="1" t="s">
        <v>2174</v>
      </c>
      <c r="AT3" s="1" t="s">
        <v>2175</v>
      </c>
      <c r="AU3" s="1" t="s">
        <v>2176</v>
      </c>
      <c r="AV3" s="1" t="s">
        <v>125</v>
      </c>
      <c r="AW3" s="1" t="s">
        <v>126</v>
      </c>
      <c r="AX3" s="1" t="s">
        <v>127</v>
      </c>
      <c r="AY3" s="1" t="s">
        <v>2177</v>
      </c>
      <c r="AZ3" s="1" t="s">
        <v>2178</v>
      </c>
      <c r="BA3" s="1" t="s">
        <v>2179</v>
      </c>
      <c r="BB3" s="1" t="s">
        <v>128</v>
      </c>
      <c r="BC3" s="1" t="s">
        <v>2180</v>
      </c>
      <c r="BD3" s="1" t="s">
        <v>125</v>
      </c>
      <c r="BE3" s="1" t="s">
        <v>126</v>
      </c>
      <c r="BF3" s="1" t="s">
        <v>129</v>
      </c>
      <c r="BG3" s="1" t="s">
        <v>130</v>
      </c>
      <c r="BH3" s="1">
        <v>7</v>
      </c>
      <c r="BI3" s="1">
        <v>23940000</v>
      </c>
      <c r="BJ3" s="75"/>
      <c r="BK3" s="75"/>
      <c r="BL3" s="75"/>
      <c r="BN3" s="75">
        <v>46203</v>
      </c>
      <c r="BO3" s="1">
        <v>1</v>
      </c>
      <c r="BP3" s="76">
        <v>46180</v>
      </c>
      <c r="BQ3" s="1" t="s">
        <v>131</v>
      </c>
      <c r="BR3" s="1">
        <v>175</v>
      </c>
      <c r="BS3" s="75">
        <v>46005</v>
      </c>
      <c r="BT3" s="1">
        <v>64980000</v>
      </c>
      <c r="BU3" s="1">
        <v>0</v>
      </c>
      <c r="BV3" s="1">
        <v>1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75"/>
      <c r="CD3" s="1">
        <v>0</v>
      </c>
      <c r="CE3" s="75"/>
      <c r="CF3" s="1">
        <v>0</v>
      </c>
      <c r="CG3" s="75"/>
      <c r="CH3" s="1">
        <v>0</v>
      </c>
      <c r="CI3" s="75"/>
      <c r="CJ3" s="1">
        <v>0</v>
      </c>
      <c r="CK3" s="75"/>
      <c r="CL3" s="1">
        <v>0</v>
      </c>
      <c r="CM3" s="75">
        <v>46180</v>
      </c>
      <c r="CN3" s="1" t="s">
        <v>132</v>
      </c>
      <c r="CO3" s="1">
        <v>57199412.740000002</v>
      </c>
      <c r="CP3" s="1">
        <v>57199412.740000002</v>
      </c>
      <c r="CQ3" s="1">
        <v>13</v>
      </c>
      <c r="CR3" s="75"/>
      <c r="CT3" s="1">
        <v>0</v>
      </c>
      <c r="CU3" s="1" t="s">
        <v>765</v>
      </c>
      <c r="CV3" s="1" t="s">
        <v>320</v>
      </c>
      <c r="CW3" s="82">
        <v>46180</v>
      </c>
      <c r="CX3" s="1" t="s">
        <v>2202</v>
      </c>
      <c r="CY3" s="36">
        <f>MONTH(Table_ExternalData_1[[#This Row],[RunningReportDate]])</f>
        <v>6</v>
      </c>
      <c r="CZ3" s="36">
        <f>181-Table_ExternalData_1[[#This Row],[DaysOD]]</f>
        <v>13</v>
      </c>
      <c r="DA3" s="36">
        <f>IF(Table_ExternalData_1[[#This Row],[Status]]="PU-WC",0,Table_ExternalData_1[[#This Row],[Amount_CWO]]/1000000)</f>
        <v>57.19941274</v>
      </c>
      <c r="DB3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3" s="36">
        <f>IF(Table_ExternalData_1[[#This Row],[Status]]="PU-WC",0,IF(Table_ExternalData_1[[#This Row],[Success CWO]]=1,Table_ExternalData_1[[#This Row],[CWO Amt]],0))</f>
        <v>0</v>
      </c>
      <c r="DD3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3" s="36">
        <f>DAY(Table_ExternalData_1[[#This Row],[Tanggal_Sukses]])</f>
        <v>0</v>
      </c>
      <c r="DF3" s="36">
        <f>IF(Table_ExternalData_1[[#This Row],[Status]]="PU-WC",0,IF(SUM(Table_ExternalData_1[[#This Row],[Success CWO]:[WO-In-Amt]])=0,1,0))</f>
        <v>1</v>
      </c>
      <c r="DG3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57.19941274</v>
      </c>
      <c r="DH3" s="36" t="str">
        <f>VLOOKUP(Table_ExternalData_1[[#This Row],[BranchID]],KC!$A:$K,5,0)</f>
        <v>4W</v>
      </c>
      <c r="DI3" s="36" t="str">
        <f>VLOOKUP(Table_ExternalData_1[[#This Row],[BranchID]],KC!$A:$K,8,0)</f>
        <v>06. Sulawesi</v>
      </c>
      <c r="DJ3" s="36" t="str">
        <f>VLOOKUP(Table_ExternalData_1[[#This Row],[BranchID]],KC!$A:$K,9,0)</f>
        <v>MAKASSAR</v>
      </c>
    </row>
    <row r="4" spans="1:114" x14ac:dyDescent="0.3">
      <c r="A4" s="3" t="s">
        <v>7</v>
      </c>
      <c r="B4" s="2" t="s">
        <v>8</v>
      </c>
      <c r="C4" s="278">
        <v>46173</v>
      </c>
      <c r="D4" s="278">
        <v>45998</v>
      </c>
      <c r="E4" s="278">
        <v>45968</v>
      </c>
      <c r="F4" s="2" t="s">
        <v>2964</v>
      </c>
      <c r="G4" s="2" t="s">
        <v>2965</v>
      </c>
      <c r="H4" s="1" t="s">
        <v>2966</v>
      </c>
      <c r="I4" s="1" t="s">
        <v>2967</v>
      </c>
      <c r="J4" s="1" t="s">
        <v>2968</v>
      </c>
      <c r="K4" s="1" t="s">
        <v>4</v>
      </c>
      <c r="L4" s="1" t="s">
        <v>2968</v>
      </c>
      <c r="M4" s="1" t="s">
        <v>2969</v>
      </c>
      <c r="N4" s="1" t="s">
        <v>2970</v>
      </c>
      <c r="O4" s="1" t="s">
        <v>11</v>
      </c>
      <c r="P4" s="1" t="s">
        <v>959</v>
      </c>
      <c r="Q4" s="1" t="s">
        <v>2170</v>
      </c>
      <c r="R4" s="1" t="s">
        <v>4</v>
      </c>
      <c r="S4" s="1" t="s">
        <v>4</v>
      </c>
      <c r="T4" s="1" t="s">
        <v>2123</v>
      </c>
      <c r="U4" s="1" t="s">
        <v>2123</v>
      </c>
      <c r="V4" s="1" t="s">
        <v>4</v>
      </c>
      <c r="W4" s="1" t="s">
        <v>120</v>
      </c>
      <c r="X4" s="1" t="s">
        <v>121</v>
      </c>
      <c r="Y4" s="1" t="s">
        <v>136</v>
      </c>
      <c r="Z4" s="1" t="s">
        <v>142</v>
      </c>
      <c r="AA4" s="1" t="s">
        <v>2971</v>
      </c>
      <c r="AB4" s="1" t="s">
        <v>2972</v>
      </c>
      <c r="AC4" s="1" t="s">
        <v>2973</v>
      </c>
      <c r="AD4" s="1">
        <v>192960000</v>
      </c>
      <c r="AE4" s="1">
        <v>131840790</v>
      </c>
      <c r="AF4" s="1">
        <v>168840000</v>
      </c>
      <c r="AG4" s="1">
        <v>24120000</v>
      </c>
      <c r="AH4" s="1">
        <v>12080100</v>
      </c>
      <c r="AI4" s="1">
        <v>0</v>
      </c>
      <c r="AJ4" s="1">
        <v>4020000</v>
      </c>
      <c r="AK4" s="1">
        <v>175</v>
      </c>
      <c r="AL4" s="1">
        <v>6</v>
      </c>
      <c r="AM4" s="1">
        <v>1</v>
      </c>
      <c r="AN4" s="1">
        <v>48</v>
      </c>
      <c r="AO4" s="1" t="s">
        <v>123</v>
      </c>
      <c r="AP4" s="1" t="s">
        <v>123</v>
      </c>
      <c r="AQ4" s="1" t="s">
        <v>124</v>
      </c>
      <c r="BF4" s="1" t="s">
        <v>129</v>
      </c>
      <c r="BG4" s="1" t="s">
        <v>130</v>
      </c>
      <c r="BH4" s="1">
        <v>7</v>
      </c>
      <c r="BI4" s="1">
        <v>28140000</v>
      </c>
      <c r="BJ4" s="75"/>
      <c r="BK4" s="75"/>
      <c r="BL4" s="75"/>
      <c r="BN4" s="75">
        <v>46203</v>
      </c>
      <c r="BO4" s="1">
        <v>1</v>
      </c>
      <c r="BP4" s="76">
        <v>46180</v>
      </c>
      <c r="BQ4" s="1" t="s">
        <v>131</v>
      </c>
      <c r="BR4" s="1">
        <v>182</v>
      </c>
      <c r="BS4" s="75">
        <v>45998</v>
      </c>
      <c r="BT4" s="1">
        <v>192960000</v>
      </c>
      <c r="BU4" s="1">
        <v>0</v>
      </c>
      <c r="BV4" s="1">
        <v>1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75"/>
      <c r="CD4" s="1">
        <v>0</v>
      </c>
      <c r="CE4" s="75"/>
      <c r="CF4" s="1">
        <v>0</v>
      </c>
      <c r="CG4" s="75"/>
      <c r="CH4" s="1">
        <v>0</v>
      </c>
      <c r="CI4" s="75"/>
      <c r="CJ4" s="1">
        <v>0</v>
      </c>
      <c r="CK4" s="75"/>
      <c r="CL4" s="1">
        <v>0</v>
      </c>
      <c r="CM4" s="75">
        <v>46180</v>
      </c>
      <c r="CN4" s="1" t="s">
        <v>132</v>
      </c>
      <c r="CO4" s="1">
        <v>131840790</v>
      </c>
      <c r="CP4" s="1">
        <v>131840790</v>
      </c>
      <c r="CQ4" s="1">
        <v>6</v>
      </c>
      <c r="CR4" s="75"/>
      <c r="CT4" s="1">
        <v>0</v>
      </c>
      <c r="CU4" s="1" t="s">
        <v>414</v>
      </c>
      <c r="CV4" s="1" t="s">
        <v>192</v>
      </c>
      <c r="CW4" s="82">
        <v>46180</v>
      </c>
      <c r="CX4" s="1" t="s">
        <v>2202</v>
      </c>
      <c r="CY4" s="36">
        <f>MONTH(Table_ExternalData_1[[#This Row],[RunningReportDate]])</f>
        <v>6</v>
      </c>
      <c r="CZ4" s="36">
        <f>181-Table_ExternalData_1[[#This Row],[DaysOD]]</f>
        <v>6</v>
      </c>
      <c r="DA4" s="36">
        <f>IF(Table_ExternalData_1[[#This Row],[Status]]="PU-WC",0,Table_ExternalData_1[[#This Row],[Amount_CWO]]/1000000)</f>
        <v>131.84079</v>
      </c>
      <c r="DB4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4" s="36">
        <f>IF(Table_ExternalData_1[[#This Row],[Status]]="PU-WC",0,IF(Table_ExternalData_1[[#This Row],[Success CWO]]=1,Table_ExternalData_1[[#This Row],[CWO Amt]],0))</f>
        <v>0</v>
      </c>
      <c r="DD4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131.84079</v>
      </c>
      <c r="DE4" s="36">
        <f>DAY(Table_ExternalData_1[[#This Row],[Tanggal_Sukses]])</f>
        <v>0</v>
      </c>
      <c r="DF4" s="36">
        <f>IF(Table_ExternalData_1[[#This Row],[Status]]="PU-WC",0,IF(SUM(Table_ExternalData_1[[#This Row],[Success CWO]:[WO-In-Amt]])=0,1,0))</f>
        <v>0</v>
      </c>
      <c r="DG4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4" s="36" t="str">
        <f>VLOOKUP(Table_ExternalData_1[[#This Row],[BranchID]],KC!$A:$K,5,0)</f>
        <v>4W</v>
      </c>
      <c r="DI4" s="36" t="str">
        <f>VLOOKUP(Table_ExternalData_1[[#This Row],[BranchID]],KC!$A:$K,8,0)</f>
        <v>01. Jabodetabekser</v>
      </c>
      <c r="DJ4" s="36" t="str">
        <f>VLOOKUP(Table_ExternalData_1[[#This Row],[BranchID]],KC!$A:$K,9,0)</f>
        <v>DEPOK</v>
      </c>
    </row>
    <row r="5" spans="1:114" x14ac:dyDescent="0.3">
      <c r="A5" s="3" t="s">
        <v>7</v>
      </c>
      <c r="B5" s="2" t="s">
        <v>8</v>
      </c>
      <c r="C5" s="278">
        <v>46173</v>
      </c>
      <c r="D5" s="278">
        <v>46003</v>
      </c>
      <c r="E5" s="278">
        <v>45608</v>
      </c>
      <c r="F5" s="2" t="s">
        <v>2953</v>
      </c>
      <c r="G5" s="2" t="s">
        <v>2954</v>
      </c>
      <c r="H5" s="1" t="s">
        <v>2955</v>
      </c>
      <c r="I5" s="1" t="s">
        <v>2956</v>
      </c>
      <c r="J5" s="1" t="s">
        <v>2957</v>
      </c>
      <c r="K5" s="1" t="s">
        <v>4</v>
      </c>
      <c r="L5" s="1" t="s">
        <v>2957</v>
      </c>
      <c r="M5" s="1" t="s">
        <v>2958</v>
      </c>
      <c r="N5" s="1" t="s">
        <v>2959</v>
      </c>
      <c r="O5" s="1" t="s">
        <v>7</v>
      </c>
      <c r="P5" s="1" t="s">
        <v>959</v>
      </c>
      <c r="Q5" s="1" t="s">
        <v>2170</v>
      </c>
      <c r="R5" s="1" t="s">
        <v>4</v>
      </c>
      <c r="S5" s="1" t="s">
        <v>4</v>
      </c>
      <c r="T5" s="1" t="s">
        <v>4</v>
      </c>
      <c r="U5" s="1" t="s">
        <v>4</v>
      </c>
      <c r="V5" s="1" t="s">
        <v>2125</v>
      </c>
      <c r="W5" s="1" t="s">
        <v>120</v>
      </c>
      <c r="X5" s="1" t="s">
        <v>121</v>
      </c>
      <c r="Y5" s="1" t="s">
        <v>2017</v>
      </c>
      <c r="Z5" s="1" t="s">
        <v>2960</v>
      </c>
      <c r="AA5" s="1" t="s">
        <v>2961</v>
      </c>
      <c r="AB5" s="1" t="s">
        <v>2962</v>
      </c>
      <c r="AC5" s="1" t="s">
        <v>2963</v>
      </c>
      <c r="AD5" s="1">
        <v>295200000</v>
      </c>
      <c r="AE5" s="1">
        <v>211846001.75</v>
      </c>
      <c r="AF5" s="1">
        <v>258300000</v>
      </c>
      <c r="AG5" s="1">
        <v>36900000</v>
      </c>
      <c r="AH5" s="1">
        <v>17981000</v>
      </c>
      <c r="AI5" s="1">
        <v>0</v>
      </c>
      <c r="AJ5" s="1">
        <v>6150000</v>
      </c>
      <c r="AK5" s="1">
        <v>170</v>
      </c>
      <c r="AL5" s="1">
        <v>6</v>
      </c>
      <c r="AM5" s="1">
        <v>13</v>
      </c>
      <c r="AN5" s="1">
        <v>60</v>
      </c>
      <c r="AO5" s="1" t="s">
        <v>123</v>
      </c>
      <c r="AP5" s="1" t="s">
        <v>123</v>
      </c>
      <c r="AQ5" s="1" t="s">
        <v>124</v>
      </c>
      <c r="BF5" s="1" t="s">
        <v>129</v>
      </c>
      <c r="BG5" s="1" t="s">
        <v>130</v>
      </c>
      <c r="BH5" s="1">
        <v>7</v>
      </c>
      <c r="BI5" s="1">
        <v>43050000</v>
      </c>
      <c r="BJ5" s="75"/>
      <c r="BK5" s="75"/>
      <c r="BL5" s="75"/>
      <c r="BN5" s="75">
        <v>46203</v>
      </c>
      <c r="BO5" s="1">
        <v>1</v>
      </c>
      <c r="BP5" s="76">
        <v>46180</v>
      </c>
      <c r="BQ5" s="1" t="s">
        <v>131</v>
      </c>
      <c r="BR5" s="1">
        <v>177</v>
      </c>
      <c r="BS5" s="75">
        <v>46003</v>
      </c>
      <c r="BT5" s="1">
        <v>295200000</v>
      </c>
      <c r="BU5" s="1">
        <v>0</v>
      </c>
      <c r="BV5" s="1">
        <v>1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75"/>
      <c r="CD5" s="1">
        <v>0</v>
      </c>
      <c r="CE5" s="75"/>
      <c r="CF5" s="1">
        <v>0</v>
      </c>
      <c r="CG5" s="75"/>
      <c r="CH5" s="1">
        <v>0</v>
      </c>
      <c r="CI5" s="75"/>
      <c r="CJ5" s="1">
        <v>0</v>
      </c>
      <c r="CK5" s="75"/>
      <c r="CL5" s="1">
        <v>0</v>
      </c>
      <c r="CM5" s="75">
        <v>46180</v>
      </c>
      <c r="CN5" s="1" t="s">
        <v>132</v>
      </c>
      <c r="CO5" s="1">
        <v>211846001.75</v>
      </c>
      <c r="CP5" s="1">
        <v>211846001.75</v>
      </c>
      <c r="CQ5" s="1">
        <v>11</v>
      </c>
      <c r="CR5" s="75"/>
      <c r="CT5" s="1">
        <v>0</v>
      </c>
      <c r="CU5" s="1" t="s">
        <v>414</v>
      </c>
      <c r="CV5" s="1" t="s">
        <v>192</v>
      </c>
      <c r="CW5" s="82">
        <v>46180</v>
      </c>
      <c r="CX5" s="1" t="s">
        <v>2202</v>
      </c>
      <c r="CY5" s="36">
        <f>MONTH(Table_ExternalData_1[[#This Row],[RunningReportDate]])</f>
        <v>6</v>
      </c>
      <c r="CZ5" s="36">
        <f>181-Table_ExternalData_1[[#This Row],[DaysOD]]</f>
        <v>11</v>
      </c>
      <c r="DA5" s="36">
        <f>IF(Table_ExternalData_1[[#This Row],[Status]]="PU-WC",0,Table_ExternalData_1[[#This Row],[Amount_CWO]]/1000000)</f>
        <v>211.84600175</v>
      </c>
      <c r="DB5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5" s="36">
        <f>IF(Table_ExternalData_1[[#This Row],[Status]]="PU-WC",0,IF(Table_ExternalData_1[[#This Row],[Success CWO]]=1,Table_ExternalData_1[[#This Row],[CWO Amt]],0))</f>
        <v>0</v>
      </c>
      <c r="DD5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5" s="36">
        <f>DAY(Table_ExternalData_1[[#This Row],[Tanggal_Sukses]])</f>
        <v>0</v>
      </c>
      <c r="DF5" s="36">
        <f>IF(Table_ExternalData_1[[#This Row],[Status]]="PU-WC",0,IF(SUM(Table_ExternalData_1[[#This Row],[Success CWO]:[WO-In-Amt]])=0,1,0))</f>
        <v>1</v>
      </c>
      <c r="DG5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211.84600175</v>
      </c>
      <c r="DH5" s="36" t="str">
        <f>VLOOKUP(Table_ExternalData_1[[#This Row],[BranchID]],KC!$A:$K,5,0)</f>
        <v>4W</v>
      </c>
      <c r="DI5" s="36" t="str">
        <f>VLOOKUP(Table_ExternalData_1[[#This Row],[BranchID]],KC!$A:$K,8,0)</f>
        <v>01. Jabodetabekser</v>
      </c>
      <c r="DJ5" s="36" t="str">
        <f>VLOOKUP(Table_ExternalData_1[[#This Row],[BranchID]],KC!$A:$K,9,0)</f>
        <v>DEPOK</v>
      </c>
    </row>
    <row r="6" spans="1:114" x14ac:dyDescent="0.3">
      <c r="A6" s="3" t="s">
        <v>7</v>
      </c>
      <c r="B6" s="2" t="s">
        <v>8</v>
      </c>
      <c r="C6" s="278">
        <v>46173</v>
      </c>
      <c r="D6" s="278">
        <v>45997</v>
      </c>
      <c r="E6" s="278">
        <v>45602</v>
      </c>
      <c r="F6" s="2" t="s">
        <v>2941</v>
      </c>
      <c r="G6" s="2" t="s">
        <v>2942</v>
      </c>
      <c r="H6" s="1" t="s">
        <v>2943</v>
      </c>
      <c r="I6" s="1" t="s">
        <v>2944</v>
      </c>
      <c r="J6" s="1" t="s">
        <v>2945</v>
      </c>
      <c r="K6" s="1" t="s">
        <v>4</v>
      </c>
      <c r="L6" s="1" t="s">
        <v>2945</v>
      </c>
      <c r="M6" s="1" t="s">
        <v>2946</v>
      </c>
      <c r="N6" s="1" t="s">
        <v>2947</v>
      </c>
      <c r="O6" s="1" t="s">
        <v>11</v>
      </c>
      <c r="P6" s="1" t="s">
        <v>959</v>
      </c>
      <c r="Q6" s="1" t="s">
        <v>2170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2125</v>
      </c>
      <c r="W6" s="1" t="s">
        <v>120</v>
      </c>
      <c r="X6" s="1" t="s">
        <v>121</v>
      </c>
      <c r="Y6" s="1" t="s">
        <v>2948</v>
      </c>
      <c r="Z6" s="1" t="s">
        <v>2949</v>
      </c>
      <c r="AA6" s="1" t="s">
        <v>2950</v>
      </c>
      <c r="AB6" s="1" t="s">
        <v>2951</v>
      </c>
      <c r="AC6" s="1" t="s">
        <v>2952</v>
      </c>
      <c r="AD6" s="1">
        <v>397680000</v>
      </c>
      <c r="AE6" s="1">
        <v>291540832.75999999</v>
      </c>
      <c r="AF6" s="1">
        <v>347970000</v>
      </c>
      <c r="AG6" s="1">
        <v>49710000</v>
      </c>
      <c r="AH6" s="1">
        <v>30570200</v>
      </c>
      <c r="AI6" s="1">
        <v>0</v>
      </c>
      <c r="AJ6" s="1">
        <v>8285000</v>
      </c>
      <c r="AK6" s="1">
        <v>176</v>
      </c>
      <c r="AL6" s="1">
        <v>6</v>
      </c>
      <c r="AM6" s="1">
        <v>13</v>
      </c>
      <c r="AN6" s="1">
        <v>60</v>
      </c>
      <c r="AO6" s="1" t="s">
        <v>123</v>
      </c>
      <c r="AP6" s="1" t="s">
        <v>123</v>
      </c>
      <c r="AQ6" s="1" t="s">
        <v>124</v>
      </c>
      <c r="BF6" s="1" t="s">
        <v>129</v>
      </c>
      <c r="BG6" s="1" t="s">
        <v>130</v>
      </c>
      <c r="BH6" s="1">
        <v>7</v>
      </c>
      <c r="BI6" s="1">
        <v>57995000</v>
      </c>
      <c r="BJ6" s="75"/>
      <c r="BK6" s="75"/>
      <c r="BL6" s="75"/>
      <c r="BN6" s="75">
        <v>46203</v>
      </c>
      <c r="BO6" s="1">
        <v>1</v>
      </c>
      <c r="BP6" s="76">
        <v>46180</v>
      </c>
      <c r="BQ6" s="1" t="s">
        <v>131</v>
      </c>
      <c r="BR6" s="1">
        <v>183</v>
      </c>
      <c r="BS6" s="75">
        <v>45997</v>
      </c>
      <c r="BT6" s="1">
        <v>397680000</v>
      </c>
      <c r="BU6" s="1">
        <v>0</v>
      </c>
      <c r="BV6" s="1">
        <v>1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75"/>
      <c r="CD6" s="1">
        <v>0</v>
      </c>
      <c r="CE6" s="75"/>
      <c r="CF6" s="1">
        <v>0</v>
      </c>
      <c r="CG6" s="75"/>
      <c r="CH6" s="1">
        <v>0</v>
      </c>
      <c r="CI6" s="75"/>
      <c r="CJ6" s="1">
        <v>0</v>
      </c>
      <c r="CK6" s="75"/>
      <c r="CL6" s="1">
        <v>0</v>
      </c>
      <c r="CM6" s="75">
        <v>46180</v>
      </c>
      <c r="CN6" s="1" t="s">
        <v>132</v>
      </c>
      <c r="CO6" s="1">
        <v>291540832.75999999</v>
      </c>
      <c r="CP6" s="1">
        <v>291540832.75999999</v>
      </c>
      <c r="CQ6" s="1">
        <v>5</v>
      </c>
      <c r="CR6" s="75"/>
      <c r="CT6" s="1">
        <v>0</v>
      </c>
      <c r="CU6" s="1" t="s">
        <v>414</v>
      </c>
      <c r="CV6" s="1" t="s">
        <v>192</v>
      </c>
      <c r="CW6" s="82">
        <v>46180</v>
      </c>
      <c r="CX6" s="1" t="s">
        <v>2202</v>
      </c>
      <c r="CY6" s="36">
        <f>MONTH(Table_ExternalData_1[[#This Row],[RunningReportDate]])</f>
        <v>6</v>
      </c>
      <c r="CZ6" s="36">
        <f>181-Table_ExternalData_1[[#This Row],[DaysOD]]</f>
        <v>5</v>
      </c>
      <c r="DA6" s="36">
        <f>IF(Table_ExternalData_1[[#This Row],[Status]]="PU-WC",0,Table_ExternalData_1[[#This Row],[Amount_CWO]]/1000000)</f>
        <v>291.54083276</v>
      </c>
      <c r="DB6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6" s="36">
        <f>IF(Table_ExternalData_1[[#This Row],[Status]]="PU-WC",0,IF(Table_ExternalData_1[[#This Row],[Success CWO]]=1,Table_ExternalData_1[[#This Row],[CWO Amt]],0))</f>
        <v>0</v>
      </c>
      <c r="DD6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291.54083276</v>
      </c>
      <c r="DE6" s="36">
        <f>DAY(Table_ExternalData_1[[#This Row],[Tanggal_Sukses]])</f>
        <v>0</v>
      </c>
      <c r="DF6" s="36">
        <f>IF(Table_ExternalData_1[[#This Row],[Status]]="PU-WC",0,IF(SUM(Table_ExternalData_1[[#This Row],[Success CWO]:[WO-In-Amt]])=0,1,0))</f>
        <v>0</v>
      </c>
      <c r="DG6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6" s="36" t="str">
        <f>VLOOKUP(Table_ExternalData_1[[#This Row],[BranchID]],KC!$A:$K,5,0)</f>
        <v>4W</v>
      </c>
      <c r="DI6" s="36" t="str">
        <f>VLOOKUP(Table_ExternalData_1[[#This Row],[BranchID]],KC!$A:$K,8,0)</f>
        <v>01. Jabodetabekser</v>
      </c>
      <c r="DJ6" s="36" t="str">
        <f>VLOOKUP(Table_ExternalData_1[[#This Row],[BranchID]],KC!$A:$K,9,0)</f>
        <v>DEPOK</v>
      </c>
    </row>
    <row r="7" spans="1:114" x14ac:dyDescent="0.3">
      <c r="A7" s="3" t="s">
        <v>556</v>
      </c>
      <c r="B7" s="2" t="s">
        <v>752</v>
      </c>
      <c r="C7" s="278">
        <v>46173</v>
      </c>
      <c r="D7" s="278">
        <v>45996</v>
      </c>
      <c r="E7" s="278">
        <v>44469</v>
      </c>
      <c r="F7" s="2" t="s">
        <v>2925</v>
      </c>
      <c r="G7" s="2" t="s">
        <v>2926</v>
      </c>
      <c r="H7" s="1" t="s">
        <v>2927</v>
      </c>
      <c r="I7" s="1" t="s">
        <v>2928</v>
      </c>
      <c r="J7" s="1" t="s">
        <v>2929</v>
      </c>
      <c r="K7" s="1" t="s">
        <v>4</v>
      </c>
      <c r="L7" s="1" t="s">
        <v>2929</v>
      </c>
      <c r="M7" s="1" t="s">
        <v>2930</v>
      </c>
      <c r="N7" s="1" t="s">
        <v>2931</v>
      </c>
      <c r="O7" s="1" t="s">
        <v>2932</v>
      </c>
      <c r="P7" s="1" t="s">
        <v>2933</v>
      </c>
      <c r="Q7" s="1" t="s">
        <v>2934</v>
      </c>
      <c r="R7" s="1" t="s">
        <v>4</v>
      </c>
      <c r="S7" s="1" t="s">
        <v>4</v>
      </c>
      <c r="T7" s="1" t="s">
        <v>1114</v>
      </c>
      <c r="U7" s="1" t="s">
        <v>1114</v>
      </c>
      <c r="V7" s="1" t="s">
        <v>1114</v>
      </c>
      <c r="W7" s="1" t="s">
        <v>120</v>
      </c>
      <c r="X7" s="1" t="s">
        <v>121</v>
      </c>
      <c r="Y7" s="1" t="s">
        <v>136</v>
      </c>
      <c r="Z7" s="1" t="s">
        <v>137</v>
      </c>
      <c r="AA7" s="1" t="s">
        <v>2935</v>
      </c>
      <c r="AB7" s="1" t="s">
        <v>2936</v>
      </c>
      <c r="AC7" s="1" t="s">
        <v>2937</v>
      </c>
      <c r="AD7" s="1">
        <v>10692000</v>
      </c>
      <c r="AE7" s="1">
        <v>10391616.65</v>
      </c>
      <c r="AF7" s="1">
        <v>0</v>
      </c>
      <c r="AG7" s="1">
        <v>10692000</v>
      </c>
      <c r="AH7" s="1">
        <v>39868678</v>
      </c>
      <c r="AI7" s="1">
        <v>20000</v>
      </c>
      <c r="AJ7" s="1">
        <v>3564000</v>
      </c>
      <c r="AK7" s="1">
        <v>177</v>
      </c>
      <c r="AL7" s="1">
        <v>3</v>
      </c>
      <c r="AM7" s="1">
        <v>50</v>
      </c>
      <c r="AN7" s="1">
        <v>52</v>
      </c>
      <c r="AO7" s="1" t="s">
        <v>123</v>
      </c>
      <c r="AP7" s="1" t="s">
        <v>123</v>
      </c>
      <c r="AQ7" s="1" t="s">
        <v>124</v>
      </c>
      <c r="AR7" s="1" t="s">
        <v>2938</v>
      </c>
      <c r="AS7" s="1" t="s">
        <v>2939</v>
      </c>
      <c r="AT7" s="1" t="s">
        <v>2940</v>
      </c>
      <c r="AU7" s="1" t="s">
        <v>887</v>
      </c>
      <c r="AV7" s="1" t="s">
        <v>125</v>
      </c>
      <c r="AW7" s="1" t="s">
        <v>126</v>
      </c>
      <c r="AX7" s="1" t="s">
        <v>127</v>
      </c>
      <c r="AY7" s="1" t="s">
        <v>888</v>
      </c>
      <c r="AZ7" s="1" t="s">
        <v>889</v>
      </c>
      <c r="BA7" s="1" t="s">
        <v>890</v>
      </c>
      <c r="BB7" s="1" t="s">
        <v>128</v>
      </c>
      <c r="BC7" s="1" t="s">
        <v>891</v>
      </c>
      <c r="BD7" s="1" t="s">
        <v>125</v>
      </c>
      <c r="BE7" s="1" t="s">
        <v>126</v>
      </c>
      <c r="BF7" s="1" t="s">
        <v>129</v>
      </c>
      <c r="BG7" s="1" t="s">
        <v>130</v>
      </c>
      <c r="BH7" s="1">
        <v>3</v>
      </c>
      <c r="BI7" s="1">
        <v>10692000</v>
      </c>
      <c r="BJ7" s="75"/>
      <c r="BK7" s="75"/>
      <c r="BL7" s="75"/>
      <c r="BN7" s="75">
        <v>46203</v>
      </c>
      <c r="BO7" s="1">
        <v>1</v>
      </c>
      <c r="BP7" s="76">
        <v>46180</v>
      </c>
      <c r="BQ7" s="1" t="s">
        <v>131</v>
      </c>
      <c r="BR7" s="1">
        <v>184</v>
      </c>
      <c r="BS7" s="75">
        <v>45996</v>
      </c>
      <c r="BT7" s="1">
        <v>10692000</v>
      </c>
      <c r="BU7" s="1">
        <v>0</v>
      </c>
      <c r="BV7" s="1">
        <v>1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75"/>
      <c r="CD7" s="1">
        <v>0</v>
      </c>
      <c r="CE7" s="75"/>
      <c r="CF7" s="1">
        <v>0</v>
      </c>
      <c r="CG7" s="75"/>
      <c r="CH7" s="1">
        <v>0</v>
      </c>
      <c r="CI7" s="75"/>
      <c r="CJ7" s="1">
        <v>0</v>
      </c>
      <c r="CK7" s="75"/>
      <c r="CL7" s="1">
        <v>0</v>
      </c>
      <c r="CM7" s="75">
        <v>46180</v>
      </c>
      <c r="CN7" s="1" t="s">
        <v>132</v>
      </c>
      <c r="CO7" s="1">
        <v>10371616.65</v>
      </c>
      <c r="CP7" s="1">
        <v>10371616.65</v>
      </c>
      <c r="CQ7" s="1">
        <v>4</v>
      </c>
      <c r="CR7" s="75"/>
      <c r="CT7" s="1">
        <v>0</v>
      </c>
      <c r="CU7" s="1" t="s">
        <v>753</v>
      </c>
      <c r="CV7" s="1" t="s">
        <v>308</v>
      </c>
      <c r="CW7" s="82">
        <v>46180</v>
      </c>
      <c r="CX7" s="1" t="s">
        <v>2202</v>
      </c>
      <c r="CY7" s="36">
        <f>MONTH(Table_ExternalData_1[[#This Row],[RunningReportDate]])</f>
        <v>6</v>
      </c>
      <c r="CZ7" s="36">
        <f>181-Table_ExternalData_1[[#This Row],[DaysOD]]</f>
        <v>4</v>
      </c>
      <c r="DA7" s="36">
        <f>IF(Table_ExternalData_1[[#This Row],[Status]]="PU-WC",0,Table_ExternalData_1[[#This Row],[Amount_CWO]]/1000000)</f>
        <v>10.37161665</v>
      </c>
      <c r="DB7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7" s="36">
        <f>IF(Table_ExternalData_1[[#This Row],[Status]]="PU-WC",0,IF(Table_ExternalData_1[[#This Row],[Success CWO]]=1,Table_ExternalData_1[[#This Row],[CWO Amt]],0))</f>
        <v>0</v>
      </c>
      <c r="DD7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10.37161665</v>
      </c>
      <c r="DE7" s="36">
        <f>DAY(Table_ExternalData_1[[#This Row],[Tanggal_Sukses]])</f>
        <v>0</v>
      </c>
      <c r="DF7" s="36">
        <f>IF(Table_ExternalData_1[[#This Row],[Status]]="PU-WC",0,IF(SUM(Table_ExternalData_1[[#This Row],[Success CWO]:[WO-In-Amt]])=0,1,0))</f>
        <v>0</v>
      </c>
      <c r="DG7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7" s="36" t="str">
        <f>VLOOKUP(Table_ExternalData_1[[#This Row],[BranchID]],KC!$A:$K,5,0)</f>
        <v>4W</v>
      </c>
      <c r="DI7" s="36" t="str">
        <f>VLOOKUP(Table_ExternalData_1[[#This Row],[BranchID]],KC!$A:$K,8,0)</f>
        <v>07. Sumbagsel</v>
      </c>
      <c r="DJ7" s="36" t="str">
        <f>VLOOKUP(Table_ExternalData_1[[#This Row],[BranchID]],KC!$A:$K,9,0)</f>
        <v>JAMBI</v>
      </c>
    </row>
    <row r="8" spans="1:114" x14ac:dyDescent="0.3">
      <c r="A8" s="3" t="s">
        <v>399</v>
      </c>
      <c r="B8" s="2" t="s">
        <v>400</v>
      </c>
      <c r="C8" s="278">
        <v>46173</v>
      </c>
      <c r="D8" s="278">
        <v>45996</v>
      </c>
      <c r="E8" s="278">
        <v>44853</v>
      </c>
      <c r="F8" s="2" t="s">
        <v>2914</v>
      </c>
      <c r="G8" s="2" t="s">
        <v>2915</v>
      </c>
      <c r="H8" s="1" t="s">
        <v>2916</v>
      </c>
      <c r="I8" s="1" t="s">
        <v>2917</v>
      </c>
      <c r="J8" s="1" t="s">
        <v>2918</v>
      </c>
      <c r="K8" s="1" t="s">
        <v>4</v>
      </c>
      <c r="L8" s="1" t="s">
        <v>2918</v>
      </c>
      <c r="M8" s="1" t="s">
        <v>2919</v>
      </c>
      <c r="N8" s="1" t="s">
        <v>2920</v>
      </c>
      <c r="O8" s="1" t="s">
        <v>1838</v>
      </c>
      <c r="P8" s="1" t="s">
        <v>401</v>
      </c>
      <c r="Q8" s="1" t="s">
        <v>892</v>
      </c>
      <c r="R8" s="1" t="s">
        <v>4</v>
      </c>
      <c r="S8" s="1" t="s">
        <v>4</v>
      </c>
      <c r="T8" s="1" t="s">
        <v>2921</v>
      </c>
      <c r="U8" s="1" t="s">
        <v>4</v>
      </c>
      <c r="V8" s="1" t="s">
        <v>1994</v>
      </c>
      <c r="W8" s="1" t="s">
        <v>120</v>
      </c>
      <c r="X8" s="1" t="s">
        <v>121</v>
      </c>
      <c r="Y8" s="1" t="s">
        <v>136</v>
      </c>
      <c r="Z8" s="1" t="s">
        <v>137</v>
      </c>
      <c r="AA8" s="1" t="s">
        <v>2922</v>
      </c>
      <c r="AB8" s="1" t="s">
        <v>2923</v>
      </c>
      <c r="AC8" s="1" t="s">
        <v>2924</v>
      </c>
      <c r="AD8" s="1">
        <v>90180000</v>
      </c>
      <c r="AE8" s="1">
        <v>75628285.129999995</v>
      </c>
      <c r="AF8" s="1">
        <v>70140000</v>
      </c>
      <c r="AG8" s="1">
        <v>20040000</v>
      </c>
      <c r="AH8" s="1">
        <v>32076675</v>
      </c>
      <c r="AI8" s="1">
        <v>200000</v>
      </c>
      <c r="AJ8" s="1">
        <v>3340000</v>
      </c>
      <c r="AK8" s="1">
        <v>177</v>
      </c>
      <c r="AL8" s="1">
        <v>6</v>
      </c>
      <c r="AM8" s="1">
        <v>37</v>
      </c>
      <c r="AN8" s="1">
        <v>63</v>
      </c>
      <c r="AO8" s="1" t="s">
        <v>123</v>
      </c>
      <c r="AP8" s="1" t="s">
        <v>123</v>
      </c>
      <c r="AQ8" s="1" t="s">
        <v>124</v>
      </c>
      <c r="BF8" s="1" t="s">
        <v>129</v>
      </c>
      <c r="BG8" s="1" t="s">
        <v>130</v>
      </c>
      <c r="BH8" s="1">
        <v>7</v>
      </c>
      <c r="BI8" s="1">
        <v>23380000</v>
      </c>
      <c r="BJ8" s="75"/>
      <c r="BK8" s="75"/>
      <c r="BL8" s="75"/>
      <c r="BN8" s="75">
        <v>46203</v>
      </c>
      <c r="BO8" s="1">
        <v>1</v>
      </c>
      <c r="BP8" s="76">
        <v>46180</v>
      </c>
      <c r="BQ8" s="1" t="s">
        <v>131</v>
      </c>
      <c r="BR8" s="1">
        <v>184</v>
      </c>
      <c r="BS8" s="75">
        <v>45996</v>
      </c>
      <c r="BT8" s="1">
        <v>90180000</v>
      </c>
      <c r="BU8" s="1">
        <v>0</v>
      </c>
      <c r="BV8" s="1">
        <v>1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75"/>
      <c r="CD8" s="1">
        <v>0</v>
      </c>
      <c r="CE8" s="75"/>
      <c r="CF8" s="1">
        <v>0</v>
      </c>
      <c r="CG8" s="75"/>
      <c r="CH8" s="1">
        <v>0</v>
      </c>
      <c r="CI8" s="75"/>
      <c r="CJ8" s="1">
        <v>0</v>
      </c>
      <c r="CK8" s="75"/>
      <c r="CL8" s="1">
        <v>0</v>
      </c>
      <c r="CM8" s="75">
        <v>46180</v>
      </c>
      <c r="CN8" s="1" t="s">
        <v>132</v>
      </c>
      <c r="CO8" s="1">
        <v>75428285.129999995</v>
      </c>
      <c r="CP8" s="1">
        <v>75428285.129999995</v>
      </c>
      <c r="CQ8" s="1">
        <v>4</v>
      </c>
      <c r="CR8" s="75"/>
      <c r="CT8" s="1">
        <v>0</v>
      </c>
      <c r="CU8" s="1" t="s">
        <v>402</v>
      </c>
      <c r="CV8" s="1" t="s">
        <v>320</v>
      </c>
      <c r="CW8" s="82">
        <v>46180</v>
      </c>
      <c r="CX8" s="1" t="s">
        <v>2202</v>
      </c>
      <c r="CY8" s="36">
        <f>MONTH(Table_ExternalData_1[[#This Row],[RunningReportDate]])</f>
        <v>6</v>
      </c>
      <c r="CZ8" s="36">
        <f>181-Table_ExternalData_1[[#This Row],[DaysOD]]</f>
        <v>4</v>
      </c>
      <c r="DA8" s="36">
        <f>IF(Table_ExternalData_1[[#This Row],[Status]]="PU-WC",0,Table_ExternalData_1[[#This Row],[Amount_CWO]]/1000000)</f>
        <v>75.428285129999992</v>
      </c>
      <c r="DB8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8" s="36">
        <f>IF(Table_ExternalData_1[[#This Row],[Status]]="PU-WC",0,IF(Table_ExternalData_1[[#This Row],[Success CWO]]=1,Table_ExternalData_1[[#This Row],[CWO Amt]],0))</f>
        <v>0</v>
      </c>
      <c r="DD8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75.428285129999992</v>
      </c>
      <c r="DE8" s="36">
        <f>DAY(Table_ExternalData_1[[#This Row],[Tanggal_Sukses]])</f>
        <v>0</v>
      </c>
      <c r="DF8" s="36">
        <f>IF(Table_ExternalData_1[[#This Row],[Status]]="PU-WC",0,IF(SUM(Table_ExternalData_1[[#This Row],[Success CWO]:[WO-In-Amt]])=0,1,0))</f>
        <v>0</v>
      </c>
      <c r="DG8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8" s="36" t="str">
        <f>VLOOKUP(Table_ExternalData_1[[#This Row],[BranchID]],KC!$A:$K,5,0)</f>
        <v>4W</v>
      </c>
      <c r="DI8" s="36" t="str">
        <f>VLOOKUP(Table_ExternalData_1[[#This Row],[BranchID]],KC!$A:$K,8,0)</f>
        <v>06. Sulawesi</v>
      </c>
      <c r="DJ8" s="36" t="str">
        <f>VLOOKUP(Table_ExternalData_1[[#This Row],[BranchID]],KC!$A:$K,9,0)</f>
        <v>PALU</v>
      </c>
    </row>
    <row r="9" spans="1:114" x14ac:dyDescent="0.3">
      <c r="A9" s="3" t="s">
        <v>399</v>
      </c>
      <c r="B9" s="2" t="s">
        <v>400</v>
      </c>
      <c r="C9" s="278">
        <v>46173</v>
      </c>
      <c r="D9" s="278">
        <v>46006</v>
      </c>
      <c r="E9" s="278">
        <v>44789</v>
      </c>
      <c r="F9" s="2" t="s">
        <v>2902</v>
      </c>
      <c r="G9" s="2" t="s">
        <v>2903</v>
      </c>
      <c r="H9" s="1" t="s">
        <v>2904</v>
      </c>
      <c r="I9" s="1" t="s">
        <v>2905</v>
      </c>
      <c r="J9" s="1" t="s">
        <v>2906</v>
      </c>
      <c r="K9" s="1" t="s">
        <v>4</v>
      </c>
      <c r="L9" s="1" t="s">
        <v>2906</v>
      </c>
      <c r="M9" s="1" t="s">
        <v>2907</v>
      </c>
      <c r="N9" s="1" t="s">
        <v>1849</v>
      </c>
      <c r="O9" s="1" t="s">
        <v>399</v>
      </c>
      <c r="P9" s="1" t="s">
        <v>401</v>
      </c>
      <c r="Q9" s="1" t="s">
        <v>892</v>
      </c>
      <c r="R9" s="1" t="s">
        <v>4</v>
      </c>
      <c r="S9" s="1" t="s">
        <v>4</v>
      </c>
      <c r="T9" s="1" t="s">
        <v>2908</v>
      </c>
      <c r="U9" s="1" t="s">
        <v>2908</v>
      </c>
      <c r="V9" s="1" t="s">
        <v>2167</v>
      </c>
      <c r="W9" s="1" t="s">
        <v>120</v>
      </c>
      <c r="X9" s="1" t="s">
        <v>121</v>
      </c>
      <c r="Y9" s="1" t="s">
        <v>2909</v>
      </c>
      <c r="Z9" s="1" t="s">
        <v>2910</v>
      </c>
      <c r="AA9" s="1" t="s">
        <v>2911</v>
      </c>
      <c r="AB9" s="1" t="s">
        <v>2912</v>
      </c>
      <c r="AC9" s="1" t="s">
        <v>2913</v>
      </c>
      <c r="AD9" s="1">
        <v>225750000</v>
      </c>
      <c r="AE9" s="1">
        <v>192060237.84</v>
      </c>
      <c r="AF9" s="1">
        <v>161250000</v>
      </c>
      <c r="AG9" s="1">
        <v>64500000</v>
      </c>
      <c r="AH9" s="1">
        <v>93859000</v>
      </c>
      <c r="AI9" s="1">
        <v>43000</v>
      </c>
      <c r="AJ9" s="1">
        <v>10750000</v>
      </c>
      <c r="AK9" s="1">
        <v>167</v>
      </c>
      <c r="AL9" s="1">
        <v>6</v>
      </c>
      <c r="AM9" s="1">
        <v>40</v>
      </c>
      <c r="AN9" s="1">
        <v>60</v>
      </c>
      <c r="AO9" s="1" t="s">
        <v>123</v>
      </c>
      <c r="AP9" s="1" t="s">
        <v>123</v>
      </c>
      <c r="AQ9" s="1" t="s">
        <v>124</v>
      </c>
      <c r="BF9" s="1" t="s">
        <v>129</v>
      </c>
      <c r="BG9" s="1" t="s">
        <v>130</v>
      </c>
      <c r="BH9" s="1">
        <v>7</v>
      </c>
      <c r="BI9" s="1">
        <v>75250000</v>
      </c>
      <c r="BJ9" s="75"/>
      <c r="BK9" s="75"/>
      <c r="BL9" s="75"/>
      <c r="BN9" s="75">
        <v>46203</v>
      </c>
      <c r="BO9" s="1">
        <v>1</v>
      </c>
      <c r="BP9" s="76">
        <v>46180</v>
      </c>
      <c r="BQ9" s="1" t="s">
        <v>131</v>
      </c>
      <c r="BR9" s="1">
        <v>174</v>
      </c>
      <c r="BS9" s="75">
        <v>46006</v>
      </c>
      <c r="BT9" s="1">
        <v>225750000</v>
      </c>
      <c r="BU9" s="1">
        <v>0</v>
      </c>
      <c r="BV9" s="1">
        <v>1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75"/>
      <c r="CD9" s="1">
        <v>0</v>
      </c>
      <c r="CE9" s="75"/>
      <c r="CF9" s="1">
        <v>0</v>
      </c>
      <c r="CG9" s="75"/>
      <c r="CH9" s="1">
        <v>0</v>
      </c>
      <c r="CI9" s="75"/>
      <c r="CJ9" s="1">
        <v>0</v>
      </c>
      <c r="CK9" s="75"/>
      <c r="CL9" s="1">
        <v>0</v>
      </c>
      <c r="CM9" s="75">
        <v>46180</v>
      </c>
      <c r="CN9" s="1" t="s">
        <v>132</v>
      </c>
      <c r="CO9" s="1">
        <v>192017237.84</v>
      </c>
      <c r="CP9" s="1">
        <v>192017237.84</v>
      </c>
      <c r="CQ9" s="1">
        <v>14</v>
      </c>
      <c r="CR9" s="75"/>
      <c r="CT9" s="1">
        <v>0</v>
      </c>
      <c r="CU9" s="1" t="s">
        <v>402</v>
      </c>
      <c r="CV9" s="1" t="s">
        <v>320</v>
      </c>
      <c r="CW9" s="82">
        <v>46180</v>
      </c>
      <c r="CX9" s="1" t="s">
        <v>2202</v>
      </c>
      <c r="CY9" s="36">
        <f>MONTH(Table_ExternalData_1[[#This Row],[RunningReportDate]])</f>
        <v>6</v>
      </c>
      <c r="CZ9" s="36">
        <f>181-Table_ExternalData_1[[#This Row],[DaysOD]]</f>
        <v>14</v>
      </c>
      <c r="DA9" s="36">
        <f>IF(Table_ExternalData_1[[#This Row],[Status]]="PU-WC",0,Table_ExternalData_1[[#This Row],[Amount_CWO]]/1000000)</f>
        <v>192.01723784000001</v>
      </c>
      <c r="DB9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9" s="36">
        <f>IF(Table_ExternalData_1[[#This Row],[Status]]="PU-WC",0,IF(Table_ExternalData_1[[#This Row],[Success CWO]]=1,Table_ExternalData_1[[#This Row],[CWO Amt]],0))</f>
        <v>0</v>
      </c>
      <c r="DD9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9" s="36">
        <f>DAY(Table_ExternalData_1[[#This Row],[Tanggal_Sukses]])</f>
        <v>0</v>
      </c>
      <c r="DF9" s="36">
        <f>IF(Table_ExternalData_1[[#This Row],[Status]]="PU-WC",0,IF(SUM(Table_ExternalData_1[[#This Row],[Success CWO]:[WO-In-Amt]])=0,1,0))</f>
        <v>1</v>
      </c>
      <c r="DG9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192.01723784000001</v>
      </c>
      <c r="DH9" s="36" t="str">
        <f>VLOOKUP(Table_ExternalData_1[[#This Row],[BranchID]],KC!$A:$K,5,0)</f>
        <v>4W</v>
      </c>
      <c r="DI9" s="36" t="str">
        <f>VLOOKUP(Table_ExternalData_1[[#This Row],[BranchID]],KC!$A:$K,8,0)</f>
        <v>06. Sulawesi</v>
      </c>
      <c r="DJ9" s="36" t="str">
        <f>VLOOKUP(Table_ExternalData_1[[#This Row],[BranchID]],KC!$A:$K,9,0)</f>
        <v>PALU</v>
      </c>
    </row>
    <row r="10" spans="1:114" x14ac:dyDescent="0.3">
      <c r="A10" s="3" t="s">
        <v>329</v>
      </c>
      <c r="B10" s="2" t="s">
        <v>330</v>
      </c>
      <c r="C10" s="278">
        <v>46173</v>
      </c>
      <c r="D10" s="278">
        <v>46010</v>
      </c>
      <c r="E10" s="278">
        <v>44523</v>
      </c>
      <c r="F10" s="2" t="s">
        <v>2892</v>
      </c>
      <c r="G10" s="2" t="s">
        <v>2893</v>
      </c>
      <c r="H10" s="1" t="s">
        <v>2894</v>
      </c>
      <c r="I10" s="1" t="s">
        <v>2895</v>
      </c>
      <c r="J10" s="1" t="s">
        <v>2896</v>
      </c>
      <c r="K10" s="1" t="s">
        <v>4</v>
      </c>
      <c r="L10" s="1" t="s">
        <v>2896</v>
      </c>
      <c r="M10" s="1" t="s">
        <v>2897</v>
      </c>
      <c r="N10" s="1" t="s">
        <v>2898</v>
      </c>
      <c r="O10" s="1" t="s">
        <v>329</v>
      </c>
      <c r="P10" s="1" t="s">
        <v>960</v>
      </c>
      <c r="Q10" s="1" t="s">
        <v>2169</v>
      </c>
      <c r="R10" s="1" t="s">
        <v>4</v>
      </c>
      <c r="S10" s="1" t="s">
        <v>4</v>
      </c>
      <c r="T10" s="1" t="s">
        <v>1875</v>
      </c>
      <c r="U10" s="1" t="s">
        <v>1875</v>
      </c>
      <c r="V10" s="1" t="s">
        <v>1113</v>
      </c>
      <c r="W10" s="1" t="s">
        <v>120</v>
      </c>
      <c r="X10" s="1" t="s">
        <v>121</v>
      </c>
      <c r="Y10" s="1" t="s">
        <v>136</v>
      </c>
      <c r="Z10" s="1" t="s">
        <v>142</v>
      </c>
      <c r="AA10" s="1" t="s">
        <v>2899</v>
      </c>
      <c r="AB10" s="1" t="s">
        <v>2900</v>
      </c>
      <c r="AC10" s="1" t="s">
        <v>2901</v>
      </c>
      <c r="AD10" s="1">
        <v>11400000</v>
      </c>
      <c r="AE10" s="1">
        <v>11211111.73</v>
      </c>
      <c r="AF10" s="1">
        <v>0</v>
      </c>
      <c r="AG10" s="1">
        <v>11400000</v>
      </c>
      <c r="AH10" s="1">
        <v>20067050</v>
      </c>
      <c r="AI10" s="1">
        <v>124000</v>
      </c>
      <c r="AJ10" s="1">
        <v>3800000</v>
      </c>
      <c r="AK10" s="1">
        <v>163</v>
      </c>
      <c r="AL10" s="1">
        <v>3</v>
      </c>
      <c r="AM10" s="1">
        <v>48</v>
      </c>
      <c r="AN10" s="1">
        <v>50</v>
      </c>
      <c r="AO10" s="1" t="s">
        <v>123</v>
      </c>
      <c r="AP10" s="1" t="s">
        <v>123</v>
      </c>
      <c r="AQ10" s="1" t="s">
        <v>124</v>
      </c>
      <c r="AR10" s="1" t="s">
        <v>1879</v>
      </c>
      <c r="AS10" s="1" t="s">
        <v>1880</v>
      </c>
      <c r="AT10" s="1" t="s">
        <v>1881</v>
      </c>
      <c r="AU10" s="1" t="s">
        <v>939</v>
      </c>
      <c r="AV10" s="1" t="s">
        <v>125</v>
      </c>
      <c r="AW10" s="1" t="s">
        <v>126</v>
      </c>
      <c r="AX10" s="1" t="s">
        <v>127</v>
      </c>
      <c r="AY10" s="1" t="s">
        <v>940</v>
      </c>
      <c r="AZ10" s="1" t="s">
        <v>941</v>
      </c>
      <c r="BA10" s="1" t="s">
        <v>942</v>
      </c>
      <c r="BB10" s="1" t="s">
        <v>128</v>
      </c>
      <c r="BC10" s="1" t="s">
        <v>943</v>
      </c>
      <c r="BD10" s="1" t="s">
        <v>125</v>
      </c>
      <c r="BE10" s="1" t="s">
        <v>126</v>
      </c>
      <c r="BF10" s="1" t="s">
        <v>129</v>
      </c>
      <c r="BG10" s="1" t="s">
        <v>130</v>
      </c>
      <c r="BH10" s="1">
        <v>3</v>
      </c>
      <c r="BI10" s="1">
        <v>11400000</v>
      </c>
      <c r="BJ10" s="75"/>
      <c r="BK10" s="75"/>
      <c r="BL10" s="75"/>
      <c r="BN10" s="75">
        <v>46203</v>
      </c>
      <c r="BO10" s="1">
        <v>1</v>
      </c>
      <c r="BP10" s="76">
        <v>46180</v>
      </c>
      <c r="BQ10" s="1" t="s">
        <v>131</v>
      </c>
      <c r="BR10" s="1">
        <v>170</v>
      </c>
      <c r="BS10" s="75">
        <v>46010</v>
      </c>
      <c r="BT10" s="1">
        <v>11400000</v>
      </c>
      <c r="BU10" s="1">
        <v>0</v>
      </c>
      <c r="BV10" s="1">
        <v>1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75"/>
      <c r="CD10" s="1">
        <v>0</v>
      </c>
      <c r="CE10" s="75"/>
      <c r="CF10" s="1">
        <v>0</v>
      </c>
      <c r="CG10" s="75"/>
      <c r="CH10" s="1">
        <v>0</v>
      </c>
      <c r="CI10" s="75"/>
      <c r="CJ10" s="1">
        <v>0</v>
      </c>
      <c r="CK10" s="75"/>
      <c r="CL10" s="1">
        <v>0</v>
      </c>
      <c r="CM10" s="75">
        <v>46180</v>
      </c>
      <c r="CN10" s="1" t="s">
        <v>132</v>
      </c>
      <c r="CO10" s="1">
        <v>11087111.73</v>
      </c>
      <c r="CP10" s="1">
        <v>11087111.73</v>
      </c>
      <c r="CQ10" s="1">
        <v>18</v>
      </c>
      <c r="CR10" s="75"/>
      <c r="CT10" s="1">
        <v>0</v>
      </c>
      <c r="CU10" s="1" t="s">
        <v>331</v>
      </c>
      <c r="CV10" s="1" t="s">
        <v>320</v>
      </c>
      <c r="CW10" s="82">
        <v>46180</v>
      </c>
      <c r="CX10" s="1" t="s">
        <v>2202</v>
      </c>
      <c r="CY10" s="36">
        <f>MONTH(Table_ExternalData_1[[#This Row],[RunningReportDate]])</f>
        <v>6</v>
      </c>
      <c r="CZ10" s="36">
        <f>181-Table_ExternalData_1[[#This Row],[DaysOD]]</f>
        <v>18</v>
      </c>
      <c r="DA10" s="36">
        <f>IF(Table_ExternalData_1[[#This Row],[Status]]="PU-WC",0,Table_ExternalData_1[[#This Row],[Amount_CWO]]/1000000)</f>
        <v>11.08711173</v>
      </c>
      <c r="DB10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10" s="36">
        <f>IF(Table_ExternalData_1[[#This Row],[Status]]="PU-WC",0,IF(Table_ExternalData_1[[#This Row],[Success CWO]]=1,Table_ExternalData_1[[#This Row],[CWO Amt]],0))</f>
        <v>0</v>
      </c>
      <c r="DD10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10" s="36">
        <f>DAY(Table_ExternalData_1[[#This Row],[Tanggal_Sukses]])</f>
        <v>0</v>
      </c>
      <c r="DF10" s="36">
        <f>IF(Table_ExternalData_1[[#This Row],[Status]]="PU-WC",0,IF(SUM(Table_ExternalData_1[[#This Row],[Success CWO]:[WO-In-Amt]])=0,1,0))</f>
        <v>1</v>
      </c>
      <c r="DG10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11.08711173</v>
      </c>
      <c r="DH10" s="36" t="str">
        <f>VLOOKUP(Table_ExternalData_1[[#This Row],[BranchID]],KC!$A:$K,5,0)</f>
        <v>4W</v>
      </c>
      <c r="DI10" s="36" t="str">
        <f>VLOOKUP(Table_ExternalData_1[[#This Row],[BranchID]],KC!$A:$K,8,0)</f>
        <v>06. Sulawesi</v>
      </c>
      <c r="DJ10" s="36" t="str">
        <f>VLOOKUP(Table_ExternalData_1[[#This Row],[BranchID]],KC!$A:$K,9,0)</f>
        <v>GORONTALO</v>
      </c>
    </row>
    <row r="11" spans="1:114" x14ac:dyDescent="0.3">
      <c r="A11" s="3" t="s">
        <v>396</v>
      </c>
      <c r="B11" s="2" t="s">
        <v>397</v>
      </c>
      <c r="C11" s="278">
        <v>46173</v>
      </c>
      <c r="D11" s="278">
        <v>46018</v>
      </c>
      <c r="E11" s="278">
        <v>44861</v>
      </c>
      <c r="F11" s="2" t="s">
        <v>2877</v>
      </c>
      <c r="G11" s="2" t="s">
        <v>2878</v>
      </c>
      <c r="H11" s="1" t="s">
        <v>2879</v>
      </c>
      <c r="I11" s="1" t="s">
        <v>2880</v>
      </c>
      <c r="J11" s="1" t="s">
        <v>2881</v>
      </c>
      <c r="K11" s="1" t="s">
        <v>4</v>
      </c>
      <c r="L11" s="1" t="s">
        <v>2881</v>
      </c>
      <c r="M11" s="1" t="s">
        <v>2882</v>
      </c>
      <c r="N11" s="1" t="s">
        <v>2883</v>
      </c>
      <c r="O11" s="1" t="s">
        <v>2884</v>
      </c>
      <c r="P11" s="1" t="s">
        <v>2885</v>
      </c>
      <c r="Q11" s="1" t="s">
        <v>2886</v>
      </c>
      <c r="R11" s="1" t="s">
        <v>4</v>
      </c>
      <c r="S11" s="1" t="s">
        <v>4</v>
      </c>
      <c r="T11" s="1" t="s">
        <v>2887</v>
      </c>
      <c r="U11" s="1" t="s">
        <v>2887</v>
      </c>
      <c r="V11" s="1" t="s">
        <v>306</v>
      </c>
      <c r="W11" s="1" t="s">
        <v>120</v>
      </c>
      <c r="X11" s="1" t="s">
        <v>121</v>
      </c>
      <c r="Y11" s="1" t="s">
        <v>215</v>
      </c>
      <c r="Z11" s="1" t="s">
        <v>2888</v>
      </c>
      <c r="AA11" s="1" t="s">
        <v>2889</v>
      </c>
      <c r="AB11" s="1" t="s">
        <v>2890</v>
      </c>
      <c r="AC11" s="1" t="s">
        <v>2891</v>
      </c>
      <c r="AD11" s="1">
        <v>145176000</v>
      </c>
      <c r="AE11" s="1">
        <v>126523190.47</v>
      </c>
      <c r="AF11" s="1">
        <v>107304000</v>
      </c>
      <c r="AG11" s="1">
        <v>37872000</v>
      </c>
      <c r="AH11" s="1">
        <v>15211920</v>
      </c>
      <c r="AI11" s="1">
        <v>0</v>
      </c>
      <c r="AJ11" s="1">
        <v>6312000</v>
      </c>
      <c r="AK11" s="1">
        <v>155</v>
      </c>
      <c r="AL11" s="1">
        <v>6</v>
      </c>
      <c r="AM11" s="1">
        <v>38</v>
      </c>
      <c r="AN11" s="1">
        <v>60</v>
      </c>
      <c r="AO11" s="1" t="s">
        <v>123</v>
      </c>
      <c r="AP11" s="1" t="s">
        <v>123</v>
      </c>
      <c r="AQ11" s="1" t="s">
        <v>124</v>
      </c>
      <c r="BF11" s="1" t="s">
        <v>129</v>
      </c>
      <c r="BG11" s="1" t="s">
        <v>130</v>
      </c>
      <c r="BH11" s="1">
        <v>7</v>
      </c>
      <c r="BI11" s="1">
        <v>44184000</v>
      </c>
      <c r="BJ11" s="75"/>
      <c r="BK11" s="75"/>
      <c r="BL11" s="75"/>
      <c r="BN11" s="75">
        <v>46203</v>
      </c>
      <c r="BO11" s="1">
        <v>1</v>
      </c>
      <c r="BP11" s="76">
        <v>46180</v>
      </c>
      <c r="BQ11" s="1" t="s">
        <v>131</v>
      </c>
      <c r="BR11" s="1">
        <v>162</v>
      </c>
      <c r="BS11" s="75">
        <v>46018</v>
      </c>
      <c r="BT11" s="1">
        <v>145176000</v>
      </c>
      <c r="BU11" s="1">
        <v>0</v>
      </c>
      <c r="BV11" s="1">
        <v>1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75"/>
      <c r="CD11" s="1">
        <v>0</v>
      </c>
      <c r="CE11" s="75"/>
      <c r="CF11" s="1">
        <v>0</v>
      </c>
      <c r="CG11" s="75"/>
      <c r="CH11" s="1">
        <v>0</v>
      </c>
      <c r="CI11" s="75"/>
      <c r="CJ11" s="1">
        <v>0</v>
      </c>
      <c r="CK11" s="75"/>
      <c r="CL11" s="1">
        <v>0</v>
      </c>
      <c r="CM11" s="75">
        <v>46180</v>
      </c>
      <c r="CN11" s="1" t="s">
        <v>132</v>
      </c>
      <c r="CO11" s="1">
        <v>126523190.47</v>
      </c>
      <c r="CP11" s="1">
        <v>126523190.47</v>
      </c>
      <c r="CQ11" s="1">
        <v>26</v>
      </c>
      <c r="CR11" s="75"/>
      <c r="CT11" s="1">
        <v>0</v>
      </c>
      <c r="CU11" s="1" t="s">
        <v>398</v>
      </c>
      <c r="CV11" s="1" t="s">
        <v>308</v>
      </c>
      <c r="CW11" s="82">
        <v>46180</v>
      </c>
      <c r="CX11" s="1" t="s">
        <v>2202</v>
      </c>
      <c r="CY11" s="36">
        <f>MONTH(Table_ExternalData_1[[#This Row],[RunningReportDate]])</f>
        <v>6</v>
      </c>
      <c r="CZ11" s="36">
        <f>181-Table_ExternalData_1[[#This Row],[DaysOD]]</f>
        <v>26</v>
      </c>
      <c r="DA11" s="36">
        <f>IF(Table_ExternalData_1[[#This Row],[Status]]="PU-WC",0,Table_ExternalData_1[[#This Row],[Amount_CWO]]/1000000)</f>
        <v>126.52319047</v>
      </c>
      <c r="DB11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11" s="36">
        <f>IF(Table_ExternalData_1[[#This Row],[Status]]="PU-WC",0,IF(Table_ExternalData_1[[#This Row],[Success CWO]]=1,Table_ExternalData_1[[#This Row],[CWO Amt]],0))</f>
        <v>0</v>
      </c>
      <c r="DD11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11" s="36">
        <f>DAY(Table_ExternalData_1[[#This Row],[Tanggal_Sukses]])</f>
        <v>0</v>
      </c>
      <c r="DF11" s="36">
        <f>IF(Table_ExternalData_1[[#This Row],[Status]]="PU-WC",0,IF(SUM(Table_ExternalData_1[[#This Row],[Success CWO]:[WO-In-Amt]])=0,1,0))</f>
        <v>1</v>
      </c>
      <c r="DG11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126.52319047</v>
      </c>
      <c r="DH11" s="36" t="str">
        <f>VLOOKUP(Table_ExternalData_1[[#This Row],[BranchID]],KC!$A:$K,5,0)</f>
        <v>4W</v>
      </c>
      <c r="DI11" s="36" t="str">
        <f>VLOOKUP(Table_ExternalData_1[[#This Row],[BranchID]],KC!$A:$K,8,0)</f>
        <v>07. Sumbagsel</v>
      </c>
      <c r="DJ11" s="36" t="str">
        <f>VLOOKUP(Table_ExternalData_1[[#This Row],[BranchID]],KC!$A:$K,9,0)</f>
        <v>PANGKAL PINANG</v>
      </c>
    </row>
    <row r="12" spans="1:114" x14ac:dyDescent="0.3">
      <c r="A12" s="3" t="s">
        <v>393</v>
      </c>
      <c r="B12" s="2" t="s">
        <v>394</v>
      </c>
      <c r="C12" s="278">
        <v>46173</v>
      </c>
      <c r="D12" s="278">
        <v>45996</v>
      </c>
      <c r="E12" s="278">
        <v>45173</v>
      </c>
      <c r="F12" s="2" t="s">
        <v>2864</v>
      </c>
      <c r="G12" s="2" t="s">
        <v>2865</v>
      </c>
      <c r="H12" s="1" t="s">
        <v>2866</v>
      </c>
      <c r="I12" s="1" t="s">
        <v>2867</v>
      </c>
      <c r="J12" s="1" t="s">
        <v>2868</v>
      </c>
      <c r="K12" s="1" t="s">
        <v>4</v>
      </c>
      <c r="L12" s="1" t="s">
        <v>2868</v>
      </c>
      <c r="M12" s="1" t="s">
        <v>2869</v>
      </c>
      <c r="N12" s="1" t="s">
        <v>2870</v>
      </c>
      <c r="O12" s="1" t="s">
        <v>2871</v>
      </c>
      <c r="P12" s="1" t="s">
        <v>1890</v>
      </c>
      <c r="Q12" s="1" t="s">
        <v>1891</v>
      </c>
      <c r="R12" s="1" t="s">
        <v>4</v>
      </c>
      <c r="S12" s="1" t="s">
        <v>4</v>
      </c>
      <c r="T12" s="1" t="s">
        <v>2872</v>
      </c>
      <c r="U12" s="1" t="s">
        <v>2872</v>
      </c>
      <c r="V12" s="1" t="s">
        <v>2873</v>
      </c>
      <c r="W12" s="1" t="s">
        <v>120</v>
      </c>
      <c r="X12" s="1" t="s">
        <v>121</v>
      </c>
      <c r="Y12" s="1" t="s">
        <v>136</v>
      </c>
      <c r="Z12" s="1" t="s">
        <v>1746</v>
      </c>
      <c r="AA12" s="1" t="s">
        <v>2874</v>
      </c>
      <c r="AB12" s="1" t="s">
        <v>2875</v>
      </c>
      <c r="AC12" s="1" t="s">
        <v>2876</v>
      </c>
      <c r="AD12" s="1">
        <v>162282000</v>
      </c>
      <c r="AE12" s="1">
        <v>122006448.90000001</v>
      </c>
      <c r="AF12" s="1">
        <v>135966000</v>
      </c>
      <c r="AG12" s="1">
        <v>26316000</v>
      </c>
      <c r="AH12" s="1">
        <v>25024780.75</v>
      </c>
      <c r="AI12" s="1">
        <v>0</v>
      </c>
      <c r="AJ12" s="1">
        <v>4386000</v>
      </c>
      <c r="AK12" s="1">
        <v>177</v>
      </c>
      <c r="AL12" s="1">
        <v>6</v>
      </c>
      <c r="AM12" s="1">
        <v>26</v>
      </c>
      <c r="AN12" s="1">
        <v>62</v>
      </c>
      <c r="AO12" s="1" t="s">
        <v>123</v>
      </c>
      <c r="AP12" s="1" t="s">
        <v>123</v>
      </c>
      <c r="AQ12" s="1" t="s">
        <v>124</v>
      </c>
      <c r="AR12" s="1" t="s">
        <v>1896</v>
      </c>
      <c r="AS12" s="1" t="s">
        <v>1897</v>
      </c>
      <c r="AT12" s="1" t="s">
        <v>1898</v>
      </c>
      <c r="AU12" s="1" t="s">
        <v>1899</v>
      </c>
      <c r="AV12" s="1" t="s">
        <v>190</v>
      </c>
      <c r="AW12" s="1" t="s">
        <v>126</v>
      </c>
      <c r="AX12" s="1" t="s">
        <v>127</v>
      </c>
      <c r="AY12" s="1" t="s">
        <v>1900</v>
      </c>
      <c r="AZ12" s="1" t="s">
        <v>1901</v>
      </c>
      <c r="BA12" s="1" t="s">
        <v>1902</v>
      </c>
      <c r="BB12" s="1" t="s">
        <v>128</v>
      </c>
      <c r="BC12" s="1" t="s">
        <v>1903</v>
      </c>
      <c r="BD12" s="1" t="s">
        <v>4</v>
      </c>
      <c r="BE12" s="1" t="s">
        <v>4</v>
      </c>
      <c r="BF12" s="1" t="s">
        <v>129</v>
      </c>
      <c r="BG12" s="1" t="s">
        <v>130</v>
      </c>
      <c r="BH12" s="1">
        <v>7</v>
      </c>
      <c r="BI12" s="1">
        <v>30702000</v>
      </c>
      <c r="BJ12" s="75"/>
      <c r="BK12" s="75"/>
      <c r="BL12" s="75"/>
      <c r="BN12" s="75">
        <v>46203</v>
      </c>
      <c r="BO12" s="1">
        <v>1</v>
      </c>
      <c r="BP12" s="76">
        <v>46180</v>
      </c>
      <c r="BQ12" s="1" t="s">
        <v>131</v>
      </c>
      <c r="BR12" s="1">
        <v>184</v>
      </c>
      <c r="BS12" s="75">
        <v>45996</v>
      </c>
      <c r="BT12" s="1">
        <v>162282000</v>
      </c>
      <c r="BU12" s="1">
        <v>0</v>
      </c>
      <c r="BV12" s="1">
        <v>1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75"/>
      <c r="CD12" s="1">
        <v>0</v>
      </c>
      <c r="CE12" s="75"/>
      <c r="CF12" s="1">
        <v>0</v>
      </c>
      <c r="CG12" s="75"/>
      <c r="CH12" s="1">
        <v>0</v>
      </c>
      <c r="CI12" s="75"/>
      <c r="CJ12" s="1">
        <v>0</v>
      </c>
      <c r="CK12" s="75"/>
      <c r="CL12" s="1">
        <v>0</v>
      </c>
      <c r="CM12" s="75">
        <v>46180</v>
      </c>
      <c r="CN12" s="1" t="s">
        <v>132</v>
      </c>
      <c r="CO12" s="1">
        <v>122006448.90000001</v>
      </c>
      <c r="CP12" s="1">
        <v>122006448.90000001</v>
      </c>
      <c r="CQ12" s="1">
        <v>4</v>
      </c>
      <c r="CR12" s="75"/>
      <c r="CT12" s="1">
        <v>0</v>
      </c>
      <c r="CU12" s="1" t="s">
        <v>395</v>
      </c>
      <c r="CV12" s="1" t="s">
        <v>205</v>
      </c>
      <c r="CW12" s="82">
        <v>46180</v>
      </c>
      <c r="CX12" s="1" t="s">
        <v>2202</v>
      </c>
      <c r="CY12" s="36">
        <f>MONTH(Table_ExternalData_1[[#This Row],[RunningReportDate]])</f>
        <v>6</v>
      </c>
      <c r="CZ12" s="36">
        <f>181-Table_ExternalData_1[[#This Row],[DaysOD]]</f>
        <v>4</v>
      </c>
      <c r="DA12" s="36">
        <f>IF(Table_ExternalData_1[[#This Row],[Status]]="PU-WC",0,Table_ExternalData_1[[#This Row],[Amount_CWO]]/1000000)</f>
        <v>122.00644890000001</v>
      </c>
      <c r="DB12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12" s="36">
        <f>IF(Table_ExternalData_1[[#This Row],[Status]]="PU-WC",0,IF(Table_ExternalData_1[[#This Row],[Success CWO]]=1,Table_ExternalData_1[[#This Row],[CWO Amt]],0))</f>
        <v>0</v>
      </c>
      <c r="DD12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122.00644890000001</v>
      </c>
      <c r="DE12" s="36">
        <f>DAY(Table_ExternalData_1[[#This Row],[Tanggal_Sukses]])</f>
        <v>0</v>
      </c>
      <c r="DF12" s="36">
        <f>IF(Table_ExternalData_1[[#This Row],[Status]]="PU-WC",0,IF(SUM(Table_ExternalData_1[[#This Row],[Success CWO]:[WO-In-Amt]])=0,1,0))</f>
        <v>0</v>
      </c>
      <c r="DG12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12" s="36" t="str">
        <f>VLOOKUP(Table_ExternalData_1[[#This Row],[BranchID]],KC!$A:$K,5,0)</f>
        <v>4W</v>
      </c>
      <c r="DI12" s="36" t="str">
        <f>VLOOKUP(Table_ExternalData_1[[#This Row],[BranchID]],KC!$A:$K,8,0)</f>
        <v>05. Kalimantan</v>
      </c>
      <c r="DJ12" s="36" t="str">
        <f>VLOOKUP(Table_ExternalData_1[[#This Row],[BranchID]],KC!$A:$K,9,0)</f>
        <v>PALANGKARAYA</v>
      </c>
    </row>
    <row r="13" spans="1:114" x14ac:dyDescent="0.3">
      <c r="A13" s="3" t="s">
        <v>393</v>
      </c>
      <c r="B13" s="2" t="s">
        <v>394</v>
      </c>
      <c r="C13" s="278">
        <v>46173</v>
      </c>
      <c r="D13" s="278">
        <v>46015</v>
      </c>
      <c r="E13" s="278">
        <v>44490</v>
      </c>
      <c r="F13" s="2" t="s">
        <v>2847</v>
      </c>
      <c r="G13" s="2" t="s">
        <v>2848</v>
      </c>
      <c r="H13" s="1" t="s">
        <v>2849</v>
      </c>
      <c r="I13" s="1" t="s">
        <v>2850</v>
      </c>
      <c r="J13" s="1" t="s">
        <v>2851</v>
      </c>
      <c r="K13" s="1" t="s">
        <v>4</v>
      </c>
      <c r="L13" s="1" t="s">
        <v>2851</v>
      </c>
      <c r="M13" s="1" t="s">
        <v>2852</v>
      </c>
      <c r="N13" s="1" t="s">
        <v>2853</v>
      </c>
      <c r="O13" s="1" t="s">
        <v>2854</v>
      </c>
      <c r="P13" s="1" t="s">
        <v>1890</v>
      </c>
      <c r="Q13" s="1" t="s">
        <v>1891</v>
      </c>
      <c r="R13" s="1" t="s">
        <v>4</v>
      </c>
      <c r="S13" s="1" t="s">
        <v>4</v>
      </c>
      <c r="T13" s="1" t="s">
        <v>2855</v>
      </c>
      <c r="U13" s="1" t="s">
        <v>2855</v>
      </c>
      <c r="V13" s="1" t="s">
        <v>2165</v>
      </c>
      <c r="W13" s="1" t="s">
        <v>120</v>
      </c>
      <c r="X13" s="1" t="s">
        <v>121</v>
      </c>
      <c r="Y13" s="1" t="s">
        <v>136</v>
      </c>
      <c r="Z13" s="1" t="s">
        <v>2856</v>
      </c>
      <c r="AA13" s="1" t="s">
        <v>2857</v>
      </c>
      <c r="AB13" s="1" t="s">
        <v>2858</v>
      </c>
      <c r="AC13" s="1" t="s">
        <v>2859</v>
      </c>
      <c r="AD13" s="1">
        <v>5114000</v>
      </c>
      <c r="AE13" s="1">
        <v>5033123.45</v>
      </c>
      <c r="AF13" s="1">
        <v>0</v>
      </c>
      <c r="AG13" s="1">
        <v>5114000</v>
      </c>
      <c r="AH13" s="1">
        <v>41353250</v>
      </c>
      <c r="AI13" s="1">
        <v>0</v>
      </c>
      <c r="AJ13" s="1">
        <v>5114000</v>
      </c>
      <c r="AK13" s="1">
        <v>158</v>
      </c>
      <c r="AL13" s="1">
        <v>1</v>
      </c>
      <c r="AM13" s="1">
        <v>50</v>
      </c>
      <c r="AN13" s="1">
        <v>50</v>
      </c>
      <c r="AO13" s="1" t="s">
        <v>123</v>
      </c>
      <c r="AP13" s="1" t="s">
        <v>123</v>
      </c>
      <c r="AQ13" s="1" t="s">
        <v>124</v>
      </c>
      <c r="AR13" s="1" t="s">
        <v>2860</v>
      </c>
      <c r="AS13" s="1" t="s">
        <v>2861</v>
      </c>
      <c r="AT13" s="1" t="s">
        <v>2862</v>
      </c>
      <c r="AU13" s="1" t="s">
        <v>1899</v>
      </c>
      <c r="AV13" s="1" t="s">
        <v>190</v>
      </c>
      <c r="AW13" s="1" t="s">
        <v>126</v>
      </c>
      <c r="AX13" s="1" t="s">
        <v>127</v>
      </c>
      <c r="AY13" s="1" t="s">
        <v>1900</v>
      </c>
      <c r="AZ13" s="1" t="s">
        <v>1901</v>
      </c>
      <c r="BA13" s="1" t="s">
        <v>1902</v>
      </c>
      <c r="BB13" s="1" t="s">
        <v>128</v>
      </c>
      <c r="BC13" s="1" t="s">
        <v>2863</v>
      </c>
      <c r="BD13" s="1" t="s">
        <v>4</v>
      </c>
      <c r="BE13" s="1" t="s">
        <v>4</v>
      </c>
      <c r="BF13" s="1" t="s">
        <v>129</v>
      </c>
      <c r="BG13" s="1" t="s">
        <v>130</v>
      </c>
      <c r="BH13" s="1">
        <v>1</v>
      </c>
      <c r="BI13" s="1">
        <v>5114000</v>
      </c>
      <c r="BJ13" s="75"/>
      <c r="BK13" s="75"/>
      <c r="BL13" s="75"/>
      <c r="BN13" s="75">
        <v>46203</v>
      </c>
      <c r="BO13" s="1">
        <v>1</v>
      </c>
      <c r="BP13" s="76">
        <v>46180</v>
      </c>
      <c r="BQ13" s="1" t="s">
        <v>2999</v>
      </c>
      <c r="BS13" s="75"/>
      <c r="BT13" s="1">
        <v>0</v>
      </c>
      <c r="BU13" s="1">
        <v>5114000</v>
      </c>
      <c r="BV13" s="1">
        <v>0</v>
      </c>
      <c r="BW13" s="1">
        <v>1</v>
      </c>
      <c r="BX13" s="1">
        <v>1</v>
      </c>
      <c r="BY13" s="1">
        <v>1</v>
      </c>
      <c r="BZ13" s="1">
        <v>1</v>
      </c>
      <c r="CA13" s="1">
        <v>5114000</v>
      </c>
      <c r="CB13" s="1">
        <v>5114000</v>
      </c>
      <c r="CC13" s="75"/>
      <c r="CD13" s="1">
        <v>0</v>
      </c>
      <c r="CE13" s="75"/>
      <c r="CF13" s="1">
        <v>0</v>
      </c>
      <c r="CG13" s="75"/>
      <c r="CH13" s="1">
        <v>0</v>
      </c>
      <c r="CI13" s="75"/>
      <c r="CJ13" s="1">
        <v>0</v>
      </c>
      <c r="CK13" s="75"/>
      <c r="CL13" s="1">
        <v>0</v>
      </c>
      <c r="CM13" s="75">
        <v>46180</v>
      </c>
      <c r="CN13" s="1" t="s">
        <v>132</v>
      </c>
      <c r="CO13" s="1">
        <v>5033123.45</v>
      </c>
      <c r="CP13" s="1">
        <v>0</v>
      </c>
      <c r="CQ13" s="1">
        <v>0</v>
      </c>
      <c r="CR13" s="75">
        <v>46176</v>
      </c>
      <c r="CS13" s="1" t="s">
        <v>3000</v>
      </c>
      <c r="CT13" s="1">
        <v>5033123.45</v>
      </c>
      <c r="CU13" s="1" t="s">
        <v>395</v>
      </c>
      <c r="CV13" s="1" t="s">
        <v>205</v>
      </c>
      <c r="CW13" s="82">
        <v>46180</v>
      </c>
      <c r="CX13" s="1" t="s">
        <v>2202</v>
      </c>
      <c r="CY13" s="36">
        <f>MONTH(Table_ExternalData_1[[#This Row],[RunningReportDate]])</f>
        <v>6</v>
      </c>
      <c r="CZ13" s="36">
        <f>181-Table_ExternalData_1[[#This Row],[DaysOD]]</f>
        <v>23</v>
      </c>
      <c r="DA13" s="36">
        <f>IF(Table_ExternalData_1[[#This Row],[Status]]="PU-WC",0,Table_ExternalData_1[[#This Row],[Amount_CWO]]/1000000)</f>
        <v>5.0331234500000006</v>
      </c>
      <c r="DB13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1</v>
      </c>
      <c r="DC13" s="36">
        <f>IF(Table_ExternalData_1[[#This Row],[Status]]="PU-WC",0,IF(Table_ExternalData_1[[#This Row],[Success CWO]]=1,Table_ExternalData_1[[#This Row],[CWO Amt]],0))</f>
        <v>5.0331234500000006</v>
      </c>
      <c r="DD13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13" s="36">
        <f>DAY(Table_ExternalData_1[[#This Row],[Tanggal_Sukses]])</f>
        <v>3</v>
      </c>
      <c r="DF13" s="36">
        <f>IF(Table_ExternalData_1[[#This Row],[Status]]="PU-WC",0,IF(SUM(Table_ExternalData_1[[#This Row],[Success CWO]:[WO-In-Amt]])=0,1,0))</f>
        <v>0</v>
      </c>
      <c r="DG13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13" s="36" t="str">
        <f>VLOOKUP(Table_ExternalData_1[[#This Row],[BranchID]],KC!$A:$K,5,0)</f>
        <v>4W</v>
      </c>
      <c r="DI13" s="36" t="str">
        <f>VLOOKUP(Table_ExternalData_1[[#This Row],[BranchID]],KC!$A:$K,8,0)</f>
        <v>05. Kalimantan</v>
      </c>
      <c r="DJ13" s="36" t="str">
        <f>VLOOKUP(Table_ExternalData_1[[#This Row],[BranchID]],KC!$A:$K,9,0)</f>
        <v>PALANGKARAYA</v>
      </c>
    </row>
    <row r="14" spans="1:114" x14ac:dyDescent="0.3">
      <c r="A14" s="3" t="s">
        <v>390</v>
      </c>
      <c r="B14" s="2" t="s">
        <v>391</v>
      </c>
      <c r="C14" s="278">
        <v>46173</v>
      </c>
      <c r="D14" s="278">
        <v>46009</v>
      </c>
      <c r="E14" s="278">
        <v>45003</v>
      </c>
      <c r="F14" s="2" t="s">
        <v>2832</v>
      </c>
      <c r="G14" s="2" t="s">
        <v>2833</v>
      </c>
      <c r="H14" s="1" t="s">
        <v>2834</v>
      </c>
      <c r="I14" s="1" t="s">
        <v>2835</v>
      </c>
      <c r="J14" s="1" t="s">
        <v>2836</v>
      </c>
      <c r="K14" s="1" t="s">
        <v>4</v>
      </c>
      <c r="L14" s="1" t="s">
        <v>2836</v>
      </c>
      <c r="M14" s="1" t="s">
        <v>2837</v>
      </c>
      <c r="N14" s="1" t="s">
        <v>2838</v>
      </c>
      <c r="O14" s="1" t="s">
        <v>2839</v>
      </c>
      <c r="P14" s="1" t="s">
        <v>2840</v>
      </c>
      <c r="Q14" s="1" t="s">
        <v>2841</v>
      </c>
      <c r="R14" s="1" t="s">
        <v>4</v>
      </c>
      <c r="S14" s="1" t="s">
        <v>4</v>
      </c>
      <c r="T14" s="1" t="s">
        <v>2842</v>
      </c>
      <c r="U14" s="1" t="s">
        <v>2842</v>
      </c>
      <c r="V14" s="1" t="s">
        <v>2843</v>
      </c>
      <c r="W14" s="1" t="s">
        <v>120</v>
      </c>
      <c r="X14" s="1" t="s">
        <v>121</v>
      </c>
      <c r="Y14" s="1" t="s">
        <v>136</v>
      </c>
      <c r="Z14" s="1" t="s">
        <v>137</v>
      </c>
      <c r="AA14" s="1" t="s">
        <v>2844</v>
      </c>
      <c r="AB14" s="1" t="s">
        <v>2845</v>
      </c>
      <c r="AC14" s="1" t="s">
        <v>2846</v>
      </c>
      <c r="AD14" s="1">
        <v>68688000</v>
      </c>
      <c r="AE14" s="1">
        <v>60633634.700000003</v>
      </c>
      <c r="AF14" s="1">
        <v>42930000</v>
      </c>
      <c r="AG14" s="1">
        <v>25758000</v>
      </c>
      <c r="AH14" s="1">
        <v>25873160</v>
      </c>
      <c r="AI14" s="1">
        <v>0</v>
      </c>
      <c r="AJ14" s="1">
        <v>4293000</v>
      </c>
      <c r="AK14" s="1">
        <v>164</v>
      </c>
      <c r="AL14" s="1">
        <v>6</v>
      </c>
      <c r="AM14" s="1">
        <v>33</v>
      </c>
      <c r="AN14" s="1">
        <v>48</v>
      </c>
      <c r="AO14" s="1" t="s">
        <v>123</v>
      </c>
      <c r="AP14" s="1" t="s">
        <v>123</v>
      </c>
      <c r="AQ14" s="1" t="s">
        <v>124</v>
      </c>
      <c r="BF14" s="1" t="s">
        <v>129</v>
      </c>
      <c r="BG14" s="1" t="s">
        <v>130</v>
      </c>
      <c r="BH14" s="1">
        <v>7</v>
      </c>
      <c r="BI14" s="1">
        <v>30051000</v>
      </c>
      <c r="BJ14" s="75"/>
      <c r="BK14" s="75"/>
      <c r="BL14" s="75"/>
      <c r="BN14" s="75">
        <v>46203</v>
      </c>
      <c r="BO14" s="1">
        <v>1</v>
      </c>
      <c r="BP14" s="76">
        <v>46180</v>
      </c>
      <c r="BQ14" s="1" t="s">
        <v>131</v>
      </c>
      <c r="BR14" s="1">
        <v>171</v>
      </c>
      <c r="BS14" s="75">
        <v>46009</v>
      </c>
      <c r="BT14" s="1">
        <v>68688000</v>
      </c>
      <c r="BU14" s="1">
        <v>0</v>
      </c>
      <c r="BV14" s="1">
        <v>1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75"/>
      <c r="CD14" s="1">
        <v>0</v>
      </c>
      <c r="CE14" s="75"/>
      <c r="CF14" s="1">
        <v>0</v>
      </c>
      <c r="CG14" s="75"/>
      <c r="CH14" s="1">
        <v>0</v>
      </c>
      <c r="CI14" s="75"/>
      <c r="CJ14" s="1">
        <v>0</v>
      </c>
      <c r="CK14" s="75"/>
      <c r="CL14" s="1">
        <v>0</v>
      </c>
      <c r="CM14" s="75">
        <v>46180</v>
      </c>
      <c r="CN14" s="1" t="s">
        <v>132</v>
      </c>
      <c r="CO14" s="1">
        <v>60633634.700000003</v>
      </c>
      <c r="CP14" s="1">
        <v>60633634.700000003</v>
      </c>
      <c r="CQ14" s="1">
        <v>17</v>
      </c>
      <c r="CR14" s="75"/>
      <c r="CT14" s="1">
        <v>0</v>
      </c>
      <c r="CU14" s="1" t="s">
        <v>392</v>
      </c>
      <c r="CV14" s="1" t="s">
        <v>308</v>
      </c>
      <c r="CW14" s="82">
        <v>46180</v>
      </c>
      <c r="CX14" s="1" t="s">
        <v>2202</v>
      </c>
      <c r="CY14" s="36">
        <f>MONTH(Table_ExternalData_1[[#This Row],[RunningReportDate]])</f>
        <v>6</v>
      </c>
      <c r="CZ14" s="36">
        <f>181-Table_ExternalData_1[[#This Row],[DaysOD]]</f>
        <v>17</v>
      </c>
      <c r="DA14" s="36">
        <f>IF(Table_ExternalData_1[[#This Row],[Status]]="PU-WC",0,Table_ExternalData_1[[#This Row],[Amount_CWO]]/1000000)</f>
        <v>60.633634700000002</v>
      </c>
      <c r="DB14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14" s="36">
        <f>IF(Table_ExternalData_1[[#This Row],[Status]]="PU-WC",0,IF(Table_ExternalData_1[[#This Row],[Success CWO]]=1,Table_ExternalData_1[[#This Row],[CWO Amt]],0))</f>
        <v>0</v>
      </c>
      <c r="DD14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14" s="36">
        <f>DAY(Table_ExternalData_1[[#This Row],[Tanggal_Sukses]])</f>
        <v>0</v>
      </c>
      <c r="DF14" s="36">
        <f>IF(Table_ExternalData_1[[#This Row],[Status]]="PU-WC",0,IF(SUM(Table_ExternalData_1[[#This Row],[Success CWO]:[WO-In-Amt]])=0,1,0))</f>
        <v>1</v>
      </c>
      <c r="DG14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60.633634700000002</v>
      </c>
      <c r="DH14" s="36" t="str">
        <f>VLOOKUP(Table_ExternalData_1[[#This Row],[BranchID]],KC!$A:$K,5,0)</f>
        <v>4W</v>
      </c>
      <c r="DI14" s="36" t="str">
        <f>VLOOKUP(Table_ExternalData_1[[#This Row],[BranchID]],KC!$A:$K,8,0)</f>
        <v>07. Sumbagsel</v>
      </c>
      <c r="DJ14" s="36" t="str">
        <f>VLOOKUP(Table_ExternalData_1[[#This Row],[BranchID]],KC!$A:$K,9,0)</f>
        <v>BANDAR LAMPUNG</v>
      </c>
    </row>
    <row r="15" spans="1:114" x14ac:dyDescent="0.3">
      <c r="A15" s="3" t="s">
        <v>321</v>
      </c>
      <c r="B15" s="2" t="s">
        <v>322</v>
      </c>
      <c r="C15" s="278">
        <v>46173</v>
      </c>
      <c r="D15" s="278">
        <v>45996</v>
      </c>
      <c r="E15" s="278">
        <v>45443</v>
      </c>
      <c r="F15" s="2" t="s">
        <v>2821</v>
      </c>
      <c r="G15" s="2" t="s">
        <v>2822</v>
      </c>
      <c r="H15" s="1" t="s">
        <v>2823</v>
      </c>
      <c r="I15" s="1" t="s">
        <v>2824</v>
      </c>
      <c r="J15" s="1" t="s">
        <v>2825</v>
      </c>
      <c r="K15" s="1" t="s">
        <v>4</v>
      </c>
      <c r="L15" s="1" t="s">
        <v>2825</v>
      </c>
      <c r="M15" s="1" t="s">
        <v>2826</v>
      </c>
      <c r="N15" s="1" t="s">
        <v>2826</v>
      </c>
      <c r="O15" s="1" t="s">
        <v>2827</v>
      </c>
      <c r="P15" s="1" t="s">
        <v>1944</v>
      </c>
      <c r="Q15" s="1" t="s">
        <v>352</v>
      </c>
      <c r="R15" s="1" t="s">
        <v>4</v>
      </c>
      <c r="S15" s="1" t="s">
        <v>4</v>
      </c>
      <c r="T15" s="1" t="s">
        <v>4</v>
      </c>
      <c r="U15" s="1" t="s">
        <v>4</v>
      </c>
      <c r="V15" s="1" t="s">
        <v>2159</v>
      </c>
      <c r="W15" s="1" t="s">
        <v>120</v>
      </c>
      <c r="X15" s="1" t="s">
        <v>121</v>
      </c>
      <c r="Y15" s="1" t="s">
        <v>2426</v>
      </c>
      <c r="Z15" s="1" t="s">
        <v>2828</v>
      </c>
      <c r="AA15" s="1" t="s">
        <v>2829</v>
      </c>
      <c r="AB15" s="1" t="s">
        <v>2830</v>
      </c>
      <c r="AC15" s="1" t="s">
        <v>2831</v>
      </c>
      <c r="AD15" s="1">
        <v>215000000</v>
      </c>
      <c r="AE15" s="1">
        <v>160022407.81</v>
      </c>
      <c r="AF15" s="1">
        <v>185000000</v>
      </c>
      <c r="AG15" s="1">
        <v>30000000</v>
      </c>
      <c r="AH15" s="1">
        <v>18950000</v>
      </c>
      <c r="AI15" s="1">
        <v>0</v>
      </c>
      <c r="AJ15" s="1">
        <v>5000000</v>
      </c>
      <c r="AK15" s="1">
        <v>177</v>
      </c>
      <c r="AL15" s="1">
        <v>6</v>
      </c>
      <c r="AM15" s="1">
        <v>18</v>
      </c>
      <c r="AN15" s="1">
        <v>60</v>
      </c>
      <c r="AO15" s="1" t="s">
        <v>123</v>
      </c>
      <c r="AP15" s="1" t="s">
        <v>123</v>
      </c>
      <c r="AQ15" s="1" t="s">
        <v>124</v>
      </c>
      <c r="BF15" s="1" t="s">
        <v>129</v>
      </c>
      <c r="BG15" s="1" t="s">
        <v>130</v>
      </c>
      <c r="BH15" s="1">
        <v>7</v>
      </c>
      <c r="BI15" s="1">
        <v>35000000</v>
      </c>
      <c r="BJ15" s="75"/>
      <c r="BK15" s="75"/>
      <c r="BL15" s="75"/>
      <c r="BN15" s="75">
        <v>46203</v>
      </c>
      <c r="BO15" s="1">
        <v>1</v>
      </c>
      <c r="BP15" s="76">
        <v>46180</v>
      </c>
      <c r="BQ15" s="1" t="s">
        <v>131</v>
      </c>
      <c r="BR15" s="1">
        <v>184</v>
      </c>
      <c r="BS15" s="75">
        <v>45996</v>
      </c>
      <c r="BT15" s="1">
        <v>215000000</v>
      </c>
      <c r="BU15" s="1">
        <v>0</v>
      </c>
      <c r="BV15" s="1">
        <v>1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75"/>
      <c r="CD15" s="1">
        <v>0</v>
      </c>
      <c r="CE15" s="75"/>
      <c r="CF15" s="1">
        <v>0</v>
      </c>
      <c r="CG15" s="75"/>
      <c r="CH15" s="1">
        <v>0</v>
      </c>
      <c r="CI15" s="75"/>
      <c r="CJ15" s="1">
        <v>0</v>
      </c>
      <c r="CK15" s="75"/>
      <c r="CL15" s="1">
        <v>0</v>
      </c>
      <c r="CM15" s="75">
        <v>46180</v>
      </c>
      <c r="CN15" s="1" t="s">
        <v>132</v>
      </c>
      <c r="CO15" s="1">
        <v>160022407.81</v>
      </c>
      <c r="CP15" s="1">
        <v>160022407.81</v>
      </c>
      <c r="CQ15" s="1">
        <v>4</v>
      </c>
      <c r="CR15" s="75"/>
      <c r="CT15" s="1">
        <v>0</v>
      </c>
      <c r="CU15" s="1" t="s">
        <v>324</v>
      </c>
      <c r="CV15" s="1" t="s">
        <v>182</v>
      </c>
      <c r="CW15" s="82">
        <v>46180</v>
      </c>
      <c r="CX15" s="1" t="s">
        <v>2202</v>
      </c>
      <c r="CY15" s="36">
        <f>MONTH(Table_ExternalData_1[[#This Row],[RunningReportDate]])</f>
        <v>6</v>
      </c>
      <c r="CZ15" s="36">
        <f>181-Table_ExternalData_1[[#This Row],[DaysOD]]</f>
        <v>4</v>
      </c>
      <c r="DA15" s="36">
        <f>IF(Table_ExternalData_1[[#This Row],[Status]]="PU-WC",0,Table_ExternalData_1[[#This Row],[Amount_CWO]]/1000000)</f>
        <v>160.02240781</v>
      </c>
      <c r="DB15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15" s="36">
        <f>IF(Table_ExternalData_1[[#This Row],[Status]]="PU-WC",0,IF(Table_ExternalData_1[[#This Row],[Success CWO]]=1,Table_ExternalData_1[[#This Row],[CWO Amt]],0))</f>
        <v>0</v>
      </c>
      <c r="DD15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160.02240781</v>
      </c>
      <c r="DE15" s="36">
        <f>DAY(Table_ExternalData_1[[#This Row],[Tanggal_Sukses]])</f>
        <v>0</v>
      </c>
      <c r="DF15" s="36">
        <f>IF(Table_ExternalData_1[[#This Row],[Status]]="PU-WC",0,IF(SUM(Table_ExternalData_1[[#This Row],[Success CWO]:[WO-In-Amt]])=0,1,0))</f>
        <v>0</v>
      </c>
      <c r="DG15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15" s="36" t="str">
        <f>VLOOKUP(Table_ExternalData_1[[#This Row],[BranchID]],KC!$A:$K,5,0)</f>
        <v>4W</v>
      </c>
      <c r="DI15" s="36" t="str">
        <f>VLOOKUP(Table_ExternalData_1[[#This Row],[BranchID]],KC!$A:$K,8,0)</f>
        <v>03. Jawa Tengah</v>
      </c>
      <c r="DJ15" s="36" t="str">
        <f>VLOOKUP(Table_ExternalData_1[[#This Row],[BranchID]],KC!$A:$K,9,0)</f>
        <v>SOLO</v>
      </c>
    </row>
    <row r="16" spans="1:114" x14ac:dyDescent="0.3">
      <c r="A16" s="3" t="s">
        <v>309</v>
      </c>
      <c r="B16" s="2" t="s">
        <v>310</v>
      </c>
      <c r="C16" s="278">
        <v>46173</v>
      </c>
      <c r="D16" s="278">
        <v>46012</v>
      </c>
      <c r="E16" s="278">
        <v>44455</v>
      </c>
      <c r="F16" s="2" t="s">
        <v>981</v>
      </c>
      <c r="G16" s="2" t="s">
        <v>982</v>
      </c>
      <c r="H16" s="1" t="s">
        <v>983</v>
      </c>
      <c r="I16" s="1" t="s">
        <v>984</v>
      </c>
      <c r="J16" s="1" t="s">
        <v>985</v>
      </c>
      <c r="K16" s="1" t="s">
        <v>4</v>
      </c>
      <c r="L16" s="1" t="s">
        <v>985</v>
      </c>
      <c r="M16" s="1" t="s">
        <v>986</v>
      </c>
      <c r="N16" s="1" t="s">
        <v>987</v>
      </c>
      <c r="O16" s="1" t="s">
        <v>980</v>
      </c>
      <c r="P16" s="1" t="s">
        <v>311</v>
      </c>
      <c r="Q16" s="1" t="s">
        <v>988</v>
      </c>
      <c r="R16" s="1" t="s">
        <v>4</v>
      </c>
      <c r="S16" s="1" t="s">
        <v>4</v>
      </c>
      <c r="T16" s="1" t="s">
        <v>323</v>
      </c>
      <c r="U16" s="1" t="s">
        <v>323</v>
      </c>
      <c r="V16" s="1" t="s">
        <v>258</v>
      </c>
      <c r="W16" s="1" t="s">
        <v>120</v>
      </c>
      <c r="X16" s="1" t="s">
        <v>121</v>
      </c>
      <c r="Y16" s="1" t="s">
        <v>136</v>
      </c>
      <c r="Z16" s="1" t="s">
        <v>137</v>
      </c>
      <c r="AA16" s="1" t="s">
        <v>989</v>
      </c>
      <c r="AB16" s="1" t="s">
        <v>990</v>
      </c>
      <c r="AC16" s="1" t="s">
        <v>991</v>
      </c>
      <c r="AD16" s="1">
        <v>3580000</v>
      </c>
      <c r="AE16" s="1">
        <v>3537316.08</v>
      </c>
      <c r="AF16" s="1">
        <v>0</v>
      </c>
      <c r="AG16" s="1">
        <v>3580000</v>
      </c>
      <c r="AH16" s="1">
        <v>40428655</v>
      </c>
      <c r="AI16" s="1">
        <v>0</v>
      </c>
      <c r="AJ16" s="1">
        <v>3580000</v>
      </c>
      <c r="AK16" s="1">
        <v>161</v>
      </c>
      <c r="AL16" s="1">
        <v>1</v>
      </c>
      <c r="AM16" s="1">
        <v>51</v>
      </c>
      <c r="AN16" s="1">
        <v>51</v>
      </c>
      <c r="AO16" s="1" t="s">
        <v>123</v>
      </c>
      <c r="AP16" s="1" t="s">
        <v>123</v>
      </c>
      <c r="AQ16" s="1" t="s">
        <v>124</v>
      </c>
      <c r="AR16" s="1" t="s">
        <v>313</v>
      </c>
      <c r="AS16" s="1" t="s">
        <v>314</v>
      </c>
      <c r="AT16" s="1" t="s">
        <v>315</v>
      </c>
      <c r="AU16" s="1" t="s">
        <v>316</v>
      </c>
      <c r="AV16" s="1" t="s">
        <v>190</v>
      </c>
      <c r="AW16" s="1" t="s">
        <v>126</v>
      </c>
      <c r="AX16" s="1" t="s">
        <v>127</v>
      </c>
      <c r="AY16" s="1" t="s">
        <v>317</v>
      </c>
      <c r="AZ16" s="1" t="s">
        <v>314</v>
      </c>
      <c r="BA16" s="1" t="s">
        <v>315</v>
      </c>
      <c r="BB16" s="1" t="s">
        <v>128</v>
      </c>
      <c r="BC16" s="1" t="s">
        <v>318</v>
      </c>
      <c r="BD16" s="1" t="s">
        <v>125</v>
      </c>
      <c r="BE16" s="1" t="s">
        <v>126</v>
      </c>
      <c r="BF16" s="1" t="s">
        <v>129</v>
      </c>
      <c r="BG16" s="1" t="s">
        <v>130</v>
      </c>
      <c r="BH16" s="1">
        <v>1</v>
      </c>
      <c r="BI16" s="1">
        <v>3580000</v>
      </c>
      <c r="BJ16" s="75"/>
      <c r="BK16" s="75"/>
      <c r="BL16" s="75"/>
      <c r="BN16" s="75">
        <v>46203</v>
      </c>
      <c r="BO16" s="1">
        <v>1</v>
      </c>
      <c r="BP16" s="76">
        <v>46180</v>
      </c>
      <c r="BQ16" s="1" t="s">
        <v>131</v>
      </c>
      <c r="BR16" s="1">
        <v>168</v>
      </c>
      <c r="BS16" s="75">
        <v>46012</v>
      </c>
      <c r="BT16" s="1">
        <v>3580000</v>
      </c>
      <c r="BU16" s="1">
        <v>0</v>
      </c>
      <c r="BV16" s="1">
        <v>1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75"/>
      <c r="CD16" s="1">
        <v>0</v>
      </c>
      <c r="CE16" s="75"/>
      <c r="CF16" s="1">
        <v>0</v>
      </c>
      <c r="CG16" s="75"/>
      <c r="CH16" s="1">
        <v>0</v>
      </c>
      <c r="CI16" s="75"/>
      <c r="CJ16" s="1">
        <v>0</v>
      </c>
      <c r="CK16" s="75"/>
      <c r="CL16" s="1">
        <v>0</v>
      </c>
      <c r="CM16" s="75">
        <v>46180</v>
      </c>
      <c r="CN16" s="1" t="s">
        <v>132</v>
      </c>
      <c r="CO16" s="1">
        <v>3537316.08</v>
      </c>
      <c r="CP16" s="1">
        <v>3537316.08</v>
      </c>
      <c r="CQ16" s="1">
        <v>20</v>
      </c>
      <c r="CR16" s="75"/>
      <c r="CT16" s="1">
        <v>0</v>
      </c>
      <c r="CU16" s="1" t="s">
        <v>319</v>
      </c>
      <c r="CV16" s="1" t="s">
        <v>320</v>
      </c>
      <c r="CW16" s="82">
        <v>46180</v>
      </c>
      <c r="CX16" s="1" t="s">
        <v>2202</v>
      </c>
      <c r="CY16" s="36">
        <f>MONTH(Table_ExternalData_1[[#This Row],[RunningReportDate]])</f>
        <v>6</v>
      </c>
      <c r="CZ16" s="36">
        <f>181-Table_ExternalData_1[[#This Row],[DaysOD]]</f>
        <v>20</v>
      </c>
      <c r="DA16" s="36">
        <f>IF(Table_ExternalData_1[[#This Row],[Status]]="PU-WC",0,Table_ExternalData_1[[#This Row],[Amount_CWO]]/1000000)</f>
        <v>3.5373160800000001</v>
      </c>
      <c r="DB16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16" s="36">
        <f>IF(Table_ExternalData_1[[#This Row],[Status]]="PU-WC",0,IF(Table_ExternalData_1[[#This Row],[Success CWO]]=1,Table_ExternalData_1[[#This Row],[CWO Amt]],0))</f>
        <v>0</v>
      </c>
      <c r="DD16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16" s="36">
        <f>DAY(Table_ExternalData_1[[#This Row],[Tanggal_Sukses]])</f>
        <v>0</v>
      </c>
      <c r="DF16" s="36">
        <f>IF(Table_ExternalData_1[[#This Row],[Status]]="PU-WC",0,IF(SUM(Table_ExternalData_1[[#This Row],[Success CWO]:[WO-In-Amt]])=0,1,0))</f>
        <v>1</v>
      </c>
      <c r="DG16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3.5373160800000001</v>
      </c>
      <c r="DH16" s="36" t="str">
        <f>VLOOKUP(Table_ExternalData_1[[#This Row],[BranchID]],KC!$A:$K,5,0)</f>
        <v>4W</v>
      </c>
      <c r="DI16" s="36" t="str">
        <f>VLOOKUP(Table_ExternalData_1[[#This Row],[BranchID]],KC!$A:$K,8,0)</f>
        <v>06. Sulawesi</v>
      </c>
      <c r="DJ16" s="36" t="str">
        <f>VLOOKUP(Table_ExternalData_1[[#This Row],[BranchID]],KC!$A:$K,9,0)</f>
        <v>MANADO</v>
      </c>
    </row>
    <row r="17" spans="1:114" x14ac:dyDescent="0.3">
      <c r="A17" s="3" t="s">
        <v>302</v>
      </c>
      <c r="B17" s="2" t="s">
        <v>303</v>
      </c>
      <c r="C17" s="278">
        <v>46173</v>
      </c>
      <c r="D17" s="278">
        <v>46007</v>
      </c>
      <c r="E17" s="278">
        <v>44985</v>
      </c>
      <c r="F17" s="2" t="s">
        <v>871</v>
      </c>
      <c r="G17" s="2" t="s">
        <v>872</v>
      </c>
      <c r="H17" s="1" t="s">
        <v>873</v>
      </c>
      <c r="I17" s="1" t="s">
        <v>874</v>
      </c>
      <c r="J17" s="1" t="s">
        <v>875</v>
      </c>
      <c r="K17" s="1" t="s">
        <v>4</v>
      </c>
      <c r="L17" s="1" t="s">
        <v>875</v>
      </c>
      <c r="M17" s="1" t="s">
        <v>876</v>
      </c>
      <c r="N17" s="1" t="s">
        <v>877</v>
      </c>
      <c r="O17" s="1" t="s">
        <v>878</v>
      </c>
      <c r="P17" s="1" t="s">
        <v>304</v>
      </c>
      <c r="Q17" s="1" t="s">
        <v>305</v>
      </c>
      <c r="R17" s="1" t="s">
        <v>4</v>
      </c>
      <c r="S17" s="1" t="s">
        <v>4</v>
      </c>
      <c r="T17" s="1" t="s">
        <v>4</v>
      </c>
      <c r="U17" s="1" t="s">
        <v>4</v>
      </c>
      <c r="V17" s="1" t="s">
        <v>297</v>
      </c>
      <c r="W17" s="1" t="s">
        <v>120</v>
      </c>
      <c r="X17" s="1" t="s">
        <v>121</v>
      </c>
      <c r="Y17" s="1" t="s">
        <v>136</v>
      </c>
      <c r="Z17" s="1" t="s">
        <v>137</v>
      </c>
      <c r="AA17" s="1" t="s">
        <v>879</v>
      </c>
      <c r="AB17" s="1" t="s">
        <v>880</v>
      </c>
      <c r="AC17" s="1" t="s">
        <v>881</v>
      </c>
      <c r="AD17" s="1">
        <v>114824000</v>
      </c>
      <c r="AE17" s="1">
        <v>92640355.989999995</v>
      </c>
      <c r="AF17" s="1">
        <v>92600000</v>
      </c>
      <c r="AG17" s="1">
        <v>22224000</v>
      </c>
      <c r="AH17" s="1">
        <v>49419622</v>
      </c>
      <c r="AI17" s="1">
        <v>20000</v>
      </c>
      <c r="AJ17" s="1">
        <v>3704000</v>
      </c>
      <c r="AK17" s="1">
        <v>166</v>
      </c>
      <c r="AL17" s="1">
        <v>6</v>
      </c>
      <c r="AM17" s="1">
        <v>33</v>
      </c>
      <c r="AN17" s="1">
        <v>63</v>
      </c>
      <c r="AO17" s="1" t="s">
        <v>123</v>
      </c>
      <c r="AP17" s="1" t="s">
        <v>123</v>
      </c>
      <c r="AQ17" s="1" t="s">
        <v>124</v>
      </c>
      <c r="BF17" s="1" t="s">
        <v>129</v>
      </c>
      <c r="BG17" s="1" t="s">
        <v>130</v>
      </c>
      <c r="BH17" s="1">
        <v>7</v>
      </c>
      <c r="BI17" s="1">
        <v>25928000</v>
      </c>
      <c r="BJ17" s="75"/>
      <c r="BK17" s="75"/>
      <c r="BL17" s="75"/>
      <c r="BN17" s="75">
        <v>46203</v>
      </c>
      <c r="BO17" s="1">
        <v>1</v>
      </c>
      <c r="BP17" s="76">
        <v>46180</v>
      </c>
      <c r="BQ17" s="1" t="s">
        <v>131</v>
      </c>
      <c r="BR17" s="1">
        <v>173</v>
      </c>
      <c r="BS17" s="75">
        <v>46007</v>
      </c>
      <c r="BT17" s="1">
        <v>114824000</v>
      </c>
      <c r="BU17" s="1">
        <v>0</v>
      </c>
      <c r="BV17" s="1">
        <v>1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75"/>
      <c r="CD17" s="1">
        <v>0</v>
      </c>
      <c r="CE17" s="75"/>
      <c r="CF17" s="1">
        <v>0</v>
      </c>
      <c r="CG17" s="75"/>
      <c r="CH17" s="1">
        <v>0</v>
      </c>
      <c r="CI17" s="75"/>
      <c r="CJ17" s="1">
        <v>0</v>
      </c>
      <c r="CK17" s="75"/>
      <c r="CL17" s="1">
        <v>0</v>
      </c>
      <c r="CM17" s="75">
        <v>46180</v>
      </c>
      <c r="CN17" s="1" t="s">
        <v>132</v>
      </c>
      <c r="CO17" s="1">
        <v>92620355.989999995</v>
      </c>
      <c r="CP17" s="1">
        <v>92620355.989999995</v>
      </c>
      <c r="CQ17" s="1">
        <v>15</v>
      </c>
      <c r="CR17" s="75"/>
      <c r="CT17" s="1">
        <v>0</v>
      </c>
      <c r="CU17" s="1" t="s">
        <v>307</v>
      </c>
      <c r="CV17" s="1" t="s">
        <v>308</v>
      </c>
      <c r="CW17" s="82">
        <v>46180</v>
      </c>
      <c r="CX17" s="1" t="s">
        <v>2202</v>
      </c>
      <c r="CY17" s="36">
        <f>MONTH(Table_ExternalData_1[[#This Row],[RunningReportDate]])</f>
        <v>6</v>
      </c>
      <c r="CZ17" s="36">
        <f>181-Table_ExternalData_1[[#This Row],[DaysOD]]</f>
        <v>15</v>
      </c>
      <c r="DA17" s="36">
        <f>IF(Table_ExternalData_1[[#This Row],[Status]]="PU-WC",0,Table_ExternalData_1[[#This Row],[Amount_CWO]]/1000000)</f>
        <v>92.620355989999993</v>
      </c>
      <c r="DB17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17" s="36">
        <f>IF(Table_ExternalData_1[[#This Row],[Status]]="PU-WC",0,IF(Table_ExternalData_1[[#This Row],[Success CWO]]=1,Table_ExternalData_1[[#This Row],[CWO Amt]],0))</f>
        <v>0</v>
      </c>
      <c r="DD17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17" s="36">
        <f>DAY(Table_ExternalData_1[[#This Row],[Tanggal_Sukses]])</f>
        <v>0</v>
      </c>
      <c r="DF17" s="36">
        <f>IF(Table_ExternalData_1[[#This Row],[Status]]="PU-WC",0,IF(SUM(Table_ExternalData_1[[#This Row],[Success CWO]:[WO-In-Amt]])=0,1,0))</f>
        <v>1</v>
      </c>
      <c r="DG17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92.620355989999993</v>
      </c>
      <c r="DH17" s="36" t="str">
        <f>VLOOKUP(Table_ExternalData_1[[#This Row],[BranchID]],KC!$A:$K,5,0)</f>
        <v>4W</v>
      </c>
      <c r="DI17" s="36" t="str">
        <f>VLOOKUP(Table_ExternalData_1[[#This Row],[BranchID]],KC!$A:$K,8,0)</f>
        <v>07. Sumbagsel</v>
      </c>
      <c r="DJ17" s="36" t="str">
        <f>VLOOKUP(Table_ExternalData_1[[#This Row],[BranchID]],KC!$A:$K,9,0)</f>
        <v>PALEMBANG</v>
      </c>
    </row>
    <row r="18" spans="1:114" x14ac:dyDescent="0.3">
      <c r="A18" s="3" t="s">
        <v>302</v>
      </c>
      <c r="B18" s="2" t="s">
        <v>303</v>
      </c>
      <c r="C18" s="278">
        <v>46173</v>
      </c>
      <c r="D18" s="278">
        <v>46013</v>
      </c>
      <c r="E18" s="278">
        <v>44511</v>
      </c>
      <c r="F18" s="2" t="s">
        <v>2046</v>
      </c>
      <c r="G18" s="2" t="s">
        <v>2047</v>
      </c>
      <c r="H18" s="1" t="s">
        <v>2048</v>
      </c>
      <c r="I18" s="1" t="s">
        <v>2049</v>
      </c>
      <c r="J18" s="1" t="s">
        <v>2050</v>
      </c>
      <c r="K18" s="1" t="s">
        <v>4</v>
      </c>
      <c r="L18" s="1" t="s">
        <v>2050</v>
      </c>
      <c r="M18" s="1" t="s">
        <v>2051</v>
      </c>
      <c r="N18" s="1" t="s">
        <v>2052</v>
      </c>
      <c r="O18" s="1" t="s">
        <v>2053</v>
      </c>
      <c r="P18" s="1" t="s">
        <v>304</v>
      </c>
      <c r="Q18" s="1" t="s">
        <v>387</v>
      </c>
      <c r="R18" s="1" t="s">
        <v>4</v>
      </c>
      <c r="S18" s="1" t="s">
        <v>4</v>
      </c>
      <c r="T18" s="1" t="s">
        <v>2054</v>
      </c>
      <c r="U18" s="1" t="s">
        <v>2054</v>
      </c>
      <c r="V18" s="1" t="s">
        <v>961</v>
      </c>
      <c r="W18" s="1" t="s">
        <v>120</v>
      </c>
      <c r="X18" s="1" t="s">
        <v>121</v>
      </c>
      <c r="Y18" s="1" t="s">
        <v>136</v>
      </c>
      <c r="Z18" s="1" t="s">
        <v>137</v>
      </c>
      <c r="AA18" s="1" t="s">
        <v>2055</v>
      </c>
      <c r="AB18" s="1" t="s">
        <v>2056</v>
      </c>
      <c r="AC18" s="1" t="s">
        <v>2057</v>
      </c>
      <c r="AD18" s="1">
        <v>22722000</v>
      </c>
      <c r="AE18" s="1">
        <v>21654633.079999998</v>
      </c>
      <c r="AF18" s="1">
        <v>0</v>
      </c>
      <c r="AG18" s="1">
        <v>22722000</v>
      </c>
      <c r="AH18" s="1">
        <v>39365661.25</v>
      </c>
      <c r="AI18" s="1">
        <v>390</v>
      </c>
      <c r="AJ18" s="1">
        <v>3787000</v>
      </c>
      <c r="AK18" s="1">
        <v>160</v>
      </c>
      <c r="AL18" s="1">
        <v>6</v>
      </c>
      <c r="AM18" s="1">
        <v>49</v>
      </c>
      <c r="AN18" s="1">
        <v>54</v>
      </c>
      <c r="AO18" s="1" t="s">
        <v>123</v>
      </c>
      <c r="AP18" s="1" t="s">
        <v>123</v>
      </c>
      <c r="AQ18" s="1" t="s">
        <v>124</v>
      </c>
      <c r="BF18" s="1" t="s">
        <v>129</v>
      </c>
      <c r="BG18" s="1" t="s">
        <v>130</v>
      </c>
      <c r="BH18" s="1">
        <v>6</v>
      </c>
      <c r="BI18" s="1">
        <v>22722000</v>
      </c>
      <c r="BJ18" s="75"/>
      <c r="BK18" s="75"/>
      <c r="BL18" s="75"/>
      <c r="BN18" s="75">
        <v>46203</v>
      </c>
      <c r="BO18" s="1">
        <v>1</v>
      </c>
      <c r="BP18" s="76">
        <v>46180</v>
      </c>
      <c r="BQ18" s="1" t="s">
        <v>131</v>
      </c>
      <c r="BR18" s="1">
        <v>167</v>
      </c>
      <c r="BS18" s="75">
        <v>46013</v>
      </c>
      <c r="BT18" s="1">
        <v>22722000</v>
      </c>
      <c r="BU18" s="1">
        <v>0</v>
      </c>
      <c r="BV18" s="1">
        <v>1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75"/>
      <c r="CD18" s="1">
        <v>0</v>
      </c>
      <c r="CE18" s="75"/>
      <c r="CF18" s="1">
        <v>0</v>
      </c>
      <c r="CG18" s="75"/>
      <c r="CH18" s="1">
        <v>0</v>
      </c>
      <c r="CI18" s="75"/>
      <c r="CJ18" s="1">
        <v>0</v>
      </c>
      <c r="CK18" s="75"/>
      <c r="CL18" s="1">
        <v>0</v>
      </c>
      <c r="CM18" s="75">
        <v>46180</v>
      </c>
      <c r="CN18" s="1" t="s">
        <v>132</v>
      </c>
      <c r="CO18" s="1">
        <v>21654243.079999998</v>
      </c>
      <c r="CP18" s="1">
        <v>21654243.079999998</v>
      </c>
      <c r="CQ18" s="1">
        <v>21</v>
      </c>
      <c r="CR18" s="75"/>
      <c r="CT18" s="1">
        <v>0</v>
      </c>
      <c r="CU18" s="1" t="s">
        <v>307</v>
      </c>
      <c r="CV18" s="1" t="s">
        <v>308</v>
      </c>
      <c r="CW18" s="82">
        <v>46180</v>
      </c>
      <c r="CX18" s="1" t="s">
        <v>2202</v>
      </c>
      <c r="CY18" s="36">
        <f>MONTH(Table_ExternalData_1[[#This Row],[RunningReportDate]])</f>
        <v>6</v>
      </c>
      <c r="CZ18" s="36">
        <f>181-Table_ExternalData_1[[#This Row],[DaysOD]]</f>
        <v>21</v>
      </c>
      <c r="DA18" s="36">
        <f>IF(Table_ExternalData_1[[#This Row],[Status]]="PU-WC",0,Table_ExternalData_1[[#This Row],[Amount_CWO]]/1000000)</f>
        <v>21.654243079999997</v>
      </c>
      <c r="DB18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18" s="36">
        <f>IF(Table_ExternalData_1[[#This Row],[Status]]="PU-WC",0,IF(Table_ExternalData_1[[#This Row],[Success CWO]]=1,Table_ExternalData_1[[#This Row],[CWO Amt]],0))</f>
        <v>0</v>
      </c>
      <c r="DD18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18" s="36">
        <f>DAY(Table_ExternalData_1[[#This Row],[Tanggal_Sukses]])</f>
        <v>0</v>
      </c>
      <c r="DF18" s="36">
        <f>IF(Table_ExternalData_1[[#This Row],[Status]]="PU-WC",0,IF(SUM(Table_ExternalData_1[[#This Row],[Success CWO]:[WO-In-Amt]])=0,1,0))</f>
        <v>1</v>
      </c>
      <c r="DG18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21.654243079999997</v>
      </c>
      <c r="DH18" s="36" t="str">
        <f>VLOOKUP(Table_ExternalData_1[[#This Row],[BranchID]],KC!$A:$K,5,0)</f>
        <v>4W</v>
      </c>
      <c r="DI18" s="36" t="str">
        <f>VLOOKUP(Table_ExternalData_1[[#This Row],[BranchID]],KC!$A:$K,8,0)</f>
        <v>07. Sumbagsel</v>
      </c>
      <c r="DJ18" s="36" t="str">
        <f>VLOOKUP(Table_ExternalData_1[[#This Row],[BranchID]],KC!$A:$K,9,0)</f>
        <v>PALEMBANG</v>
      </c>
    </row>
    <row r="19" spans="1:114" x14ac:dyDescent="0.3">
      <c r="A19" s="3" t="s">
        <v>269</v>
      </c>
      <c r="B19" s="2" t="s">
        <v>270</v>
      </c>
      <c r="C19" s="278">
        <v>46173</v>
      </c>
      <c r="D19" s="278">
        <v>46005</v>
      </c>
      <c r="E19" s="278">
        <v>45791</v>
      </c>
      <c r="F19" s="2" t="s">
        <v>2807</v>
      </c>
      <c r="G19" s="2" t="s">
        <v>2808</v>
      </c>
      <c r="H19" s="1" t="s">
        <v>2809</v>
      </c>
      <c r="I19" s="1" t="s">
        <v>2810</v>
      </c>
      <c r="J19" s="1" t="s">
        <v>2811</v>
      </c>
      <c r="K19" s="1" t="s">
        <v>4</v>
      </c>
      <c r="L19" s="1" t="s">
        <v>2811</v>
      </c>
      <c r="M19" s="1" t="s">
        <v>2812</v>
      </c>
      <c r="N19" s="1" t="s">
        <v>2813</v>
      </c>
      <c r="O19" s="1" t="s">
        <v>2814</v>
      </c>
      <c r="P19" s="1" t="s">
        <v>271</v>
      </c>
      <c r="Q19" s="1" t="s">
        <v>413</v>
      </c>
      <c r="R19" s="1" t="s">
        <v>4</v>
      </c>
      <c r="S19" s="1" t="s">
        <v>4</v>
      </c>
      <c r="T19" s="1" t="s">
        <v>4</v>
      </c>
      <c r="U19" s="1" t="s">
        <v>4</v>
      </c>
      <c r="V19" s="1" t="s">
        <v>152</v>
      </c>
      <c r="W19" s="1" t="s">
        <v>120</v>
      </c>
      <c r="X19" s="1" t="s">
        <v>121</v>
      </c>
      <c r="Y19" s="1" t="s">
        <v>136</v>
      </c>
      <c r="Z19" s="1" t="s">
        <v>142</v>
      </c>
      <c r="AA19" s="1" t="s">
        <v>2815</v>
      </c>
      <c r="AB19" s="1" t="s">
        <v>2816</v>
      </c>
      <c r="AC19" s="1" t="s">
        <v>2817</v>
      </c>
      <c r="AD19" s="1">
        <v>261360000</v>
      </c>
      <c r="AE19" s="1">
        <v>164720236.27000001</v>
      </c>
      <c r="AF19" s="1">
        <v>232320000</v>
      </c>
      <c r="AG19" s="1">
        <v>29040000</v>
      </c>
      <c r="AH19" s="1">
        <v>15125000</v>
      </c>
      <c r="AI19" s="1">
        <v>0</v>
      </c>
      <c r="AJ19" s="1">
        <v>4840000</v>
      </c>
      <c r="AK19" s="1">
        <v>168</v>
      </c>
      <c r="AL19" s="1">
        <v>6</v>
      </c>
      <c r="AM19" s="1">
        <v>7</v>
      </c>
      <c r="AN19" s="1">
        <v>60</v>
      </c>
      <c r="AO19" s="1" t="s">
        <v>123</v>
      </c>
      <c r="AP19" s="1" t="s">
        <v>123</v>
      </c>
      <c r="AQ19" s="1" t="s">
        <v>124</v>
      </c>
      <c r="AR19" s="1" t="s">
        <v>2818</v>
      </c>
      <c r="AS19" s="1" t="s">
        <v>2819</v>
      </c>
      <c r="AT19" s="1" t="s">
        <v>2820</v>
      </c>
      <c r="AU19" s="1" t="s">
        <v>273</v>
      </c>
      <c r="AV19" s="1" t="s">
        <v>125</v>
      </c>
      <c r="AW19" s="1" t="s">
        <v>126</v>
      </c>
      <c r="AX19" s="1" t="s">
        <v>127</v>
      </c>
      <c r="AY19" s="1" t="s">
        <v>274</v>
      </c>
      <c r="AZ19" s="1" t="s">
        <v>275</v>
      </c>
      <c r="BA19" s="1" t="s">
        <v>276</v>
      </c>
      <c r="BB19" s="1" t="s">
        <v>128</v>
      </c>
      <c r="BC19" s="1" t="s">
        <v>277</v>
      </c>
      <c r="BD19" s="1" t="s">
        <v>125</v>
      </c>
      <c r="BE19" s="1" t="s">
        <v>126</v>
      </c>
      <c r="BF19" s="1" t="s">
        <v>129</v>
      </c>
      <c r="BG19" s="1" t="s">
        <v>130</v>
      </c>
      <c r="BH19" s="1">
        <v>7</v>
      </c>
      <c r="BI19" s="1">
        <v>33880000</v>
      </c>
      <c r="BJ19" s="75"/>
      <c r="BK19" s="75"/>
      <c r="BL19" s="75"/>
      <c r="BN19" s="75">
        <v>46203</v>
      </c>
      <c r="BO19" s="1">
        <v>1</v>
      </c>
      <c r="BP19" s="76">
        <v>46180</v>
      </c>
      <c r="BQ19" s="1" t="s">
        <v>131</v>
      </c>
      <c r="BR19" s="1">
        <v>175</v>
      </c>
      <c r="BS19" s="75">
        <v>46005</v>
      </c>
      <c r="BT19" s="1">
        <v>261360000</v>
      </c>
      <c r="BU19" s="1">
        <v>0</v>
      </c>
      <c r="BV19" s="1">
        <v>1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75"/>
      <c r="CD19" s="1">
        <v>0</v>
      </c>
      <c r="CE19" s="75"/>
      <c r="CF19" s="1">
        <v>0</v>
      </c>
      <c r="CG19" s="75"/>
      <c r="CH19" s="1">
        <v>0</v>
      </c>
      <c r="CI19" s="75"/>
      <c r="CJ19" s="1">
        <v>0</v>
      </c>
      <c r="CK19" s="75"/>
      <c r="CL19" s="1">
        <v>0</v>
      </c>
      <c r="CM19" s="75">
        <v>46180</v>
      </c>
      <c r="CN19" s="1" t="s">
        <v>132</v>
      </c>
      <c r="CO19" s="1">
        <v>164720236.27000001</v>
      </c>
      <c r="CP19" s="1">
        <v>164720236.27000001</v>
      </c>
      <c r="CQ19" s="1">
        <v>13</v>
      </c>
      <c r="CR19" s="75"/>
      <c r="CT19" s="1">
        <v>0</v>
      </c>
      <c r="CU19" s="1" t="s">
        <v>278</v>
      </c>
      <c r="CV19" s="1" t="s">
        <v>134</v>
      </c>
      <c r="CW19" s="82">
        <v>46180</v>
      </c>
      <c r="CX19" s="1" t="s">
        <v>2202</v>
      </c>
      <c r="CY19" s="36">
        <f>MONTH(Table_ExternalData_1[[#This Row],[RunningReportDate]])</f>
        <v>6</v>
      </c>
      <c r="CZ19" s="36">
        <f>181-Table_ExternalData_1[[#This Row],[DaysOD]]</f>
        <v>13</v>
      </c>
      <c r="DA19" s="36">
        <f>IF(Table_ExternalData_1[[#This Row],[Status]]="PU-WC",0,Table_ExternalData_1[[#This Row],[Amount_CWO]]/1000000)</f>
        <v>164.72023627000002</v>
      </c>
      <c r="DB19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19" s="36">
        <f>IF(Table_ExternalData_1[[#This Row],[Status]]="PU-WC",0,IF(Table_ExternalData_1[[#This Row],[Success CWO]]=1,Table_ExternalData_1[[#This Row],[CWO Amt]],0))</f>
        <v>0</v>
      </c>
      <c r="DD19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19" s="36">
        <f>DAY(Table_ExternalData_1[[#This Row],[Tanggal_Sukses]])</f>
        <v>0</v>
      </c>
      <c r="DF19" s="36">
        <f>IF(Table_ExternalData_1[[#This Row],[Status]]="PU-WC",0,IF(SUM(Table_ExternalData_1[[#This Row],[Success CWO]:[WO-In-Amt]])=0,1,0))</f>
        <v>1</v>
      </c>
      <c r="DG19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164.72023627000002</v>
      </c>
      <c r="DH19" s="36" t="str">
        <f>VLOOKUP(Table_ExternalData_1[[#This Row],[BranchID]],KC!$A:$K,5,0)</f>
        <v>4W</v>
      </c>
      <c r="DI19" s="36" t="str">
        <f>VLOOKUP(Table_ExternalData_1[[#This Row],[BranchID]],KC!$A:$K,8,0)</f>
        <v>09. IBT</v>
      </c>
      <c r="DJ19" s="36" t="str">
        <f>VLOOKUP(Table_ExternalData_1[[#This Row],[BranchID]],KC!$A:$K,9,0)</f>
        <v>KUPANG</v>
      </c>
    </row>
    <row r="20" spans="1:114" x14ac:dyDescent="0.3">
      <c r="A20" s="3" t="s">
        <v>269</v>
      </c>
      <c r="B20" s="2" t="s">
        <v>270</v>
      </c>
      <c r="C20" s="278">
        <v>46173</v>
      </c>
      <c r="D20" s="278">
        <v>46013</v>
      </c>
      <c r="E20" s="278">
        <v>45344</v>
      </c>
      <c r="F20" s="2" t="s">
        <v>2797</v>
      </c>
      <c r="G20" s="2" t="s">
        <v>2798</v>
      </c>
      <c r="H20" s="1" t="s">
        <v>2726</v>
      </c>
      <c r="I20" s="1" t="s">
        <v>2799</v>
      </c>
      <c r="J20" s="1" t="s">
        <v>2800</v>
      </c>
      <c r="K20" s="1" t="s">
        <v>4</v>
      </c>
      <c r="L20" s="1" t="s">
        <v>2800</v>
      </c>
      <c r="M20" s="1" t="s">
        <v>2801</v>
      </c>
      <c r="N20" s="1" t="s">
        <v>2802</v>
      </c>
      <c r="O20" s="1" t="s">
        <v>2777</v>
      </c>
      <c r="P20" s="1" t="s">
        <v>2803</v>
      </c>
      <c r="Q20" s="1" t="s">
        <v>2168</v>
      </c>
      <c r="R20" s="1" t="s">
        <v>4</v>
      </c>
      <c r="S20" s="1" t="s">
        <v>4</v>
      </c>
      <c r="T20" s="1" t="s">
        <v>4</v>
      </c>
      <c r="U20" s="1" t="s">
        <v>4</v>
      </c>
      <c r="V20" s="1" t="s">
        <v>341</v>
      </c>
      <c r="W20" s="1" t="s">
        <v>120</v>
      </c>
      <c r="X20" s="1" t="s">
        <v>121</v>
      </c>
      <c r="Y20" s="1" t="s">
        <v>268</v>
      </c>
      <c r="Z20" s="1" t="s">
        <v>403</v>
      </c>
      <c r="AA20" s="1" t="s">
        <v>2804</v>
      </c>
      <c r="AB20" s="1" t="s">
        <v>2805</v>
      </c>
      <c r="AC20" s="1" t="s">
        <v>2806</v>
      </c>
      <c r="AD20" s="1">
        <v>240123000</v>
      </c>
      <c r="AE20" s="1">
        <v>180520839</v>
      </c>
      <c r="AF20" s="1">
        <v>203181000</v>
      </c>
      <c r="AG20" s="1">
        <v>36942000</v>
      </c>
      <c r="AH20" s="1">
        <v>26452165</v>
      </c>
      <c r="AI20" s="1">
        <v>39000</v>
      </c>
      <c r="AJ20" s="1">
        <v>6157000</v>
      </c>
      <c r="AK20" s="1">
        <v>160</v>
      </c>
      <c r="AL20" s="1">
        <v>6</v>
      </c>
      <c r="AM20" s="1">
        <v>22</v>
      </c>
      <c r="AN20" s="1">
        <v>60</v>
      </c>
      <c r="AO20" s="1" t="s">
        <v>123</v>
      </c>
      <c r="AP20" s="1" t="s">
        <v>123</v>
      </c>
      <c r="AQ20" s="1" t="s">
        <v>124</v>
      </c>
      <c r="AR20" s="1" t="s">
        <v>2783</v>
      </c>
      <c r="AS20" s="1" t="s">
        <v>2784</v>
      </c>
      <c r="AT20" s="1" t="s">
        <v>2785</v>
      </c>
      <c r="AU20" s="1" t="s">
        <v>273</v>
      </c>
      <c r="AV20" s="1" t="s">
        <v>125</v>
      </c>
      <c r="AW20" s="1" t="s">
        <v>126</v>
      </c>
      <c r="AX20" s="1" t="s">
        <v>127</v>
      </c>
      <c r="AY20" s="1" t="s">
        <v>274</v>
      </c>
      <c r="AZ20" s="1" t="s">
        <v>275</v>
      </c>
      <c r="BA20" s="1" t="s">
        <v>276</v>
      </c>
      <c r="BB20" s="1" t="s">
        <v>128</v>
      </c>
      <c r="BC20" s="1" t="s">
        <v>277</v>
      </c>
      <c r="BD20" s="1" t="s">
        <v>125</v>
      </c>
      <c r="BE20" s="1" t="s">
        <v>126</v>
      </c>
      <c r="BF20" s="1" t="s">
        <v>129</v>
      </c>
      <c r="BG20" s="1" t="s">
        <v>130</v>
      </c>
      <c r="BH20" s="1">
        <v>7</v>
      </c>
      <c r="BI20" s="1">
        <v>43099000</v>
      </c>
      <c r="BJ20" s="75"/>
      <c r="BK20" s="75"/>
      <c r="BL20" s="75"/>
      <c r="BN20" s="75">
        <v>46203</v>
      </c>
      <c r="BO20" s="1">
        <v>1</v>
      </c>
      <c r="BP20" s="76">
        <v>46180</v>
      </c>
      <c r="BQ20" s="1" t="s">
        <v>131</v>
      </c>
      <c r="BR20" s="1">
        <v>167</v>
      </c>
      <c r="BS20" s="75">
        <v>46013</v>
      </c>
      <c r="BT20" s="1">
        <v>240123000</v>
      </c>
      <c r="BU20" s="1">
        <v>0</v>
      </c>
      <c r="BV20" s="1">
        <v>1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75"/>
      <c r="CD20" s="1">
        <v>0</v>
      </c>
      <c r="CE20" s="75"/>
      <c r="CF20" s="1">
        <v>0</v>
      </c>
      <c r="CG20" s="75"/>
      <c r="CH20" s="1">
        <v>0</v>
      </c>
      <c r="CI20" s="75"/>
      <c r="CJ20" s="1">
        <v>0</v>
      </c>
      <c r="CK20" s="75"/>
      <c r="CL20" s="1">
        <v>0</v>
      </c>
      <c r="CM20" s="75">
        <v>46180</v>
      </c>
      <c r="CN20" s="1" t="s">
        <v>132</v>
      </c>
      <c r="CO20" s="1">
        <v>180481839</v>
      </c>
      <c r="CP20" s="1">
        <v>180481839</v>
      </c>
      <c r="CQ20" s="1">
        <v>21</v>
      </c>
      <c r="CR20" s="75"/>
      <c r="CT20" s="1">
        <v>0</v>
      </c>
      <c r="CU20" s="1" t="s">
        <v>278</v>
      </c>
      <c r="CV20" s="1" t="s">
        <v>134</v>
      </c>
      <c r="CW20" s="82">
        <v>46180</v>
      </c>
      <c r="CX20" s="1" t="s">
        <v>2202</v>
      </c>
      <c r="CY20" s="36">
        <f>MONTH(Table_ExternalData_1[[#This Row],[RunningReportDate]])</f>
        <v>6</v>
      </c>
      <c r="CZ20" s="36">
        <f>181-Table_ExternalData_1[[#This Row],[DaysOD]]</f>
        <v>21</v>
      </c>
      <c r="DA20" s="36">
        <f>IF(Table_ExternalData_1[[#This Row],[Status]]="PU-WC",0,Table_ExternalData_1[[#This Row],[Amount_CWO]]/1000000)</f>
        <v>180.48183900000001</v>
      </c>
      <c r="DB20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20" s="36">
        <f>IF(Table_ExternalData_1[[#This Row],[Status]]="PU-WC",0,IF(Table_ExternalData_1[[#This Row],[Success CWO]]=1,Table_ExternalData_1[[#This Row],[CWO Amt]],0))</f>
        <v>0</v>
      </c>
      <c r="DD20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20" s="36">
        <f>DAY(Table_ExternalData_1[[#This Row],[Tanggal_Sukses]])</f>
        <v>0</v>
      </c>
      <c r="DF20" s="36">
        <f>IF(Table_ExternalData_1[[#This Row],[Status]]="PU-WC",0,IF(SUM(Table_ExternalData_1[[#This Row],[Success CWO]:[WO-In-Amt]])=0,1,0))</f>
        <v>1</v>
      </c>
      <c r="DG20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180.48183900000001</v>
      </c>
      <c r="DH20" s="36" t="str">
        <f>VLOOKUP(Table_ExternalData_1[[#This Row],[BranchID]],KC!$A:$K,5,0)</f>
        <v>4W</v>
      </c>
      <c r="DI20" s="36" t="str">
        <f>VLOOKUP(Table_ExternalData_1[[#This Row],[BranchID]],KC!$A:$K,8,0)</f>
        <v>09. IBT</v>
      </c>
      <c r="DJ20" s="36" t="str">
        <f>VLOOKUP(Table_ExternalData_1[[#This Row],[BranchID]],KC!$A:$K,9,0)</f>
        <v>KUPANG</v>
      </c>
    </row>
    <row r="21" spans="1:114" x14ac:dyDescent="0.3">
      <c r="A21" s="3" t="s">
        <v>269</v>
      </c>
      <c r="B21" s="2" t="s">
        <v>270</v>
      </c>
      <c r="C21" s="278">
        <v>46173</v>
      </c>
      <c r="D21" s="278">
        <v>45996</v>
      </c>
      <c r="E21" s="278">
        <v>45175</v>
      </c>
      <c r="F21" s="2" t="s">
        <v>2072</v>
      </c>
      <c r="G21" s="2" t="s">
        <v>2073</v>
      </c>
      <c r="H21" s="1" t="s">
        <v>2074</v>
      </c>
      <c r="I21" s="1" t="s">
        <v>2075</v>
      </c>
      <c r="J21" s="1" t="s">
        <v>2076</v>
      </c>
      <c r="K21" s="1" t="s">
        <v>4</v>
      </c>
      <c r="L21" s="1" t="s">
        <v>2076</v>
      </c>
      <c r="M21" s="1" t="s">
        <v>2077</v>
      </c>
      <c r="N21" s="1" t="s">
        <v>2078</v>
      </c>
      <c r="O21" s="1" t="s">
        <v>269</v>
      </c>
      <c r="P21" s="1" t="s">
        <v>279</v>
      </c>
      <c r="Q21" s="1" t="s">
        <v>413</v>
      </c>
      <c r="R21" s="1" t="s">
        <v>4</v>
      </c>
      <c r="S21" s="1" t="s">
        <v>4</v>
      </c>
      <c r="T21" s="1" t="s">
        <v>4</v>
      </c>
      <c r="U21" s="1" t="s">
        <v>4</v>
      </c>
      <c r="V21" s="1" t="s">
        <v>156</v>
      </c>
      <c r="W21" s="1" t="s">
        <v>120</v>
      </c>
      <c r="X21" s="1" t="s">
        <v>121</v>
      </c>
      <c r="Y21" s="1" t="s">
        <v>136</v>
      </c>
      <c r="Z21" s="1" t="s">
        <v>137</v>
      </c>
      <c r="AA21" s="1" t="s">
        <v>2079</v>
      </c>
      <c r="AB21" s="1" t="s">
        <v>2080</v>
      </c>
      <c r="AC21" s="1" t="s">
        <v>2081</v>
      </c>
      <c r="AD21" s="1">
        <v>158808000</v>
      </c>
      <c r="AE21" s="1">
        <v>126689026.34999999</v>
      </c>
      <c r="AF21" s="1">
        <v>134376000</v>
      </c>
      <c r="AG21" s="1">
        <v>24432000</v>
      </c>
      <c r="AH21" s="1">
        <v>47895100</v>
      </c>
      <c r="AI21" s="1">
        <v>50000</v>
      </c>
      <c r="AJ21" s="1">
        <v>4072000</v>
      </c>
      <c r="AK21" s="1">
        <v>177</v>
      </c>
      <c r="AL21" s="1">
        <v>6</v>
      </c>
      <c r="AM21" s="1">
        <v>27</v>
      </c>
      <c r="AN21" s="1">
        <v>65</v>
      </c>
      <c r="AO21" s="1" t="s">
        <v>123</v>
      </c>
      <c r="AP21" s="1" t="s">
        <v>123</v>
      </c>
      <c r="AQ21" s="1" t="s">
        <v>124</v>
      </c>
      <c r="AR21" s="1" t="s">
        <v>920</v>
      </c>
      <c r="AS21" s="1" t="s">
        <v>921</v>
      </c>
      <c r="AT21" s="1" t="s">
        <v>922</v>
      </c>
      <c r="AU21" s="1" t="s">
        <v>273</v>
      </c>
      <c r="AV21" s="1" t="s">
        <v>125</v>
      </c>
      <c r="AW21" s="1" t="s">
        <v>126</v>
      </c>
      <c r="AX21" s="1" t="s">
        <v>127</v>
      </c>
      <c r="AY21" s="1" t="s">
        <v>274</v>
      </c>
      <c r="AZ21" s="1" t="s">
        <v>275</v>
      </c>
      <c r="BA21" s="1" t="s">
        <v>276</v>
      </c>
      <c r="BB21" s="1" t="s">
        <v>128</v>
      </c>
      <c r="BC21" s="1" t="s">
        <v>277</v>
      </c>
      <c r="BD21" s="1" t="s">
        <v>125</v>
      </c>
      <c r="BE21" s="1" t="s">
        <v>126</v>
      </c>
      <c r="BF21" s="1" t="s">
        <v>129</v>
      </c>
      <c r="BG21" s="1" t="s">
        <v>130</v>
      </c>
      <c r="BH21" s="1">
        <v>7</v>
      </c>
      <c r="BI21" s="1">
        <v>28504000</v>
      </c>
      <c r="BJ21" s="75"/>
      <c r="BK21" s="75"/>
      <c r="BL21" s="75"/>
      <c r="BN21" s="75">
        <v>46203</v>
      </c>
      <c r="BO21" s="1">
        <v>1</v>
      </c>
      <c r="BP21" s="76">
        <v>46180</v>
      </c>
      <c r="BQ21" s="1" t="s">
        <v>131</v>
      </c>
      <c r="BR21" s="1">
        <v>153</v>
      </c>
      <c r="BS21" s="75">
        <v>46027</v>
      </c>
      <c r="BT21" s="1">
        <v>154736000</v>
      </c>
      <c r="BU21" s="1">
        <v>4072000</v>
      </c>
      <c r="BV21" s="1">
        <v>0</v>
      </c>
      <c r="BW21" s="1">
        <v>0</v>
      </c>
      <c r="BX21" s="1">
        <v>0</v>
      </c>
      <c r="BY21" s="1">
        <v>1</v>
      </c>
      <c r="BZ21" s="1">
        <v>1</v>
      </c>
      <c r="CA21" s="1">
        <v>4072000</v>
      </c>
      <c r="CB21" s="1">
        <v>4072000</v>
      </c>
      <c r="CC21" s="75"/>
      <c r="CD21" s="1">
        <v>0</v>
      </c>
      <c r="CE21" s="75"/>
      <c r="CF21" s="1">
        <v>0</v>
      </c>
      <c r="CG21" s="75"/>
      <c r="CH21" s="1">
        <v>0</v>
      </c>
      <c r="CI21" s="75"/>
      <c r="CJ21" s="1">
        <v>0</v>
      </c>
      <c r="CK21" s="75"/>
      <c r="CL21" s="1">
        <v>0</v>
      </c>
      <c r="CM21" s="75">
        <v>46180</v>
      </c>
      <c r="CN21" s="1" t="s">
        <v>132</v>
      </c>
      <c r="CO21" s="1">
        <v>126639026.34999999</v>
      </c>
      <c r="CP21" s="1">
        <v>0</v>
      </c>
      <c r="CQ21" s="1">
        <v>0</v>
      </c>
      <c r="CR21" s="75">
        <v>46176</v>
      </c>
      <c r="CS21" s="1" t="s">
        <v>2114</v>
      </c>
      <c r="CT21" s="1">
        <v>126639026.34999999</v>
      </c>
      <c r="CU21" s="1" t="s">
        <v>278</v>
      </c>
      <c r="CV21" s="1" t="s">
        <v>134</v>
      </c>
      <c r="CW21" s="82">
        <v>46180</v>
      </c>
      <c r="CX21" s="1" t="s">
        <v>2202</v>
      </c>
      <c r="CY21" s="36">
        <f>MONTH(Table_ExternalData_1[[#This Row],[RunningReportDate]])</f>
        <v>6</v>
      </c>
      <c r="CZ21" s="36">
        <f>181-Table_ExternalData_1[[#This Row],[DaysOD]]</f>
        <v>4</v>
      </c>
      <c r="DA21" s="36">
        <f>IF(Table_ExternalData_1[[#This Row],[Status]]="PU-WC",0,Table_ExternalData_1[[#This Row],[Amount_CWO]]/1000000)</f>
        <v>126.63902634999999</v>
      </c>
      <c r="DB21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1</v>
      </c>
      <c r="DC21" s="36">
        <f>IF(Table_ExternalData_1[[#This Row],[Status]]="PU-WC",0,IF(Table_ExternalData_1[[#This Row],[Success CWO]]=1,Table_ExternalData_1[[#This Row],[CWO Amt]],0))</f>
        <v>126.63902634999999</v>
      </c>
      <c r="DD21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21" s="36">
        <f>DAY(Table_ExternalData_1[[#This Row],[Tanggal_Sukses]])</f>
        <v>3</v>
      </c>
      <c r="DF21" s="36">
        <f>IF(Table_ExternalData_1[[#This Row],[Status]]="PU-WC",0,IF(SUM(Table_ExternalData_1[[#This Row],[Success CWO]:[WO-In-Amt]])=0,1,0))</f>
        <v>0</v>
      </c>
      <c r="DG21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21" s="36" t="str">
        <f>VLOOKUP(Table_ExternalData_1[[#This Row],[BranchID]],KC!$A:$K,5,0)</f>
        <v>4W</v>
      </c>
      <c r="DI21" s="36" t="str">
        <f>VLOOKUP(Table_ExternalData_1[[#This Row],[BranchID]],KC!$A:$K,8,0)</f>
        <v>09. IBT</v>
      </c>
      <c r="DJ21" s="36" t="str">
        <f>VLOOKUP(Table_ExternalData_1[[#This Row],[BranchID]],KC!$A:$K,9,0)</f>
        <v>KUPANG</v>
      </c>
    </row>
    <row r="22" spans="1:114" x14ac:dyDescent="0.3">
      <c r="A22" s="3" t="s">
        <v>269</v>
      </c>
      <c r="B22" s="2" t="s">
        <v>270</v>
      </c>
      <c r="C22" s="278">
        <v>46173</v>
      </c>
      <c r="D22" s="278">
        <v>45998</v>
      </c>
      <c r="E22" s="278">
        <v>45176</v>
      </c>
      <c r="F22" s="2" t="s">
        <v>993</v>
      </c>
      <c r="G22" s="2" t="s">
        <v>994</v>
      </c>
      <c r="H22" s="1" t="s">
        <v>995</v>
      </c>
      <c r="I22" s="1" t="s">
        <v>996</v>
      </c>
      <c r="J22" s="1" t="s">
        <v>997</v>
      </c>
      <c r="K22" s="1" t="s">
        <v>4</v>
      </c>
      <c r="L22" s="1" t="s">
        <v>997</v>
      </c>
      <c r="M22" s="1" t="s">
        <v>998</v>
      </c>
      <c r="N22" s="1" t="s">
        <v>999</v>
      </c>
      <c r="O22" s="1" t="s">
        <v>269</v>
      </c>
      <c r="P22" s="1" t="s">
        <v>279</v>
      </c>
      <c r="Q22" s="1" t="s">
        <v>413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135</v>
      </c>
      <c r="W22" s="1" t="s">
        <v>120</v>
      </c>
      <c r="X22" s="1" t="s">
        <v>121</v>
      </c>
      <c r="Y22" s="1" t="s">
        <v>136</v>
      </c>
      <c r="Z22" s="1" t="s">
        <v>137</v>
      </c>
      <c r="AA22" s="1" t="s">
        <v>1000</v>
      </c>
      <c r="AB22" s="1" t="s">
        <v>1001</v>
      </c>
      <c r="AC22" s="1" t="s">
        <v>1002</v>
      </c>
      <c r="AD22" s="1">
        <v>134376000</v>
      </c>
      <c r="AE22" s="1">
        <v>108176278.31</v>
      </c>
      <c r="AF22" s="1">
        <v>109944000</v>
      </c>
      <c r="AG22" s="1">
        <v>24432000</v>
      </c>
      <c r="AH22" s="1">
        <v>36971680</v>
      </c>
      <c r="AI22" s="1">
        <v>1000</v>
      </c>
      <c r="AJ22" s="1">
        <v>4072000</v>
      </c>
      <c r="AK22" s="1">
        <v>175</v>
      </c>
      <c r="AL22" s="1">
        <v>6</v>
      </c>
      <c r="AM22" s="1">
        <v>28</v>
      </c>
      <c r="AN22" s="1">
        <v>60</v>
      </c>
      <c r="AO22" s="1" t="s">
        <v>123</v>
      </c>
      <c r="AP22" s="1" t="s">
        <v>123</v>
      </c>
      <c r="AQ22" s="1" t="s">
        <v>124</v>
      </c>
      <c r="AR22" s="1" t="s">
        <v>920</v>
      </c>
      <c r="AS22" s="1" t="s">
        <v>921</v>
      </c>
      <c r="AT22" s="1" t="s">
        <v>922</v>
      </c>
      <c r="AU22" s="1" t="s">
        <v>273</v>
      </c>
      <c r="AV22" s="1" t="s">
        <v>125</v>
      </c>
      <c r="AW22" s="1" t="s">
        <v>126</v>
      </c>
      <c r="AX22" s="1" t="s">
        <v>127</v>
      </c>
      <c r="AY22" s="1" t="s">
        <v>274</v>
      </c>
      <c r="AZ22" s="1" t="s">
        <v>275</v>
      </c>
      <c r="BA22" s="1" t="s">
        <v>276</v>
      </c>
      <c r="BB22" s="1" t="s">
        <v>128</v>
      </c>
      <c r="BC22" s="1" t="s">
        <v>277</v>
      </c>
      <c r="BD22" s="1" t="s">
        <v>125</v>
      </c>
      <c r="BE22" s="1" t="s">
        <v>126</v>
      </c>
      <c r="BF22" s="1" t="s">
        <v>129</v>
      </c>
      <c r="BG22" s="1" t="s">
        <v>130</v>
      </c>
      <c r="BH22" s="1">
        <v>7</v>
      </c>
      <c r="BI22" s="1">
        <v>28504000</v>
      </c>
      <c r="BJ22" s="75"/>
      <c r="BK22" s="75"/>
      <c r="BL22" s="75"/>
      <c r="BN22" s="75">
        <v>46203</v>
      </c>
      <c r="BO22" s="1">
        <v>1</v>
      </c>
      <c r="BP22" s="76">
        <v>46180</v>
      </c>
      <c r="BQ22" s="1" t="s">
        <v>131</v>
      </c>
      <c r="BR22" s="1">
        <v>151</v>
      </c>
      <c r="BS22" s="75">
        <v>46029</v>
      </c>
      <c r="BT22" s="1">
        <v>130304000</v>
      </c>
      <c r="BU22" s="1">
        <v>4072000</v>
      </c>
      <c r="BV22" s="1">
        <v>0</v>
      </c>
      <c r="BW22" s="1">
        <v>0</v>
      </c>
      <c r="BX22" s="1">
        <v>0</v>
      </c>
      <c r="BY22" s="1">
        <v>1</v>
      </c>
      <c r="BZ22" s="1">
        <v>1</v>
      </c>
      <c r="CA22" s="1">
        <v>4072000</v>
      </c>
      <c r="CB22" s="1">
        <v>4072000</v>
      </c>
      <c r="CC22" s="75"/>
      <c r="CD22" s="1">
        <v>0</v>
      </c>
      <c r="CE22" s="75"/>
      <c r="CF22" s="1">
        <v>0</v>
      </c>
      <c r="CG22" s="75"/>
      <c r="CH22" s="1">
        <v>0</v>
      </c>
      <c r="CI22" s="75"/>
      <c r="CJ22" s="1">
        <v>0</v>
      </c>
      <c r="CK22" s="75"/>
      <c r="CL22" s="1">
        <v>0</v>
      </c>
      <c r="CM22" s="75">
        <v>46180</v>
      </c>
      <c r="CN22" s="1" t="s">
        <v>132</v>
      </c>
      <c r="CO22" s="1">
        <v>108175278.31</v>
      </c>
      <c r="CP22" s="1">
        <v>0</v>
      </c>
      <c r="CQ22" s="1">
        <v>0</v>
      </c>
      <c r="CR22" s="75">
        <v>46178</v>
      </c>
      <c r="CS22" s="1" t="s">
        <v>2114</v>
      </c>
      <c r="CT22" s="1">
        <v>108175278.31</v>
      </c>
      <c r="CU22" s="1" t="s">
        <v>278</v>
      </c>
      <c r="CV22" s="1" t="s">
        <v>134</v>
      </c>
      <c r="CW22" s="82">
        <v>46180</v>
      </c>
      <c r="CX22" s="1" t="s">
        <v>2202</v>
      </c>
      <c r="CY22" s="36">
        <f>MONTH(Table_ExternalData_1[[#This Row],[RunningReportDate]])</f>
        <v>6</v>
      </c>
      <c r="CZ22" s="36">
        <f>181-Table_ExternalData_1[[#This Row],[DaysOD]]</f>
        <v>6</v>
      </c>
      <c r="DA22" s="36">
        <f>IF(Table_ExternalData_1[[#This Row],[Status]]="PU-WC",0,Table_ExternalData_1[[#This Row],[Amount_CWO]]/1000000)</f>
        <v>108.17527831</v>
      </c>
      <c r="DB22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1</v>
      </c>
      <c r="DC22" s="36">
        <f>IF(Table_ExternalData_1[[#This Row],[Status]]="PU-WC",0,IF(Table_ExternalData_1[[#This Row],[Success CWO]]=1,Table_ExternalData_1[[#This Row],[CWO Amt]],0))</f>
        <v>108.17527831</v>
      </c>
      <c r="DD22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22" s="36">
        <f>DAY(Table_ExternalData_1[[#This Row],[Tanggal_Sukses]])</f>
        <v>5</v>
      </c>
      <c r="DF22" s="36">
        <f>IF(Table_ExternalData_1[[#This Row],[Status]]="PU-WC",0,IF(SUM(Table_ExternalData_1[[#This Row],[Success CWO]:[WO-In-Amt]])=0,1,0))</f>
        <v>0</v>
      </c>
      <c r="DG22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22" s="36" t="str">
        <f>VLOOKUP(Table_ExternalData_1[[#This Row],[BranchID]],KC!$A:$K,5,0)</f>
        <v>4W</v>
      </c>
      <c r="DI22" s="36" t="str">
        <f>VLOOKUP(Table_ExternalData_1[[#This Row],[BranchID]],KC!$A:$K,8,0)</f>
        <v>09. IBT</v>
      </c>
      <c r="DJ22" s="36" t="str">
        <f>VLOOKUP(Table_ExternalData_1[[#This Row],[BranchID]],KC!$A:$K,9,0)</f>
        <v>KUPANG</v>
      </c>
    </row>
    <row r="23" spans="1:114" x14ac:dyDescent="0.3">
      <c r="A23" s="3" t="s">
        <v>269</v>
      </c>
      <c r="B23" s="2" t="s">
        <v>270</v>
      </c>
      <c r="C23" s="278">
        <v>46173</v>
      </c>
      <c r="D23" s="278">
        <v>46007</v>
      </c>
      <c r="E23" s="278">
        <v>45062</v>
      </c>
      <c r="F23" s="2" t="s">
        <v>2786</v>
      </c>
      <c r="G23" s="2" t="s">
        <v>2787</v>
      </c>
      <c r="H23" s="1" t="s">
        <v>2788</v>
      </c>
      <c r="I23" s="1" t="s">
        <v>2789</v>
      </c>
      <c r="J23" s="1" t="s">
        <v>2790</v>
      </c>
      <c r="K23" s="1" t="s">
        <v>4</v>
      </c>
      <c r="L23" s="1" t="s">
        <v>2790</v>
      </c>
      <c r="M23" s="1" t="s">
        <v>2791</v>
      </c>
      <c r="N23" s="1" t="s">
        <v>2792</v>
      </c>
      <c r="O23" s="1" t="s">
        <v>269</v>
      </c>
      <c r="P23" s="1" t="s">
        <v>279</v>
      </c>
      <c r="Q23" s="1" t="s">
        <v>413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2120</v>
      </c>
      <c r="W23" s="1" t="s">
        <v>120</v>
      </c>
      <c r="X23" s="1" t="s">
        <v>121</v>
      </c>
      <c r="Y23" s="1" t="s">
        <v>2426</v>
      </c>
      <c r="Z23" s="1" t="s">
        <v>2793</v>
      </c>
      <c r="AA23" s="1" t="s">
        <v>2794</v>
      </c>
      <c r="AB23" s="1" t="s">
        <v>2795</v>
      </c>
      <c r="AC23" s="1" t="s">
        <v>2796</v>
      </c>
      <c r="AD23" s="1">
        <v>142500000</v>
      </c>
      <c r="AE23" s="1">
        <v>118156398.78</v>
      </c>
      <c r="AF23" s="1">
        <v>114000000</v>
      </c>
      <c r="AG23" s="1">
        <v>28500000</v>
      </c>
      <c r="AH23" s="1">
        <v>45824000</v>
      </c>
      <c r="AI23" s="1">
        <v>8000</v>
      </c>
      <c r="AJ23" s="1">
        <v>4750000</v>
      </c>
      <c r="AK23" s="1">
        <v>166</v>
      </c>
      <c r="AL23" s="1">
        <v>6</v>
      </c>
      <c r="AM23" s="1">
        <v>31</v>
      </c>
      <c r="AN23" s="1">
        <v>60</v>
      </c>
      <c r="AO23" s="1" t="s">
        <v>123</v>
      </c>
      <c r="AP23" s="1" t="s">
        <v>123</v>
      </c>
      <c r="AQ23" s="1" t="s">
        <v>124</v>
      </c>
      <c r="AR23" s="1" t="s">
        <v>920</v>
      </c>
      <c r="AS23" s="1" t="s">
        <v>921</v>
      </c>
      <c r="AT23" s="1" t="s">
        <v>922</v>
      </c>
      <c r="AU23" s="1" t="s">
        <v>273</v>
      </c>
      <c r="AV23" s="1" t="s">
        <v>125</v>
      </c>
      <c r="AW23" s="1" t="s">
        <v>126</v>
      </c>
      <c r="AX23" s="1" t="s">
        <v>127</v>
      </c>
      <c r="AY23" s="1" t="s">
        <v>274</v>
      </c>
      <c r="AZ23" s="1" t="s">
        <v>275</v>
      </c>
      <c r="BA23" s="1" t="s">
        <v>276</v>
      </c>
      <c r="BB23" s="1" t="s">
        <v>128</v>
      </c>
      <c r="BC23" s="1" t="s">
        <v>277</v>
      </c>
      <c r="BD23" s="1" t="s">
        <v>125</v>
      </c>
      <c r="BE23" s="1" t="s">
        <v>126</v>
      </c>
      <c r="BF23" s="1" t="s">
        <v>129</v>
      </c>
      <c r="BG23" s="1" t="s">
        <v>130</v>
      </c>
      <c r="BH23" s="1">
        <v>7</v>
      </c>
      <c r="BI23" s="1">
        <v>33250000</v>
      </c>
      <c r="BJ23" s="75"/>
      <c r="BK23" s="75"/>
      <c r="BL23" s="75"/>
      <c r="BN23" s="75">
        <v>46203</v>
      </c>
      <c r="BO23" s="1">
        <v>1</v>
      </c>
      <c r="BP23" s="76">
        <v>46180</v>
      </c>
      <c r="BQ23" s="1" t="s">
        <v>131</v>
      </c>
      <c r="BR23" s="1">
        <v>173</v>
      </c>
      <c r="BS23" s="75">
        <v>46007</v>
      </c>
      <c r="BT23" s="1">
        <v>142500000</v>
      </c>
      <c r="BU23" s="1">
        <v>0</v>
      </c>
      <c r="BV23" s="1">
        <v>1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75"/>
      <c r="CD23" s="1">
        <v>0</v>
      </c>
      <c r="CE23" s="75"/>
      <c r="CF23" s="1">
        <v>0</v>
      </c>
      <c r="CG23" s="75"/>
      <c r="CH23" s="1">
        <v>0</v>
      </c>
      <c r="CI23" s="75"/>
      <c r="CJ23" s="1">
        <v>0</v>
      </c>
      <c r="CK23" s="75"/>
      <c r="CL23" s="1">
        <v>0</v>
      </c>
      <c r="CM23" s="75">
        <v>46180</v>
      </c>
      <c r="CN23" s="1" t="s">
        <v>132</v>
      </c>
      <c r="CO23" s="1">
        <v>118148398.78</v>
      </c>
      <c r="CP23" s="1">
        <v>118148398.78</v>
      </c>
      <c r="CQ23" s="1">
        <v>15</v>
      </c>
      <c r="CR23" s="75"/>
      <c r="CT23" s="1">
        <v>0</v>
      </c>
      <c r="CU23" s="1" t="s">
        <v>278</v>
      </c>
      <c r="CV23" s="1" t="s">
        <v>134</v>
      </c>
      <c r="CW23" s="82">
        <v>46180</v>
      </c>
      <c r="CX23" s="1" t="s">
        <v>2202</v>
      </c>
      <c r="CY23" s="36">
        <f>MONTH(Table_ExternalData_1[[#This Row],[RunningReportDate]])</f>
        <v>6</v>
      </c>
      <c r="CZ23" s="36">
        <f>181-Table_ExternalData_1[[#This Row],[DaysOD]]</f>
        <v>15</v>
      </c>
      <c r="DA23" s="36">
        <f>IF(Table_ExternalData_1[[#This Row],[Status]]="PU-WC",0,Table_ExternalData_1[[#This Row],[Amount_CWO]]/1000000)</f>
        <v>118.14839878000001</v>
      </c>
      <c r="DB23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23" s="36">
        <f>IF(Table_ExternalData_1[[#This Row],[Status]]="PU-WC",0,IF(Table_ExternalData_1[[#This Row],[Success CWO]]=1,Table_ExternalData_1[[#This Row],[CWO Amt]],0))</f>
        <v>0</v>
      </c>
      <c r="DD23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23" s="36">
        <f>DAY(Table_ExternalData_1[[#This Row],[Tanggal_Sukses]])</f>
        <v>0</v>
      </c>
      <c r="DF23" s="36">
        <f>IF(Table_ExternalData_1[[#This Row],[Status]]="PU-WC",0,IF(SUM(Table_ExternalData_1[[#This Row],[Success CWO]:[WO-In-Amt]])=0,1,0))</f>
        <v>1</v>
      </c>
      <c r="DG23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118.14839878000001</v>
      </c>
      <c r="DH23" s="36" t="str">
        <f>VLOOKUP(Table_ExternalData_1[[#This Row],[BranchID]],KC!$A:$K,5,0)</f>
        <v>4W</v>
      </c>
      <c r="DI23" s="36" t="str">
        <f>VLOOKUP(Table_ExternalData_1[[#This Row],[BranchID]],KC!$A:$K,8,0)</f>
        <v>09. IBT</v>
      </c>
      <c r="DJ23" s="36" t="str">
        <f>VLOOKUP(Table_ExternalData_1[[#This Row],[BranchID]],KC!$A:$K,9,0)</f>
        <v>KUPANG</v>
      </c>
    </row>
    <row r="24" spans="1:114" x14ac:dyDescent="0.3">
      <c r="A24" s="3" t="s">
        <v>269</v>
      </c>
      <c r="B24" s="2" t="s">
        <v>270</v>
      </c>
      <c r="C24" s="278">
        <v>46173</v>
      </c>
      <c r="D24" s="278">
        <v>46005</v>
      </c>
      <c r="E24" s="278">
        <v>44547</v>
      </c>
      <c r="F24" s="2" t="s">
        <v>2771</v>
      </c>
      <c r="G24" s="2" t="s">
        <v>2772</v>
      </c>
      <c r="H24" s="1" t="s">
        <v>2773</v>
      </c>
      <c r="I24" s="1" t="s">
        <v>2774</v>
      </c>
      <c r="J24" s="1" t="s">
        <v>2775</v>
      </c>
      <c r="K24" s="1" t="s">
        <v>4</v>
      </c>
      <c r="L24" s="1" t="s">
        <v>2775</v>
      </c>
      <c r="M24" s="1" t="s">
        <v>2776</v>
      </c>
      <c r="N24" s="1" t="s">
        <v>2776</v>
      </c>
      <c r="O24" s="1" t="s">
        <v>2777</v>
      </c>
      <c r="P24" s="1" t="s">
        <v>279</v>
      </c>
      <c r="Q24" s="1" t="s">
        <v>2110</v>
      </c>
      <c r="R24" s="1" t="s">
        <v>4</v>
      </c>
      <c r="S24" s="1" t="s">
        <v>4</v>
      </c>
      <c r="T24" s="1" t="s">
        <v>2778</v>
      </c>
      <c r="U24" s="1" t="s">
        <v>2778</v>
      </c>
      <c r="V24" s="1" t="s">
        <v>341</v>
      </c>
      <c r="W24" s="1" t="s">
        <v>120</v>
      </c>
      <c r="X24" s="1" t="s">
        <v>121</v>
      </c>
      <c r="Y24" s="1" t="s">
        <v>215</v>
      </c>
      <c r="Z24" s="1" t="s">
        <v>2779</v>
      </c>
      <c r="AA24" s="1" t="s">
        <v>2780</v>
      </c>
      <c r="AB24" s="1" t="s">
        <v>2781</v>
      </c>
      <c r="AC24" s="1" t="s">
        <v>2782</v>
      </c>
      <c r="AD24" s="1">
        <v>70876000</v>
      </c>
      <c r="AE24" s="1">
        <v>63966879.130000003</v>
      </c>
      <c r="AF24" s="1">
        <v>38164000</v>
      </c>
      <c r="AG24" s="1">
        <v>32712000</v>
      </c>
      <c r="AH24" s="1">
        <v>59212580</v>
      </c>
      <c r="AI24" s="1">
        <v>208000</v>
      </c>
      <c r="AJ24" s="1">
        <v>5452000</v>
      </c>
      <c r="AK24" s="1">
        <v>168</v>
      </c>
      <c r="AL24" s="1">
        <v>6</v>
      </c>
      <c r="AM24" s="1">
        <v>48</v>
      </c>
      <c r="AN24" s="1">
        <v>60</v>
      </c>
      <c r="AO24" s="1" t="s">
        <v>123</v>
      </c>
      <c r="AP24" s="1" t="s">
        <v>123</v>
      </c>
      <c r="AQ24" s="1" t="s">
        <v>124</v>
      </c>
      <c r="AR24" s="1" t="s">
        <v>2783</v>
      </c>
      <c r="AS24" s="1" t="s">
        <v>2784</v>
      </c>
      <c r="AT24" s="1" t="s">
        <v>2785</v>
      </c>
      <c r="AU24" s="1" t="s">
        <v>273</v>
      </c>
      <c r="AV24" s="1" t="s">
        <v>125</v>
      </c>
      <c r="AW24" s="1" t="s">
        <v>126</v>
      </c>
      <c r="AX24" s="1" t="s">
        <v>127</v>
      </c>
      <c r="AY24" s="1" t="s">
        <v>274</v>
      </c>
      <c r="AZ24" s="1" t="s">
        <v>275</v>
      </c>
      <c r="BA24" s="1" t="s">
        <v>276</v>
      </c>
      <c r="BB24" s="1" t="s">
        <v>128</v>
      </c>
      <c r="BC24" s="1" t="s">
        <v>277</v>
      </c>
      <c r="BD24" s="1" t="s">
        <v>125</v>
      </c>
      <c r="BE24" s="1" t="s">
        <v>126</v>
      </c>
      <c r="BF24" s="1" t="s">
        <v>129</v>
      </c>
      <c r="BG24" s="1" t="s">
        <v>130</v>
      </c>
      <c r="BH24" s="1">
        <v>7</v>
      </c>
      <c r="BI24" s="1">
        <v>38164000</v>
      </c>
      <c r="BJ24" s="75"/>
      <c r="BK24" s="75"/>
      <c r="BL24" s="75"/>
      <c r="BN24" s="75">
        <v>46203</v>
      </c>
      <c r="BO24" s="1">
        <v>1</v>
      </c>
      <c r="BP24" s="76">
        <v>46180</v>
      </c>
      <c r="BQ24" s="1" t="s">
        <v>131</v>
      </c>
      <c r="BR24" s="1">
        <v>175</v>
      </c>
      <c r="BS24" s="75">
        <v>46005</v>
      </c>
      <c r="BT24" s="1">
        <v>70876000</v>
      </c>
      <c r="BU24" s="1">
        <v>0</v>
      </c>
      <c r="BV24" s="1">
        <v>1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75"/>
      <c r="CD24" s="1">
        <v>0</v>
      </c>
      <c r="CE24" s="75"/>
      <c r="CF24" s="1">
        <v>0</v>
      </c>
      <c r="CG24" s="75"/>
      <c r="CH24" s="1">
        <v>0</v>
      </c>
      <c r="CI24" s="75"/>
      <c r="CJ24" s="1">
        <v>0</v>
      </c>
      <c r="CK24" s="75"/>
      <c r="CL24" s="1">
        <v>0</v>
      </c>
      <c r="CM24" s="75">
        <v>46180</v>
      </c>
      <c r="CN24" s="1" t="s">
        <v>132</v>
      </c>
      <c r="CO24" s="1">
        <v>63758879.130000003</v>
      </c>
      <c r="CP24" s="1">
        <v>63758879.130000003</v>
      </c>
      <c r="CQ24" s="1">
        <v>13</v>
      </c>
      <c r="CR24" s="75"/>
      <c r="CT24" s="1">
        <v>0</v>
      </c>
      <c r="CU24" s="1" t="s">
        <v>278</v>
      </c>
      <c r="CV24" s="1" t="s">
        <v>134</v>
      </c>
      <c r="CW24" s="82">
        <v>46180</v>
      </c>
      <c r="CX24" s="1" t="s">
        <v>2202</v>
      </c>
      <c r="CY24" s="36">
        <f>MONTH(Table_ExternalData_1[[#This Row],[RunningReportDate]])</f>
        <v>6</v>
      </c>
      <c r="CZ24" s="36">
        <f>181-Table_ExternalData_1[[#This Row],[DaysOD]]</f>
        <v>13</v>
      </c>
      <c r="DA24" s="36">
        <f>IF(Table_ExternalData_1[[#This Row],[Status]]="PU-WC",0,Table_ExternalData_1[[#This Row],[Amount_CWO]]/1000000)</f>
        <v>63.758879130000004</v>
      </c>
      <c r="DB24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24" s="36">
        <f>IF(Table_ExternalData_1[[#This Row],[Status]]="PU-WC",0,IF(Table_ExternalData_1[[#This Row],[Success CWO]]=1,Table_ExternalData_1[[#This Row],[CWO Amt]],0))</f>
        <v>0</v>
      </c>
      <c r="DD24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24" s="36">
        <f>DAY(Table_ExternalData_1[[#This Row],[Tanggal_Sukses]])</f>
        <v>0</v>
      </c>
      <c r="DF24" s="36">
        <f>IF(Table_ExternalData_1[[#This Row],[Status]]="PU-WC",0,IF(SUM(Table_ExternalData_1[[#This Row],[Success CWO]:[WO-In-Amt]])=0,1,0))</f>
        <v>1</v>
      </c>
      <c r="DG24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63.758879130000004</v>
      </c>
      <c r="DH24" s="36" t="str">
        <f>VLOOKUP(Table_ExternalData_1[[#This Row],[BranchID]],KC!$A:$K,5,0)</f>
        <v>4W</v>
      </c>
      <c r="DI24" s="36" t="str">
        <f>VLOOKUP(Table_ExternalData_1[[#This Row],[BranchID]],KC!$A:$K,8,0)</f>
        <v>09. IBT</v>
      </c>
      <c r="DJ24" s="36" t="str">
        <f>VLOOKUP(Table_ExternalData_1[[#This Row],[BranchID]],KC!$A:$K,9,0)</f>
        <v>KUPANG</v>
      </c>
    </row>
    <row r="25" spans="1:114" x14ac:dyDescent="0.3">
      <c r="A25" s="3" t="s">
        <v>256</v>
      </c>
      <c r="B25" s="2" t="s">
        <v>257</v>
      </c>
      <c r="C25" s="278">
        <v>46173</v>
      </c>
      <c r="D25" s="278">
        <v>45996</v>
      </c>
      <c r="E25" s="278">
        <v>45327</v>
      </c>
      <c r="F25" s="2" t="s">
        <v>2759</v>
      </c>
      <c r="G25" s="2" t="s">
        <v>2760</v>
      </c>
      <c r="H25" s="1" t="s">
        <v>2761</v>
      </c>
      <c r="I25" s="1" t="s">
        <v>2762</v>
      </c>
      <c r="J25" s="1" t="s">
        <v>2763</v>
      </c>
      <c r="K25" s="1" t="s">
        <v>4</v>
      </c>
      <c r="L25" s="1" t="s">
        <v>2763</v>
      </c>
      <c r="M25" s="1" t="s">
        <v>2764</v>
      </c>
      <c r="N25" s="1" t="s">
        <v>2764</v>
      </c>
      <c r="O25" s="1" t="s">
        <v>2765</v>
      </c>
      <c r="P25" s="1" t="s">
        <v>1157</v>
      </c>
      <c r="Q25" s="1" t="s">
        <v>1170</v>
      </c>
      <c r="R25" s="1" t="s">
        <v>4</v>
      </c>
      <c r="S25" s="1" t="s">
        <v>4</v>
      </c>
      <c r="T25" s="1" t="s">
        <v>2766</v>
      </c>
      <c r="U25" s="1" t="s">
        <v>2766</v>
      </c>
      <c r="V25" s="1" t="s">
        <v>258</v>
      </c>
      <c r="W25" s="1" t="s">
        <v>120</v>
      </c>
      <c r="X25" s="1" t="s">
        <v>121</v>
      </c>
      <c r="Y25" s="1" t="s">
        <v>136</v>
      </c>
      <c r="Z25" s="1" t="s">
        <v>2767</v>
      </c>
      <c r="AA25" s="1" t="s">
        <v>2768</v>
      </c>
      <c r="AB25" s="1" t="s">
        <v>2769</v>
      </c>
      <c r="AC25" s="1" t="s">
        <v>2770</v>
      </c>
      <c r="AD25" s="1">
        <v>146637000</v>
      </c>
      <c r="AE25" s="1">
        <v>116690671.36</v>
      </c>
      <c r="AF25" s="1">
        <v>114051000</v>
      </c>
      <c r="AG25" s="1">
        <v>32586000</v>
      </c>
      <c r="AH25" s="1">
        <v>26383450</v>
      </c>
      <c r="AI25" s="1">
        <v>150000</v>
      </c>
      <c r="AJ25" s="1">
        <v>5431000</v>
      </c>
      <c r="AK25" s="1">
        <v>177</v>
      </c>
      <c r="AL25" s="1">
        <v>6</v>
      </c>
      <c r="AM25" s="1">
        <v>22</v>
      </c>
      <c r="AN25" s="1">
        <v>48</v>
      </c>
      <c r="AO25" s="1" t="s">
        <v>123</v>
      </c>
      <c r="AP25" s="1" t="s">
        <v>123</v>
      </c>
      <c r="AQ25" s="1" t="s">
        <v>124</v>
      </c>
      <c r="AR25" s="1" t="s">
        <v>1120</v>
      </c>
      <c r="AS25" s="1" t="s">
        <v>1121</v>
      </c>
      <c r="AT25" s="1" t="s">
        <v>1122</v>
      </c>
      <c r="AU25" s="1" t="s">
        <v>259</v>
      </c>
      <c r="AV25" s="1" t="s">
        <v>125</v>
      </c>
      <c r="AW25" s="1" t="s">
        <v>126</v>
      </c>
      <c r="AX25" s="1" t="s">
        <v>127</v>
      </c>
      <c r="AY25" s="1" t="s">
        <v>1123</v>
      </c>
      <c r="AZ25" s="1" t="s">
        <v>1124</v>
      </c>
      <c r="BA25" s="1" t="s">
        <v>1125</v>
      </c>
      <c r="BB25" s="1" t="s">
        <v>128</v>
      </c>
      <c r="BC25" s="1" t="s">
        <v>263</v>
      </c>
      <c r="BD25" s="1" t="s">
        <v>264</v>
      </c>
      <c r="BE25" s="1" t="s">
        <v>162</v>
      </c>
      <c r="BF25" s="1" t="s">
        <v>129</v>
      </c>
      <c r="BG25" s="1" t="s">
        <v>130</v>
      </c>
      <c r="BH25" s="1">
        <v>7</v>
      </c>
      <c r="BI25" s="1">
        <v>38017000</v>
      </c>
      <c r="BJ25" s="75"/>
      <c r="BK25" s="75"/>
      <c r="BL25" s="75"/>
      <c r="BN25" s="75">
        <v>46203</v>
      </c>
      <c r="BO25" s="1">
        <v>1</v>
      </c>
      <c r="BP25" s="76">
        <v>46180</v>
      </c>
      <c r="BQ25" s="1" t="s">
        <v>131</v>
      </c>
      <c r="BR25" s="1">
        <v>184</v>
      </c>
      <c r="BS25" s="75">
        <v>45996</v>
      </c>
      <c r="BT25" s="1">
        <v>146637000</v>
      </c>
      <c r="BU25" s="1">
        <v>0</v>
      </c>
      <c r="BV25" s="1">
        <v>1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75"/>
      <c r="CD25" s="1">
        <v>0</v>
      </c>
      <c r="CE25" s="75"/>
      <c r="CF25" s="1">
        <v>0</v>
      </c>
      <c r="CG25" s="75"/>
      <c r="CH25" s="1">
        <v>0</v>
      </c>
      <c r="CI25" s="75"/>
      <c r="CJ25" s="1">
        <v>0</v>
      </c>
      <c r="CK25" s="75"/>
      <c r="CL25" s="1">
        <v>0</v>
      </c>
      <c r="CM25" s="75">
        <v>46180</v>
      </c>
      <c r="CN25" s="1" t="s">
        <v>132</v>
      </c>
      <c r="CO25" s="1">
        <v>116540671.36</v>
      </c>
      <c r="CP25" s="1">
        <v>116540671.36</v>
      </c>
      <c r="CQ25" s="1">
        <v>4</v>
      </c>
      <c r="CR25" s="75"/>
      <c r="CT25" s="1">
        <v>0</v>
      </c>
      <c r="CU25" s="1" t="s">
        <v>265</v>
      </c>
      <c r="CV25" s="1" t="s">
        <v>205</v>
      </c>
      <c r="CW25" s="82">
        <v>46180</v>
      </c>
      <c r="CX25" s="1" t="s">
        <v>2202</v>
      </c>
      <c r="CY25" s="36">
        <f>MONTH(Table_ExternalData_1[[#This Row],[RunningReportDate]])</f>
        <v>6</v>
      </c>
      <c r="CZ25" s="36">
        <f>181-Table_ExternalData_1[[#This Row],[DaysOD]]</f>
        <v>4</v>
      </c>
      <c r="DA25" s="36">
        <f>IF(Table_ExternalData_1[[#This Row],[Status]]="PU-WC",0,Table_ExternalData_1[[#This Row],[Amount_CWO]]/1000000)</f>
        <v>116.54067136</v>
      </c>
      <c r="DB25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25" s="36">
        <f>IF(Table_ExternalData_1[[#This Row],[Status]]="PU-WC",0,IF(Table_ExternalData_1[[#This Row],[Success CWO]]=1,Table_ExternalData_1[[#This Row],[CWO Amt]],0))</f>
        <v>0</v>
      </c>
      <c r="DD25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116.54067136</v>
      </c>
      <c r="DE25" s="36">
        <f>DAY(Table_ExternalData_1[[#This Row],[Tanggal_Sukses]])</f>
        <v>0</v>
      </c>
      <c r="DF25" s="36">
        <f>IF(Table_ExternalData_1[[#This Row],[Status]]="PU-WC",0,IF(SUM(Table_ExternalData_1[[#This Row],[Success CWO]:[WO-In-Amt]])=0,1,0))</f>
        <v>0</v>
      </c>
      <c r="DG25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25" s="36" t="str">
        <f>VLOOKUP(Table_ExternalData_1[[#This Row],[BranchID]],KC!$A:$K,5,0)</f>
        <v>4W</v>
      </c>
      <c r="DI25" s="36" t="str">
        <f>VLOOKUP(Table_ExternalData_1[[#This Row],[BranchID]],KC!$A:$K,8,0)</f>
        <v>05. Kalimantan</v>
      </c>
      <c r="DJ25" s="36" t="str">
        <f>VLOOKUP(Table_ExternalData_1[[#This Row],[BranchID]],KC!$A:$K,9,0)</f>
        <v>BALIKPAPAN</v>
      </c>
    </row>
    <row r="26" spans="1:114" x14ac:dyDescent="0.3">
      <c r="A26" s="3" t="s">
        <v>256</v>
      </c>
      <c r="B26" s="2" t="s">
        <v>257</v>
      </c>
      <c r="C26" s="278">
        <v>46173</v>
      </c>
      <c r="D26" s="278">
        <v>46010</v>
      </c>
      <c r="E26" s="278">
        <v>45279</v>
      </c>
      <c r="F26" s="2" t="s">
        <v>2748</v>
      </c>
      <c r="G26" s="2" t="s">
        <v>2749</v>
      </c>
      <c r="H26" s="1" t="s">
        <v>2750</v>
      </c>
      <c r="I26" s="1" t="s">
        <v>2751</v>
      </c>
      <c r="J26" s="1" t="s">
        <v>2752</v>
      </c>
      <c r="K26" s="1" t="s">
        <v>4</v>
      </c>
      <c r="L26" s="1" t="s">
        <v>2752</v>
      </c>
      <c r="M26" s="1" t="s">
        <v>2753</v>
      </c>
      <c r="N26" s="1" t="s">
        <v>2754</v>
      </c>
      <c r="O26" s="1" t="s">
        <v>256</v>
      </c>
      <c r="P26" s="1" t="s">
        <v>1126</v>
      </c>
      <c r="Q26" s="1" t="s">
        <v>1134</v>
      </c>
      <c r="R26" s="1" t="s">
        <v>4</v>
      </c>
      <c r="S26" s="1" t="s">
        <v>4</v>
      </c>
      <c r="T26" s="1" t="s">
        <v>2755</v>
      </c>
      <c r="U26" s="1" t="s">
        <v>2755</v>
      </c>
      <c r="V26" s="1" t="s">
        <v>258</v>
      </c>
      <c r="W26" s="1" t="s">
        <v>120</v>
      </c>
      <c r="X26" s="1" t="s">
        <v>121</v>
      </c>
      <c r="Y26" s="1" t="s">
        <v>136</v>
      </c>
      <c r="Z26" s="1" t="s">
        <v>137</v>
      </c>
      <c r="AA26" s="1" t="s">
        <v>2756</v>
      </c>
      <c r="AB26" s="1" t="s">
        <v>2757</v>
      </c>
      <c r="AC26" s="1" t="s">
        <v>2758</v>
      </c>
      <c r="AD26" s="1">
        <v>114700000</v>
      </c>
      <c r="AE26" s="1">
        <v>96016122.810000002</v>
      </c>
      <c r="AF26" s="1">
        <v>87172000</v>
      </c>
      <c r="AG26" s="1">
        <v>27528000</v>
      </c>
      <c r="AH26" s="1">
        <v>22356480</v>
      </c>
      <c r="AI26" s="1">
        <v>200120</v>
      </c>
      <c r="AJ26" s="1">
        <v>4588000</v>
      </c>
      <c r="AK26" s="1">
        <v>163</v>
      </c>
      <c r="AL26" s="1">
        <v>6</v>
      </c>
      <c r="AM26" s="1">
        <v>24</v>
      </c>
      <c r="AN26" s="1">
        <v>48</v>
      </c>
      <c r="AO26" s="1" t="s">
        <v>123</v>
      </c>
      <c r="AP26" s="1" t="s">
        <v>123</v>
      </c>
      <c r="AQ26" s="1" t="s">
        <v>124</v>
      </c>
      <c r="AR26" s="1" t="s">
        <v>2162</v>
      </c>
      <c r="AS26" s="1" t="s">
        <v>2163</v>
      </c>
      <c r="AT26" s="1" t="s">
        <v>2164</v>
      </c>
      <c r="AU26" s="1" t="s">
        <v>259</v>
      </c>
      <c r="AV26" s="1" t="s">
        <v>125</v>
      </c>
      <c r="AW26" s="1" t="s">
        <v>126</v>
      </c>
      <c r="AX26" s="1" t="s">
        <v>127</v>
      </c>
      <c r="AY26" s="1" t="s">
        <v>1123</v>
      </c>
      <c r="AZ26" s="1" t="s">
        <v>1124</v>
      </c>
      <c r="BA26" s="1" t="s">
        <v>1125</v>
      </c>
      <c r="BB26" s="1" t="s">
        <v>128</v>
      </c>
      <c r="BC26" s="1" t="s">
        <v>263</v>
      </c>
      <c r="BD26" s="1" t="s">
        <v>264</v>
      </c>
      <c r="BE26" s="1" t="s">
        <v>162</v>
      </c>
      <c r="BF26" s="1" t="s">
        <v>129</v>
      </c>
      <c r="BG26" s="1" t="s">
        <v>130</v>
      </c>
      <c r="BH26" s="1">
        <v>7</v>
      </c>
      <c r="BI26" s="1">
        <v>32116000</v>
      </c>
      <c r="BJ26" s="75"/>
      <c r="BK26" s="75"/>
      <c r="BL26" s="75"/>
      <c r="BN26" s="75">
        <v>46203</v>
      </c>
      <c r="BO26" s="1">
        <v>1</v>
      </c>
      <c r="BP26" s="76">
        <v>46180</v>
      </c>
      <c r="BQ26" s="1" t="s">
        <v>131</v>
      </c>
      <c r="BR26" s="1">
        <v>170</v>
      </c>
      <c r="BS26" s="75">
        <v>46010</v>
      </c>
      <c r="BT26" s="1">
        <v>114700000</v>
      </c>
      <c r="BU26" s="1">
        <v>0</v>
      </c>
      <c r="BV26" s="1">
        <v>1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75"/>
      <c r="CD26" s="1">
        <v>0</v>
      </c>
      <c r="CE26" s="75"/>
      <c r="CF26" s="1">
        <v>0</v>
      </c>
      <c r="CG26" s="75"/>
      <c r="CH26" s="1">
        <v>0</v>
      </c>
      <c r="CI26" s="75"/>
      <c r="CJ26" s="1">
        <v>0</v>
      </c>
      <c r="CK26" s="75"/>
      <c r="CL26" s="1">
        <v>0</v>
      </c>
      <c r="CM26" s="75">
        <v>46180</v>
      </c>
      <c r="CN26" s="1" t="s">
        <v>132</v>
      </c>
      <c r="CO26" s="1">
        <v>95816002.810000002</v>
      </c>
      <c r="CP26" s="1">
        <v>95816002.810000002</v>
      </c>
      <c r="CQ26" s="1">
        <v>18</v>
      </c>
      <c r="CR26" s="75"/>
      <c r="CT26" s="1">
        <v>0</v>
      </c>
      <c r="CU26" s="1" t="s">
        <v>265</v>
      </c>
      <c r="CV26" s="1" t="s">
        <v>205</v>
      </c>
      <c r="CW26" s="82">
        <v>46180</v>
      </c>
      <c r="CX26" s="1" t="s">
        <v>2202</v>
      </c>
      <c r="CY26" s="36">
        <f>MONTH(Table_ExternalData_1[[#This Row],[RunningReportDate]])</f>
        <v>6</v>
      </c>
      <c r="CZ26" s="36">
        <f>181-Table_ExternalData_1[[#This Row],[DaysOD]]</f>
        <v>18</v>
      </c>
      <c r="DA26" s="36">
        <f>IF(Table_ExternalData_1[[#This Row],[Status]]="PU-WC",0,Table_ExternalData_1[[#This Row],[Amount_CWO]]/1000000)</f>
        <v>95.816002810000001</v>
      </c>
      <c r="DB26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26" s="36">
        <f>IF(Table_ExternalData_1[[#This Row],[Status]]="PU-WC",0,IF(Table_ExternalData_1[[#This Row],[Success CWO]]=1,Table_ExternalData_1[[#This Row],[CWO Amt]],0))</f>
        <v>0</v>
      </c>
      <c r="DD26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26" s="36">
        <f>DAY(Table_ExternalData_1[[#This Row],[Tanggal_Sukses]])</f>
        <v>0</v>
      </c>
      <c r="DF26" s="36">
        <f>IF(Table_ExternalData_1[[#This Row],[Status]]="PU-WC",0,IF(SUM(Table_ExternalData_1[[#This Row],[Success CWO]:[WO-In-Amt]])=0,1,0))</f>
        <v>1</v>
      </c>
      <c r="DG26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95.816002810000001</v>
      </c>
      <c r="DH26" s="36" t="str">
        <f>VLOOKUP(Table_ExternalData_1[[#This Row],[BranchID]],KC!$A:$K,5,0)</f>
        <v>4W</v>
      </c>
      <c r="DI26" s="36" t="str">
        <f>VLOOKUP(Table_ExternalData_1[[#This Row],[BranchID]],KC!$A:$K,8,0)</f>
        <v>05. Kalimantan</v>
      </c>
      <c r="DJ26" s="36" t="str">
        <f>VLOOKUP(Table_ExternalData_1[[#This Row],[BranchID]],KC!$A:$K,9,0)</f>
        <v>BALIKPAPAN</v>
      </c>
    </row>
    <row r="27" spans="1:114" x14ac:dyDescent="0.3">
      <c r="A27" s="3" t="s">
        <v>256</v>
      </c>
      <c r="B27" s="2" t="s">
        <v>257</v>
      </c>
      <c r="C27" s="278">
        <v>46173</v>
      </c>
      <c r="D27" s="278">
        <v>46002</v>
      </c>
      <c r="E27" s="278">
        <v>45149</v>
      </c>
      <c r="F27" s="2" t="s">
        <v>2737</v>
      </c>
      <c r="G27" s="2" t="s">
        <v>2738</v>
      </c>
      <c r="H27" s="1" t="s">
        <v>2739</v>
      </c>
      <c r="I27" s="1" t="s">
        <v>2740</v>
      </c>
      <c r="J27" s="1" t="s">
        <v>2741</v>
      </c>
      <c r="K27" s="1" t="s">
        <v>4</v>
      </c>
      <c r="L27" s="1" t="s">
        <v>2741</v>
      </c>
      <c r="M27" s="1" t="s">
        <v>2742</v>
      </c>
      <c r="N27" s="1" t="s">
        <v>2743</v>
      </c>
      <c r="O27" s="1" t="s">
        <v>256</v>
      </c>
      <c r="P27" s="1" t="s">
        <v>1126</v>
      </c>
      <c r="Q27" s="1" t="s">
        <v>1134</v>
      </c>
      <c r="R27" s="1" t="s">
        <v>4</v>
      </c>
      <c r="S27" s="1" t="s">
        <v>4</v>
      </c>
      <c r="T27" s="1" t="s">
        <v>2744</v>
      </c>
      <c r="U27" s="1" t="s">
        <v>2744</v>
      </c>
      <c r="V27" s="1" t="s">
        <v>2126</v>
      </c>
      <c r="W27" s="1" t="s">
        <v>120</v>
      </c>
      <c r="X27" s="1" t="s">
        <v>121</v>
      </c>
      <c r="Y27" s="1" t="s">
        <v>136</v>
      </c>
      <c r="Z27" s="1" t="s">
        <v>142</v>
      </c>
      <c r="AA27" s="1" t="s">
        <v>2745</v>
      </c>
      <c r="AB27" s="1" t="s">
        <v>2746</v>
      </c>
      <c r="AC27" s="1" t="s">
        <v>2747</v>
      </c>
      <c r="AD27" s="1">
        <v>98070000</v>
      </c>
      <c r="AE27" s="1">
        <v>84287101.939999998</v>
      </c>
      <c r="AF27" s="1">
        <v>70050000</v>
      </c>
      <c r="AG27" s="1">
        <v>28020000</v>
      </c>
      <c r="AH27" s="1">
        <v>28314150</v>
      </c>
      <c r="AI27" s="1">
        <v>150000</v>
      </c>
      <c r="AJ27" s="1">
        <v>4670000</v>
      </c>
      <c r="AK27" s="1">
        <v>171</v>
      </c>
      <c r="AL27" s="1">
        <v>6</v>
      </c>
      <c r="AM27" s="1">
        <v>28</v>
      </c>
      <c r="AN27" s="1">
        <v>48</v>
      </c>
      <c r="AO27" s="1" t="s">
        <v>123</v>
      </c>
      <c r="AP27" s="1" t="s">
        <v>123</v>
      </c>
      <c r="AQ27" s="1" t="s">
        <v>124</v>
      </c>
      <c r="AR27" s="1" t="s">
        <v>1128</v>
      </c>
      <c r="AS27" s="1" t="s">
        <v>1129</v>
      </c>
      <c r="AT27" s="1" t="s">
        <v>1130</v>
      </c>
      <c r="AU27" s="1" t="s">
        <v>259</v>
      </c>
      <c r="AV27" s="1" t="s">
        <v>125</v>
      </c>
      <c r="AW27" s="1" t="s">
        <v>126</v>
      </c>
      <c r="AX27" s="1" t="s">
        <v>127</v>
      </c>
      <c r="AY27" s="1" t="s">
        <v>1123</v>
      </c>
      <c r="AZ27" s="1" t="s">
        <v>1124</v>
      </c>
      <c r="BA27" s="1" t="s">
        <v>1125</v>
      </c>
      <c r="BB27" s="1" t="s">
        <v>128</v>
      </c>
      <c r="BC27" s="1" t="s">
        <v>263</v>
      </c>
      <c r="BD27" s="1" t="s">
        <v>264</v>
      </c>
      <c r="BE27" s="1" t="s">
        <v>162</v>
      </c>
      <c r="BF27" s="1" t="s">
        <v>129</v>
      </c>
      <c r="BG27" s="1" t="s">
        <v>130</v>
      </c>
      <c r="BH27" s="1">
        <v>7</v>
      </c>
      <c r="BI27" s="1">
        <v>32690000</v>
      </c>
      <c r="BJ27" s="75"/>
      <c r="BK27" s="75"/>
      <c r="BL27" s="75"/>
      <c r="BN27" s="75">
        <v>46203</v>
      </c>
      <c r="BO27" s="1">
        <v>1</v>
      </c>
      <c r="BP27" s="76">
        <v>46180</v>
      </c>
      <c r="BQ27" s="1" t="s">
        <v>131</v>
      </c>
      <c r="BR27" s="1">
        <v>178</v>
      </c>
      <c r="BS27" s="75">
        <v>46002</v>
      </c>
      <c r="BT27" s="1">
        <v>98070000</v>
      </c>
      <c r="BU27" s="1">
        <v>0</v>
      </c>
      <c r="BV27" s="1">
        <v>1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75"/>
      <c r="CD27" s="1">
        <v>0</v>
      </c>
      <c r="CE27" s="75"/>
      <c r="CF27" s="1">
        <v>0</v>
      </c>
      <c r="CG27" s="75"/>
      <c r="CH27" s="1">
        <v>0</v>
      </c>
      <c r="CI27" s="75"/>
      <c r="CJ27" s="1">
        <v>0</v>
      </c>
      <c r="CK27" s="75"/>
      <c r="CL27" s="1">
        <v>0</v>
      </c>
      <c r="CM27" s="75">
        <v>46180</v>
      </c>
      <c r="CN27" s="1" t="s">
        <v>132</v>
      </c>
      <c r="CO27" s="1">
        <v>84137101.939999998</v>
      </c>
      <c r="CP27" s="1">
        <v>84137101.939999998</v>
      </c>
      <c r="CQ27" s="1">
        <v>10</v>
      </c>
      <c r="CR27" s="75"/>
      <c r="CT27" s="1">
        <v>0</v>
      </c>
      <c r="CU27" s="1" t="s">
        <v>265</v>
      </c>
      <c r="CV27" s="1" t="s">
        <v>205</v>
      </c>
      <c r="CW27" s="82">
        <v>46180</v>
      </c>
      <c r="CX27" s="1" t="s">
        <v>2202</v>
      </c>
      <c r="CY27" s="36">
        <f>MONTH(Table_ExternalData_1[[#This Row],[RunningReportDate]])</f>
        <v>6</v>
      </c>
      <c r="CZ27" s="36">
        <f>181-Table_ExternalData_1[[#This Row],[DaysOD]]</f>
        <v>10</v>
      </c>
      <c r="DA27" s="36">
        <f>IF(Table_ExternalData_1[[#This Row],[Status]]="PU-WC",0,Table_ExternalData_1[[#This Row],[Amount_CWO]]/1000000)</f>
        <v>84.137101939999994</v>
      </c>
      <c r="DB27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27" s="36">
        <f>IF(Table_ExternalData_1[[#This Row],[Status]]="PU-WC",0,IF(Table_ExternalData_1[[#This Row],[Success CWO]]=1,Table_ExternalData_1[[#This Row],[CWO Amt]],0))</f>
        <v>0</v>
      </c>
      <c r="DD27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27" s="36">
        <f>DAY(Table_ExternalData_1[[#This Row],[Tanggal_Sukses]])</f>
        <v>0</v>
      </c>
      <c r="DF27" s="36">
        <f>IF(Table_ExternalData_1[[#This Row],[Status]]="PU-WC",0,IF(SUM(Table_ExternalData_1[[#This Row],[Success CWO]:[WO-In-Amt]])=0,1,0))</f>
        <v>1</v>
      </c>
      <c r="DG27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84.137101939999994</v>
      </c>
      <c r="DH27" s="36" t="str">
        <f>VLOOKUP(Table_ExternalData_1[[#This Row],[BranchID]],KC!$A:$K,5,0)</f>
        <v>4W</v>
      </c>
      <c r="DI27" s="36" t="str">
        <f>VLOOKUP(Table_ExternalData_1[[#This Row],[BranchID]],KC!$A:$K,8,0)</f>
        <v>05. Kalimantan</v>
      </c>
      <c r="DJ27" s="36" t="str">
        <f>VLOOKUP(Table_ExternalData_1[[#This Row],[BranchID]],KC!$A:$K,9,0)</f>
        <v>BALIKPAPAN</v>
      </c>
    </row>
    <row r="28" spans="1:114" x14ac:dyDescent="0.3">
      <c r="A28" s="3" t="s">
        <v>256</v>
      </c>
      <c r="B28" s="2" t="s">
        <v>257</v>
      </c>
      <c r="C28" s="278">
        <v>46173</v>
      </c>
      <c r="D28" s="278">
        <v>45996</v>
      </c>
      <c r="E28" s="278">
        <v>45046</v>
      </c>
      <c r="F28" s="2" t="s">
        <v>2724</v>
      </c>
      <c r="G28" s="2" t="s">
        <v>2725</v>
      </c>
      <c r="H28" s="1" t="s">
        <v>2726</v>
      </c>
      <c r="I28" s="1" t="s">
        <v>2727</v>
      </c>
      <c r="J28" s="1" t="s">
        <v>2728</v>
      </c>
      <c r="K28" s="1" t="s">
        <v>4</v>
      </c>
      <c r="L28" s="1" t="s">
        <v>2728</v>
      </c>
      <c r="M28" s="1" t="s">
        <v>2729</v>
      </c>
      <c r="N28" s="1" t="s">
        <v>1209</v>
      </c>
      <c r="O28" s="1" t="s">
        <v>256</v>
      </c>
      <c r="P28" s="1" t="s">
        <v>1126</v>
      </c>
      <c r="Q28" s="1" t="s">
        <v>1134</v>
      </c>
      <c r="R28" s="1" t="s">
        <v>4</v>
      </c>
      <c r="S28" s="1" t="s">
        <v>4</v>
      </c>
      <c r="T28" s="1" t="s">
        <v>2730</v>
      </c>
      <c r="U28" s="1" t="s">
        <v>2730</v>
      </c>
      <c r="V28" s="1" t="s">
        <v>2167</v>
      </c>
      <c r="W28" s="1" t="s">
        <v>120</v>
      </c>
      <c r="X28" s="1" t="s">
        <v>121</v>
      </c>
      <c r="Y28" s="1" t="s">
        <v>136</v>
      </c>
      <c r="Z28" s="1" t="s">
        <v>137</v>
      </c>
      <c r="AA28" s="1" t="s">
        <v>2731</v>
      </c>
      <c r="AB28" s="1" t="s">
        <v>2732</v>
      </c>
      <c r="AC28" s="1" t="s">
        <v>2733</v>
      </c>
      <c r="AD28" s="1">
        <v>78750000</v>
      </c>
      <c r="AE28" s="1">
        <v>69050040.390000001</v>
      </c>
      <c r="AF28" s="1">
        <v>52500000</v>
      </c>
      <c r="AG28" s="1">
        <v>26250000</v>
      </c>
      <c r="AH28" s="1">
        <v>17709375</v>
      </c>
      <c r="AI28" s="1">
        <v>159375</v>
      </c>
      <c r="AJ28" s="1">
        <v>4375000</v>
      </c>
      <c r="AK28" s="1">
        <v>177</v>
      </c>
      <c r="AL28" s="1">
        <v>6</v>
      </c>
      <c r="AM28" s="1">
        <v>31</v>
      </c>
      <c r="AN28" s="1">
        <v>48</v>
      </c>
      <c r="AO28" s="1" t="s">
        <v>123</v>
      </c>
      <c r="AP28" s="1" t="s">
        <v>123</v>
      </c>
      <c r="AQ28" s="1" t="s">
        <v>124</v>
      </c>
      <c r="AR28" s="1" t="s">
        <v>2734</v>
      </c>
      <c r="AS28" s="1" t="s">
        <v>2735</v>
      </c>
      <c r="AT28" s="1" t="s">
        <v>2736</v>
      </c>
      <c r="AU28" s="1" t="s">
        <v>259</v>
      </c>
      <c r="AV28" s="1" t="s">
        <v>125</v>
      </c>
      <c r="AW28" s="1" t="s">
        <v>126</v>
      </c>
      <c r="AX28" s="1" t="s">
        <v>127</v>
      </c>
      <c r="AY28" s="1" t="s">
        <v>1123</v>
      </c>
      <c r="AZ28" s="1" t="s">
        <v>1124</v>
      </c>
      <c r="BA28" s="1" t="s">
        <v>1125</v>
      </c>
      <c r="BB28" s="1" t="s">
        <v>128</v>
      </c>
      <c r="BC28" s="1" t="s">
        <v>263</v>
      </c>
      <c r="BD28" s="1" t="s">
        <v>264</v>
      </c>
      <c r="BE28" s="1" t="s">
        <v>162</v>
      </c>
      <c r="BF28" s="1" t="s">
        <v>129</v>
      </c>
      <c r="BG28" s="1" t="s">
        <v>130</v>
      </c>
      <c r="BH28" s="1">
        <v>7</v>
      </c>
      <c r="BI28" s="1">
        <v>30625000</v>
      </c>
      <c r="BJ28" s="75"/>
      <c r="BK28" s="75"/>
      <c r="BL28" s="75"/>
      <c r="BN28" s="75">
        <v>46203</v>
      </c>
      <c r="BO28" s="1">
        <v>1</v>
      </c>
      <c r="BP28" s="76">
        <v>46180</v>
      </c>
      <c r="BQ28" s="1" t="s">
        <v>131</v>
      </c>
      <c r="BR28" s="1">
        <v>184</v>
      </c>
      <c r="BS28" s="75">
        <v>45996</v>
      </c>
      <c r="BT28" s="1">
        <v>78750000</v>
      </c>
      <c r="BU28" s="1">
        <v>0</v>
      </c>
      <c r="BV28" s="1">
        <v>1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75"/>
      <c r="CD28" s="1">
        <v>0</v>
      </c>
      <c r="CE28" s="75"/>
      <c r="CF28" s="1">
        <v>0</v>
      </c>
      <c r="CG28" s="75"/>
      <c r="CH28" s="1">
        <v>0</v>
      </c>
      <c r="CI28" s="75"/>
      <c r="CJ28" s="1">
        <v>0</v>
      </c>
      <c r="CK28" s="75"/>
      <c r="CL28" s="1">
        <v>0</v>
      </c>
      <c r="CM28" s="75">
        <v>46180</v>
      </c>
      <c r="CN28" s="1" t="s">
        <v>132</v>
      </c>
      <c r="CO28" s="1">
        <v>68890665.390000001</v>
      </c>
      <c r="CP28" s="1">
        <v>68890665.390000001</v>
      </c>
      <c r="CQ28" s="1">
        <v>4</v>
      </c>
      <c r="CR28" s="75"/>
      <c r="CT28" s="1">
        <v>0</v>
      </c>
      <c r="CU28" s="1" t="s">
        <v>265</v>
      </c>
      <c r="CV28" s="1" t="s">
        <v>205</v>
      </c>
      <c r="CW28" s="82">
        <v>46180</v>
      </c>
      <c r="CX28" s="1" t="s">
        <v>2202</v>
      </c>
      <c r="CY28" s="36">
        <f>MONTH(Table_ExternalData_1[[#This Row],[RunningReportDate]])</f>
        <v>6</v>
      </c>
      <c r="CZ28" s="36">
        <f>181-Table_ExternalData_1[[#This Row],[DaysOD]]</f>
        <v>4</v>
      </c>
      <c r="DA28" s="36">
        <f>IF(Table_ExternalData_1[[#This Row],[Status]]="PU-WC",0,Table_ExternalData_1[[#This Row],[Amount_CWO]]/1000000)</f>
        <v>68.890665389999995</v>
      </c>
      <c r="DB28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28" s="36">
        <f>IF(Table_ExternalData_1[[#This Row],[Status]]="PU-WC",0,IF(Table_ExternalData_1[[#This Row],[Success CWO]]=1,Table_ExternalData_1[[#This Row],[CWO Amt]],0))</f>
        <v>0</v>
      </c>
      <c r="DD28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68.890665389999995</v>
      </c>
      <c r="DE28" s="36">
        <f>DAY(Table_ExternalData_1[[#This Row],[Tanggal_Sukses]])</f>
        <v>0</v>
      </c>
      <c r="DF28" s="36">
        <f>IF(Table_ExternalData_1[[#This Row],[Status]]="PU-WC",0,IF(SUM(Table_ExternalData_1[[#This Row],[Success CWO]:[WO-In-Amt]])=0,1,0))</f>
        <v>0</v>
      </c>
      <c r="DG28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28" s="36" t="str">
        <f>VLOOKUP(Table_ExternalData_1[[#This Row],[BranchID]],KC!$A:$K,5,0)</f>
        <v>4W</v>
      </c>
      <c r="DI28" s="36" t="str">
        <f>VLOOKUP(Table_ExternalData_1[[#This Row],[BranchID]],KC!$A:$K,8,0)</f>
        <v>05. Kalimantan</v>
      </c>
      <c r="DJ28" s="36" t="str">
        <f>VLOOKUP(Table_ExternalData_1[[#This Row],[BranchID]],KC!$A:$K,9,0)</f>
        <v>BALIKPAPAN</v>
      </c>
    </row>
    <row r="29" spans="1:114" x14ac:dyDescent="0.3">
      <c r="A29" s="3" t="s">
        <v>256</v>
      </c>
      <c r="B29" s="2" t="s">
        <v>257</v>
      </c>
      <c r="C29" s="278">
        <v>46173</v>
      </c>
      <c r="D29" s="278">
        <v>45996</v>
      </c>
      <c r="E29" s="278">
        <v>44845</v>
      </c>
      <c r="F29" s="2" t="s">
        <v>2713</v>
      </c>
      <c r="G29" s="2" t="s">
        <v>2714</v>
      </c>
      <c r="H29" s="1" t="s">
        <v>2715</v>
      </c>
      <c r="I29" s="1" t="s">
        <v>2716</v>
      </c>
      <c r="J29" s="1" t="s">
        <v>2717</v>
      </c>
      <c r="K29" s="1" t="s">
        <v>4</v>
      </c>
      <c r="L29" s="1" t="s">
        <v>2717</v>
      </c>
      <c r="M29" s="1" t="s">
        <v>2718</v>
      </c>
      <c r="N29" s="1" t="s">
        <v>2719</v>
      </c>
      <c r="O29" s="1" t="s">
        <v>267</v>
      </c>
      <c r="P29" s="1" t="s">
        <v>1126</v>
      </c>
      <c r="Q29" s="1" t="s">
        <v>1134</v>
      </c>
      <c r="R29" s="1" t="s">
        <v>4</v>
      </c>
      <c r="S29" s="1" t="s">
        <v>4</v>
      </c>
      <c r="T29" s="1" t="s">
        <v>2720</v>
      </c>
      <c r="U29" s="1" t="s">
        <v>2720</v>
      </c>
      <c r="V29" s="1" t="s">
        <v>239</v>
      </c>
      <c r="W29" s="1" t="s">
        <v>120</v>
      </c>
      <c r="X29" s="1" t="s">
        <v>121</v>
      </c>
      <c r="Y29" s="1" t="s">
        <v>136</v>
      </c>
      <c r="Z29" s="1" t="s">
        <v>137</v>
      </c>
      <c r="AA29" s="1" t="s">
        <v>2721</v>
      </c>
      <c r="AB29" s="1" t="s">
        <v>2722</v>
      </c>
      <c r="AC29" s="1" t="s">
        <v>2723</v>
      </c>
      <c r="AD29" s="1">
        <v>51304000</v>
      </c>
      <c r="AE29" s="1">
        <v>46762827.140000001</v>
      </c>
      <c r="AF29" s="1">
        <v>23320000</v>
      </c>
      <c r="AG29" s="1">
        <v>27984000</v>
      </c>
      <c r="AH29" s="1">
        <v>66466748</v>
      </c>
      <c r="AI29" s="1">
        <v>2763000</v>
      </c>
      <c r="AJ29" s="1">
        <v>4664000</v>
      </c>
      <c r="AK29" s="1">
        <v>177</v>
      </c>
      <c r="AL29" s="1">
        <v>6</v>
      </c>
      <c r="AM29" s="1">
        <v>38</v>
      </c>
      <c r="AN29" s="1">
        <v>48</v>
      </c>
      <c r="AO29" s="1" t="s">
        <v>123</v>
      </c>
      <c r="AP29" s="1" t="s">
        <v>123</v>
      </c>
      <c r="AQ29" s="1" t="s">
        <v>124</v>
      </c>
      <c r="AR29" s="1" t="s">
        <v>1120</v>
      </c>
      <c r="AS29" s="1" t="s">
        <v>1121</v>
      </c>
      <c r="AT29" s="1" t="s">
        <v>1122</v>
      </c>
      <c r="AU29" s="1" t="s">
        <v>259</v>
      </c>
      <c r="AV29" s="1" t="s">
        <v>125</v>
      </c>
      <c r="AW29" s="1" t="s">
        <v>126</v>
      </c>
      <c r="AX29" s="1" t="s">
        <v>127</v>
      </c>
      <c r="AY29" s="1" t="s">
        <v>1123</v>
      </c>
      <c r="AZ29" s="1" t="s">
        <v>1124</v>
      </c>
      <c r="BA29" s="1" t="s">
        <v>1125</v>
      </c>
      <c r="BB29" s="1" t="s">
        <v>128</v>
      </c>
      <c r="BC29" s="1" t="s">
        <v>263</v>
      </c>
      <c r="BD29" s="1" t="s">
        <v>264</v>
      </c>
      <c r="BE29" s="1" t="s">
        <v>162</v>
      </c>
      <c r="BF29" s="1" t="s">
        <v>129</v>
      </c>
      <c r="BG29" s="1" t="s">
        <v>130</v>
      </c>
      <c r="BH29" s="1">
        <v>7</v>
      </c>
      <c r="BI29" s="1">
        <v>32648000</v>
      </c>
      <c r="BJ29" s="75"/>
      <c r="BK29" s="75"/>
      <c r="BL29" s="75"/>
      <c r="BN29" s="75">
        <v>46203</v>
      </c>
      <c r="BO29" s="1">
        <v>1</v>
      </c>
      <c r="BP29" s="76">
        <v>46180</v>
      </c>
      <c r="BQ29" s="1" t="s">
        <v>131</v>
      </c>
      <c r="BR29" s="1">
        <v>184</v>
      </c>
      <c r="BS29" s="75">
        <v>45996</v>
      </c>
      <c r="BT29" s="1">
        <v>51304000</v>
      </c>
      <c r="BU29" s="1">
        <v>0</v>
      </c>
      <c r="BV29" s="1">
        <v>1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75"/>
      <c r="CD29" s="1">
        <v>0</v>
      </c>
      <c r="CE29" s="75"/>
      <c r="CF29" s="1">
        <v>0</v>
      </c>
      <c r="CG29" s="75"/>
      <c r="CH29" s="1">
        <v>0</v>
      </c>
      <c r="CI29" s="75"/>
      <c r="CJ29" s="1">
        <v>0</v>
      </c>
      <c r="CK29" s="75"/>
      <c r="CL29" s="1">
        <v>0</v>
      </c>
      <c r="CM29" s="75">
        <v>46180</v>
      </c>
      <c r="CN29" s="1" t="s">
        <v>132</v>
      </c>
      <c r="CO29" s="1">
        <v>43999827.140000001</v>
      </c>
      <c r="CP29" s="1">
        <v>43999827.140000001</v>
      </c>
      <c r="CQ29" s="1">
        <v>4</v>
      </c>
      <c r="CR29" s="75"/>
      <c r="CT29" s="1">
        <v>0</v>
      </c>
      <c r="CU29" s="1" t="s">
        <v>265</v>
      </c>
      <c r="CV29" s="1" t="s">
        <v>205</v>
      </c>
      <c r="CW29" s="82">
        <v>46180</v>
      </c>
      <c r="CX29" s="1" t="s">
        <v>2202</v>
      </c>
      <c r="CY29" s="36">
        <f>MONTH(Table_ExternalData_1[[#This Row],[RunningReportDate]])</f>
        <v>6</v>
      </c>
      <c r="CZ29" s="36">
        <f>181-Table_ExternalData_1[[#This Row],[DaysOD]]</f>
        <v>4</v>
      </c>
      <c r="DA29" s="36">
        <f>IF(Table_ExternalData_1[[#This Row],[Status]]="PU-WC",0,Table_ExternalData_1[[#This Row],[Amount_CWO]]/1000000)</f>
        <v>43.999827140000001</v>
      </c>
      <c r="DB29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29" s="36">
        <f>IF(Table_ExternalData_1[[#This Row],[Status]]="PU-WC",0,IF(Table_ExternalData_1[[#This Row],[Success CWO]]=1,Table_ExternalData_1[[#This Row],[CWO Amt]],0))</f>
        <v>0</v>
      </c>
      <c r="DD29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43.999827140000001</v>
      </c>
      <c r="DE29" s="36">
        <f>DAY(Table_ExternalData_1[[#This Row],[Tanggal_Sukses]])</f>
        <v>0</v>
      </c>
      <c r="DF29" s="36">
        <f>IF(Table_ExternalData_1[[#This Row],[Status]]="PU-WC",0,IF(SUM(Table_ExternalData_1[[#This Row],[Success CWO]:[WO-In-Amt]])=0,1,0))</f>
        <v>0</v>
      </c>
      <c r="DG29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29" s="36" t="str">
        <f>VLOOKUP(Table_ExternalData_1[[#This Row],[BranchID]],KC!$A:$K,5,0)</f>
        <v>4W</v>
      </c>
      <c r="DI29" s="36" t="str">
        <f>VLOOKUP(Table_ExternalData_1[[#This Row],[BranchID]],KC!$A:$K,8,0)</f>
        <v>05. Kalimantan</v>
      </c>
      <c r="DJ29" s="36" t="str">
        <f>VLOOKUP(Table_ExternalData_1[[#This Row],[BranchID]],KC!$A:$K,9,0)</f>
        <v>BALIKPAPAN</v>
      </c>
    </row>
    <row r="30" spans="1:114" x14ac:dyDescent="0.3">
      <c r="A30" s="3" t="s">
        <v>295</v>
      </c>
      <c r="B30" s="2" t="s">
        <v>296</v>
      </c>
      <c r="C30" s="278">
        <v>46173</v>
      </c>
      <c r="D30" s="278">
        <v>45994</v>
      </c>
      <c r="E30" s="278">
        <v>44902</v>
      </c>
      <c r="F30" s="2" t="s">
        <v>2701</v>
      </c>
      <c r="G30" s="2" t="s">
        <v>2702</v>
      </c>
      <c r="H30" s="1" t="s">
        <v>2703</v>
      </c>
      <c r="I30" s="1" t="s">
        <v>2704</v>
      </c>
      <c r="J30" s="1" t="s">
        <v>2705</v>
      </c>
      <c r="K30" s="1" t="s">
        <v>4</v>
      </c>
      <c r="L30" s="1" t="s">
        <v>2705</v>
      </c>
      <c r="M30" s="1" t="s">
        <v>2706</v>
      </c>
      <c r="N30" s="1" t="s">
        <v>2707</v>
      </c>
      <c r="O30" s="1" t="s">
        <v>2708</v>
      </c>
      <c r="P30" s="1" t="s">
        <v>2695</v>
      </c>
      <c r="Q30" s="1" t="s">
        <v>2696</v>
      </c>
      <c r="R30" s="1" t="s">
        <v>4</v>
      </c>
      <c r="S30" s="1" t="s">
        <v>4</v>
      </c>
      <c r="T30" s="1" t="s">
        <v>2709</v>
      </c>
      <c r="U30" s="1" t="s">
        <v>2709</v>
      </c>
      <c r="V30" s="1" t="s">
        <v>1113</v>
      </c>
      <c r="W30" s="1" t="s">
        <v>120</v>
      </c>
      <c r="X30" s="1" t="s">
        <v>121</v>
      </c>
      <c r="Y30" s="1" t="s">
        <v>122</v>
      </c>
      <c r="Z30" s="1" t="s">
        <v>2140</v>
      </c>
      <c r="AA30" s="1" t="s">
        <v>2710</v>
      </c>
      <c r="AB30" s="1" t="s">
        <v>2711</v>
      </c>
      <c r="AC30" s="1" t="s">
        <v>2712</v>
      </c>
      <c r="AD30" s="1">
        <v>86450000</v>
      </c>
      <c r="AE30" s="1">
        <v>72322370.920000002</v>
      </c>
      <c r="AF30" s="1">
        <v>65702000</v>
      </c>
      <c r="AG30" s="1">
        <v>20748000</v>
      </c>
      <c r="AH30" s="1">
        <v>32318886</v>
      </c>
      <c r="AI30" s="1">
        <v>0</v>
      </c>
      <c r="AJ30" s="1">
        <v>3458000</v>
      </c>
      <c r="AK30" s="1">
        <v>179</v>
      </c>
      <c r="AL30" s="1">
        <v>6</v>
      </c>
      <c r="AM30" s="1">
        <v>36</v>
      </c>
      <c r="AN30" s="1">
        <v>60</v>
      </c>
      <c r="AO30" s="1" t="s">
        <v>123</v>
      </c>
      <c r="AP30" s="1" t="s">
        <v>123</v>
      </c>
      <c r="AQ30" s="1" t="s">
        <v>124</v>
      </c>
      <c r="BF30" s="1" t="s">
        <v>129</v>
      </c>
      <c r="BG30" s="1" t="s">
        <v>130</v>
      </c>
      <c r="BH30" s="1">
        <v>7</v>
      </c>
      <c r="BI30" s="1">
        <v>24206000</v>
      </c>
      <c r="BJ30" s="75"/>
      <c r="BK30" s="75"/>
      <c r="BL30" s="75"/>
      <c r="BN30" s="75">
        <v>46203</v>
      </c>
      <c r="BO30" s="1">
        <v>1</v>
      </c>
      <c r="BP30" s="76">
        <v>46180</v>
      </c>
      <c r="BQ30" s="1" t="s">
        <v>131</v>
      </c>
      <c r="BR30" s="1">
        <v>186</v>
      </c>
      <c r="BS30" s="75">
        <v>45994</v>
      </c>
      <c r="BT30" s="1">
        <v>86450000</v>
      </c>
      <c r="BU30" s="1">
        <v>0</v>
      </c>
      <c r="BV30" s="1">
        <v>1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75"/>
      <c r="CD30" s="1">
        <v>0</v>
      </c>
      <c r="CE30" s="75"/>
      <c r="CF30" s="1">
        <v>0</v>
      </c>
      <c r="CG30" s="75"/>
      <c r="CH30" s="1">
        <v>0</v>
      </c>
      <c r="CI30" s="75"/>
      <c r="CJ30" s="1">
        <v>0</v>
      </c>
      <c r="CK30" s="75"/>
      <c r="CL30" s="1">
        <v>0</v>
      </c>
      <c r="CM30" s="75">
        <v>46180</v>
      </c>
      <c r="CN30" s="1" t="s">
        <v>132</v>
      </c>
      <c r="CO30" s="1">
        <v>72322370.920000002</v>
      </c>
      <c r="CP30" s="1">
        <v>72322370.920000002</v>
      </c>
      <c r="CQ30" s="1">
        <v>2</v>
      </c>
      <c r="CR30" s="75"/>
      <c r="CT30" s="1">
        <v>0</v>
      </c>
      <c r="CU30" s="1" t="s">
        <v>298</v>
      </c>
      <c r="CV30" s="1" t="s">
        <v>241</v>
      </c>
      <c r="CW30" s="82">
        <v>46180</v>
      </c>
      <c r="CX30" s="1" t="s">
        <v>2202</v>
      </c>
      <c r="CY30" s="36">
        <f>MONTH(Table_ExternalData_1[[#This Row],[RunningReportDate]])</f>
        <v>6</v>
      </c>
      <c r="CZ30" s="36">
        <f>181-Table_ExternalData_1[[#This Row],[DaysOD]]</f>
        <v>2</v>
      </c>
      <c r="DA30" s="36">
        <f>IF(Table_ExternalData_1[[#This Row],[Status]]="PU-WC",0,Table_ExternalData_1[[#This Row],[Amount_CWO]]/1000000)</f>
        <v>72.322370919999997</v>
      </c>
      <c r="DB30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30" s="36">
        <f>IF(Table_ExternalData_1[[#This Row],[Status]]="PU-WC",0,IF(Table_ExternalData_1[[#This Row],[Success CWO]]=1,Table_ExternalData_1[[#This Row],[CWO Amt]],0))</f>
        <v>0</v>
      </c>
      <c r="DD30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72.322370919999997</v>
      </c>
      <c r="DE30" s="36">
        <f>DAY(Table_ExternalData_1[[#This Row],[Tanggal_Sukses]])</f>
        <v>0</v>
      </c>
      <c r="DF30" s="36">
        <f>IF(Table_ExternalData_1[[#This Row],[Status]]="PU-WC",0,IF(SUM(Table_ExternalData_1[[#This Row],[Success CWO]:[WO-In-Amt]])=0,1,0))</f>
        <v>0</v>
      </c>
      <c r="DG30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30" s="36" t="str">
        <f>VLOOKUP(Table_ExternalData_1[[#This Row],[BranchID]],KC!$A:$K,5,0)</f>
        <v>4W</v>
      </c>
      <c r="DI30" s="36" t="str">
        <f>VLOOKUP(Table_ExternalData_1[[#This Row],[BranchID]],KC!$A:$K,8,0)</f>
        <v>08. Sumbaguteng</v>
      </c>
      <c r="DJ30" s="36" t="str">
        <f>VLOOKUP(Table_ExternalData_1[[#This Row],[BranchID]],KC!$A:$K,9,0)</f>
        <v>PEKANBARU</v>
      </c>
    </row>
    <row r="31" spans="1:114" x14ac:dyDescent="0.3">
      <c r="A31" s="3" t="s">
        <v>295</v>
      </c>
      <c r="B31" s="2" t="s">
        <v>296</v>
      </c>
      <c r="C31" s="278">
        <v>46173</v>
      </c>
      <c r="D31" s="278">
        <v>45996</v>
      </c>
      <c r="E31" s="278">
        <v>44855</v>
      </c>
      <c r="F31" s="2" t="s">
        <v>2687</v>
      </c>
      <c r="G31" s="2" t="s">
        <v>2688</v>
      </c>
      <c r="H31" s="1" t="s">
        <v>2689</v>
      </c>
      <c r="I31" s="1" t="s">
        <v>2690</v>
      </c>
      <c r="J31" s="1" t="s">
        <v>2691</v>
      </c>
      <c r="K31" s="1" t="s">
        <v>4</v>
      </c>
      <c r="L31" s="1" t="s">
        <v>2691</v>
      </c>
      <c r="M31" s="1" t="s">
        <v>2692</v>
      </c>
      <c r="N31" s="1" t="s">
        <v>2693</v>
      </c>
      <c r="O31" s="1" t="s">
        <v>2694</v>
      </c>
      <c r="P31" s="1" t="s">
        <v>2695</v>
      </c>
      <c r="Q31" s="1" t="s">
        <v>2696</v>
      </c>
      <c r="R31" s="1" t="s">
        <v>4</v>
      </c>
      <c r="S31" s="1" t="s">
        <v>4</v>
      </c>
      <c r="T31" s="1" t="s">
        <v>2697</v>
      </c>
      <c r="U31" s="1" t="s">
        <v>2697</v>
      </c>
      <c r="V31" s="1" t="s">
        <v>961</v>
      </c>
      <c r="W31" s="1" t="s">
        <v>120</v>
      </c>
      <c r="X31" s="1" t="s">
        <v>121</v>
      </c>
      <c r="Y31" s="1" t="s">
        <v>136</v>
      </c>
      <c r="Z31" s="1" t="s">
        <v>137</v>
      </c>
      <c r="AA31" s="1" t="s">
        <v>2698</v>
      </c>
      <c r="AB31" s="1" t="s">
        <v>2699</v>
      </c>
      <c r="AC31" s="1" t="s">
        <v>2700</v>
      </c>
      <c r="AD31" s="1">
        <v>101601000</v>
      </c>
      <c r="AE31" s="1">
        <v>84469728.930000007</v>
      </c>
      <c r="AF31" s="1">
        <v>79023000</v>
      </c>
      <c r="AG31" s="1">
        <v>22578000</v>
      </c>
      <c r="AH31" s="1">
        <v>27004957.5</v>
      </c>
      <c r="AI31" s="1">
        <v>0</v>
      </c>
      <c r="AJ31" s="1">
        <v>3763000</v>
      </c>
      <c r="AK31" s="1">
        <v>177</v>
      </c>
      <c r="AL31" s="1">
        <v>6</v>
      </c>
      <c r="AM31" s="1">
        <v>37</v>
      </c>
      <c r="AN31" s="1">
        <v>63</v>
      </c>
      <c r="AO31" s="1" t="s">
        <v>123</v>
      </c>
      <c r="AP31" s="1" t="s">
        <v>123</v>
      </c>
      <c r="AQ31" s="1" t="s">
        <v>124</v>
      </c>
      <c r="BF31" s="1" t="s">
        <v>129</v>
      </c>
      <c r="BG31" s="1" t="s">
        <v>130</v>
      </c>
      <c r="BH31" s="1">
        <v>7</v>
      </c>
      <c r="BI31" s="1">
        <v>26341000</v>
      </c>
      <c r="BJ31" s="75"/>
      <c r="BK31" s="75"/>
      <c r="BL31" s="75"/>
      <c r="BN31" s="75">
        <v>46203</v>
      </c>
      <c r="BO31" s="1">
        <v>1</v>
      </c>
      <c r="BP31" s="76">
        <v>46180</v>
      </c>
      <c r="BQ31" s="1" t="s">
        <v>131</v>
      </c>
      <c r="BR31" s="1">
        <v>184</v>
      </c>
      <c r="BS31" s="75">
        <v>45996</v>
      </c>
      <c r="BT31" s="1">
        <v>101601000</v>
      </c>
      <c r="BU31" s="1">
        <v>0</v>
      </c>
      <c r="BV31" s="1">
        <v>1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75"/>
      <c r="CD31" s="1">
        <v>0</v>
      </c>
      <c r="CE31" s="75"/>
      <c r="CF31" s="1">
        <v>0</v>
      </c>
      <c r="CG31" s="75"/>
      <c r="CH31" s="1">
        <v>0</v>
      </c>
      <c r="CI31" s="75"/>
      <c r="CJ31" s="1">
        <v>0</v>
      </c>
      <c r="CK31" s="75"/>
      <c r="CL31" s="1">
        <v>0</v>
      </c>
      <c r="CM31" s="75">
        <v>46180</v>
      </c>
      <c r="CN31" s="1" t="s">
        <v>132</v>
      </c>
      <c r="CO31" s="1">
        <v>84469728.930000007</v>
      </c>
      <c r="CP31" s="1">
        <v>84469728.930000007</v>
      </c>
      <c r="CQ31" s="1">
        <v>4</v>
      </c>
      <c r="CR31" s="75"/>
      <c r="CT31" s="1">
        <v>0</v>
      </c>
      <c r="CU31" s="1" t="s">
        <v>298</v>
      </c>
      <c r="CV31" s="1" t="s">
        <v>241</v>
      </c>
      <c r="CW31" s="82">
        <v>46180</v>
      </c>
      <c r="CX31" s="1" t="s">
        <v>2202</v>
      </c>
      <c r="CY31" s="36">
        <f>MONTH(Table_ExternalData_1[[#This Row],[RunningReportDate]])</f>
        <v>6</v>
      </c>
      <c r="CZ31" s="36">
        <f>181-Table_ExternalData_1[[#This Row],[DaysOD]]</f>
        <v>4</v>
      </c>
      <c r="DA31" s="36">
        <f>IF(Table_ExternalData_1[[#This Row],[Status]]="PU-WC",0,Table_ExternalData_1[[#This Row],[Amount_CWO]]/1000000)</f>
        <v>84.469728930000002</v>
      </c>
      <c r="DB31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31" s="36">
        <f>IF(Table_ExternalData_1[[#This Row],[Status]]="PU-WC",0,IF(Table_ExternalData_1[[#This Row],[Success CWO]]=1,Table_ExternalData_1[[#This Row],[CWO Amt]],0))</f>
        <v>0</v>
      </c>
      <c r="DD31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84.469728930000002</v>
      </c>
      <c r="DE31" s="36">
        <f>DAY(Table_ExternalData_1[[#This Row],[Tanggal_Sukses]])</f>
        <v>0</v>
      </c>
      <c r="DF31" s="36">
        <f>IF(Table_ExternalData_1[[#This Row],[Status]]="PU-WC",0,IF(SUM(Table_ExternalData_1[[#This Row],[Success CWO]:[WO-In-Amt]])=0,1,0))</f>
        <v>0</v>
      </c>
      <c r="DG31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31" s="36" t="str">
        <f>VLOOKUP(Table_ExternalData_1[[#This Row],[BranchID]],KC!$A:$K,5,0)</f>
        <v>4W</v>
      </c>
      <c r="DI31" s="36" t="str">
        <f>VLOOKUP(Table_ExternalData_1[[#This Row],[BranchID]],KC!$A:$K,8,0)</f>
        <v>08. Sumbaguteng</v>
      </c>
      <c r="DJ31" s="36" t="str">
        <f>VLOOKUP(Table_ExternalData_1[[#This Row],[BranchID]],KC!$A:$K,9,0)</f>
        <v>PEKANBARU</v>
      </c>
    </row>
    <row r="32" spans="1:114" x14ac:dyDescent="0.3">
      <c r="A32" s="3" t="s">
        <v>250</v>
      </c>
      <c r="B32" s="2" t="s">
        <v>251</v>
      </c>
      <c r="C32" s="278">
        <v>46173</v>
      </c>
      <c r="D32" s="278">
        <v>45996</v>
      </c>
      <c r="E32" s="278">
        <v>45595</v>
      </c>
      <c r="F32" s="2" t="s">
        <v>2676</v>
      </c>
      <c r="G32" s="2" t="s">
        <v>2677</v>
      </c>
      <c r="H32" s="1" t="s">
        <v>2678</v>
      </c>
      <c r="I32" s="1" t="s">
        <v>2679</v>
      </c>
      <c r="J32" s="1" t="s">
        <v>2680</v>
      </c>
      <c r="K32" s="1" t="s">
        <v>4</v>
      </c>
      <c r="L32" s="1" t="s">
        <v>2680</v>
      </c>
      <c r="M32" s="1" t="s">
        <v>2681</v>
      </c>
      <c r="N32" s="1" t="s">
        <v>2682</v>
      </c>
      <c r="O32" s="1" t="s">
        <v>2683</v>
      </c>
      <c r="P32" s="1" t="s">
        <v>253</v>
      </c>
      <c r="Q32" s="1" t="s">
        <v>254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1108</v>
      </c>
      <c r="W32" s="1" t="s">
        <v>120</v>
      </c>
      <c r="X32" s="1" t="s">
        <v>121</v>
      </c>
      <c r="Y32" s="1" t="s">
        <v>136</v>
      </c>
      <c r="Z32" s="1" t="s">
        <v>137</v>
      </c>
      <c r="AA32" s="1" t="s">
        <v>2684</v>
      </c>
      <c r="AB32" s="1" t="s">
        <v>2685</v>
      </c>
      <c r="AC32" s="1" t="s">
        <v>2686</v>
      </c>
      <c r="AD32" s="1">
        <v>165600000</v>
      </c>
      <c r="AE32" s="1">
        <v>121054179.39</v>
      </c>
      <c r="AF32" s="1">
        <v>144900000</v>
      </c>
      <c r="AG32" s="1">
        <v>20700000</v>
      </c>
      <c r="AH32" s="1">
        <v>13534500</v>
      </c>
      <c r="AI32" s="1">
        <v>150000</v>
      </c>
      <c r="AJ32" s="1">
        <v>3450000</v>
      </c>
      <c r="AK32" s="1">
        <v>177</v>
      </c>
      <c r="AL32" s="1">
        <v>6</v>
      </c>
      <c r="AM32" s="1">
        <v>13</v>
      </c>
      <c r="AN32" s="1">
        <v>60</v>
      </c>
      <c r="AO32" s="1" t="s">
        <v>123</v>
      </c>
      <c r="AP32" s="1" t="s">
        <v>123</v>
      </c>
      <c r="AQ32" s="1" t="s">
        <v>124</v>
      </c>
      <c r="BF32" s="1" t="s">
        <v>129</v>
      </c>
      <c r="BG32" s="1" t="s">
        <v>130</v>
      </c>
      <c r="BH32" s="1">
        <v>7</v>
      </c>
      <c r="BI32" s="1">
        <v>24150000</v>
      </c>
      <c r="BJ32" s="75"/>
      <c r="BK32" s="75"/>
      <c r="BL32" s="75"/>
      <c r="BN32" s="75">
        <v>46203</v>
      </c>
      <c r="BO32" s="1">
        <v>1</v>
      </c>
      <c r="BP32" s="76">
        <v>46180</v>
      </c>
      <c r="BQ32" s="1" t="s">
        <v>131</v>
      </c>
      <c r="BR32" s="1">
        <v>184</v>
      </c>
      <c r="BS32" s="75">
        <v>45996</v>
      </c>
      <c r="BT32" s="1">
        <v>165600000</v>
      </c>
      <c r="BU32" s="1">
        <v>0</v>
      </c>
      <c r="BV32" s="1">
        <v>1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75"/>
      <c r="CD32" s="1">
        <v>0</v>
      </c>
      <c r="CE32" s="75"/>
      <c r="CF32" s="1">
        <v>0</v>
      </c>
      <c r="CG32" s="75"/>
      <c r="CH32" s="1">
        <v>0</v>
      </c>
      <c r="CI32" s="75"/>
      <c r="CJ32" s="1">
        <v>0</v>
      </c>
      <c r="CK32" s="75"/>
      <c r="CL32" s="1">
        <v>0</v>
      </c>
      <c r="CM32" s="75">
        <v>46180</v>
      </c>
      <c r="CN32" s="1" t="s">
        <v>132</v>
      </c>
      <c r="CO32" s="1">
        <v>120904179.39</v>
      </c>
      <c r="CP32" s="1">
        <v>120904179.39</v>
      </c>
      <c r="CQ32" s="1">
        <v>4</v>
      </c>
      <c r="CR32" s="75"/>
      <c r="CT32" s="1">
        <v>0</v>
      </c>
      <c r="CU32" s="1" t="s">
        <v>252</v>
      </c>
      <c r="CV32" s="1" t="s">
        <v>134</v>
      </c>
      <c r="CW32" s="82">
        <v>46180</v>
      </c>
      <c r="CX32" s="1" t="s">
        <v>2202</v>
      </c>
      <c r="CY32" s="36">
        <f>MONTH(Table_ExternalData_1[[#This Row],[RunningReportDate]])</f>
        <v>6</v>
      </c>
      <c r="CZ32" s="36">
        <f>181-Table_ExternalData_1[[#This Row],[DaysOD]]</f>
        <v>4</v>
      </c>
      <c r="DA32" s="36">
        <f>IF(Table_ExternalData_1[[#This Row],[Status]]="PU-WC",0,Table_ExternalData_1[[#This Row],[Amount_CWO]]/1000000)</f>
        <v>120.90417939</v>
      </c>
      <c r="DB32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32" s="36">
        <f>IF(Table_ExternalData_1[[#This Row],[Status]]="PU-WC",0,IF(Table_ExternalData_1[[#This Row],[Success CWO]]=1,Table_ExternalData_1[[#This Row],[CWO Amt]],0))</f>
        <v>0</v>
      </c>
      <c r="DD32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120.90417939</v>
      </c>
      <c r="DE32" s="36">
        <f>DAY(Table_ExternalData_1[[#This Row],[Tanggal_Sukses]])</f>
        <v>0</v>
      </c>
      <c r="DF32" s="36">
        <f>IF(Table_ExternalData_1[[#This Row],[Status]]="PU-WC",0,IF(SUM(Table_ExternalData_1[[#This Row],[Success CWO]:[WO-In-Amt]])=0,1,0))</f>
        <v>0</v>
      </c>
      <c r="DG32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32" s="36" t="str">
        <f>VLOOKUP(Table_ExternalData_1[[#This Row],[BranchID]],KC!$A:$K,5,0)</f>
        <v>4W</v>
      </c>
      <c r="DI32" s="36" t="str">
        <f>VLOOKUP(Table_ExternalData_1[[#This Row],[BranchID]],KC!$A:$K,8,0)</f>
        <v>09. IBT</v>
      </c>
      <c r="DJ32" s="36" t="str">
        <f>VLOOKUP(Table_ExternalData_1[[#This Row],[BranchID]],KC!$A:$K,9,0)</f>
        <v>MATARAM</v>
      </c>
    </row>
    <row r="33" spans="1:114" x14ac:dyDescent="0.3">
      <c r="A33" s="3" t="s">
        <v>250</v>
      </c>
      <c r="B33" s="2" t="s">
        <v>251</v>
      </c>
      <c r="C33" s="278">
        <v>46173</v>
      </c>
      <c r="D33" s="278">
        <v>46002</v>
      </c>
      <c r="E33" s="278">
        <v>45118</v>
      </c>
      <c r="F33" s="2" t="s">
        <v>2665</v>
      </c>
      <c r="G33" s="2" t="s">
        <v>2666</v>
      </c>
      <c r="H33" s="1" t="s">
        <v>2667</v>
      </c>
      <c r="I33" s="1" t="s">
        <v>2668</v>
      </c>
      <c r="J33" s="1" t="s">
        <v>2669</v>
      </c>
      <c r="K33" s="1" t="s">
        <v>4</v>
      </c>
      <c r="L33" s="1" t="s">
        <v>2669</v>
      </c>
      <c r="M33" s="1" t="s">
        <v>2670</v>
      </c>
      <c r="N33" s="1" t="s">
        <v>2671</v>
      </c>
      <c r="O33" s="1" t="s">
        <v>2672</v>
      </c>
      <c r="P33" s="1" t="s">
        <v>253</v>
      </c>
      <c r="Q33" s="1" t="s">
        <v>254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895</v>
      </c>
      <c r="W33" s="1" t="s">
        <v>120</v>
      </c>
      <c r="X33" s="1" t="s">
        <v>121</v>
      </c>
      <c r="Y33" s="1" t="s">
        <v>136</v>
      </c>
      <c r="Z33" s="1" t="s">
        <v>137</v>
      </c>
      <c r="AA33" s="1" t="s">
        <v>2673</v>
      </c>
      <c r="AB33" s="1" t="s">
        <v>2674</v>
      </c>
      <c r="AC33" s="1" t="s">
        <v>2675</v>
      </c>
      <c r="AD33" s="1">
        <v>125440000</v>
      </c>
      <c r="AE33" s="1">
        <v>98888012.909999996</v>
      </c>
      <c r="AF33" s="1">
        <v>101920000</v>
      </c>
      <c r="AG33" s="1">
        <v>23520000</v>
      </c>
      <c r="AH33" s="1">
        <v>11600000</v>
      </c>
      <c r="AI33" s="1">
        <v>0</v>
      </c>
      <c r="AJ33" s="1">
        <v>3920000</v>
      </c>
      <c r="AK33" s="1">
        <v>171</v>
      </c>
      <c r="AL33" s="1">
        <v>6</v>
      </c>
      <c r="AM33" s="1">
        <v>29</v>
      </c>
      <c r="AN33" s="1">
        <v>60</v>
      </c>
      <c r="AO33" s="1" t="s">
        <v>123</v>
      </c>
      <c r="AP33" s="1" t="s">
        <v>123</v>
      </c>
      <c r="AQ33" s="1" t="s">
        <v>124</v>
      </c>
      <c r="BF33" s="1" t="s">
        <v>129</v>
      </c>
      <c r="BG33" s="1" t="s">
        <v>130</v>
      </c>
      <c r="BH33" s="1">
        <v>7</v>
      </c>
      <c r="BI33" s="1">
        <v>27440000</v>
      </c>
      <c r="BJ33" s="75"/>
      <c r="BK33" s="75"/>
      <c r="BL33" s="75"/>
      <c r="BN33" s="75">
        <v>46203</v>
      </c>
      <c r="BO33" s="1">
        <v>1</v>
      </c>
      <c r="BP33" s="76">
        <v>46180</v>
      </c>
      <c r="BQ33" s="1" t="s">
        <v>131</v>
      </c>
      <c r="BR33" s="1">
        <v>178</v>
      </c>
      <c r="BS33" s="75">
        <v>46002</v>
      </c>
      <c r="BT33" s="1">
        <v>125440000</v>
      </c>
      <c r="BU33" s="1">
        <v>0</v>
      </c>
      <c r="BV33" s="1">
        <v>1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75"/>
      <c r="CD33" s="1">
        <v>0</v>
      </c>
      <c r="CE33" s="75"/>
      <c r="CF33" s="1">
        <v>0</v>
      </c>
      <c r="CG33" s="75"/>
      <c r="CH33" s="1">
        <v>0</v>
      </c>
      <c r="CI33" s="75"/>
      <c r="CJ33" s="1">
        <v>0</v>
      </c>
      <c r="CK33" s="75"/>
      <c r="CL33" s="1">
        <v>0</v>
      </c>
      <c r="CM33" s="75">
        <v>46180</v>
      </c>
      <c r="CN33" s="1" t="s">
        <v>132</v>
      </c>
      <c r="CO33" s="1">
        <v>98888012.909999996</v>
      </c>
      <c r="CP33" s="1">
        <v>98888012.909999996</v>
      </c>
      <c r="CQ33" s="1">
        <v>10</v>
      </c>
      <c r="CR33" s="75"/>
      <c r="CT33" s="1">
        <v>0</v>
      </c>
      <c r="CU33" s="1" t="s">
        <v>252</v>
      </c>
      <c r="CV33" s="1" t="s">
        <v>134</v>
      </c>
      <c r="CW33" s="82">
        <v>46180</v>
      </c>
      <c r="CX33" s="1" t="s">
        <v>2202</v>
      </c>
      <c r="CY33" s="36">
        <f>MONTH(Table_ExternalData_1[[#This Row],[RunningReportDate]])</f>
        <v>6</v>
      </c>
      <c r="CZ33" s="36">
        <f>181-Table_ExternalData_1[[#This Row],[DaysOD]]</f>
        <v>10</v>
      </c>
      <c r="DA33" s="36">
        <f>IF(Table_ExternalData_1[[#This Row],[Status]]="PU-WC",0,Table_ExternalData_1[[#This Row],[Amount_CWO]]/1000000)</f>
        <v>98.88801291</v>
      </c>
      <c r="DB33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33" s="36">
        <f>IF(Table_ExternalData_1[[#This Row],[Status]]="PU-WC",0,IF(Table_ExternalData_1[[#This Row],[Success CWO]]=1,Table_ExternalData_1[[#This Row],[CWO Amt]],0))</f>
        <v>0</v>
      </c>
      <c r="DD33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33" s="36">
        <f>DAY(Table_ExternalData_1[[#This Row],[Tanggal_Sukses]])</f>
        <v>0</v>
      </c>
      <c r="DF33" s="36">
        <f>IF(Table_ExternalData_1[[#This Row],[Status]]="PU-WC",0,IF(SUM(Table_ExternalData_1[[#This Row],[Success CWO]:[WO-In-Amt]])=0,1,0))</f>
        <v>1</v>
      </c>
      <c r="DG33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98.88801291</v>
      </c>
      <c r="DH33" s="36" t="str">
        <f>VLOOKUP(Table_ExternalData_1[[#This Row],[BranchID]],KC!$A:$K,5,0)</f>
        <v>4W</v>
      </c>
      <c r="DI33" s="36" t="str">
        <f>VLOOKUP(Table_ExternalData_1[[#This Row],[BranchID]],KC!$A:$K,8,0)</f>
        <v>09. IBT</v>
      </c>
      <c r="DJ33" s="36" t="str">
        <f>VLOOKUP(Table_ExternalData_1[[#This Row],[BranchID]],KC!$A:$K,9,0)</f>
        <v>MATARAM</v>
      </c>
    </row>
    <row r="34" spans="1:114" x14ac:dyDescent="0.3">
      <c r="A34" s="3" t="s">
        <v>468</v>
      </c>
      <c r="B34" s="2" t="s">
        <v>750</v>
      </c>
      <c r="C34" s="278">
        <v>46173</v>
      </c>
      <c r="D34" s="278">
        <v>46016</v>
      </c>
      <c r="E34" s="278">
        <v>44890</v>
      </c>
      <c r="F34" s="2" t="s">
        <v>2654</v>
      </c>
      <c r="G34" s="2" t="s">
        <v>2655</v>
      </c>
      <c r="H34" s="1" t="s">
        <v>2656</v>
      </c>
      <c r="I34" s="1" t="s">
        <v>2657</v>
      </c>
      <c r="J34" s="1" t="s">
        <v>2658</v>
      </c>
      <c r="K34" s="1" t="s">
        <v>4</v>
      </c>
      <c r="L34" s="1" t="s">
        <v>2658</v>
      </c>
      <c r="M34" s="1" t="s">
        <v>158</v>
      </c>
      <c r="N34" s="1" t="s">
        <v>2659</v>
      </c>
      <c r="O34" s="1" t="s">
        <v>2130</v>
      </c>
      <c r="P34" s="1" t="s">
        <v>2649</v>
      </c>
      <c r="Q34" s="1" t="s">
        <v>2248</v>
      </c>
      <c r="R34" s="1" t="s">
        <v>4</v>
      </c>
      <c r="S34" s="1" t="s">
        <v>4</v>
      </c>
      <c r="T34" s="1" t="s">
        <v>2660</v>
      </c>
      <c r="U34" s="1" t="s">
        <v>2660</v>
      </c>
      <c r="V34" s="1" t="s">
        <v>2120</v>
      </c>
      <c r="W34" s="1" t="s">
        <v>120</v>
      </c>
      <c r="X34" s="1" t="s">
        <v>121</v>
      </c>
      <c r="Y34" s="1" t="s">
        <v>2426</v>
      </c>
      <c r="Z34" s="1" t="s">
        <v>2661</v>
      </c>
      <c r="AA34" s="1" t="s">
        <v>2662</v>
      </c>
      <c r="AB34" s="1" t="s">
        <v>2663</v>
      </c>
      <c r="AC34" s="1" t="s">
        <v>2664</v>
      </c>
      <c r="AD34" s="1">
        <v>149940000</v>
      </c>
      <c r="AE34" s="1">
        <v>117479396.56999999</v>
      </c>
      <c r="AF34" s="1">
        <v>124950000</v>
      </c>
      <c r="AG34" s="1">
        <v>24990000</v>
      </c>
      <c r="AH34" s="1">
        <v>32145690</v>
      </c>
      <c r="AI34" s="1">
        <v>135000</v>
      </c>
      <c r="AJ34" s="1">
        <v>4165000</v>
      </c>
      <c r="AK34" s="1">
        <v>157</v>
      </c>
      <c r="AL34" s="1">
        <v>6</v>
      </c>
      <c r="AM34" s="1">
        <v>37</v>
      </c>
      <c r="AN34" s="1">
        <v>72</v>
      </c>
      <c r="AO34" s="1" t="s">
        <v>123</v>
      </c>
      <c r="AP34" s="1" t="s">
        <v>123</v>
      </c>
      <c r="AQ34" s="1" t="s">
        <v>124</v>
      </c>
      <c r="BF34" s="1" t="s">
        <v>129</v>
      </c>
      <c r="BG34" s="1" t="s">
        <v>130</v>
      </c>
      <c r="BH34" s="1">
        <v>7</v>
      </c>
      <c r="BI34" s="1">
        <v>29155000</v>
      </c>
      <c r="BJ34" s="75"/>
      <c r="BK34" s="75"/>
      <c r="BL34" s="75"/>
      <c r="BN34" s="75">
        <v>46203</v>
      </c>
      <c r="BO34" s="1">
        <v>1</v>
      </c>
      <c r="BP34" s="76">
        <v>46180</v>
      </c>
      <c r="BQ34" s="1" t="s">
        <v>131</v>
      </c>
      <c r="BR34" s="1">
        <v>164</v>
      </c>
      <c r="BS34" s="75">
        <v>46016</v>
      </c>
      <c r="BT34" s="1">
        <v>149940000</v>
      </c>
      <c r="BU34" s="1">
        <v>0</v>
      </c>
      <c r="BV34" s="1">
        <v>1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75"/>
      <c r="CD34" s="1">
        <v>0</v>
      </c>
      <c r="CE34" s="75"/>
      <c r="CF34" s="1">
        <v>0</v>
      </c>
      <c r="CG34" s="75"/>
      <c r="CH34" s="1">
        <v>0</v>
      </c>
      <c r="CI34" s="75"/>
      <c r="CJ34" s="1">
        <v>0</v>
      </c>
      <c r="CK34" s="75"/>
      <c r="CL34" s="1">
        <v>0</v>
      </c>
      <c r="CM34" s="75">
        <v>46180</v>
      </c>
      <c r="CN34" s="1" t="s">
        <v>132</v>
      </c>
      <c r="CO34" s="1">
        <v>117344396.56999999</v>
      </c>
      <c r="CP34" s="1">
        <v>117344396.56999999</v>
      </c>
      <c r="CQ34" s="1">
        <v>24</v>
      </c>
      <c r="CR34" s="75"/>
      <c r="CT34" s="1">
        <v>0</v>
      </c>
      <c r="CU34" s="1" t="s">
        <v>751</v>
      </c>
      <c r="CV34" s="1" t="s">
        <v>149</v>
      </c>
      <c r="CW34" s="82">
        <v>46180</v>
      </c>
      <c r="CX34" s="1" t="s">
        <v>2202</v>
      </c>
      <c r="CY34" s="36">
        <f>MONTH(Table_ExternalData_1[[#This Row],[RunningReportDate]])</f>
        <v>6</v>
      </c>
      <c r="CZ34" s="36">
        <f>181-Table_ExternalData_1[[#This Row],[DaysOD]]</f>
        <v>24</v>
      </c>
      <c r="DA34" s="36">
        <f>IF(Table_ExternalData_1[[#This Row],[Status]]="PU-WC",0,Table_ExternalData_1[[#This Row],[Amount_CWO]]/1000000)</f>
        <v>117.34439656999999</v>
      </c>
      <c r="DB34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34" s="36">
        <f>IF(Table_ExternalData_1[[#This Row],[Status]]="PU-WC",0,IF(Table_ExternalData_1[[#This Row],[Success CWO]]=1,Table_ExternalData_1[[#This Row],[CWO Amt]],0))</f>
        <v>0</v>
      </c>
      <c r="DD34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34" s="36">
        <f>DAY(Table_ExternalData_1[[#This Row],[Tanggal_Sukses]])</f>
        <v>0</v>
      </c>
      <c r="DF34" s="36">
        <f>IF(Table_ExternalData_1[[#This Row],[Status]]="PU-WC",0,IF(SUM(Table_ExternalData_1[[#This Row],[Success CWO]:[WO-In-Amt]])=0,1,0))</f>
        <v>1</v>
      </c>
      <c r="DG34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117.34439656999999</v>
      </c>
      <c r="DH34" s="36" t="str">
        <f>VLOOKUP(Table_ExternalData_1[[#This Row],[BranchID]],KC!$A:$K,5,0)</f>
        <v>4W</v>
      </c>
      <c r="DI34" s="36" t="str">
        <f>VLOOKUP(Table_ExternalData_1[[#This Row],[BranchID]],KC!$A:$K,8,0)</f>
        <v>04. Jawa Timur</v>
      </c>
      <c r="DJ34" s="36" t="str">
        <f>VLOOKUP(Table_ExternalData_1[[#This Row],[BranchID]],KC!$A:$K,9,0)</f>
        <v>KEDIRI</v>
      </c>
    </row>
    <row r="35" spans="1:114" x14ac:dyDescent="0.3">
      <c r="A35" s="3" t="s">
        <v>468</v>
      </c>
      <c r="B35" s="2" t="s">
        <v>750</v>
      </c>
      <c r="C35" s="278">
        <v>46173</v>
      </c>
      <c r="D35" s="278">
        <v>45996</v>
      </c>
      <c r="E35" s="278">
        <v>44651</v>
      </c>
      <c r="F35" s="2" t="s">
        <v>2642</v>
      </c>
      <c r="G35" s="2" t="s">
        <v>2643</v>
      </c>
      <c r="H35" s="1" t="s">
        <v>2644</v>
      </c>
      <c r="I35" s="1" t="s">
        <v>2645</v>
      </c>
      <c r="J35" s="1" t="s">
        <v>2646</v>
      </c>
      <c r="K35" s="1" t="s">
        <v>4</v>
      </c>
      <c r="L35" s="1" t="s">
        <v>2646</v>
      </c>
      <c r="M35" s="1" t="s">
        <v>2647</v>
      </c>
      <c r="N35" s="1" t="s">
        <v>2648</v>
      </c>
      <c r="O35" s="1" t="s">
        <v>476</v>
      </c>
      <c r="P35" s="1" t="s">
        <v>2649</v>
      </c>
      <c r="Q35" s="1" t="s">
        <v>2119</v>
      </c>
      <c r="R35" s="1" t="s">
        <v>4</v>
      </c>
      <c r="S35" s="1" t="s">
        <v>4</v>
      </c>
      <c r="T35" s="1" t="s">
        <v>2650</v>
      </c>
      <c r="U35" s="1" t="s">
        <v>2650</v>
      </c>
      <c r="V35" s="1" t="s">
        <v>2650</v>
      </c>
      <c r="W35" s="1" t="s">
        <v>120</v>
      </c>
      <c r="X35" s="1" t="s">
        <v>121</v>
      </c>
      <c r="Y35" s="1" t="s">
        <v>136</v>
      </c>
      <c r="Z35" s="1" t="s">
        <v>189</v>
      </c>
      <c r="AA35" s="1" t="s">
        <v>2651</v>
      </c>
      <c r="AB35" s="1" t="s">
        <v>2652</v>
      </c>
      <c r="AC35" s="1" t="s">
        <v>2653</v>
      </c>
      <c r="AD35" s="1">
        <v>77805000</v>
      </c>
      <c r="AE35" s="1">
        <v>66660504.219999999</v>
      </c>
      <c r="AF35" s="1">
        <v>55575000</v>
      </c>
      <c r="AG35" s="1">
        <v>22230000</v>
      </c>
      <c r="AH35" s="1">
        <v>37714296.25</v>
      </c>
      <c r="AI35" s="1">
        <v>0</v>
      </c>
      <c r="AJ35" s="1">
        <v>3705000</v>
      </c>
      <c r="AK35" s="1">
        <v>177</v>
      </c>
      <c r="AL35" s="1">
        <v>6</v>
      </c>
      <c r="AM35" s="1">
        <v>43</v>
      </c>
      <c r="AN35" s="1">
        <v>63</v>
      </c>
      <c r="AO35" s="1" t="s">
        <v>123</v>
      </c>
      <c r="AP35" s="1" t="s">
        <v>123</v>
      </c>
      <c r="AQ35" s="1" t="s">
        <v>124</v>
      </c>
      <c r="BF35" s="1" t="s">
        <v>129</v>
      </c>
      <c r="BG35" s="1" t="s">
        <v>130</v>
      </c>
      <c r="BH35" s="1">
        <v>7</v>
      </c>
      <c r="BI35" s="1">
        <v>25935000</v>
      </c>
      <c r="BJ35" s="75"/>
      <c r="BK35" s="75"/>
      <c r="BL35" s="75"/>
      <c r="BN35" s="75">
        <v>46203</v>
      </c>
      <c r="BO35" s="1">
        <v>1</v>
      </c>
      <c r="BP35" s="76">
        <v>46180</v>
      </c>
      <c r="BQ35" s="1" t="s">
        <v>131</v>
      </c>
      <c r="BR35" s="1">
        <v>184</v>
      </c>
      <c r="BS35" s="75">
        <v>45996</v>
      </c>
      <c r="BT35" s="1">
        <v>77805000</v>
      </c>
      <c r="BU35" s="1">
        <v>0</v>
      </c>
      <c r="BV35" s="1">
        <v>1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75"/>
      <c r="CD35" s="1">
        <v>0</v>
      </c>
      <c r="CE35" s="75"/>
      <c r="CF35" s="1">
        <v>0</v>
      </c>
      <c r="CG35" s="75"/>
      <c r="CH35" s="1">
        <v>0</v>
      </c>
      <c r="CI35" s="75"/>
      <c r="CJ35" s="1">
        <v>0</v>
      </c>
      <c r="CK35" s="75"/>
      <c r="CL35" s="1">
        <v>0</v>
      </c>
      <c r="CM35" s="75">
        <v>46180</v>
      </c>
      <c r="CN35" s="1" t="s">
        <v>132</v>
      </c>
      <c r="CO35" s="1">
        <v>66660504.219999999</v>
      </c>
      <c r="CP35" s="1">
        <v>66660504.219999999</v>
      </c>
      <c r="CQ35" s="1">
        <v>4</v>
      </c>
      <c r="CR35" s="75"/>
      <c r="CT35" s="1">
        <v>0</v>
      </c>
      <c r="CU35" s="1" t="s">
        <v>751</v>
      </c>
      <c r="CV35" s="1" t="s">
        <v>149</v>
      </c>
      <c r="CW35" s="82">
        <v>46180</v>
      </c>
      <c r="CX35" s="1" t="s">
        <v>2202</v>
      </c>
      <c r="CY35" s="36">
        <f>MONTH(Table_ExternalData_1[[#This Row],[RunningReportDate]])</f>
        <v>6</v>
      </c>
      <c r="CZ35" s="36">
        <f>181-Table_ExternalData_1[[#This Row],[DaysOD]]</f>
        <v>4</v>
      </c>
      <c r="DA35" s="36">
        <f>IF(Table_ExternalData_1[[#This Row],[Status]]="PU-WC",0,Table_ExternalData_1[[#This Row],[Amount_CWO]]/1000000)</f>
        <v>66.660504219999993</v>
      </c>
      <c r="DB35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35" s="36">
        <f>IF(Table_ExternalData_1[[#This Row],[Status]]="PU-WC",0,IF(Table_ExternalData_1[[#This Row],[Success CWO]]=1,Table_ExternalData_1[[#This Row],[CWO Amt]],0))</f>
        <v>0</v>
      </c>
      <c r="DD35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66.660504219999993</v>
      </c>
      <c r="DE35" s="36">
        <f>DAY(Table_ExternalData_1[[#This Row],[Tanggal_Sukses]])</f>
        <v>0</v>
      </c>
      <c r="DF35" s="36">
        <f>IF(Table_ExternalData_1[[#This Row],[Status]]="PU-WC",0,IF(SUM(Table_ExternalData_1[[#This Row],[Success CWO]:[WO-In-Amt]])=0,1,0))</f>
        <v>0</v>
      </c>
      <c r="DG35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35" s="36" t="str">
        <f>VLOOKUP(Table_ExternalData_1[[#This Row],[BranchID]],KC!$A:$K,5,0)</f>
        <v>4W</v>
      </c>
      <c r="DI35" s="36" t="str">
        <f>VLOOKUP(Table_ExternalData_1[[#This Row],[BranchID]],KC!$A:$K,8,0)</f>
        <v>04. Jawa Timur</v>
      </c>
      <c r="DJ35" s="36" t="str">
        <f>VLOOKUP(Table_ExternalData_1[[#This Row],[BranchID]],KC!$A:$K,9,0)</f>
        <v>KEDIRI</v>
      </c>
    </row>
    <row r="36" spans="1:114" x14ac:dyDescent="0.3">
      <c r="A36" s="3" t="s">
        <v>242</v>
      </c>
      <c r="B36" s="2" t="s">
        <v>243</v>
      </c>
      <c r="C36" s="278">
        <v>46173</v>
      </c>
      <c r="D36" s="278">
        <v>45996</v>
      </c>
      <c r="E36" s="278">
        <v>45136</v>
      </c>
      <c r="F36" s="2" t="s">
        <v>2629</v>
      </c>
      <c r="G36" s="2" t="s">
        <v>2630</v>
      </c>
      <c r="H36" s="1" t="s">
        <v>2631</v>
      </c>
      <c r="I36" s="1" t="s">
        <v>2632</v>
      </c>
      <c r="J36" s="1" t="s">
        <v>2633</v>
      </c>
      <c r="K36" s="1" t="s">
        <v>4</v>
      </c>
      <c r="L36" s="1" t="s">
        <v>2633</v>
      </c>
      <c r="M36" s="1" t="s">
        <v>2634</v>
      </c>
      <c r="N36" s="1" t="s">
        <v>2635</v>
      </c>
      <c r="O36" s="1" t="s">
        <v>2622</v>
      </c>
      <c r="P36" s="1" t="s">
        <v>244</v>
      </c>
      <c r="Q36" s="1" t="s">
        <v>2154</v>
      </c>
      <c r="R36" s="1" t="s">
        <v>4</v>
      </c>
      <c r="S36" s="1" t="s">
        <v>4</v>
      </c>
      <c r="T36" s="1" t="s">
        <v>4</v>
      </c>
      <c r="U36" s="1" t="s">
        <v>4</v>
      </c>
      <c r="V36" s="1" t="s">
        <v>1255</v>
      </c>
      <c r="W36" s="1" t="s">
        <v>120</v>
      </c>
      <c r="X36" s="1" t="s">
        <v>121</v>
      </c>
      <c r="Y36" s="1" t="s">
        <v>136</v>
      </c>
      <c r="Z36" s="1" t="s">
        <v>137</v>
      </c>
      <c r="AA36" s="1" t="s">
        <v>2636</v>
      </c>
      <c r="AB36" s="1" t="s">
        <v>2637</v>
      </c>
      <c r="AC36" s="1" t="s">
        <v>2638</v>
      </c>
      <c r="AD36" s="1">
        <v>133023000</v>
      </c>
      <c r="AE36" s="1">
        <v>103000035.45999999</v>
      </c>
      <c r="AF36" s="1">
        <v>108837000</v>
      </c>
      <c r="AG36" s="1">
        <v>24186000</v>
      </c>
      <c r="AH36" s="1">
        <v>13455950</v>
      </c>
      <c r="AI36" s="1">
        <v>0</v>
      </c>
      <c r="AJ36" s="1">
        <v>4031000</v>
      </c>
      <c r="AK36" s="1">
        <v>177</v>
      </c>
      <c r="AL36" s="1">
        <v>6</v>
      </c>
      <c r="AM36" s="1">
        <v>28</v>
      </c>
      <c r="AN36" s="1">
        <v>60</v>
      </c>
      <c r="AO36" s="1" t="s">
        <v>123</v>
      </c>
      <c r="AP36" s="1" t="s">
        <v>123</v>
      </c>
      <c r="AQ36" s="1" t="s">
        <v>124</v>
      </c>
      <c r="AR36" s="1" t="s">
        <v>2639</v>
      </c>
      <c r="AS36" s="1" t="s">
        <v>2640</v>
      </c>
      <c r="AT36" s="1" t="s">
        <v>2641</v>
      </c>
      <c r="AU36" s="1" t="s">
        <v>2155</v>
      </c>
      <c r="AV36" s="1" t="s">
        <v>2156</v>
      </c>
      <c r="AW36" s="1" t="s">
        <v>2157</v>
      </c>
      <c r="AX36" s="1" t="s">
        <v>127</v>
      </c>
      <c r="AY36" s="1" t="s">
        <v>2158</v>
      </c>
      <c r="AZ36" s="1" t="s">
        <v>2156</v>
      </c>
      <c r="BA36" s="1" t="s">
        <v>2157</v>
      </c>
      <c r="BB36" s="1" t="s">
        <v>128</v>
      </c>
      <c r="BC36" s="1" t="s">
        <v>2153</v>
      </c>
      <c r="BD36" s="1" t="s">
        <v>125</v>
      </c>
      <c r="BE36" s="1" t="s">
        <v>126</v>
      </c>
      <c r="BF36" s="1" t="s">
        <v>129</v>
      </c>
      <c r="BG36" s="1" t="s">
        <v>130</v>
      </c>
      <c r="BH36" s="1">
        <v>7</v>
      </c>
      <c r="BI36" s="1">
        <v>28217000</v>
      </c>
      <c r="BJ36" s="75"/>
      <c r="BK36" s="75"/>
      <c r="BL36" s="75"/>
      <c r="BN36" s="75">
        <v>46203</v>
      </c>
      <c r="BO36" s="1">
        <v>1</v>
      </c>
      <c r="BP36" s="76">
        <v>46180</v>
      </c>
      <c r="BQ36" s="1" t="s">
        <v>131</v>
      </c>
      <c r="BR36" s="1">
        <v>184</v>
      </c>
      <c r="BS36" s="75">
        <v>45996</v>
      </c>
      <c r="BT36" s="1">
        <v>133023000</v>
      </c>
      <c r="BU36" s="1">
        <v>0</v>
      </c>
      <c r="BV36" s="1">
        <v>1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75"/>
      <c r="CD36" s="1">
        <v>0</v>
      </c>
      <c r="CE36" s="75"/>
      <c r="CF36" s="1">
        <v>0</v>
      </c>
      <c r="CG36" s="75"/>
      <c r="CH36" s="1">
        <v>0</v>
      </c>
      <c r="CI36" s="75"/>
      <c r="CJ36" s="1">
        <v>0</v>
      </c>
      <c r="CK36" s="75"/>
      <c r="CL36" s="1">
        <v>0</v>
      </c>
      <c r="CM36" s="75">
        <v>46180</v>
      </c>
      <c r="CN36" s="1" t="s">
        <v>132</v>
      </c>
      <c r="CO36" s="1">
        <v>103000035.45999999</v>
      </c>
      <c r="CP36" s="1">
        <v>103000035.45999999</v>
      </c>
      <c r="CQ36" s="1">
        <v>4</v>
      </c>
      <c r="CR36" s="75"/>
      <c r="CT36" s="1">
        <v>0</v>
      </c>
      <c r="CU36" s="1" t="s">
        <v>245</v>
      </c>
      <c r="CV36" s="1" t="s">
        <v>246</v>
      </c>
      <c r="CW36" s="82">
        <v>46180</v>
      </c>
      <c r="CX36" s="1" t="s">
        <v>2202</v>
      </c>
      <c r="CY36" s="36">
        <f>MONTH(Table_ExternalData_1[[#This Row],[RunningReportDate]])</f>
        <v>6</v>
      </c>
      <c r="CZ36" s="36">
        <f>181-Table_ExternalData_1[[#This Row],[DaysOD]]</f>
        <v>4</v>
      </c>
      <c r="DA36" s="36">
        <f>IF(Table_ExternalData_1[[#This Row],[Status]]="PU-WC",0,Table_ExternalData_1[[#This Row],[Amount_CWO]]/1000000)</f>
        <v>103.00003545999999</v>
      </c>
      <c r="DB36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36" s="36">
        <f>IF(Table_ExternalData_1[[#This Row],[Status]]="PU-WC",0,IF(Table_ExternalData_1[[#This Row],[Success CWO]]=1,Table_ExternalData_1[[#This Row],[CWO Amt]],0))</f>
        <v>0</v>
      </c>
      <c r="DD36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103.00003545999999</v>
      </c>
      <c r="DE36" s="36">
        <f>DAY(Table_ExternalData_1[[#This Row],[Tanggal_Sukses]])</f>
        <v>0</v>
      </c>
      <c r="DF36" s="36">
        <f>IF(Table_ExternalData_1[[#This Row],[Status]]="PU-WC",0,IF(SUM(Table_ExternalData_1[[#This Row],[Success CWO]:[WO-In-Amt]])=0,1,0))</f>
        <v>0</v>
      </c>
      <c r="DG36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36" s="36" t="str">
        <f>VLOOKUP(Table_ExternalData_1[[#This Row],[BranchID]],KC!$A:$K,5,0)</f>
        <v>4W</v>
      </c>
      <c r="DI36" s="36" t="str">
        <f>VLOOKUP(Table_ExternalData_1[[#This Row],[BranchID]],KC!$A:$K,8,0)</f>
        <v>08. Sumbaguteng</v>
      </c>
      <c r="DJ36" s="36" t="str">
        <f>VLOOKUP(Table_ExternalData_1[[#This Row],[BranchID]],KC!$A:$K,9,0)</f>
        <v>MEDAN</v>
      </c>
    </row>
    <row r="37" spans="1:114" x14ac:dyDescent="0.3">
      <c r="A37" s="3" t="s">
        <v>242</v>
      </c>
      <c r="B37" s="2" t="s">
        <v>243</v>
      </c>
      <c r="C37" s="278">
        <v>46173</v>
      </c>
      <c r="D37" s="278">
        <v>45996</v>
      </c>
      <c r="E37" s="278">
        <v>45015</v>
      </c>
      <c r="F37" s="2" t="s">
        <v>2615</v>
      </c>
      <c r="G37" s="2" t="s">
        <v>2616</v>
      </c>
      <c r="H37" s="1" t="s">
        <v>2617</v>
      </c>
      <c r="I37" s="1" t="s">
        <v>2618</v>
      </c>
      <c r="J37" s="1" t="s">
        <v>2619</v>
      </c>
      <c r="K37" s="1" t="s">
        <v>4</v>
      </c>
      <c r="L37" s="1" t="s">
        <v>2619</v>
      </c>
      <c r="M37" s="1" t="s">
        <v>2620</v>
      </c>
      <c r="N37" s="1" t="s">
        <v>2621</v>
      </c>
      <c r="O37" s="1" t="s">
        <v>2622</v>
      </c>
      <c r="P37" s="1" t="s">
        <v>244</v>
      </c>
      <c r="Q37" s="1" t="s">
        <v>2154</v>
      </c>
      <c r="R37" s="1" t="s">
        <v>4</v>
      </c>
      <c r="S37" s="1" t="s">
        <v>4</v>
      </c>
      <c r="T37" s="1" t="s">
        <v>4</v>
      </c>
      <c r="U37" s="1" t="s">
        <v>4</v>
      </c>
      <c r="V37" s="1" t="s">
        <v>306</v>
      </c>
      <c r="W37" s="1" t="s">
        <v>120</v>
      </c>
      <c r="X37" s="1" t="s">
        <v>121</v>
      </c>
      <c r="Y37" s="1" t="s">
        <v>136</v>
      </c>
      <c r="Z37" s="1" t="s">
        <v>137</v>
      </c>
      <c r="AA37" s="1" t="s">
        <v>2623</v>
      </c>
      <c r="AB37" s="1" t="s">
        <v>2624</v>
      </c>
      <c r="AC37" s="1" t="s">
        <v>2625</v>
      </c>
      <c r="AD37" s="1">
        <v>108752000</v>
      </c>
      <c r="AE37" s="1">
        <v>88252207.790000007</v>
      </c>
      <c r="AF37" s="1">
        <v>85448000</v>
      </c>
      <c r="AG37" s="1">
        <v>23304000</v>
      </c>
      <c r="AH37" s="1">
        <v>17776260</v>
      </c>
      <c r="AI37" s="1">
        <v>0</v>
      </c>
      <c r="AJ37" s="1">
        <v>3884000</v>
      </c>
      <c r="AK37" s="1">
        <v>177</v>
      </c>
      <c r="AL37" s="1">
        <v>6</v>
      </c>
      <c r="AM37" s="1">
        <v>32</v>
      </c>
      <c r="AN37" s="1">
        <v>59</v>
      </c>
      <c r="AO37" s="1" t="s">
        <v>123</v>
      </c>
      <c r="AP37" s="1" t="s">
        <v>123</v>
      </c>
      <c r="AQ37" s="1" t="s">
        <v>124</v>
      </c>
      <c r="AR37" s="1" t="s">
        <v>2626</v>
      </c>
      <c r="AS37" s="1" t="s">
        <v>2627</v>
      </c>
      <c r="AT37" s="1" t="s">
        <v>2628</v>
      </c>
      <c r="AU37" s="1" t="s">
        <v>2155</v>
      </c>
      <c r="AV37" s="1" t="s">
        <v>2156</v>
      </c>
      <c r="AW37" s="1" t="s">
        <v>2157</v>
      </c>
      <c r="AX37" s="1" t="s">
        <v>127</v>
      </c>
      <c r="AY37" s="1" t="s">
        <v>2155</v>
      </c>
      <c r="AZ37" s="1" t="s">
        <v>2156</v>
      </c>
      <c r="BA37" s="1" t="s">
        <v>2157</v>
      </c>
      <c r="BB37" s="1" t="s">
        <v>128</v>
      </c>
      <c r="BC37" s="1" t="s">
        <v>2155</v>
      </c>
      <c r="BD37" s="1" t="s">
        <v>2156</v>
      </c>
      <c r="BE37" s="1" t="s">
        <v>2157</v>
      </c>
      <c r="BF37" s="1" t="s">
        <v>129</v>
      </c>
      <c r="BG37" s="1" t="s">
        <v>130</v>
      </c>
      <c r="BH37" s="1">
        <v>7</v>
      </c>
      <c r="BI37" s="1">
        <v>27188000</v>
      </c>
      <c r="BJ37" s="75"/>
      <c r="BK37" s="75"/>
      <c r="BL37" s="75"/>
      <c r="BN37" s="75">
        <v>46203</v>
      </c>
      <c r="BO37" s="1">
        <v>1</v>
      </c>
      <c r="BP37" s="76">
        <v>46180</v>
      </c>
      <c r="BQ37" s="1" t="s">
        <v>131</v>
      </c>
      <c r="BR37" s="1">
        <v>184</v>
      </c>
      <c r="BS37" s="75">
        <v>45996</v>
      </c>
      <c r="BT37" s="1">
        <v>108752000</v>
      </c>
      <c r="BU37" s="1">
        <v>0</v>
      </c>
      <c r="BV37" s="1">
        <v>1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75"/>
      <c r="CD37" s="1">
        <v>0</v>
      </c>
      <c r="CE37" s="75"/>
      <c r="CF37" s="1">
        <v>0</v>
      </c>
      <c r="CG37" s="75"/>
      <c r="CH37" s="1">
        <v>0</v>
      </c>
      <c r="CI37" s="75"/>
      <c r="CJ37" s="1">
        <v>0</v>
      </c>
      <c r="CK37" s="75"/>
      <c r="CL37" s="1">
        <v>0</v>
      </c>
      <c r="CM37" s="75">
        <v>46180</v>
      </c>
      <c r="CN37" s="1" t="s">
        <v>132</v>
      </c>
      <c r="CO37" s="1">
        <v>88252207.790000007</v>
      </c>
      <c r="CP37" s="1">
        <v>88252207.790000007</v>
      </c>
      <c r="CQ37" s="1">
        <v>4</v>
      </c>
      <c r="CR37" s="75"/>
      <c r="CT37" s="1">
        <v>0</v>
      </c>
      <c r="CU37" s="1" t="s">
        <v>245</v>
      </c>
      <c r="CV37" s="1" t="s">
        <v>246</v>
      </c>
      <c r="CW37" s="82">
        <v>46180</v>
      </c>
      <c r="CX37" s="1" t="s">
        <v>2202</v>
      </c>
      <c r="CY37" s="36">
        <f>MONTH(Table_ExternalData_1[[#This Row],[RunningReportDate]])</f>
        <v>6</v>
      </c>
      <c r="CZ37" s="36">
        <f>181-Table_ExternalData_1[[#This Row],[DaysOD]]</f>
        <v>4</v>
      </c>
      <c r="DA37" s="36">
        <f>IF(Table_ExternalData_1[[#This Row],[Status]]="PU-WC",0,Table_ExternalData_1[[#This Row],[Amount_CWO]]/1000000)</f>
        <v>88.25220779</v>
      </c>
      <c r="DB37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37" s="36">
        <f>IF(Table_ExternalData_1[[#This Row],[Status]]="PU-WC",0,IF(Table_ExternalData_1[[#This Row],[Success CWO]]=1,Table_ExternalData_1[[#This Row],[CWO Amt]],0))</f>
        <v>0</v>
      </c>
      <c r="DD37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88.25220779</v>
      </c>
      <c r="DE37" s="36">
        <f>DAY(Table_ExternalData_1[[#This Row],[Tanggal_Sukses]])</f>
        <v>0</v>
      </c>
      <c r="DF37" s="36">
        <f>IF(Table_ExternalData_1[[#This Row],[Status]]="PU-WC",0,IF(SUM(Table_ExternalData_1[[#This Row],[Success CWO]:[WO-In-Amt]])=0,1,0))</f>
        <v>0</v>
      </c>
      <c r="DG37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37" s="36" t="str">
        <f>VLOOKUP(Table_ExternalData_1[[#This Row],[BranchID]],KC!$A:$K,5,0)</f>
        <v>4W</v>
      </c>
      <c r="DI37" s="36" t="str">
        <f>VLOOKUP(Table_ExternalData_1[[#This Row],[BranchID]],KC!$A:$K,8,0)</f>
        <v>08. Sumbaguteng</v>
      </c>
      <c r="DJ37" s="36" t="str">
        <f>VLOOKUP(Table_ExternalData_1[[#This Row],[BranchID]],KC!$A:$K,9,0)</f>
        <v>MEDAN</v>
      </c>
    </row>
    <row r="38" spans="1:114" x14ac:dyDescent="0.3">
      <c r="A38" s="3" t="s">
        <v>242</v>
      </c>
      <c r="B38" s="2" t="s">
        <v>243</v>
      </c>
      <c r="C38" s="278">
        <v>46173</v>
      </c>
      <c r="D38" s="278">
        <v>45996</v>
      </c>
      <c r="E38" s="278">
        <v>44742</v>
      </c>
      <c r="F38" s="2" t="s">
        <v>2605</v>
      </c>
      <c r="G38" s="2" t="s">
        <v>2606</v>
      </c>
      <c r="H38" s="1" t="s">
        <v>2607</v>
      </c>
      <c r="I38" s="1" t="s">
        <v>2608</v>
      </c>
      <c r="J38" s="1" t="s">
        <v>2609</v>
      </c>
      <c r="K38" s="1" t="s">
        <v>4</v>
      </c>
      <c r="L38" s="1" t="s">
        <v>2609</v>
      </c>
      <c r="M38" s="1" t="s">
        <v>2610</v>
      </c>
      <c r="N38" s="1" t="s">
        <v>2611</v>
      </c>
      <c r="O38" s="1" t="s">
        <v>1794</v>
      </c>
      <c r="P38" s="1" t="s">
        <v>244</v>
      </c>
      <c r="Q38" s="1" t="s">
        <v>294</v>
      </c>
      <c r="R38" s="1" t="s">
        <v>4</v>
      </c>
      <c r="S38" s="1" t="s">
        <v>4</v>
      </c>
      <c r="T38" s="1" t="s">
        <v>4</v>
      </c>
      <c r="U38" s="1" t="s">
        <v>4</v>
      </c>
      <c r="V38" s="1" t="s">
        <v>1114</v>
      </c>
      <c r="W38" s="1" t="s">
        <v>120</v>
      </c>
      <c r="X38" s="1" t="s">
        <v>121</v>
      </c>
      <c r="Y38" s="1" t="s">
        <v>136</v>
      </c>
      <c r="Z38" s="1" t="s">
        <v>137</v>
      </c>
      <c r="AA38" s="1" t="s">
        <v>2612</v>
      </c>
      <c r="AB38" s="1" t="s">
        <v>2613</v>
      </c>
      <c r="AC38" s="1" t="s">
        <v>2614</v>
      </c>
      <c r="AD38" s="1">
        <v>72660000</v>
      </c>
      <c r="AE38" s="1">
        <v>62523606.700000003</v>
      </c>
      <c r="AF38" s="1">
        <v>50862000</v>
      </c>
      <c r="AG38" s="1">
        <v>21798000</v>
      </c>
      <c r="AH38" s="1">
        <v>11135145</v>
      </c>
      <c r="AI38" s="1">
        <v>364040</v>
      </c>
      <c r="AJ38" s="1">
        <v>3633000</v>
      </c>
      <c r="AK38" s="1">
        <v>177</v>
      </c>
      <c r="AL38" s="1">
        <v>6</v>
      </c>
      <c r="AM38" s="1">
        <v>41</v>
      </c>
      <c r="AN38" s="1">
        <v>60</v>
      </c>
      <c r="AO38" s="1" t="s">
        <v>123</v>
      </c>
      <c r="AP38" s="1" t="s">
        <v>123</v>
      </c>
      <c r="AQ38" s="1" t="s">
        <v>124</v>
      </c>
      <c r="AR38" s="1" t="s">
        <v>2146</v>
      </c>
      <c r="AS38" s="1" t="s">
        <v>2147</v>
      </c>
      <c r="AT38" s="1" t="s">
        <v>2148</v>
      </c>
      <c r="AU38" s="1" t="s">
        <v>2149</v>
      </c>
      <c r="AV38" s="1" t="s">
        <v>2150</v>
      </c>
      <c r="AW38" s="1" t="s">
        <v>2151</v>
      </c>
      <c r="AX38" s="1" t="s">
        <v>127</v>
      </c>
      <c r="AY38" s="1" t="s">
        <v>2152</v>
      </c>
      <c r="AZ38" s="1" t="s">
        <v>2150</v>
      </c>
      <c r="BA38" s="1" t="s">
        <v>2151</v>
      </c>
      <c r="BB38" s="1" t="s">
        <v>128</v>
      </c>
      <c r="BC38" s="1" t="s">
        <v>2153</v>
      </c>
      <c r="BD38" s="1" t="s">
        <v>125</v>
      </c>
      <c r="BE38" s="1" t="s">
        <v>126</v>
      </c>
      <c r="BF38" s="1" t="s">
        <v>129</v>
      </c>
      <c r="BG38" s="1" t="s">
        <v>130</v>
      </c>
      <c r="BH38" s="1">
        <v>7</v>
      </c>
      <c r="BI38" s="1">
        <v>25431000</v>
      </c>
      <c r="BJ38" s="75"/>
      <c r="BK38" s="75"/>
      <c r="BL38" s="75"/>
      <c r="BN38" s="75">
        <v>46203</v>
      </c>
      <c r="BO38" s="1">
        <v>1</v>
      </c>
      <c r="BP38" s="76">
        <v>46180</v>
      </c>
      <c r="BQ38" s="1" t="s">
        <v>131</v>
      </c>
      <c r="BR38" s="1">
        <v>184</v>
      </c>
      <c r="BS38" s="75">
        <v>45996</v>
      </c>
      <c r="BT38" s="1">
        <v>72660000</v>
      </c>
      <c r="BU38" s="1">
        <v>0</v>
      </c>
      <c r="BV38" s="1">
        <v>1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75"/>
      <c r="CD38" s="1">
        <v>0</v>
      </c>
      <c r="CE38" s="75"/>
      <c r="CF38" s="1">
        <v>0</v>
      </c>
      <c r="CG38" s="75"/>
      <c r="CH38" s="1">
        <v>0</v>
      </c>
      <c r="CI38" s="75"/>
      <c r="CJ38" s="1">
        <v>0</v>
      </c>
      <c r="CK38" s="75"/>
      <c r="CL38" s="1">
        <v>0</v>
      </c>
      <c r="CM38" s="75">
        <v>46180</v>
      </c>
      <c r="CN38" s="1" t="s">
        <v>132</v>
      </c>
      <c r="CO38" s="1">
        <v>62159566.700000003</v>
      </c>
      <c r="CP38" s="1">
        <v>62159566.700000003</v>
      </c>
      <c r="CQ38" s="1">
        <v>4</v>
      </c>
      <c r="CR38" s="75"/>
      <c r="CT38" s="1">
        <v>0</v>
      </c>
      <c r="CU38" s="1" t="s">
        <v>245</v>
      </c>
      <c r="CV38" s="1" t="s">
        <v>246</v>
      </c>
      <c r="CW38" s="82">
        <v>46180</v>
      </c>
      <c r="CX38" s="1" t="s">
        <v>2202</v>
      </c>
      <c r="CY38" s="36">
        <f>MONTH(Table_ExternalData_1[[#This Row],[RunningReportDate]])</f>
        <v>6</v>
      </c>
      <c r="CZ38" s="36">
        <f>181-Table_ExternalData_1[[#This Row],[DaysOD]]</f>
        <v>4</v>
      </c>
      <c r="DA38" s="36">
        <f>IF(Table_ExternalData_1[[#This Row],[Status]]="PU-WC",0,Table_ExternalData_1[[#This Row],[Amount_CWO]]/1000000)</f>
        <v>62.159566700000006</v>
      </c>
      <c r="DB38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38" s="36">
        <f>IF(Table_ExternalData_1[[#This Row],[Status]]="PU-WC",0,IF(Table_ExternalData_1[[#This Row],[Success CWO]]=1,Table_ExternalData_1[[#This Row],[CWO Amt]],0))</f>
        <v>0</v>
      </c>
      <c r="DD38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62.159566700000006</v>
      </c>
      <c r="DE38" s="36">
        <f>DAY(Table_ExternalData_1[[#This Row],[Tanggal_Sukses]])</f>
        <v>0</v>
      </c>
      <c r="DF38" s="36">
        <f>IF(Table_ExternalData_1[[#This Row],[Status]]="PU-WC",0,IF(SUM(Table_ExternalData_1[[#This Row],[Success CWO]:[WO-In-Amt]])=0,1,0))</f>
        <v>0</v>
      </c>
      <c r="DG38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38" s="36" t="str">
        <f>VLOOKUP(Table_ExternalData_1[[#This Row],[BranchID]],KC!$A:$K,5,0)</f>
        <v>4W</v>
      </c>
      <c r="DI38" s="36" t="str">
        <f>VLOOKUP(Table_ExternalData_1[[#This Row],[BranchID]],KC!$A:$K,8,0)</f>
        <v>08. Sumbaguteng</v>
      </c>
      <c r="DJ38" s="36" t="str">
        <f>VLOOKUP(Table_ExternalData_1[[#This Row],[BranchID]],KC!$A:$K,9,0)</f>
        <v>MEDAN</v>
      </c>
    </row>
    <row r="39" spans="1:114" x14ac:dyDescent="0.3">
      <c r="A39" s="3" t="s">
        <v>280</v>
      </c>
      <c r="B39" s="2" t="s">
        <v>281</v>
      </c>
      <c r="C39" s="278">
        <v>46173</v>
      </c>
      <c r="D39" s="278">
        <v>45999</v>
      </c>
      <c r="E39" s="278">
        <v>45785</v>
      </c>
      <c r="F39" s="2" t="s">
        <v>2589</v>
      </c>
      <c r="G39" s="2" t="s">
        <v>2590</v>
      </c>
      <c r="H39" s="1" t="s">
        <v>2591</v>
      </c>
      <c r="I39" s="1" t="s">
        <v>2592</v>
      </c>
      <c r="J39" s="1" t="s">
        <v>2593</v>
      </c>
      <c r="K39" s="1" t="s">
        <v>4</v>
      </c>
      <c r="L39" s="1" t="s">
        <v>2593</v>
      </c>
      <c r="M39" s="1" t="s">
        <v>2594</v>
      </c>
      <c r="N39" s="1" t="s">
        <v>2595</v>
      </c>
      <c r="O39" s="1" t="s">
        <v>2596</v>
      </c>
      <c r="P39" s="1" t="s">
        <v>2144</v>
      </c>
      <c r="Q39" s="1" t="s">
        <v>2145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1113</v>
      </c>
      <c r="W39" s="1" t="s">
        <v>120</v>
      </c>
      <c r="X39" s="1" t="s">
        <v>121</v>
      </c>
      <c r="Y39" s="1" t="s">
        <v>136</v>
      </c>
      <c r="Z39" s="1" t="s">
        <v>2597</v>
      </c>
      <c r="AA39" s="1" t="s">
        <v>2598</v>
      </c>
      <c r="AB39" s="1" t="s">
        <v>2599</v>
      </c>
      <c r="AC39" s="1" t="s">
        <v>2600</v>
      </c>
      <c r="AD39" s="1">
        <v>229500000</v>
      </c>
      <c r="AE39" s="1">
        <v>146981507.43000001</v>
      </c>
      <c r="AF39" s="1">
        <v>204000000</v>
      </c>
      <c r="AG39" s="1">
        <v>25500000</v>
      </c>
      <c r="AH39" s="1">
        <v>12643750</v>
      </c>
      <c r="AI39" s="1">
        <v>0</v>
      </c>
      <c r="AJ39" s="1">
        <v>4250000</v>
      </c>
      <c r="AK39" s="1">
        <v>174</v>
      </c>
      <c r="AL39" s="1">
        <v>6</v>
      </c>
      <c r="AM39" s="1">
        <v>7</v>
      </c>
      <c r="AN39" s="1">
        <v>60</v>
      </c>
      <c r="AO39" s="1" t="s">
        <v>123</v>
      </c>
      <c r="AP39" s="1" t="s">
        <v>123</v>
      </c>
      <c r="AQ39" s="1" t="s">
        <v>124</v>
      </c>
      <c r="AR39" s="1" t="s">
        <v>2601</v>
      </c>
      <c r="AS39" s="1" t="s">
        <v>2602</v>
      </c>
      <c r="AT39" s="1" t="s">
        <v>2603</v>
      </c>
      <c r="AU39" s="1" t="s">
        <v>282</v>
      </c>
      <c r="AV39" s="1" t="s">
        <v>283</v>
      </c>
      <c r="AW39" s="1" t="s">
        <v>126</v>
      </c>
      <c r="AX39" s="1" t="s">
        <v>127</v>
      </c>
      <c r="AY39" s="1" t="s">
        <v>2604</v>
      </c>
      <c r="AZ39" s="1" t="s">
        <v>284</v>
      </c>
      <c r="BA39" s="1" t="s">
        <v>285</v>
      </c>
      <c r="BB39" s="1" t="s">
        <v>128</v>
      </c>
      <c r="BC39" s="1" t="s">
        <v>286</v>
      </c>
      <c r="BD39" s="1" t="s">
        <v>284</v>
      </c>
      <c r="BE39" s="1" t="s">
        <v>287</v>
      </c>
      <c r="BF39" s="1" t="s">
        <v>129</v>
      </c>
      <c r="BG39" s="1" t="s">
        <v>130</v>
      </c>
      <c r="BH39" s="1">
        <v>7</v>
      </c>
      <c r="BI39" s="1">
        <v>29750000</v>
      </c>
      <c r="BJ39" s="75"/>
      <c r="BK39" s="75"/>
      <c r="BL39" s="75"/>
      <c r="BN39" s="75">
        <v>46203</v>
      </c>
      <c r="BO39" s="1">
        <v>1</v>
      </c>
      <c r="BP39" s="76">
        <v>46180</v>
      </c>
      <c r="BQ39" s="1" t="s">
        <v>131</v>
      </c>
      <c r="BR39" s="1">
        <v>181</v>
      </c>
      <c r="BS39" s="75">
        <v>45999</v>
      </c>
      <c r="BT39" s="1">
        <v>229500000</v>
      </c>
      <c r="BU39" s="1">
        <v>0</v>
      </c>
      <c r="BV39" s="1">
        <v>1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75"/>
      <c r="CD39" s="1">
        <v>0</v>
      </c>
      <c r="CE39" s="75"/>
      <c r="CF39" s="1">
        <v>0</v>
      </c>
      <c r="CG39" s="75"/>
      <c r="CH39" s="1">
        <v>0</v>
      </c>
      <c r="CI39" s="75"/>
      <c r="CJ39" s="1">
        <v>0</v>
      </c>
      <c r="CK39" s="75"/>
      <c r="CL39" s="1">
        <v>0</v>
      </c>
      <c r="CM39" s="75">
        <v>46180</v>
      </c>
      <c r="CN39" s="1" t="s">
        <v>132</v>
      </c>
      <c r="CO39" s="1">
        <v>146981507.43000001</v>
      </c>
      <c r="CP39" s="1">
        <v>146981507.43000001</v>
      </c>
      <c r="CQ39" s="1">
        <v>7</v>
      </c>
      <c r="CR39" s="75"/>
      <c r="CT39" s="1">
        <v>0</v>
      </c>
      <c r="CU39" s="1" t="s">
        <v>288</v>
      </c>
      <c r="CV39" s="1" t="s">
        <v>205</v>
      </c>
      <c r="CW39" s="82">
        <v>46180</v>
      </c>
      <c r="CX39" s="1" t="s">
        <v>2202</v>
      </c>
      <c r="CY39" s="36">
        <f>MONTH(Table_ExternalData_1[[#This Row],[RunningReportDate]])</f>
        <v>6</v>
      </c>
      <c r="CZ39" s="36">
        <f>181-Table_ExternalData_1[[#This Row],[DaysOD]]</f>
        <v>7</v>
      </c>
      <c r="DA39" s="36">
        <f>IF(Table_ExternalData_1[[#This Row],[Status]]="PU-WC",0,Table_ExternalData_1[[#This Row],[Amount_CWO]]/1000000)</f>
        <v>146.98150742999999</v>
      </c>
      <c r="DB39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39" s="36">
        <f>IF(Table_ExternalData_1[[#This Row],[Status]]="PU-WC",0,IF(Table_ExternalData_1[[#This Row],[Success CWO]]=1,Table_ExternalData_1[[#This Row],[CWO Amt]],0))</f>
        <v>0</v>
      </c>
      <c r="DD39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146.98150742999999</v>
      </c>
      <c r="DE39" s="36">
        <f>DAY(Table_ExternalData_1[[#This Row],[Tanggal_Sukses]])</f>
        <v>0</v>
      </c>
      <c r="DF39" s="36">
        <f>IF(Table_ExternalData_1[[#This Row],[Status]]="PU-WC",0,IF(SUM(Table_ExternalData_1[[#This Row],[Success CWO]:[WO-In-Amt]])=0,1,0))</f>
        <v>0</v>
      </c>
      <c r="DG39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39" s="36" t="str">
        <f>VLOOKUP(Table_ExternalData_1[[#This Row],[BranchID]],KC!$A:$K,5,0)</f>
        <v>4W</v>
      </c>
      <c r="DI39" s="36" t="str">
        <f>VLOOKUP(Table_ExternalData_1[[#This Row],[BranchID]],KC!$A:$K,8,0)</f>
        <v>05. Kalimantan</v>
      </c>
      <c r="DJ39" s="36" t="str">
        <f>VLOOKUP(Table_ExternalData_1[[#This Row],[BranchID]],KC!$A:$K,9,0)</f>
        <v>BANJARMASIN</v>
      </c>
    </row>
    <row r="40" spans="1:114" x14ac:dyDescent="0.3">
      <c r="A40" s="3" t="s">
        <v>280</v>
      </c>
      <c r="B40" s="2" t="s">
        <v>281</v>
      </c>
      <c r="C40" s="278">
        <v>46173</v>
      </c>
      <c r="D40" s="278">
        <v>46002</v>
      </c>
      <c r="E40" s="278">
        <v>45484</v>
      </c>
      <c r="F40" s="2" t="s">
        <v>2579</v>
      </c>
      <c r="G40" s="2" t="s">
        <v>2580</v>
      </c>
      <c r="H40" s="1" t="s">
        <v>2581</v>
      </c>
      <c r="I40" s="1" t="s">
        <v>2582</v>
      </c>
      <c r="J40" s="1" t="s">
        <v>2583</v>
      </c>
      <c r="K40" s="1" t="s">
        <v>4</v>
      </c>
      <c r="L40" s="1" t="s">
        <v>2583</v>
      </c>
      <c r="M40" s="1" t="s">
        <v>2584</v>
      </c>
      <c r="N40" s="1" t="s">
        <v>2585</v>
      </c>
      <c r="O40" s="1" t="s">
        <v>2141</v>
      </c>
      <c r="P40" s="1" t="s">
        <v>293</v>
      </c>
      <c r="Q40" s="1" t="s">
        <v>1077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2166</v>
      </c>
      <c r="W40" s="1" t="s">
        <v>187</v>
      </c>
      <c r="X40" s="1" t="s">
        <v>121</v>
      </c>
      <c r="Y40" s="1" t="s">
        <v>136</v>
      </c>
      <c r="Z40" s="1" t="s">
        <v>137</v>
      </c>
      <c r="AA40" s="1" t="s">
        <v>2586</v>
      </c>
      <c r="AB40" s="1" t="s">
        <v>2587</v>
      </c>
      <c r="AC40" s="1" t="s">
        <v>2588</v>
      </c>
      <c r="AD40" s="1">
        <v>122012000</v>
      </c>
      <c r="AE40" s="1">
        <v>96622118.959999993</v>
      </c>
      <c r="AF40" s="1">
        <v>105374000</v>
      </c>
      <c r="AG40" s="1">
        <v>16638000</v>
      </c>
      <c r="AH40" s="1">
        <v>13265000</v>
      </c>
      <c r="AI40" s="1">
        <v>0</v>
      </c>
      <c r="AJ40" s="1">
        <v>2773000</v>
      </c>
      <c r="AK40" s="1">
        <v>171</v>
      </c>
      <c r="AL40" s="1">
        <v>6</v>
      </c>
      <c r="AM40" s="1">
        <v>17</v>
      </c>
      <c r="AN40" s="1">
        <v>60</v>
      </c>
      <c r="AO40" s="1" t="s">
        <v>123</v>
      </c>
      <c r="AP40" s="1" t="s">
        <v>123</v>
      </c>
      <c r="AQ40" s="1" t="s">
        <v>124</v>
      </c>
      <c r="AR40" s="1" t="s">
        <v>1115</v>
      </c>
      <c r="AS40" s="1" t="s">
        <v>289</v>
      </c>
      <c r="AT40" s="1" t="s">
        <v>290</v>
      </c>
      <c r="AU40" s="1" t="s">
        <v>282</v>
      </c>
      <c r="AV40" s="1" t="s">
        <v>283</v>
      </c>
      <c r="AW40" s="1" t="s">
        <v>126</v>
      </c>
      <c r="AX40" s="1" t="s">
        <v>127</v>
      </c>
      <c r="AY40" s="1" t="s">
        <v>291</v>
      </c>
      <c r="AZ40" s="1" t="s">
        <v>284</v>
      </c>
      <c r="BA40" s="1" t="s">
        <v>285</v>
      </c>
      <c r="BB40" s="1" t="s">
        <v>128</v>
      </c>
      <c r="BC40" s="1" t="s">
        <v>286</v>
      </c>
      <c r="BD40" s="1" t="s">
        <v>284</v>
      </c>
      <c r="BE40" s="1" t="s">
        <v>287</v>
      </c>
      <c r="BF40" s="1" t="s">
        <v>129</v>
      </c>
      <c r="BG40" s="1" t="s">
        <v>130</v>
      </c>
      <c r="BH40" s="1">
        <v>7</v>
      </c>
      <c r="BI40" s="1">
        <v>19411000</v>
      </c>
      <c r="BJ40" s="75"/>
      <c r="BK40" s="75"/>
      <c r="BL40" s="75"/>
      <c r="BN40" s="75">
        <v>46203</v>
      </c>
      <c r="BO40" s="1">
        <v>1</v>
      </c>
      <c r="BP40" s="76">
        <v>46180</v>
      </c>
      <c r="BQ40" s="1" t="s">
        <v>131</v>
      </c>
      <c r="BR40" s="1">
        <v>178</v>
      </c>
      <c r="BS40" s="75">
        <v>46002</v>
      </c>
      <c r="BT40" s="1">
        <v>122012000</v>
      </c>
      <c r="BU40" s="1">
        <v>0</v>
      </c>
      <c r="BV40" s="1">
        <v>1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75"/>
      <c r="CD40" s="1">
        <v>0</v>
      </c>
      <c r="CE40" s="75"/>
      <c r="CF40" s="1">
        <v>0</v>
      </c>
      <c r="CG40" s="75"/>
      <c r="CH40" s="1">
        <v>0</v>
      </c>
      <c r="CI40" s="75"/>
      <c r="CJ40" s="1">
        <v>0</v>
      </c>
      <c r="CK40" s="75"/>
      <c r="CL40" s="1">
        <v>0</v>
      </c>
      <c r="CM40" s="75">
        <v>46180</v>
      </c>
      <c r="CN40" s="1" t="s">
        <v>132</v>
      </c>
      <c r="CO40" s="1">
        <v>96622118.959999993</v>
      </c>
      <c r="CP40" s="1">
        <v>96622118.959999993</v>
      </c>
      <c r="CQ40" s="1">
        <v>10</v>
      </c>
      <c r="CR40" s="75"/>
      <c r="CT40" s="1">
        <v>0</v>
      </c>
      <c r="CU40" s="1" t="s">
        <v>288</v>
      </c>
      <c r="CV40" s="1" t="s">
        <v>205</v>
      </c>
      <c r="CW40" s="82">
        <v>46180</v>
      </c>
      <c r="CX40" s="1" t="s">
        <v>2202</v>
      </c>
      <c r="CY40" s="36">
        <f>MONTH(Table_ExternalData_1[[#This Row],[RunningReportDate]])</f>
        <v>6</v>
      </c>
      <c r="CZ40" s="36">
        <f>181-Table_ExternalData_1[[#This Row],[DaysOD]]</f>
        <v>10</v>
      </c>
      <c r="DA40" s="36">
        <f>IF(Table_ExternalData_1[[#This Row],[Status]]="PU-WC",0,Table_ExternalData_1[[#This Row],[Amount_CWO]]/1000000)</f>
        <v>96.622118959999995</v>
      </c>
      <c r="DB40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40" s="36">
        <f>IF(Table_ExternalData_1[[#This Row],[Status]]="PU-WC",0,IF(Table_ExternalData_1[[#This Row],[Success CWO]]=1,Table_ExternalData_1[[#This Row],[CWO Amt]],0))</f>
        <v>0</v>
      </c>
      <c r="DD40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40" s="36">
        <f>DAY(Table_ExternalData_1[[#This Row],[Tanggal_Sukses]])</f>
        <v>0</v>
      </c>
      <c r="DF40" s="36">
        <f>IF(Table_ExternalData_1[[#This Row],[Status]]="PU-WC",0,IF(SUM(Table_ExternalData_1[[#This Row],[Success CWO]:[WO-In-Amt]])=0,1,0))</f>
        <v>1</v>
      </c>
      <c r="DG40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96.622118959999995</v>
      </c>
      <c r="DH40" s="36" t="str">
        <f>VLOOKUP(Table_ExternalData_1[[#This Row],[BranchID]],KC!$A:$K,5,0)</f>
        <v>4W</v>
      </c>
      <c r="DI40" s="36" t="str">
        <f>VLOOKUP(Table_ExternalData_1[[#This Row],[BranchID]],KC!$A:$K,8,0)</f>
        <v>05. Kalimantan</v>
      </c>
      <c r="DJ40" s="36" t="str">
        <f>VLOOKUP(Table_ExternalData_1[[#This Row],[BranchID]],KC!$A:$K,9,0)</f>
        <v>BANJARMASIN</v>
      </c>
    </row>
    <row r="41" spans="1:114" x14ac:dyDescent="0.3">
      <c r="A41" s="3" t="s">
        <v>280</v>
      </c>
      <c r="B41" s="2" t="s">
        <v>281</v>
      </c>
      <c r="C41" s="278">
        <v>46173</v>
      </c>
      <c r="D41" s="278">
        <v>46006</v>
      </c>
      <c r="E41" s="278">
        <v>44516</v>
      </c>
      <c r="F41" s="2" t="s">
        <v>2567</v>
      </c>
      <c r="G41" s="2" t="s">
        <v>2568</v>
      </c>
      <c r="H41" s="1" t="s">
        <v>2569</v>
      </c>
      <c r="I41" s="1" t="s">
        <v>2570</v>
      </c>
      <c r="J41" s="1" t="s">
        <v>2571</v>
      </c>
      <c r="K41" s="1" t="s">
        <v>4</v>
      </c>
      <c r="L41" s="1" t="s">
        <v>2571</v>
      </c>
      <c r="M41" s="1" t="s">
        <v>2572</v>
      </c>
      <c r="N41" s="1" t="s">
        <v>2573</v>
      </c>
      <c r="O41" s="1" t="s">
        <v>2574</v>
      </c>
      <c r="P41" s="1" t="s">
        <v>2142</v>
      </c>
      <c r="Q41" s="1" t="s">
        <v>2143</v>
      </c>
      <c r="R41" s="1" t="s">
        <v>4</v>
      </c>
      <c r="S41" s="1" t="s">
        <v>4</v>
      </c>
      <c r="T41" s="1" t="s">
        <v>2575</v>
      </c>
      <c r="U41" s="1" t="s">
        <v>2575</v>
      </c>
      <c r="V41" s="1" t="s">
        <v>367</v>
      </c>
      <c r="W41" s="1" t="s">
        <v>120</v>
      </c>
      <c r="X41" s="1" t="s">
        <v>121</v>
      </c>
      <c r="Y41" s="1" t="s">
        <v>268</v>
      </c>
      <c r="Z41" s="1" t="s">
        <v>1758</v>
      </c>
      <c r="AA41" s="1" t="s">
        <v>2576</v>
      </c>
      <c r="AB41" s="1" t="s">
        <v>2577</v>
      </c>
      <c r="AC41" s="1" t="s">
        <v>2578</v>
      </c>
      <c r="AD41" s="1">
        <v>62106000</v>
      </c>
      <c r="AE41" s="1">
        <v>57360339.5</v>
      </c>
      <c r="AF41" s="1">
        <v>28230000</v>
      </c>
      <c r="AG41" s="1">
        <v>33876000</v>
      </c>
      <c r="AH41" s="1">
        <v>51048230</v>
      </c>
      <c r="AI41" s="1">
        <v>0</v>
      </c>
      <c r="AJ41" s="1">
        <v>5646000</v>
      </c>
      <c r="AK41" s="1">
        <v>167</v>
      </c>
      <c r="AL41" s="1">
        <v>6</v>
      </c>
      <c r="AM41" s="1">
        <v>50</v>
      </c>
      <c r="AN41" s="1">
        <v>60</v>
      </c>
      <c r="AO41" s="1" t="s">
        <v>123</v>
      </c>
      <c r="AP41" s="1" t="s">
        <v>123</v>
      </c>
      <c r="AQ41" s="1" t="s">
        <v>124</v>
      </c>
      <c r="AR41" s="1" t="s">
        <v>1115</v>
      </c>
      <c r="AS41" s="1" t="s">
        <v>289</v>
      </c>
      <c r="AT41" s="1" t="s">
        <v>290</v>
      </c>
      <c r="AU41" s="1" t="s">
        <v>282</v>
      </c>
      <c r="AV41" s="1" t="s">
        <v>283</v>
      </c>
      <c r="AW41" s="1" t="s">
        <v>126</v>
      </c>
      <c r="AX41" s="1" t="s">
        <v>127</v>
      </c>
      <c r="AY41" s="1" t="s">
        <v>291</v>
      </c>
      <c r="AZ41" s="1" t="s">
        <v>284</v>
      </c>
      <c r="BA41" s="1" t="s">
        <v>285</v>
      </c>
      <c r="BB41" s="1" t="s">
        <v>128</v>
      </c>
      <c r="BC41" s="1" t="s">
        <v>286</v>
      </c>
      <c r="BD41" s="1" t="s">
        <v>284</v>
      </c>
      <c r="BE41" s="1" t="s">
        <v>287</v>
      </c>
      <c r="BF41" s="1" t="s">
        <v>129</v>
      </c>
      <c r="BG41" s="1" t="s">
        <v>130</v>
      </c>
      <c r="BH41" s="1">
        <v>7</v>
      </c>
      <c r="BI41" s="1">
        <v>39522000</v>
      </c>
      <c r="BJ41" s="75"/>
      <c r="BK41" s="75"/>
      <c r="BL41" s="75"/>
      <c r="BN41" s="75">
        <v>46203</v>
      </c>
      <c r="BO41" s="1">
        <v>1</v>
      </c>
      <c r="BP41" s="76">
        <v>46180</v>
      </c>
      <c r="BQ41" s="1" t="s">
        <v>131</v>
      </c>
      <c r="BR41" s="1">
        <v>174</v>
      </c>
      <c r="BS41" s="75">
        <v>46006</v>
      </c>
      <c r="BT41" s="1">
        <v>62106000</v>
      </c>
      <c r="BU41" s="1">
        <v>0</v>
      </c>
      <c r="BV41" s="1">
        <v>1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75"/>
      <c r="CD41" s="1">
        <v>0</v>
      </c>
      <c r="CE41" s="75"/>
      <c r="CF41" s="1">
        <v>0</v>
      </c>
      <c r="CG41" s="75"/>
      <c r="CH41" s="1">
        <v>0</v>
      </c>
      <c r="CI41" s="75"/>
      <c r="CJ41" s="1">
        <v>0</v>
      </c>
      <c r="CK41" s="75"/>
      <c r="CL41" s="1">
        <v>0</v>
      </c>
      <c r="CM41" s="75">
        <v>46180</v>
      </c>
      <c r="CN41" s="1" t="s">
        <v>132</v>
      </c>
      <c r="CO41" s="1">
        <v>57360339.5</v>
      </c>
      <c r="CP41" s="1">
        <v>57360339.5</v>
      </c>
      <c r="CQ41" s="1">
        <v>14</v>
      </c>
      <c r="CR41" s="75"/>
      <c r="CT41" s="1">
        <v>0</v>
      </c>
      <c r="CU41" s="1" t="s">
        <v>288</v>
      </c>
      <c r="CV41" s="1" t="s">
        <v>205</v>
      </c>
      <c r="CW41" s="82">
        <v>46180</v>
      </c>
      <c r="CX41" s="1" t="s">
        <v>2202</v>
      </c>
      <c r="CY41" s="36">
        <f>MONTH(Table_ExternalData_1[[#This Row],[RunningReportDate]])</f>
        <v>6</v>
      </c>
      <c r="CZ41" s="36">
        <f>181-Table_ExternalData_1[[#This Row],[DaysOD]]</f>
        <v>14</v>
      </c>
      <c r="DA41" s="36">
        <f>IF(Table_ExternalData_1[[#This Row],[Status]]="PU-WC",0,Table_ExternalData_1[[#This Row],[Amount_CWO]]/1000000)</f>
        <v>57.360339500000002</v>
      </c>
      <c r="DB41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41" s="36">
        <f>IF(Table_ExternalData_1[[#This Row],[Status]]="PU-WC",0,IF(Table_ExternalData_1[[#This Row],[Success CWO]]=1,Table_ExternalData_1[[#This Row],[CWO Amt]],0))</f>
        <v>0</v>
      </c>
      <c r="DD41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41" s="36">
        <f>DAY(Table_ExternalData_1[[#This Row],[Tanggal_Sukses]])</f>
        <v>0</v>
      </c>
      <c r="DF41" s="36">
        <f>IF(Table_ExternalData_1[[#This Row],[Status]]="PU-WC",0,IF(SUM(Table_ExternalData_1[[#This Row],[Success CWO]:[WO-In-Amt]])=0,1,0))</f>
        <v>1</v>
      </c>
      <c r="DG41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57.360339500000002</v>
      </c>
      <c r="DH41" s="36" t="str">
        <f>VLOOKUP(Table_ExternalData_1[[#This Row],[BranchID]],KC!$A:$K,5,0)</f>
        <v>4W</v>
      </c>
      <c r="DI41" s="36" t="str">
        <f>VLOOKUP(Table_ExternalData_1[[#This Row],[BranchID]],KC!$A:$K,8,0)</f>
        <v>05. Kalimantan</v>
      </c>
      <c r="DJ41" s="36" t="str">
        <f>VLOOKUP(Table_ExternalData_1[[#This Row],[BranchID]],KC!$A:$K,9,0)</f>
        <v>BANJARMASIN</v>
      </c>
    </row>
    <row r="42" spans="1:114" x14ac:dyDescent="0.3">
      <c r="A42" s="3" t="s">
        <v>237</v>
      </c>
      <c r="B42" s="2" t="s">
        <v>238</v>
      </c>
      <c r="C42" s="278">
        <v>46173</v>
      </c>
      <c r="D42" s="278">
        <v>46001</v>
      </c>
      <c r="E42" s="278">
        <v>45453</v>
      </c>
      <c r="F42" s="2" t="s">
        <v>2557</v>
      </c>
      <c r="G42" s="2" t="s">
        <v>2558</v>
      </c>
      <c r="H42" s="1" t="s">
        <v>2559</v>
      </c>
      <c r="I42" s="1" t="s">
        <v>2560</v>
      </c>
      <c r="J42" s="1" t="s">
        <v>2561</v>
      </c>
      <c r="K42" s="1" t="s">
        <v>4</v>
      </c>
      <c r="L42" s="1" t="s">
        <v>2561</v>
      </c>
      <c r="M42" s="1" t="s">
        <v>2562</v>
      </c>
      <c r="N42" s="1" t="s">
        <v>587</v>
      </c>
      <c r="O42" s="1" t="s">
        <v>2563</v>
      </c>
      <c r="P42" s="1" t="s">
        <v>2552</v>
      </c>
      <c r="Q42" s="1" t="s">
        <v>2553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1113</v>
      </c>
      <c r="W42" s="1" t="s">
        <v>187</v>
      </c>
      <c r="X42" s="1" t="s">
        <v>121</v>
      </c>
      <c r="Y42" s="1" t="s">
        <v>136</v>
      </c>
      <c r="Z42" s="1" t="s">
        <v>137</v>
      </c>
      <c r="AA42" s="1" t="s">
        <v>2564</v>
      </c>
      <c r="AB42" s="1" t="s">
        <v>2565</v>
      </c>
      <c r="AC42" s="1" t="s">
        <v>2566</v>
      </c>
      <c r="AD42" s="1">
        <v>61351000</v>
      </c>
      <c r="AE42" s="1">
        <v>52521171.509999998</v>
      </c>
      <c r="AF42" s="1">
        <v>41977000</v>
      </c>
      <c r="AG42" s="1">
        <v>19374000</v>
      </c>
      <c r="AH42" s="1">
        <v>11048865</v>
      </c>
      <c r="AI42" s="1">
        <v>0</v>
      </c>
      <c r="AJ42" s="1">
        <v>3229000</v>
      </c>
      <c r="AK42" s="1">
        <v>172</v>
      </c>
      <c r="AL42" s="1">
        <v>6</v>
      </c>
      <c r="AM42" s="1">
        <v>18</v>
      </c>
      <c r="AN42" s="1">
        <v>36</v>
      </c>
      <c r="AO42" s="1" t="s">
        <v>123</v>
      </c>
      <c r="AP42" s="1" t="s">
        <v>123</v>
      </c>
      <c r="AQ42" s="1" t="s">
        <v>124</v>
      </c>
      <c r="BF42" s="1" t="s">
        <v>129</v>
      </c>
      <c r="BG42" s="1" t="s">
        <v>130</v>
      </c>
      <c r="BH42" s="1">
        <v>7</v>
      </c>
      <c r="BI42" s="1">
        <v>22603000</v>
      </c>
      <c r="BJ42" s="75"/>
      <c r="BK42" s="75"/>
      <c r="BL42" s="75"/>
      <c r="BN42" s="75">
        <v>46203</v>
      </c>
      <c r="BO42" s="1">
        <v>1</v>
      </c>
      <c r="BP42" s="76">
        <v>46180</v>
      </c>
      <c r="BQ42" s="1" t="s">
        <v>131</v>
      </c>
      <c r="BR42" s="1">
        <v>179</v>
      </c>
      <c r="BS42" s="75">
        <v>46001</v>
      </c>
      <c r="BT42" s="1">
        <v>61351000</v>
      </c>
      <c r="BU42" s="1">
        <v>0</v>
      </c>
      <c r="BV42" s="1">
        <v>1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75"/>
      <c r="CD42" s="1">
        <v>0</v>
      </c>
      <c r="CE42" s="75"/>
      <c r="CF42" s="1">
        <v>0</v>
      </c>
      <c r="CG42" s="75"/>
      <c r="CH42" s="1">
        <v>0</v>
      </c>
      <c r="CI42" s="75"/>
      <c r="CJ42" s="1">
        <v>0</v>
      </c>
      <c r="CK42" s="75"/>
      <c r="CL42" s="1">
        <v>0</v>
      </c>
      <c r="CM42" s="75">
        <v>46180</v>
      </c>
      <c r="CN42" s="1" t="s">
        <v>132</v>
      </c>
      <c r="CO42" s="1">
        <v>52521171.509999998</v>
      </c>
      <c r="CP42" s="1">
        <v>52521171.509999998</v>
      </c>
      <c r="CQ42" s="1">
        <v>9</v>
      </c>
      <c r="CR42" s="75"/>
      <c r="CT42" s="1">
        <v>0</v>
      </c>
      <c r="CU42" s="1" t="s">
        <v>240</v>
      </c>
      <c r="CV42" s="1" t="s">
        <v>241</v>
      </c>
      <c r="CW42" s="82">
        <v>46180</v>
      </c>
      <c r="CX42" s="1" t="s">
        <v>2202</v>
      </c>
      <c r="CY42" s="36">
        <f>MONTH(Table_ExternalData_1[[#This Row],[RunningReportDate]])</f>
        <v>6</v>
      </c>
      <c r="CZ42" s="36">
        <f>181-Table_ExternalData_1[[#This Row],[DaysOD]]</f>
        <v>9</v>
      </c>
      <c r="DA42" s="36">
        <f>IF(Table_ExternalData_1[[#This Row],[Status]]="PU-WC",0,Table_ExternalData_1[[#This Row],[Amount_CWO]]/1000000)</f>
        <v>52.521171509999995</v>
      </c>
      <c r="DB42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42" s="36">
        <f>IF(Table_ExternalData_1[[#This Row],[Status]]="PU-WC",0,IF(Table_ExternalData_1[[#This Row],[Success CWO]]=1,Table_ExternalData_1[[#This Row],[CWO Amt]],0))</f>
        <v>0</v>
      </c>
      <c r="DD42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42" s="36">
        <f>DAY(Table_ExternalData_1[[#This Row],[Tanggal_Sukses]])</f>
        <v>0</v>
      </c>
      <c r="DF42" s="36">
        <f>IF(Table_ExternalData_1[[#This Row],[Status]]="PU-WC",0,IF(SUM(Table_ExternalData_1[[#This Row],[Success CWO]:[WO-In-Amt]])=0,1,0))</f>
        <v>1</v>
      </c>
      <c r="DG42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52.521171509999995</v>
      </c>
      <c r="DH42" s="36" t="str">
        <f>VLOOKUP(Table_ExternalData_1[[#This Row],[BranchID]],KC!$A:$K,5,0)</f>
        <v>4W</v>
      </c>
      <c r="DI42" s="36" t="str">
        <f>VLOOKUP(Table_ExternalData_1[[#This Row],[BranchID]],KC!$A:$K,8,0)</f>
        <v>08. Sumbaguteng</v>
      </c>
      <c r="DJ42" s="36" t="str">
        <f>VLOOKUP(Table_ExternalData_1[[#This Row],[BranchID]],KC!$A:$K,9,0)</f>
        <v>PEKANBARU</v>
      </c>
    </row>
    <row r="43" spans="1:114" x14ac:dyDescent="0.3">
      <c r="A43" s="3" t="s">
        <v>237</v>
      </c>
      <c r="B43" s="2" t="s">
        <v>238</v>
      </c>
      <c r="C43" s="278">
        <v>46173</v>
      </c>
      <c r="D43" s="278">
        <v>45996</v>
      </c>
      <c r="E43" s="278">
        <v>45291</v>
      </c>
      <c r="F43" s="2" t="s">
        <v>2544</v>
      </c>
      <c r="G43" s="2" t="s">
        <v>2545</v>
      </c>
      <c r="H43" s="1" t="s">
        <v>2546</v>
      </c>
      <c r="I43" s="1" t="s">
        <v>2547</v>
      </c>
      <c r="J43" s="1" t="s">
        <v>2548</v>
      </c>
      <c r="K43" s="1" t="s">
        <v>4</v>
      </c>
      <c r="L43" s="1" t="s">
        <v>2548</v>
      </c>
      <c r="M43" s="1" t="s">
        <v>2549</v>
      </c>
      <c r="N43" s="1" t="s">
        <v>2550</v>
      </c>
      <c r="O43" s="1" t="s">
        <v>2551</v>
      </c>
      <c r="P43" s="1" t="s">
        <v>2552</v>
      </c>
      <c r="Q43" s="1" t="s">
        <v>2553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239</v>
      </c>
      <c r="W43" s="1" t="s">
        <v>120</v>
      </c>
      <c r="X43" s="1" t="s">
        <v>121</v>
      </c>
      <c r="Y43" s="1" t="s">
        <v>136</v>
      </c>
      <c r="Z43" s="1" t="s">
        <v>137</v>
      </c>
      <c r="AA43" s="1" t="s">
        <v>2554</v>
      </c>
      <c r="AB43" s="1" t="s">
        <v>2555</v>
      </c>
      <c r="AC43" s="1" t="s">
        <v>2556</v>
      </c>
      <c r="AD43" s="1">
        <v>138510000</v>
      </c>
      <c r="AE43" s="1">
        <v>109233526.3</v>
      </c>
      <c r="AF43" s="1">
        <v>116640000</v>
      </c>
      <c r="AG43" s="1">
        <v>21870000</v>
      </c>
      <c r="AH43" s="1">
        <v>29172200</v>
      </c>
      <c r="AI43" s="1">
        <v>0</v>
      </c>
      <c r="AJ43" s="1">
        <v>3645000</v>
      </c>
      <c r="AK43" s="1">
        <v>177</v>
      </c>
      <c r="AL43" s="1">
        <v>6</v>
      </c>
      <c r="AM43" s="1">
        <v>23</v>
      </c>
      <c r="AN43" s="1">
        <v>60</v>
      </c>
      <c r="AO43" s="1" t="s">
        <v>123</v>
      </c>
      <c r="AP43" s="1" t="s">
        <v>123</v>
      </c>
      <c r="AQ43" s="1" t="s">
        <v>124</v>
      </c>
      <c r="BF43" s="1" t="s">
        <v>129</v>
      </c>
      <c r="BG43" s="1" t="s">
        <v>130</v>
      </c>
      <c r="BH43" s="1">
        <v>7</v>
      </c>
      <c r="BI43" s="1">
        <v>25515000</v>
      </c>
      <c r="BJ43" s="75"/>
      <c r="BK43" s="75"/>
      <c r="BL43" s="75"/>
      <c r="BN43" s="75">
        <v>46203</v>
      </c>
      <c r="BO43" s="1">
        <v>1</v>
      </c>
      <c r="BP43" s="76">
        <v>46180</v>
      </c>
      <c r="BQ43" s="1" t="s">
        <v>131</v>
      </c>
      <c r="BR43" s="1">
        <v>184</v>
      </c>
      <c r="BS43" s="75">
        <v>45996</v>
      </c>
      <c r="BT43" s="1">
        <v>138510000</v>
      </c>
      <c r="BU43" s="1">
        <v>0</v>
      </c>
      <c r="BV43" s="1">
        <v>1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75"/>
      <c r="CD43" s="1">
        <v>0</v>
      </c>
      <c r="CE43" s="75"/>
      <c r="CF43" s="1">
        <v>0</v>
      </c>
      <c r="CG43" s="75"/>
      <c r="CH43" s="1">
        <v>0</v>
      </c>
      <c r="CI43" s="75"/>
      <c r="CJ43" s="1">
        <v>0</v>
      </c>
      <c r="CK43" s="75"/>
      <c r="CL43" s="1">
        <v>0</v>
      </c>
      <c r="CM43" s="75">
        <v>46180</v>
      </c>
      <c r="CN43" s="1" t="s">
        <v>132</v>
      </c>
      <c r="CO43" s="1">
        <v>109233526.3</v>
      </c>
      <c r="CP43" s="1">
        <v>109233526.3</v>
      </c>
      <c r="CQ43" s="1">
        <v>4</v>
      </c>
      <c r="CR43" s="75"/>
      <c r="CT43" s="1">
        <v>0</v>
      </c>
      <c r="CU43" s="1" t="s">
        <v>240</v>
      </c>
      <c r="CV43" s="1" t="s">
        <v>241</v>
      </c>
      <c r="CW43" s="82">
        <v>46180</v>
      </c>
      <c r="CX43" s="1" t="s">
        <v>2202</v>
      </c>
      <c r="CY43" s="36">
        <f>MONTH(Table_ExternalData_1[[#This Row],[RunningReportDate]])</f>
        <v>6</v>
      </c>
      <c r="CZ43" s="36">
        <f>181-Table_ExternalData_1[[#This Row],[DaysOD]]</f>
        <v>4</v>
      </c>
      <c r="DA43" s="36">
        <f>IF(Table_ExternalData_1[[#This Row],[Status]]="PU-WC",0,Table_ExternalData_1[[#This Row],[Amount_CWO]]/1000000)</f>
        <v>109.23352629999999</v>
      </c>
      <c r="DB43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43" s="36">
        <f>IF(Table_ExternalData_1[[#This Row],[Status]]="PU-WC",0,IF(Table_ExternalData_1[[#This Row],[Success CWO]]=1,Table_ExternalData_1[[#This Row],[CWO Amt]],0))</f>
        <v>0</v>
      </c>
      <c r="DD43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109.23352629999999</v>
      </c>
      <c r="DE43" s="36">
        <f>DAY(Table_ExternalData_1[[#This Row],[Tanggal_Sukses]])</f>
        <v>0</v>
      </c>
      <c r="DF43" s="36">
        <f>IF(Table_ExternalData_1[[#This Row],[Status]]="PU-WC",0,IF(SUM(Table_ExternalData_1[[#This Row],[Success CWO]:[WO-In-Amt]])=0,1,0))</f>
        <v>0</v>
      </c>
      <c r="DG43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43" s="36" t="str">
        <f>VLOOKUP(Table_ExternalData_1[[#This Row],[BranchID]],KC!$A:$K,5,0)</f>
        <v>4W</v>
      </c>
      <c r="DI43" s="36" t="str">
        <f>VLOOKUP(Table_ExternalData_1[[#This Row],[BranchID]],KC!$A:$K,8,0)</f>
        <v>08. Sumbaguteng</v>
      </c>
      <c r="DJ43" s="36" t="str">
        <f>VLOOKUP(Table_ExternalData_1[[#This Row],[BranchID]],KC!$A:$K,9,0)</f>
        <v>PEKANBARU</v>
      </c>
    </row>
    <row r="44" spans="1:114" x14ac:dyDescent="0.3">
      <c r="A44" s="3" t="s">
        <v>237</v>
      </c>
      <c r="B44" s="2" t="s">
        <v>238</v>
      </c>
      <c r="C44" s="278">
        <v>46173</v>
      </c>
      <c r="D44" s="278">
        <v>46011</v>
      </c>
      <c r="E44" s="278">
        <v>44671</v>
      </c>
      <c r="F44" s="2" t="s">
        <v>2533</v>
      </c>
      <c r="G44" s="2" t="s">
        <v>2534</v>
      </c>
      <c r="H44" s="1" t="s">
        <v>2535</v>
      </c>
      <c r="I44" s="1" t="s">
        <v>2536</v>
      </c>
      <c r="J44" s="1" t="s">
        <v>2537</v>
      </c>
      <c r="K44" s="1" t="s">
        <v>4</v>
      </c>
      <c r="L44" s="1" t="s">
        <v>2537</v>
      </c>
      <c r="M44" s="1" t="s">
        <v>2538</v>
      </c>
      <c r="N44" s="1" t="s">
        <v>2539</v>
      </c>
      <c r="O44" s="1" t="s">
        <v>1286</v>
      </c>
      <c r="P44" s="1" t="s">
        <v>1287</v>
      </c>
      <c r="Q44" s="1" t="s">
        <v>2540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927</v>
      </c>
      <c r="W44" s="1" t="s">
        <v>120</v>
      </c>
      <c r="X44" s="1" t="s">
        <v>121</v>
      </c>
      <c r="Y44" s="1" t="s">
        <v>136</v>
      </c>
      <c r="Z44" s="1" t="s">
        <v>137</v>
      </c>
      <c r="AA44" s="1" t="s">
        <v>2541</v>
      </c>
      <c r="AB44" s="1" t="s">
        <v>2542</v>
      </c>
      <c r="AC44" s="1" t="s">
        <v>2543</v>
      </c>
      <c r="AD44" s="1">
        <v>70602000</v>
      </c>
      <c r="AE44" s="1">
        <v>61648647.710000001</v>
      </c>
      <c r="AF44" s="1">
        <v>50430000</v>
      </c>
      <c r="AG44" s="1">
        <v>20172000</v>
      </c>
      <c r="AH44" s="1">
        <v>27287457</v>
      </c>
      <c r="AI44" s="1">
        <v>365950</v>
      </c>
      <c r="AJ44" s="1">
        <v>3362000</v>
      </c>
      <c r="AK44" s="1">
        <v>162</v>
      </c>
      <c r="AL44" s="1">
        <v>6</v>
      </c>
      <c r="AM44" s="1">
        <v>44</v>
      </c>
      <c r="AN44" s="1">
        <v>64</v>
      </c>
      <c r="AO44" s="1" t="s">
        <v>123</v>
      </c>
      <c r="AP44" s="1" t="s">
        <v>123</v>
      </c>
      <c r="AQ44" s="1" t="s">
        <v>124</v>
      </c>
      <c r="BF44" s="1" t="s">
        <v>129</v>
      </c>
      <c r="BG44" s="1" t="s">
        <v>130</v>
      </c>
      <c r="BH44" s="1">
        <v>7</v>
      </c>
      <c r="BI44" s="1">
        <v>23534000</v>
      </c>
      <c r="BJ44" s="75"/>
      <c r="BK44" s="75"/>
      <c r="BL44" s="75"/>
      <c r="BN44" s="75">
        <v>46203</v>
      </c>
      <c r="BO44" s="1">
        <v>1</v>
      </c>
      <c r="BP44" s="76">
        <v>46180</v>
      </c>
      <c r="BQ44" s="1" t="s">
        <v>131</v>
      </c>
      <c r="BR44" s="1">
        <v>169</v>
      </c>
      <c r="BS44" s="75">
        <v>46011</v>
      </c>
      <c r="BT44" s="1">
        <v>70602000</v>
      </c>
      <c r="BU44" s="1">
        <v>0</v>
      </c>
      <c r="BV44" s="1">
        <v>1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75"/>
      <c r="CD44" s="1">
        <v>0</v>
      </c>
      <c r="CE44" s="75"/>
      <c r="CF44" s="1">
        <v>0</v>
      </c>
      <c r="CG44" s="75"/>
      <c r="CH44" s="1">
        <v>0</v>
      </c>
      <c r="CI44" s="75"/>
      <c r="CJ44" s="1">
        <v>0</v>
      </c>
      <c r="CK44" s="75"/>
      <c r="CL44" s="1">
        <v>0</v>
      </c>
      <c r="CM44" s="75">
        <v>46180</v>
      </c>
      <c r="CN44" s="1" t="s">
        <v>132</v>
      </c>
      <c r="CO44" s="1">
        <v>61282697.710000001</v>
      </c>
      <c r="CP44" s="1">
        <v>61282697.710000001</v>
      </c>
      <c r="CQ44" s="1">
        <v>19</v>
      </c>
      <c r="CR44" s="75"/>
      <c r="CT44" s="1">
        <v>0</v>
      </c>
      <c r="CU44" s="1" t="s">
        <v>240</v>
      </c>
      <c r="CV44" s="1" t="s">
        <v>241</v>
      </c>
      <c r="CW44" s="82">
        <v>46180</v>
      </c>
      <c r="CX44" s="1" t="s">
        <v>2202</v>
      </c>
      <c r="CY44" s="36">
        <f>MONTH(Table_ExternalData_1[[#This Row],[RunningReportDate]])</f>
        <v>6</v>
      </c>
      <c r="CZ44" s="36">
        <f>181-Table_ExternalData_1[[#This Row],[DaysOD]]</f>
        <v>19</v>
      </c>
      <c r="DA44" s="36">
        <f>IF(Table_ExternalData_1[[#This Row],[Status]]="PU-WC",0,Table_ExternalData_1[[#This Row],[Amount_CWO]]/1000000)</f>
        <v>61.282697710000001</v>
      </c>
      <c r="DB44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44" s="36">
        <f>IF(Table_ExternalData_1[[#This Row],[Status]]="PU-WC",0,IF(Table_ExternalData_1[[#This Row],[Success CWO]]=1,Table_ExternalData_1[[#This Row],[CWO Amt]],0))</f>
        <v>0</v>
      </c>
      <c r="DD44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44" s="36">
        <f>DAY(Table_ExternalData_1[[#This Row],[Tanggal_Sukses]])</f>
        <v>0</v>
      </c>
      <c r="DF44" s="36">
        <f>IF(Table_ExternalData_1[[#This Row],[Status]]="PU-WC",0,IF(SUM(Table_ExternalData_1[[#This Row],[Success CWO]:[WO-In-Amt]])=0,1,0))</f>
        <v>1</v>
      </c>
      <c r="DG44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61.282697710000001</v>
      </c>
      <c r="DH44" s="36" t="str">
        <f>VLOOKUP(Table_ExternalData_1[[#This Row],[BranchID]],KC!$A:$K,5,0)</f>
        <v>4W</v>
      </c>
      <c r="DI44" s="36" t="str">
        <f>VLOOKUP(Table_ExternalData_1[[#This Row],[BranchID]],KC!$A:$K,8,0)</f>
        <v>08. Sumbaguteng</v>
      </c>
      <c r="DJ44" s="36" t="str">
        <f>VLOOKUP(Table_ExternalData_1[[#This Row],[BranchID]],KC!$A:$K,9,0)</f>
        <v>PEKANBARU</v>
      </c>
    </row>
    <row r="45" spans="1:114" x14ac:dyDescent="0.3">
      <c r="A45" s="3" t="s">
        <v>237</v>
      </c>
      <c r="B45" s="2" t="s">
        <v>238</v>
      </c>
      <c r="C45" s="278">
        <v>46173</v>
      </c>
      <c r="D45" s="278">
        <v>45995</v>
      </c>
      <c r="E45" s="278">
        <v>44569</v>
      </c>
      <c r="F45" s="2" t="s">
        <v>2524</v>
      </c>
      <c r="G45" s="2" t="s">
        <v>2525</v>
      </c>
      <c r="H45" s="1" t="s">
        <v>2526</v>
      </c>
      <c r="I45" s="1" t="s">
        <v>2527</v>
      </c>
      <c r="J45" s="1" t="s">
        <v>2135</v>
      </c>
      <c r="K45" s="1" t="s">
        <v>4</v>
      </c>
      <c r="L45" s="1" t="s">
        <v>2135</v>
      </c>
      <c r="M45" s="1" t="s">
        <v>2528</v>
      </c>
      <c r="N45" s="1" t="s">
        <v>2529</v>
      </c>
      <c r="O45" s="1" t="s">
        <v>2136</v>
      </c>
      <c r="P45" s="1" t="s">
        <v>2133</v>
      </c>
      <c r="Q45" s="1" t="s">
        <v>2134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1796</v>
      </c>
      <c r="W45" s="1" t="s">
        <v>120</v>
      </c>
      <c r="X45" s="1" t="s">
        <v>121</v>
      </c>
      <c r="Y45" s="1" t="s">
        <v>136</v>
      </c>
      <c r="Z45" s="1" t="s">
        <v>137</v>
      </c>
      <c r="AA45" s="1" t="s">
        <v>2530</v>
      </c>
      <c r="AB45" s="1" t="s">
        <v>2531</v>
      </c>
      <c r="AC45" s="1" t="s">
        <v>2532</v>
      </c>
      <c r="AD45" s="1">
        <v>7748000</v>
      </c>
      <c r="AE45" s="1">
        <v>7601806.4000000004</v>
      </c>
      <c r="AF45" s="1">
        <v>0</v>
      </c>
      <c r="AG45" s="1">
        <v>7748000</v>
      </c>
      <c r="AH45" s="1">
        <v>32826750</v>
      </c>
      <c r="AI45" s="1">
        <v>200000</v>
      </c>
      <c r="AJ45" s="1">
        <v>3874000</v>
      </c>
      <c r="AK45" s="1">
        <v>178</v>
      </c>
      <c r="AL45" s="1">
        <v>2</v>
      </c>
      <c r="AM45" s="1">
        <v>47</v>
      </c>
      <c r="AN45" s="1">
        <v>48</v>
      </c>
      <c r="AO45" s="1" t="s">
        <v>123</v>
      </c>
      <c r="AP45" s="1" t="s">
        <v>123</v>
      </c>
      <c r="AQ45" s="1" t="s">
        <v>124</v>
      </c>
      <c r="BF45" s="1" t="s">
        <v>129</v>
      </c>
      <c r="BG45" s="1" t="s">
        <v>130</v>
      </c>
      <c r="BH45" s="1">
        <v>2</v>
      </c>
      <c r="BI45" s="1">
        <v>7748000</v>
      </c>
      <c r="BJ45" s="75"/>
      <c r="BK45" s="75"/>
      <c r="BL45" s="75"/>
      <c r="BN45" s="75">
        <v>46203</v>
      </c>
      <c r="BO45" s="1">
        <v>1</v>
      </c>
      <c r="BP45" s="76">
        <v>46180</v>
      </c>
      <c r="BQ45" s="1" t="s">
        <v>131</v>
      </c>
      <c r="BR45" s="1">
        <v>185</v>
      </c>
      <c r="BS45" s="75">
        <v>45995</v>
      </c>
      <c r="BT45" s="1">
        <v>7748000</v>
      </c>
      <c r="BU45" s="1">
        <v>0</v>
      </c>
      <c r="BV45" s="1">
        <v>1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75"/>
      <c r="CD45" s="1">
        <v>0</v>
      </c>
      <c r="CE45" s="75"/>
      <c r="CF45" s="1">
        <v>0</v>
      </c>
      <c r="CG45" s="75"/>
      <c r="CH45" s="1">
        <v>0</v>
      </c>
      <c r="CI45" s="75"/>
      <c r="CJ45" s="1">
        <v>0</v>
      </c>
      <c r="CK45" s="75"/>
      <c r="CL45" s="1">
        <v>0</v>
      </c>
      <c r="CM45" s="75">
        <v>46180</v>
      </c>
      <c r="CN45" s="1" t="s">
        <v>132</v>
      </c>
      <c r="CO45" s="1">
        <v>7401806.4000000004</v>
      </c>
      <c r="CP45" s="1">
        <v>7401806.4000000004</v>
      </c>
      <c r="CQ45" s="1">
        <v>3</v>
      </c>
      <c r="CR45" s="75"/>
      <c r="CT45" s="1">
        <v>0</v>
      </c>
      <c r="CU45" s="1" t="s">
        <v>240</v>
      </c>
      <c r="CV45" s="1" t="s">
        <v>241</v>
      </c>
      <c r="CW45" s="82">
        <v>46180</v>
      </c>
      <c r="CX45" s="1" t="s">
        <v>2202</v>
      </c>
      <c r="CY45" s="36">
        <f>MONTH(Table_ExternalData_1[[#This Row],[RunningReportDate]])</f>
        <v>6</v>
      </c>
      <c r="CZ45" s="36">
        <f>181-Table_ExternalData_1[[#This Row],[DaysOD]]</f>
        <v>3</v>
      </c>
      <c r="DA45" s="36">
        <f>IF(Table_ExternalData_1[[#This Row],[Status]]="PU-WC",0,Table_ExternalData_1[[#This Row],[Amount_CWO]]/1000000)</f>
        <v>7.4018064000000008</v>
      </c>
      <c r="DB45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45" s="36">
        <f>IF(Table_ExternalData_1[[#This Row],[Status]]="PU-WC",0,IF(Table_ExternalData_1[[#This Row],[Success CWO]]=1,Table_ExternalData_1[[#This Row],[CWO Amt]],0))</f>
        <v>0</v>
      </c>
      <c r="DD45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7.4018064000000008</v>
      </c>
      <c r="DE45" s="36">
        <f>DAY(Table_ExternalData_1[[#This Row],[Tanggal_Sukses]])</f>
        <v>0</v>
      </c>
      <c r="DF45" s="36">
        <f>IF(Table_ExternalData_1[[#This Row],[Status]]="PU-WC",0,IF(SUM(Table_ExternalData_1[[#This Row],[Success CWO]:[WO-In-Amt]])=0,1,0))</f>
        <v>0</v>
      </c>
      <c r="DG45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45" s="36" t="str">
        <f>VLOOKUP(Table_ExternalData_1[[#This Row],[BranchID]],KC!$A:$K,5,0)</f>
        <v>4W</v>
      </c>
      <c r="DI45" s="36" t="str">
        <f>VLOOKUP(Table_ExternalData_1[[#This Row],[BranchID]],KC!$A:$K,8,0)</f>
        <v>08. Sumbaguteng</v>
      </c>
      <c r="DJ45" s="36" t="str">
        <f>VLOOKUP(Table_ExternalData_1[[#This Row],[BranchID]],KC!$A:$K,9,0)</f>
        <v>PEKANBARU</v>
      </c>
    </row>
    <row r="46" spans="1:114" x14ac:dyDescent="0.3">
      <c r="A46" s="3" t="s">
        <v>237</v>
      </c>
      <c r="B46" s="2" t="s">
        <v>238</v>
      </c>
      <c r="C46" s="278">
        <v>46173</v>
      </c>
      <c r="D46" s="278">
        <v>45996</v>
      </c>
      <c r="E46" s="278">
        <v>44481</v>
      </c>
      <c r="F46" s="2" t="s">
        <v>2516</v>
      </c>
      <c r="G46" s="2" t="s">
        <v>2517</v>
      </c>
      <c r="H46" s="1" t="s">
        <v>2518</v>
      </c>
      <c r="I46" s="1" t="s">
        <v>2519</v>
      </c>
      <c r="J46" s="1" t="s">
        <v>2137</v>
      </c>
      <c r="K46" s="1" t="s">
        <v>4</v>
      </c>
      <c r="L46" s="1" t="s">
        <v>2137</v>
      </c>
      <c r="M46" s="1" t="s">
        <v>2138</v>
      </c>
      <c r="N46" s="1" t="s">
        <v>2138</v>
      </c>
      <c r="O46" s="1" t="s">
        <v>2139</v>
      </c>
      <c r="P46" s="1" t="s">
        <v>2133</v>
      </c>
      <c r="Q46" s="1" t="s">
        <v>2134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2520</v>
      </c>
      <c r="W46" s="1" t="s">
        <v>120</v>
      </c>
      <c r="X46" s="1" t="s">
        <v>121</v>
      </c>
      <c r="Y46" s="1" t="s">
        <v>136</v>
      </c>
      <c r="Z46" s="1" t="s">
        <v>137</v>
      </c>
      <c r="AA46" s="1" t="s">
        <v>2521</v>
      </c>
      <c r="AB46" s="1" t="s">
        <v>2522</v>
      </c>
      <c r="AC46" s="1" t="s">
        <v>2523</v>
      </c>
      <c r="AD46" s="1">
        <v>10755000</v>
      </c>
      <c r="AE46" s="1">
        <v>10482149.85</v>
      </c>
      <c r="AF46" s="1">
        <v>0</v>
      </c>
      <c r="AG46" s="1">
        <v>10755000</v>
      </c>
      <c r="AH46" s="1">
        <v>26532187.5</v>
      </c>
      <c r="AI46" s="1">
        <v>0</v>
      </c>
      <c r="AJ46" s="1">
        <v>3585000</v>
      </c>
      <c r="AK46" s="1">
        <v>177</v>
      </c>
      <c r="AL46" s="1">
        <v>3</v>
      </c>
      <c r="AM46" s="1">
        <v>49</v>
      </c>
      <c r="AN46" s="1">
        <v>51</v>
      </c>
      <c r="AO46" s="1" t="s">
        <v>123</v>
      </c>
      <c r="AP46" s="1" t="s">
        <v>123</v>
      </c>
      <c r="AQ46" s="1" t="s">
        <v>124</v>
      </c>
      <c r="BF46" s="1" t="s">
        <v>129</v>
      </c>
      <c r="BG46" s="1" t="s">
        <v>130</v>
      </c>
      <c r="BH46" s="1">
        <v>3</v>
      </c>
      <c r="BI46" s="1">
        <v>10755000</v>
      </c>
      <c r="BJ46" s="75"/>
      <c r="BK46" s="75"/>
      <c r="BL46" s="75"/>
      <c r="BN46" s="75">
        <v>46203</v>
      </c>
      <c r="BO46" s="1">
        <v>1</v>
      </c>
      <c r="BP46" s="76">
        <v>46180</v>
      </c>
      <c r="BQ46" s="1" t="s">
        <v>131</v>
      </c>
      <c r="BR46" s="1">
        <v>153</v>
      </c>
      <c r="BS46" s="75">
        <v>46027</v>
      </c>
      <c r="BT46" s="1">
        <v>7170000</v>
      </c>
      <c r="BU46" s="1">
        <v>3585000</v>
      </c>
      <c r="BV46" s="1">
        <v>0</v>
      </c>
      <c r="BW46" s="1">
        <v>0</v>
      </c>
      <c r="BX46" s="1">
        <v>0</v>
      </c>
      <c r="BY46" s="1">
        <v>1</v>
      </c>
      <c r="BZ46" s="1">
        <v>1</v>
      </c>
      <c r="CA46" s="1">
        <v>3585000</v>
      </c>
      <c r="CB46" s="1">
        <v>3585000</v>
      </c>
      <c r="CC46" s="75"/>
      <c r="CD46" s="1">
        <v>0</v>
      </c>
      <c r="CE46" s="75"/>
      <c r="CF46" s="1">
        <v>0</v>
      </c>
      <c r="CG46" s="75"/>
      <c r="CH46" s="1">
        <v>0</v>
      </c>
      <c r="CI46" s="75"/>
      <c r="CJ46" s="1">
        <v>0</v>
      </c>
      <c r="CK46" s="75"/>
      <c r="CL46" s="1">
        <v>0</v>
      </c>
      <c r="CM46" s="75">
        <v>46180</v>
      </c>
      <c r="CN46" s="1" t="s">
        <v>132</v>
      </c>
      <c r="CO46" s="1">
        <v>10482149.85</v>
      </c>
      <c r="CP46" s="1">
        <v>0</v>
      </c>
      <c r="CQ46" s="1">
        <v>0</v>
      </c>
      <c r="CR46" s="75">
        <v>46175</v>
      </c>
      <c r="CS46" s="1" t="s">
        <v>2114</v>
      </c>
      <c r="CT46" s="1">
        <v>10482149.85</v>
      </c>
      <c r="CU46" s="1" t="s">
        <v>240</v>
      </c>
      <c r="CV46" s="1" t="s">
        <v>241</v>
      </c>
      <c r="CW46" s="82">
        <v>46180</v>
      </c>
      <c r="CX46" s="1" t="s">
        <v>2202</v>
      </c>
      <c r="CY46" s="36">
        <f>MONTH(Table_ExternalData_1[[#This Row],[RunningReportDate]])</f>
        <v>6</v>
      </c>
      <c r="CZ46" s="36">
        <f>181-Table_ExternalData_1[[#This Row],[DaysOD]]</f>
        <v>4</v>
      </c>
      <c r="DA46" s="36">
        <f>IF(Table_ExternalData_1[[#This Row],[Status]]="PU-WC",0,Table_ExternalData_1[[#This Row],[Amount_CWO]]/1000000)</f>
        <v>10.482149849999999</v>
      </c>
      <c r="DB46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1</v>
      </c>
      <c r="DC46" s="36">
        <f>IF(Table_ExternalData_1[[#This Row],[Status]]="PU-WC",0,IF(Table_ExternalData_1[[#This Row],[Success CWO]]=1,Table_ExternalData_1[[#This Row],[CWO Amt]],0))</f>
        <v>10.482149849999999</v>
      </c>
      <c r="DD46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46" s="36">
        <f>DAY(Table_ExternalData_1[[#This Row],[Tanggal_Sukses]])</f>
        <v>2</v>
      </c>
      <c r="DF46" s="36">
        <f>IF(Table_ExternalData_1[[#This Row],[Status]]="PU-WC",0,IF(SUM(Table_ExternalData_1[[#This Row],[Success CWO]:[WO-In-Amt]])=0,1,0))</f>
        <v>0</v>
      </c>
      <c r="DG46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46" s="36" t="str">
        <f>VLOOKUP(Table_ExternalData_1[[#This Row],[BranchID]],KC!$A:$K,5,0)</f>
        <v>4W</v>
      </c>
      <c r="DI46" s="36" t="str">
        <f>VLOOKUP(Table_ExternalData_1[[#This Row],[BranchID]],KC!$A:$K,8,0)</f>
        <v>08. Sumbaguteng</v>
      </c>
      <c r="DJ46" s="36" t="str">
        <f>VLOOKUP(Table_ExternalData_1[[#This Row],[BranchID]],KC!$A:$K,9,0)</f>
        <v>PEKANBARU</v>
      </c>
    </row>
    <row r="47" spans="1:114" x14ac:dyDescent="0.3">
      <c r="A47" s="3" t="s">
        <v>2</v>
      </c>
      <c r="B47" s="2" t="s">
        <v>3</v>
      </c>
      <c r="C47" s="278">
        <v>46173</v>
      </c>
      <c r="D47" s="278">
        <v>45996</v>
      </c>
      <c r="E47" s="278">
        <v>44712</v>
      </c>
      <c r="F47" s="2" t="s">
        <v>2503</v>
      </c>
      <c r="G47" s="2" t="s">
        <v>2504</v>
      </c>
      <c r="H47" s="1" t="s">
        <v>2505</v>
      </c>
      <c r="I47" s="1" t="s">
        <v>2506</v>
      </c>
      <c r="J47" s="1" t="s">
        <v>2507</v>
      </c>
      <c r="K47" s="1" t="s">
        <v>4</v>
      </c>
      <c r="L47" s="1" t="s">
        <v>2507</v>
      </c>
      <c r="M47" s="1" t="s">
        <v>2508</v>
      </c>
      <c r="N47" s="1" t="s">
        <v>2509</v>
      </c>
      <c r="O47" s="1" t="s">
        <v>1042</v>
      </c>
      <c r="P47" s="1" t="s">
        <v>906</v>
      </c>
      <c r="Q47" s="1" t="s">
        <v>2510</v>
      </c>
      <c r="R47" s="1" t="s">
        <v>4</v>
      </c>
      <c r="S47" s="1" t="s">
        <v>4</v>
      </c>
      <c r="T47" s="1" t="s">
        <v>2511</v>
      </c>
      <c r="U47" s="1" t="s">
        <v>2511</v>
      </c>
      <c r="V47" s="1" t="s">
        <v>2512</v>
      </c>
      <c r="W47" s="1" t="s">
        <v>120</v>
      </c>
      <c r="X47" s="1" t="s">
        <v>121</v>
      </c>
      <c r="Y47" s="1" t="s">
        <v>136</v>
      </c>
      <c r="Z47" s="1" t="s">
        <v>137</v>
      </c>
      <c r="AA47" s="1" t="s">
        <v>2513</v>
      </c>
      <c r="AB47" s="1" t="s">
        <v>2514</v>
      </c>
      <c r="AC47" s="1" t="s">
        <v>2515</v>
      </c>
      <c r="AD47" s="1">
        <v>26600000</v>
      </c>
      <c r="AE47" s="1">
        <v>24977815.32</v>
      </c>
      <c r="AF47" s="1">
        <v>3800000</v>
      </c>
      <c r="AG47" s="1">
        <v>22800000</v>
      </c>
      <c r="AH47" s="1">
        <v>21913000</v>
      </c>
      <c r="AI47" s="1">
        <v>0</v>
      </c>
      <c r="AJ47" s="1">
        <v>3800000</v>
      </c>
      <c r="AK47" s="1">
        <v>177</v>
      </c>
      <c r="AL47" s="1">
        <v>6</v>
      </c>
      <c r="AM47" s="1">
        <v>42</v>
      </c>
      <c r="AN47" s="1">
        <v>48</v>
      </c>
      <c r="AO47" s="1" t="s">
        <v>123</v>
      </c>
      <c r="AP47" s="1" t="s">
        <v>123</v>
      </c>
      <c r="AQ47" s="1" t="s">
        <v>124</v>
      </c>
      <c r="BF47" s="1" t="s">
        <v>129</v>
      </c>
      <c r="BG47" s="1" t="s">
        <v>130</v>
      </c>
      <c r="BH47" s="1">
        <v>7</v>
      </c>
      <c r="BI47" s="1">
        <v>26600000</v>
      </c>
      <c r="BJ47" s="75"/>
      <c r="BK47" s="75"/>
      <c r="BL47" s="75"/>
      <c r="BN47" s="75">
        <v>46203</v>
      </c>
      <c r="BO47" s="1">
        <v>1</v>
      </c>
      <c r="BP47" s="76">
        <v>46180</v>
      </c>
      <c r="BQ47" s="1" t="s">
        <v>131</v>
      </c>
      <c r="BR47" s="1">
        <v>184</v>
      </c>
      <c r="BS47" s="75">
        <v>45996</v>
      </c>
      <c r="BT47" s="1">
        <v>26600000</v>
      </c>
      <c r="BU47" s="1">
        <v>0</v>
      </c>
      <c r="BV47" s="1">
        <v>1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75"/>
      <c r="CD47" s="1">
        <v>0</v>
      </c>
      <c r="CE47" s="75"/>
      <c r="CF47" s="1">
        <v>0</v>
      </c>
      <c r="CG47" s="75"/>
      <c r="CH47" s="1">
        <v>0</v>
      </c>
      <c r="CI47" s="75"/>
      <c r="CJ47" s="1">
        <v>0</v>
      </c>
      <c r="CK47" s="75"/>
      <c r="CL47" s="1">
        <v>0</v>
      </c>
      <c r="CM47" s="75">
        <v>46180</v>
      </c>
      <c r="CN47" s="1" t="s">
        <v>132</v>
      </c>
      <c r="CO47" s="1">
        <v>24977815.32</v>
      </c>
      <c r="CP47" s="1">
        <v>24977815.32</v>
      </c>
      <c r="CQ47" s="1">
        <v>4</v>
      </c>
      <c r="CR47" s="75"/>
      <c r="CT47" s="1">
        <v>0</v>
      </c>
      <c r="CU47" s="1" t="s">
        <v>907</v>
      </c>
      <c r="CV47" s="1" t="s">
        <v>192</v>
      </c>
      <c r="CW47" s="82">
        <v>46180</v>
      </c>
      <c r="CX47" s="1" t="s">
        <v>2202</v>
      </c>
      <c r="CY47" s="36">
        <f>MONTH(Table_ExternalData_1[[#This Row],[RunningReportDate]])</f>
        <v>6</v>
      </c>
      <c r="CZ47" s="36">
        <f>181-Table_ExternalData_1[[#This Row],[DaysOD]]</f>
        <v>4</v>
      </c>
      <c r="DA47" s="36">
        <f>IF(Table_ExternalData_1[[#This Row],[Status]]="PU-WC",0,Table_ExternalData_1[[#This Row],[Amount_CWO]]/1000000)</f>
        <v>24.977815320000001</v>
      </c>
      <c r="DB47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47" s="36">
        <f>IF(Table_ExternalData_1[[#This Row],[Status]]="PU-WC",0,IF(Table_ExternalData_1[[#This Row],[Success CWO]]=1,Table_ExternalData_1[[#This Row],[CWO Amt]],0))</f>
        <v>0</v>
      </c>
      <c r="DD47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24.977815320000001</v>
      </c>
      <c r="DE47" s="36">
        <f>DAY(Table_ExternalData_1[[#This Row],[Tanggal_Sukses]])</f>
        <v>0</v>
      </c>
      <c r="DF47" s="36">
        <f>IF(Table_ExternalData_1[[#This Row],[Status]]="PU-WC",0,IF(SUM(Table_ExternalData_1[[#This Row],[Success CWO]:[WO-In-Amt]])=0,1,0))</f>
        <v>0</v>
      </c>
      <c r="DG47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47" s="36" t="str">
        <f>VLOOKUP(Table_ExternalData_1[[#This Row],[BranchID]],KC!$A:$K,5,0)</f>
        <v>4W</v>
      </c>
      <c r="DI47" s="36" t="str">
        <f>VLOOKUP(Table_ExternalData_1[[#This Row],[BranchID]],KC!$A:$K,8,0)</f>
        <v>01. Jabodetabekser</v>
      </c>
      <c r="DJ47" s="36" t="str">
        <f>VLOOKUP(Table_ExternalData_1[[#This Row],[BranchID]],KC!$A:$K,9,0)</f>
        <v>DEWI SARTIKA</v>
      </c>
    </row>
    <row r="48" spans="1:114" x14ac:dyDescent="0.3">
      <c r="A48" s="3" t="s">
        <v>5</v>
      </c>
      <c r="B48" s="2" t="s">
        <v>6</v>
      </c>
      <c r="C48" s="278">
        <v>46173</v>
      </c>
      <c r="D48" s="278">
        <v>45996</v>
      </c>
      <c r="E48" s="278">
        <v>44487</v>
      </c>
      <c r="F48" s="2" t="s">
        <v>2493</v>
      </c>
      <c r="G48" s="2" t="s">
        <v>2494</v>
      </c>
      <c r="H48" s="1" t="s">
        <v>2495</v>
      </c>
      <c r="I48" s="1" t="s">
        <v>2496</v>
      </c>
      <c r="J48" s="1" t="s">
        <v>2497</v>
      </c>
      <c r="K48" s="1" t="s">
        <v>4</v>
      </c>
      <c r="L48" s="1" t="s">
        <v>2497</v>
      </c>
      <c r="M48" s="1" t="s">
        <v>2498</v>
      </c>
      <c r="N48" s="1" t="s">
        <v>513</v>
      </c>
      <c r="O48" s="1" t="s">
        <v>2499</v>
      </c>
      <c r="P48" s="1" t="s">
        <v>218</v>
      </c>
      <c r="Q48" s="1" t="s">
        <v>5</v>
      </c>
      <c r="R48" s="1" t="s">
        <v>4</v>
      </c>
      <c r="S48" s="1" t="s">
        <v>4</v>
      </c>
      <c r="T48" s="1" t="s">
        <v>2131</v>
      </c>
      <c r="U48" s="1" t="s">
        <v>2131</v>
      </c>
      <c r="V48" s="1" t="s">
        <v>2131</v>
      </c>
      <c r="W48" s="1" t="s">
        <v>120</v>
      </c>
      <c r="X48" s="1" t="s">
        <v>121</v>
      </c>
      <c r="Y48" s="1" t="s">
        <v>136</v>
      </c>
      <c r="Z48" s="1" t="s">
        <v>137</v>
      </c>
      <c r="AA48" s="1" t="s">
        <v>2500</v>
      </c>
      <c r="AB48" s="1" t="s">
        <v>2501</v>
      </c>
      <c r="AC48" s="1" t="s">
        <v>2502</v>
      </c>
      <c r="AD48" s="1">
        <v>16470000</v>
      </c>
      <c r="AE48" s="1">
        <v>15902499.1</v>
      </c>
      <c r="AF48" s="1">
        <v>0</v>
      </c>
      <c r="AG48" s="1">
        <v>16470000</v>
      </c>
      <c r="AH48" s="1">
        <v>72641475</v>
      </c>
      <c r="AI48" s="1">
        <v>150000</v>
      </c>
      <c r="AJ48" s="1">
        <v>3294000</v>
      </c>
      <c r="AK48" s="1">
        <v>177</v>
      </c>
      <c r="AL48" s="1">
        <v>5</v>
      </c>
      <c r="AM48" s="1">
        <v>49</v>
      </c>
      <c r="AN48" s="1">
        <v>53</v>
      </c>
      <c r="AO48" s="1" t="s">
        <v>123</v>
      </c>
      <c r="AP48" s="1" t="s">
        <v>123</v>
      </c>
      <c r="AQ48" s="1" t="s">
        <v>124</v>
      </c>
      <c r="BF48" s="1" t="s">
        <v>129</v>
      </c>
      <c r="BG48" s="1" t="s">
        <v>130</v>
      </c>
      <c r="BH48" s="1">
        <v>5</v>
      </c>
      <c r="BI48" s="1">
        <v>16470000</v>
      </c>
      <c r="BJ48" s="75"/>
      <c r="BK48" s="75"/>
      <c r="BL48" s="75"/>
      <c r="BN48" s="75">
        <v>46203</v>
      </c>
      <c r="BO48" s="1">
        <v>1</v>
      </c>
      <c r="BP48" s="76">
        <v>46180</v>
      </c>
      <c r="BQ48" s="1" t="s">
        <v>131</v>
      </c>
      <c r="BR48" s="1">
        <v>184</v>
      </c>
      <c r="BS48" s="75">
        <v>45996</v>
      </c>
      <c r="BT48" s="1">
        <v>16470000</v>
      </c>
      <c r="BU48" s="1">
        <v>0</v>
      </c>
      <c r="BV48" s="1">
        <v>1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75"/>
      <c r="CD48" s="1">
        <v>0</v>
      </c>
      <c r="CE48" s="75"/>
      <c r="CF48" s="1">
        <v>0</v>
      </c>
      <c r="CG48" s="75"/>
      <c r="CH48" s="1">
        <v>0</v>
      </c>
      <c r="CI48" s="75"/>
      <c r="CJ48" s="1">
        <v>0</v>
      </c>
      <c r="CK48" s="75"/>
      <c r="CL48" s="1">
        <v>0</v>
      </c>
      <c r="CM48" s="75">
        <v>46180</v>
      </c>
      <c r="CN48" s="1" t="s">
        <v>132</v>
      </c>
      <c r="CO48" s="1">
        <v>15752499.1</v>
      </c>
      <c r="CP48" s="1">
        <v>15752499.1</v>
      </c>
      <c r="CQ48" s="1">
        <v>4</v>
      </c>
      <c r="CR48" s="75"/>
      <c r="CT48" s="1">
        <v>0</v>
      </c>
      <c r="CU48" s="1" t="s">
        <v>219</v>
      </c>
      <c r="CV48" s="1" t="s">
        <v>168</v>
      </c>
      <c r="CW48" s="82">
        <v>46180</v>
      </c>
      <c r="CX48" s="1" t="s">
        <v>2202</v>
      </c>
      <c r="CY48" s="36">
        <f>MONTH(Table_ExternalData_1[[#This Row],[RunningReportDate]])</f>
        <v>6</v>
      </c>
      <c r="CZ48" s="36">
        <f>181-Table_ExternalData_1[[#This Row],[DaysOD]]</f>
        <v>4</v>
      </c>
      <c r="DA48" s="36">
        <f>IF(Table_ExternalData_1[[#This Row],[Status]]="PU-WC",0,Table_ExternalData_1[[#This Row],[Amount_CWO]]/1000000)</f>
        <v>15.7524991</v>
      </c>
      <c r="DB48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48" s="36">
        <f>IF(Table_ExternalData_1[[#This Row],[Status]]="PU-WC",0,IF(Table_ExternalData_1[[#This Row],[Success CWO]]=1,Table_ExternalData_1[[#This Row],[CWO Amt]],0))</f>
        <v>0</v>
      </c>
      <c r="DD48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15.7524991</v>
      </c>
      <c r="DE48" s="36">
        <f>DAY(Table_ExternalData_1[[#This Row],[Tanggal_Sukses]])</f>
        <v>0</v>
      </c>
      <c r="DF48" s="36">
        <f>IF(Table_ExternalData_1[[#This Row],[Status]]="PU-WC",0,IF(SUM(Table_ExternalData_1[[#This Row],[Success CWO]:[WO-In-Amt]])=0,1,0))</f>
        <v>0</v>
      </c>
      <c r="DG48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48" s="36" t="str">
        <f>VLOOKUP(Table_ExternalData_1[[#This Row],[BranchID]],KC!$A:$K,5,0)</f>
        <v>4W</v>
      </c>
      <c r="DI48" s="36" t="str">
        <f>VLOOKUP(Table_ExternalData_1[[#This Row],[BranchID]],KC!$A:$K,8,0)</f>
        <v>01. Jabodetabekser</v>
      </c>
      <c r="DJ48" s="36" t="str">
        <f>VLOOKUP(Table_ExternalData_1[[#This Row],[BranchID]],KC!$A:$K,9,0)</f>
        <v>SERANG</v>
      </c>
    </row>
    <row r="49" spans="1:114" x14ac:dyDescent="0.3">
      <c r="A49" s="3" t="s">
        <v>455</v>
      </c>
      <c r="B49" s="2" t="s">
        <v>747</v>
      </c>
      <c r="C49" s="278">
        <v>46173</v>
      </c>
      <c r="D49" s="278">
        <v>46003</v>
      </c>
      <c r="E49" s="278">
        <v>45150</v>
      </c>
      <c r="F49" s="2" t="s">
        <v>2483</v>
      </c>
      <c r="G49" s="2" t="s">
        <v>2484</v>
      </c>
      <c r="H49" s="1" t="s">
        <v>2485</v>
      </c>
      <c r="I49" s="1" t="s">
        <v>2486</v>
      </c>
      <c r="J49" s="1" t="s">
        <v>2487</v>
      </c>
      <c r="K49" s="1" t="s">
        <v>4</v>
      </c>
      <c r="L49" s="1" t="s">
        <v>2487</v>
      </c>
      <c r="M49" s="1" t="s">
        <v>2488</v>
      </c>
      <c r="N49" s="1" t="s">
        <v>2489</v>
      </c>
      <c r="O49" s="1" t="s">
        <v>455</v>
      </c>
      <c r="P49" s="1" t="s">
        <v>1397</v>
      </c>
      <c r="Q49" s="1" t="s">
        <v>1398</v>
      </c>
      <c r="R49" s="1" t="s">
        <v>4</v>
      </c>
      <c r="S49" s="1" t="s">
        <v>4</v>
      </c>
      <c r="T49" s="1" t="s">
        <v>332</v>
      </c>
      <c r="U49" s="1" t="s">
        <v>4</v>
      </c>
      <c r="V49" s="1" t="s">
        <v>332</v>
      </c>
      <c r="W49" s="1" t="s">
        <v>120</v>
      </c>
      <c r="X49" s="1" t="s">
        <v>121</v>
      </c>
      <c r="Y49" s="1" t="s">
        <v>136</v>
      </c>
      <c r="Z49" s="1" t="s">
        <v>137</v>
      </c>
      <c r="AA49" s="1" t="s">
        <v>2490</v>
      </c>
      <c r="AB49" s="1" t="s">
        <v>2491</v>
      </c>
      <c r="AC49" s="1" t="s">
        <v>2492</v>
      </c>
      <c r="AD49" s="1">
        <v>123750000</v>
      </c>
      <c r="AE49" s="1">
        <v>98880051.239999995</v>
      </c>
      <c r="AF49" s="1">
        <v>101250000</v>
      </c>
      <c r="AG49" s="1">
        <v>22500000</v>
      </c>
      <c r="AH49" s="1">
        <v>10725000</v>
      </c>
      <c r="AI49" s="1">
        <v>0</v>
      </c>
      <c r="AJ49" s="1">
        <v>3750000</v>
      </c>
      <c r="AK49" s="1">
        <v>170</v>
      </c>
      <c r="AL49" s="1">
        <v>6</v>
      </c>
      <c r="AM49" s="1">
        <v>28</v>
      </c>
      <c r="AN49" s="1">
        <v>60</v>
      </c>
      <c r="AO49" s="1" t="s">
        <v>123</v>
      </c>
      <c r="AP49" s="1" t="s">
        <v>123</v>
      </c>
      <c r="AQ49" s="1" t="s">
        <v>124</v>
      </c>
      <c r="BF49" s="1" t="s">
        <v>129</v>
      </c>
      <c r="BG49" s="1" t="s">
        <v>130</v>
      </c>
      <c r="BH49" s="1">
        <v>7</v>
      </c>
      <c r="BI49" s="1">
        <v>26250000</v>
      </c>
      <c r="BJ49" s="75"/>
      <c r="BK49" s="75"/>
      <c r="BL49" s="75"/>
      <c r="BN49" s="75">
        <v>46203</v>
      </c>
      <c r="BO49" s="1">
        <v>1</v>
      </c>
      <c r="BP49" s="76">
        <v>46180</v>
      </c>
      <c r="BQ49" s="1" t="s">
        <v>131</v>
      </c>
      <c r="BR49" s="1">
        <v>177</v>
      </c>
      <c r="BS49" s="75">
        <v>46003</v>
      </c>
      <c r="BT49" s="1">
        <v>123750000</v>
      </c>
      <c r="BU49" s="1">
        <v>0</v>
      </c>
      <c r="BV49" s="1">
        <v>1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75"/>
      <c r="CD49" s="1">
        <v>0</v>
      </c>
      <c r="CE49" s="75"/>
      <c r="CF49" s="1">
        <v>0</v>
      </c>
      <c r="CG49" s="75"/>
      <c r="CH49" s="1">
        <v>0</v>
      </c>
      <c r="CI49" s="75"/>
      <c r="CJ49" s="1">
        <v>0</v>
      </c>
      <c r="CK49" s="75"/>
      <c r="CL49" s="1">
        <v>0</v>
      </c>
      <c r="CM49" s="75">
        <v>46180</v>
      </c>
      <c r="CN49" s="1" t="s">
        <v>132</v>
      </c>
      <c r="CO49" s="1">
        <v>98880051.239999995</v>
      </c>
      <c r="CP49" s="1">
        <v>98880051.239999995</v>
      </c>
      <c r="CQ49" s="1">
        <v>11</v>
      </c>
      <c r="CR49" s="75"/>
      <c r="CT49" s="1">
        <v>0</v>
      </c>
      <c r="CU49" s="1" t="s">
        <v>748</v>
      </c>
      <c r="CV49" s="1" t="s">
        <v>320</v>
      </c>
      <c r="CW49" s="82">
        <v>46180</v>
      </c>
      <c r="CX49" s="1" t="s">
        <v>2202</v>
      </c>
      <c r="CY49" s="36">
        <f>MONTH(Table_ExternalData_1[[#This Row],[RunningReportDate]])</f>
        <v>6</v>
      </c>
      <c r="CZ49" s="36">
        <f>181-Table_ExternalData_1[[#This Row],[DaysOD]]</f>
        <v>11</v>
      </c>
      <c r="DA49" s="36">
        <f>IF(Table_ExternalData_1[[#This Row],[Status]]="PU-WC",0,Table_ExternalData_1[[#This Row],[Amount_CWO]]/1000000)</f>
        <v>98.88005124</v>
      </c>
      <c r="DB49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49" s="36">
        <f>IF(Table_ExternalData_1[[#This Row],[Status]]="PU-WC",0,IF(Table_ExternalData_1[[#This Row],[Success CWO]]=1,Table_ExternalData_1[[#This Row],[CWO Amt]],0))</f>
        <v>0</v>
      </c>
      <c r="DD49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49" s="36">
        <f>DAY(Table_ExternalData_1[[#This Row],[Tanggal_Sukses]])</f>
        <v>0</v>
      </c>
      <c r="DF49" s="36">
        <f>IF(Table_ExternalData_1[[#This Row],[Status]]="PU-WC",0,IF(SUM(Table_ExternalData_1[[#This Row],[Success CWO]:[WO-In-Amt]])=0,1,0))</f>
        <v>1</v>
      </c>
      <c r="DG49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98.88005124</v>
      </c>
      <c r="DH49" s="36" t="str">
        <f>VLOOKUP(Table_ExternalData_1[[#This Row],[BranchID]],KC!$A:$K,5,0)</f>
        <v>4W</v>
      </c>
      <c r="DI49" s="36" t="str">
        <f>VLOOKUP(Table_ExternalData_1[[#This Row],[BranchID]],KC!$A:$K,8,0)</f>
        <v>06. Sulawesi</v>
      </c>
      <c r="DJ49" s="36" t="str">
        <f>VLOOKUP(Table_ExternalData_1[[#This Row],[BranchID]],KC!$A:$K,9,0)</f>
        <v>MAKASSAR</v>
      </c>
    </row>
    <row r="50" spans="1:114" x14ac:dyDescent="0.3">
      <c r="A50" s="3" t="s">
        <v>455</v>
      </c>
      <c r="B50" s="2" t="s">
        <v>747</v>
      </c>
      <c r="C50" s="278">
        <v>46173</v>
      </c>
      <c r="D50" s="278">
        <v>46002</v>
      </c>
      <c r="E50" s="278">
        <v>44881</v>
      </c>
      <c r="F50" s="2" t="s">
        <v>2469</v>
      </c>
      <c r="G50" s="2" t="s">
        <v>2470</v>
      </c>
      <c r="H50" s="1" t="s">
        <v>2471</v>
      </c>
      <c r="I50" s="1" t="s">
        <v>2472</v>
      </c>
      <c r="J50" s="1" t="s">
        <v>2473</v>
      </c>
      <c r="K50" s="1" t="s">
        <v>4</v>
      </c>
      <c r="L50" s="1" t="s">
        <v>2473</v>
      </c>
      <c r="M50" s="1" t="s">
        <v>2474</v>
      </c>
      <c r="N50" s="1" t="s">
        <v>2475</v>
      </c>
      <c r="O50" s="1" t="s">
        <v>2476</v>
      </c>
      <c r="P50" s="1" t="s">
        <v>2477</v>
      </c>
      <c r="Q50" s="1" t="s">
        <v>2478</v>
      </c>
      <c r="R50" s="1" t="s">
        <v>4</v>
      </c>
      <c r="S50" s="1" t="s">
        <v>4</v>
      </c>
      <c r="T50" s="1" t="s">
        <v>2479</v>
      </c>
      <c r="U50" s="1" t="s">
        <v>2479</v>
      </c>
      <c r="V50" s="1" t="s">
        <v>2479</v>
      </c>
      <c r="W50" s="1" t="s">
        <v>120</v>
      </c>
      <c r="X50" s="1" t="s">
        <v>121</v>
      </c>
      <c r="Y50" s="1" t="s">
        <v>136</v>
      </c>
      <c r="Z50" s="1" t="s">
        <v>189</v>
      </c>
      <c r="AA50" s="1" t="s">
        <v>2480</v>
      </c>
      <c r="AB50" s="1" t="s">
        <v>2481</v>
      </c>
      <c r="AC50" s="1" t="s">
        <v>2482</v>
      </c>
      <c r="AD50" s="1">
        <v>98568000</v>
      </c>
      <c r="AE50" s="1">
        <v>82243892.170000002</v>
      </c>
      <c r="AF50" s="1">
        <v>73926000</v>
      </c>
      <c r="AG50" s="1">
        <v>24642000</v>
      </c>
      <c r="AH50" s="1">
        <v>14551250</v>
      </c>
      <c r="AI50" s="1">
        <v>106000</v>
      </c>
      <c r="AJ50" s="1">
        <v>4107000</v>
      </c>
      <c r="AK50" s="1">
        <v>171</v>
      </c>
      <c r="AL50" s="1">
        <v>6</v>
      </c>
      <c r="AM50" s="1">
        <v>37</v>
      </c>
      <c r="AN50" s="1">
        <v>60</v>
      </c>
      <c r="AO50" s="1" t="s">
        <v>123</v>
      </c>
      <c r="AP50" s="1" t="s">
        <v>123</v>
      </c>
      <c r="AQ50" s="1" t="s">
        <v>124</v>
      </c>
      <c r="BF50" s="1" t="s">
        <v>129</v>
      </c>
      <c r="BG50" s="1" t="s">
        <v>130</v>
      </c>
      <c r="BH50" s="1">
        <v>7</v>
      </c>
      <c r="BI50" s="1">
        <v>28749000</v>
      </c>
      <c r="BJ50" s="75"/>
      <c r="BK50" s="75"/>
      <c r="BL50" s="75"/>
      <c r="BN50" s="75">
        <v>46203</v>
      </c>
      <c r="BO50" s="1">
        <v>1</v>
      </c>
      <c r="BP50" s="76">
        <v>46180</v>
      </c>
      <c r="BQ50" s="1" t="s">
        <v>131</v>
      </c>
      <c r="BR50" s="1">
        <v>178</v>
      </c>
      <c r="BS50" s="75">
        <v>46002</v>
      </c>
      <c r="BT50" s="1">
        <v>98568000</v>
      </c>
      <c r="BU50" s="1">
        <v>0</v>
      </c>
      <c r="BV50" s="1">
        <v>1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75"/>
      <c r="CD50" s="1">
        <v>0</v>
      </c>
      <c r="CE50" s="75"/>
      <c r="CF50" s="1">
        <v>0</v>
      </c>
      <c r="CG50" s="75"/>
      <c r="CH50" s="1">
        <v>0</v>
      </c>
      <c r="CI50" s="75"/>
      <c r="CJ50" s="1">
        <v>0</v>
      </c>
      <c r="CK50" s="75"/>
      <c r="CL50" s="1">
        <v>0</v>
      </c>
      <c r="CM50" s="75">
        <v>46180</v>
      </c>
      <c r="CN50" s="1" t="s">
        <v>132</v>
      </c>
      <c r="CO50" s="1">
        <v>82137892.170000002</v>
      </c>
      <c r="CP50" s="1">
        <v>82137892.170000002</v>
      </c>
      <c r="CQ50" s="1">
        <v>10</v>
      </c>
      <c r="CR50" s="75"/>
      <c r="CT50" s="1">
        <v>0</v>
      </c>
      <c r="CU50" s="1" t="s">
        <v>748</v>
      </c>
      <c r="CV50" s="1" t="s">
        <v>320</v>
      </c>
      <c r="CW50" s="82">
        <v>46180</v>
      </c>
      <c r="CX50" s="1" t="s">
        <v>2202</v>
      </c>
      <c r="CY50" s="36">
        <f>MONTH(Table_ExternalData_1[[#This Row],[RunningReportDate]])</f>
        <v>6</v>
      </c>
      <c r="CZ50" s="36">
        <f>181-Table_ExternalData_1[[#This Row],[DaysOD]]</f>
        <v>10</v>
      </c>
      <c r="DA50" s="36">
        <f>IF(Table_ExternalData_1[[#This Row],[Status]]="PU-WC",0,Table_ExternalData_1[[#This Row],[Amount_CWO]]/1000000)</f>
        <v>82.137892170000001</v>
      </c>
      <c r="DB50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50" s="36">
        <f>IF(Table_ExternalData_1[[#This Row],[Status]]="PU-WC",0,IF(Table_ExternalData_1[[#This Row],[Success CWO]]=1,Table_ExternalData_1[[#This Row],[CWO Amt]],0))</f>
        <v>0</v>
      </c>
      <c r="DD50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50" s="36">
        <f>DAY(Table_ExternalData_1[[#This Row],[Tanggal_Sukses]])</f>
        <v>0</v>
      </c>
      <c r="DF50" s="36">
        <f>IF(Table_ExternalData_1[[#This Row],[Status]]="PU-WC",0,IF(SUM(Table_ExternalData_1[[#This Row],[Success CWO]:[WO-In-Amt]])=0,1,0))</f>
        <v>1</v>
      </c>
      <c r="DG50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82.137892170000001</v>
      </c>
      <c r="DH50" s="36" t="str">
        <f>VLOOKUP(Table_ExternalData_1[[#This Row],[BranchID]],KC!$A:$K,5,0)</f>
        <v>4W</v>
      </c>
      <c r="DI50" s="36" t="str">
        <f>VLOOKUP(Table_ExternalData_1[[#This Row],[BranchID]],KC!$A:$K,8,0)</f>
        <v>06. Sulawesi</v>
      </c>
      <c r="DJ50" s="36" t="str">
        <f>VLOOKUP(Table_ExternalData_1[[#This Row],[BranchID]],KC!$A:$K,9,0)</f>
        <v>MAKASSAR</v>
      </c>
    </row>
    <row r="51" spans="1:114" x14ac:dyDescent="0.3">
      <c r="A51" s="3" t="s">
        <v>11</v>
      </c>
      <c r="B51" s="2" t="s">
        <v>12</v>
      </c>
      <c r="C51" s="278">
        <v>46173</v>
      </c>
      <c r="D51" s="278">
        <v>45996</v>
      </c>
      <c r="E51" s="278">
        <v>45626</v>
      </c>
      <c r="F51" s="2" t="s">
        <v>2453</v>
      </c>
      <c r="G51" s="2" t="s">
        <v>2454</v>
      </c>
      <c r="H51" s="1" t="s">
        <v>2455</v>
      </c>
      <c r="I51" s="1" t="s">
        <v>2456</v>
      </c>
      <c r="J51" s="1" t="s">
        <v>2457</v>
      </c>
      <c r="K51" s="1" t="s">
        <v>4</v>
      </c>
      <c r="L51" s="1" t="s">
        <v>2457</v>
      </c>
      <c r="M51" s="1" t="s">
        <v>2458</v>
      </c>
      <c r="N51" s="1" t="s">
        <v>2459</v>
      </c>
      <c r="O51" s="1" t="s">
        <v>11</v>
      </c>
      <c r="P51" s="1" t="s">
        <v>206</v>
      </c>
      <c r="Q51" s="1" t="s">
        <v>207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222</v>
      </c>
      <c r="W51" s="1" t="s">
        <v>120</v>
      </c>
      <c r="X51" s="1" t="s">
        <v>121</v>
      </c>
      <c r="Y51" s="1" t="s">
        <v>268</v>
      </c>
      <c r="Z51" s="1" t="s">
        <v>1289</v>
      </c>
      <c r="AA51" s="1" t="s">
        <v>2460</v>
      </c>
      <c r="AB51" s="1" t="s">
        <v>2461</v>
      </c>
      <c r="AC51" s="1" t="s">
        <v>2462</v>
      </c>
      <c r="AD51" s="1">
        <v>305651000</v>
      </c>
      <c r="AE51" s="1">
        <v>189788967.87</v>
      </c>
      <c r="AF51" s="1">
        <v>280529000</v>
      </c>
      <c r="AG51" s="1">
        <v>25122000</v>
      </c>
      <c r="AH51" s="1">
        <v>14145150</v>
      </c>
      <c r="AI51" s="1">
        <v>0</v>
      </c>
      <c r="AJ51" s="1">
        <v>4187000</v>
      </c>
      <c r="AK51" s="1">
        <v>177</v>
      </c>
      <c r="AL51" s="1">
        <v>6</v>
      </c>
      <c r="AM51" s="1">
        <v>12</v>
      </c>
      <c r="AN51" s="1">
        <v>84</v>
      </c>
      <c r="AO51" s="1" t="s">
        <v>123</v>
      </c>
      <c r="AP51" s="1" t="s">
        <v>123</v>
      </c>
      <c r="AQ51" s="1" t="s">
        <v>124</v>
      </c>
      <c r="AR51" s="1" t="s">
        <v>2463</v>
      </c>
      <c r="AS51" s="1" t="s">
        <v>2464</v>
      </c>
      <c r="AT51" s="1" t="s">
        <v>2465</v>
      </c>
      <c r="AU51" s="1" t="s">
        <v>2466</v>
      </c>
      <c r="AV51" s="1" t="s">
        <v>125</v>
      </c>
      <c r="AW51" s="1" t="s">
        <v>126</v>
      </c>
      <c r="AX51" s="1" t="s">
        <v>127</v>
      </c>
      <c r="AY51" s="1" t="s">
        <v>2467</v>
      </c>
      <c r="AZ51" s="1" t="s">
        <v>2464</v>
      </c>
      <c r="BA51" s="1" t="s">
        <v>2465</v>
      </c>
      <c r="BB51" s="1" t="s">
        <v>128</v>
      </c>
      <c r="BC51" s="1" t="s">
        <v>2468</v>
      </c>
      <c r="BD51" s="1" t="s">
        <v>125</v>
      </c>
      <c r="BE51" s="1" t="s">
        <v>126</v>
      </c>
      <c r="BF51" s="1" t="s">
        <v>129</v>
      </c>
      <c r="BG51" s="1" t="s">
        <v>130</v>
      </c>
      <c r="BH51" s="1">
        <v>7</v>
      </c>
      <c r="BI51" s="1">
        <v>29309000</v>
      </c>
      <c r="BJ51" s="75"/>
      <c r="BK51" s="75"/>
      <c r="BL51" s="75"/>
      <c r="BN51" s="75">
        <v>46203</v>
      </c>
      <c r="BO51" s="1">
        <v>1</v>
      </c>
      <c r="BP51" s="76">
        <v>46180</v>
      </c>
      <c r="BQ51" s="1" t="s">
        <v>131</v>
      </c>
      <c r="BR51" s="1">
        <v>184</v>
      </c>
      <c r="BS51" s="75">
        <v>45996</v>
      </c>
      <c r="BT51" s="1">
        <v>305651000</v>
      </c>
      <c r="BU51" s="1">
        <v>0</v>
      </c>
      <c r="BV51" s="1">
        <v>1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75"/>
      <c r="CD51" s="1">
        <v>0</v>
      </c>
      <c r="CE51" s="75"/>
      <c r="CF51" s="1">
        <v>0</v>
      </c>
      <c r="CG51" s="75"/>
      <c r="CH51" s="1">
        <v>0</v>
      </c>
      <c r="CI51" s="75"/>
      <c r="CJ51" s="1">
        <v>0</v>
      </c>
      <c r="CK51" s="75"/>
      <c r="CL51" s="1">
        <v>0</v>
      </c>
      <c r="CM51" s="75">
        <v>46180</v>
      </c>
      <c r="CN51" s="1" t="s">
        <v>132</v>
      </c>
      <c r="CO51" s="1">
        <v>189788967.87</v>
      </c>
      <c r="CP51" s="1">
        <v>189788967.87</v>
      </c>
      <c r="CQ51" s="1">
        <v>4</v>
      </c>
      <c r="CR51" s="75"/>
      <c r="CT51" s="1">
        <v>0</v>
      </c>
      <c r="CU51" s="1" t="s">
        <v>208</v>
      </c>
      <c r="CV51" s="1" t="s">
        <v>192</v>
      </c>
      <c r="CW51" s="82">
        <v>46180</v>
      </c>
      <c r="CX51" s="1" t="s">
        <v>2202</v>
      </c>
      <c r="CY51" s="36">
        <f>MONTH(Table_ExternalData_1[[#This Row],[RunningReportDate]])</f>
        <v>6</v>
      </c>
      <c r="CZ51" s="36">
        <f>181-Table_ExternalData_1[[#This Row],[DaysOD]]</f>
        <v>4</v>
      </c>
      <c r="DA51" s="36">
        <f>IF(Table_ExternalData_1[[#This Row],[Status]]="PU-WC",0,Table_ExternalData_1[[#This Row],[Amount_CWO]]/1000000)</f>
        <v>189.78896786999999</v>
      </c>
      <c r="DB51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51" s="36">
        <f>IF(Table_ExternalData_1[[#This Row],[Status]]="PU-WC",0,IF(Table_ExternalData_1[[#This Row],[Success CWO]]=1,Table_ExternalData_1[[#This Row],[CWO Amt]],0))</f>
        <v>0</v>
      </c>
      <c r="DD51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189.78896786999999</v>
      </c>
      <c r="DE51" s="36">
        <f>DAY(Table_ExternalData_1[[#This Row],[Tanggal_Sukses]])</f>
        <v>0</v>
      </c>
      <c r="DF51" s="36">
        <f>IF(Table_ExternalData_1[[#This Row],[Status]]="PU-WC",0,IF(SUM(Table_ExternalData_1[[#This Row],[Success CWO]:[WO-In-Amt]])=0,1,0))</f>
        <v>0</v>
      </c>
      <c r="DG51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51" s="36" t="str">
        <f>VLOOKUP(Table_ExternalData_1[[#This Row],[BranchID]],KC!$A:$K,5,0)</f>
        <v>4W</v>
      </c>
      <c r="DI51" s="36" t="str">
        <f>VLOOKUP(Table_ExternalData_1[[#This Row],[BranchID]],KC!$A:$K,8,0)</f>
        <v>01. Jabodetabekser</v>
      </c>
      <c r="DJ51" s="36" t="str">
        <f>VLOOKUP(Table_ExternalData_1[[#This Row],[BranchID]],KC!$A:$K,9,0)</f>
        <v>BOGOR</v>
      </c>
    </row>
    <row r="52" spans="1:114" x14ac:dyDescent="0.3">
      <c r="A52" s="3" t="s">
        <v>193</v>
      </c>
      <c r="B52" s="2" t="s">
        <v>194</v>
      </c>
      <c r="C52" s="278">
        <v>46173</v>
      </c>
      <c r="D52" s="278">
        <v>46004</v>
      </c>
      <c r="E52" s="278">
        <v>45120</v>
      </c>
      <c r="F52" s="2" t="s">
        <v>1434</v>
      </c>
      <c r="G52" s="2" t="s">
        <v>1435</v>
      </c>
      <c r="H52" s="1" t="s">
        <v>1436</v>
      </c>
      <c r="I52" s="1" t="s">
        <v>1437</v>
      </c>
      <c r="J52" s="1" t="s">
        <v>1438</v>
      </c>
      <c r="K52" s="1" t="s">
        <v>4</v>
      </c>
      <c r="L52" s="1" t="s">
        <v>1438</v>
      </c>
      <c r="M52" s="1" t="s">
        <v>1439</v>
      </c>
      <c r="N52" s="1" t="s">
        <v>1440</v>
      </c>
      <c r="O52" s="1" t="s">
        <v>1011</v>
      </c>
      <c r="P52" s="1" t="s">
        <v>382</v>
      </c>
      <c r="Q52" s="1" t="s">
        <v>383</v>
      </c>
      <c r="R52" s="1" t="s">
        <v>4</v>
      </c>
      <c r="S52" s="1" t="s">
        <v>4</v>
      </c>
      <c r="T52" s="1" t="s">
        <v>4</v>
      </c>
      <c r="U52" s="1" t="s">
        <v>4</v>
      </c>
      <c r="V52" s="1" t="s">
        <v>152</v>
      </c>
      <c r="W52" s="1" t="s">
        <v>120</v>
      </c>
      <c r="X52" s="1" t="s">
        <v>121</v>
      </c>
      <c r="Y52" s="1" t="s">
        <v>136</v>
      </c>
      <c r="Z52" s="1" t="s">
        <v>137</v>
      </c>
      <c r="AA52" s="1" t="s">
        <v>1441</v>
      </c>
      <c r="AB52" s="1" t="s">
        <v>1442</v>
      </c>
      <c r="AC52" s="1" t="s">
        <v>1443</v>
      </c>
      <c r="AD52" s="1">
        <v>88000000</v>
      </c>
      <c r="AE52" s="1">
        <v>75409308.680000007</v>
      </c>
      <c r="AF52" s="1">
        <v>61600000</v>
      </c>
      <c r="AG52" s="1">
        <v>26400000</v>
      </c>
      <c r="AH52" s="1">
        <v>33280400</v>
      </c>
      <c r="AI52" s="1">
        <v>0</v>
      </c>
      <c r="AJ52" s="1">
        <v>4400000</v>
      </c>
      <c r="AK52" s="1">
        <v>169</v>
      </c>
      <c r="AL52" s="1">
        <v>6</v>
      </c>
      <c r="AM52" s="1">
        <v>29</v>
      </c>
      <c r="AN52" s="1">
        <v>48</v>
      </c>
      <c r="AO52" s="1" t="s">
        <v>123</v>
      </c>
      <c r="AP52" s="1" t="s">
        <v>123</v>
      </c>
      <c r="AQ52" s="1" t="s">
        <v>124</v>
      </c>
      <c r="AR52" s="1" t="s">
        <v>384</v>
      </c>
      <c r="AS52" s="1" t="s">
        <v>385</v>
      </c>
      <c r="AT52" s="1" t="s">
        <v>386</v>
      </c>
      <c r="AU52" s="1" t="s">
        <v>199</v>
      </c>
      <c r="AV52" s="1" t="s">
        <v>125</v>
      </c>
      <c r="AW52" s="1" t="s">
        <v>126</v>
      </c>
      <c r="AX52" s="1" t="s">
        <v>127</v>
      </c>
      <c r="AY52" s="1" t="s">
        <v>200</v>
      </c>
      <c r="AZ52" s="1" t="s">
        <v>201</v>
      </c>
      <c r="BA52" s="1" t="s">
        <v>202</v>
      </c>
      <c r="BB52" s="1" t="s">
        <v>128</v>
      </c>
      <c r="BC52" s="1" t="s">
        <v>203</v>
      </c>
      <c r="BD52" s="1" t="s">
        <v>125</v>
      </c>
      <c r="BE52" s="1" t="s">
        <v>126</v>
      </c>
      <c r="BF52" s="1" t="s">
        <v>129</v>
      </c>
      <c r="BG52" s="1" t="s">
        <v>130</v>
      </c>
      <c r="BH52" s="1">
        <v>7</v>
      </c>
      <c r="BI52" s="1">
        <v>30800000</v>
      </c>
      <c r="BJ52" s="75"/>
      <c r="BK52" s="75"/>
      <c r="BL52" s="75"/>
      <c r="BN52" s="75">
        <v>46203</v>
      </c>
      <c r="BO52" s="1">
        <v>1</v>
      </c>
      <c r="BP52" s="76">
        <v>46180</v>
      </c>
      <c r="BQ52" s="1" t="s">
        <v>131</v>
      </c>
      <c r="BR52" s="1">
        <v>176</v>
      </c>
      <c r="BS52" s="75">
        <v>46004</v>
      </c>
      <c r="BT52" s="1">
        <v>88000000</v>
      </c>
      <c r="BU52" s="1">
        <v>0</v>
      </c>
      <c r="BV52" s="1">
        <v>1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75"/>
      <c r="CD52" s="1">
        <v>0</v>
      </c>
      <c r="CE52" s="75"/>
      <c r="CF52" s="1">
        <v>0</v>
      </c>
      <c r="CG52" s="75"/>
      <c r="CH52" s="1">
        <v>0</v>
      </c>
      <c r="CI52" s="75"/>
      <c r="CJ52" s="1">
        <v>0</v>
      </c>
      <c r="CK52" s="75"/>
      <c r="CL52" s="1">
        <v>0</v>
      </c>
      <c r="CM52" s="75">
        <v>46180</v>
      </c>
      <c r="CN52" s="1" t="s">
        <v>132</v>
      </c>
      <c r="CO52" s="1">
        <v>75409308.680000007</v>
      </c>
      <c r="CP52" s="1">
        <v>75409308.680000007</v>
      </c>
      <c r="CQ52" s="1">
        <v>12</v>
      </c>
      <c r="CR52" s="75"/>
      <c r="CT52" s="1">
        <v>0</v>
      </c>
      <c r="CU52" s="1" t="s">
        <v>204</v>
      </c>
      <c r="CV52" s="1" t="s">
        <v>205</v>
      </c>
      <c r="CW52" s="82">
        <v>46180</v>
      </c>
      <c r="CX52" s="1" t="s">
        <v>2202</v>
      </c>
      <c r="CY52" s="36">
        <f>MONTH(Table_ExternalData_1[[#This Row],[RunningReportDate]])</f>
        <v>6</v>
      </c>
      <c r="CZ52" s="36">
        <f>181-Table_ExternalData_1[[#This Row],[DaysOD]]</f>
        <v>12</v>
      </c>
      <c r="DA52" s="36">
        <f>IF(Table_ExternalData_1[[#This Row],[Status]]="PU-WC",0,Table_ExternalData_1[[#This Row],[Amount_CWO]]/1000000)</f>
        <v>75.409308680000009</v>
      </c>
      <c r="DB52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52" s="36">
        <f>IF(Table_ExternalData_1[[#This Row],[Status]]="PU-WC",0,IF(Table_ExternalData_1[[#This Row],[Success CWO]]=1,Table_ExternalData_1[[#This Row],[CWO Amt]],0))</f>
        <v>0</v>
      </c>
      <c r="DD52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52" s="36">
        <f>DAY(Table_ExternalData_1[[#This Row],[Tanggal_Sukses]])</f>
        <v>0</v>
      </c>
      <c r="DF52" s="36">
        <f>IF(Table_ExternalData_1[[#This Row],[Status]]="PU-WC",0,IF(SUM(Table_ExternalData_1[[#This Row],[Success CWO]:[WO-In-Amt]])=0,1,0))</f>
        <v>1</v>
      </c>
      <c r="DG52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75.409308680000009</v>
      </c>
      <c r="DH52" s="36" t="str">
        <f>VLOOKUP(Table_ExternalData_1[[#This Row],[BranchID]],KC!$A:$K,5,0)</f>
        <v>4W</v>
      </c>
      <c r="DI52" s="36" t="str">
        <f>VLOOKUP(Table_ExternalData_1[[#This Row],[BranchID]],KC!$A:$K,8,0)</f>
        <v>05. Kalimantan</v>
      </c>
      <c r="DJ52" s="36" t="str">
        <f>VLOOKUP(Table_ExternalData_1[[#This Row],[BranchID]],KC!$A:$K,9,0)</f>
        <v>SAMARINDA</v>
      </c>
    </row>
    <row r="53" spans="1:114" x14ac:dyDescent="0.3">
      <c r="A53" s="3" t="s">
        <v>193</v>
      </c>
      <c r="B53" s="2" t="s">
        <v>194</v>
      </c>
      <c r="C53" s="278">
        <v>46173</v>
      </c>
      <c r="D53" s="278">
        <v>46011</v>
      </c>
      <c r="E53" s="278">
        <v>44977</v>
      </c>
      <c r="F53" s="2" t="s">
        <v>2441</v>
      </c>
      <c r="G53" s="2" t="s">
        <v>2442</v>
      </c>
      <c r="H53" s="1" t="s">
        <v>2443</v>
      </c>
      <c r="I53" s="1" t="s">
        <v>2444</v>
      </c>
      <c r="J53" s="1" t="s">
        <v>2445</v>
      </c>
      <c r="K53" s="1" t="s">
        <v>4</v>
      </c>
      <c r="L53" s="1" t="s">
        <v>2445</v>
      </c>
      <c r="M53" s="1" t="s">
        <v>2446</v>
      </c>
      <c r="N53" s="1" t="s">
        <v>2447</v>
      </c>
      <c r="O53" s="1" t="s">
        <v>195</v>
      </c>
      <c r="P53" s="1" t="s">
        <v>2448</v>
      </c>
      <c r="Q53" s="1" t="s">
        <v>2449</v>
      </c>
      <c r="R53" s="1" t="s">
        <v>4</v>
      </c>
      <c r="S53" s="1" t="s">
        <v>4</v>
      </c>
      <c r="T53" s="1" t="s">
        <v>4</v>
      </c>
      <c r="U53" s="1" t="s">
        <v>4</v>
      </c>
      <c r="V53" s="1" t="s">
        <v>927</v>
      </c>
      <c r="W53" s="1" t="s">
        <v>120</v>
      </c>
      <c r="X53" s="1" t="s">
        <v>121</v>
      </c>
      <c r="Y53" s="1" t="s">
        <v>136</v>
      </c>
      <c r="Z53" s="1" t="s">
        <v>137</v>
      </c>
      <c r="AA53" s="1" t="s">
        <v>2450</v>
      </c>
      <c r="AB53" s="1" t="s">
        <v>2451</v>
      </c>
      <c r="AC53" s="1" t="s">
        <v>2452</v>
      </c>
      <c r="AD53" s="1">
        <v>58725000</v>
      </c>
      <c r="AE53" s="1">
        <v>52240353.32</v>
      </c>
      <c r="AF53" s="1">
        <v>35235000</v>
      </c>
      <c r="AG53" s="1">
        <v>23490000</v>
      </c>
      <c r="AH53" s="1">
        <v>15717275</v>
      </c>
      <c r="AI53" s="1">
        <v>0</v>
      </c>
      <c r="AJ53" s="1">
        <v>3915000</v>
      </c>
      <c r="AK53" s="1">
        <v>162</v>
      </c>
      <c r="AL53" s="1">
        <v>6</v>
      </c>
      <c r="AM53" s="1">
        <v>34</v>
      </c>
      <c r="AN53" s="1">
        <v>48</v>
      </c>
      <c r="AO53" s="1" t="s">
        <v>123</v>
      </c>
      <c r="AP53" s="1" t="s">
        <v>123</v>
      </c>
      <c r="AQ53" s="1" t="s">
        <v>124</v>
      </c>
      <c r="AR53" s="1" t="s">
        <v>196</v>
      </c>
      <c r="AS53" s="1" t="s">
        <v>197</v>
      </c>
      <c r="AT53" s="1" t="s">
        <v>198</v>
      </c>
      <c r="AU53" s="1" t="s">
        <v>199</v>
      </c>
      <c r="AV53" s="1" t="s">
        <v>125</v>
      </c>
      <c r="AW53" s="1" t="s">
        <v>126</v>
      </c>
      <c r="AX53" s="1" t="s">
        <v>127</v>
      </c>
      <c r="AY53" s="1" t="s">
        <v>200</v>
      </c>
      <c r="AZ53" s="1" t="s">
        <v>201</v>
      </c>
      <c r="BA53" s="1" t="s">
        <v>202</v>
      </c>
      <c r="BB53" s="1" t="s">
        <v>128</v>
      </c>
      <c r="BC53" s="1" t="s">
        <v>203</v>
      </c>
      <c r="BD53" s="1" t="s">
        <v>125</v>
      </c>
      <c r="BE53" s="1" t="s">
        <v>126</v>
      </c>
      <c r="BF53" s="1" t="s">
        <v>129</v>
      </c>
      <c r="BG53" s="1" t="s">
        <v>130</v>
      </c>
      <c r="BH53" s="1">
        <v>7</v>
      </c>
      <c r="BI53" s="1">
        <v>27405000</v>
      </c>
      <c r="BJ53" s="75"/>
      <c r="BK53" s="75"/>
      <c r="BL53" s="75"/>
      <c r="BN53" s="75">
        <v>46203</v>
      </c>
      <c r="BO53" s="1">
        <v>1</v>
      </c>
      <c r="BP53" s="76">
        <v>46180</v>
      </c>
      <c r="BQ53" s="1" t="s">
        <v>131</v>
      </c>
      <c r="BR53" s="1">
        <v>169</v>
      </c>
      <c r="BS53" s="75">
        <v>46011</v>
      </c>
      <c r="BT53" s="1">
        <v>58725000</v>
      </c>
      <c r="BU53" s="1">
        <v>0</v>
      </c>
      <c r="BV53" s="1">
        <v>1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75"/>
      <c r="CD53" s="1">
        <v>0</v>
      </c>
      <c r="CE53" s="75"/>
      <c r="CF53" s="1">
        <v>0</v>
      </c>
      <c r="CG53" s="75"/>
      <c r="CH53" s="1">
        <v>0</v>
      </c>
      <c r="CI53" s="75"/>
      <c r="CJ53" s="1">
        <v>0</v>
      </c>
      <c r="CK53" s="75"/>
      <c r="CL53" s="1">
        <v>0</v>
      </c>
      <c r="CM53" s="75">
        <v>46180</v>
      </c>
      <c r="CN53" s="1" t="s">
        <v>132</v>
      </c>
      <c r="CO53" s="1">
        <v>52240353.32</v>
      </c>
      <c r="CP53" s="1">
        <v>52240353.32</v>
      </c>
      <c r="CQ53" s="1">
        <v>19</v>
      </c>
      <c r="CR53" s="75"/>
      <c r="CT53" s="1">
        <v>0</v>
      </c>
      <c r="CU53" s="1" t="s">
        <v>204</v>
      </c>
      <c r="CV53" s="1" t="s">
        <v>205</v>
      </c>
      <c r="CW53" s="82">
        <v>46180</v>
      </c>
      <c r="CX53" s="1" t="s">
        <v>2202</v>
      </c>
      <c r="CY53" s="36">
        <f>MONTH(Table_ExternalData_1[[#This Row],[RunningReportDate]])</f>
        <v>6</v>
      </c>
      <c r="CZ53" s="36">
        <f>181-Table_ExternalData_1[[#This Row],[DaysOD]]</f>
        <v>19</v>
      </c>
      <c r="DA53" s="36">
        <f>IF(Table_ExternalData_1[[#This Row],[Status]]="PU-WC",0,Table_ExternalData_1[[#This Row],[Amount_CWO]]/1000000)</f>
        <v>52.240353319999997</v>
      </c>
      <c r="DB53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53" s="36">
        <f>IF(Table_ExternalData_1[[#This Row],[Status]]="PU-WC",0,IF(Table_ExternalData_1[[#This Row],[Success CWO]]=1,Table_ExternalData_1[[#This Row],[CWO Amt]],0))</f>
        <v>0</v>
      </c>
      <c r="DD53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53" s="36">
        <f>DAY(Table_ExternalData_1[[#This Row],[Tanggal_Sukses]])</f>
        <v>0</v>
      </c>
      <c r="DF53" s="36">
        <f>IF(Table_ExternalData_1[[#This Row],[Status]]="PU-WC",0,IF(SUM(Table_ExternalData_1[[#This Row],[Success CWO]:[WO-In-Amt]])=0,1,0))</f>
        <v>1</v>
      </c>
      <c r="DG53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52.240353319999997</v>
      </c>
      <c r="DH53" s="36" t="str">
        <f>VLOOKUP(Table_ExternalData_1[[#This Row],[BranchID]],KC!$A:$K,5,0)</f>
        <v>4W</v>
      </c>
      <c r="DI53" s="36" t="str">
        <f>VLOOKUP(Table_ExternalData_1[[#This Row],[BranchID]],KC!$A:$K,8,0)</f>
        <v>05. Kalimantan</v>
      </c>
      <c r="DJ53" s="36" t="str">
        <f>VLOOKUP(Table_ExternalData_1[[#This Row],[BranchID]],KC!$A:$K,9,0)</f>
        <v>SAMARINDA</v>
      </c>
    </row>
    <row r="54" spans="1:114" x14ac:dyDescent="0.3">
      <c r="A54" s="3" t="s">
        <v>193</v>
      </c>
      <c r="B54" s="2" t="s">
        <v>194</v>
      </c>
      <c r="C54" s="278">
        <v>46173</v>
      </c>
      <c r="D54" s="278">
        <v>46007</v>
      </c>
      <c r="E54" s="278">
        <v>44916</v>
      </c>
      <c r="F54" s="2" t="s">
        <v>2431</v>
      </c>
      <c r="G54" s="2" t="s">
        <v>2432</v>
      </c>
      <c r="H54" s="1" t="s">
        <v>2433</v>
      </c>
      <c r="I54" s="1" t="s">
        <v>2434</v>
      </c>
      <c r="J54" s="1" t="s">
        <v>2435</v>
      </c>
      <c r="K54" s="1" t="s">
        <v>4</v>
      </c>
      <c r="L54" s="1" t="s">
        <v>2435</v>
      </c>
      <c r="M54" s="1" t="s">
        <v>2436</v>
      </c>
      <c r="N54" s="1" t="s">
        <v>2437</v>
      </c>
      <c r="O54" s="1" t="s">
        <v>1011</v>
      </c>
      <c r="P54" s="1" t="s">
        <v>382</v>
      </c>
      <c r="Q54" s="1" t="s">
        <v>383</v>
      </c>
      <c r="R54" s="1" t="s">
        <v>4</v>
      </c>
      <c r="S54" s="1" t="s">
        <v>4</v>
      </c>
      <c r="T54" s="1" t="s">
        <v>4</v>
      </c>
      <c r="U54" s="1" t="s">
        <v>4</v>
      </c>
      <c r="V54" s="1" t="s">
        <v>258</v>
      </c>
      <c r="W54" s="1" t="s">
        <v>120</v>
      </c>
      <c r="X54" s="1" t="s">
        <v>121</v>
      </c>
      <c r="Y54" s="1" t="s">
        <v>136</v>
      </c>
      <c r="Z54" s="1" t="s">
        <v>137</v>
      </c>
      <c r="AA54" s="1" t="s">
        <v>2438</v>
      </c>
      <c r="AB54" s="1" t="s">
        <v>2439</v>
      </c>
      <c r="AC54" s="1" t="s">
        <v>2440</v>
      </c>
      <c r="AD54" s="1">
        <v>71344000</v>
      </c>
      <c r="AE54" s="1">
        <v>63960013.68</v>
      </c>
      <c r="AF54" s="1">
        <v>44590000</v>
      </c>
      <c r="AG54" s="1">
        <v>26754000</v>
      </c>
      <c r="AH54" s="1">
        <v>32771875</v>
      </c>
      <c r="AI54" s="1">
        <v>0</v>
      </c>
      <c r="AJ54" s="1">
        <v>4459000</v>
      </c>
      <c r="AK54" s="1">
        <v>166</v>
      </c>
      <c r="AL54" s="1">
        <v>6</v>
      </c>
      <c r="AM54" s="1">
        <v>36</v>
      </c>
      <c r="AN54" s="1">
        <v>51</v>
      </c>
      <c r="AO54" s="1" t="s">
        <v>123</v>
      </c>
      <c r="AP54" s="1" t="s">
        <v>123</v>
      </c>
      <c r="AQ54" s="1" t="s">
        <v>124</v>
      </c>
      <c r="AR54" s="1" t="s">
        <v>384</v>
      </c>
      <c r="AS54" s="1" t="s">
        <v>385</v>
      </c>
      <c r="AT54" s="1" t="s">
        <v>386</v>
      </c>
      <c r="AU54" s="1" t="s">
        <v>199</v>
      </c>
      <c r="AV54" s="1" t="s">
        <v>125</v>
      </c>
      <c r="AW54" s="1" t="s">
        <v>126</v>
      </c>
      <c r="AX54" s="1" t="s">
        <v>127</v>
      </c>
      <c r="AY54" s="1" t="s">
        <v>200</v>
      </c>
      <c r="AZ54" s="1" t="s">
        <v>201</v>
      </c>
      <c r="BA54" s="1" t="s">
        <v>202</v>
      </c>
      <c r="BB54" s="1" t="s">
        <v>128</v>
      </c>
      <c r="BC54" s="1" t="s">
        <v>203</v>
      </c>
      <c r="BD54" s="1" t="s">
        <v>125</v>
      </c>
      <c r="BE54" s="1" t="s">
        <v>126</v>
      </c>
      <c r="BF54" s="1" t="s">
        <v>129</v>
      </c>
      <c r="BG54" s="1" t="s">
        <v>130</v>
      </c>
      <c r="BH54" s="1">
        <v>7</v>
      </c>
      <c r="BI54" s="1">
        <v>31213000</v>
      </c>
      <c r="BJ54" s="75"/>
      <c r="BK54" s="75"/>
      <c r="BL54" s="75"/>
      <c r="BN54" s="75">
        <v>46203</v>
      </c>
      <c r="BO54" s="1">
        <v>1</v>
      </c>
      <c r="BP54" s="76">
        <v>46180</v>
      </c>
      <c r="BQ54" s="1" t="s">
        <v>131</v>
      </c>
      <c r="BR54" s="1">
        <v>173</v>
      </c>
      <c r="BS54" s="75">
        <v>46007</v>
      </c>
      <c r="BT54" s="1">
        <v>71344000</v>
      </c>
      <c r="BU54" s="1">
        <v>0</v>
      </c>
      <c r="BV54" s="1">
        <v>1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75"/>
      <c r="CD54" s="1">
        <v>0</v>
      </c>
      <c r="CE54" s="75"/>
      <c r="CF54" s="1">
        <v>0</v>
      </c>
      <c r="CG54" s="75"/>
      <c r="CH54" s="1">
        <v>0</v>
      </c>
      <c r="CI54" s="75"/>
      <c r="CJ54" s="1">
        <v>0</v>
      </c>
      <c r="CK54" s="75"/>
      <c r="CL54" s="1">
        <v>0</v>
      </c>
      <c r="CM54" s="75">
        <v>46180</v>
      </c>
      <c r="CN54" s="1" t="s">
        <v>132</v>
      </c>
      <c r="CO54" s="1">
        <v>63960013.68</v>
      </c>
      <c r="CP54" s="1">
        <v>63960013.68</v>
      </c>
      <c r="CQ54" s="1">
        <v>15</v>
      </c>
      <c r="CR54" s="75"/>
      <c r="CT54" s="1">
        <v>0</v>
      </c>
      <c r="CU54" s="1" t="s">
        <v>204</v>
      </c>
      <c r="CV54" s="1" t="s">
        <v>205</v>
      </c>
      <c r="CW54" s="82">
        <v>46180</v>
      </c>
      <c r="CX54" s="1" t="s">
        <v>2202</v>
      </c>
      <c r="CY54" s="36">
        <f>MONTH(Table_ExternalData_1[[#This Row],[RunningReportDate]])</f>
        <v>6</v>
      </c>
      <c r="CZ54" s="36">
        <f>181-Table_ExternalData_1[[#This Row],[DaysOD]]</f>
        <v>15</v>
      </c>
      <c r="DA54" s="36">
        <f>IF(Table_ExternalData_1[[#This Row],[Status]]="PU-WC",0,Table_ExternalData_1[[#This Row],[Amount_CWO]]/1000000)</f>
        <v>63.960013680000003</v>
      </c>
      <c r="DB54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54" s="36">
        <f>IF(Table_ExternalData_1[[#This Row],[Status]]="PU-WC",0,IF(Table_ExternalData_1[[#This Row],[Success CWO]]=1,Table_ExternalData_1[[#This Row],[CWO Amt]],0))</f>
        <v>0</v>
      </c>
      <c r="DD54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54" s="36">
        <f>DAY(Table_ExternalData_1[[#This Row],[Tanggal_Sukses]])</f>
        <v>0</v>
      </c>
      <c r="DF54" s="36">
        <f>IF(Table_ExternalData_1[[#This Row],[Status]]="PU-WC",0,IF(SUM(Table_ExternalData_1[[#This Row],[Success CWO]:[WO-In-Amt]])=0,1,0))</f>
        <v>1</v>
      </c>
      <c r="DG54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63.960013680000003</v>
      </c>
      <c r="DH54" s="36" t="str">
        <f>VLOOKUP(Table_ExternalData_1[[#This Row],[BranchID]],KC!$A:$K,5,0)</f>
        <v>4W</v>
      </c>
      <c r="DI54" s="36" t="str">
        <f>VLOOKUP(Table_ExternalData_1[[#This Row],[BranchID]],KC!$A:$K,8,0)</f>
        <v>05. Kalimantan</v>
      </c>
      <c r="DJ54" s="36" t="str">
        <f>VLOOKUP(Table_ExternalData_1[[#This Row],[BranchID]],KC!$A:$K,9,0)</f>
        <v>SAMARINDA</v>
      </c>
    </row>
    <row r="55" spans="1:114" x14ac:dyDescent="0.3">
      <c r="A55" s="3" t="s">
        <v>193</v>
      </c>
      <c r="B55" s="2" t="s">
        <v>194</v>
      </c>
      <c r="C55" s="278">
        <v>46173</v>
      </c>
      <c r="D55" s="278">
        <v>46003</v>
      </c>
      <c r="E55" s="278">
        <v>44389</v>
      </c>
      <c r="F55" s="2" t="s">
        <v>2420</v>
      </c>
      <c r="G55" s="2" t="s">
        <v>2421</v>
      </c>
      <c r="H55" s="1" t="s">
        <v>2422</v>
      </c>
      <c r="I55" s="1" t="s">
        <v>2423</v>
      </c>
      <c r="J55" s="1" t="s">
        <v>2424</v>
      </c>
      <c r="K55" s="1" t="s">
        <v>4</v>
      </c>
      <c r="L55" s="1" t="s">
        <v>2424</v>
      </c>
      <c r="M55" s="1" t="s">
        <v>2425</v>
      </c>
      <c r="N55" s="1" t="s">
        <v>1018</v>
      </c>
      <c r="O55" s="1" t="s">
        <v>193</v>
      </c>
      <c r="P55" s="1" t="s">
        <v>382</v>
      </c>
      <c r="Q55" s="1" t="s">
        <v>2132</v>
      </c>
      <c r="R55" s="1" t="s">
        <v>4</v>
      </c>
      <c r="S55" s="1" t="s">
        <v>4</v>
      </c>
      <c r="T55" s="1" t="s">
        <v>4</v>
      </c>
      <c r="U55" s="1" t="s">
        <v>4</v>
      </c>
      <c r="V55" s="1" t="s">
        <v>341</v>
      </c>
      <c r="W55" s="1" t="s">
        <v>120</v>
      </c>
      <c r="X55" s="1" t="s">
        <v>121</v>
      </c>
      <c r="Y55" s="1" t="s">
        <v>2426</v>
      </c>
      <c r="Z55" s="1" t="s">
        <v>2427</v>
      </c>
      <c r="AA55" s="1" t="s">
        <v>2428</v>
      </c>
      <c r="AB55" s="1" t="s">
        <v>2429</v>
      </c>
      <c r="AC55" s="1" t="s">
        <v>2430</v>
      </c>
      <c r="AD55" s="1">
        <v>29418000</v>
      </c>
      <c r="AE55" s="1">
        <v>28009723.390000001</v>
      </c>
      <c r="AF55" s="1">
        <v>0</v>
      </c>
      <c r="AG55" s="1">
        <v>29418000</v>
      </c>
      <c r="AH55" s="1">
        <v>26310530</v>
      </c>
      <c r="AI55" s="1">
        <v>0</v>
      </c>
      <c r="AJ55" s="1">
        <v>4903000</v>
      </c>
      <c r="AK55" s="1">
        <v>170</v>
      </c>
      <c r="AL55" s="1">
        <v>6</v>
      </c>
      <c r="AM55" s="1">
        <v>53</v>
      </c>
      <c r="AN55" s="1">
        <v>58</v>
      </c>
      <c r="AO55" s="1" t="s">
        <v>123</v>
      </c>
      <c r="AP55" s="1" t="s">
        <v>123</v>
      </c>
      <c r="AQ55" s="1" t="s">
        <v>124</v>
      </c>
      <c r="AR55" s="1" t="s">
        <v>384</v>
      </c>
      <c r="AS55" s="1" t="s">
        <v>385</v>
      </c>
      <c r="AT55" s="1" t="s">
        <v>386</v>
      </c>
      <c r="AU55" s="1" t="s">
        <v>199</v>
      </c>
      <c r="AV55" s="1" t="s">
        <v>125</v>
      </c>
      <c r="AW55" s="1" t="s">
        <v>126</v>
      </c>
      <c r="AX55" s="1" t="s">
        <v>127</v>
      </c>
      <c r="AY55" s="1" t="s">
        <v>200</v>
      </c>
      <c r="AZ55" s="1" t="s">
        <v>201</v>
      </c>
      <c r="BA55" s="1" t="s">
        <v>202</v>
      </c>
      <c r="BB55" s="1" t="s">
        <v>128</v>
      </c>
      <c r="BC55" s="1" t="s">
        <v>203</v>
      </c>
      <c r="BD55" s="1" t="s">
        <v>125</v>
      </c>
      <c r="BE55" s="1" t="s">
        <v>126</v>
      </c>
      <c r="BF55" s="1" t="s">
        <v>129</v>
      </c>
      <c r="BG55" s="1" t="s">
        <v>130</v>
      </c>
      <c r="BH55" s="1">
        <v>6</v>
      </c>
      <c r="BI55" s="1">
        <v>29418000</v>
      </c>
      <c r="BJ55" s="75"/>
      <c r="BK55" s="75"/>
      <c r="BL55" s="75"/>
      <c r="BN55" s="75">
        <v>46203</v>
      </c>
      <c r="BO55" s="1">
        <v>1</v>
      </c>
      <c r="BP55" s="76">
        <v>46180</v>
      </c>
      <c r="BQ55" s="1" t="s">
        <v>131</v>
      </c>
      <c r="BR55" s="1">
        <v>177</v>
      </c>
      <c r="BS55" s="75">
        <v>46003</v>
      </c>
      <c r="BT55" s="1">
        <v>29418000</v>
      </c>
      <c r="BU55" s="1">
        <v>0</v>
      </c>
      <c r="BV55" s="1">
        <v>1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75"/>
      <c r="CD55" s="1">
        <v>0</v>
      </c>
      <c r="CE55" s="75"/>
      <c r="CF55" s="1">
        <v>0</v>
      </c>
      <c r="CG55" s="75"/>
      <c r="CH55" s="1">
        <v>0</v>
      </c>
      <c r="CI55" s="75"/>
      <c r="CJ55" s="1">
        <v>0</v>
      </c>
      <c r="CK55" s="75"/>
      <c r="CL55" s="1">
        <v>0</v>
      </c>
      <c r="CM55" s="75">
        <v>46180</v>
      </c>
      <c r="CN55" s="1" t="s">
        <v>132</v>
      </c>
      <c r="CO55" s="1">
        <v>28009723.390000001</v>
      </c>
      <c r="CP55" s="1">
        <v>28009723.390000001</v>
      </c>
      <c r="CQ55" s="1">
        <v>11</v>
      </c>
      <c r="CR55" s="75"/>
      <c r="CT55" s="1">
        <v>0</v>
      </c>
      <c r="CU55" s="1" t="s">
        <v>204</v>
      </c>
      <c r="CV55" s="1" t="s">
        <v>205</v>
      </c>
      <c r="CW55" s="82">
        <v>46180</v>
      </c>
      <c r="CX55" s="1" t="s">
        <v>2202</v>
      </c>
      <c r="CY55" s="36">
        <f>MONTH(Table_ExternalData_1[[#This Row],[RunningReportDate]])</f>
        <v>6</v>
      </c>
      <c r="CZ55" s="36">
        <f>181-Table_ExternalData_1[[#This Row],[DaysOD]]</f>
        <v>11</v>
      </c>
      <c r="DA55" s="36">
        <f>IF(Table_ExternalData_1[[#This Row],[Status]]="PU-WC",0,Table_ExternalData_1[[#This Row],[Amount_CWO]]/1000000)</f>
        <v>28.009723390000001</v>
      </c>
      <c r="DB55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55" s="36">
        <f>IF(Table_ExternalData_1[[#This Row],[Status]]="PU-WC",0,IF(Table_ExternalData_1[[#This Row],[Success CWO]]=1,Table_ExternalData_1[[#This Row],[CWO Amt]],0))</f>
        <v>0</v>
      </c>
      <c r="DD55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55" s="36">
        <f>DAY(Table_ExternalData_1[[#This Row],[Tanggal_Sukses]])</f>
        <v>0</v>
      </c>
      <c r="DF55" s="36">
        <f>IF(Table_ExternalData_1[[#This Row],[Status]]="PU-WC",0,IF(SUM(Table_ExternalData_1[[#This Row],[Success CWO]:[WO-In-Amt]])=0,1,0))</f>
        <v>1</v>
      </c>
      <c r="DG55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28.009723390000001</v>
      </c>
      <c r="DH55" s="36" t="str">
        <f>VLOOKUP(Table_ExternalData_1[[#This Row],[BranchID]],KC!$A:$K,5,0)</f>
        <v>4W</v>
      </c>
      <c r="DI55" s="36" t="str">
        <f>VLOOKUP(Table_ExternalData_1[[#This Row],[BranchID]],KC!$A:$K,8,0)</f>
        <v>05. Kalimantan</v>
      </c>
      <c r="DJ55" s="36" t="str">
        <f>VLOOKUP(Table_ExternalData_1[[#This Row],[BranchID]],KC!$A:$K,9,0)</f>
        <v>SAMARINDA</v>
      </c>
    </row>
    <row r="56" spans="1:114" x14ac:dyDescent="0.3">
      <c r="A56" s="3" t="s">
        <v>183</v>
      </c>
      <c r="B56" s="2" t="s">
        <v>184</v>
      </c>
      <c r="C56" s="278">
        <v>46173</v>
      </c>
      <c r="D56" s="278">
        <v>46005</v>
      </c>
      <c r="E56" s="278">
        <v>45761</v>
      </c>
      <c r="F56" s="2" t="s">
        <v>2407</v>
      </c>
      <c r="G56" s="2" t="s">
        <v>2408</v>
      </c>
      <c r="H56" s="1" t="s">
        <v>2409</v>
      </c>
      <c r="I56" s="1" t="s">
        <v>2410</v>
      </c>
      <c r="J56" s="1" t="s">
        <v>2411</v>
      </c>
      <c r="K56" s="1" t="s">
        <v>4</v>
      </c>
      <c r="L56" s="1" t="s">
        <v>2411</v>
      </c>
      <c r="M56" s="1" t="s">
        <v>2412</v>
      </c>
      <c r="N56" s="1" t="s">
        <v>2413</v>
      </c>
      <c r="O56" s="1" t="s">
        <v>2414</v>
      </c>
      <c r="P56" s="1" t="s">
        <v>2415</v>
      </c>
      <c r="Q56" s="1" t="s">
        <v>2416</v>
      </c>
      <c r="R56" s="1" t="s">
        <v>4</v>
      </c>
      <c r="S56" s="1" t="s">
        <v>4</v>
      </c>
      <c r="T56" s="1" t="s">
        <v>4</v>
      </c>
      <c r="U56" s="1" t="s">
        <v>4</v>
      </c>
      <c r="V56" s="1" t="s">
        <v>2125</v>
      </c>
      <c r="W56" s="1" t="s">
        <v>120</v>
      </c>
      <c r="X56" s="1" t="s">
        <v>121</v>
      </c>
      <c r="Y56" s="1" t="s">
        <v>136</v>
      </c>
      <c r="Z56" s="1" t="s">
        <v>142</v>
      </c>
      <c r="AA56" s="1" t="s">
        <v>2417</v>
      </c>
      <c r="AB56" s="1" t="s">
        <v>2418</v>
      </c>
      <c r="AC56" s="1" t="s">
        <v>2419</v>
      </c>
      <c r="AD56" s="1">
        <v>195570000</v>
      </c>
      <c r="AE56" s="1">
        <v>134805388.47999999</v>
      </c>
      <c r="AF56" s="1">
        <v>173430000</v>
      </c>
      <c r="AG56" s="1">
        <v>22140000</v>
      </c>
      <c r="AH56" s="1">
        <v>12196150</v>
      </c>
      <c r="AI56" s="1">
        <v>0</v>
      </c>
      <c r="AJ56" s="1">
        <v>3690000</v>
      </c>
      <c r="AK56" s="1">
        <v>168</v>
      </c>
      <c r="AL56" s="1">
        <v>6</v>
      </c>
      <c r="AM56" s="1">
        <v>8</v>
      </c>
      <c r="AN56" s="1">
        <v>60</v>
      </c>
      <c r="AO56" s="1" t="s">
        <v>123</v>
      </c>
      <c r="AP56" s="1" t="s">
        <v>123</v>
      </c>
      <c r="AQ56" s="1" t="s">
        <v>124</v>
      </c>
      <c r="BF56" s="1" t="s">
        <v>129</v>
      </c>
      <c r="BG56" s="1" t="s">
        <v>130</v>
      </c>
      <c r="BH56" s="1">
        <v>7</v>
      </c>
      <c r="BI56" s="1">
        <v>25830000</v>
      </c>
      <c r="BJ56" s="75"/>
      <c r="BK56" s="75"/>
      <c r="BL56" s="75"/>
      <c r="BN56" s="75">
        <v>46203</v>
      </c>
      <c r="BO56" s="1">
        <v>1</v>
      </c>
      <c r="BP56" s="76">
        <v>46180</v>
      </c>
      <c r="BQ56" s="1" t="s">
        <v>131</v>
      </c>
      <c r="BR56" s="1">
        <v>175</v>
      </c>
      <c r="BS56" s="75">
        <v>46005</v>
      </c>
      <c r="BT56" s="1">
        <v>195570000</v>
      </c>
      <c r="BU56" s="1">
        <v>0</v>
      </c>
      <c r="BV56" s="1">
        <v>1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75"/>
      <c r="CD56" s="1">
        <v>0</v>
      </c>
      <c r="CE56" s="75"/>
      <c r="CF56" s="1">
        <v>0</v>
      </c>
      <c r="CG56" s="75"/>
      <c r="CH56" s="1">
        <v>0</v>
      </c>
      <c r="CI56" s="75"/>
      <c r="CJ56" s="1">
        <v>0</v>
      </c>
      <c r="CK56" s="75"/>
      <c r="CL56" s="1">
        <v>0</v>
      </c>
      <c r="CM56" s="75">
        <v>46180</v>
      </c>
      <c r="CN56" s="1" t="s">
        <v>132</v>
      </c>
      <c r="CO56" s="1">
        <v>134805388.47999999</v>
      </c>
      <c r="CP56" s="1">
        <v>134805388.47999999</v>
      </c>
      <c r="CQ56" s="1">
        <v>13</v>
      </c>
      <c r="CR56" s="75"/>
      <c r="CT56" s="1">
        <v>0</v>
      </c>
      <c r="CU56" s="1" t="s">
        <v>185</v>
      </c>
      <c r="CV56" s="1" t="s">
        <v>182</v>
      </c>
      <c r="CW56" s="82">
        <v>46180</v>
      </c>
      <c r="CX56" s="1" t="s">
        <v>2202</v>
      </c>
      <c r="CY56" s="36">
        <f>MONTH(Table_ExternalData_1[[#This Row],[RunningReportDate]])</f>
        <v>6</v>
      </c>
      <c r="CZ56" s="36">
        <f>181-Table_ExternalData_1[[#This Row],[DaysOD]]</f>
        <v>13</v>
      </c>
      <c r="DA56" s="36">
        <f>IF(Table_ExternalData_1[[#This Row],[Status]]="PU-WC",0,Table_ExternalData_1[[#This Row],[Amount_CWO]]/1000000)</f>
        <v>134.80538847999998</v>
      </c>
      <c r="DB56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56" s="36">
        <f>IF(Table_ExternalData_1[[#This Row],[Status]]="PU-WC",0,IF(Table_ExternalData_1[[#This Row],[Success CWO]]=1,Table_ExternalData_1[[#This Row],[CWO Amt]],0))</f>
        <v>0</v>
      </c>
      <c r="DD56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56" s="36">
        <f>DAY(Table_ExternalData_1[[#This Row],[Tanggal_Sukses]])</f>
        <v>0</v>
      </c>
      <c r="DF56" s="36">
        <f>IF(Table_ExternalData_1[[#This Row],[Status]]="PU-WC",0,IF(SUM(Table_ExternalData_1[[#This Row],[Success CWO]:[WO-In-Amt]])=0,1,0))</f>
        <v>1</v>
      </c>
      <c r="DG56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134.80538847999998</v>
      </c>
      <c r="DH56" s="36" t="str">
        <f>VLOOKUP(Table_ExternalData_1[[#This Row],[BranchID]],KC!$A:$K,5,0)</f>
        <v>4W</v>
      </c>
      <c r="DI56" s="36" t="str">
        <f>VLOOKUP(Table_ExternalData_1[[#This Row],[BranchID]],KC!$A:$K,8,0)</f>
        <v>03. Jawa Tengah</v>
      </c>
      <c r="DJ56" s="36" t="str">
        <f>VLOOKUP(Table_ExternalData_1[[#This Row],[BranchID]],KC!$A:$K,9,0)</f>
        <v>SEMARANG</v>
      </c>
    </row>
    <row r="57" spans="1:114" x14ac:dyDescent="0.3">
      <c r="A57" s="3" t="s">
        <v>15</v>
      </c>
      <c r="B57" s="2" t="s">
        <v>16</v>
      </c>
      <c r="C57" s="278">
        <v>46173</v>
      </c>
      <c r="D57" s="278">
        <v>46017</v>
      </c>
      <c r="E57" s="278">
        <v>45133</v>
      </c>
      <c r="F57" s="2" t="s">
        <v>2397</v>
      </c>
      <c r="G57" s="2" t="s">
        <v>2398</v>
      </c>
      <c r="H57" s="1" t="s">
        <v>2399</v>
      </c>
      <c r="I57" s="1" t="s">
        <v>2400</v>
      </c>
      <c r="J57" s="1" t="s">
        <v>2401</v>
      </c>
      <c r="K57" s="1" t="s">
        <v>4</v>
      </c>
      <c r="L57" s="1" t="s">
        <v>2401</v>
      </c>
      <c r="M57" s="1" t="s">
        <v>2402</v>
      </c>
      <c r="N57" s="1" t="s">
        <v>2403</v>
      </c>
      <c r="O57" s="1" t="s">
        <v>15</v>
      </c>
      <c r="P57" s="1" t="s">
        <v>165</v>
      </c>
      <c r="Q57" s="1" t="s">
        <v>166</v>
      </c>
      <c r="R57" s="1" t="s">
        <v>4</v>
      </c>
      <c r="S57" s="1" t="s">
        <v>4</v>
      </c>
      <c r="T57" s="1" t="s">
        <v>381</v>
      </c>
      <c r="U57" s="1" t="s">
        <v>381</v>
      </c>
      <c r="V57" s="1" t="s">
        <v>381</v>
      </c>
      <c r="W57" s="1" t="s">
        <v>120</v>
      </c>
      <c r="X57" s="1" t="s">
        <v>121</v>
      </c>
      <c r="Y57" s="1" t="s">
        <v>136</v>
      </c>
      <c r="Z57" s="1" t="s">
        <v>137</v>
      </c>
      <c r="AA57" s="1" t="s">
        <v>2404</v>
      </c>
      <c r="AB57" s="1" t="s">
        <v>2405</v>
      </c>
      <c r="AC57" s="1" t="s">
        <v>2406</v>
      </c>
      <c r="AD57" s="1">
        <v>119840000</v>
      </c>
      <c r="AE57" s="1">
        <v>93921724.140000001</v>
      </c>
      <c r="AF57" s="1">
        <v>97370000</v>
      </c>
      <c r="AG57" s="1">
        <v>22470000</v>
      </c>
      <c r="AH57" s="1">
        <v>12470250</v>
      </c>
      <c r="AI57" s="1">
        <v>0</v>
      </c>
      <c r="AJ57" s="1">
        <v>3745000</v>
      </c>
      <c r="AK57" s="1">
        <v>156</v>
      </c>
      <c r="AL57" s="1">
        <v>6</v>
      </c>
      <c r="AM57" s="1">
        <v>29</v>
      </c>
      <c r="AN57" s="1">
        <v>60</v>
      </c>
      <c r="AO57" s="1" t="s">
        <v>123</v>
      </c>
      <c r="AP57" s="1" t="s">
        <v>123</v>
      </c>
      <c r="AQ57" s="1" t="s">
        <v>124</v>
      </c>
      <c r="BF57" s="1" t="s">
        <v>129</v>
      </c>
      <c r="BG57" s="1" t="s">
        <v>375</v>
      </c>
      <c r="BH57" s="1">
        <v>7</v>
      </c>
      <c r="BI57" s="1">
        <v>26215000</v>
      </c>
      <c r="BJ57" s="75"/>
      <c r="BK57" s="75">
        <v>46173</v>
      </c>
      <c r="BL57" s="75"/>
      <c r="BN57" s="75">
        <v>46203</v>
      </c>
      <c r="BO57" s="1">
        <v>1</v>
      </c>
      <c r="BP57" s="76">
        <v>46180</v>
      </c>
      <c r="BQ57" s="1" t="s">
        <v>131</v>
      </c>
      <c r="BR57" s="1">
        <v>163</v>
      </c>
      <c r="BS57" s="75">
        <v>46017</v>
      </c>
      <c r="BT57" s="1">
        <v>119840000</v>
      </c>
      <c r="BU57" s="1">
        <v>0</v>
      </c>
      <c r="BV57" s="1">
        <v>1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75"/>
      <c r="CD57" s="1">
        <v>0</v>
      </c>
      <c r="CE57" s="75"/>
      <c r="CF57" s="1">
        <v>0</v>
      </c>
      <c r="CG57" s="75"/>
      <c r="CH57" s="1">
        <v>0</v>
      </c>
      <c r="CI57" s="75"/>
      <c r="CJ57" s="1">
        <v>0</v>
      </c>
      <c r="CK57" s="75"/>
      <c r="CL57" s="1">
        <v>0</v>
      </c>
      <c r="CM57" s="75">
        <v>46180</v>
      </c>
      <c r="CN57" s="1" t="s">
        <v>132</v>
      </c>
      <c r="CO57" s="1">
        <v>93921724.140000001</v>
      </c>
      <c r="CP57" s="1">
        <v>0</v>
      </c>
      <c r="CQ57" s="1">
        <v>0</v>
      </c>
      <c r="CR57" s="75">
        <v>46173</v>
      </c>
      <c r="CS57" s="1" t="s">
        <v>255</v>
      </c>
      <c r="CT57" s="1">
        <v>93921724.140000001</v>
      </c>
      <c r="CU57" s="1" t="s">
        <v>167</v>
      </c>
      <c r="CV57" s="1" t="s">
        <v>168</v>
      </c>
      <c r="CW57" s="82">
        <v>46180</v>
      </c>
      <c r="CX57" s="1" t="s">
        <v>2202</v>
      </c>
      <c r="CY57" s="36">
        <f>MONTH(Table_ExternalData_1[[#This Row],[RunningReportDate]])</f>
        <v>6</v>
      </c>
      <c r="CZ57" s="36">
        <f>181-Table_ExternalData_1[[#This Row],[DaysOD]]</f>
        <v>25</v>
      </c>
      <c r="DA57" s="36">
        <f>IF(Table_ExternalData_1[[#This Row],[Status]]="PU-WC",0,Table_ExternalData_1[[#This Row],[Amount_CWO]]/1000000)</f>
        <v>0</v>
      </c>
      <c r="DB57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57" s="36">
        <f>IF(Table_ExternalData_1[[#This Row],[Status]]="PU-WC",0,IF(Table_ExternalData_1[[#This Row],[Success CWO]]=1,Table_ExternalData_1[[#This Row],[CWO Amt]],0))</f>
        <v>0</v>
      </c>
      <c r="DD57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57" s="36">
        <f>DAY(Table_ExternalData_1[[#This Row],[Tanggal_Sukses]])</f>
        <v>31</v>
      </c>
      <c r="DF57" s="36">
        <f>IF(Table_ExternalData_1[[#This Row],[Status]]="PU-WC",0,IF(SUM(Table_ExternalData_1[[#This Row],[Success CWO]:[WO-In-Amt]])=0,1,0))</f>
        <v>0</v>
      </c>
      <c r="DG57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57" s="36" t="str">
        <f>VLOOKUP(Table_ExternalData_1[[#This Row],[BranchID]],KC!$A:$K,5,0)</f>
        <v>4W</v>
      </c>
      <c r="DI57" s="36" t="str">
        <f>VLOOKUP(Table_ExternalData_1[[#This Row],[BranchID]],KC!$A:$K,8,0)</f>
        <v>01. Jabodetabekser</v>
      </c>
      <c r="DJ57" s="36" t="str">
        <f>VLOOKUP(Table_ExternalData_1[[#This Row],[BranchID]],KC!$A:$K,9,0)</f>
        <v>TANGERANG</v>
      </c>
    </row>
    <row r="58" spans="1:114" x14ac:dyDescent="0.3">
      <c r="A58" s="3" t="s">
        <v>15</v>
      </c>
      <c r="B58" s="2" t="s">
        <v>16</v>
      </c>
      <c r="C58" s="278">
        <v>46173</v>
      </c>
      <c r="D58" s="278">
        <v>46012</v>
      </c>
      <c r="E58" s="278">
        <v>45128</v>
      </c>
      <c r="F58" s="2" t="s">
        <v>2390</v>
      </c>
      <c r="G58" s="2" t="s">
        <v>2391</v>
      </c>
      <c r="H58" s="1" t="s">
        <v>2392</v>
      </c>
      <c r="I58" s="1" t="s">
        <v>2393</v>
      </c>
      <c r="J58" s="1" t="s">
        <v>2127</v>
      </c>
      <c r="K58" s="1" t="s">
        <v>4</v>
      </c>
      <c r="L58" s="1" t="s">
        <v>2127</v>
      </c>
      <c r="M58" s="1" t="s">
        <v>2128</v>
      </c>
      <c r="N58" s="1" t="s">
        <v>2129</v>
      </c>
      <c r="O58" s="1" t="s">
        <v>15</v>
      </c>
      <c r="P58" s="1" t="s">
        <v>165</v>
      </c>
      <c r="Q58" s="1" t="s">
        <v>166</v>
      </c>
      <c r="R58" s="1" t="s">
        <v>4</v>
      </c>
      <c r="S58" s="1" t="s">
        <v>4</v>
      </c>
      <c r="T58" s="1" t="s">
        <v>381</v>
      </c>
      <c r="U58" s="1" t="s">
        <v>381</v>
      </c>
      <c r="V58" s="1" t="s">
        <v>381</v>
      </c>
      <c r="W58" s="1" t="s">
        <v>120</v>
      </c>
      <c r="X58" s="1" t="s">
        <v>121</v>
      </c>
      <c r="Y58" s="1" t="s">
        <v>136</v>
      </c>
      <c r="Z58" s="1" t="s">
        <v>142</v>
      </c>
      <c r="AA58" s="1" t="s">
        <v>2394</v>
      </c>
      <c r="AB58" s="1" t="s">
        <v>2395</v>
      </c>
      <c r="AC58" s="1" t="s">
        <v>2396</v>
      </c>
      <c r="AD58" s="1">
        <v>109760000</v>
      </c>
      <c r="AE58" s="1">
        <v>89726350.920000002</v>
      </c>
      <c r="AF58" s="1">
        <v>89180000</v>
      </c>
      <c r="AG58" s="1">
        <v>20580000</v>
      </c>
      <c r="AH58" s="1">
        <v>9675750</v>
      </c>
      <c r="AI58" s="1">
        <v>0</v>
      </c>
      <c r="AJ58" s="1">
        <v>3430000</v>
      </c>
      <c r="AK58" s="1">
        <v>161</v>
      </c>
      <c r="AL58" s="1">
        <v>6</v>
      </c>
      <c r="AM58" s="1">
        <v>29</v>
      </c>
      <c r="AN58" s="1">
        <v>60</v>
      </c>
      <c r="AO58" s="1" t="s">
        <v>123</v>
      </c>
      <c r="AP58" s="1" t="s">
        <v>123</v>
      </c>
      <c r="AQ58" s="1" t="s">
        <v>124</v>
      </c>
      <c r="BF58" s="1" t="s">
        <v>129</v>
      </c>
      <c r="BG58" s="1" t="s">
        <v>130</v>
      </c>
      <c r="BH58" s="1">
        <v>7</v>
      </c>
      <c r="BI58" s="1">
        <v>24010000</v>
      </c>
      <c r="BJ58" s="75"/>
      <c r="BK58" s="75"/>
      <c r="BL58" s="75"/>
      <c r="BN58" s="75">
        <v>46203</v>
      </c>
      <c r="BO58" s="1">
        <v>1</v>
      </c>
      <c r="BP58" s="76">
        <v>46180</v>
      </c>
      <c r="BQ58" s="1" t="s">
        <v>131</v>
      </c>
      <c r="BR58" s="1">
        <v>168</v>
      </c>
      <c r="BS58" s="75">
        <v>46012</v>
      </c>
      <c r="BT58" s="1">
        <v>109760000</v>
      </c>
      <c r="BU58" s="1">
        <v>0</v>
      </c>
      <c r="BV58" s="1">
        <v>1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75"/>
      <c r="CD58" s="1">
        <v>0</v>
      </c>
      <c r="CE58" s="75"/>
      <c r="CF58" s="1">
        <v>0</v>
      </c>
      <c r="CG58" s="75"/>
      <c r="CH58" s="1">
        <v>0</v>
      </c>
      <c r="CI58" s="75"/>
      <c r="CJ58" s="1">
        <v>0</v>
      </c>
      <c r="CK58" s="75"/>
      <c r="CL58" s="1">
        <v>0</v>
      </c>
      <c r="CM58" s="75">
        <v>46180</v>
      </c>
      <c r="CN58" s="1" t="s">
        <v>132</v>
      </c>
      <c r="CO58" s="1">
        <v>89726350.920000002</v>
      </c>
      <c r="CP58" s="1">
        <v>89726350.920000002</v>
      </c>
      <c r="CQ58" s="1">
        <v>20</v>
      </c>
      <c r="CR58" s="75"/>
      <c r="CT58" s="1">
        <v>0</v>
      </c>
      <c r="CU58" s="1" t="s">
        <v>167</v>
      </c>
      <c r="CV58" s="1" t="s">
        <v>168</v>
      </c>
      <c r="CW58" s="82">
        <v>46180</v>
      </c>
      <c r="CX58" s="1" t="s">
        <v>2202</v>
      </c>
      <c r="CY58" s="36">
        <f>MONTH(Table_ExternalData_1[[#This Row],[RunningReportDate]])</f>
        <v>6</v>
      </c>
      <c r="CZ58" s="36">
        <f>181-Table_ExternalData_1[[#This Row],[DaysOD]]</f>
        <v>20</v>
      </c>
      <c r="DA58" s="36">
        <f>IF(Table_ExternalData_1[[#This Row],[Status]]="PU-WC",0,Table_ExternalData_1[[#This Row],[Amount_CWO]]/1000000)</f>
        <v>89.726350920000002</v>
      </c>
      <c r="DB58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58" s="36">
        <f>IF(Table_ExternalData_1[[#This Row],[Status]]="PU-WC",0,IF(Table_ExternalData_1[[#This Row],[Success CWO]]=1,Table_ExternalData_1[[#This Row],[CWO Amt]],0))</f>
        <v>0</v>
      </c>
      <c r="DD58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58" s="36">
        <f>DAY(Table_ExternalData_1[[#This Row],[Tanggal_Sukses]])</f>
        <v>0</v>
      </c>
      <c r="DF58" s="36">
        <f>IF(Table_ExternalData_1[[#This Row],[Status]]="PU-WC",0,IF(SUM(Table_ExternalData_1[[#This Row],[Success CWO]:[WO-In-Amt]])=0,1,0))</f>
        <v>1</v>
      </c>
      <c r="DG58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89.726350920000002</v>
      </c>
      <c r="DH58" s="36" t="str">
        <f>VLOOKUP(Table_ExternalData_1[[#This Row],[BranchID]],KC!$A:$K,5,0)</f>
        <v>4W</v>
      </c>
      <c r="DI58" s="36" t="str">
        <f>VLOOKUP(Table_ExternalData_1[[#This Row],[BranchID]],KC!$A:$K,8,0)</f>
        <v>01. Jabodetabekser</v>
      </c>
      <c r="DJ58" s="36" t="str">
        <f>VLOOKUP(Table_ExternalData_1[[#This Row],[BranchID]],KC!$A:$K,9,0)</f>
        <v>TANGERANG</v>
      </c>
    </row>
    <row r="59" spans="1:114" x14ac:dyDescent="0.3">
      <c r="A59" s="3" t="s">
        <v>15</v>
      </c>
      <c r="B59" s="2" t="s">
        <v>16</v>
      </c>
      <c r="C59" s="278">
        <v>46173</v>
      </c>
      <c r="D59" s="278">
        <v>45996</v>
      </c>
      <c r="E59" s="278">
        <v>45044</v>
      </c>
      <c r="F59" s="2" t="s">
        <v>2384</v>
      </c>
      <c r="G59" s="2" t="s">
        <v>2385</v>
      </c>
      <c r="H59" s="1" t="s">
        <v>2386</v>
      </c>
      <c r="I59" s="1" t="s">
        <v>1525</v>
      </c>
      <c r="J59" s="1" t="s">
        <v>1107</v>
      </c>
      <c r="K59" s="1" t="s">
        <v>4</v>
      </c>
      <c r="L59" s="1" t="s">
        <v>1107</v>
      </c>
      <c r="M59" s="1" t="s">
        <v>1526</v>
      </c>
      <c r="N59" s="1" t="s">
        <v>1527</v>
      </c>
      <c r="O59" s="1" t="s">
        <v>15</v>
      </c>
      <c r="P59" s="1" t="s">
        <v>165</v>
      </c>
      <c r="Q59" s="1" t="s">
        <v>166</v>
      </c>
      <c r="R59" s="1" t="s">
        <v>4</v>
      </c>
      <c r="S59" s="1" t="s">
        <v>4</v>
      </c>
      <c r="T59" s="1" t="s">
        <v>1044</v>
      </c>
      <c r="U59" s="1" t="s">
        <v>1044</v>
      </c>
      <c r="V59" s="1" t="s">
        <v>1044</v>
      </c>
      <c r="W59" s="1" t="s">
        <v>120</v>
      </c>
      <c r="X59" s="1" t="s">
        <v>121</v>
      </c>
      <c r="Y59" s="1" t="s">
        <v>136</v>
      </c>
      <c r="Z59" s="1" t="s">
        <v>189</v>
      </c>
      <c r="AA59" s="1" t="s">
        <v>2387</v>
      </c>
      <c r="AB59" s="1" t="s">
        <v>2388</v>
      </c>
      <c r="AC59" s="1" t="s">
        <v>2389</v>
      </c>
      <c r="AD59" s="1">
        <v>73278000</v>
      </c>
      <c r="AE59" s="1">
        <v>63857002.060000002</v>
      </c>
      <c r="AF59" s="1">
        <v>48852000</v>
      </c>
      <c r="AG59" s="1">
        <v>24426000</v>
      </c>
      <c r="AH59" s="1">
        <v>22914486.75</v>
      </c>
      <c r="AI59" s="1">
        <v>0</v>
      </c>
      <c r="AJ59" s="1">
        <v>4071000</v>
      </c>
      <c r="AK59" s="1">
        <v>177</v>
      </c>
      <c r="AL59" s="1">
        <v>6</v>
      </c>
      <c r="AM59" s="1">
        <v>31</v>
      </c>
      <c r="AN59" s="1">
        <v>48</v>
      </c>
      <c r="AO59" s="1" t="s">
        <v>123</v>
      </c>
      <c r="AP59" s="1" t="s">
        <v>123</v>
      </c>
      <c r="AQ59" s="1" t="s">
        <v>124</v>
      </c>
      <c r="BF59" s="1" t="s">
        <v>129</v>
      </c>
      <c r="BG59" s="1" t="s">
        <v>130</v>
      </c>
      <c r="BH59" s="1">
        <v>7</v>
      </c>
      <c r="BI59" s="1">
        <v>28497000</v>
      </c>
      <c r="BJ59" s="75"/>
      <c r="BK59" s="75"/>
      <c r="BL59" s="75"/>
      <c r="BN59" s="75">
        <v>46203</v>
      </c>
      <c r="BO59" s="1">
        <v>1</v>
      </c>
      <c r="BP59" s="76">
        <v>46180</v>
      </c>
      <c r="BQ59" s="1" t="s">
        <v>131</v>
      </c>
      <c r="BR59" s="1">
        <v>184</v>
      </c>
      <c r="BS59" s="75">
        <v>45996</v>
      </c>
      <c r="BT59" s="1">
        <v>73278000</v>
      </c>
      <c r="BU59" s="1">
        <v>0</v>
      </c>
      <c r="BV59" s="1">
        <v>1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75"/>
      <c r="CD59" s="1">
        <v>0</v>
      </c>
      <c r="CE59" s="75"/>
      <c r="CF59" s="1">
        <v>0</v>
      </c>
      <c r="CG59" s="75"/>
      <c r="CH59" s="1">
        <v>0</v>
      </c>
      <c r="CI59" s="75"/>
      <c r="CJ59" s="1">
        <v>0</v>
      </c>
      <c r="CK59" s="75"/>
      <c r="CL59" s="1">
        <v>0</v>
      </c>
      <c r="CM59" s="75">
        <v>46180</v>
      </c>
      <c r="CN59" s="1" t="s">
        <v>132</v>
      </c>
      <c r="CO59" s="1">
        <v>63857002.060000002</v>
      </c>
      <c r="CP59" s="1">
        <v>63857002.060000002</v>
      </c>
      <c r="CQ59" s="1">
        <v>4</v>
      </c>
      <c r="CR59" s="75"/>
      <c r="CT59" s="1">
        <v>0</v>
      </c>
      <c r="CU59" s="1" t="s">
        <v>167</v>
      </c>
      <c r="CV59" s="1" t="s">
        <v>168</v>
      </c>
      <c r="CW59" s="82">
        <v>46180</v>
      </c>
      <c r="CX59" s="1" t="s">
        <v>2202</v>
      </c>
      <c r="CY59" s="36">
        <f>MONTH(Table_ExternalData_1[[#This Row],[RunningReportDate]])</f>
        <v>6</v>
      </c>
      <c r="CZ59" s="36">
        <f>181-Table_ExternalData_1[[#This Row],[DaysOD]]</f>
        <v>4</v>
      </c>
      <c r="DA59" s="36">
        <f>IF(Table_ExternalData_1[[#This Row],[Status]]="PU-WC",0,Table_ExternalData_1[[#This Row],[Amount_CWO]]/1000000)</f>
        <v>63.857002059999999</v>
      </c>
      <c r="DB59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59" s="36">
        <f>IF(Table_ExternalData_1[[#This Row],[Status]]="PU-WC",0,IF(Table_ExternalData_1[[#This Row],[Success CWO]]=1,Table_ExternalData_1[[#This Row],[CWO Amt]],0))</f>
        <v>0</v>
      </c>
      <c r="DD59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63.857002059999999</v>
      </c>
      <c r="DE59" s="36">
        <f>DAY(Table_ExternalData_1[[#This Row],[Tanggal_Sukses]])</f>
        <v>0</v>
      </c>
      <c r="DF59" s="36">
        <f>IF(Table_ExternalData_1[[#This Row],[Status]]="PU-WC",0,IF(SUM(Table_ExternalData_1[[#This Row],[Success CWO]:[WO-In-Amt]])=0,1,0))</f>
        <v>0</v>
      </c>
      <c r="DG59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59" s="36" t="str">
        <f>VLOOKUP(Table_ExternalData_1[[#This Row],[BranchID]],KC!$A:$K,5,0)</f>
        <v>4W</v>
      </c>
      <c r="DI59" s="36" t="str">
        <f>VLOOKUP(Table_ExternalData_1[[#This Row],[BranchID]],KC!$A:$K,8,0)</f>
        <v>01. Jabodetabekser</v>
      </c>
      <c r="DJ59" s="36" t="str">
        <f>VLOOKUP(Table_ExternalData_1[[#This Row],[BranchID]],KC!$A:$K,9,0)</f>
        <v>TANGERANG</v>
      </c>
    </row>
    <row r="60" spans="1:114" x14ac:dyDescent="0.3">
      <c r="A60" s="3" t="s">
        <v>15</v>
      </c>
      <c r="B60" s="2" t="s">
        <v>16</v>
      </c>
      <c r="C60" s="278">
        <v>46173</v>
      </c>
      <c r="D60" s="278">
        <v>45996</v>
      </c>
      <c r="E60" s="278">
        <v>44742</v>
      </c>
      <c r="F60" s="2" t="s">
        <v>2374</v>
      </c>
      <c r="G60" s="2" t="s">
        <v>2375</v>
      </c>
      <c r="H60" s="1" t="s">
        <v>2376</v>
      </c>
      <c r="I60" s="1" t="s">
        <v>2377</v>
      </c>
      <c r="J60" s="1" t="s">
        <v>2378</v>
      </c>
      <c r="K60" s="1" t="s">
        <v>4</v>
      </c>
      <c r="L60" s="1" t="s">
        <v>2378</v>
      </c>
      <c r="M60" s="1" t="s">
        <v>2379</v>
      </c>
      <c r="N60" s="1" t="s">
        <v>2380</v>
      </c>
      <c r="O60" s="1" t="s">
        <v>15</v>
      </c>
      <c r="P60" s="1" t="s">
        <v>165</v>
      </c>
      <c r="Q60" s="1" t="s">
        <v>166</v>
      </c>
      <c r="R60" s="1" t="s">
        <v>4</v>
      </c>
      <c r="S60" s="1" t="s">
        <v>4</v>
      </c>
      <c r="T60" s="1" t="s">
        <v>1674</v>
      </c>
      <c r="U60" s="1" t="s">
        <v>1674</v>
      </c>
      <c r="V60" s="1" t="s">
        <v>1674</v>
      </c>
      <c r="W60" s="1" t="s">
        <v>120</v>
      </c>
      <c r="X60" s="1" t="s">
        <v>121</v>
      </c>
      <c r="Y60" s="1" t="s">
        <v>136</v>
      </c>
      <c r="Z60" s="1" t="s">
        <v>189</v>
      </c>
      <c r="AA60" s="1" t="s">
        <v>2381</v>
      </c>
      <c r="AB60" s="1" t="s">
        <v>2382</v>
      </c>
      <c r="AC60" s="1" t="s">
        <v>2383</v>
      </c>
      <c r="AD60" s="1">
        <v>33120000</v>
      </c>
      <c r="AE60" s="1">
        <v>31051198.629999999</v>
      </c>
      <c r="AF60" s="1">
        <v>8280000</v>
      </c>
      <c r="AG60" s="1">
        <v>24840000</v>
      </c>
      <c r="AH60" s="1">
        <v>32877300</v>
      </c>
      <c r="AI60" s="1">
        <v>0</v>
      </c>
      <c r="AJ60" s="1">
        <v>4140000</v>
      </c>
      <c r="AK60" s="1">
        <v>177</v>
      </c>
      <c r="AL60" s="1">
        <v>6</v>
      </c>
      <c r="AM60" s="1">
        <v>41</v>
      </c>
      <c r="AN60" s="1">
        <v>48</v>
      </c>
      <c r="AO60" s="1" t="s">
        <v>123</v>
      </c>
      <c r="AP60" s="1" t="s">
        <v>123</v>
      </c>
      <c r="AQ60" s="1" t="s">
        <v>124</v>
      </c>
      <c r="BF60" s="1" t="s">
        <v>129</v>
      </c>
      <c r="BG60" s="1" t="s">
        <v>130</v>
      </c>
      <c r="BH60" s="1">
        <v>7</v>
      </c>
      <c r="BI60" s="1">
        <v>28980000</v>
      </c>
      <c r="BJ60" s="75"/>
      <c r="BK60" s="75"/>
      <c r="BL60" s="75"/>
      <c r="BN60" s="75">
        <v>46203</v>
      </c>
      <c r="BO60" s="1">
        <v>1</v>
      </c>
      <c r="BP60" s="76">
        <v>46180</v>
      </c>
      <c r="BQ60" s="1" t="s">
        <v>131</v>
      </c>
      <c r="BR60" s="1">
        <v>184</v>
      </c>
      <c r="BS60" s="75">
        <v>45996</v>
      </c>
      <c r="BT60" s="1">
        <v>33120000</v>
      </c>
      <c r="BU60" s="1">
        <v>0</v>
      </c>
      <c r="BV60" s="1">
        <v>1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75"/>
      <c r="CD60" s="1">
        <v>0</v>
      </c>
      <c r="CE60" s="75"/>
      <c r="CF60" s="1">
        <v>0</v>
      </c>
      <c r="CG60" s="75"/>
      <c r="CH60" s="1">
        <v>0</v>
      </c>
      <c r="CI60" s="75"/>
      <c r="CJ60" s="1">
        <v>0</v>
      </c>
      <c r="CK60" s="75"/>
      <c r="CL60" s="1">
        <v>0</v>
      </c>
      <c r="CM60" s="75">
        <v>46180</v>
      </c>
      <c r="CN60" s="1" t="s">
        <v>132</v>
      </c>
      <c r="CO60" s="1">
        <v>31051198.629999999</v>
      </c>
      <c r="CP60" s="1">
        <v>31051198.629999999</v>
      </c>
      <c r="CQ60" s="1">
        <v>4</v>
      </c>
      <c r="CR60" s="75"/>
      <c r="CT60" s="1">
        <v>0</v>
      </c>
      <c r="CU60" s="1" t="s">
        <v>167</v>
      </c>
      <c r="CV60" s="1" t="s">
        <v>168</v>
      </c>
      <c r="CW60" s="82">
        <v>46180</v>
      </c>
      <c r="CX60" s="1" t="s">
        <v>2202</v>
      </c>
      <c r="CY60" s="36">
        <f>MONTH(Table_ExternalData_1[[#This Row],[RunningReportDate]])</f>
        <v>6</v>
      </c>
      <c r="CZ60" s="36">
        <f>181-Table_ExternalData_1[[#This Row],[DaysOD]]</f>
        <v>4</v>
      </c>
      <c r="DA60" s="36">
        <f>IF(Table_ExternalData_1[[#This Row],[Status]]="PU-WC",0,Table_ExternalData_1[[#This Row],[Amount_CWO]]/1000000)</f>
        <v>31.051198629999998</v>
      </c>
      <c r="DB60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60" s="36">
        <f>IF(Table_ExternalData_1[[#This Row],[Status]]="PU-WC",0,IF(Table_ExternalData_1[[#This Row],[Success CWO]]=1,Table_ExternalData_1[[#This Row],[CWO Amt]],0))</f>
        <v>0</v>
      </c>
      <c r="DD60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31.051198629999998</v>
      </c>
      <c r="DE60" s="36">
        <f>DAY(Table_ExternalData_1[[#This Row],[Tanggal_Sukses]])</f>
        <v>0</v>
      </c>
      <c r="DF60" s="36">
        <f>IF(Table_ExternalData_1[[#This Row],[Status]]="PU-WC",0,IF(SUM(Table_ExternalData_1[[#This Row],[Success CWO]:[WO-In-Amt]])=0,1,0))</f>
        <v>0</v>
      </c>
      <c r="DG60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60" s="36" t="str">
        <f>VLOOKUP(Table_ExternalData_1[[#This Row],[BranchID]],KC!$A:$K,5,0)</f>
        <v>4W</v>
      </c>
      <c r="DI60" s="36" t="str">
        <f>VLOOKUP(Table_ExternalData_1[[#This Row],[BranchID]],KC!$A:$K,8,0)</f>
        <v>01. Jabodetabekser</v>
      </c>
      <c r="DJ60" s="36" t="str">
        <f>VLOOKUP(Table_ExternalData_1[[#This Row],[BranchID]],KC!$A:$K,9,0)</f>
        <v>TANGERANG</v>
      </c>
    </row>
    <row r="61" spans="1:114" x14ac:dyDescent="0.3">
      <c r="A61" s="3" t="s">
        <v>15</v>
      </c>
      <c r="B61" s="2" t="s">
        <v>16</v>
      </c>
      <c r="C61" s="278">
        <v>46173</v>
      </c>
      <c r="D61" s="278">
        <v>46004</v>
      </c>
      <c r="E61" s="278">
        <v>44574</v>
      </c>
      <c r="F61" s="2" t="s">
        <v>2363</v>
      </c>
      <c r="G61" s="2" t="s">
        <v>2364</v>
      </c>
      <c r="H61" s="1" t="s">
        <v>2365</v>
      </c>
      <c r="I61" s="1" t="s">
        <v>2366</v>
      </c>
      <c r="J61" s="1" t="s">
        <v>2367</v>
      </c>
      <c r="K61" s="1" t="s">
        <v>4</v>
      </c>
      <c r="L61" s="1" t="s">
        <v>2367</v>
      </c>
      <c r="M61" s="1" t="s">
        <v>2368</v>
      </c>
      <c r="N61" s="1" t="s">
        <v>2369</v>
      </c>
      <c r="O61" s="1" t="s">
        <v>15</v>
      </c>
      <c r="P61" s="1" t="s">
        <v>165</v>
      </c>
      <c r="Q61" s="1" t="s">
        <v>2351</v>
      </c>
      <c r="R61" s="1" t="s">
        <v>4</v>
      </c>
      <c r="S61" s="1" t="s">
        <v>4</v>
      </c>
      <c r="T61" s="1" t="s">
        <v>2370</v>
      </c>
      <c r="U61" s="1" t="s">
        <v>2370</v>
      </c>
      <c r="V61" s="1" t="s">
        <v>2370</v>
      </c>
      <c r="W61" s="1" t="s">
        <v>120</v>
      </c>
      <c r="X61" s="1" t="s">
        <v>121</v>
      </c>
      <c r="Y61" s="1" t="s">
        <v>136</v>
      </c>
      <c r="Z61" s="1" t="s">
        <v>137</v>
      </c>
      <c r="AA61" s="1" t="s">
        <v>2371</v>
      </c>
      <c r="AB61" s="1" t="s">
        <v>2372</v>
      </c>
      <c r="AC61" s="1" t="s">
        <v>2373</v>
      </c>
      <c r="AD61" s="1">
        <v>7784000</v>
      </c>
      <c r="AE61" s="1">
        <v>7608212.4500000002</v>
      </c>
      <c r="AF61" s="1">
        <v>0</v>
      </c>
      <c r="AG61" s="1">
        <v>7784000</v>
      </c>
      <c r="AH61" s="1">
        <v>42408660</v>
      </c>
      <c r="AI61" s="1">
        <v>101000</v>
      </c>
      <c r="AJ61" s="1">
        <v>3892000</v>
      </c>
      <c r="AK61" s="1">
        <v>169</v>
      </c>
      <c r="AL61" s="1">
        <v>2</v>
      </c>
      <c r="AM61" s="1">
        <v>47</v>
      </c>
      <c r="AN61" s="1">
        <v>48</v>
      </c>
      <c r="AO61" s="1" t="s">
        <v>123</v>
      </c>
      <c r="AP61" s="1" t="s">
        <v>123</v>
      </c>
      <c r="AQ61" s="1" t="s">
        <v>124</v>
      </c>
      <c r="BF61" s="1" t="s">
        <v>129</v>
      </c>
      <c r="BG61" s="1" t="s">
        <v>130</v>
      </c>
      <c r="BH61" s="1">
        <v>2</v>
      </c>
      <c r="BI61" s="1">
        <v>7784000</v>
      </c>
      <c r="BJ61" s="75"/>
      <c r="BK61" s="75"/>
      <c r="BL61" s="75"/>
      <c r="BN61" s="75">
        <v>46203</v>
      </c>
      <c r="BO61" s="1">
        <v>1</v>
      </c>
      <c r="BP61" s="76">
        <v>46180</v>
      </c>
      <c r="BQ61" s="1" t="s">
        <v>131</v>
      </c>
      <c r="BR61" s="1">
        <v>176</v>
      </c>
      <c r="BS61" s="75">
        <v>46004</v>
      </c>
      <c r="BT61" s="1">
        <v>7784000</v>
      </c>
      <c r="BU61" s="1">
        <v>0</v>
      </c>
      <c r="BV61" s="1">
        <v>1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75"/>
      <c r="CD61" s="1">
        <v>0</v>
      </c>
      <c r="CE61" s="75"/>
      <c r="CF61" s="1">
        <v>0</v>
      </c>
      <c r="CG61" s="75"/>
      <c r="CH61" s="1">
        <v>0</v>
      </c>
      <c r="CI61" s="75"/>
      <c r="CJ61" s="1">
        <v>0</v>
      </c>
      <c r="CK61" s="75"/>
      <c r="CL61" s="1">
        <v>0</v>
      </c>
      <c r="CM61" s="75">
        <v>46180</v>
      </c>
      <c r="CN61" s="1" t="s">
        <v>132</v>
      </c>
      <c r="CO61" s="1">
        <v>7507212.4500000002</v>
      </c>
      <c r="CP61" s="1">
        <v>7507212.4500000002</v>
      </c>
      <c r="CQ61" s="1">
        <v>12</v>
      </c>
      <c r="CR61" s="75"/>
      <c r="CT61" s="1">
        <v>0</v>
      </c>
      <c r="CU61" s="1" t="s">
        <v>167</v>
      </c>
      <c r="CV61" s="1" t="s">
        <v>168</v>
      </c>
      <c r="CW61" s="82">
        <v>46180</v>
      </c>
      <c r="CX61" s="1" t="s">
        <v>2202</v>
      </c>
      <c r="CY61" s="36">
        <f>MONTH(Table_ExternalData_1[[#This Row],[RunningReportDate]])</f>
        <v>6</v>
      </c>
      <c r="CZ61" s="36">
        <f>181-Table_ExternalData_1[[#This Row],[DaysOD]]</f>
        <v>12</v>
      </c>
      <c r="DA61" s="36">
        <f>IF(Table_ExternalData_1[[#This Row],[Status]]="PU-WC",0,Table_ExternalData_1[[#This Row],[Amount_CWO]]/1000000)</f>
        <v>7.5072124499999999</v>
      </c>
      <c r="DB61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61" s="36">
        <f>IF(Table_ExternalData_1[[#This Row],[Status]]="PU-WC",0,IF(Table_ExternalData_1[[#This Row],[Success CWO]]=1,Table_ExternalData_1[[#This Row],[CWO Amt]],0))</f>
        <v>0</v>
      </c>
      <c r="DD61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61" s="36">
        <f>DAY(Table_ExternalData_1[[#This Row],[Tanggal_Sukses]])</f>
        <v>0</v>
      </c>
      <c r="DF61" s="36">
        <f>IF(Table_ExternalData_1[[#This Row],[Status]]="PU-WC",0,IF(SUM(Table_ExternalData_1[[#This Row],[Success CWO]:[WO-In-Amt]])=0,1,0))</f>
        <v>1</v>
      </c>
      <c r="DG61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7.5072124499999999</v>
      </c>
      <c r="DH61" s="36" t="str">
        <f>VLOOKUP(Table_ExternalData_1[[#This Row],[BranchID]],KC!$A:$K,5,0)</f>
        <v>4W</v>
      </c>
      <c r="DI61" s="36" t="str">
        <f>VLOOKUP(Table_ExternalData_1[[#This Row],[BranchID]],KC!$A:$K,8,0)</f>
        <v>01. Jabodetabekser</v>
      </c>
      <c r="DJ61" s="36" t="str">
        <f>VLOOKUP(Table_ExternalData_1[[#This Row],[BranchID]],KC!$A:$K,9,0)</f>
        <v>TANGERANG</v>
      </c>
    </row>
    <row r="62" spans="1:114" x14ac:dyDescent="0.3">
      <c r="A62" s="3" t="s">
        <v>15</v>
      </c>
      <c r="B62" s="2" t="s">
        <v>16</v>
      </c>
      <c r="C62" s="278">
        <v>46173</v>
      </c>
      <c r="D62" s="278">
        <v>46000</v>
      </c>
      <c r="E62" s="278">
        <v>44539</v>
      </c>
      <c r="F62" s="2" t="s">
        <v>2355</v>
      </c>
      <c r="G62" s="2" t="s">
        <v>2356</v>
      </c>
      <c r="H62" s="1" t="s">
        <v>2357</v>
      </c>
      <c r="I62" s="1" t="s">
        <v>2358</v>
      </c>
      <c r="J62" s="1" t="s">
        <v>1506</v>
      </c>
      <c r="K62" s="1" t="s">
        <v>4</v>
      </c>
      <c r="L62" s="1" t="s">
        <v>1506</v>
      </c>
      <c r="M62" s="1" t="s">
        <v>1507</v>
      </c>
      <c r="N62" s="1" t="s">
        <v>1508</v>
      </c>
      <c r="O62" s="1" t="s">
        <v>15</v>
      </c>
      <c r="P62" s="1" t="s">
        <v>165</v>
      </c>
      <c r="Q62" s="1" t="s">
        <v>2351</v>
      </c>
      <c r="R62" s="1" t="s">
        <v>4</v>
      </c>
      <c r="S62" s="1" t="s">
        <v>4</v>
      </c>
      <c r="T62" s="1" t="s">
        <v>2359</v>
      </c>
      <c r="U62" s="1" t="s">
        <v>2359</v>
      </c>
      <c r="V62" s="1" t="s">
        <v>2359</v>
      </c>
      <c r="W62" s="1" t="s">
        <v>120</v>
      </c>
      <c r="X62" s="1" t="s">
        <v>121</v>
      </c>
      <c r="Y62" s="1" t="s">
        <v>136</v>
      </c>
      <c r="Z62" s="1" t="s">
        <v>137</v>
      </c>
      <c r="AA62" s="1" t="s">
        <v>2360</v>
      </c>
      <c r="AB62" s="1" t="s">
        <v>2361</v>
      </c>
      <c r="AC62" s="1" t="s">
        <v>2362</v>
      </c>
      <c r="AD62" s="1">
        <v>3524000</v>
      </c>
      <c r="AE62" s="1">
        <v>3476604.39</v>
      </c>
      <c r="AF62" s="1">
        <v>0</v>
      </c>
      <c r="AG62" s="1">
        <v>3524000</v>
      </c>
      <c r="AH62" s="1">
        <v>25880500</v>
      </c>
      <c r="AI62" s="1">
        <v>0</v>
      </c>
      <c r="AJ62" s="1">
        <v>3524000</v>
      </c>
      <c r="AK62" s="1">
        <v>173</v>
      </c>
      <c r="AL62" s="1">
        <v>1</v>
      </c>
      <c r="AM62" s="1">
        <v>48</v>
      </c>
      <c r="AN62" s="1">
        <v>48</v>
      </c>
      <c r="AO62" s="1" t="s">
        <v>123</v>
      </c>
      <c r="AP62" s="1" t="s">
        <v>123</v>
      </c>
      <c r="AQ62" s="1" t="s">
        <v>124</v>
      </c>
      <c r="BF62" s="1" t="s">
        <v>129</v>
      </c>
      <c r="BG62" s="1" t="s">
        <v>130</v>
      </c>
      <c r="BH62" s="1">
        <v>1</v>
      </c>
      <c r="BI62" s="1">
        <v>3524000</v>
      </c>
      <c r="BJ62" s="75"/>
      <c r="BK62" s="75"/>
      <c r="BL62" s="75"/>
      <c r="BN62" s="75">
        <v>46203</v>
      </c>
      <c r="BO62" s="1">
        <v>1</v>
      </c>
      <c r="BP62" s="76">
        <v>46180</v>
      </c>
      <c r="BQ62" s="1" t="s">
        <v>2999</v>
      </c>
      <c r="BS62" s="75"/>
      <c r="BT62" s="1">
        <v>0</v>
      </c>
      <c r="BU62" s="1">
        <v>3524000</v>
      </c>
      <c r="BV62" s="1">
        <v>0</v>
      </c>
      <c r="BW62" s="1">
        <v>1</v>
      </c>
      <c r="BX62" s="1">
        <v>1</v>
      </c>
      <c r="BY62" s="1">
        <v>1</v>
      </c>
      <c r="BZ62" s="1">
        <v>1</v>
      </c>
      <c r="CA62" s="1">
        <v>3524000</v>
      </c>
      <c r="CB62" s="1">
        <v>3524000</v>
      </c>
      <c r="CC62" s="75"/>
      <c r="CD62" s="1">
        <v>0</v>
      </c>
      <c r="CE62" s="75"/>
      <c r="CF62" s="1">
        <v>0</v>
      </c>
      <c r="CG62" s="75"/>
      <c r="CH62" s="1">
        <v>0</v>
      </c>
      <c r="CI62" s="75"/>
      <c r="CJ62" s="1">
        <v>0</v>
      </c>
      <c r="CK62" s="75"/>
      <c r="CL62" s="1">
        <v>0</v>
      </c>
      <c r="CM62" s="75">
        <v>46180</v>
      </c>
      <c r="CN62" s="1" t="s">
        <v>132</v>
      </c>
      <c r="CO62" s="1">
        <v>3476604.39</v>
      </c>
      <c r="CP62" s="1">
        <v>0</v>
      </c>
      <c r="CQ62" s="1">
        <v>0</v>
      </c>
      <c r="CR62" s="75">
        <v>46176</v>
      </c>
      <c r="CS62" s="1" t="s">
        <v>3000</v>
      </c>
      <c r="CT62" s="1">
        <v>3476604.39</v>
      </c>
      <c r="CU62" s="1" t="s">
        <v>167</v>
      </c>
      <c r="CV62" s="1" t="s">
        <v>168</v>
      </c>
      <c r="CW62" s="82">
        <v>46180</v>
      </c>
      <c r="CX62" s="1" t="s">
        <v>2202</v>
      </c>
      <c r="CY62" s="36">
        <f>MONTH(Table_ExternalData_1[[#This Row],[RunningReportDate]])</f>
        <v>6</v>
      </c>
      <c r="CZ62" s="36">
        <f>181-Table_ExternalData_1[[#This Row],[DaysOD]]</f>
        <v>8</v>
      </c>
      <c r="DA62" s="36">
        <f>IF(Table_ExternalData_1[[#This Row],[Status]]="PU-WC",0,Table_ExternalData_1[[#This Row],[Amount_CWO]]/1000000)</f>
        <v>3.4766043900000003</v>
      </c>
      <c r="DB62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1</v>
      </c>
      <c r="DC62" s="36">
        <f>IF(Table_ExternalData_1[[#This Row],[Status]]="PU-WC",0,IF(Table_ExternalData_1[[#This Row],[Success CWO]]=1,Table_ExternalData_1[[#This Row],[CWO Amt]],0))</f>
        <v>3.4766043900000003</v>
      </c>
      <c r="DD62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62" s="36">
        <f>DAY(Table_ExternalData_1[[#This Row],[Tanggal_Sukses]])</f>
        <v>3</v>
      </c>
      <c r="DF62" s="36">
        <f>IF(Table_ExternalData_1[[#This Row],[Status]]="PU-WC",0,IF(SUM(Table_ExternalData_1[[#This Row],[Success CWO]:[WO-In-Amt]])=0,1,0))</f>
        <v>0</v>
      </c>
      <c r="DG62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62" s="36" t="str">
        <f>VLOOKUP(Table_ExternalData_1[[#This Row],[BranchID]],KC!$A:$K,5,0)</f>
        <v>4W</v>
      </c>
      <c r="DI62" s="36" t="str">
        <f>VLOOKUP(Table_ExternalData_1[[#This Row],[BranchID]],KC!$A:$K,8,0)</f>
        <v>01. Jabodetabekser</v>
      </c>
      <c r="DJ62" s="36" t="str">
        <f>VLOOKUP(Table_ExternalData_1[[#This Row],[BranchID]],KC!$A:$K,9,0)</f>
        <v>TANGERANG</v>
      </c>
    </row>
    <row r="63" spans="1:114" x14ac:dyDescent="0.3">
      <c r="A63" s="3" t="s">
        <v>15</v>
      </c>
      <c r="B63" s="2" t="s">
        <v>16</v>
      </c>
      <c r="C63" s="278">
        <v>46173</v>
      </c>
      <c r="D63" s="278">
        <v>46001</v>
      </c>
      <c r="E63" s="278">
        <v>44544</v>
      </c>
      <c r="F63" s="2" t="s">
        <v>2344</v>
      </c>
      <c r="G63" s="2" t="s">
        <v>2345</v>
      </c>
      <c r="H63" s="1" t="s">
        <v>2346</v>
      </c>
      <c r="I63" s="1" t="s">
        <v>2347</v>
      </c>
      <c r="J63" s="1" t="s">
        <v>2348</v>
      </c>
      <c r="K63" s="1" t="s">
        <v>4</v>
      </c>
      <c r="L63" s="1" t="s">
        <v>2348</v>
      </c>
      <c r="M63" s="1" t="s">
        <v>2349</v>
      </c>
      <c r="N63" s="1" t="s">
        <v>2350</v>
      </c>
      <c r="O63" s="1" t="s">
        <v>15</v>
      </c>
      <c r="P63" s="1" t="s">
        <v>165</v>
      </c>
      <c r="Q63" s="1" t="s">
        <v>2351</v>
      </c>
      <c r="R63" s="1" t="s">
        <v>4</v>
      </c>
      <c r="S63" s="1" t="s">
        <v>4</v>
      </c>
      <c r="T63" s="1" t="s">
        <v>217</v>
      </c>
      <c r="U63" s="1" t="s">
        <v>217</v>
      </c>
      <c r="V63" s="1" t="s">
        <v>217</v>
      </c>
      <c r="W63" s="1" t="s">
        <v>120</v>
      </c>
      <c r="X63" s="1" t="s">
        <v>121</v>
      </c>
      <c r="Y63" s="1" t="s">
        <v>136</v>
      </c>
      <c r="Z63" s="1" t="s">
        <v>137</v>
      </c>
      <c r="AA63" s="1" t="s">
        <v>2352</v>
      </c>
      <c r="AB63" s="1" t="s">
        <v>2353</v>
      </c>
      <c r="AC63" s="1" t="s">
        <v>2354</v>
      </c>
      <c r="AD63" s="1">
        <v>3900000</v>
      </c>
      <c r="AE63" s="1">
        <v>3840620.73</v>
      </c>
      <c r="AF63" s="1">
        <v>0</v>
      </c>
      <c r="AG63" s="1">
        <v>3900000</v>
      </c>
      <c r="AH63" s="1">
        <v>28671000</v>
      </c>
      <c r="AI63" s="1">
        <v>0</v>
      </c>
      <c r="AJ63" s="1">
        <v>3900000</v>
      </c>
      <c r="AK63" s="1">
        <v>172</v>
      </c>
      <c r="AL63" s="1">
        <v>1</v>
      </c>
      <c r="AM63" s="1">
        <v>48</v>
      </c>
      <c r="AN63" s="1">
        <v>48</v>
      </c>
      <c r="AO63" s="1" t="s">
        <v>123</v>
      </c>
      <c r="AP63" s="1" t="s">
        <v>123</v>
      </c>
      <c r="AQ63" s="1" t="s">
        <v>124</v>
      </c>
      <c r="BF63" s="1" t="s">
        <v>129</v>
      </c>
      <c r="BG63" s="1" t="s">
        <v>130</v>
      </c>
      <c r="BH63" s="1">
        <v>1</v>
      </c>
      <c r="BI63" s="1">
        <v>3900000</v>
      </c>
      <c r="BJ63" s="75"/>
      <c r="BK63" s="75"/>
      <c r="BL63" s="75"/>
      <c r="BN63" s="75">
        <v>46203</v>
      </c>
      <c r="BO63" s="1">
        <v>1</v>
      </c>
      <c r="BP63" s="76">
        <v>46180</v>
      </c>
      <c r="BQ63" s="1" t="s">
        <v>131</v>
      </c>
      <c r="BR63" s="1">
        <v>179</v>
      </c>
      <c r="BS63" s="75">
        <v>46001</v>
      </c>
      <c r="BT63" s="1">
        <v>3900000</v>
      </c>
      <c r="BU63" s="1">
        <v>0</v>
      </c>
      <c r="BV63" s="1">
        <v>1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75"/>
      <c r="CD63" s="1">
        <v>0</v>
      </c>
      <c r="CE63" s="75"/>
      <c r="CF63" s="1">
        <v>0</v>
      </c>
      <c r="CG63" s="75"/>
      <c r="CH63" s="1">
        <v>0</v>
      </c>
      <c r="CI63" s="75"/>
      <c r="CJ63" s="1">
        <v>0</v>
      </c>
      <c r="CK63" s="75"/>
      <c r="CL63" s="1">
        <v>0</v>
      </c>
      <c r="CM63" s="75">
        <v>46180</v>
      </c>
      <c r="CN63" s="1" t="s">
        <v>132</v>
      </c>
      <c r="CO63" s="1">
        <v>3840620.73</v>
      </c>
      <c r="CP63" s="1">
        <v>3840620.73</v>
      </c>
      <c r="CQ63" s="1">
        <v>9</v>
      </c>
      <c r="CR63" s="75"/>
      <c r="CT63" s="1">
        <v>0</v>
      </c>
      <c r="CU63" s="1" t="s">
        <v>167</v>
      </c>
      <c r="CV63" s="1" t="s">
        <v>168</v>
      </c>
      <c r="CW63" s="82">
        <v>46180</v>
      </c>
      <c r="CX63" s="1" t="s">
        <v>2202</v>
      </c>
      <c r="CY63" s="36">
        <f>MONTH(Table_ExternalData_1[[#This Row],[RunningReportDate]])</f>
        <v>6</v>
      </c>
      <c r="CZ63" s="36">
        <f>181-Table_ExternalData_1[[#This Row],[DaysOD]]</f>
        <v>9</v>
      </c>
      <c r="DA63" s="36">
        <f>IF(Table_ExternalData_1[[#This Row],[Status]]="PU-WC",0,Table_ExternalData_1[[#This Row],[Amount_CWO]]/1000000)</f>
        <v>3.8406207299999999</v>
      </c>
      <c r="DB63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63" s="36">
        <f>IF(Table_ExternalData_1[[#This Row],[Status]]="PU-WC",0,IF(Table_ExternalData_1[[#This Row],[Success CWO]]=1,Table_ExternalData_1[[#This Row],[CWO Amt]],0))</f>
        <v>0</v>
      </c>
      <c r="DD63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63" s="36">
        <f>DAY(Table_ExternalData_1[[#This Row],[Tanggal_Sukses]])</f>
        <v>0</v>
      </c>
      <c r="DF63" s="36">
        <f>IF(Table_ExternalData_1[[#This Row],[Status]]="PU-WC",0,IF(SUM(Table_ExternalData_1[[#This Row],[Success CWO]:[WO-In-Amt]])=0,1,0))</f>
        <v>1</v>
      </c>
      <c r="DG63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3.8406207299999999</v>
      </c>
      <c r="DH63" s="36" t="str">
        <f>VLOOKUP(Table_ExternalData_1[[#This Row],[BranchID]],KC!$A:$K,5,0)</f>
        <v>4W</v>
      </c>
      <c r="DI63" s="36" t="str">
        <f>VLOOKUP(Table_ExternalData_1[[#This Row],[BranchID]],KC!$A:$K,8,0)</f>
        <v>01. Jabodetabekser</v>
      </c>
      <c r="DJ63" s="36" t="str">
        <f>VLOOKUP(Table_ExternalData_1[[#This Row],[BranchID]],KC!$A:$K,9,0)</f>
        <v>TANGERANG</v>
      </c>
    </row>
    <row r="64" spans="1:114" x14ac:dyDescent="0.3">
      <c r="A64" s="3" t="s">
        <v>0</v>
      </c>
      <c r="B64" s="2" t="s">
        <v>1</v>
      </c>
      <c r="C64" s="278">
        <v>46173</v>
      </c>
      <c r="D64" s="278">
        <v>45997</v>
      </c>
      <c r="E64" s="278">
        <v>45541</v>
      </c>
      <c r="F64" s="2" t="s">
        <v>2334</v>
      </c>
      <c r="G64" s="2" t="s">
        <v>2335</v>
      </c>
      <c r="H64" s="1" t="s">
        <v>2336</v>
      </c>
      <c r="I64" s="1" t="s">
        <v>2337</v>
      </c>
      <c r="J64" s="1" t="s">
        <v>896</v>
      </c>
      <c r="K64" s="1" t="s">
        <v>4</v>
      </c>
      <c r="L64" s="1" t="s">
        <v>896</v>
      </c>
      <c r="M64" s="1" t="s">
        <v>2338</v>
      </c>
      <c r="N64" s="1" t="s">
        <v>1495</v>
      </c>
      <c r="O64" s="1" t="s">
        <v>0</v>
      </c>
      <c r="P64" s="1" t="s">
        <v>188</v>
      </c>
      <c r="Q64" s="1" t="s">
        <v>903</v>
      </c>
      <c r="R64" s="1" t="s">
        <v>4</v>
      </c>
      <c r="S64" s="1" t="s">
        <v>4</v>
      </c>
      <c r="T64" s="1" t="s">
        <v>2339</v>
      </c>
      <c r="U64" s="1" t="s">
        <v>2340</v>
      </c>
      <c r="V64" s="1" t="s">
        <v>4</v>
      </c>
      <c r="W64" s="1" t="s">
        <v>120</v>
      </c>
      <c r="X64" s="1" t="s">
        <v>121</v>
      </c>
      <c r="Y64" s="1" t="s">
        <v>136</v>
      </c>
      <c r="Z64" s="1" t="s">
        <v>142</v>
      </c>
      <c r="AA64" s="1" t="s">
        <v>2341</v>
      </c>
      <c r="AB64" s="1" t="s">
        <v>2342</v>
      </c>
      <c r="AC64" s="1" t="s">
        <v>2343</v>
      </c>
      <c r="AD64" s="1">
        <v>169280000</v>
      </c>
      <c r="AE64" s="1">
        <v>120624513.83</v>
      </c>
      <c r="AF64" s="1">
        <v>147200000</v>
      </c>
      <c r="AG64" s="1">
        <v>22080000</v>
      </c>
      <c r="AH64" s="1">
        <v>11168800</v>
      </c>
      <c r="AI64" s="1">
        <v>0</v>
      </c>
      <c r="AJ64" s="1">
        <v>3680000</v>
      </c>
      <c r="AK64" s="1">
        <v>176</v>
      </c>
      <c r="AL64" s="1">
        <v>6</v>
      </c>
      <c r="AM64" s="1">
        <v>15</v>
      </c>
      <c r="AN64" s="1">
        <v>60</v>
      </c>
      <c r="AO64" s="1" t="s">
        <v>123</v>
      </c>
      <c r="AP64" s="1" t="s">
        <v>123</v>
      </c>
      <c r="AQ64" s="1" t="s">
        <v>124</v>
      </c>
      <c r="BF64" s="1" t="s">
        <v>129</v>
      </c>
      <c r="BG64" s="1" t="s">
        <v>130</v>
      </c>
      <c r="BH64" s="1">
        <v>7</v>
      </c>
      <c r="BI64" s="1">
        <v>25760000</v>
      </c>
      <c r="BJ64" s="75"/>
      <c r="BK64" s="75"/>
      <c r="BL64" s="75"/>
      <c r="BN64" s="75">
        <v>46203</v>
      </c>
      <c r="BO64" s="1">
        <v>1</v>
      </c>
      <c r="BP64" s="76">
        <v>46180</v>
      </c>
      <c r="BQ64" s="1" t="s">
        <v>131</v>
      </c>
      <c r="BR64" s="1">
        <v>183</v>
      </c>
      <c r="BS64" s="75">
        <v>45997</v>
      </c>
      <c r="BT64" s="1">
        <v>169280000</v>
      </c>
      <c r="BU64" s="1">
        <v>0</v>
      </c>
      <c r="BV64" s="1">
        <v>1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75"/>
      <c r="CD64" s="1">
        <v>0</v>
      </c>
      <c r="CE64" s="75"/>
      <c r="CF64" s="1">
        <v>0</v>
      </c>
      <c r="CG64" s="75"/>
      <c r="CH64" s="1">
        <v>0</v>
      </c>
      <c r="CI64" s="75"/>
      <c r="CJ64" s="1">
        <v>0</v>
      </c>
      <c r="CK64" s="75"/>
      <c r="CL64" s="1">
        <v>0</v>
      </c>
      <c r="CM64" s="75">
        <v>46180</v>
      </c>
      <c r="CN64" s="1" t="s">
        <v>132</v>
      </c>
      <c r="CO64" s="1">
        <v>120624513.83</v>
      </c>
      <c r="CP64" s="1">
        <v>120624513.83</v>
      </c>
      <c r="CQ64" s="1">
        <v>5</v>
      </c>
      <c r="CR64" s="75"/>
      <c r="CT64" s="1">
        <v>0</v>
      </c>
      <c r="CU64" s="1" t="s">
        <v>191</v>
      </c>
      <c r="CV64" s="1" t="s">
        <v>192</v>
      </c>
      <c r="CW64" s="82">
        <v>46180</v>
      </c>
      <c r="CX64" s="1" t="s">
        <v>2202</v>
      </c>
      <c r="CY64" s="36">
        <f>MONTH(Table_ExternalData_1[[#This Row],[RunningReportDate]])</f>
        <v>6</v>
      </c>
      <c r="CZ64" s="36">
        <f>181-Table_ExternalData_1[[#This Row],[DaysOD]]</f>
        <v>5</v>
      </c>
      <c r="DA64" s="36">
        <f>IF(Table_ExternalData_1[[#This Row],[Status]]="PU-WC",0,Table_ExternalData_1[[#This Row],[Amount_CWO]]/1000000)</f>
        <v>120.62451383</v>
      </c>
      <c r="DB64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64" s="36">
        <f>IF(Table_ExternalData_1[[#This Row],[Status]]="PU-WC",0,IF(Table_ExternalData_1[[#This Row],[Success CWO]]=1,Table_ExternalData_1[[#This Row],[CWO Amt]],0))</f>
        <v>0</v>
      </c>
      <c r="DD64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120.62451383</v>
      </c>
      <c r="DE64" s="36">
        <f>DAY(Table_ExternalData_1[[#This Row],[Tanggal_Sukses]])</f>
        <v>0</v>
      </c>
      <c r="DF64" s="36">
        <f>IF(Table_ExternalData_1[[#This Row],[Status]]="PU-WC",0,IF(SUM(Table_ExternalData_1[[#This Row],[Success CWO]:[WO-In-Amt]])=0,1,0))</f>
        <v>0</v>
      </c>
      <c r="DG64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64" s="36" t="str">
        <f>VLOOKUP(Table_ExternalData_1[[#This Row],[BranchID]],KC!$A:$K,5,0)</f>
        <v>4W</v>
      </c>
      <c r="DI64" s="36" t="str">
        <f>VLOOKUP(Table_ExternalData_1[[#This Row],[BranchID]],KC!$A:$K,8,0)</f>
        <v>01. Jabodetabekser</v>
      </c>
      <c r="DJ64" s="36" t="str">
        <f>VLOOKUP(Table_ExternalData_1[[#This Row],[BranchID]],KC!$A:$K,9,0)</f>
        <v>BEKASI</v>
      </c>
    </row>
    <row r="65" spans="1:114" x14ac:dyDescent="0.3">
      <c r="A65" s="3" t="s">
        <v>0</v>
      </c>
      <c r="B65" s="2" t="s">
        <v>1</v>
      </c>
      <c r="C65" s="278">
        <v>46173</v>
      </c>
      <c r="D65" s="278">
        <v>46015</v>
      </c>
      <c r="E65" s="278">
        <v>45406</v>
      </c>
      <c r="F65" s="2" t="s">
        <v>2323</v>
      </c>
      <c r="G65" s="2" t="s">
        <v>2324</v>
      </c>
      <c r="H65" s="1" t="s">
        <v>2325</v>
      </c>
      <c r="I65" s="1" t="s">
        <v>2326</v>
      </c>
      <c r="J65" s="1" t="s">
        <v>2327</v>
      </c>
      <c r="K65" s="1" t="s">
        <v>4</v>
      </c>
      <c r="L65" s="1" t="s">
        <v>2327</v>
      </c>
      <c r="M65" s="1" t="s">
        <v>2328</v>
      </c>
      <c r="N65" s="1" t="s">
        <v>2329</v>
      </c>
      <c r="O65" s="1" t="s">
        <v>0</v>
      </c>
      <c r="P65" s="1" t="s">
        <v>188</v>
      </c>
      <c r="Q65" s="1" t="s">
        <v>903</v>
      </c>
      <c r="R65" s="1" t="s">
        <v>4</v>
      </c>
      <c r="S65" s="1" t="s">
        <v>4</v>
      </c>
      <c r="T65" s="1" t="s">
        <v>2330</v>
      </c>
      <c r="U65" s="1" t="s">
        <v>2330</v>
      </c>
      <c r="V65" s="1" t="s">
        <v>2161</v>
      </c>
      <c r="W65" s="1" t="s">
        <v>120</v>
      </c>
      <c r="X65" s="1" t="s">
        <v>121</v>
      </c>
      <c r="Y65" s="1" t="s">
        <v>136</v>
      </c>
      <c r="Z65" s="1" t="s">
        <v>142</v>
      </c>
      <c r="AA65" s="1" t="s">
        <v>2331</v>
      </c>
      <c r="AB65" s="1" t="s">
        <v>2332</v>
      </c>
      <c r="AC65" s="1" t="s">
        <v>2333</v>
      </c>
      <c r="AD65" s="1">
        <v>132936000</v>
      </c>
      <c r="AE65" s="1">
        <v>104726984.68000001</v>
      </c>
      <c r="AF65" s="1">
        <v>105432000</v>
      </c>
      <c r="AG65" s="1">
        <v>27504000</v>
      </c>
      <c r="AH65" s="1">
        <v>17602640</v>
      </c>
      <c r="AI65" s="1">
        <v>0</v>
      </c>
      <c r="AJ65" s="1">
        <v>4584000</v>
      </c>
      <c r="AK65" s="1">
        <v>158</v>
      </c>
      <c r="AL65" s="1">
        <v>6</v>
      </c>
      <c r="AM65" s="1">
        <v>20</v>
      </c>
      <c r="AN65" s="1">
        <v>48</v>
      </c>
      <c r="AO65" s="1" t="s">
        <v>123</v>
      </c>
      <c r="AP65" s="1" t="s">
        <v>123</v>
      </c>
      <c r="AQ65" s="1" t="s">
        <v>124</v>
      </c>
      <c r="BF65" s="1" t="s">
        <v>129</v>
      </c>
      <c r="BG65" s="1" t="s">
        <v>130</v>
      </c>
      <c r="BH65" s="1">
        <v>7</v>
      </c>
      <c r="BI65" s="1">
        <v>32088000</v>
      </c>
      <c r="BJ65" s="75"/>
      <c r="BK65" s="75"/>
      <c r="BL65" s="75"/>
      <c r="BN65" s="75">
        <v>46203</v>
      </c>
      <c r="BO65" s="1">
        <v>1</v>
      </c>
      <c r="BP65" s="76">
        <v>46180</v>
      </c>
      <c r="BQ65" s="1" t="s">
        <v>131</v>
      </c>
      <c r="BR65" s="1">
        <v>165</v>
      </c>
      <c r="BS65" s="75">
        <v>46015</v>
      </c>
      <c r="BT65" s="1">
        <v>132936000</v>
      </c>
      <c r="BU65" s="1">
        <v>0</v>
      </c>
      <c r="BV65" s="1">
        <v>1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75"/>
      <c r="CD65" s="1">
        <v>0</v>
      </c>
      <c r="CE65" s="75"/>
      <c r="CF65" s="1">
        <v>0</v>
      </c>
      <c r="CG65" s="75"/>
      <c r="CH65" s="1">
        <v>0</v>
      </c>
      <c r="CI65" s="75"/>
      <c r="CJ65" s="1">
        <v>0</v>
      </c>
      <c r="CK65" s="75"/>
      <c r="CL65" s="1">
        <v>0</v>
      </c>
      <c r="CM65" s="75">
        <v>46180</v>
      </c>
      <c r="CN65" s="1" t="s">
        <v>132</v>
      </c>
      <c r="CO65" s="1">
        <v>104726984.68000001</v>
      </c>
      <c r="CP65" s="1">
        <v>104726984.68000001</v>
      </c>
      <c r="CQ65" s="1">
        <v>23</v>
      </c>
      <c r="CR65" s="75"/>
      <c r="CT65" s="1">
        <v>0</v>
      </c>
      <c r="CU65" s="1" t="s">
        <v>191</v>
      </c>
      <c r="CV65" s="1" t="s">
        <v>192</v>
      </c>
      <c r="CW65" s="82">
        <v>46180</v>
      </c>
      <c r="CX65" s="1" t="s">
        <v>2202</v>
      </c>
      <c r="CY65" s="36">
        <f>MONTH(Table_ExternalData_1[[#This Row],[RunningReportDate]])</f>
        <v>6</v>
      </c>
      <c r="CZ65" s="36">
        <f>181-Table_ExternalData_1[[#This Row],[DaysOD]]</f>
        <v>23</v>
      </c>
      <c r="DA65" s="36">
        <f>IF(Table_ExternalData_1[[#This Row],[Status]]="PU-WC",0,Table_ExternalData_1[[#This Row],[Amount_CWO]]/1000000)</f>
        <v>104.72698468</v>
      </c>
      <c r="DB65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65" s="36">
        <f>IF(Table_ExternalData_1[[#This Row],[Status]]="PU-WC",0,IF(Table_ExternalData_1[[#This Row],[Success CWO]]=1,Table_ExternalData_1[[#This Row],[CWO Amt]],0))</f>
        <v>0</v>
      </c>
      <c r="DD65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65" s="36">
        <f>DAY(Table_ExternalData_1[[#This Row],[Tanggal_Sukses]])</f>
        <v>0</v>
      </c>
      <c r="DF65" s="36">
        <f>IF(Table_ExternalData_1[[#This Row],[Status]]="PU-WC",0,IF(SUM(Table_ExternalData_1[[#This Row],[Success CWO]:[WO-In-Amt]])=0,1,0))</f>
        <v>1</v>
      </c>
      <c r="DG65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104.72698468</v>
      </c>
      <c r="DH65" s="36" t="str">
        <f>VLOOKUP(Table_ExternalData_1[[#This Row],[BranchID]],KC!$A:$K,5,0)</f>
        <v>4W</v>
      </c>
      <c r="DI65" s="36" t="str">
        <f>VLOOKUP(Table_ExternalData_1[[#This Row],[BranchID]],KC!$A:$K,8,0)</f>
        <v>01. Jabodetabekser</v>
      </c>
      <c r="DJ65" s="36" t="str">
        <f>VLOOKUP(Table_ExternalData_1[[#This Row],[BranchID]],KC!$A:$K,9,0)</f>
        <v>BEKASI</v>
      </c>
    </row>
    <row r="66" spans="1:114" x14ac:dyDescent="0.3">
      <c r="A66" s="3" t="s">
        <v>0</v>
      </c>
      <c r="B66" s="2" t="s">
        <v>1</v>
      </c>
      <c r="C66" s="278">
        <v>46173</v>
      </c>
      <c r="D66" s="278">
        <v>46010</v>
      </c>
      <c r="E66" s="278">
        <v>45370</v>
      </c>
      <c r="F66" s="2" t="s">
        <v>2311</v>
      </c>
      <c r="G66" s="2" t="s">
        <v>2312</v>
      </c>
      <c r="H66" s="1" t="s">
        <v>2313</v>
      </c>
      <c r="I66" s="1" t="s">
        <v>2314</v>
      </c>
      <c r="J66" s="1" t="s">
        <v>2315</v>
      </c>
      <c r="K66" s="1" t="s">
        <v>4</v>
      </c>
      <c r="L66" s="1" t="s">
        <v>2315</v>
      </c>
      <c r="M66" s="1" t="s">
        <v>2316</v>
      </c>
      <c r="N66" s="1" t="s">
        <v>2317</v>
      </c>
      <c r="O66" s="1" t="s">
        <v>0</v>
      </c>
      <c r="P66" s="1" t="s">
        <v>188</v>
      </c>
      <c r="Q66" s="1" t="s">
        <v>903</v>
      </c>
      <c r="R66" s="1" t="s">
        <v>4</v>
      </c>
      <c r="S66" s="1" t="s">
        <v>4</v>
      </c>
      <c r="T66" s="1" t="s">
        <v>2318</v>
      </c>
      <c r="U66" s="1" t="s">
        <v>2318</v>
      </c>
      <c r="V66" s="1" t="s">
        <v>381</v>
      </c>
      <c r="W66" s="1" t="s">
        <v>120</v>
      </c>
      <c r="X66" s="1" t="s">
        <v>121</v>
      </c>
      <c r="Y66" s="1" t="s">
        <v>268</v>
      </c>
      <c r="Z66" s="1" t="s">
        <v>2319</v>
      </c>
      <c r="AA66" s="1" t="s">
        <v>2320</v>
      </c>
      <c r="AB66" s="1" t="s">
        <v>2321</v>
      </c>
      <c r="AC66" s="1" t="s">
        <v>2322</v>
      </c>
      <c r="AD66" s="1">
        <v>264120000</v>
      </c>
      <c r="AE66" s="1">
        <v>200070378.28</v>
      </c>
      <c r="AF66" s="1">
        <v>224502000</v>
      </c>
      <c r="AG66" s="1">
        <v>39618000</v>
      </c>
      <c r="AH66" s="1">
        <v>29558725</v>
      </c>
      <c r="AI66" s="1">
        <v>0</v>
      </c>
      <c r="AJ66" s="1">
        <v>6603000</v>
      </c>
      <c r="AK66" s="1">
        <v>163</v>
      </c>
      <c r="AL66" s="1">
        <v>6</v>
      </c>
      <c r="AM66" s="1">
        <v>21</v>
      </c>
      <c r="AN66" s="1">
        <v>60</v>
      </c>
      <c r="AO66" s="1" t="s">
        <v>123</v>
      </c>
      <c r="AP66" s="1" t="s">
        <v>123</v>
      </c>
      <c r="AQ66" s="1" t="s">
        <v>124</v>
      </c>
      <c r="BF66" s="1" t="s">
        <v>129</v>
      </c>
      <c r="BG66" s="1" t="s">
        <v>130</v>
      </c>
      <c r="BH66" s="1">
        <v>7</v>
      </c>
      <c r="BI66" s="1">
        <v>46221000</v>
      </c>
      <c r="BJ66" s="75"/>
      <c r="BK66" s="75"/>
      <c r="BL66" s="75"/>
      <c r="BN66" s="75">
        <v>46203</v>
      </c>
      <c r="BO66" s="1">
        <v>1</v>
      </c>
      <c r="BP66" s="76">
        <v>46180</v>
      </c>
      <c r="BQ66" s="1" t="s">
        <v>131</v>
      </c>
      <c r="BR66" s="1">
        <v>170</v>
      </c>
      <c r="BS66" s="75">
        <v>46010</v>
      </c>
      <c r="BT66" s="1">
        <v>264120000</v>
      </c>
      <c r="BU66" s="1">
        <v>0</v>
      </c>
      <c r="BV66" s="1">
        <v>1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75"/>
      <c r="CD66" s="1">
        <v>0</v>
      </c>
      <c r="CE66" s="75"/>
      <c r="CF66" s="1">
        <v>0</v>
      </c>
      <c r="CG66" s="75"/>
      <c r="CH66" s="1">
        <v>0</v>
      </c>
      <c r="CI66" s="75"/>
      <c r="CJ66" s="1">
        <v>0</v>
      </c>
      <c r="CK66" s="75"/>
      <c r="CL66" s="1">
        <v>0</v>
      </c>
      <c r="CM66" s="75">
        <v>46180</v>
      </c>
      <c r="CN66" s="1" t="s">
        <v>132</v>
      </c>
      <c r="CO66" s="1">
        <v>200070378.28</v>
      </c>
      <c r="CP66" s="1">
        <v>200070378.28</v>
      </c>
      <c r="CQ66" s="1">
        <v>18</v>
      </c>
      <c r="CR66" s="75"/>
      <c r="CT66" s="1">
        <v>0</v>
      </c>
      <c r="CU66" s="1" t="s">
        <v>191</v>
      </c>
      <c r="CV66" s="1" t="s">
        <v>192</v>
      </c>
      <c r="CW66" s="82">
        <v>46180</v>
      </c>
      <c r="CX66" s="1" t="s">
        <v>2202</v>
      </c>
      <c r="CY66" s="36">
        <f>MONTH(Table_ExternalData_1[[#This Row],[RunningReportDate]])</f>
        <v>6</v>
      </c>
      <c r="CZ66" s="36">
        <f>181-Table_ExternalData_1[[#This Row],[DaysOD]]</f>
        <v>18</v>
      </c>
      <c r="DA66" s="36">
        <f>IF(Table_ExternalData_1[[#This Row],[Status]]="PU-WC",0,Table_ExternalData_1[[#This Row],[Amount_CWO]]/1000000)</f>
        <v>200.07037828</v>
      </c>
      <c r="DB66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66" s="36">
        <f>IF(Table_ExternalData_1[[#This Row],[Status]]="PU-WC",0,IF(Table_ExternalData_1[[#This Row],[Success CWO]]=1,Table_ExternalData_1[[#This Row],[CWO Amt]],0))</f>
        <v>0</v>
      </c>
      <c r="DD66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66" s="36">
        <f>DAY(Table_ExternalData_1[[#This Row],[Tanggal_Sukses]])</f>
        <v>0</v>
      </c>
      <c r="DF66" s="36">
        <f>IF(Table_ExternalData_1[[#This Row],[Status]]="PU-WC",0,IF(SUM(Table_ExternalData_1[[#This Row],[Success CWO]:[WO-In-Amt]])=0,1,0))</f>
        <v>1</v>
      </c>
      <c r="DG66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200.07037828</v>
      </c>
      <c r="DH66" s="36" t="str">
        <f>VLOOKUP(Table_ExternalData_1[[#This Row],[BranchID]],KC!$A:$K,5,0)</f>
        <v>4W</v>
      </c>
      <c r="DI66" s="36" t="str">
        <f>VLOOKUP(Table_ExternalData_1[[#This Row],[BranchID]],KC!$A:$K,8,0)</f>
        <v>01. Jabodetabekser</v>
      </c>
      <c r="DJ66" s="36" t="str">
        <f>VLOOKUP(Table_ExternalData_1[[#This Row],[BranchID]],KC!$A:$K,9,0)</f>
        <v>BEKASI</v>
      </c>
    </row>
    <row r="67" spans="1:114" x14ac:dyDescent="0.3">
      <c r="A67" s="3" t="s">
        <v>158</v>
      </c>
      <c r="B67" s="2" t="s">
        <v>159</v>
      </c>
      <c r="C67" s="278">
        <v>46173</v>
      </c>
      <c r="D67" s="278">
        <v>45996</v>
      </c>
      <c r="E67" s="278">
        <v>45387</v>
      </c>
      <c r="F67" s="2" t="s">
        <v>2299</v>
      </c>
      <c r="G67" s="2" t="s">
        <v>2300</v>
      </c>
      <c r="H67" s="1" t="s">
        <v>2301</v>
      </c>
      <c r="I67" s="1" t="s">
        <v>2302</v>
      </c>
      <c r="J67" s="1" t="s">
        <v>2303</v>
      </c>
      <c r="K67" s="1" t="s">
        <v>4</v>
      </c>
      <c r="L67" s="1" t="s">
        <v>2303</v>
      </c>
      <c r="M67" s="1" t="s">
        <v>2304</v>
      </c>
      <c r="N67" s="1" t="s">
        <v>2305</v>
      </c>
      <c r="O67" s="1" t="s">
        <v>158</v>
      </c>
      <c r="P67" s="1" t="s">
        <v>160</v>
      </c>
      <c r="Q67" s="1" t="s">
        <v>186</v>
      </c>
      <c r="R67" s="1" t="s">
        <v>4</v>
      </c>
      <c r="S67" s="1" t="s">
        <v>4</v>
      </c>
      <c r="T67" s="1" t="s">
        <v>2306</v>
      </c>
      <c r="U67" s="1" t="s">
        <v>2306</v>
      </c>
      <c r="V67" s="1" t="s">
        <v>2307</v>
      </c>
      <c r="W67" s="1" t="s">
        <v>120</v>
      </c>
      <c r="X67" s="1" t="s">
        <v>121</v>
      </c>
      <c r="Y67" s="1" t="s">
        <v>136</v>
      </c>
      <c r="Z67" s="1" t="s">
        <v>137</v>
      </c>
      <c r="AA67" s="1" t="s">
        <v>2308</v>
      </c>
      <c r="AB67" s="1" t="s">
        <v>2309</v>
      </c>
      <c r="AC67" s="1" t="s">
        <v>2310</v>
      </c>
      <c r="AD67" s="1">
        <v>91919000</v>
      </c>
      <c r="AE67" s="1">
        <v>79470270.010000005</v>
      </c>
      <c r="AF67" s="1">
        <v>59477000</v>
      </c>
      <c r="AG67" s="1">
        <v>32442000</v>
      </c>
      <c r="AH67" s="1">
        <v>18994850</v>
      </c>
      <c r="AI67" s="1">
        <v>0</v>
      </c>
      <c r="AJ67" s="1">
        <v>5407000</v>
      </c>
      <c r="AK67" s="1">
        <v>177</v>
      </c>
      <c r="AL67" s="1">
        <v>6</v>
      </c>
      <c r="AM67" s="1">
        <v>20</v>
      </c>
      <c r="AN67" s="1">
        <v>36</v>
      </c>
      <c r="AO67" s="1" t="s">
        <v>123</v>
      </c>
      <c r="AP67" s="1" t="s">
        <v>123</v>
      </c>
      <c r="AQ67" s="1" t="s">
        <v>124</v>
      </c>
      <c r="BF67" s="1" t="s">
        <v>129</v>
      </c>
      <c r="BG67" s="1" t="s">
        <v>130</v>
      </c>
      <c r="BH67" s="1">
        <v>7</v>
      </c>
      <c r="BI67" s="1">
        <v>37849000</v>
      </c>
      <c r="BJ67" s="75"/>
      <c r="BK67" s="75"/>
      <c r="BL67" s="75"/>
      <c r="BN67" s="75">
        <v>46203</v>
      </c>
      <c r="BO67" s="1">
        <v>1</v>
      </c>
      <c r="BP67" s="76">
        <v>46180</v>
      </c>
      <c r="BQ67" s="1" t="s">
        <v>131</v>
      </c>
      <c r="BR67" s="1">
        <v>184</v>
      </c>
      <c r="BS67" s="75">
        <v>45996</v>
      </c>
      <c r="BT67" s="1">
        <v>91919000</v>
      </c>
      <c r="BU67" s="1">
        <v>0</v>
      </c>
      <c r="BV67" s="1">
        <v>1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75"/>
      <c r="CD67" s="1">
        <v>0</v>
      </c>
      <c r="CE67" s="75"/>
      <c r="CF67" s="1">
        <v>0</v>
      </c>
      <c r="CG67" s="75"/>
      <c r="CH67" s="1">
        <v>0</v>
      </c>
      <c r="CI67" s="75"/>
      <c r="CJ67" s="1">
        <v>0</v>
      </c>
      <c r="CK67" s="75"/>
      <c r="CL67" s="1">
        <v>0</v>
      </c>
      <c r="CM67" s="75">
        <v>46180</v>
      </c>
      <c r="CN67" s="1" t="s">
        <v>132</v>
      </c>
      <c r="CO67" s="1">
        <v>79470270.010000005</v>
      </c>
      <c r="CP67" s="1">
        <v>79470270.010000005</v>
      </c>
      <c r="CQ67" s="1">
        <v>4</v>
      </c>
      <c r="CR67" s="75"/>
      <c r="CT67" s="1">
        <v>0</v>
      </c>
      <c r="CU67" s="1" t="s">
        <v>163</v>
      </c>
      <c r="CV67" s="1" t="s">
        <v>164</v>
      </c>
      <c r="CW67" s="82">
        <v>46180</v>
      </c>
      <c r="CX67" s="1" t="s">
        <v>2202</v>
      </c>
      <c r="CY67" s="36">
        <f>MONTH(Table_ExternalData_1[[#This Row],[RunningReportDate]])</f>
        <v>6</v>
      </c>
      <c r="CZ67" s="36">
        <f>181-Table_ExternalData_1[[#This Row],[DaysOD]]</f>
        <v>4</v>
      </c>
      <c r="DA67" s="36">
        <f>IF(Table_ExternalData_1[[#This Row],[Status]]="PU-WC",0,Table_ExternalData_1[[#This Row],[Amount_CWO]]/1000000)</f>
        <v>79.470270010000007</v>
      </c>
      <c r="DB67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67" s="36">
        <f>IF(Table_ExternalData_1[[#This Row],[Status]]="PU-WC",0,IF(Table_ExternalData_1[[#This Row],[Success CWO]]=1,Table_ExternalData_1[[#This Row],[CWO Amt]],0))</f>
        <v>0</v>
      </c>
      <c r="DD67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79.470270010000007</v>
      </c>
      <c r="DE67" s="36">
        <f>DAY(Table_ExternalData_1[[#This Row],[Tanggal_Sukses]])</f>
        <v>0</v>
      </c>
      <c r="DF67" s="36">
        <f>IF(Table_ExternalData_1[[#This Row],[Status]]="PU-WC",0,IF(SUM(Table_ExternalData_1[[#This Row],[Success CWO]:[WO-In-Amt]])=0,1,0))</f>
        <v>0</v>
      </c>
      <c r="DG67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67" s="36" t="str">
        <f>VLOOKUP(Table_ExternalData_1[[#This Row],[BranchID]],KC!$A:$K,5,0)</f>
        <v>4W</v>
      </c>
      <c r="DI67" s="36" t="str">
        <f>VLOOKUP(Table_ExternalData_1[[#This Row],[BranchID]],KC!$A:$K,8,0)</f>
        <v>02. Jawa Barat</v>
      </c>
      <c r="DJ67" s="36" t="str">
        <f>VLOOKUP(Table_ExternalData_1[[#This Row],[BranchID]],KC!$A:$K,9,0)</f>
        <v>BANDUNG</v>
      </c>
    </row>
    <row r="68" spans="1:114" x14ac:dyDescent="0.3">
      <c r="A68" s="3" t="s">
        <v>158</v>
      </c>
      <c r="B68" s="2" t="s">
        <v>159</v>
      </c>
      <c r="C68" s="278">
        <v>46173</v>
      </c>
      <c r="D68" s="278">
        <v>45996</v>
      </c>
      <c r="E68" s="278">
        <v>45162</v>
      </c>
      <c r="F68" s="2" t="s">
        <v>1096</v>
      </c>
      <c r="G68" s="2" t="s">
        <v>1097</v>
      </c>
      <c r="H68" s="1" t="s">
        <v>1098</v>
      </c>
      <c r="I68" s="1" t="s">
        <v>1099</v>
      </c>
      <c r="J68" s="1" t="s">
        <v>1100</v>
      </c>
      <c r="K68" s="1" t="s">
        <v>4</v>
      </c>
      <c r="L68" s="1" t="s">
        <v>1100</v>
      </c>
      <c r="M68" s="1" t="s">
        <v>1101</v>
      </c>
      <c r="N68" s="1" t="s">
        <v>1102</v>
      </c>
      <c r="O68" s="1" t="s">
        <v>158</v>
      </c>
      <c r="P68" s="1" t="s">
        <v>160</v>
      </c>
      <c r="Q68" s="1" t="s">
        <v>186</v>
      </c>
      <c r="R68" s="1" t="s">
        <v>4</v>
      </c>
      <c r="S68" s="1" t="s">
        <v>4</v>
      </c>
      <c r="T68" s="1" t="s">
        <v>1103</v>
      </c>
      <c r="U68" s="1" t="s">
        <v>1103</v>
      </c>
      <c r="V68" s="1" t="s">
        <v>897</v>
      </c>
      <c r="W68" s="1" t="s">
        <v>120</v>
      </c>
      <c r="X68" s="1" t="s">
        <v>121</v>
      </c>
      <c r="Y68" s="1" t="s">
        <v>136</v>
      </c>
      <c r="Z68" s="1" t="s">
        <v>137</v>
      </c>
      <c r="AA68" s="1" t="s">
        <v>1104</v>
      </c>
      <c r="AB68" s="1" t="s">
        <v>1105</v>
      </c>
      <c r="AC68" s="1" t="s">
        <v>1106</v>
      </c>
      <c r="AD68" s="1">
        <v>129500000</v>
      </c>
      <c r="AE68" s="1">
        <v>104958791.98999999</v>
      </c>
      <c r="AF68" s="1">
        <v>108500000</v>
      </c>
      <c r="AG68" s="1">
        <v>21000000</v>
      </c>
      <c r="AH68" s="1">
        <v>36780000</v>
      </c>
      <c r="AI68" s="1">
        <v>0</v>
      </c>
      <c r="AJ68" s="1">
        <v>3500000</v>
      </c>
      <c r="AK68" s="1">
        <v>177</v>
      </c>
      <c r="AL68" s="1">
        <v>6</v>
      </c>
      <c r="AM68" s="1">
        <v>27</v>
      </c>
      <c r="AN68" s="1">
        <v>63</v>
      </c>
      <c r="AO68" s="1" t="s">
        <v>123</v>
      </c>
      <c r="AP68" s="1" t="s">
        <v>123</v>
      </c>
      <c r="AQ68" s="1" t="s">
        <v>124</v>
      </c>
      <c r="BF68" s="1" t="s">
        <v>129</v>
      </c>
      <c r="BG68" s="1" t="s">
        <v>130</v>
      </c>
      <c r="BH68" s="1">
        <v>7</v>
      </c>
      <c r="BI68" s="1">
        <v>24500000</v>
      </c>
      <c r="BJ68" s="75"/>
      <c r="BK68" s="75"/>
      <c r="BL68" s="75"/>
      <c r="BN68" s="75">
        <v>46203</v>
      </c>
      <c r="BO68" s="1">
        <v>1</v>
      </c>
      <c r="BP68" s="76">
        <v>46180</v>
      </c>
      <c r="BQ68" s="1" t="s">
        <v>131</v>
      </c>
      <c r="BR68" s="1">
        <v>184</v>
      </c>
      <c r="BS68" s="75">
        <v>45996</v>
      </c>
      <c r="BT68" s="1">
        <v>129500000</v>
      </c>
      <c r="BU68" s="1">
        <v>0</v>
      </c>
      <c r="BV68" s="1">
        <v>1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75"/>
      <c r="CD68" s="1">
        <v>0</v>
      </c>
      <c r="CE68" s="75"/>
      <c r="CF68" s="1">
        <v>0</v>
      </c>
      <c r="CG68" s="75"/>
      <c r="CH68" s="1">
        <v>0</v>
      </c>
      <c r="CI68" s="75"/>
      <c r="CJ68" s="1">
        <v>0</v>
      </c>
      <c r="CK68" s="75"/>
      <c r="CL68" s="1">
        <v>0</v>
      </c>
      <c r="CM68" s="75">
        <v>46180</v>
      </c>
      <c r="CN68" s="1" t="s">
        <v>132</v>
      </c>
      <c r="CO68" s="1">
        <v>104958791.98999999</v>
      </c>
      <c r="CP68" s="1">
        <v>104958791.98999999</v>
      </c>
      <c r="CQ68" s="1">
        <v>4</v>
      </c>
      <c r="CR68" s="75"/>
      <c r="CT68" s="1">
        <v>0</v>
      </c>
      <c r="CU68" s="1" t="s">
        <v>163</v>
      </c>
      <c r="CV68" s="1" t="s">
        <v>164</v>
      </c>
      <c r="CW68" s="82">
        <v>46180</v>
      </c>
      <c r="CX68" s="1" t="s">
        <v>2202</v>
      </c>
      <c r="CY68" s="36">
        <f>MONTH(Table_ExternalData_1[[#This Row],[RunningReportDate]])</f>
        <v>6</v>
      </c>
      <c r="CZ68" s="36">
        <f>181-Table_ExternalData_1[[#This Row],[DaysOD]]</f>
        <v>4</v>
      </c>
      <c r="DA68" s="36">
        <f>IF(Table_ExternalData_1[[#This Row],[Status]]="PU-WC",0,Table_ExternalData_1[[#This Row],[Amount_CWO]]/1000000)</f>
        <v>104.95879198999999</v>
      </c>
      <c r="DB68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68" s="36">
        <f>IF(Table_ExternalData_1[[#This Row],[Status]]="PU-WC",0,IF(Table_ExternalData_1[[#This Row],[Success CWO]]=1,Table_ExternalData_1[[#This Row],[CWO Amt]],0))</f>
        <v>0</v>
      </c>
      <c r="DD68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104.95879198999999</v>
      </c>
      <c r="DE68" s="36">
        <f>DAY(Table_ExternalData_1[[#This Row],[Tanggal_Sukses]])</f>
        <v>0</v>
      </c>
      <c r="DF68" s="36">
        <f>IF(Table_ExternalData_1[[#This Row],[Status]]="PU-WC",0,IF(SUM(Table_ExternalData_1[[#This Row],[Success CWO]:[WO-In-Amt]])=0,1,0))</f>
        <v>0</v>
      </c>
      <c r="DG68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68" s="36" t="str">
        <f>VLOOKUP(Table_ExternalData_1[[#This Row],[BranchID]],KC!$A:$K,5,0)</f>
        <v>4W</v>
      </c>
      <c r="DI68" s="36" t="str">
        <f>VLOOKUP(Table_ExternalData_1[[#This Row],[BranchID]],KC!$A:$K,8,0)</f>
        <v>02. Jawa Barat</v>
      </c>
      <c r="DJ68" s="36" t="str">
        <f>VLOOKUP(Table_ExternalData_1[[#This Row],[BranchID]],KC!$A:$K,9,0)</f>
        <v>BANDUNG</v>
      </c>
    </row>
    <row r="69" spans="1:114" x14ac:dyDescent="0.3">
      <c r="A69" s="3" t="s">
        <v>9</v>
      </c>
      <c r="B69" s="2" t="s">
        <v>10</v>
      </c>
      <c r="C69" s="278">
        <v>46173</v>
      </c>
      <c r="D69" s="278">
        <v>45996</v>
      </c>
      <c r="E69" s="278">
        <v>45045</v>
      </c>
      <c r="F69" s="2" t="s">
        <v>2289</v>
      </c>
      <c r="G69" s="2" t="s">
        <v>2290</v>
      </c>
      <c r="H69" s="1" t="s">
        <v>2291</v>
      </c>
      <c r="I69" s="1" t="s">
        <v>2292</v>
      </c>
      <c r="J69" s="1" t="s">
        <v>2293</v>
      </c>
      <c r="K69" s="1" t="s">
        <v>4</v>
      </c>
      <c r="L69" s="1" t="s">
        <v>2293</v>
      </c>
      <c r="M69" s="1" t="s">
        <v>2294</v>
      </c>
      <c r="N69" s="1" t="s">
        <v>2124</v>
      </c>
      <c r="O69" s="1" t="s">
        <v>1078</v>
      </c>
      <c r="P69" s="1" t="s">
        <v>372</v>
      </c>
      <c r="Q69" s="1" t="s">
        <v>373</v>
      </c>
      <c r="R69" s="1" t="s">
        <v>4</v>
      </c>
      <c r="S69" s="1" t="s">
        <v>4</v>
      </c>
      <c r="T69" s="1" t="s">
        <v>2295</v>
      </c>
      <c r="U69" s="1" t="s">
        <v>2295</v>
      </c>
      <c r="V69" s="1" t="s">
        <v>1032</v>
      </c>
      <c r="W69" s="1" t="s">
        <v>120</v>
      </c>
      <c r="X69" s="1" t="s">
        <v>121</v>
      </c>
      <c r="Y69" s="1" t="s">
        <v>136</v>
      </c>
      <c r="Z69" s="1" t="s">
        <v>142</v>
      </c>
      <c r="AA69" s="1" t="s">
        <v>2296</v>
      </c>
      <c r="AB69" s="1" t="s">
        <v>2297</v>
      </c>
      <c r="AC69" s="1" t="s">
        <v>2298</v>
      </c>
      <c r="AD69" s="1">
        <v>115110000</v>
      </c>
      <c r="AE69" s="1">
        <v>92005081.439999998</v>
      </c>
      <c r="AF69" s="1">
        <v>92088000</v>
      </c>
      <c r="AG69" s="1">
        <v>23022000</v>
      </c>
      <c r="AH69" s="1">
        <v>18715815</v>
      </c>
      <c r="AI69" s="1">
        <v>0</v>
      </c>
      <c r="AJ69" s="1">
        <v>3837000</v>
      </c>
      <c r="AK69" s="1">
        <v>177</v>
      </c>
      <c r="AL69" s="1">
        <v>6</v>
      </c>
      <c r="AM69" s="1">
        <v>31</v>
      </c>
      <c r="AN69" s="1">
        <v>60</v>
      </c>
      <c r="AO69" s="1" t="s">
        <v>123</v>
      </c>
      <c r="AP69" s="1" t="s">
        <v>123</v>
      </c>
      <c r="AQ69" s="1" t="s">
        <v>124</v>
      </c>
      <c r="BF69" s="1" t="s">
        <v>129</v>
      </c>
      <c r="BG69" s="1" t="s">
        <v>130</v>
      </c>
      <c r="BH69" s="1">
        <v>7</v>
      </c>
      <c r="BI69" s="1">
        <v>26859000</v>
      </c>
      <c r="BJ69" s="75"/>
      <c r="BK69" s="75"/>
      <c r="BL69" s="75"/>
      <c r="BN69" s="75">
        <v>46203</v>
      </c>
      <c r="BO69" s="1">
        <v>1</v>
      </c>
      <c r="BP69" s="76">
        <v>46180</v>
      </c>
      <c r="BQ69" s="1" t="s">
        <v>131</v>
      </c>
      <c r="BR69" s="1">
        <v>184</v>
      </c>
      <c r="BS69" s="75">
        <v>45996</v>
      </c>
      <c r="BT69" s="1">
        <v>115110000</v>
      </c>
      <c r="BU69" s="1">
        <v>0</v>
      </c>
      <c r="BV69" s="1">
        <v>1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75"/>
      <c r="CD69" s="1">
        <v>0</v>
      </c>
      <c r="CE69" s="75"/>
      <c r="CF69" s="1">
        <v>0</v>
      </c>
      <c r="CG69" s="75"/>
      <c r="CH69" s="1">
        <v>0</v>
      </c>
      <c r="CI69" s="75"/>
      <c r="CJ69" s="1">
        <v>0</v>
      </c>
      <c r="CK69" s="75"/>
      <c r="CL69" s="1">
        <v>0</v>
      </c>
      <c r="CM69" s="75">
        <v>46180</v>
      </c>
      <c r="CN69" s="1" t="s">
        <v>132</v>
      </c>
      <c r="CO69" s="1">
        <v>92005081.439999998</v>
      </c>
      <c r="CP69" s="1">
        <v>92005081.439999998</v>
      </c>
      <c r="CQ69" s="1">
        <v>4</v>
      </c>
      <c r="CR69" s="75"/>
      <c r="CT69" s="1">
        <v>0</v>
      </c>
      <c r="CU69" s="1" t="s">
        <v>374</v>
      </c>
      <c r="CV69" s="1" t="s">
        <v>192</v>
      </c>
      <c r="CW69" s="82">
        <v>46180</v>
      </c>
      <c r="CX69" s="1" t="s">
        <v>2202</v>
      </c>
      <c r="CY69" s="36">
        <f>MONTH(Table_ExternalData_1[[#This Row],[RunningReportDate]])</f>
        <v>6</v>
      </c>
      <c r="CZ69" s="36">
        <f>181-Table_ExternalData_1[[#This Row],[DaysOD]]</f>
        <v>4</v>
      </c>
      <c r="DA69" s="36">
        <f>IF(Table_ExternalData_1[[#This Row],[Status]]="PU-WC",0,Table_ExternalData_1[[#This Row],[Amount_CWO]]/1000000)</f>
        <v>92.005081439999998</v>
      </c>
      <c r="DB69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69" s="36">
        <f>IF(Table_ExternalData_1[[#This Row],[Status]]="PU-WC",0,IF(Table_ExternalData_1[[#This Row],[Success CWO]]=1,Table_ExternalData_1[[#This Row],[CWO Amt]],0))</f>
        <v>0</v>
      </c>
      <c r="DD69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92.005081439999998</v>
      </c>
      <c r="DE69" s="36">
        <f>DAY(Table_ExternalData_1[[#This Row],[Tanggal_Sukses]])</f>
        <v>0</v>
      </c>
      <c r="DF69" s="36">
        <f>IF(Table_ExternalData_1[[#This Row],[Status]]="PU-WC",0,IF(SUM(Table_ExternalData_1[[#This Row],[Success CWO]:[WO-In-Amt]])=0,1,0))</f>
        <v>0</v>
      </c>
      <c r="DG69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69" s="36" t="str">
        <f>VLOOKUP(Table_ExternalData_1[[#This Row],[BranchID]],KC!$A:$K,5,0)</f>
        <v>4W</v>
      </c>
      <c r="DI69" s="36" t="str">
        <f>VLOOKUP(Table_ExternalData_1[[#This Row],[BranchID]],KC!$A:$K,8,0)</f>
        <v>01. Jabodetabekser</v>
      </c>
      <c r="DJ69" s="36" t="str">
        <f>VLOOKUP(Table_ExternalData_1[[#This Row],[BranchID]],KC!$A:$K,9,0)</f>
        <v>SUNTER</v>
      </c>
    </row>
    <row r="70" spans="1:114" x14ac:dyDescent="0.3">
      <c r="A70" s="3" t="s">
        <v>157</v>
      </c>
      <c r="B70" s="2" t="s">
        <v>358</v>
      </c>
      <c r="C70" s="278">
        <v>46173</v>
      </c>
      <c r="D70" s="278">
        <v>46002</v>
      </c>
      <c r="E70" s="278">
        <v>44937</v>
      </c>
      <c r="F70" s="2" t="s">
        <v>2277</v>
      </c>
      <c r="G70" s="2" t="s">
        <v>2278</v>
      </c>
      <c r="H70" s="1" t="s">
        <v>2279</v>
      </c>
      <c r="I70" s="1" t="s">
        <v>2280</v>
      </c>
      <c r="J70" s="1" t="s">
        <v>2281</v>
      </c>
      <c r="K70" s="1" t="s">
        <v>4</v>
      </c>
      <c r="L70" s="1" t="s">
        <v>2281</v>
      </c>
      <c r="M70" s="1" t="s">
        <v>2282</v>
      </c>
      <c r="N70" s="1" t="s">
        <v>2283</v>
      </c>
      <c r="O70" s="1" t="s">
        <v>229</v>
      </c>
      <c r="P70" s="1" t="s">
        <v>1046</v>
      </c>
      <c r="Q70" s="1" t="s">
        <v>235</v>
      </c>
      <c r="R70" s="1" t="s">
        <v>4</v>
      </c>
      <c r="S70" s="1" t="s">
        <v>4</v>
      </c>
      <c r="T70" s="1" t="s">
        <v>4</v>
      </c>
      <c r="U70" s="1" t="s">
        <v>4</v>
      </c>
      <c r="V70" s="1" t="s">
        <v>2284</v>
      </c>
      <c r="W70" s="1" t="s">
        <v>347</v>
      </c>
      <c r="X70" s="1" t="s">
        <v>348</v>
      </c>
      <c r="Y70" s="1" t="s">
        <v>2122</v>
      </c>
      <c r="Z70" s="1" t="s">
        <v>2285</v>
      </c>
      <c r="AA70" s="1" t="s">
        <v>2286</v>
      </c>
      <c r="AB70" s="1" t="s">
        <v>2287</v>
      </c>
      <c r="AC70" s="1" t="s">
        <v>2288</v>
      </c>
      <c r="AD70" s="1">
        <v>1240000</v>
      </c>
      <c r="AE70" s="1">
        <v>1197317.96</v>
      </c>
      <c r="AF70" s="1">
        <v>0</v>
      </c>
      <c r="AG70" s="1">
        <v>1240000</v>
      </c>
      <c r="AH70" s="1">
        <v>5450300</v>
      </c>
      <c r="AI70" s="1">
        <v>0</v>
      </c>
      <c r="AJ70" s="1">
        <v>620000</v>
      </c>
      <c r="AK70" s="1">
        <v>171</v>
      </c>
      <c r="AL70" s="1">
        <v>2</v>
      </c>
      <c r="AM70" s="1">
        <v>35</v>
      </c>
      <c r="AN70" s="1">
        <v>36</v>
      </c>
      <c r="AO70" s="1" t="s">
        <v>123</v>
      </c>
      <c r="AP70" s="1" t="s">
        <v>123</v>
      </c>
      <c r="AQ70" s="1" t="s">
        <v>124</v>
      </c>
      <c r="BF70" s="1" t="s">
        <v>129</v>
      </c>
      <c r="BG70" s="1" t="s">
        <v>130</v>
      </c>
      <c r="BH70" s="1">
        <v>2</v>
      </c>
      <c r="BI70" s="1">
        <v>1240000</v>
      </c>
      <c r="BJ70" s="75"/>
      <c r="BK70" s="75"/>
      <c r="BL70" s="75"/>
      <c r="BN70" s="75">
        <v>46203</v>
      </c>
      <c r="BO70" s="1">
        <v>1</v>
      </c>
      <c r="BP70" s="76">
        <v>46180</v>
      </c>
      <c r="BQ70" s="1" t="s">
        <v>131</v>
      </c>
      <c r="BR70" s="1">
        <v>178</v>
      </c>
      <c r="BS70" s="75">
        <v>46002</v>
      </c>
      <c r="BT70" s="1">
        <v>1240000</v>
      </c>
      <c r="BU70" s="1">
        <v>0</v>
      </c>
      <c r="BV70" s="1">
        <v>1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75"/>
      <c r="CD70" s="1">
        <v>0</v>
      </c>
      <c r="CE70" s="75"/>
      <c r="CF70" s="1">
        <v>0</v>
      </c>
      <c r="CG70" s="75"/>
      <c r="CH70" s="1">
        <v>0</v>
      </c>
      <c r="CI70" s="75"/>
      <c r="CJ70" s="1">
        <v>0</v>
      </c>
      <c r="CK70" s="75"/>
      <c r="CL70" s="1">
        <v>0</v>
      </c>
      <c r="CM70" s="75">
        <v>46180</v>
      </c>
      <c r="CN70" s="1" t="s">
        <v>349</v>
      </c>
      <c r="CO70" s="1">
        <v>1197317.96</v>
      </c>
      <c r="CP70" s="1">
        <v>1197317.96</v>
      </c>
      <c r="CQ70" s="1">
        <v>10</v>
      </c>
      <c r="CR70" s="75"/>
      <c r="CT70" s="1">
        <v>0</v>
      </c>
      <c r="CU70" s="1" t="s">
        <v>157</v>
      </c>
      <c r="CV70" s="1" t="s">
        <v>357</v>
      </c>
      <c r="CW70" s="82">
        <v>46180</v>
      </c>
      <c r="CX70" s="1" t="s">
        <v>2202</v>
      </c>
      <c r="CY70" s="36">
        <f>MONTH(Table_ExternalData_1[[#This Row],[RunningReportDate]])</f>
        <v>6</v>
      </c>
      <c r="CZ70" s="36">
        <f>181-Table_ExternalData_1[[#This Row],[DaysOD]]</f>
        <v>10</v>
      </c>
      <c r="DA70" s="36">
        <f>IF(Table_ExternalData_1[[#This Row],[Status]]="PU-WC",0,Table_ExternalData_1[[#This Row],[Amount_CWO]]/1000000)</f>
        <v>1.1973179599999999</v>
      </c>
      <c r="DB70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70" s="36">
        <f>IF(Table_ExternalData_1[[#This Row],[Status]]="PU-WC",0,IF(Table_ExternalData_1[[#This Row],[Success CWO]]=1,Table_ExternalData_1[[#This Row],[CWO Amt]],0))</f>
        <v>0</v>
      </c>
      <c r="DD70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70" s="36">
        <f>DAY(Table_ExternalData_1[[#This Row],[Tanggal_Sukses]])</f>
        <v>0</v>
      </c>
      <c r="DF70" s="36">
        <f>IF(Table_ExternalData_1[[#This Row],[Status]]="PU-WC",0,IF(SUM(Table_ExternalData_1[[#This Row],[Success CWO]:[WO-In-Amt]])=0,1,0))</f>
        <v>1</v>
      </c>
      <c r="DG70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1.1973179599999999</v>
      </c>
      <c r="DH70" s="36" t="str">
        <f>VLOOKUP(Table_ExternalData_1[[#This Row],[BranchID]],KC!$A:$K,5,0)</f>
        <v>2W</v>
      </c>
      <c r="DI70" s="36" t="str">
        <f>VLOOKUP(Table_ExternalData_1[[#This Row],[BranchID]],KC!$A:$K,8,0)</f>
        <v>04. Jawa Timur</v>
      </c>
      <c r="DJ70" s="36" t="str">
        <f>VLOOKUP(Table_ExternalData_1[[#This Row],[BranchID]],KC!$A:$K,9,0)</f>
        <v>GRESIK</v>
      </c>
    </row>
    <row r="71" spans="1:114" x14ac:dyDescent="0.3">
      <c r="A71" s="3" t="s">
        <v>209</v>
      </c>
      <c r="B71" s="2" t="s">
        <v>376</v>
      </c>
      <c r="C71" s="278">
        <v>46173</v>
      </c>
      <c r="D71" s="278">
        <v>46015</v>
      </c>
      <c r="E71" s="278">
        <v>44721</v>
      </c>
      <c r="F71" s="2" t="s">
        <v>2267</v>
      </c>
      <c r="G71" s="2" t="s">
        <v>2268</v>
      </c>
      <c r="H71" s="1" t="s">
        <v>2269</v>
      </c>
      <c r="I71" s="1" t="s">
        <v>2270</v>
      </c>
      <c r="J71" s="1" t="s">
        <v>2271</v>
      </c>
      <c r="K71" s="1" t="s">
        <v>4</v>
      </c>
      <c r="L71" s="1" t="s">
        <v>2271</v>
      </c>
      <c r="M71" s="1" t="s">
        <v>2272</v>
      </c>
      <c r="N71" s="1" t="s">
        <v>1717</v>
      </c>
      <c r="O71" s="1" t="s">
        <v>1717</v>
      </c>
      <c r="P71" s="1" t="s">
        <v>1718</v>
      </c>
      <c r="Q71" s="1" t="s">
        <v>1109</v>
      </c>
      <c r="R71" s="1" t="s">
        <v>4</v>
      </c>
      <c r="S71" s="1" t="s">
        <v>4</v>
      </c>
      <c r="T71" s="1" t="s">
        <v>4</v>
      </c>
      <c r="U71" s="1" t="s">
        <v>4</v>
      </c>
      <c r="V71" s="1" t="s">
        <v>2273</v>
      </c>
      <c r="W71" s="1" t="s">
        <v>347</v>
      </c>
      <c r="X71" s="1" t="s">
        <v>348</v>
      </c>
      <c r="Y71" s="1" t="s">
        <v>1705</v>
      </c>
      <c r="Z71" s="1" t="s">
        <v>1719</v>
      </c>
      <c r="AA71" s="1" t="s">
        <v>2274</v>
      </c>
      <c r="AB71" s="1" t="s">
        <v>2275</v>
      </c>
      <c r="AC71" s="1" t="s">
        <v>2276</v>
      </c>
      <c r="AD71" s="1">
        <v>2145000</v>
      </c>
      <c r="AE71" s="1">
        <v>2077696.11</v>
      </c>
      <c r="AF71" s="1">
        <v>0</v>
      </c>
      <c r="AG71" s="1">
        <v>2145000</v>
      </c>
      <c r="AH71" s="1">
        <v>7781075</v>
      </c>
      <c r="AI71" s="1">
        <v>37306.25</v>
      </c>
      <c r="AJ71" s="1">
        <v>715000</v>
      </c>
      <c r="AK71" s="1">
        <v>158</v>
      </c>
      <c r="AL71" s="1">
        <v>3</v>
      </c>
      <c r="AM71" s="1">
        <v>42</v>
      </c>
      <c r="AN71" s="1">
        <v>44</v>
      </c>
      <c r="AO71" s="1" t="s">
        <v>123</v>
      </c>
      <c r="AP71" s="1" t="s">
        <v>123</v>
      </c>
      <c r="AQ71" s="1" t="s">
        <v>124</v>
      </c>
      <c r="BF71" s="1" t="s">
        <v>129</v>
      </c>
      <c r="BG71" s="1" t="s">
        <v>130</v>
      </c>
      <c r="BH71" s="1">
        <v>3</v>
      </c>
      <c r="BI71" s="1">
        <v>2145000</v>
      </c>
      <c r="BJ71" s="75"/>
      <c r="BK71" s="75"/>
      <c r="BL71" s="75"/>
      <c r="BN71" s="75">
        <v>46203</v>
      </c>
      <c r="BO71" s="1">
        <v>1</v>
      </c>
      <c r="BP71" s="76">
        <v>46180</v>
      </c>
      <c r="BQ71" s="1" t="s">
        <v>131</v>
      </c>
      <c r="BR71" s="1">
        <v>134</v>
      </c>
      <c r="BS71" s="75">
        <v>46046</v>
      </c>
      <c r="BT71" s="1">
        <v>1430000</v>
      </c>
      <c r="BU71" s="1">
        <v>715000</v>
      </c>
      <c r="BV71" s="1">
        <v>0</v>
      </c>
      <c r="BW71" s="1">
        <v>0</v>
      </c>
      <c r="BX71" s="1">
        <v>0</v>
      </c>
      <c r="BY71" s="1">
        <v>1</v>
      </c>
      <c r="BZ71" s="1">
        <v>1</v>
      </c>
      <c r="CA71" s="1">
        <v>715000</v>
      </c>
      <c r="CB71" s="1">
        <v>715000</v>
      </c>
      <c r="CC71" s="75"/>
      <c r="CD71" s="1">
        <v>0</v>
      </c>
      <c r="CE71" s="75"/>
      <c r="CF71" s="1">
        <v>0</v>
      </c>
      <c r="CG71" s="75"/>
      <c r="CH71" s="1">
        <v>0</v>
      </c>
      <c r="CI71" s="75"/>
      <c r="CJ71" s="1">
        <v>0</v>
      </c>
      <c r="CK71" s="75"/>
      <c r="CL71" s="1">
        <v>0</v>
      </c>
      <c r="CM71" s="75">
        <v>46180</v>
      </c>
      <c r="CN71" s="1" t="s">
        <v>349</v>
      </c>
      <c r="CO71" s="1">
        <v>2040389.86</v>
      </c>
      <c r="CP71" s="1">
        <v>0</v>
      </c>
      <c r="CQ71" s="1">
        <v>0</v>
      </c>
      <c r="CR71" s="75">
        <v>46174</v>
      </c>
      <c r="CS71" s="1" t="s">
        <v>2114</v>
      </c>
      <c r="CT71" s="1">
        <v>2040389.86</v>
      </c>
      <c r="CU71" s="1" t="s">
        <v>209</v>
      </c>
      <c r="CV71" s="1" t="s">
        <v>377</v>
      </c>
      <c r="CW71" s="82">
        <v>46180</v>
      </c>
      <c r="CX71" s="1" t="s">
        <v>2202</v>
      </c>
      <c r="CY71" s="36">
        <f>MONTH(Table_ExternalData_1[[#This Row],[RunningReportDate]])</f>
        <v>6</v>
      </c>
      <c r="CZ71" s="36">
        <f>181-Table_ExternalData_1[[#This Row],[DaysOD]]</f>
        <v>23</v>
      </c>
      <c r="DA71" s="36">
        <f>IF(Table_ExternalData_1[[#This Row],[Status]]="PU-WC",0,Table_ExternalData_1[[#This Row],[Amount_CWO]]/1000000)</f>
        <v>2.0403898599999999</v>
      </c>
      <c r="DB71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1</v>
      </c>
      <c r="DC71" s="36">
        <f>IF(Table_ExternalData_1[[#This Row],[Status]]="PU-WC",0,IF(Table_ExternalData_1[[#This Row],[Success CWO]]=1,Table_ExternalData_1[[#This Row],[CWO Amt]],0))</f>
        <v>2.0403898599999999</v>
      </c>
      <c r="DD71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71" s="36">
        <f>DAY(Table_ExternalData_1[[#This Row],[Tanggal_Sukses]])</f>
        <v>1</v>
      </c>
      <c r="DF71" s="36">
        <f>IF(Table_ExternalData_1[[#This Row],[Status]]="PU-WC",0,IF(SUM(Table_ExternalData_1[[#This Row],[Success CWO]:[WO-In-Amt]])=0,1,0))</f>
        <v>0</v>
      </c>
      <c r="DG71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71" s="36" t="str">
        <f>VLOOKUP(Table_ExternalData_1[[#This Row],[BranchID]],KC!$A:$K,5,0)</f>
        <v>2W</v>
      </c>
      <c r="DI71" s="36" t="str">
        <f>VLOOKUP(Table_ExternalData_1[[#This Row],[BranchID]],KC!$A:$K,8,0)</f>
        <v>04. Jawa Timur</v>
      </c>
      <c r="DJ71" s="36" t="str">
        <f>VLOOKUP(Table_ExternalData_1[[#This Row],[BranchID]],KC!$A:$K,9,0)</f>
        <v>MALANG</v>
      </c>
    </row>
    <row r="72" spans="1:114" x14ac:dyDescent="0.3">
      <c r="A72" s="3" t="s">
        <v>138</v>
      </c>
      <c r="B72" s="2" t="s">
        <v>356</v>
      </c>
      <c r="C72" s="278">
        <v>46173</v>
      </c>
      <c r="D72" s="278">
        <v>46013</v>
      </c>
      <c r="E72" s="278">
        <v>44979</v>
      </c>
      <c r="F72" s="2" t="s">
        <v>1054</v>
      </c>
      <c r="G72" s="2" t="s">
        <v>1055</v>
      </c>
      <c r="H72" s="1" t="s">
        <v>1056</v>
      </c>
      <c r="I72" s="1" t="s">
        <v>1057</v>
      </c>
      <c r="J72" s="1" t="s">
        <v>1058</v>
      </c>
      <c r="K72" s="1" t="s">
        <v>4</v>
      </c>
      <c r="L72" s="1" t="s">
        <v>1058</v>
      </c>
      <c r="M72" s="1" t="s">
        <v>1059</v>
      </c>
      <c r="N72" s="1" t="s">
        <v>1060</v>
      </c>
      <c r="O72" s="1" t="s">
        <v>140</v>
      </c>
      <c r="P72" s="1" t="s">
        <v>1061</v>
      </c>
      <c r="Q72" s="1" t="s">
        <v>1062</v>
      </c>
      <c r="R72" s="1" t="s">
        <v>4</v>
      </c>
      <c r="S72" s="1" t="s">
        <v>4</v>
      </c>
      <c r="T72" s="1" t="s">
        <v>919</v>
      </c>
      <c r="U72" s="1" t="s">
        <v>919</v>
      </c>
      <c r="V72" s="1" t="s">
        <v>919</v>
      </c>
      <c r="W72" s="1" t="s">
        <v>347</v>
      </c>
      <c r="X72" s="1" t="s">
        <v>366</v>
      </c>
      <c r="Y72" s="1" t="s">
        <v>1063</v>
      </c>
      <c r="Z72" s="1" t="s">
        <v>1064</v>
      </c>
      <c r="AA72" s="1" t="s">
        <v>1065</v>
      </c>
      <c r="AB72" s="1" t="s">
        <v>1066</v>
      </c>
      <c r="AC72" s="1" t="s">
        <v>1067</v>
      </c>
      <c r="AD72" s="1">
        <v>3009000</v>
      </c>
      <c r="AE72" s="1">
        <v>2871463.42</v>
      </c>
      <c r="AF72" s="1">
        <v>0</v>
      </c>
      <c r="AG72" s="1">
        <v>3009000</v>
      </c>
      <c r="AH72" s="1">
        <v>7187635</v>
      </c>
      <c r="AI72" s="1">
        <v>0</v>
      </c>
      <c r="AJ72" s="1">
        <v>1003000</v>
      </c>
      <c r="AK72" s="1">
        <v>160</v>
      </c>
      <c r="AL72" s="1">
        <v>3</v>
      </c>
      <c r="AM72" s="1">
        <v>34</v>
      </c>
      <c r="AN72" s="1">
        <v>36</v>
      </c>
      <c r="AO72" s="1" t="s">
        <v>123</v>
      </c>
      <c r="AP72" s="1" t="s">
        <v>123</v>
      </c>
      <c r="AQ72" s="1" t="s">
        <v>124</v>
      </c>
      <c r="AR72" s="1" t="s">
        <v>1068</v>
      </c>
      <c r="AS72" s="1" t="s">
        <v>1069</v>
      </c>
      <c r="AT72" s="1" t="s">
        <v>1070</v>
      </c>
      <c r="AU72" s="1" t="s">
        <v>1071</v>
      </c>
      <c r="AV72" s="1" t="s">
        <v>125</v>
      </c>
      <c r="AW72" s="1" t="s">
        <v>126</v>
      </c>
      <c r="AX72" s="1" t="s">
        <v>127</v>
      </c>
      <c r="AY72" s="1" t="s">
        <v>1072</v>
      </c>
      <c r="AZ72" s="1" t="s">
        <v>1073</v>
      </c>
      <c r="BA72" s="1" t="s">
        <v>1074</v>
      </c>
      <c r="BB72" s="1" t="s">
        <v>128</v>
      </c>
      <c r="BC72" s="1" t="s">
        <v>1075</v>
      </c>
      <c r="BD72" s="1" t="s">
        <v>125</v>
      </c>
      <c r="BE72" s="1" t="s">
        <v>126</v>
      </c>
      <c r="BF72" s="1" t="s">
        <v>129</v>
      </c>
      <c r="BG72" s="1" t="s">
        <v>130</v>
      </c>
      <c r="BH72" s="1">
        <v>3</v>
      </c>
      <c r="BI72" s="1">
        <v>3009000</v>
      </c>
      <c r="BJ72" s="75"/>
      <c r="BK72" s="75"/>
      <c r="BL72" s="75"/>
      <c r="BN72" s="75">
        <v>46203</v>
      </c>
      <c r="BO72" s="1">
        <v>1</v>
      </c>
      <c r="BP72" s="76">
        <v>46180</v>
      </c>
      <c r="BQ72" s="1" t="s">
        <v>131</v>
      </c>
      <c r="BR72" s="1">
        <v>167</v>
      </c>
      <c r="BS72" s="75">
        <v>46013</v>
      </c>
      <c r="BT72" s="1">
        <v>3009000</v>
      </c>
      <c r="BU72" s="1">
        <v>0</v>
      </c>
      <c r="BV72" s="1">
        <v>1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75"/>
      <c r="CD72" s="1">
        <v>0</v>
      </c>
      <c r="CE72" s="75"/>
      <c r="CF72" s="1">
        <v>0</v>
      </c>
      <c r="CG72" s="75"/>
      <c r="CH72" s="1">
        <v>0</v>
      </c>
      <c r="CI72" s="75"/>
      <c r="CJ72" s="1">
        <v>0</v>
      </c>
      <c r="CK72" s="75"/>
      <c r="CL72" s="1">
        <v>0</v>
      </c>
      <c r="CM72" s="75">
        <v>46180</v>
      </c>
      <c r="CN72" s="1" t="s">
        <v>349</v>
      </c>
      <c r="CO72" s="1">
        <v>2871463.42</v>
      </c>
      <c r="CP72" s="1">
        <v>2871463.42</v>
      </c>
      <c r="CQ72" s="1">
        <v>21</v>
      </c>
      <c r="CR72" s="75"/>
      <c r="CT72" s="1">
        <v>0</v>
      </c>
      <c r="CU72" s="1" t="s">
        <v>138</v>
      </c>
      <c r="CV72" s="1" t="s">
        <v>357</v>
      </c>
      <c r="CW72" s="82">
        <v>46180</v>
      </c>
      <c r="CX72" s="1" t="s">
        <v>2202</v>
      </c>
      <c r="CY72" s="36">
        <f>MONTH(Table_ExternalData_1[[#This Row],[RunningReportDate]])</f>
        <v>6</v>
      </c>
      <c r="CZ72" s="36">
        <f>181-Table_ExternalData_1[[#This Row],[DaysOD]]</f>
        <v>21</v>
      </c>
      <c r="DA72" s="36">
        <f>IF(Table_ExternalData_1[[#This Row],[Status]]="PU-WC",0,Table_ExternalData_1[[#This Row],[Amount_CWO]]/1000000)</f>
        <v>2.87146342</v>
      </c>
      <c r="DB72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72" s="36">
        <f>IF(Table_ExternalData_1[[#This Row],[Status]]="PU-WC",0,IF(Table_ExternalData_1[[#This Row],[Success CWO]]=1,Table_ExternalData_1[[#This Row],[CWO Amt]],0))</f>
        <v>0</v>
      </c>
      <c r="DD72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72" s="36">
        <f>DAY(Table_ExternalData_1[[#This Row],[Tanggal_Sukses]])</f>
        <v>0</v>
      </c>
      <c r="DF72" s="36">
        <f>IF(Table_ExternalData_1[[#This Row],[Status]]="PU-WC",0,IF(SUM(Table_ExternalData_1[[#This Row],[Success CWO]:[WO-In-Amt]])=0,1,0))</f>
        <v>1</v>
      </c>
      <c r="DG72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2.87146342</v>
      </c>
      <c r="DH72" s="36" t="str">
        <f>VLOOKUP(Table_ExternalData_1[[#This Row],[BranchID]],KC!$A:$K,5,0)</f>
        <v>2W</v>
      </c>
      <c r="DI72" s="36" t="str">
        <f>VLOOKUP(Table_ExternalData_1[[#This Row],[BranchID]],KC!$A:$K,8,0)</f>
        <v>04. Jawa Timur</v>
      </c>
      <c r="DJ72" s="36" t="str">
        <f>VLOOKUP(Table_ExternalData_1[[#This Row],[BranchID]],KC!$A:$K,9,0)</f>
        <v>SURABAYA</v>
      </c>
    </row>
    <row r="73" spans="1:114" x14ac:dyDescent="0.3">
      <c r="A73" s="3" t="s">
        <v>321</v>
      </c>
      <c r="B73" s="2" t="s">
        <v>351</v>
      </c>
      <c r="C73" s="278">
        <v>46173</v>
      </c>
      <c r="D73" s="278">
        <v>46008</v>
      </c>
      <c r="E73" s="278">
        <v>45063</v>
      </c>
      <c r="F73" s="2" t="s">
        <v>2254</v>
      </c>
      <c r="G73" s="2" t="s">
        <v>2255</v>
      </c>
      <c r="H73" s="1" t="s">
        <v>2256</v>
      </c>
      <c r="I73" s="1" t="s">
        <v>2257</v>
      </c>
      <c r="J73" s="1" t="s">
        <v>2258</v>
      </c>
      <c r="K73" s="1" t="s">
        <v>4</v>
      </c>
      <c r="L73" s="1" t="s">
        <v>2258</v>
      </c>
      <c r="M73" s="1" t="s">
        <v>2259</v>
      </c>
      <c r="N73" s="1" t="s">
        <v>388</v>
      </c>
      <c r="O73" s="1" t="s">
        <v>388</v>
      </c>
      <c r="P73" s="1" t="s">
        <v>2260</v>
      </c>
      <c r="Q73" s="1" t="s">
        <v>352</v>
      </c>
      <c r="R73" s="1" t="s">
        <v>4</v>
      </c>
      <c r="S73" s="1" t="s">
        <v>4</v>
      </c>
      <c r="T73" s="1" t="s">
        <v>4</v>
      </c>
      <c r="U73" s="1" t="s">
        <v>4</v>
      </c>
      <c r="V73" s="1" t="s">
        <v>2261</v>
      </c>
      <c r="W73" s="1" t="s">
        <v>347</v>
      </c>
      <c r="X73" s="1" t="s">
        <v>348</v>
      </c>
      <c r="Y73" s="1" t="s">
        <v>2262</v>
      </c>
      <c r="Z73" s="1" t="s">
        <v>2263</v>
      </c>
      <c r="AA73" s="1" t="s">
        <v>2264</v>
      </c>
      <c r="AB73" s="1" t="s">
        <v>2265</v>
      </c>
      <c r="AC73" s="1" t="s">
        <v>2266</v>
      </c>
      <c r="AD73" s="1">
        <v>4080000</v>
      </c>
      <c r="AE73" s="1">
        <v>3745272.28</v>
      </c>
      <c r="AF73" s="1">
        <v>0</v>
      </c>
      <c r="AG73" s="1">
        <v>4080000</v>
      </c>
      <c r="AH73" s="1">
        <v>3063400</v>
      </c>
      <c r="AI73" s="1">
        <v>15000</v>
      </c>
      <c r="AJ73" s="1">
        <v>680000</v>
      </c>
      <c r="AK73" s="1">
        <v>165</v>
      </c>
      <c r="AL73" s="1">
        <v>6</v>
      </c>
      <c r="AM73" s="1">
        <v>31</v>
      </c>
      <c r="AN73" s="1">
        <v>36</v>
      </c>
      <c r="AO73" s="1" t="s">
        <v>123</v>
      </c>
      <c r="AP73" s="1" t="s">
        <v>123</v>
      </c>
      <c r="AQ73" s="1" t="s">
        <v>124</v>
      </c>
      <c r="BF73" s="1" t="s">
        <v>129</v>
      </c>
      <c r="BG73" s="1" t="s">
        <v>130</v>
      </c>
      <c r="BH73" s="1">
        <v>6</v>
      </c>
      <c r="BI73" s="1">
        <v>4080000</v>
      </c>
      <c r="BJ73" s="75"/>
      <c r="BK73" s="75"/>
      <c r="BL73" s="75"/>
      <c r="BN73" s="75">
        <v>46203</v>
      </c>
      <c r="BO73" s="1">
        <v>1</v>
      </c>
      <c r="BP73" s="76">
        <v>46180</v>
      </c>
      <c r="BQ73" s="1" t="s">
        <v>131</v>
      </c>
      <c r="BR73" s="1">
        <v>172</v>
      </c>
      <c r="BS73" s="75">
        <v>46008</v>
      </c>
      <c r="BT73" s="1">
        <v>4080000</v>
      </c>
      <c r="BU73" s="1">
        <v>0</v>
      </c>
      <c r="BV73" s="1">
        <v>1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75"/>
      <c r="CD73" s="1">
        <v>0</v>
      </c>
      <c r="CE73" s="75"/>
      <c r="CF73" s="1">
        <v>0</v>
      </c>
      <c r="CG73" s="75"/>
      <c r="CH73" s="1">
        <v>0</v>
      </c>
      <c r="CI73" s="75"/>
      <c r="CJ73" s="1">
        <v>0</v>
      </c>
      <c r="CK73" s="75"/>
      <c r="CL73" s="1">
        <v>0</v>
      </c>
      <c r="CM73" s="75">
        <v>46180</v>
      </c>
      <c r="CN73" s="1" t="s">
        <v>349</v>
      </c>
      <c r="CO73" s="1">
        <v>3730272.28</v>
      </c>
      <c r="CP73" s="1">
        <v>3730272.28</v>
      </c>
      <c r="CQ73" s="1">
        <v>16</v>
      </c>
      <c r="CR73" s="75"/>
      <c r="CT73" s="1">
        <v>0</v>
      </c>
      <c r="CU73" s="1" t="s">
        <v>321</v>
      </c>
      <c r="CV73" s="1" t="s">
        <v>353</v>
      </c>
      <c r="CW73" s="82">
        <v>46180</v>
      </c>
      <c r="CX73" s="1" t="s">
        <v>2202</v>
      </c>
      <c r="CY73" s="36">
        <f>MONTH(Table_ExternalData_1[[#This Row],[RunningReportDate]])</f>
        <v>6</v>
      </c>
      <c r="CZ73" s="36">
        <f>181-Table_ExternalData_1[[#This Row],[DaysOD]]</f>
        <v>16</v>
      </c>
      <c r="DA73" s="36">
        <f>IF(Table_ExternalData_1[[#This Row],[Status]]="PU-WC",0,Table_ExternalData_1[[#This Row],[Amount_CWO]]/1000000)</f>
        <v>3.7302722799999999</v>
      </c>
      <c r="DB73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73" s="36">
        <f>IF(Table_ExternalData_1[[#This Row],[Status]]="PU-WC",0,IF(Table_ExternalData_1[[#This Row],[Success CWO]]=1,Table_ExternalData_1[[#This Row],[CWO Amt]],0))</f>
        <v>0</v>
      </c>
      <c r="DD73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73" s="36">
        <f>DAY(Table_ExternalData_1[[#This Row],[Tanggal_Sukses]])</f>
        <v>0</v>
      </c>
      <c r="DF73" s="36">
        <f>IF(Table_ExternalData_1[[#This Row],[Status]]="PU-WC",0,IF(SUM(Table_ExternalData_1[[#This Row],[Success CWO]:[WO-In-Amt]])=0,1,0))</f>
        <v>1</v>
      </c>
      <c r="DG73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3.7302722799999999</v>
      </c>
      <c r="DH73" s="36" t="str">
        <f>VLOOKUP(Table_ExternalData_1[[#This Row],[BranchID]],KC!$A:$K,5,0)</f>
        <v>2W</v>
      </c>
      <c r="DI73" s="36" t="str">
        <f>VLOOKUP(Table_ExternalData_1[[#This Row],[BranchID]],KC!$A:$K,8,0)</f>
        <v>03. Jawa Tengah</v>
      </c>
      <c r="DJ73" s="36" t="str">
        <f>VLOOKUP(Table_ExternalData_1[[#This Row],[BranchID]],KC!$A:$K,9,0)</f>
        <v>SOLO</v>
      </c>
    </row>
    <row r="74" spans="1:114" x14ac:dyDescent="0.3">
      <c r="A74" s="3" t="s">
        <v>468</v>
      </c>
      <c r="B74" s="2" t="s">
        <v>467</v>
      </c>
      <c r="C74" s="278">
        <v>46173</v>
      </c>
      <c r="D74" s="278">
        <v>46004</v>
      </c>
      <c r="E74" s="278">
        <v>44970</v>
      </c>
      <c r="F74" s="2" t="s">
        <v>2241</v>
      </c>
      <c r="G74" s="2" t="s">
        <v>2242</v>
      </c>
      <c r="H74" s="1" t="s">
        <v>2243</v>
      </c>
      <c r="I74" s="1" t="s">
        <v>2244</v>
      </c>
      <c r="J74" s="1" t="s">
        <v>2245</v>
      </c>
      <c r="K74" s="1" t="s">
        <v>4</v>
      </c>
      <c r="L74" s="1" t="s">
        <v>2245</v>
      </c>
      <c r="M74" s="1" t="s">
        <v>2246</v>
      </c>
      <c r="N74" s="1" t="s">
        <v>2247</v>
      </c>
      <c r="O74" s="1" t="s">
        <v>468</v>
      </c>
      <c r="P74" s="1" t="s">
        <v>2118</v>
      </c>
      <c r="Q74" s="1" t="s">
        <v>2248</v>
      </c>
      <c r="R74" s="1" t="s">
        <v>4</v>
      </c>
      <c r="S74" s="1" t="s">
        <v>4</v>
      </c>
      <c r="T74" s="1" t="s">
        <v>141</v>
      </c>
      <c r="U74" s="1" t="s">
        <v>141</v>
      </c>
      <c r="V74" s="1" t="s">
        <v>141</v>
      </c>
      <c r="W74" s="1" t="s">
        <v>347</v>
      </c>
      <c r="X74" s="1" t="s">
        <v>348</v>
      </c>
      <c r="Y74" s="1" t="s">
        <v>2249</v>
      </c>
      <c r="Z74" s="1" t="s">
        <v>2250</v>
      </c>
      <c r="AA74" s="1" t="s">
        <v>2251</v>
      </c>
      <c r="AB74" s="1" t="s">
        <v>2252</v>
      </c>
      <c r="AC74" s="1" t="s">
        <v>2253</v>
      </c>
      <c r="AD74" s="1">
        <v>2397000</v>
      </c>
      <c r="AE74" s="1">
        <v>2289330.41</v>
      </c>
      <c r="AF74" s="1">
        <v>0</v>
      </c>
      <c r="AG74" s="1">
        <v>2397000</v>
      </c>
      <c r="AH74" s="1">
        <v>7404165</v>
      </c>
      <c r="AI74" s="1">
        <v>0</v>
      </c>
      <c r="AJ74" s="1">
        <v>799000</v>
      </c>
      <c r="AK74" s="1">
        <v>169</v>
      </c>
      <c r="AL74" s="1">
        <v>3</v>
      </c>
      <c r="AM74" s="1">
        <v>34</v>
      </c>
      <c r="AN74" s="1">
        <v>36</v>
      </c>
      <c r="AO74" s="1" t="s">
        <v>123</v>
      </c>
      <c r="AP74" s="1" t="s">
        <v>123</v>
      </c>
      <c r="AQ74" s="1" t="s">
        <v>124</v>
      </c>
      <c r="BF74" s="1" t="s">
        <v>129</v>
      </c>
      <c r="BG74" s="1" t="s">
        <v>130</v>
      </c>
      <c r="BH74" s="1">
        <v>3</v>
      </c>
      <c r="BI74" s="1">
        <v>2397000</v>
      </c>
      <c r="BJ74" s="75"/>
      <c r="BK74" s="75"/>
      <c r="BL74" s="75"/>
      <c r="BN74" s="75">
        <v>46203</v>
      </c>
      <c r="BO74" s="1">
        <v>1</v>
      </c>
      <c r="BP74" s="76">
        <v>46180</v>
      </c>
      <c r="BQ74" s="1" t="s">
        <v>131</v>
      </c>
      <c r="BR74" s="1">
        <v>176</v>
      </c>
      <c r="BS74" s="75">
        <v>46004</v>
      </c>
      <c r="BT74" s="1">
        <v>2397000</v>
      </c>
      <c r="BU74" s="1">
        <v>0</v>
      </c>
      <c r="BV74" s="1">
        <v>1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75"/>
      <c r="CD74" s="1">
        <v>0</v>
      </c>
      <c r="CE74" s="75"/>
      <c r="CF74" s="1">
        <v>0</v>
      </c>
      <c r="CG74" s="75"/>
      <c r="CH74" s="1">
        <v>0</v>
      </c>
      <c r="CI74" s="75"/>
      <c r="CJ74" s="1">
        <v>0</v>
      </c>
      <c r="CK74" s="75"/>
      <c r="CL74" s="1">
        <v>0</v>
      </c>
      <c r="CM74" s="75">
        <v>46180</v>
      </c>
      <c r="CN74" s="1" t="s">
        <v>349</v>
      </c>
      <c r="CO74" s="1">
        <v>2289330.41</v>
      </c>
      <c r="CP74" s="1">
        <v>2289330.41</v>
      </c>
      <c r="CQ74" s="1">
        <v>12</v>
      </c>
      <c r="CR74" s="75"/>
      <c r="CT74" s="1">
        <v>0</v>
      </c>
      <c r="CU74" s="1" t="s">
        <v>468</v>
      </c>
      <c r="CV74" s="1" t="s">
        <v>377</v>
      </c>
      <c r="CW74" s="82">
        <v>46180</v>
      </c>
      <c r="CX74" s="1" t="s">
        <v>2202</v>
      </c>
      <c r="CY74" s="36">
        <f>MONTH(Table_ExternalData_1[[#This Row],[RunningReportDate]])</f>
        <v>6</v>
      </c>
      <c r="CZ74" s="36">
        <f>181-Table_ExternalData_1[[#This Row],[DaysOD]]</f>
        <v>12</v>
      </c>
      <c r="DA74" s="36">
        <f>IF(Table_ExternalData_1[[#This Row],[Status]]="PU-WC",0,Table_ExternalData_1[[#This Row],[Amount_CWO]]/1000000)</f>
        <v>2.2893304100000003</v>
      </c>
      <c r="DB74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74" s="36">
        <f>IF(Table_ExternalData_1[[#This Row],[Status]]="PU-WC",0,IF(Table_ExternalData_1[[#This Row],[Success CWO]]=1,Table_ExternalData_1[[#This Row],[CWO Amt]],0))</f>
        <v>0</v>
      </c>
      <c r="DD74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74" s="36">
        <f>DAY(Table_ExternalData_1[[#This Row],[Tanggal_Sukses]])</f>
        <v>0</v>
      </c>
      <c r="DF74" s="36">
        <f>IF(Table_ExternalData_1[[#This Row],[Status]]="PU-WC",0,IF(SUM(Table_ExternalData_1[[#This Row],[Success CWO]:[WO-In-Amt]])=0,1,0))</f>
        <v>1</v>
      </c>
      <c r="DG74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2.2893304100000003</v>
      </c>
      <c r="DH74" s="36" t="str">
        <f>VLOOKUP(Table_ExternalData_1[[#This Row],[BranchID]],KC!$A:$K,5,0)</f>
        <v>2W</v>
      </c>
      <c r="DI74" s="36" t="str">
        <f>VLOOKUP(Table_ExternalData_1[[#This Row],[BranchID]],KC!$A:$K,8,0)</f>
        <v>04. Jawa Timur</v>
      </c>
      <c r="DJ74" s="36" t="str">
        <f>VLOOKUP(Table_ExternalData_1[[#This Row],[BranchID]],KC!$A:$K,9,0)</f>
        <v>KEDIRI</v>
      </c>
    </row>
    <row r="75" spans="1:114" x14ac:dyDescent="0.3">
      <c r="A75" s="3" t="s">
        <v>468</v>
      </c>
      <c r="B75" s="2" t="s">
        <v>467</v>
      </c>
      <c r="C75" s="278">
        <v>46173</v>
      </c>
      <c r="D75" s="278">
        <v>45996</v>
      </c>
      <c r="E75" s="278">
        <v>44799</v>
      </c>
      <c r="F75" s="2" t="s">
        <v>2230</v>
      </c>
      <c r="G75" s="2" t="s">
        <v>2231</v>
      </c>
      <c r="H75" s="1" t="s">
        <v>2232</v>
      </c>
      <c r="I75" s="1" t="s">
        <v>2233</v>
      </c>
      <c r="J75" s="1" t="s">
        <v>2234</v>
      </c>
      <c r="K75" s="1" t="s">
        <v>4</v>
      </c>
      <c r="L75" s="1" t="s">
        <v>2234</v>
      </c>
      <c r="M75" s="1" t="s">
        <v>2235</v>
      </c>
      <c r="N75" s="1" t="s">
        <v>2236</v>
      </c>
      <c r="O75" s="1" t="s">
        <v>2117</v>
      </c>
      <c r="P75" s="1" t="s">
        <v>2118</v>
      </c>
      <c r="Q75" s="1" t="s">
        <v>2119</v>
      </c>
      <c r="R75" s="1" t="s">
        <v>4</v>
      </c>
      <c r="S75" s="1" t="s">
        <v>4</v>
      </c>
      <c r="T75" s="1" t="s">
        <v>2237</v>
      </c>
      <c r="U75" s="1" t="s">
        <v>2237</v>
      </c>
      <c r="V75" s="1" t="s">
        <v>2237</v>
      </c>
      <c r="W75" s="1" t="s">
        <v>347</v>
      </c>
      <c r="X75" s="1" t="s">
        <v>348</v>
      </c>
      <c r="Y75" s="1" t="s">
        <v>363</v>
      </c>
      <c r="Z75" s="1" t="s">
        <v>2115</v>
      </c>
      <c r="AA75" s="1" t="s">
        <v>2238</v>
      </c>
      <c r="AB75" s="1" t="s">
        <v>2239</v>
      </c>
      <c r="AC75" s="1" t="s">
        <v>2240</v>
      </c>
      <c r="AD75" s="1">
        <v>635000</v>
      </c>
      <c r="AE75" s="1">
        <v>621551.59</v>
      </c>
      <c r="AF75" s="1">
        <v>0</v>
      </c>
      <c r="AG75" s="1">
        <v>635000</v>
      </c>
      <c r="AH75" s="1">
        <v>2005987.5</v>
      </c>
      <c r="AI75" s="1">
        <v>0</v>
      </c>
      <c r="AJ75" s="1">
        <v>635000</v>
      </c>
      <c r="AK75" s="1">
        <v>177</v>
      </c>
      <c r="AL75" s="1">
        <v>1</v>
      </c>
      <c r="AM75" s="1">
        <v>39</v>
      </c>
      <c r="AN75" s="1">
        <v>39</v>
      </c>
      <c r="AO75" s="1" t="s">
        <v>123</v>
      </c>
      <c r="AP75" s="1" t="s">
        <v>123</v>
      </c>
      <c r="AQ75" s="1" t="s">
        <v>124</v>
      </c>
      <c r="BF75" s="1" t="s">
        <v>129</v>
      </c>
      <c r="BG75" s="1" t="s">
        <v>130</v>
      </c>
      <c r="BH75" s="1">
        <v>1</v>
      </c>
      <c r="BI75" s="1">
        <v>635000</v>
      </c>
      <c r="BJ75" s="75"/>
      <c r="BK75" s="75"/>
      <c r="BL75" s="75"/>
      <c r="BN75" s="75">
        <v>46203</v>
      </c>
      <c r="BO75" s="1">
        <v>1</v>
      </c>
      <c r="BP75" s="76">
        <v>46180</v>
      </c>
      <c r="BQ75" s="1" t="s">
        <v>131</v>
      </c>
      <c r="BR75" s="1">
        <v>184</v>
      </c>
      <c r="BS75" s="75">
        <v>45996</v>
      </c>
      <c r="BT75" s="1">
        <v>635000</v>
      </c>
      <c r="BU75" s="1">
        <v>0</v>
      </c>
      <c r="BV75" s="1">
        <v>1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75"/>
      <c r="CD75" s="1">
        <v>0</v>
      </c>
      <c r="CE75" s="75"/>
      <c r="CF75" s="1">
        <v>0</v>
      </c>
      <c r="CG75" s="75"/>
      <c r="CH75" s="1">
        <v>0</v>
      </c>
      <c r="CI75" s="75"/>
      <c r="CJ75" s="1">
        <v>0</v>
      </c>
      <c r="CK75" s="75"/>
      <c r="CL75" s="1">
        <v>0</v>
      </c>
      <c r="CM75" s="75">
        <v>46180</v>
      </c>
      <c r="CN75" s="1" t="s">
        <v>349</v>
      </c>
      <c r="CO75" s="1">
        <v>621551.59</v>
      </c>
      <c r="CP75" s="1">
        <v>621551.59</v>
      </c>
      <c r="CQ75" s="1">
        <v>4</v>
      </c>
      <c r="CR75" s="75"/>
      <c r="CT75" s="1">
        <v>0</v>
      </c>
      <c r="CU75" s="1" t="s">
        <v>468</v>
      </c>
      <c r="CV75" s="1" t="s">
        <v>377</v>
      </c>
      <c r="CW75" s="82">
        <v>46180</v>
      </c>
      <c r="CX75" s="1" t="s">
        <v>2202</v>
      </c>
      <c r="CY75" s="36">
        <f>MONTH(Table_ExternalData_1[[#This Row],[RunningReportDate]])</f>
        <v>6</v>
      </c>
      <c r="CZ75" s="36">
        <f>181-Table_ExternalData_1[[#This Row],[DaysOD]]</f>
        <v>4</v>
      </c>
      <c r="DA75" s="36">
        <f>IF(Table_ExternalData_1[[#This Row],[Status]]="PU-WC",0,Table_ExternalData_1[[#This Row],[Amount_CWO]]/1000000)</f>
        <v>0.62155158999999993</v>
      </c>
      <c r="DB75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75" s="36">
        <f>IF(Table_ExternalData_1[[#This Row],[Status]]="PU-WC",0,IF(Table_ExternalData_1[[#This Row],[Success CWO]]=1,Table_ExternalData_1[[#This Row],[CWO Amt]],0))</f>
        <v>0</v>
      </c>
      <c r="DD75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0.62155158999999993</v>
      </c>
      <c r="DE75" s="36">
        <f>DAY(Table_ExternalData_1[[#This Row],[Tanggal_Sukses]])</f>
        <v>0</v>
      </c>
      <c r="DF75" s="36">
        <f>IF(Table_ExternalData_1[[#This Row],[Status]]="PU-WC",0,IF(SUM(Table_ExternalData_1[[#This Row],[Success CWO]:[WO-In-Amt]])=0,1,0))</f>
        <v>0</v>
      </c>
      <c r="DG75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75" s="36" t="str">
        <f>VLOOKUP(Table_ExternalData_1[[#This Row],[BranchID]],KC!$A:$K,5,0)</f>
        <v>2W</v>
      </c>
      <c r="DI75" s="36" t="str">
        <f>VLOOKUP(Table_ExternalData_1[[#This Row],[BranchID]],KC!$A:$K,8,0)</f>
        <v>04. Jawa Timur</v>
      </c>
      <c r="DJ75" s="36" t="str">
        <f>VLOOKUP(Table_ExternalData_1[[#This Row],[BranchID]],KC!$A:$K,9,0)</f>
        <v>KEDIRI</v>
      </c>
    </row>
    <row r="76" spans="1:114" x14ac:dyDescent="0.3">
      <c r="A76" s="3" t="s">
        <v>193</v>
      </c>
      <c r="B76" s="2" t="s">
        <v>460</v>
      </c>
      <c r="C76" s="278">
        <v>46173</v>
      </c>
      <c r="D76" s="278">
        <v>46014</v>
      </c>
      <c r="E76" s="278">
        <v>44949</v>
      </c>
      <c r="F76" s="2" t="s">
        <v>2213</v>
      </c>
      <c r="G76" s="2" t="s">
        <v>2214</v>
      </c>
      <c r="H76" s="1" t="s">
        <v>2215</v>
      </c>
      <c r="I76" s="1" t="s">
        <v>2216</v>
      </c>
      <c r="J76" s="1" t="s">
        <v>2217</v>
      </c>
      <c r="K76" s="1" t="s">
        <v>4</v>
      </c>
      <c r="L76" s="1" t="s">
        <v>2217</v>
      </c>
      <c r="M76" s="1" t="s">
        <v>2160</v>
      </c>
      <c r="N76" s="1" t="s">
        <v>2218</v>
      </c>
      <c r="O76" s="1" t="s">
        <v>193</v>
      </c>
      <c r="P76" s="1" t="s">
        <v>2219</v>
      </c>
      <c r="Q76" s="1" t="s">
        <v>383</v>
      </c>
      <c r="R76" s="1" t="s">
        <v>4</v>
      </c>
      <c r="S76" s="1" t="s">
        <v>4</v>
      </c>
      <c r="T76" s="1" t="s">
        <v>4</v>
      </c>
      <c r="U76" s="1" t="s">
        <v>4</v>
      </c>
      <c r="V76" s="1" t="s">
        <v>2165</v>
      </c>
      <c r="W76" s="1" t="s">
        <v>2220</v>
      </c>
      <c r="X76" s="1" t="s">
        <v>121</v>
      </c>
      <c r="Y76" s="1" t="s">
        <v>2221</v>
      </c>
      <c r="Z76" s="1" t="s">
        <v>2222</v>
      </c>
      <c r="AA76" s="1" t="s">
        <v>2223</v>
      </c>
      <c r="AB76" s="1" t="s">
        <v>2224</v>
      </c>
      <c r="AC76" s="1" t="s">
        <v>2225</v>
      </c>
      <c r="AD76" s="1">
        <v>5100000</v>
      </c>
      <c r="AE76" s="1">
        <v>4659199.37</v>
      </c>
      <c r="AF76" s="1">
        <v>0</v>
      </c>
      <c r="AG76" s="1">
        <v>5100000</v>
      </c>
      <c r="AH76" s="1">
        <v>4611250</v>
      </c>
      <c r="AI76" s="1">
        <v>107500</v>
      </c>
      <c r="AJ76" s="1">
        <v>850000</v>
      </c>
      <c r="AK76" s="1">
        <v>159</v>
      </c>
      <c r="AL76" s="1">
        <v>6</v>
      </c>
      <c r="AM76" s="1">
        <v>35</v>
      </c>
      <c r="AN76" s="1">
        <v>40</v>
      </c>
      <c r="AO76" s="1" t="s">
        <v>123</v>
      </c>
      <c r="AP76" s="1" t="s">
        <v>123</v>
      </c>
      <c r="AQ76" s="1" t="s">
        <v>124</v>
      </c>
      <c r="AR76" s="1" t="s">
        <v>2226</v>
      </c>
      <c r="AS76" s="1" t="s">
        <v>385</v>
      </c>
      <c r="AT76" s="1" t="s">
        <v>386</v>
      </c>
      <c r="AU76" s="1" t="s">
        <v>2227</v>
      </c>
      <c r="AV76" s="1" t="s">
        <v>125</v>
      </c>
      <c r="AW76" s="1" t="s">
        <v>126</v>
      </c>
      <c r="AX76" s="1" t="s">
        <v>127</v>
      </c>
      <c r="AY76" s="1" t="s">
        <v>2228</v>
      </c>
      <c r="AZ76" s="1" t="s">
        <v>201</v>
      </c>
      <c r="BA76" s="1" t="s">
        <v>202</v>
      </c>
      <c r="BB76" s="1" t="s">
        <v>128</v>
      </c>
      <c r="BC76" s="1" t="s">
        <v>2229</v>
      </c>
      <c r="BD76" s="1" t="s">
        <v>125</v>
      </c>
      <c r="BE76" s="1" t="s">
        <v>126</v>
      </c>
      <c r="BF76" s="1" t="s">
        <v>129</v>
      </c>
      <c r="BG76" s="1" t="s">
        <v>130</v>
      </c>
      <c r="BH76" s="1">
        <v>6</v>
      </c>
      <c r="BI76" s="1">
        <v>5100000</v>
      </c>
      <c r="BJ76" s="75"/>
      <c r="BK76" s="75"/>
      <c r="BL76" s="75"/>
      <c r="BN76" s="75">
        <v>46203</v>
      </c>
      <c r="BO76" s="1">
        <v>1</v>
      </c>
      <c r="BP76" s="76">
        <v>46180</v>
      </c>
      <c r="BQ76" s="1" t="s">
        <v>131</v>
      </c>
      <c r="BR76" s="1">
        <v>166</v>
      </c>
      <c r="BS76" s="75">
        <v>46014</v>
      </c>
      <c r="BT76" s="1">
        <v>5100000</v>
      </c>
      <c r="BU76" s="1">
        <v>0</v>
      </c>
      <c r="BV76" s="1">
        <v>1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75"/>
      <c r="CD76" s="1">
        <v>0</v>
      </c>
      <c r="CE76" s="75"/>
      <c r="CF76" s="1">
        <v>0</v>
      </c>
      <c r="CG76" s="75"/>
      <c r="CH76" s="1">
        <v>0</v>
      </c>
      <c r="CI76" s="75"/>
      <c r="CJ76" s="1">
        <v>0</v>
      </c>
      <c r="CK76" s="75"/>
      <c r="CL76" s="1">
        <v>0</v>
      </c>
      <c r="CM76" s="75">
        <v>46180</v>
      </c>
      <c r="CN76" s="1" t="s">
        <v>349</v>
      </c>
      <c r="CO76" s="1">
        <v>4551699.37</v>
      </c>
      <c r="CP76" s="1">
        <v>4551699.37</v>
      </c>
      <c r="CQ76" s="1">
        <v>22</v>
      </c>
      <c r="CR76" s="75"/>
      <c r="CT76" s="1">
        <v>0</v>
      </c>
      <c r="CU76" s="1" t="s">
        <v>193</v>
      </c>
      <c r="CV76" s="1" t="s">
        <v>364</v>
      </c>
      <c r="CW76" s="82">
        <v>46180</v>
      </c>
      <c r="CX76" s="1" t="s">
        <v>2202</v>
      </c>
      <c r="CY76" s="36">
        <f>MONTH(Table_ExternalData_1[[#This Row],[RunningReportDate]])</f>
        <v>6</v>
      </c>
      <c r="CZ76" s="36">
        <f>181-Table_ExternalData_1[[#This Row],[DaysOD]]</f>
        <v>22</v>
      </c>
      <c r="DA76" s="36">
        <f>IF(Table_ExternalData_1[[#This Row],[Status]]="PU-WC",0,Table_ExternalData_1[[#This Row],[Amount_CWO]]/1000000)</f>
        <v>4.5516993699999997</v>
      </c>
      <c r="DB76" s="3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76" s="36">
        <f>IF(Table_ExternalData_1[[#This Row],[Status]]="PU-WC",0,IF(Table_ExternalData_1[[#This Row],[Success CWO]]=1,Table_ExternalData_1[[#This Row],[CWO Amt]],0))</f>
        <v>0</v>
      </c>
      <c r="DD76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0</v>
      </c>
      <c r="DE76" s="36">
        <f>DAY(Table_ExternalData_1[[#This Row],[Tanggal_Sukses]])</f>
        <v>0</v>
      </c>
      <c r="DF76" s="36">
        <f>IF(Table_ExternalData_1[[#This Row],[Status]]="PU-WC",0,IF(SUM(Table_ExternalData_1[[#This Row],[Success CWO]:[WO-In-Amt]])=0,1,0))</f>
        <v>1</v>
      </c>
      <c r="DG76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4.5516993699999997</v>
      </c>
      <c r="DH76" s="36" t="str">
        <f>VLOOKUP(Table_ExternalData_1[[#This Row],[BranchID]],KC!$A:$K,5,0)</f>
        <v>2W</v>
      </c>
      <c r="DI76" s="36" t="str">
        <f>VLOOKUP(Table_ExternalData_1[[#This Row],[BranchID]],KC!$A:$K,8,0)</f>
        <v>05. Kalimantan</v>
      </c>
      <c r="DJ76" s="36" t="str">
        <f>VLOOKUP(Table_ExternalData_1[[#This Row],[BranchID]],KC!$A:$K,9,0)</f>
        <v>SAMARINDA</v>
      </c>
    </row>
    <row r="77" spans="1:114" x14ac:dyDescent="0.3">
      <c r="A77" s="280" t="s">
        <v>280</v>
      </c>
      <c r="B77" s="117" t="s">
        <v>346</v>
      </c>
      <c r="C77" s="279">
        <v>46173</v>
      </c>
      <c r="D77" s="279">
        <v>45996</v>
      </c>
      <c r="E77" s="279">
        <v>45595</v>
      </c>
      <c r="F77" s="117" t="s">
        <v>2203</v>
      </c>
      <c r="G77" s="117" t="s">
        <v>2204</v>
      </c>
      <c r="H77" s="112" t="s">
        <v>2205</v>
      </c>
      <c r="I77" s="112" t="s">
        <v>2206</v>
      </c>
      <c r="J77" s="112" t="s">
        <v>2207</v>
      </c>
      <c r="K77" s="112" t="s">
        <v>4</v>
      </c>
      <c r="L77" s="112" t="s">
        <v>2207</v>
      </c>
      <c r="M77" s="112" t="s">
        <v>2208</v>
      </c>
      <c r="N77" s="112" t="s">
        <v>2209</v>
      </c>
      <c r="O77" s="112" t="s">
        <v>292</v>
      </c>
      <c r="P77" s="112" t="s">
        <v>2193</v>
      </c>
      <c r="Q77" s="112" t="s">
        <v>2194</v>
      </c>
      <c r="R77" s="112" t="s">
        <v>4</v>
      </c>
      <c r="S77" s="112" t="s">
        <v>4</v>
      </c>
      <c r="T77" s="112" t="s">
        <v>4</v>
      </c>
      <c r="U77" s="112" t="s">
        <v>4</v>
      </c>
      <c r="V77" s="112" t="s">
        <v>222</v>
      </c>
      <c r="W77" s="112" t="s">
        <v>347</v>
      </c>
      <c r="X77" s="112" t="s">
        <v>348</v>
      </c>
      <c r="Y77" s="112" t="s">
        <v>363</v>
      </c>
      <c r="Z77" s="112" t="s">
        <v>2115</v>
      </c>
      <c r="AA77" s="112" t="s">
        <v>2210</v>
      </c>
      <c r="AB77" s="112" t="s">
        <v>2211</v>
      </c>
      <c r="AC77" s="112" t="s">
        <v>2212</v>
      </c>
      <c r="AD77" s="112">
        <v>17710000</v>
      </c>
      <c r="AE77" s="112">
        <v>13300099.65</v>
      </c>
      <c r="AF77" s="112">
        <v>13090000</v>
      </c>
      <c r="AG77" s="112">
        <v>4620000</v>
      </c>
      <c r="AH77" s="112">
        <v>2643900</v>
      </c>
      <c r="AI77" s="112">
        <v>0</v>
      </c>
      <c r="AJ77" s="112">
        <v>770000</v>
      </c>
      <c r="AK77" s="112">
        <v>177</v>
      </c>
      <c r="AL77" s="112">
        <v>6</v>
      </c>
      <c r="AM77" s="112">
        <v>13</v>
      </c>
      <c r="AN77" s="112">
        <v>35</v>
      </c>
      <c r="AO77" s="112" t="s">
        <v>123</v>
      </c>
      <c r="AP77" s="112" t="s">
        <v>123</v>
      </c>
      <c r="AQ77" s="112" t="s">
        <v>124</v>
      </c>
      <c r="AR77" s="112" t="s">
        <v>2200</v>
      </c>
      <c r="AS77" s="112" t="s">
        <v>289</v>
      </c>
      <c r="AT77" s="112" t="s">
        <v>290</v>
      </c>
      <c r="AU77" s="112" t="s">
        <v>2201</v>
      </c>
      <c r="AV77" s="112" t="s">
        <v>125</v>
      </c>
      <c r="AW77" s="112" t="s">
        <v>126</v>
      </c>
      <c r="AX77" s="112" t="s">
        <v>127</v>
      </c>
      <c r="AY77" s="112" t="s">
        <v>898</v>
      </c>
      <c r="AZ77" s="112" t="s">
        <v>284</v>
      </c>
      <c r="BA77" s="112" t="s">
        <v>285</v>
      </c>
      <c r="BB77" s="112" t="s">
        <v>128</v>
      </c>
      <c r="BC77" s="112" t="s">
        <v>899</v>
      </c>
      <c r="BD77" s="112" t="s">
        <v>125</v>
      </c>
      <c r="BE77" s="112" t="s">
        <v>126</v>
      </c>
      <c r="BF77" s="112" t="s">
        <v>129</v>
      </c>
      <c r="BG77" s="112" t="s">
        <v>130</v>
      </c>
      <c r="BH77" s="112">
        <v>7</v>
      </c>
      <c r="BI77" s="112">
        <v>5390000</v>
      </c>
      <c r="BJ77" s="113"/>
      <c r="BK77" s="113"/>
      <c r="BL77" s="113"/>
      <c r="BM77" s="112"/>
      <c r="BN77" s="113">
        <v>46203</v>
      </c>
      <c r="BO77" s="112">
        <v>1</v>
      </c>
      <c r="BP77" s="114">
        <v>46180</v>
      </c>
      <c r="BQ77" s="112" t="s">
        <v>131</v>
      </c>
      <c r="BR77" s="112">
        <v>184</v>
      </c>
      <c r="BS77" s="113">
        <v>45996</v>
      </c>
      <c r="BT77" s="112">
        <v>17710000</v>
      </c>
      <c r="BU77" s="112">
        <v>0</v>
      </c>
      <c r="BV77" s="112">
        <v>1</v>
      </c>
      <c r="BW77" s="112">
        <v>0</v>
      </c>
      <c r="BX77" s="112">
        <v>0</v>
      </c>
      <c r="BY77" s="112">
        <v>0</v>
      </c>
      <c r="BZ77" s="112">
        <v>0</v>
      </c>
      <c r="CA77" s="112">
        <v>0</v>
      </c>
      <c r="CB77" s="112">
        <v>0</v>
      </c>
      <c r="CC77" s="113"/>
      <c r="CD77" s="112">
        <v>0</v>
      </c>
      <c r="CE77" s="113"/>
      <c r="CF77" s="112">
        <v>0</v>
      </c>
      <c r="CG77" s="113"/>
      <c r="CH77" s="112">
        <v>0</v>
      </c>
      <c r="CI77" s="113"/>
      <c r="CJ77" s="112">
        <v>0</v>
      </c>
      <c r="CK77" s="113"/>
      <c r="CL77" s="112">
        <v>0</v>
      </c>
      <c r="CM77" s="113">
        <v>46180</v>
      </c>
      <c r="CN77" s="112" t="s">
        <v>349</v>
      </c>
      <c r="CO77" s="112">
        <v>13300099.65</v>
      </c>
      <c r="CP77" s="112">
        <v>13300099.65</v>
      </c>
      <c r="CQ77" s="112">
        <v>4</v>
      </c>
      <c r="CR77" s="113"/>
      <c r="CS77" s="112"/>
      <c r="CT77" s="112">
        <v>0</v>
      </c>
      <c r="CU77" s="112" t="s">
        <v>280</v>
      </c>
      <c r="CV77" s="112" t="s">
        <v>350</v>
      </c>
      <c r="CW77" s="115">
        <v>46180</v>
      </c>
      <c r="CX77" s="112" t="s">
        <v>2202</v>
      </c>
      <c r="CY77" s="116">
        <f>MONTH(Table_ExternalData_1[[#This Row],[RunningReportDate]])</f>
        <v>6</v>
      </c>
      <c r="CZ77" s="116">
        <f>181-Table_ExternalData_1[[#This Row],[DaysOD]]</f>
        <v>4</v>
      </c>
      <c r="DA77" s="116">
        <f>IF(Table_ExternalData_1[[#This Row],[Status]]="PU-WC",0,Table_ExternalData_1[[#This Row],[Amount_CWO]]/1000000)</f>
        <v>13.30009965</v>
      </c>
      <c r="DB77" s="11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77" s="116">
        <f>IF(Table_ExternalData_1[[#This Row],[Status]]="PU-WC",0,IF(Table_ExternalData_1[[#This Row],[Success CWO]]=1,Table_ExternalData_1[[#This Row],[CWO Amt]],0))</f>
        <v>0</v>
      </c>
      <c r="DD77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13.30009965</v>
      </c>
      <c r="DE77" s="116">
        <f>DAY(Table_ExternalData_1[[#This Row],[Tanggal_Sukses]])</f>
        <v>0</v>
      </c>
      <c r="DF77" s="116">
        <f>IF(Table_ExternalData_1[[#This Row],[Status]]="PU-WC",0,IF(SUM(Table_ExternalData_1[[#This Row],[Success CWO]:[WO-In-Amt]])=0,1,0))</f>
        <v>0</v>
      </c>
      <c r="DG77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77" s="116" t="str">
        <f>VLOOKUP(Table_ExternalData_1[[#This Row],[BranchID]],KC!$A:$K,5,0)</f>
        <v>2W</v>
      </c>
      <c r="DI77" s="116" t="str">
        <f>VLOOKUP(Table_ExternalData_1[[#This Row],[BranchID]],KC!$A:$K,8,0)</f>
        <v>05. Kalimantan</v>
      </c>
      <c r="DJ77" s="116" t="str">
        <f>VLOOKUP(Table_ExternalData_1[[#This Row],[BranchID]],KC!$A:$K,9,0)</f>
        <v>BANJARMASIN</v>
      </c>
    </row>
    <row r="78" spans="1:114" x14ac:dyDescent="0.3">
      <c r="A78" s="280" t="s">
        <v>280</v>
      </c>
      <c r="B78" s="117" t="s">
        <v>346</v>
      </c>
      <c r="C78" s="279">
        <v>46173</v>
      </c>
      <c r="D78" s="279">
        <v>45996</v>
      </c>
      <c r="E78" s="279">
        <v>45595</v>
      </c>
      <c r="F78" s="117" t="s">
        <v>2186</v>
      </c>
      <c r="G78" s="117" t="s">
        <v>2187</v>
      </c>
      <c r="H78" s="112" t="s">
        <v>2188</v>
      </c>
      <c r="I78" s="112" t="s">
        <v>2189</v>
      </c>
      <c r="J78" s="112" t="s">
        <v>2190</v>
      </c>
      <c r="K78" s="112" t="s">
        <v>4</v>
      </c>
      <c r="L78" s="112" t="s">
        <v>2190</v>
      </c>
      <c r="M78" s="112" t="s">
        <v>2191</v>
      </c>
      <c r="N78" s="112" t="s">
        <v>2192</v>
      </c>
      <c r="O78" s="112" t="s">
        <v>280</v>
      </c>
      <c r="P78" s="112" t="s">
        <v>2193</v>
      </c>
      <c r="Q78" s="112" t="s">
        <v>2194</v>
      </c>
      <c r="R78" s="112" t="s">
        <v>4</v>
      </c>
      <c r="S78" s="112" t="s">
        <v>4</v>
      </c>
      <c r="T78" s="112" t="s">
        <v>4</v>
      </c>
      <c r="U78" s="112" t="s">
        <v>4</v>
      </c>
      <c r="V78" s="112" t="s">
        <v>2195</v>
      </c>
      <c r="W78" s="112" t="s">
        <v>347</v>
      </c>
      <c r="X78" s="112" t="s">
        <v>348</v>
      </c>
      <c r="Y78" s="112" t="s">
        <v>2121</v>
      </c>
      <c r="Z78" s="112" t="s">
        <v>2196</v>
      </c>
      <c r="AA78" s="112" t="s">
        <v>2197</v>
      </c>
      <c r="AB78" s="112" t="s">
        <v>2198</v>
      </c>
      <c r="AC78" s="112" t="s">
        <v>2199</v>
      </c>
      <c r="AD78" s="112">
        <v>30705000</v>
      </c>
      <c r="AE78" s="112">
        <v>23014089.5</v>
      </c>
      <c r="AF78" s="112">
        <v>22695000</v>
      </c>
      <c r="AG78" s="112">
        <v>8010000</v>
      </c>
      <c r="AH78" s="112">
        <v>4641000</v>
      </c>
      <c r="AI78" s="112">
        <v>0</v>
      </c>
      <c r="AJ78" s="112">
        <v>1335000</v>
      </c>
      <c r="AK78" s="112">
        <v>177</v>
      </c>
      <c r="AL78" s="112">
        <v>6</v>
      </c>
      <c r="AM78" s="112">
        <v>13</v>
      </c>
      <c r="AN78" s="112">
        <v>35</v>
      </c>
      <c r="AO78" s="112" t="s">
        <v>123</v>
      </c>
      <c r="AP78" s="112" t="s">
        <v>123</v>
      </c>
      <c r="AQ78" s="112" t="s">
        <v>124</v>
      </c>
      <c r="AR78" s="112" t="s">
        <v>2200</v>
      </c>
      <c r="AS78" s="112" t="s">
        <v>289</v>
      </c>
      <c r="AT78" s="112" t="s">
        <v>290</v>
      </c>
      <c r="AU78" s="112" t="s">
        <v>2201</v>
      </c>
      <c r="AV78" s="112" t="s">
        <v>125</v>
      </c>
      <c r="AW78" s="112" t="s">
        <v>126</v>
      </c>
      <c r="AX78" s="112" t="s">
        <v>127</v>
      </c>
      <c r="AY78" s="112" t="s">
        <v>898</v>
      </c>
      <c r="AZ78" s="112" t="s">
        <v>284</v>
      </c>
      <c r="BA78" s="112" t="s">
        <v>285</v>
      </c>
      <c r="BB78" s="112" t="s">
        <v>128</v>
      </c>
      <c r="BC78" s="112" t="s">
        <v>899</v>
      </c>
      <c r="BD78" s="112" t="s">
        <v>125</v>
      </c>
      <c r="BE78" s="112" t="s">
        <v>126</v>
      </c>
      <c r="BF78" s="112" t="s">
        <v>129</v>
      </c>
      <c r="BG78" s="112" t="s">
        <v>130</v>
      </c>
      <c r="BH78" s="112">
        <v>7</v>
      </c>
      <c r="BI78" s="112">
        <v>9345000</v>
      </c>
      <c r="BJ78" s="113"/>
      <c r="BK78" s="113"/>
      <c r="BL78" s="113"/>
      <c r="BM78" s="112"/>
      <c r="BN78" s="113">
        <v>46203</v>
      </c>
      <c r="BO78" s="112">
        <v>1</v>
      </c>
      <c r="BP78" s="114">
        <v>46180</v>
      </c>
      <c r="BQ78" s="112" t="s">
        <v>131</v>
      </c>
      <c r="BR78" s="112">
        <v>184</v>
      </c>
      <c r="BS78" s="113">
        <v>45996</v>
      </c>
      <c r="BT78" s="112">
        <v>30705000</v>
      </c>
      <c r="BU78" s="112">
        <v>0</v>
      </c>
      <c r="BV78" s="112">
        <v>1</v>
      </c>
      <c r="BW78" s="112">
        <v>0</v>
      </c>
      <c r="BX78" s="112">
        <v>0</v>
      </c>
      <c r="BY78" s="112">
        <v>0</v>
      </c>
      <c r="BZ78" s="112">
        <v>0</v>
      </c>
      <c r="CA78" s="112">
        <v>0</v>
      </c>
      <c r="CB78" s="112">
        <v>0</v>
      </c>
      <c r="CC78" s="113"/>
      <c r="CD78" s="112">
        <v>0</v>
      </c>
      <c r="CE78" s="113"/>
      <c r="CF78" s="112">
        <v>0</v>
      </c>
      <c r="CG78" s="113"/>
      <c r="CH78" s="112">
        <v>0</v>
      </c>
      <c r="CI78" s="113"/>
      <c r="CJ78" s="112">
        <v>0</v>
      </c>
      <c r="CK78" s="113"/>
      <c r="CL78" s="112">
        <v>0</v>
      </c>
      <c r="CM78" s="113">
        <v>46180</v>
      </c>
      <c r="CN78" s="112" t="s">
        <v>349</v>
      </c>
      <c r="CO78" s="112">
        <v>23014089.5</v>
      </c>
      <c r="CP78" s="112">
        <v>23014089.5</v>
      </c>
      <c r="CQ78" s="112">
        <v>4</v>
      </c>
      <c r="CR78" s="113"/>
      <c r="CS78" s="112"/>
      <c r="CT78" s="112">
        <v>0</v>
      </c>
      <c r="CU78" s="112" t="s">
        <v>280</v>
      </c>
      <c r="CV78" s="112" t="s">
        <v>350</v>
      </c>
      <c r="CW78" s="115">
        <v>46180</v>
      </c>
      <c r="CX78" s="112" t="s">
        <v>2202</v>
      </c>
      <c r="CY78" s="116">
        <f>MONTH(Table_ExternalData_1[[#This Row],[RunningReportDate]])</f>
        <v>6</v>
      </c>
      <c r="CZ78" s="116">
        <f>181-Table_ExternalData_1[[#This Row],[DaysOD]]</f>
        <v>4</v>
      </c>
      <c r="DA78" s="116">
        <f>IF(Table_ExternalData_1[[#This Row],[Status]]="PU-WC",0,Table_ExternalData_1[[#This Row],[Amount_CWO]]/1000000)</f>
        <v>23.014089500000001</v>
      </c>
      <c r="DB78" s="116">
        <f>IF(Table_ExternalData_1[[#This Row],[Status]]="PU-WC",0,IF(Table_ExternalData_1[[#This Row],[Keterangan_Sukses]]="RB",1,IF(Table_ExternalData_1[[#This Row],[Keterangan_Sukses]]="STAY",1,IF(Table_ExternalData_1[[#This Row],[Keterangan_Sukses]]="BTC",1,IF(ISERROR(FIND("SEBELUM",Table_ExternalData_1[[#This Row],[Keterangan_Sukses]],1)),0,1)))))</f>
        <v>0</v>
      </c>
      <c r="DC78" s="116">
        <f>IF(Table_ExternalData_1[[#This Row],[Status]]="PU-WC",0,IF(Table_ExternalData_1[[#This Row],[Success CWO]]=1,Table_ExternalData_1[[#This Row],[CWO Amt]],0))</f>
        <v>0</v>
      </c>
      <c r="DD78" s="36">
        <f>IF(AND(Table_ExternalData_1[[#This Row],[Status]]="InsuranceClaim",Table_ExternalData_1[[#This Row],[TglTarik]]&gt;0),0,IF(Table_ExternalData_1[[#This Row],[Status]]="PU-WC",0,IF(Table_ExternalData_1[[#This Row],[Tgl WO-in]]&lt;= DAY(Table_ExternalData_1[[#This Row],[Period]]),Table_ExternalData_1[[#This Row],[Amount_WO]]/1000000,0)))</f>
        <v>23.014089500000001</v>
      </c>
      <c r="DE78" s="116">
        <f>DAY(Table_ExternalData_1[[#This Row],[Tanggal_Sukses]])</f>
        <v>0</v>
      </c>
      <c r="DF78" s="116">
        <f>IF(Table_ExternalData_1[[#This Row],[Status]]="PU-WC",0,IF(SUM(Table_ExternalData_1[[#This Row],[Success CWO]:[WO-In-Amt]])=0,1,0))</f>
        <v>0</v>
      </c>
      <c r="DG78" s="36">
        <f>IF(AND(Table_ExternalData_1[[#This Row],[Status]]="InsuranceClaim",Table_ExternalData_1[[#This Row],[TglTarik]]&gt;0),0,IF(Table_ExternalData_1[[#This Row],[Status]]="PU-WC",0,IF(Table_ExternalData_1[[#This Row],[Potensi WO]]=1,Table_ExternalData_1[[#This Row],[CWO Amt]],0)))</f>
        <v>0</v>
      </c>
      <c r="DH78" s="116" t="str">
        <f>VLOOKUP(Table_ExternalData_1[[#This Row],[BranchID]],KC!$A:$K,5,0)</f>
        <v>2W</v>
      </c>
      <c r="DI78" s="116" t="str">
        <f>VLOOKUP(Table_ExternalData_1[[#This Row],[BranchID]],KC!$A:$K,8,0)</f>
        <v>05. Kalimantan</v>
      </c>
      <c r="DJ78" s="116" t="str">
        <f>VLOOKUP(Table_ExternalData_1[[#This Row],[BranchID]],KC!$A:$K,9,0)</f>
        <v>BANJARMASIN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CF5C7"/>
  </sheetPr>
  <dimension ref="A1:R63"/>
  <sheetViews>
    <sheetView showGridLines="0" tabSelected="1" zoomScale="117" zoomScaleNormal="100" workbookViewId="0">
      <selection activeCell="B4" sqref="B4:B5"/>
    </sheetView>
  </sheetViews>
  <sheetFormatPr defaultColWidth="8.6640625" defaultRowHeight="15" x14ac:dyDescent="0.3"/>
  <cols>
    <col min="1" max="1" width="0.44140625" style="7" customWidth="1"/>
    <col min="2" max="2" width="20.6640625" style="8" customWidth="1"/>
    <col min="3" max="17" width="10.77734375" style="7" customWidth="1"/>
    <col min="18" max="18" width="0.44140625" style="7" customWidth="1"/>
    <col min="19" max="34" width="7.109375" style="7" customWidth="1"/>
    <col min="35" max="16384" width="8.6640625" style="7"/>
  </cols>
  <sheetData>
    <row r="1" spans="1:18" s="157" customFormat="1" ht="24" x14ac:dyDescent="0.3">
      <c r="A1" s="158">
        <v>3</v>
      </c>
      <c r="B1" s="159" t="s">
        <v>415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55">
        <v>0</v>
      </c>
    </row>
    <row r="2" spans="1:18" s="157" customFormat="1" ht="24" x14ac:dyDescent="0.3">
      <c r="A2" s="160"/>
      <c r="B2" s="163">
        <f>Table_ExternalData_1[[#This Row],[RunningReportDate]]</f>
        <v>46180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</row>
    <row r="3" spans="1:18" s="6" customFormat="1" ht="2.5499999999999998" customHeight="1" thickBot="1" x14ac:dyDescent="0.35">
      <c r="A3" s="70"/>
      <c r="B3" s="72">
        <v>0</v>
      </c>
      <c r="C3" s="70">
        <v>0</v>
      </c>
      <c r="D3" s="70">
        <v>0</v>
      </c>
      <c r="E3" s="70">
        <v>0</v>
      </c>
      <c r="F3" s="70">
        <v>0</v>
      </c>
      <c r="G3" s="70">
        <v>0</v>
      </c>
      <c r="H3" s="70">
        <v>0</v>
      </c>
      <c r="I3" s="70">
        <v>0</v>
      </c>
      <c r="J3" s="70">
        <v>0</v>
      </c>
      <c r="K3" s="70">
        <v>0</v>
      </c>
      <c r="L3" s="70">
        <v>0</v>
      </c>
      <c r="M3" s="70">
        <v>0</v>
      </c>
      <c r="N3" s="70">
        <v>0</v>
      </c>
      <c r="O3" s="70">
        <v>0</v>
      </c>
      <c r="P3" s="70">
        <v>0</v>
      </c>
      <c r="Q3" s="70">
        <v>0</v>
      </c>
    </row>
    <row r="4" spans="1:18" s="38" customFormat="1" ht="19.95" customHeight="1" x14ac:dyDescent="0.3">
      <c r="A4" s="71"/>
      <c r="B4" s="238" t="s">
        <v>416</v>
      </c>
      <c r="C4" s="164">
        <f>'CWO Bulan Lalu'!BP2</f>
        <v>46149</v>
      </c>
      <c r="D4" s="164"/>
      <c r="E4" s="164"/>
      <c r="F4" s="164"/>
      <c r="G4" s="175"/>
      <c r="H4" s="165">
        <f>'CWO Bulan Ini'!BP2</f>
        <v>46180</v>
      </c>
      <c r="I4" s="165"/>
      <c r="J4" s="165"/>
      <c r="K4" s="165"/>
      <c r="L4" s="177"/>
      <c r="M4" s="166" t="s">
        <v>417</v>
      </c>
      <c r="N4" s="166"/>
      <c r="O4" s="166"/>
      <c r="P4" s="166"/>
      <c r="Q4" s="167"/>
    </row>
    <row r="5" spans="1:18" s="38" customFormat="1" ht="34.950000000000003" customHeight="1" thickBot="1" x14ac:dyDescent="0.35">
      <c r="A5" s="71"/>
      <c r="B5" s="239"/>
      <c r="C5" s="130" t="s">
        <v>418</v>
      </c>
      <c r="D5" s="130" t="s">
        <v>419</v>
      </c>
      <c r="E5" s="130" t="s">
        <v>420</v>
      </c>
      <c r="F5" s="130" t="s">
        <v>421</v>
      </c>
      <c r="G5" s="176" t="s">
        <v>422</v>
      </c>
      <c r="H5" s="135" t="s">
        <v>418</v>
      </c>
      <c r="I5" s="135" t="s">
        <v>419</v>
      </c>
      <c r="J5" s="135" t="s">
        <v>420</v>
      </c>
      <c r="K5" s="135" t="s">
        <v>421</v>
      </c>
      <c r="L5" s="178" t="s">
        <v>422</v>
      </c>
      <c r="M5" s="141" t="s">
        <v>418</v>
      </c>
      <c r="N5" s="141" t="s">
        <v>419</v>
      </c>
      <c r="O5" s="141" t="s">
        <v>420</v>
      </c>
      <c r="P5" s="141" t="s">
        <v>421</v>
      </c>
      <c r="Q5" s="168" t="s">
        <v>422</v>
      </c>
    </row>
    <row r="6" spans="1:18" ht="17.55" customHeight="1" thickTop="1" x14ac:dyDescent="0.3">
      <c r="A6" s="71"/>
      <c r="B6" s="173" t="s">
        <v>132</v>
      </c>
      <c r="C6" s="169">
        <f>'Summary by Tgl'!C6</f>
        <v>6559.3017681900001</v>
      </c>
      <c r="D6" s="169">
        <f>'Summary by Tgl'!D6</f>
        <v>2586.2665374100002</v>
      </c>
      <c r="E6" s="169">
        <f>'Summary by Tgl'!E6</f>
        <v>3395.7319854800003</v>
      </c>
      <c r="F6" s="169">
        <f>'Summary by Tgl'!F6</f>
        <v>577.30324529999996</v>
      </c>
      <c r="G6" s="170">
        <f>'Summary by Tgl'!G6</f>
        <v>5981.9985228900005</v>
      </c>
      <c r="H6" s="169">
        <f>'Summary by Tgl'!H6</f>
        <v>5803.8884737000008</v>
      </c>
      <c r="I6" s="169">
        <f>'Summary by Tgl'!I6</f>
        <v>2640.5683138599998</v>
      </c>
      <c r="J6" s="169">
        <f>'Summary by Tgl'!J6</f>
        <v>2909.5139774900008</v>
      </c>
      <c r="K6" s="169">
        <f>'Summary by Tgl'!K6</f>
        <v>253.80618235</v>
      </c>
      <c r="L6" s="170">
        <f>'Summary by Tgl'!L6</f>
        <v>5550.0822913500006</v>
      </c>
      <c r="M6" s="169">
        <f>H6-C6</f>
        <v>-755.41329448999932</v>
      </c>
      <c r="N6" s="169">
        <f t="shared" ref="N6:N8" si="0">I6-D6</f>
        <v>54.301776449999579</v>
      </c>
      <c r="O6" s="169">
        <f t="shared" ref="O6:O8" si="1">J6-E6</f>
        <v>-486.21800798999948</v>
      </c>
      <c r="P6" s="169">
        <f t="shared" ref="P6:P8" si="2">K6-F6</f>
        <v>-323.49706294999999</v>
      </c>
      <c r="Q6" s="170">
        <f t="shared" ref="Q6:Q8" si="3">L6-G6</f>
        <v>-431.9162315399999</v>
      </c>
    </row>
    <row r="7" spans="1:18" ht="17.55" customHeight="1" x14ac:dyDescent="0.3">
      <c r="A7" s="71"/>
      <c r="B7" s="173" t="s">
        <v>349</v>
      </c>
      <c r="C7" s="169">
        <f>'Summary by Tgl'!C7</f>
        <v>17.339317949999998</v>
      </c>
      <c r="D7" s="169">
        <f>'Summary by Tgl'!D7</f>
        <v>9.2772213099999981</v>
      </c>
      <c r="E7" s="169">
        <f>'Summary by Tgl'!E7</f>
        <v>3.7845321300000001</v>
      </c>
      <c r="F7" s="169">
        <f>'Summary by Tgl'!F7</f>
        <v>4.2775645099999995</v>
      </c>
      <c r="G7" s="170">
        <f>'Summary by Tgl'!G7</f>
        <v>13.061753439999999</v>
      </c>
      <c r="H7" s="169">
        <f>'Summary by Tgl'!H7</f>
        <v>53.616214040000003</v>
      </c>
      <c r="I7" s="169">
        <f>'Summary by Tgl'!I7</f>
        <v>36.93574074</v>
      </c>
      <c r="J7" s="169">
        <f>'Summary by Tgl'!J7</f>
        <v>14.64008344</v>
      </c>
      <c r="K7" s="169">
        <f>'Summary by Tgl'!K7</f>
        <v>2.0403898599999999</v>
      </c>
      <c r="L7" s="170">
        <f>'Summary by Tgl'!L7</f>
        <v>51.575824179999998</v>
      </c>
      <c r="M7" s="169">
        <f t="shared" ref="M7:M8" si="4">H7-C7</f>
        <v>36.276896090000008</v>
      </c>
      <c r="N7" s="169">
        <f t="shared" si="0"/>
        <v>27.658519430000002</v>
      </c>
      <c r="O7" s="169">
        <f t="shared" si="1"/>
        <v>10.855551309999999</v>
      </c>
      <c r="P7" s="169">
        <f t="shared" si="2"/>
        <v>-2.2371746499999996</v>
      </c>
      <c r="Q7" s="170">
        <f t="shared" si="3"/>
        <v>38.514070740000001</v>
      </c>
    </row>
    <row r="8" spans="1:18" s="38" customFormat="1" ht="19.95" customHeight="1" thickBot="1" x14ac:dyDescent="0.35">
      <c r="A8" s="71"/>
      <c r="B8" s="174" t="s">
        <v>423</v>
      </c>
      <c r="C8" s="171">
        <f>SUM(C6:C7)</f>
        <v>6576.64108614</v>
      </c>
      <c r="D8" s="171">
        <f t="shared" ref="D8:L8" si="5">SUM(D6:D7)</f>
        <v>2595.5437587200004</v>
      </c>
      <c r="E8" s="171">
        <f t="shared" si="5"/>
        <v>3399.5165176100004</v>
      </c>
      <c r="F8" s="171">
        <f t="shared" si="5"/>
        <v>581.58080981000001</v>
      </c>
      <c r="G8" s="172">
        <f t="shared" si="5"/>
        <v>5995.0602763300003</v>
      </c>
      <c r="H8" s="171">
        <f t="shared" si="5"/>
        <v>5857.5046877400009</v>
      </c>
      <c r="I8" s="171">
        <f t="shared" si="5"/>
        <v>2677.5040545999996</v>
      </c>
      <c r="J8" s="171">
        <f t="shared" si="5"/>
        <v>2924.1540609300009</v>
      </c>
      <c r="K8" s="171">
        <f t="shared" si="5"/>
        <v>255.84657221000001</v>
      </c>
      <c r="L8" s="172">
        <f t="shared" si="5"/>
        <v>5601.6581155300009</v>
      </c>
      <c r="M8" s="171">
        <f t="shared" si="4"/>
        <v>-719.13639839999905</v>
      </c>
      <c r="N8" s="171">
        <f t="shared" si="0"/>
        <v>81.960295879999194</v>
      </c>
      <c r="O8" s="171">
        <f t="shared" si="1"/>
        <v>-475.36245667999947</v>
      </c>
      <c r="P8" s="171">
        <f t="shared" si="2"/>
        <v>-325.73423760000003</v>
      </c>
      <c r="Q8" s="172">
        <f t="shared" si="3"/>
        <v>-393.40216079999936</v>
      </c>
    </row>
    <row r="9" spans="1:18" ht="2.5499999999999998" customHeight="1" x14ac:dyDescent="0.3">
      <c r="A9" s="71"/>
      <c r="B9" s="73">
        <v>0</v>
      </c>
      <c r="C9" s="73">
        <v>0</v>
      </c>
      <c r="D9" s="70">
        <v>0</v>
      </c>
      <c r="E9" s="70">
        <v>0</v>
      </c>
      <c r="F9" s="70">
        <v>0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73">
        <v>0</v>
      </c>
      <c r="M9" s="73">
        <v>0</v>
      </c>
      <c r="N9" s="73">
        <v>0</v>
      </c>
      <c r="O9" s="73">
        <v>0</v>
      </c>
      <c r="P9" s="73">
        <v>0</v>
      </c>
      <c r="Q9" s="73">
        <v>0</v>
      </c>
    </row>
    <row r="10" spans="1:18" ht="15" customHeight="1" thickBot="1" x14ac:dyDescent="0.35">
      <c r="A10" s="71"/>
      <c r="B10" s="162" t="s">
        <v>424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</row>
    <row r="11" spans="1:18" ht="15" customHeight="1" x14ac:dyDescent="0.3">
      <c r="A11" s="71"/>
      <c r="B11" s="74" t="s">
        <v>425</v>
      </c>
      <c r="C11" s="71" t="s">
        <v>426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</row>
    <row r="12" spans="1:18" ht="15" customHeight="1" x14ac:dyDescent="0.3">
      <c r="A12" s="71"/>
      <c r="B12" s="74" t="s">
        <v>419</v>
      </c>
      <c r="C12" s="71" t="s">
        <v>427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</row>
    <row r="13" spans="1:18" ht="15" customHeight="1" x14ac:dyDescent="0.3">
      <c r="A13" s="71"/>
      <c r="B13" s="74" t="s">
        <v>420</v>
      </c>
      <c r="C13" s="71" t="s">
        <v>428</v>
      </c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8" ht="15" customHeight="1" x14ac:dyDescent="0.3">
      <c r="A14" s="71"/>
      <c r="B14" s="74" t="s">
        <v>429</v>
      </c>
      <c r="C14" s="71" t="s">
        <v>430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</row>
    <row r="15" spans="1:18" ht="15" customHeight="1" x14ac:dyDescent="0.3">
      <c r="A15" s="71"/>
      <c r="B15" s="74" t="s">
        <v>422</v>
      </c>
      <c r="C15" s="71" t="s">
        <v>431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</row>
    <row r="16" spans="1:18" ht="2.4" customHeight="1" x14ac:dyDescent="0.3">
      <c r="B16" s="161">
        <v>0</v>
      </c>
      <c r="C16" s="38"/>
      <c r="D16" s="38"/>
      <c r="E16" s="38"/>
      <c r="F16" s="38"/>
      <c r="G16" s="38"/>
      <c r="H16" s="38"/>
      <c r="I16" s="38"/>
    </row>
    <row r="17" spans="2:11" x14ac:dyDescent="0.3">
      <c r="B17" s="39"/>
      <c r="C17" s="38"/>
      <c r="D17" s="38"/>
      <c r="E17" s="38"/>
      <c r="F17" s="38"/>
      <c r="G17" s="38"/>
      <c r="H17" s="38"/>
      <c r="I17" s="38"/>
    </row>
    <row r="18" spans="2:11" x14ac:dyDescent="0.3">
      <c r="D18" s="99"/>
      <c r="E18" s="99"/>
      <c r="F18" s="99"/>
      <c r="G18" s="99"/>
      <c r="H18" s="99"/>
      <c r="I18" s="99"/>
      <c r="J18" s="99"/>
      <c r="K18" s="99"/>
    </row>
    <row r="19" spans="2:11" x14ac:dyDescent="0.3">
      <c r="D19" s="99"/>
      <c r="E19" s="99"/>
      <c r="F19" s="99"/>
      <c r="G19" s="99"/>
      <c r="H19" s="99"/>
      <c r="I19" s="99"/>
      <c r="J19" s="99"/>
      <c r="K19" s="99"/>
    </row>
    <row r="20" spans="2:11" x14ac:dyDescent="0.3">
      <c r="D20" s="99"/>
      <c r="E20" s="99"/>
      <c r="F20" s="99"/>
      <c r="G20" s="99"/>
      <c r="H20" s="99"/>
      <c r="I20" s="99"/>
      <c r="J20" s="99"/>
      <c r="K20" s="99"/>
    </row>
    <row r="21" spans="2:11" x14ac:dyDescent="0.3">
      <c r="D21" s="99"/>
      <c r="E21" s="99"/>
      <c r="F21" s="99"/>
      <c r="G21" s="99"/>
      <c r="H21" s="99"/>
      <c r="I21" s="99"/>
      <c r="J21" s="99"/>
      <c r="K21" s="99"/>
    </row>
    <row r="22" spans="2:11" x14ac:dyDescent="0.3">
      <c r="D22" s="99"/>
      <c r="E22" s="99"/>
      <c r="F22" s="99"/>
      <c r="G22" s="99"/>
      <c r="H22" s="99"/>
      <c r="I22" s="99"/>
      <c r="J22" s="99"/>
      <c r="K22" s="99"/>
    </row>
    <row r="23" spans="2:11" x14ac:dyDescent="0.3">
      <c r="D23" s="99"/>
      <c r="E23" s="99"/>
      <c r="F23" s="99"/>
      <c r="G23" s="99"/>
      <c r="H23" s="99"/>
      <c r="I23" s="99"/>
      <c r="J23" s="99"/>
      <c r="K23" s="99"/>
    </row>
    <row r="24" spans="2:11" x14ac:dyDescent="0.3">
      <c r="D24" s="99"/>
      <c r="E24" s="99"/>
      <c r="F24" s="99"/>
      <c r="G24" s="99"/>
      <c r="H24" s="99"/>
      <c r="I24" s="99"/>
      <c r="J24" s="99"/>
      <c r="K24" s="99"/>
    </row>
    <row r="25" spans="2:11" x14ac:dyDescent="0.3">
      <c r="D25" s="99"/>
      <c r="E25" s="99"/>
      <c r="F25" s="99"/>
      <c r="G25" s="99"/>
      <c r="H25" s="99"/>
      <c r="I25" s="99"/>
      <c r="J25" s="99"/>
      <c r="K25" s="99"/>
    </row>
    <row r="26" spans="2:11" x14ac:dyDescent="0.3">
      <c r="D26" s="99"/>
      <c r="E26" s="99"/>
      <c r="F26" s="99"/>
      <c r="G26" s="99"/>
      <c r="H26" s="99"/>
      <c r="I26" s="99"/>
      <c r="J26" s="99"/>
      <c r="K26" s="99"/>
    </row>
    <row r="27" spans="2:11" x14ac:dyDescent="0.3">
      <c r="D27" s="99"/>
      <c r="E27" s="99"/>
      <c r="F27" s="99"/>
      <c r="G27" s="99"/>
      <c r="H27" s="99"/>
      <c r="I27" s="99"/>
      <c r="J27" s="99"/>
      <c r="K27" s="99"/>
    </row>
    <row r="28" spans="2:11" x14ac:dyDescent="0.3">
      <c r="D28" s="99"/>
      <c r="E28" s="99"/>
      <c r="F28" s="99"/>
      <c r="G28" s="99"/>
      <c r="H28" s="99"/>
      <c r="I28" s="99"/>
      <c r="J28" s="99"/>
      <c r="K28" s="99"/>
    </row>
    <row r="29" spans="2:11" x14ac:dyDescent="0.3">
      <c r="D29" s="99"/>
      <c r="E29" s="99"/>
      <c r="F29" s="99"/>
      <c r="G29" s="99"/>
      <c r="H29" s="99"/>
      <c r="I29" s="99"/>
      <c r="J29" s="99"/>
      <c r="K29" s="99"/>
    </row>
    <row r="30" spans="2:11" x14ac:dyDescent="0.3">
      <c r="D30" s="99"/>
      <c r="E30" s="99"/>
      <c r="F30" s="99"/>
      <c r="G30" s="99"/>
      <c r="H30" s="99"/>
      <c r="I30" s="99"/>
      <c r="J30" s="99"/>
      <c r="K30" s="99"/>
    </row>
    <row r="31" spans="2:11" x14ac:dyDescent="0.3">
      <c r="D31" s="99"/>
      <c r="E31" s="99"/>
      <c r="F31" s="99"/>
      <c r="G31" s="99"/>
      <c r="H31" s="99"/>
      <c r="I31" s="99"/>
      <c r="J31" s="99"/>
      <c r="K31" s="99"/>
    </row>
    <row r="32" spans="2:11" x14ac:dyDescent="0.3">
      <c r="D32" s="99"/>
      <c r="E32" s="99"/>
      <c r="F32" s="99"/>
      <c r="G32" s="99"/>
      <c r="H32" s="99"/>
      <c r="I32" s="99"/>
      <c r="J32" s="99"/>
      <c r="K32" s="99"/>
    </row>
    <row r="33" spans="4:11" x14ac:dyDescent="0.3">
      <c r="D33" s="99"/>
      <c r="E33" s="99"/>
      <c r="F33" s="99"/>
      <c r="G33" s="99"/>
      <c r="H33" s="99"/>
      <c r="I33" s="99"/>
      <c r="J33" s="99"/>
      <c r="K33" s="99"/>
    </row>
    <row r="34" spans="4:11" x14ac:dyDescent="0.3">
      <c r="D34" s="99"/>
      <c r="E34" s="99"/>
      <c r="F34" s="99"/>
      <c r="G34" s="99"/>
      <c r="H34" s="99"/>
      <c r="I34" s="99"/>
      <c r="J34" s="99"/>
      <c r="K34" s="99"/>
    </row>
    <row r="35" spans="4:11" x14ac:dyDescent="0.3">
      <c r="D35" s="99"/>
      <c r="E35" s="99"/>
      <c r="F35" s="99"/>
      <c r="G35" s="99"/>
      <c r="H35" s="99"/>
      <c r="I35" s="99"/>
      <c r="J35" s="99"/>
      <c r="K35" s="99"/>
    </row>
    <row r="36" spans="4:11" x14ac:dyDescent="0.3">
      <c r="D36" s="99"/>
      <c r="E36" s="99"/>
      <c r="F36" s="99"/>
      <c r="G36" s="99"/>
      <c r="H36" s="99"/>
      <c r="I36" s="99"/>
      <c r="J36" s="99"/>
      <c r="K36" s="99"/>
    </row>
    <row r="37" spans="4:11" x14ac:dyDescent="0.3">
      <c r="D37" s="99"/>
      <c r="E37" s="99"/>
      <c r="F37" s="99"/>
      <c r="G37" s="99"/>
      <c r="H37" s="99"/>
      <c r="I37" s="99"/>
      <c r="J37" s="99"/>
      <c r="K37" s="99"/>
    </row>
    <row r="38" spans="4:11" x14ac:dyDescent="0.3">
      <c r="D38" s="99"/>
      <c r="E38" s="99"/>
      <c r="F38" s="99"/>
      <c r="G38" s="99"/>
      <c r="H38" s="99"/>
      <c r="I38" s="99"/>
      <c r="J38" s="99"/>
      <c r="K38" s="99"/>
    </row>
    <row r="39" spans="4:11" x14ac:dyDescent="0.3">
      <c r="D39" s="99"/>
      <c r="E39" s="99"/>
      <c r="F39" s="99"/>
      <c r="G39" s="99"/>
      <c r="H39" s="99"/>
      <c r="I39" s="99"/>
      <c r="J39" s="99"/>
      <c r="K39" s="99"/>
    </row>
    <row r="40" spans="4:11" x14ac:dyDescent="0.3">
      <c r="D40" s="99"/>
      <c r="E40" s="99"/>
      <c r="F40" s="99"/>
      <c r="G40" s="99"/>
      <c r="H40" s="99"/>
      <c r="I40" s="99"/>
      <c r="J40" s="99"/>
      <c r="K40" s="99"/>
    </row>
    <row r="41" spans="4:11" x14ac:dyDescent="0.3">
      <c r="D41" s="99"/>
      <c r="E41" s="99"/>
      <c r="F41" s="99"/>
      <c r="G41" s="99"/>
      <c r="H41" s="99"/>
      <c r="I41" s="99"/>
      <c r="J41" s="99"/>
      <c r="K41" s="99"/>
    </row>
    <row r="42" spans="4:11" x14ac:dyDescent="0.3">
      <c r="D42" s="99"/>
      <c r="E42" s="99"/>
      <c r="F42" s="99"/>
      <c r="G42" s="99"/>
      <c r="H42" s="99"/>
      <c r="I42" s="99"/>
      <c r="J42" s="99"/>
      <c r="K42" s="99"/>
    </row>
    <row r="43" spans="4:11" x14ac:dyDescent="0.3">
      <c r="D43" s="99"/>
      <c r="E43" s="99"/>
      <c r="F43" s="99"/>
      <c r="G43" s="99"/>
      <c r="H43" s="99"/>
      <c r="I43" s="99"/>
      <c r="J43" s="99"/>
      <c r="K43" s="99"/>
    </row>
    <row r="44" spans="4:11" x14ac:dyDescent="0.3">
      <c r="D44" s="99"/>
      <c r="E44" s="99"/>
      <c r="F44" s="99"/>
      <c r="G44" s="99"/>
      <c r="H44" s="99"/>
      <c r="I44" s="99"/>
      <c r="J44" s="99"/>
      <c r="K44" s="99"/>
    </row>
    <row r="45" spans="4:11" x14ac:dyDescent="0.3">
      <c r="D45" s="99"/>
      <c r="E45" s="99"/>
      <c r="F45" s="99"/>
      <c r="G45" s="99"/>
      <c r="H45" s="99"/>
      <c r="I45" s="99"/>
      <c r="J45" s="99"/>
      <c r="K45" s="99"/>
    </row>
    <row r="46" spans="4:11" x14ac:dyDescent="0.3">
      <c r="D46" s="99"/>
      <c r="E46" s="99"/>
      <c r="F46" s="99"/>
      <c r="G46" s="99"/>
      <c r="H46" s="99"/>
      <c r="I46" s="99"/>
      <c r="J46" s="99"/>
      <c r="K46" s="99"/>
    </row>
    <row r="47" spans="4:11" x14ac:dyDescent="0.3">
      <c r="D47" s="99"/>
      <c r="E47" s="99"/>
      <c r="F47" s="99"/>
      <c r="G47" s="99"/>
      <c r="H47" s="99"/>
      <c r="I47" s="99"/>
      <c r="J47" s="99"/>
      <c r="K47" s="99"/>
    </row>
    <row r="48" spans="4:11" x14ac:dyDescent="0.3">
      <c r="D48" s="99"/>
      <c r="E48" s="99"/>
      <c r="F48" s="99"/>
      <c r="G48" s="99"/>
      <c r="H48" s="99"/>
      <c r="I48" s="99"/>
      <c r="J48" s="99"/>
      <c r="K48" s="99"/>
    </row>
    <row r="49" spans="4:11" x14ac:dyDescent="0.3">
      <c r="D49" s="99"/>
      <c r="E49" s="99"/>
      <c r="F49" s="99"/>
      <c r="G49" s="99"/>
      <c r="H49" s="99"/>
      <c r="I49" s="99"/>
      <c r="J49" s="99"/>
      <c r="K49" s="99"/>
    </row>
    <row r="50" spans="4:11" x14ac:dyDescent="0.3">
      <c r="D50" s="99"/>
      <c r="E50" s="99"/>
      <c r="F50" s="99"/>
      <c r="G50" s="99"/>
      <c r="H50" s="99"/>
      <c r="I50" s="99"/>
      <c r="J50" s="99"/>
      <c r="K50" s="99"/>
    </row>
    <row r="51" spans="4:11" x14ac:dyDescent="0.3">
      <c r="D51" s="99"/>
      <c r="E51" s="99"/>
      <c r="F51" s="99"/>
      <c r="G51" s="99"/>
      <c r="H51" s="99"/>
      <c r="I51" s="99"/>
      <c r="J51" s="99"/>
      <c r="K51" s="99"/>
    </row>
    <row r="52" spans="4:11" x14ac:dyDescent="0.3">
      <c r="D52" s="99"/>
      <c r="E52" s="99"/>
      <c r="F52" s="99"/>
      <c r="G52" s="99"/>
      <c r="H52" s="99"/>
      <c r="I52" s="99"/>
      <c r="J52" s="99"/>
      <c r="K52" s="99"/>
    </row>
    <row r="53" spans="4:11" x14ac:dyDescent="0.3">
      <c r="D53" s="99"/>
      <c r="E53" s="99"/>
      <c r="F53" s="99"/>
      <c r="G53" s="99"/>
      <c r="H53" s="99"/>
      <c r="I53" s="99"/>
      <c r="J53" s="99"/>
      <c r="K53" s="99"/>
    </row>
    <row r="54" spans="4:11" x14ac:dyDescent="0.3">
      <c r="D54" s="99"/>
      <c r="E54" s="99"/>
      <c r="F54" s="99"/>
      <c r="G54" s="99"/>
      <c r="H54" s="99"/>
      <c r="I54" s="99"/>
      <c r="J54" s="99"/>
      <c r="K54" s="99"/>
    </row>
    <row r="55" spans="4:11" x14ac:dyDescent="0.3">
      <c r="D55" s="99"/>
      <c r="E55" s="99"/>
      <c r="F55" s="99"/>
      <c r="G55" s="99"/>
      <c r="H55" s="99"/>
      <c r="I55" s="99"/>
      <c r="J55" s="99"/>
      <c r="K55" s="99"/>
    </row>
    <row r="56" spans="4:11" x14ac:dyDescent="0.3">
      <c r="D56" s="99"/>
      <c r="E56" s="99"/>
      <c r="F56" s="99"/>
      <c r="G56" s="99"/>
      <c r="H56" s="99"/>
      <c r="I56" s="99"/>
      <c r="J56" s="99"/>
      <c r="K56" s="99"/>
    </row>
    <row r="57" spans="4:11" x14ac:dyDescent="0.3">
      <c r="D57" s="99"/>
      <c r="E57" s="99"/>
      <c r="F57" s="99"/>
      <c r="G57" s="99"/>
      <c r="H57" s="99"/>
      <c r="I57" s="99"/>
      <c r="J57" s="99"/>
      <c r="K57" s="99"/>
    </row>
    <row r="58" spans="4:11" x14ac:dyDescent="0.3">
      <c r="D58" s="99"/>
      <c r="E58" s="99"/>
      <c r="F58" s="99"/>
      <c r="G58" s="99"/>
      <c r="H58" s="99"/>
      <c r="I58" s="99"/>
      <c r="J58" s="99"/>
      <c r="K58" s="99"/>
    </row>
    <row r="59" spans="4:11" x14ac:dyDescent="0.3">
      <c r="D59" s="99"/>
      <c r="E59" s="99"/>
      <c r="F59" s="99"/>
      <c r="G59" s="99"/>
      <c r="H59" s="99"/>
      <c r="I59" s="99"/>
      <c r="J59" s="99"/>
      <c r="K59" s="99"/>
    </row>
    <row r="60" spans="4:11" x14ac:dyDescent="0.3">
      <c r="D60" s="99"/>
      <c r="E60" s="99"/>
      <c r="F60" s="99"/>
      <c r="G60" s="99"/>
      <c r="H60" s="99"/>
      <c r="I60" s="99"/>
      <c r="J60" s="99"/>
      <c r="K60" s="99"/>
    </row>
    <row r="61" spans="4:11" x14ac:dyDescent="0.3">
      <c r="D61" s="99"/>
      <c r="E61" s="99"/>
      <c r="F61" s="99"/>
      <c r="G61" s="99"/>
      <c r="H61" s="99"/>
      <c r="I61" s="99"/>
      <c r="J61" s="99"/>
      <c r="K61" s="99"/>
    </row>
    <row r="62" spans="4:11" x14ac:dyDescent="0.3">
      <c r="D62" s="99"/>
      <c r="E62" s="99"/>
      <c r="F62" s="99"/>
      <c r="G62" s="99"/>
      <c r="H62" s="99"/>
      <c r="I62" s="99"/>
      <c r="J62" s="99"/>
      <c r="K62" s="99"/>
    </row>
    <row r="63" spans="4:11" x14ac:dyDescent="0.3">
      <c r="D63" s="99"/>
      <c r="E63" s="99"/>
      <c r="F63" s="99"/>
      <c r="G63" s="99"/>
      <c r="H63" s="99"/>
      <c r="I63" s="99"/>
      <c r="J63" s="99"/>
      <c r="K63" s="99"/>
    </row>
  </sheetData>
  <mergeCells count="4">
    <mergeCell ref="B4:B5"/>
    <mergeCell ref="C4:G4"/>
    <mergeCell ref="H4:L4"/>
    <mergeCell ref="M4:Q4"/>
  </mergeCells>
  <conditionalFormatting sqref="M6:O8 Q6:Q8">
    <cfRule type="cellIs" dxfId="247" priority="2" operator="greaterThan">
      <formula>0</formula>
    </cfRule>
  </conditionalFormatting>
  <conditionalFormatting sqref="P6:P8">
    <cfRule type="cellIs" dxfId="246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8DD"/>
  </sheetPr>
  <dimension ref="A1:AH29"/>
  <sheetViews>
    <sheetView showGridLines="0" zoomScaleNormal="100" workbookViewId="0">
      <selection activeCell="B4" sqref="B4:B5"/>
    </sheetView>
  </sheetViews>
  <sheetFormatPr defaultColWidth="8.6640625" defaultRowHeight="13.2" x14ac:dyDescent="0.3"/>
  <cols>
    <col min="1" max="1" width="0.44140625" style="38" customWidth="1"/>
    <col min="2" max="2" width="25.77734375" style="39" customWidth="1"/>
    <col min="3" max="34" width="10.77734375" style="44" customWidth="1"/>
    <col min="35" max="16384" width="8.6640625" style="38"/>
  </cols>
  <sheetData>
    <row r="1" spans="1:34" s="157" customFormat="1" ht="17.55" customHeight="1" x14ac:dyDescent="0.3">
      <c r="A1" s="158">
        <v>3</v>
      </c>
      <c r="B1" s="183" t="s">
        <v>789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55"/>
    </row>
    <row r="2" spans="1:34" s="157" customFormat="1" ht="17.55" customHeight="1" x14ac:dyDescent="0.3">
      <c r="A2" s="160"/>
      <c r="B2" s="163">
        <f>Dashboard!B2</f>
        <v>46180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</row>
    <row r="3" spans="1:34" s="6" customFormat="1" ht="2.5499999999999998" customHeight="1" x14ac:dyDescent="0.3">
      <c r="A3" s="70"/>
      <c r="B3" s="72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</row>
    <row r="4" spans="1:34" ht="19.95" customHeight="1" x14ac:dyDescent="0.3">
      <c r="B4" s="236" t="s">
        <v>416</v>
      </c>
      <c r="C4" s="126">
        <f>'CWO Bulan Lalu'!BP2</f>
        <v>46149</v>
      </c>
      <c r="D4" s="127"/>
      <c r="E4" s="127"/>
      <c r="F4" s="127"/>
      <c r="G4" s="128"/>
      <c r="H4" s="131">
        <f>'CWO Bulan Ini'!BP2</f>
        <v>46180</v>
      </c>
      <c r="I4" s="132"/>
      <c r="J4" s="132"/>
      <c r="K4" s="132"/>
      <c r="L4" s="133"/>
      <c r="M4" s="137" t="s">
        <v>417</v>
      </c>
      <c r="N4" s="138"/>
      <c r="O4" s="138"/>
      <c r="P4" s="138"/>
      <c r="Q4" s="139"/>
    </row>
    <row r="5" spans="1:34" ht="34.950000000000003" customHeight="1" thickBot="1" x14ac:dyDescent="0.35">
      <c r="B5" s="237"/>
      <c r="C5" s="129" t="s">
        <v>418</v>
      </c>
      <c r="D5" s="130" t="s">
        <v>419</v>
      </c>
      <c r="E5" s="130" t="s">
        <v>420</v>
      </c>
      <c r="F5" s="130" t="s">
        <v>421</v>
      </c>
      <c r="G5" s="130" t="s">
        <v>422</v>
      </c>
      <c r="H5" s="134" t="s">
        <v>418</v>
      </c>
      <c r="I5" s="135" t="s">
        <v>419</v>
      </c>
      <c r="J5" s="135" t="s">
        <v>420</v>
      </c>
      <c r="K5" s="135" t="s">
        <v>421</v>
      </c>
      <c r="L5" s="136" t="s">
        <v>422</v>
      </c>
      <c r="M5" s="140" t="s">
        <v>418</v>
      </c>
      <c r="N5" s="141" t="s">
        <v>419</v>
      </c>
      <c r="O5" s="141" t="s">
        <v>420</v>
      </c>
      <c r="P5" s="141" t="s">
        <v>421</v>
      </c>
      <c r="Q5" s="142" t="s">
        <v>422</v>
      </c>
    </row>
    <row r="6" spans="1:34" s="92" customFormat="1" ht="15" customHeight="1" thickTop="1" x14ac:dyDescent="0.3">
      <c r="B6" s="40" t="s">
        <v>132</v>
      </c>
      <c r="C6" s="41">
        <f>SUMIFS('CWO Bulan Lalu'!$DA:$DA,'CWO Bulan Lalu'!$DH:$DH,'Summary by Tgl'!$B6)</f>
        <v>6559.3017681900001</v>
      </c>
      <c r="D6" s="42">
        <f>SUMIFS('CWO Bulan Lalu'!$DD:$DD,'CWO Bulan Lalu'!$DH:$DH,'Summary by Tgl'!$B6)</f>
        <v>2586.2665374100002</v>
      </c>
      <c r="E6" s="42">
        <f>SUMIFS('CWO Bulan Lalu'!$DG:$DG,'CWO Bulan Lalu'!$DH:$DH,'Summary by Tgl'!$B6)</f>
        <v>3395.7319854800003</v>
      </c>
      <c r="F6" s="42">
        <f>SUMIFS('CWO Bulan Lalu'!$DC:$DC,'CWO Bulan Lalu'!$DH:$DH,'Summary by Tgl'!$B6)</f>
        <v>577.30324529999996</v>
      </c>
      <c r="G6" s="42">
        <f>E6+D6</f>
        <v>5981.9985228900005</v>
      </c>
      <c r="H6" s="41">
        <f>SUMIFS('CWO Bulan Ini'!$DA:$DA,'CWO Bulan Ini'!$DH:$DH,'Summary by Tgl'!$B6)</f>
        <v>5803.8884737000008</v>
      </c>
      <c r="I6" s="42">
        <f>SUMIFS('CWO Bulan Ini'!$DD:$DD,'CWO Bulan Ini'!$DH:$DH,'Summary by Tgl'!$B6)</f>
        <v>2640.5683138599998</v>
      </c>
      <c r="J6" s="42">
        <f>SUMIFS('CWO Bulan Ini'!$DG:$DG,'CWO Bulan Ini'!$DH:$DH,'Summary by Tgl'!$B6)</f>
        <v>2909.5139774900008</v>
      </c>
      <c r="K6" s="42">
        <f>SUMIFS('CWO Bulan Ini'!$DC:$DC,'CWO Bulan Ini'!$DH:$DH,'Summary by Tgl'!$B6)</f>
        <v>253.80618235</v>
      </c>
      <c r="L6" s="42">
        <f>J6+I6</f>
        <v>5550.0822913500006</v>
      </c>
      <c r="M6" s="41">
        <f>H6-C6</f>
        <v>-755.41329448999932</v>
      </c>
      <c r="N6" s="42">
        <f t="shared" ref="N6:N8" si="0">I6-D6</f>
        <v>54.301776449999579</v>
      </c>
      <c r="O6" s="42">
        <f t="shared" ref="O6:O8" si="1">J6-E6</f>
        <v>-486.21800798999948</v>
      </c>
      <c r="P6" s="42">
        <f t="shared" ref="P6:P8" si="2">K6-F6</f>
        <v>-323.49706294999999</v>
      </c>
      <c r="Q6" s="43">
        <f t="shared" ref="Q6:Q8" si="3">L6-G6</f>
        <v>-431.9162315399999</v>
      </c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7" spans="1:34" s="92" customFormat="1" ht="15" customHeight="1" x14ac:dyDescent="0.3">
      <c r="B7" s="40" t="s">
        <v>349</v>
      </c>
      <c r="C7" s="41">
        <f>SUMIFS('CWO Bulan Lalu'!$DA:$DA,'CWO Bulan Lalu'!$DH:$DH,'Summary by Tgl'!$B7)</f>
        <v>17.339317949999998</v>
      </c>
      <c r="D7" s="42">
        <f>SUMIFS('CWO Bulan Lalu'!$DD:$DD,'CWO Bulan Lalu'!$DH:$DH,'Summary by Tgl'!$B7)</f>
        <v>9.2772213099999981</v>
      </c>
      <c r="E7" s="42">
        <f>SUMIFS('CWO Bulan Lalu'!$DG:$DG,'CWO Bulan Lalu'!$DH:$DH,'Summary by Tgl'!$B7)</f>
        <v>3.7845321300000001</v>
      </c>
      <c r="F7" s="42">
        <f>SUMIFS('CWO Bulan Lalu'!$DC:$DC,'CWO Bulan Lalu'!$DH:$DH,'Summary by Tgl'!$B7)</f>
        <v>4.2775645099999995</v>
      </c>
      <c r="G7" s="42">
        <f>E7+D7</f>
        <v>13.061753439999999</v>
      </c>
      <c r="H7" s="41">
        <f>SUMIFS('CWO Bulan Ini'!$DA:$DA,'CWO Bulan Ini'!$DH:$DH,'Summary by Tgl'!$B7)</f>
        <v>53.616214040000003</v>
      </c>
      <c r="I7" s="42">
        <f>SUMIFS('CWO Bulan Ini'!$DD:$DD,'CWO Bulan Ini'!$DH:$DH,'Summary by Tgl'!$B7)</f>
        <v>36.93574074</v>
      </c>
      <c r="J7" s="42">
        <f>SUMIFS('CWO Bulan Ini'!$DG:$DG,'CWO Bulan Ini'!$DH:$DH,'Summary by Tgl'!$B7)</f>
        <v>14.64008344</v>
      </c>
      <c r="K7" s="42">
        <f>SUMIFS('CWO Bulan Ini'!$DC:$DC,'CWO Bulan Ini'!$DH:$DH,'Summary by Tgl'!$B7)</f>
        <v>2.0403898599999999</v>
      </c>
      <c r="L7" s="42">
        <f t="shared" ref="L7" si="4">J7+I7</f>
        <v>51.575824179999998</v>
      </c>
      <c r="M7" s="41">
        <f t="shared" ref="M7:M8" si="5">H7-C7</f>
        <v>36.276896090000008</v>
      </c>
      <c r="N7" s="42">
        <f t="shared" si="0"/>
        <v>27.658519430000002</v>
      </c>
      <c r="O7" s="42">
        <f t="shared" si="1"/>
        <v>10.855551309999999</v>
      </c>
      <c r="P7" s="42">
        <f t="shared" si="2"/>
        <v>-2.2371746499999996</v>
      </c>
      <c r="Q7" s="43">
        <f t="shared" si="3"/>
        <v>38.514070740000001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</row>
    <row r="8" spans="1:34" ht="15" customHeight="1" x14ac:dyDescent="0.3">
      <c r="B8" s="150" t="s">
        <v>423</v>
      </c>
      <c r="C8" s="151">
        <f>SUM(C6:C7)</f>
        <v>6576.64108614</v>
      </c>
      <c r="D8" s="152">
        <f t="shared" ref="D8:L8" si="6">SUM(D6:D7)</f>
        <v>2595.5437587200004</v>
      </c>
      <c r="E8" s="152">
        <f t="shared" si="6"/>
        <v>3399.5165176100004</v>
      </c>
      <c r="F8" s="152">
        <f t="shared" si="6"/>
        <v>581.58080981000001</v>
      </c>
      <c r="G8" s="152">
        <f t="shared" si="6"/>
        <v>5995.0602763300003</v>
      </c>
      <c r="H8" s="151">
        <f t="shared" si="6"/>
        <v>5857.5046877400009</v>
      </c>
      <c r="I8" s="152">
        <f t="shared" si="6"/>
        <v>2677.5040545999996</v>
      </c>
      <c r="J8" s="152">
        <f t="shared" si="6"/>
        <v>2924.1540609300009</v>
      </c>
      <c r="K8" s="152">
        <f t="shared" si="6"/>
        <v>255.84657221000001</v>
      </c>
      <c r="L8" s="152">
        <f t="shared" si="6"/>
        <v>5601.6581155300009</v>
      </c>
      <c r="M8" s="151">
        <f t="shared" si="5"/>
        <v>-719.13639839999905</v>
      </c>
      <c r="N8" s="152">
        <f t="shared" si="0"/>
        <v>81.960295879999194</v>
      </c>
      <c r="O8" s="152">
        <f t="shared" si="1"/>
        <v>-475.36245667999947</v>
      </c>
      <c r="P8" s="152">
        <f t="shared" si="2"/>
        <v>-325.73423760000003</v>
      </c>
      <c r="Q8" s="240">
        <f t="shared" si="3"/>
        <v>-393.40216079999936</v>
      </c>
    </row>
    <row r="9" spans="1:34" ht="4.95" customHeight="1" x14ac:dyDescent="0.3"/>
    <row r="10" spans="1:34" s="179" customFormat="1" ht="17.55" customHeight="1" x14ac:dyDescent="0.3">
      <c r="B10" s="180" t="s">
        <v>790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</row>
    <row r="11" spans="1:34" s="179" customFormat="1" ht="17.55" customHeight="1" x14ac:dyDescent="0.3">
      <c r="B11" s="182">
        <f>B2</f>
        <v>46180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</row>
    <row r="12" spans="1:34" s="44" customFormat="1" ht="17.55" customHeight="1" x14ac:dyDescent="0.3">
      <c r="B12" s="233" t="s">
        <v>416</v>
      </c>
      <c r="C12" s="145" t="s">
        <v>433</v>
      </c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7"/>
    </row>
    <row r="13" spans="1:34" s="44" customFormat="1" ht="17.55" customHeight="1" thickBot="1" x14ac:dyDescent="0.35">
      <c r="B13" s="234"/>
      <c r="C13" s="148">
        <v>1</v>
      </c>
      <c r="D13" s="149">
        <v>2</v>
      </c>
      <c r="E13" s="149">
        <v>3</v>
      </c>
      <c r="F13" s="149">
        <v>4</v>
      </c>
      <c r="G13" s="149">
        <v>5</v>
      </c>
      <c r="H13" s="149">
        <v>6</v>
      </c>
      <c r="I13" s="149">
        <v>7</v>
      </c>
      <c r="J13" s="149">
        <v>8</v>
      </c>
      <c r="K13" s="149">
        <v>9</v>
      </c>
      <c r="L13" s="149">
        <v>10</v>
      </c>
      <c r="M13" s="149">
        <v>11</v>
      </c>
      <c r="N13" s="149">
        <v>12</v>
      </c>
      <c r="O13" s="149">
        <v>13</v>
      </c>
      <c r="P13" s="149">
        <v>14</v>
      </c>
      <c r="Q13" s="149">
        <v>15</v>
      </c>
      <c r="R13" s="149">
        <v>16</v>
      </c>
      <c r="S13" s="149">
        <v>17</v>
      </c>
      <c r="T13" s="149">
        <v>18</v>
      </c>
      <c r="U13" s="149">
        <v>19</v>
      </c>
      <c r="V13" s="149">
        <v>20</v>
      </c>
      <c r="W13" s="149">
        <v>21</v>
      </c>
      <c r="X13" s="149">
        <v>22</v>
      </c>
      <c r="Y13" s="149">
        <v>23</v>
      </c>
      <c r="Z13" s="149">
        <v>24</v>
      </c>
      <c r="AA13" s="149">
        <v>25</v>
      </c>
      <c r="AB13" s="149">
        <v>26</v>
      </c>
      <c r="AC13" s="149">
        <v>27</v>
      </c>
      <c r="AD13" s="149">
        <v>28</v>
      </c>
      <c r="AE13" s="149">
        <v>29</v>
      </c>
      <c r="AF13" s="149">
        <v>30</v>
      </c>
      <c r="AG13" s="149">
        <v>31</v>
      </c>
      <c r="AH13" s="154" t="s">
        <v>791</v>
      </c>
    </row>
    <row r="14" spans="1:34" s="44" customFormat="1" ht="15" customHeight="1" thickTop="1" x14ac:dyDescent="0.3">
      <c r="B14" s="40" t="s">
        <v>132</v>
      </c>
      <c r="C14" s="41">
        <f>SUMIFS('CWO Bulan Ini'!$DA:$DA,'CWO Bulan Ini'!$DH:$DH,'Summary by Tgl'!$B14,'CWO Bulan Ini'!$CZ:$CZ,'Summary by Tgl'!C$13)</f>
        <v>0</v>
      </c>
      <c r="D14" s="42">
        <f>SUMIFS('CWO Bulan Ini'!$DA:$DA,'CWO Bulan Ini'!$DH:$DH,'Summary by Tgl'!$B14,'CWO Bulan Ini'!$CZ:$CZ,'Summary by Tgl'!D$13)</f>
        <v>72.322370919999997</v>
      </c>
      <c r="E14" s="42">
        <f>SUMIFS('CWO Bulan Ini'!$DA:$DA,'CWO Bulan Ini'!$DH:$DH,'Summary by Tgl'!$B14,'CWO Bulan Ini'!$CZ:$CZ,'Summary by Tgl'!E$13)</f>
        <v>7.4018064000000008</v>
      </c>
      <c r="F14" s="42">
        <f>SUMIFS('CWO Bulan Ini'!$DA:$DA,'CWO Bulan Ini'!$DH:$DH,'Summary by Tgl'!$B14,'CWO Bulan Ini'!$CZ:$CZ,'Summary by Tgl'!F$13)</f>
        <v>2006.9776687199999</v>
      </c>
      <c r="G14" s="42">
        <f>SUMIFS('CWO Bulan Ini'!$DA:$DA,'CWO Bulan Ini'!$DH:$DH,'Summary by Tgl'!$B14,'CWO Bulan Ini'!$CZ:$CZ,'Summary by Tgl'!G$13)</f>
        <v>412.16534659000001</v>
      </c>
      <c r="H14" s="42">
        <f>SUMIFS('CWO Bulan Ini'!$DA:$DA,'CWO Bulan Ini'!$DH:$DH,'Summary by Tgl'!$B14,'CWO Bulan Ini'!$CZ:$CZ,'Summary by Tgl'!H$13)</f>
        <v>240.01606830999998</v>
      </c>
      <c r="I14" s="42">
        <f>SUMIFS('CWO Bulan Ini'!$DA:$DA,'CWO Bulan Ini'!$DH:$DH,'Summary by Tgl'!$B14,'CWO Bulan Ini'!$CZ:$CZ,'Summary by Tgl'!I$13)</f>
        <v>146.98150742999999</v>
      </c>
      <c r="J14" s="42">
        <f>SUMIFS('CWO Bulan Ini'!$DA:$DA,'CWO Bulan Ini'!$DH:$DH,'Summary by Tgl'!$B14,'CWO Bulan Ini'!$CZ:$CZ,'Summary by Tgl'!J$13)</f>
        <v>3.4766043900000003</v>
      </c>
      <c r="K14" s="42">
        <f>SUMIFS('CWO Bulan Ini'!$DA:$DA,'CWO Bulan Ini'!$DH:$DH,'Summary by Tgl'!$B14,'CWO Bulan Ini'!$CZ:$CZ,'Summary by Tgl'!K$13)</f>
        <v>56.361792239999993</v>
      </c>
      <c r="L14" s="42">
        <f>SUMIFS('CWO Bulan Ini'!$DA:$DA,'CWO Bulan Ini'!$DH:$DH,'Summary by Tgl'!$B14,'CWO Bulan Ini'!$CZ:$CZ,'Summary by Tgl'!L$13)</f>
        <v>361.78512597999998</v>
      </c>
      <c r="M14" s="42">
        <f>SUMIFS('CWO Bulan Ini'!$DA:$DA,'CWO Bulan Ini'!$DH:$DH,'Summary by Tgl'!$B14,'CWO Bulan Ini'!$CZ:$CZ,'Summary by Tgl'!M$13)</f>
        <v>338.73577637999995</v>
      </c>
      <c r="N14" s="42">
        <f>SUMIFS('CWO Bulan Ini'!$DA:$DA,'CWO Bulan Ini'!$DH:$DH,'Summary by Tgl'!$B14,'CWO Bulan Ini'!$CZ:$CZ,'Summary by Tgl'!N$13)</f>
        <v>82.916521130000007</v>
      </c>
      <c r="O14" s="42">
        <f>SUMIFS('CWO Bulan Ini'!$DA:$DA,'CWO Bulan Ini'!$DH:$DH,'Summary by Tgl'!$B14,'CWO Bulan Ini'!$CZ:$CZ,'Summary by Tgl'!O$13)</f>
        <v>420.48391662</v>
      </c>
      <c r="P14" s="42">
        <f>SUMIFS('CWO Bulan Ini'!$DA:$DA,'CWO Bulan Ini'!$DH:$DH,'Summary by Tgl'!$B14,'CWO Bulan Ini'!$CZ:$CZ,'Summary by Tgl'!P$13)</f>
        <v>249.37757734000002</v>
      </c>
      <c r="Q14" s="42">
        <f>SUMIFS('CWO Bulan Ini'!$DA:$DA,'CWO Bulan Ini'!$DH:$DH,'Summary by Tgl'!$B14,'CWO Bulan Ini'!$CZ:$CZ,'Summary by Tgl'!Q$13)</f>
        <v>274.72876844999996</v>
      </c>
      <c r="R14" s="42">
        <f>SUMIFS('CWO Bulan Ini'!$DA:$DA,'CWO Bulan Ini'!$DH:$DH,'Summary by Tgl'!$B14,'CWO Bulan Ini'!$CZ:$CZ,'Summary by Tgl'!R$13)</f>
        <v>0</v>
      </c>
      <c r="S14" s="42">
        <f>SUMIFS('CWO Bulan Ini'!$DA:$DA,'CWO Bulan Ini'!$DH:$DH,'Summary by Tgl'!$B14,'CWO Bulan Ini'!$CZ:$CZ,'Summary by Tgl'!S$13)</f>
        <v>60.633634700000002</v>
      </c>
      <c r="T14" s="42">
        <f>SUMIFS('CWO Bulan Ini'!$DA:$DA,'CWO Bulan Ini'!$DH:$DH,'Summary by Tgl'!$B14,'CWO Bulan Ini'!$CZ:$CZ,'Summary by Tgl'!T$13)</f>
        <v>306.97349281999999</v>
      </c>
      <c r="U14" s="42">
        <f>SUMIFS('CWO Bulan Ini'!$DA:$DA,'CWO Bulan Ini'!$DH:$DH,'Summary by Tgl'!$B14,'CWO Bulan Ini'!$CZ:$CZ,'Summary by Tgl'!U$13)</f>
        <v>113.52305103</v>
      </c>
      <c r="V14" s="42">
        <f>SUMIFS('CWO Bulan Ini'!$DA:$DA,'CWO Bulan Ini'!$DH:$DH,'Summary by Tgl'!$B14,'CWO Bulan Ini'!$CZ:$CZ,'Summary by Tgl'!V$13)</f>
        <v>93.263666999999998</v>
      </c>
      <c r="W14" s="42">
        <f>SUMIFS('CWO Bulan Ini'!$DA:$DA,'CWO Bulan Ini'!$DH:$DH,'Summary by Tgl'!$B14,'CWO Bulan Ini'!$CZ:$CZ,'Summary by Tgl'!W$13)</f>
        <v>202.13608207999999</v>
      </c>
      <c r="X14" s="42">
        <f>SUMIFS('CWO Bulan Ini'!$DA:$DA,'CWO Bulan Ini'!$DH:$DH,'Summary by Tgl'!$B14,'CWO Bulan Ini'!$CZ:$CZ,'Summary by Tgl'!X$13)</f>
        <v>0</v>
      </c>
      <c r="Y14" s="42">
        <f>SUMIFS('CWO Bulan Ini'!$DA:$DA,'CWO Bulan Ini'!$DH:$DH,'Summary by Tgl'!$B14,'CWO Bulan Ini'!$CZ:$CZ,'Summary by Tgl'!Y$13)</f>
        <v>109.76010813000001</v>
      </c>
      <c r="Z14" s="42">
        <f>SUMIFS('CWO Bulan Ini'!$DA:$DA,'CWO Bulan Ini'!$DH:$DH,'Summary by Tgl'!$B14,'CWO Bulan Ini'!$CZ:$CZ,'Summary by Tgl'!Z$13)</f>
        <v>117.34439656999999</v>
      </c>
      <c r="AA14" s="42">
        <f>SUMIFS('CWO Bulan Ini'!$DA:$DA,'CWO Bulan Ini'!$DH:$DH,'Summary by Tgl'!$B14,'CWO Bulan Ini'!$CZ:$CZ,'Summary by Tgl'!AA$13)</f>
        <v>0</v>
      </c>
      <c r="AB14" s="42">
        <f>SUMIFS('CWO Bulan Ini'!$DA:$DA,'CWO Bulan Ini'!$DH:$DH,'Summary by Tgl'!$B14,'CWO Bulan Ini'!$CZ:$CZ,'Summary by Tgl'!AB$13)</f>
        <v>126.52319047</v>
      </c>
      <c r="AC14" s="42">
        <f>SUMIFS('CWO Bulan Ini'!$DA:$DA,'CWO Bulan Ini'!$DH:$DH,'Summary by Tgl'!$B14,'CWO Bulan Ini'!$CZ:$CZ,'Summary by Tgl'!AC$13)</f>
        <v>0</v>
      </c>
      <c r="AD14" s="42">
        <f>SUMIFS('CWO Bulan Ini'!$DA:$DA,'CWO Bulan Ini'!$DH:$DH,'Summary by Tgl'!$B14,'CWO Bulan Ini'!$CZ:$CZ,'Summary by Tgl'!AD$13)</f>
        <v>0</v>
      </c>
      <c r="AE14" s="42">
        <f>SUMIFS('CWO Bulan Ini'!$DA:$DA,'CWO Bulan Ini'!$DH:$DH,'Summary by Tgl'!$B14,'CWO Bulan Ini'!$CZ:$CZ,'Summary by Tgl'!AE$13)</f>
        <v>0</v>
      </c>
      <c r="AF14" s="42">
        <f>SUMIFS('CWO Bulan Ini'!$DA:$DA,'CWO Bulan Ini'!$DH:$DH,'Summary by Tgl'!$B14,'CWO Bulan Ini'!$CZ:$CZ,'Summary by Tgl'!AF$13)</f>
        <v>0</v>
      </c>
      <c r="AG14" s="42">
        <f>SUMIFS('CWO Bulan Ini'!$DA:$DA,'CWO Bulan Ini'!$DH:$DH,'Summary by Tgl'!$B14,'CWO Bulan Ini'!$CZ:$CZ,'Summary by Tgl'!AG$13)</f>
        <v>0</v>
      </c>
      <c r="AH14" s="86">
        <f>SUM(C14:AG14)</f>
        <v>5803.8884736999989</v>
      </c>
    </row>
    <row r="15" spans="1:34" s="44" customFormat="1" ht="15" customHeight="1" x14ac:dyDescent="0.3">
      <c r="B15" s="40" t="s">
        <v>349</v>
      </c>
      <c r="C15" s="41">
        <f>SUMIFS('CWO Bulan Ini'!$DA:$DA,'CWO Bulan Ini'!$DH:$DH,'Summary by Tgl'!$B15,'CWO Bulan Ini'!$CZ:$CZ,'Summary by Tgl'!C$13)</f>
        <v>0</v>
      </c>
      <c r="D15" s="42">
        <f>SUMIFS('CWO Bulan Ini'!$DA:$DA,'CWO Bulan Ini'!$DH:$DH,'Summary by Tgl'!$B15,'CWO Bulan Ini'!$CZ:$CZ,'Summary by Tgl'!D$13)</f>
        <v>0</v>
      </c>
      <c r="E15" s="42">
        <f>SUMIFS('CWO Bulan Ini'!$DA:$DA,'CWO Bulan Ini'!$DH:$DH,'Summary by Tgl'!$B15,'CWO Bulan Ini'!$CZ:$CZ,'Summary by Tgl'!E$13)</f>
        <v>0</v>
      </c>
      <c r="F15" s="42">
        <f>SUMIFS('CWO Bulan Ini'!$DA:$DA,'CWO Bulan Ini'!$DH:$DH,'Summary by Tgl'!$B15,'CWO Bulan Ini'!$CZ:$CZ,'Summary by Tgl'!F$13)</f>
        <v>36.93574074</v>
      </c>
      <c r="G15" s="42">
        <f>SUMIFS('CWO Bulan Ini'!$DA:$DA,'CWO Bulan Ini'!$DH:$DH,'Summary by Tgl'!$B15,'CWO Bulan Ini'!$CZ:$CZ,'Summary by Tgl'!G$13)</f>
        <v>0</v>
      </c>
      <c r="H15" s="42">
        <f>SUMIFS('CWO Bulan Ini'!$DA:$DA,'CWO Bulan Ini'!$DH:$DH,'Summary by Tgl'!$B15,'CWO Bulan Ini'!$CZ:$CZ,'Summary by Tgl'!H$13)</f>
        <v>0</v>
      </c>
      <c r="I15" s="42">
        <f>SUMIFS('CWO Bulan Ini'!$DA:$DA,'CWO Bulan Ini'!$DH:$DH,'Summary by Tgl'!$B15,'CWO Bulan Ini'!$CZ:$CZ,'Summary by Tgl'!I$13)</f>
        <v>0</v>
      </c>
      <c r="J15" s="42">
        <f>SUMIFS('CWO Bulan Ini'!$DA:$DA,'CWO Bulan Ini'!$DH:$DH,'Summary by Tgl'!$B15,'CWO Bulan Ini'!$CZ:$CZ,'Summary by Tgl'!J$13)</f>
        <v>0</v>
      </c>
      <c r="K15" s="42">
        <f>SUMIFS('CWO Bulan Ini'!$DA:$DA,'CWO Bulan Ini'!$DH:$DH,'Summary by Tgl'!$B15,'CWO Bulan Ini'!$CZ:$CZ,'Summary by Tgl'!K$13)</f>
        <v>0</v>
      </c>
      <c r="L15" s="42">
        <f>SUMIFS('CWO Bulan Ini'!$DA:$DA,'CWO Bulan Ini'!$DH:$DH,'Summary by Tgl'!$B15,'CWO Bulan Ini'!$CZ:$CZ,'Summary by Tgl'!L$13)</f>
        <v>1.1973179599999999</v>
      </c>
      <c r="M15" s="42">
        <f>SUMIFS('CWO Bulan Ini'!$DA:$DA,'CWO Bulan Ini'!$DH:$DH,'Summary by Tgl'!$B15,'CWO Bulan Ini'!$CZ:$CZ,'Summary by Tgl'!M$13)</f>
        <v>0</v>
      </c>
      <c r="N15" s="42">
        <f>SUMIFS('CWO Bulan Ini'!$DA:$DA,'CWO Bulan Ini'!$DH:$DH,'Summary by Tgl'!$B15,'CWO Bulan Ini'!$CZ:$CZ,'Summary by Tgl'!N$13)</f>
        <v>2.2893304100000003</v>
      </c>
      <c r="O15" s="42">
        <f>SUMIFS('CWO Bulan Ini'!$DA:$DA,'CWO Bulan Ini'!$DH:$DH,'Summary by Tgl'!$B15,'CWO Bulan Ini'!$CZ:$CZ,'Summary by Tgl'!O$13)</f>
        <v>0</v>
      </c>
      <c r="P15" s="42">
        <f>SUMIFS('CWO Bulan Ini'!$DA:$DA,'CWO Bulan Ini'!$DH:$DH,'Summary by Tgl'!$B15,'CWO Bulan Ini'!$CZ:$CZ,'Summary by Tgl'!P$13)</f>
        <v>0</v>
      </c>
      <c r="Q15" s="42">
        <f>SUMIFS('CWO Bulan Ini'!$DA:$DA,'CWO Bulan Ini'!$DH:$DH,'Summary by Tgl'!$B15,'CWO Bulan Ini'!$CZ:$CZ,'Summary by Tgl'!Q$13)</f>
        <v>0</v>
      </c>
      <c r="R15" s="42">
        <f>SUMIFS('CWO Bulan Ini'!$DA:$DA,'CWO Bulan Ini'!$DH:$DH,'Summary by Tgl'!$B15,'CWO Bulan Ini'!$CZ:$CZ,'Summary by Tgl'!R$13)</f>
        <v>3.7302722799999999</v>
      </c>
      <c r="S15" s="42">
        <f>SUMIFS('CWO Bulan Ini'!$DA:$DA,'CWO Bulan Ini'!$DH:$DH,'Summary by Tgl'!$B15,'CWO Bulan Ini'!$CZ:$CZ,'Summary by Tgl'!S$13)</f>
        <v>0</v>
      </c>
      <c r="T15" s="42">
        <f>SUMIFS('CWO Bulan Ini'!$DA:$DA,'CWO Bulan Ini'!$DH:$DH,'Summary by Tgl'!$B15,'CWO Bulan Ini'!$CZ:$CZ,'Summary by Tgl'!T$13)</f>
        <v>0</v>
      </c>
      <c r="U15" s="42">
        <f>SUMIFS('CWO Bulan Ini'!$DA:$DA,'CWO Bulan Ini'!$DH:$DH,'Summary by Tgl'!$B15,'CWO Bulan Ini'!$CZ:$CZ,'Summary by Tgl'!U$13)</f>
        <v>0</v>
      </c>
      <c r="V15" s="42">
        <f>SUMIFS('CWO Bulan Ini'!$DA:$DA,'CWO Bulan Ini'!$DH:$DH,'Summary by Tgl'!$B15,'CWO Bulan Ini'!$CZ:$CZ,'Summary by Tgl'!V$13)</f>
        <v>0</v>
      </c>
      <c r="W15" s="42">
        <f>SUMIFS('CWO Bulan Ini'!$DA:$DA,'CWO Bulan Ini'!$DH:$DH,'Summary by Tgl'!$B15,'CWO Bulan Ini'!$CZ:$CZ,'Summary by Tgl'!W$13)</f>
        <v>2.87146342</v>
      </c>
      <c r="X15" s="42">
        <f>SUMIFS('CWO Bulan Ini'!$DA:$DA,'CWO Bulan Ini'!$DH:$DH,'Summary by Tgl'!$B15,'CWO Bulan Ini'!$CZ:$CZ,'Summary by Tgl'!X$13)</f>
        <v>4.5516993699999997</v>
      </c>
      <c r="Y15" s="42">
        <f>SUMIFS('CWO Bulan Ini'!$DA:$DA,'CWO Bulan Ini'!$DH:$DH,'Summary by Tgl'!$B15,'CWO Bulan Ini'!$CZ:$CZ,'Summary by Tgl'!Y$13)</f>
        <v>2.0403898599999999</v>
      </c>
      <c r="Z15" s="42">
        <f>SUMIFS('CWO Bulan Ini'!$DA:$DA,'CWO Bulan Ini'!$DH:$DH,'Summary by Tgl'!$B15,'CWO Bulan Ini'!$CZ:$CZ,'Summary by Tgl'!Z$13)</f>
        <v>0</v>
      </c>
      <c r="AA15" s="42">
        <f>SUMIFS('CWO Bulan Ini'!$DA:$DA,'CWO Bulan Ini'!$DH:$DH,'Summary by Tgl'!$B15,'CWO Bulan Ini'!$CZ:$CZ,'Summary by Tgl'!AA$13)</f>
        <v>0</v>
      </c>
      <c r="AB15" s="42">
        <f>SUMIFS('CWO Bulan Ini'!$DA:$DA,'CWO Bulan Ini'!$DH:$DH,'Summary by Tgl'!$B15,'CWO Bulan Ini'!$CZ:$CZ,'Summary by Tgl'!AB$13)</f>
        <v>0</v>
      </c>
      <c r="AC15" s="42">
        <f>SUMIFS('CWO Bulan Ini'!$DA:$DA,'CWO Bulan Ini'!$DH:$DH,'Summary by Tgl'!$B15,'CWO Bulan Ini'!$CZ:$CZ,'Summary by Tgl'!AC$13)</f>
        <v>0</v>
      </c>
      <c r="AD15" s="42">
        <f>SUMIFS('CWO Bulan Ini'!$DA:$DA,'CWO Bulan Ini'!$DH:$DH,'Summary by Tgl'!$B15,'CWO Bulan Ini'!$CZ:$CZ,'Summary by Tgl'!AD$13)</f>
        <v>0</v>
      </c>
      <c r="AE15" s="42">
        <f>SUMIFS('CWO Bulan Ini'!$DA:$DA,'CWO Bulan Ini'!$DH:$DH,'Summary by Tgl'!$B15,'CWO Bulan Ini'!$CZ:$CZ,'Summary by Tgl'!AE$13)</f>
        <v>0</v>
      </c>
      <c r="AF15" s="42">
        <f>SUMIFS('CWO Bulan Ini'!$DA:$DA,'CWO Bulan Ini'!$DH:$DH,'Summary by Tgl'!$B15,'CWO Bulan Ini'!$CZ:$CZ,'Summary by Tgl'!AF$13)</f>
        <v>0</v>
      </c>
      <c r="AG15" s="42">
        <f>SUMIFS('CWO Bulan Ini'!$DA:$DA,'CWO Bulan Ini'!$DH:$DH,'Summary by Tgl'!$B15,'CWO Bulan Ini'!$CZ:$CZ,'Summary by Tgl'!AG$13)</f>
        <v>0</v>
      </c>
      <c r="AH15" s="86">
        <f t="shared" ref="AH15:AH16" si="7">SUM(C15:AG15)</f>
        <v>53.616214039999996</v>
      </c>
    </row>
    <row r="16" spans="1:34" s="44" customFormat="1" ht="17.55" customHeight="1" x14ac:dyDescent="0.3">
      <c r="B16" s="150" t="s">
        <v>423</v>
      </c>
      <c r="C16" s="151">
        <f>SUM(C14:C15)</f>
        <v>0</v>
      </c>
      <c r="D16" s="152">
        <f t="shared" ref="D16:AG16" si="8">SUM(D14:D15)</f>
        <v>72.322370919999997</v>
      </c>
      <c r="E16" s="152">
        <f t="shared" si="8"/>
        <v>7.4018064000000008</v>
      </c>
      <c r="F16" s="152">
        <f t="shared" si="8"/>
        <v>2043.9134094599999</v>
      </c>
      <c r="G16" s="152">
        <f t="shared" si="8"/>
        <v>412.16534659000001</v>
      </c>
      <c r="H16" s="152">
        <f t="shared" si="8"/>
        <v>240.01606830999998</v>
      </c>
      <c r="I16" s="152">
        <f t="shared" si="8"/>
        <v>146.98150742999999</v>
      </c>
      <c r="J16" s="152">
        <f t="shared" si="8"/>
        <v>3.4766043900000003</v>
      </c>
      <c r="K16" s="152">
        <f t="shared" si="8"/>
        <v>56.361792239999993</v>
      </c>
      <c r="L16" s="152">
        <f t="shared" si="8"/>
        <v>362.98244394</v>
      </c>
      <c r="M16" s="152">
        <f t="shared" si="8"/>
        <v>338.73577637999995</v>
      </c>
      <c r="N16" s="152">
        <f t="shared" si="8"/>
        <v>85.205851540000012</v>
      </c>
      <c r="O16" s="152">
        <f t="shared" si="8"/>
        <v>420.48391662</v>
      </c>
      <c r="P16" s="152">
        <f t="shared" si="8"/>
        <v>249.37757734000002</v>
      </c>
      <c r="Q16" s="152">
        <f t="shared" si="8"/>
        <v>274.72876844999996</v>
      </c>
      <c r="R16" s="152">
        <f t="shared" si="8"/>
        <v>3.7302722799999999</v>
      </c>
      <c r="S16" s="152">
        <f t="shared" si="8"/>
        <v>60.633634700000002</v>
      </c>
      <c r="T16" s="152">
        <f t="shared" si="8"/>
        <v>306.97349281999999</v>
      </c>
      <c r="U16" s="152">
        <f t="shared" si="8"/>
        <v>113.52305103</v>
      </c>
      <c r="V16" s="152">
        <f t="shared" si="8"/>
        <v>93.263666999999998</v>
      </c>
      <c r="W16" s="152">
        <f t="shared" si="8"/>
        <v>205.00754549999999</v>
      </c>
      <c r="X16" s="152">
        <f t="shared" si="8"/>
        <v>4.5516993699999997</v>
      </c>
      <c r="Y16" s="152">
        <f t="shared" si="8"/>
        <v>111.80049799000001</v>
      </c>
      <c r="Z16" s="152">
        <f t="shared" si="8"/>
        <v>117.34439656999999</v>
      </c>
      <c r="AA16" s="152">
        <f t="shared" si="8"/>
        <v>0</v>
      </c>
      <c r="AB16" s="152">
        <f t="shared" si="8"/>
        <v>126.52319047</v>
      </c>
      <c r="AC16" s="152">
        <f t="shared" si="8"/>
        <v>0</v>
      </c>
      <c r="AD16" s="152">
        <f t="shared" si="8"/>
        <v>0</v>
      </c>
      <c r="AE16" s="152">
        <f t="shared" si="8"/>
        <v>0</v>
      </c>
      <c r="AF16" s="152">
        <f t="shared" si="8"/>
        <v>0</v>
      </c>
      <c r="AG16" s="152">
        <f t="shared" si="8"/>
        <v>0</v>
      </c>
      <c r="AH16" s="153">
        <f t="shared" si="7"/>
        <v>5857.5046877399982</v>
      </c>
    </row>
    <row r="17" spans="2:34" ht="2.4" customHeight="1" x14ac:dyDescent="0.3"/>
    <row r="18" spans="2:34" s="44" customFormat="1" ht="17.55" customHeight="1" x14ac:dyDescent="0.3">
      <c r="B18" s="233" t="s">
        <v>416</v>
      </c>
      <c r="C18" s="145" t="s">
        <v>792</v>
      </c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7"/>
    </row>
    <row r="19" spans="2:34" s="44" customFormat="1" ht="17.55" customHeight="1" thickBot="1" x14ac:dyDescent="0.35">
      <c r="B19" s="234"/>
      <c r="C19" s="148">
        <v>1</v>
      </c>
      <c r="D19" s="149">
        <v>2</v>
      </c>
      <c r="E19" s="149">
        <v>3</v>
      </c>
      <c r="F19" s="149">
        <v>4</v>
      </c>
      <c r="G19" s="149">
        <v>5</v>
      </c>
      <c r="H19" s="149">
        <v>6</v>
      </c>
      <c r="I19" s="149">
        <v>7</v>
      </c>
      <c r="J19" s="149">
        <v>8</v>
      </c>
      <c r="K19" s="149">
        <v>9</v>
      </c>
      <c r="L19" s="149">
        <v>10</v>
      </c>
      <c r="M19" s="149">
        <v>11</v>
      </c>
      <c r="N19" s="149">
        <v>12</v>
      </c>
      <c r="O19" s="149">
        <v>13</v>
      </c>
      <c r="P19" s="149">
        <v>14</v>
      </c>
      <c r="Q19" s="149">
        <v>15</v>
      </c>
      <c r="R19" s="149">
        <v>16</v>
      </c>
      <c r="S19" s="149">
        <v>17</v>
      </c>
      <c r="T19" s="149">
        <v>18</v>
      </c>
      <c r="U19" s="149">
        <v>19</v>
      </c>
      <c r="V19" s="149">
        <v>20</v>
      </c>
      <c r="W19" s="149">
        <v>21</v>
      </c>
      <c r="X19" s="149">
        <v>22</v>
      </c>
      <c r="Y19" s="149">
        <v>23</v>
      </c>
      <c r="Z19" s="149">
        <v>24</v>
      </c>
      <c r="AA19" s="149">
        <v>25</v>
      </c>
      <c r="AB19" s="149">
        <v>26</v>
      </c>
      <c r="AC19" s="149">
        <v>27</v>
      </c>
      <c r="AD19" s="149">
        <v>28</v>
      </c>
      <c r="AE19" s="149">
        <v>29</v>
      </c>
      <c r="AF19" s="149">
        <v>30</v>
      </c>
      <c r="AG19" s="149">
        <v>31</v>
      </c>
      <c r="AH19" s="154" t="s">
        <v>791</v>
      </c>
    </row>
    <row r="20" spans="2:34" s="44" customFormat="1" ht="15" customHeight="1" thickTop="1" x14ac:dyDescent="0.3">
      <c r="B20" s="40" t="s">
        <v>132</v>
      </c>
      <c r="C20" s="41">
        <f>SUMIFS('CWO Bulan Ini'!$DD:$DD,'CWO Bulan Ini'!$DH:$DH,'Summary by Tgl'!$B20,'CWO Bulan Ini'!$CZ:$CZ,'Summary by Tgl'!C$13)</f>
        <v>0</v>
      </c>
      <c r="D20" s="42">
        <f>SUMIFS('CWO Bulan Ini'!$DD:$DD,'CWO Bulan Ini'!$DH:$DH,'Summary by Tgl'!$B20,'CWO Bulan Ini'!$CZ:$CZ,'Summary by Tgl'!D$13)</f>
        <v>72.322370919999997</v>
      </c>
      <c r="E20" s="42">
        <f>SUMIFS('CWO Bulan Ini'!$DD:$DD,'CWO Bulan Ini'!$DH:$DH,'Summary by Tgl'!$B20,'CWO Bulan Ini'!$CZ:$CZ,'Summary by Tgl'!E$13)</f>
        <v>7.4018064000000008</v>
      </c>
      <c r="F20" s="42">
        <f>SUMIFS('CWO Bulan Ini'!$DD:$DD,'CWO Bulan Ini'!$DH:$DH,'Summary by Tgl'!$B20,'CWO Bulan Ini'!$CZ:$CZ,'Summary by Tgl'!F$13)</f>
        <v>1869.8564925199998</v>
      </c>
      <c r="G20" s="42">
        <f>SUMIFS('CWO Bulan Ini'!$DD:$DD,'CWO Bulan Ini'!$DH:$DH,'Summary by Tgl'!$B20,'CWO Bulan Ini'!$CZ:$CZ,'Summary by Tgl'!G$13)</f>
        <v>412.16534659000001</v>
      </c>
      <c r="H20" s="42">
        <f>SUMIFS('CWO Bulan Ini'!$DD:$DD,'CWO Bulan Ini'!$DH:$DH,'Summary by Tgl'!$B20,'CWO Bulan Ini'!$CZ:$CZ,'Summary by Tgl'!H$13)</f>
        <v>131.84079</v>
      </c>
      <c r="I20" s="42">
        <f>SUMIFS('CWO Bulan Ini'!$DD:$DD,'CWO Bulan Ini'!$DH:$DH,'Summary by Tgl'!$B20,'CWO Bulan Ini'!$CZ:$CZ,'Summary by Tgl'!I$13)</f>
        <v>146.98150742999999</v>
      </c>
      <c r="J20" s="42">
        <f>SUMIFS('CWO Bulan Ini'!$DD:$DD,'CWO Bulan Ini'!$DH:$DH,'Summary by Tgl'!$B20,'CWO Bulan Ini'!$CZ:$CZ,'Summary by Tgl'!J$13)</f>
        <v>0</v>
      </c>
      <c r="K20" s="42">
        <f>SUMIFS('CWO Bulan Ini'!$DD:$DD,'CWO Bulan Ini'!$DH:$DH,'Summary by Tgl'!$B20,'CWO Bulan Ini'!$CZ:$CZ,'Summary by Tgl'!K$13)</f>
        <v>0</v>
      </c>
      <c r="L20" s="42">
        <f>SUMIFS('CWO Bulan Ini'!$DD:$DD,'CWO Bulan Ini'!$DH:$DH,'Summary by Tgl'!$B20,'CWO Bulan Ini'!$CZ:$CZ,'Summary by Tgl'!L$13)</f>
        <v>0</v>
      </c>
      <c r="M20" s="42">
        <f>SUMIFS('CWO Bulan Ini'!$DD:$DD,'CWO Bulan Ini'!$DH:$DH,'Summary by Tgl'!$B20,'CWO Bulan Ini'!$CZ:$CZ,'Summary by Tgl'!M$13)</f>
        <v>0</v>
      </c>
      <c r="N20" s="42">
        <f>SUMIFS('CWO Bulan Ini'!$DD:$DD,'CWO Bulan Ini'!$DH:$DH,'Summary by Tgl'!$B20,'CWO Bulan Ini'!$CZ:$CZ,'Summary by Tgl'!N$13)</f>
        <v>0</v>
      </c>
      <c r="O20" s="42">
        <f>SUMIFS('CWO Bulan Ini'!$DD:$DD,'CWO Bulan Ini'!$DH:$DH,'Summary by Tgl'!$B20,'CWO Bulan Ini'!$CZ:$CZ,'Summary by Tgl'!O$13)</f>
        <v>0</v>
      </c>
      <c r="P20" s="42">
        <f>SUMIFS('CWO Bulan Ini'!$DD:$DD,'CWO Bulan Ini'!$DH:$DH,'Summary by Tgl'!$B20,'CWO Bulan Ini'!$CZ:$CZ,'Summary by Tgl'!P$13)</f>
        <v>0</v>
      </c>
      <c r="Q20" s="42">
        <f>SUMIFS('CWO Bulan Ini'!$DD:$DD,'CWO Bulan Ini'!$DH:$DH,'Summary by Tgl'!$B20,'CWO Bulan Ini'!$CZ:$CZ,'Summary by Tgl'!Q$13)</f>
        <v>0</v>
      </c>
      <c r="R20" s="42">
        <f>SUMIFS('CWO Bulan Ini'!$DD:$DD,'CWO Bulan Ini'!$DH:$DH,'Summary by Tgl'!$B20,'CWO Bulan Ini'!$CZ:$CZ,'Summary by Tgl'!R$13)</f>
        <v>0</v>
      </c>
      <c r="S20" s="42">
        <f>SUMIFS('CWO Bulan Ini'!$DD:$DD,'CWO Bulan Ini'!$DH:$DH,'Summary by Tgl'!$B20,'CWO Bulan Ini'!$CZ:$CZ,'Summary by Tgl'!S$13)</f>
        <v>0</v>
      </c>
      <c r="T20" s="42">
        <f>SUMIFS('CWO Bulan Ini'!$DD:$DD,'CWO Bulan Ini'!$DH:$DH,'Summary by Tgl'!$B20,'CWO Bulan Ini'!$CZ:$CZ,'Summary by Tgl'!T$13)</f>
        <v>0</v>
      </c>
      <c r="U20" s="42">
        <f>SUMIFS('CWO Bulan Ini'!$DD:$DD,'CWO Bulan Ini'!$DH:$DH,'Summary by Tgl'!$B20,'CWO Bulan Ini'!$CZ:$CZ,'Summary by Tgl'!U$13)</f>
        <v>0</v>
      </c>
      <c r="V20" s="42">
        <f>SUMIFS('CWO Bulan Ini'!$DD:$DD,'CWO Bulan Ini'!$DH:$DH,'Summary by Tgl'!$B20,'CWO Bulan Ini'!$CZ:$CZ,'Summary by Tgl'!V$13)</f>
        <v>0</v>
      </c>
      <c r="W20" s="42">
        <f>SUMIFS('CWO Bulan Ini'!$DD:$DD,'CWO Bulan Ini'!$DH:$DH,'Summary by Tgl'!$B20,'CWO Bulan Ini'!$CZ:$CZ,'Summary by Tgl'!W$13)</f>
        <v>0</v>
      </c>
      <c r="X20" s="42">
        <f>SUMIFS('CWO Bulan Ini'!$DD:$DD,'CWO Bulan Ini'!$DH:$DH,'Summary by Tgl'!$B20,'CWO Bulan Ini'!$CZ:$CZ,'Summary by Tgl'!X$13)</f>
        <v>0</v>
      </c>
      <c r="Y20" s="42">
        <f>SUMIFS('CWO Bulan Ini'!$DD:$DD,'CWO Bulan Ini'!$DH:$DH,'Summary by Tgl'!$B20,'CWO Bulan Ini'!$CZ:$CZ,'Summary by Tgl'!Y$13)</f>
        <v>0</v>
      </c>
      <c r="Z20" s="42">
        <f>SUMIFS('CWO Bulan Ini'!$DD:$DD,'CWO Bulan Ini'!$DH:$DH,'Summary by Tgl'!$B20,'CWO Bulan Ini'!$CZ:$CZ,'Summary by Tgl'!Z$13)</f>
        <v>0</v>
      </c>
      <c r="AA20" s="42">
        <f>SUMIFS('CWO Bulan Ini'!$DD:$DD,'CWO Bulan Ini'!$DH:$DH,'Summary by Tgl'!$B20,'CWO Bulan Ini'!$CZ:$CZ,'Summary by Tgl'!AA$13)</f>
        <v>0</v>
      </c>
      <c r="AB20" s="42">
        <f>SUMIFS('CWO Bulan Ini'!$DD:$DD,'CWO Bulan Ini'!$DH:$DH,'Summary by Tgl'!$B20,'CWO Bulan Ini'!$CZ:$CZ,'Summary by Tgl'!AB$13)</f>
        <v>0</v>
      </c>
      <c r="AC20" s="42">
        <f>SUMIFS('CWO Bulan Ini'!$DD:$DD,'CWO Bulan Ini'!$DH:$DH,'Summary by Tgl'!$B20,'CWO Bulan Ini'!$CZ:$CZ,'Summary by Tgl'!AC$13)</f>
        <v>0</v>
      </c>
      <c r="AD20" s="42">
        <f>SUMIFS('CWO Bulan Ini'!$DD:$DD,'CWO Bulan Ini'!$DH:$DH,'Summary by Tgl'!$B20,'CWO Bulan Ini'!$CZ:$CZ,'Summary by Tgl'!AD$13)</f>
        <v>0</v>
      </c>
      <c r="AE20" s="42">
        <f>SUMIFS('CWO Bulan Ini'!$DD:$DD,'CWO Bulan Ini'!$DH:$DH,'Summary by Tgl'!$B20,'CWO Bulan Ini'!$CZ:$CZ,'Summary by Tgl'!AE$13)</f>
        <v>0</v>
      </c>
      <c r="AF20" s="42">
        <f>SUMIFS('CWO Bulan Ini'!$DD:$DD,'CWO Bulan Ini'!$DH:$DH,'Summary by Tgl'!$B20,'CWO Bulan Ini'!$CZ:$CZ,'Summary by Tgl'!AF$13)</f>
        <v>0</v>
      </c>
      <c r="AG20" s="42">
        <f>SUMIFS('CWO Bulan Ini'!$DD:$DD,'CWO Bulan Ini'!$DH:$DH,'Summary by Tgl'!$B20,'CWO Bulan Ini'!$CZ:$CZ,'Summary by Tgl'!AG$13)</f>
        <v>0</v>
      </c>
      <c r="AH20" s="86">
        <f>SUM(C20:AG20)</f>
        <v>2640.5683138600002</v>
      </c>
    </row>
    <row r="21" spans="2:34" s="44" customFormat="1" ht="15" customHeight="1" x14ac:dyDescent="0.3">
      <c r="B21" s="40" t="s">
        <v>349</v>
      </c>
      <c r="C21" s="41">
        <f>SUMIFS('CWO Bulan Ini'!$DD:$DD,'CWO Bulan Ini'!$DH:$DH,'Summary by Tgl'!$B21,'CWO Bulan Ini'!$CZ:$CZ,'Summary by Tgl'!C$13)</f>
        <v>0</v>
      </c>
      <c r="D21" s="42">
        <f>SUMIFS('CWO Bulan Ini'!$DD:$DD,'CWO Bulan Ini'!$DH:$DH,'Summary by Tgl'!$B21,'CWO Bulan Ini'!$CZ:$CZ,'Summary by Tgl'!D$13)</f>
        <v>0</v>
      </c>
      <c r="E21" s="42">
        <f>SUMIFS('CWO Bulan Ini'!$DD:$DD,'CWO Bulan Ini'!$DH:$DH,'Summary by Tgl'!$B21,'CWO Bulan Ini'!$CZ:$CZ,'Summary by Tgl'!E$13)</f>
        <v>0</v>
      </c>
      <c r="F21" s="42">
        <f>SUMIFS('CWO Bulan Ini'!$DD:$DD,'CWO Bulan Ini'!$DH:$DH,'Summary by Tgl'!$B21,'CWO Bulan Ini'!$CZ:$CZ,'Summary by Tgl'!F$13)</f>
        <v>36.93574074</v>
      </c>
      <c r="G21" s="42">
        <f>SUMIFS('CWO Bulan Ini'!$DD:$DD,'CWO Bulan Ini'!$DH:$DH,'Summary by Tgl'!$B21,'CWO Bulan Ini'!$CZ:$CZ,'Summary by Tgl'!G$13)</f>
        <v>0</v>
      </c>
      <c r="H21" s="42">
        <f>SUMIFS('CWO Bulan Ini'!$DD:$DD,'CWO Bulan Ini'!$DH:$DH,'Summary by Tgl'!$B21,'CWO Bulan Ini'!$CZ:$CZ,'Summary by Tgl'!H$13)</f>
        <v>0</v>
      </c>
      <c r="I21" s="42">
        <f>SUMIFS('CWO Bulan Ini'!$DD:$DD,'CWO Bulan Ini'!$DH:$DH,'Summary by Tgl'!$B21,'CWO Bulan Ini'!$CZ:$CZ,'Summary by Tgl'!I$13)</f>
        <v>0</v>
      </c>
      <c r="J21" s="42">
        <f>SUMIFS('CWO Bulan Ini'!$DD:$DD,'CWO Bulan Ini'!$DH:$DH,'Summary by Tgl'!$B21,'CWO Bulan Ini'!$CZ:$CZ,'Summary by Tgl'!J$13)</f>
        <v>0</v>
      </c>
      <c r="K21" s="42">
        <f>SUMIFS('CWO Bulan Ini'!$DD:$DD,'CWO Bulan Ini'!$DH:$DH,'Summary by Tgl'!$B21,'CWO Bulan Ini'!$CZ:$CZ,'Summary by Tgl'!K$13)</f>
        <v>0</v>
      </c>
      <c r="L21" s="42">
        <f>SUMIFS('CWO Bulan Ini'!$DD:$DD,'CWO Bulan Ini'!$DH:$DH,'Summary by Tgl'!$B21,'CWO Bulan Ini'!$CZ:$CZ,'Summary by Tgl'!L$13)</f>
        <v>0</v>
      </c>
      <c r="M21" s="42">
        <f>SUMIFS('CWO Bulan Ini'!$DD:$DD,'CWO Bulan Ini'!$DH:$DH,'Summary by Tgl'!$B21,'CWO Bulan Ini'!$CZ:$CZ,'Summary by Tgl'!M$13)</f>
        <v>0</v>
      </c>
      <c r="N21" s="42">
        <f>SUMIFS('CWO Bulan Ini'!$DD:$DD,'CWO Bulan Ini'!$DH:$DH,'Summary by Tgl'!$B21,'CWO Bulan Ini'!$CZ:$CZ,'Summary by Tgl'!N$13)</f>
        <v>0</v>
      </c>
      <c r="O21" s="42">
        <f>SUMIFS('CWO Bulan Ini'!$DD:$DD,'CWO Bulan Ini'!$DH:$DH,'Summary by Tgl'!$B21,'CWO Bulan Ini'!$CZ:$CZ,'Summary by Tgl'!O$13)</f>
        <v>0</v>
      </c>
      <c r="P21" s="42">
        <f>SUMIFS('CWO Bulan Ini'!$DD:$DD,'CWO Bulan Ini'!$DH:$DH,'Summary by Tgl'!$B21,'CWO Bulan Ini'!$CZ:$CZ,'Summary by Tgl'!P$13)</f>
        <v>0</v>
      </c>
      <c r="Q21" s="42">
        <f>SUMIFS('CWO Bulan Ini'!$DD:$DD,'CWO Bulan Ini'!$DH:$DH,'Summary by Tgl'!$B21,'CWO Bulan Ini'!$CZ:$CZ,'Summary by Tgl'!Q$13)</f>
        <v>0</v>
      </c>
      <c r="R21" s="42">
        <f>SUMIFS('CWO Bulan Ini'!$DD:$DD,'CWO Bulan Ini'!$DH:$DH,'Summary by Tgl'!$B21,'CWO Bulan Ini'!$CZ:$CZ,'Summary by Tgl'!R$13)</f>
        <v>0</v>
      </c>
      <c r="S21" s="42">
        <f>SUMIFS('CWO Bulan Ini'!$DD:$DD,'CWO Bulan Ini'!$DH:$DH,'Summary by Tgl'!$B21,'CWO Bulan Ini'!$CZ:$CZ,'Summary by Tgl'!S$13)</f>
        <v>0</v>
      </c>
      <c r="T21" s="42">
        <f>SUMIFS('CWO Bulan Ini'!$DD:$DD,'CWO Bulan Ini'!$DH:$DH,'Summary by Tgl'!$B21,'CWO Bulan Ini'!$CZ:$CZ,'Summary by Tgl'!T$13)</f>
        <v>0</v>
      </c>
      <c r="U21" s="42">
        <f>SUMIFS('CWO Bulan Ini'!$DD:$DD,'CWO Bulan Ini'!$DH:$DH,'Summary by Tgl'!$B21,'CWO Bulan Ini'!$CZ:$CZ,'Summary by Tgl'!U$13)</f>
        <v>0</v>
      </c>
      <c r="V21" s="42">
        <f>SUMIFS('CWO Bulan Ini'!$DD:$DD,'CWO Bulan Ini'!$DH:$DH,'Summary by Tgl'!$B21,'CWO Bulan Ini'!$CZ:$CZ,'Summary by Tgl'!V$13)</f>
        <v>0</v>
      </c>
      <c r="W21" s="42">
        <f>SUMIFS('CWO Bulan Ini'!$DD:$DD,'CWO Bulan Ini'!$DH:$DH,'Summary by Tgl'!$B21,'CWO Bulan Ini'!$CZ:$CZ,'Summary by Tgl'!W$13)</f>
        <v>0</v>
      </c>
      <c r="X21" s="42">
        <f>SUMIFS('CWO Bulan Ini'!$DD:$DD,'CWO Bulan Ini'!$DH:$DH,'Summary by Tgl'!$B21,'CWO Bulan Ini'!$CZ:$CZ,'Summary by Tgl'!X$13)</f>
        <v>0</v>
      </c>
      <c r="Y21" s="42">
        <f>SUMIFS('CWO Bulan Ini'!$DD:$DD,'CWO Bulan Ini'!$DH:$DH,'Summary by Tgl'!$B21,'CWO Bulan Ini'!$CZ:$CZ,'Summary by Tgl'!Y$13)</f>
        <v>0</v>
      </c>
      <c r="Z21" s="42">
        <f>SUMIFS('CWO Bulan Ini'!$DD:$DD,'CWO Bulan Ini'!$DH:$DH,'Summary by Tgl'!$B21,'CWO Bulan Ini'!$CZ:$CZ,'Summary by Tgl'!Z$13)</f>
        <v>0</v>
      </c>
      <c r="AA21" s="42">
        <f>SUMIFS('CWO Bulan Ini'!$DD:$DD,'CWO Bulan Ini'!$DH:$DH,'Summary by Tgl'!$B21,'CWO Bulan Ini'!$CZ:$CZ,'Summary by Tgl'!AA$13)</f>
        <v>0</v>
      </c>
      <c r="AB21" s="42">
        <f>SUMIFS('CWO Bulan Ini'!$DD:$DD,'CWO Bulan Ini'!$DH:$DH,'Summary by Tgl'!$B21,'CWO Bulan Ini'!$CZ:$CZ,'Summary by Tgl'!AB$13)</f>
        <v>0</v>
      </c>
      <c r="AC21" s="42">
        <f>SUMIFS('CWO Bulan Ini'!$DD:$DD,'CWO Bulan Ini'!$DH:$DH,'Summary by Tgl'!$B21,'CWO Bulan Ini'!$CZ:$CZ,'Summary by Tgl'!AC$13)</f>
        <v>0</v>
      </c>
      <c r="AD21" s="42">
        <f>SUMIFS('CWO Bulan Ini'!$DD:$DD,'CWO Bulan Ini'!$DH:$DH,'Summary by Tgl'!$B21,'CWO Bulan Ini'!$CZ:$CZ,'Summary by Tgl'!AD$13)</f>
        <v>0</v>
      </c>
      <c r="AE21" s="42">
        <f>SUMIFS('CWO Bulan Ini'!$DD:$DD,'CWO Bulan Ini'!$DH:$DH,'Summary by Tgl'!$B21,'CWO Bulan Ini'!$CZ:$CZ,'Summary by Tgl'!AE$13)</f>
        <v>0</v>
      </c>
      <c r="AF21" s="42">
        <f>SUMIFS('CWO Bulan Ini'!$DD:$DD,'CWO Bulan Ini'!$DH:$DH,'Summary by Tgl'!$B21,'CWO Bulan Ini'!$CZ:$CZ,'Summary by Tgl'!AF$13)</f>
        <v>0</v>
      </c>
      <c r="AG21" s="42">
        <f>SUMIFS('CWO Bulan Ini'!$DD:$DD,'CWO Bulan Ini'!$DH:$DH,'Summary by Tgl'!$B21,'CWO Bulan Ini'!$CZ:$CZ,'Summary by Tgl'!AG$13)</f>
        <v>0</v>
      </c>
      <c r="AH21" s="86">
        <f t="shared" ref="AH21:AH22" si="9">SUM(C21:AG21)</f>
        <v>36.93574074</v>
      </c>
    </row>
    <row r="22" spans="2:34" s="44" customFormat="1" ht="17.55" customHeight="1" x14ac:dyDescent="0.3">
      <c r="B22" s="150" t="s">
        <v>423</v>
      </c>
      <c r="C22" s="151">
        <f>SUM(C20:C21)</f>
        <v>0</v>
      </c>
      <c r="D22" s="152">
        <f t="shared" ref="D22" si="10">SUM(D20:D21)</f>
        <v>72.322370919999997</v>
      </c>
      <c r="E22" s="152">
        <f t="shared" ref="E22" si="11">SUM(E20:E21)</f>
        <v>7.4018064000000008</v>
      </c>
      <c r="F22" s="152">
        <f t="shared" ref="F22" si="12">SUM(F20:F21)</f>
        <v>1906.7922332599999</v>
      </c>
      <c r="G22" s="152">
        <f t="shared" ref="G22" si="13">SUM(G20:G21)</f>
        <v>412.16534659000001</v>
      </c>
      <c r="H22" s="152">
        <f t="shared" ref="H22" si="14">SUM(H20:H21)</f>
        <v>131.84079</v>
      </c>
      <c r="I22" s="152">
        <f t="shared" ref="I22" si="15">SUM(I20:I21)</f>
        <v>146.98150742999999</v>
      </c>
      <c r="J22" s="152">
        <f t="shared" ref="J22" si="16">SUM(J20:J21)</f>
        <v>0</v>
      </c>
      <c r="K22" s="152">
        <f t="shared" ref="K22" si="17">SUM(K20:K21)</f>
        <v>0</v>
      </c>
      <c r="L22" s="152">
        <f t="shared" ref="L22" si="18">SUM(L20:L21)</f>
        <v>0</v>
      </c>
      <c r="M22" s="152">
        <f t="shared" ref="M22" si="19">SUM(M20:M21)</f>
        <v>0</v>
      </c>
      <c r="N22" s="152">
        <f t="shared" ref="N22" si="20">SUM(N20:N21)</f>
        <v>0</v>
      </c>
      <c r="O22" s="152">
        <f t="shared" ref="O22" si="21">SUM(O20:O21)</f>
        <v>0</v>
      </c>
      <c r="P22" s="152">
        <f t="shared" ref="P22" si="22">SUM(P20:P21)</f>
        <v>0</v>
      </c>
      <c r="Q22" s="152">
        <f t="shared" ref="Q22" si="23">SUM(Q20:Q21)</f>
        <v>0</v>
      </c>
      <c r="R22" s="152">
        <f t="shared" ref="R22" si="24">SUM(R20:R21)</f>
        <v>0</v>
      </c>
      <c r="S22" s="152">
        <f t="shared" ref="S22" si="25">SUM(S20:S21)</f>
        <v>0</v>
      </c>
      <c r="T22" s="152">
        <f t="shared" ref="T22" si="26">SUM(T20:T21)</f>
        <v>0</v>
      </c>
      <c r="U22" s="152">
        <f t="shared" ref="U22" si="27">SUM(U20:U21)</f>
        <v>0</v>
      </c>
      <c r="V22" s="152">
        <f t="shared" ref="V22" si="28">SUM(V20:V21)</f>
        <v>0</v>
      </c>
      <c r="W22" s="152">
        <f t="shared" ref="W22" si="29">SUM(W20:W21)</f>
        <v>0</v>
      </c>
      <c r="X22" s="152">
        <f t="shared" ref="X22" si="30">SUM(X20:X21)</f>
        <v>0</v>
      </c>
      <c r="Y22" s="152">
        <f t="shared" ref="Y22" si="31">SUM(Y20:Y21)</f>
        <v>0</v>
      </c>
      <c r="Z22" s="152">
        <f t="shared" ref="Z22" si="32">SUM(Z20:Z21)</f>
        <v>0</v>
      </c>
      <c r="AA22" s="152">
        <f t="shared" ref="AA22" si="33">SUM(AA20:AA21)</f>
        <v>0</v>
      </c>
      <c r="AB22" s="152">
        <f t="shared" ref="AB22" si="34">SUM(AB20:AB21)</f>
        <v>0</v>
      </c>
      <c r="AC22" s="152">
        <f t="shared" ref="AC22" si="35">SUM(AC20:AC21)</f>
        <v>0</v>
      </c>
      <c r="AD22" s="152">
        <f t="shared" ref="AD22" si="36">SUM(AD20:AD21)</f>
        <v>0</v>
      </c>
      <c r="AE22" s="152">
        <f t="shared" ref="AE22" si="37">SUM(AE20:AE21)</f>
        <v>0</v>
      </c>
      <c r="AF22" s="152">
        <f t="shared" ref="AF22" si="38">SUM(AF20:AF21)</f>
        <v>0</v>
      </c>
      <c r="AG22" s="152">
        <f t="shared" ref="AG22" si="39">SUM(AG20:AG21)</f>
        <v>0</v>
      </c>
      <c r="AH22" s="153">
        <f t="shared" si="9"/>
        <v>2677.5040546</v>
      </c>
    </row>
    <row r="23" spans="2:34" ht="2.4" customHeight="1" x14ac:dyDescent="0.3">
      <c r="B23" s="44"/>
    </row>
    <row r="24" spans="2:34" s="44" customFormat="1" ht="17.55" customHeight="1" x14ac:dyDescent="0.3">
      <c r="B24" s="143" t="s">
        <v>416</v>
      </c>
      <c r="C24" s="145" t="s">
        <v>429</v>
      </c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7"/>
    </row>
    <row r="25" spans="2:34" s="44" customFormat="1" ht="17.55" customHeight="1" thickBot="1" x14ac:dyDescent="0.35">
      <c r="B25" s="144"/>
      <c r="C25" s="148">
        <v>1</v>
      </c>
      <c r="D25" s="149">
        <v>2</v>
      </c>
      <c r="E25" s="149">
        <v>3</v>
      </c>
      <c r="F25" s="149">
        <v>4</v>
      </c>
      <c r="G25" s="149">
        <v>5</v>
      </c>
      <c r="H25" s="149">
        <v>6</v>
      </c>
      <c r="I25" s="149">
        <v>7</v>
      </c>
      <c r="J25" s="149">
        <v>8</v>
      </c>
      <c r="K25" s="149">
        <v>9</v>
      </c>
      <c r="L25" s="149">
        <v>10</v>
      </c>
      <c r="M25" s="149">
        <v>11</v>
      </c>
      <c r="N25" s="149">
        <v>12</v>
      </c>
      <c r="O25" s="149">
        <v>13</v>
      </c>
      <c r="P25" s="149">
        <v>14</v>
      </c>
      <c r="Q25" s="149">
        <v>15</v>
      </c>
      <c r="R25" s="149">
        <v>16</v>
      </c>
      <c r="S25" s="149">
        <v>17</v>
      </c>
      <c r="T25" s="149">
        <v>18</v>
      </c>
      <c r="U25" s="149">
        <v>19</v>
      </c>
      <c r="V25" s="149">
        <v>20</v>
      </c>
      <c r="W25" s="149">
        <v>21</v>
      </c>
      <c r="X25" s="149">
        <v>22</v>
      </c>
      <c r="Y25" s="149">
        <v>23</v>
      </c>
      <c r="Z25" s="149">
        <v>24</v>
      </c>
      <c r="AA25" s="149">
        <v>25</v>
      </c>
      <c r="AB25" s="149">
        <v>26</v>
      </c>
      <c r="AC25" s="149">
        <v>27</v>
      </c>
      <c r="AD25" s="149">
        <v>28</v>
      </c>
      <c r="AE25" s="149">
        <v>29</v>
      </c>
      <c r="AF25" s="149">
        <v>30</v>
      </c>
      <c r="AG25" s="149">
        <v>31</v>
      </c>
      <c r="AH25" s="154" t="s">
        <v>791</v>
      </c>
    </row>
    <row r="26" spans="2:34" s="44" customFormat="1" ht="15" customHeight="1" thickTop="1" x14ac:dyDescent="0.3">
      <c r="B26" s="40" t="s">
        <v>132</v>
      </c>
      <c r="C26" s="41">
        <f>SUMIFS('CWO Bulan Ini'!$DC:$DC,'CWO Bulan Ini'!$DH:$DH,'Summary by Tgl'!$B26,'CWO Bulan Ini'!$CZ:$CZ,'Summary by Tgl'!C$13)</f>
        <v>0</v>
      </c>
      <c r="D26" s="42">
        <f>SUMIFS('CWO Bulan Ini'!$DC:$DC,'CWO Bulan Ini'!$DH:$DH,'Summary by Tgl'!$B26,'CWO Bulan Ini'!$CZ:$CZ,'Summary by Tgl'!D$13)</f>
        <v>0</v>
      </c>
      <c r="E26" s="42">
        <f>SUMIFS('CWO Bulan Ini'!$DC:$DC,'CWO Bulan Ini'!$DH:$DH,'Summary by Tgl'!$B26,'CWO Bulan Ini'!$CZ:$CZ,'Summary by Tgl'!E$13)</f>
        <v>0</v>
      </c>
      <c r="F26" s="42">
        <f>SUMIFS('CWO Bulan Ini'!$DC:$DC,'CWO Bulan Ini'!$DH:$DH,'Summary by Tgl'!$B26,'CWO Bulan Ini'!$CZ:$CZ,'Summary by Tgl'!F$13)</f>
        <v>137.12117619999998</v>
      </c>
      <c r="G26" s="42">
        <f>SUMIFS('CWO Bulan Ini'!$DC:$DC,'CWO Bulan Ini'!$DH:$DH,'Summary by Tgl'!$B26,'CWO Bulan Ini'!$CZ:$CZ,'Summary by Tgl'!G$13)</f>
        <v>0</v>
      </c>
      <c r="H26" s="42">
        <f>SUMIFS('CWO Bulan Ini'!$DC:$DC,'CWO Bulan Ini'!$DH:$DH,'Summary by Tgl'!$B26,'CWO Bulan Ini'!$CZ:$CZ,'Summary by Tgl'!H$13)</f>
        <v>108.17527831</v>
      </c>
      <c r="I26" s="42">
        <f>SUMIFS('CWO Bulan Ini'!$DC:$DC,'CWO Bulan Ini'!$DH:$DH,'Summary by Tgl'!$B26,'CWO Bulan Ini'!$CZ:$CZ,'Summary by Tgl'!I$13)</f>
        <v>0</v>
      </c>
      <c r="J26" s="42">
        <f>SUMIFS('CWO Bulan Ini'!$DC:$DC,'CWO Bulan Ini'!$DH:$DH,'Summary by Tgl'!$B26,'CWO Bulan Ini'!$CZ:$CZ,'Summary by Tgl'!J$13)</f>
        <v>3.4766043900000003</v>
      </c>
      <c r="K26" s="42">
        <f>SUMIFS('CWO Bulan Ini'!$DC:$DC,'CWO Bulan Ini'!$DH:$DH,'Summary by Tgl'!$B26,'CWO Bulan Ini'!$CZ:$CZ,'Summary by Tgl'!K$13)</f>
        <v>0</v>
      </c>
      <c r="L26" s="42">
        <f>SUMIFS('CWO Bulan Ini'!$DC:$DC,'CWO Bulan Ini'!$DH:$DH,'Summary by Tgl'!$B26,'CWO Bulan Ini'!$CZ:$CZ,'Summary by Tgl'!L$13)</f>
        <v>0</v>
      </c>
      <c r="M26" s="42">
        <f>SUMIFS('CWO Bulan Ini'!$DC:$DC,'CWO Bulan Ini'!$DH:$DH,'Summary by Tgl'!$B26,'CWO Bulan Ini'!$CZ:$CZ,'Summary by Tgl'!M$13)</f>
        <v>0</v>
      </c>
      <c r="N26" s="42">
        <f>SUMIFS('CWO Bulan Ini'!$DC:$DC,'CWO Bulan Ini'!$DH:$DH,'Summary by Tgl'!$B26,'CWO Bulan Ini'!$CZ:$CZ,'Summary by Tgl'!N$13)</f>
        <v>0</v>
      </c>
      <c r="O26" s="42">
        <f>SUMIFS('CWO Bulan Ini'!$DC:$DC,'CWO Bulan Ini'!$DH:$DH,'Summary by Tgl'!$B26,'CWO Bulan Ini'!$CZ:$CZ,'Summary by Tgl'!O$13)</f>
        <v>0</v>
      </c>
      <c r="P26" s="42">
        <f>SUMIFS('CWO Bulan Ini'!$DC:$DC,'CWO Bulan Ini'!$DH:$DH,'Summary by Tgl'!$B26,'CWO Bulan Ini'!$CZ:$CZ,'Summary by Tgl'!P$13)</f>
        <v>0</v>
      </c>
      <c r="Q26" s="42">
        <f>SUMIFS('CWO Bulan Ini'!$DC:$DC,'CWO Bulan Ini'!$DH:$DH,'Summary by Tgl'!$B26,'CWO Bulan Ini'!$CZ:$CZ,'Summary by Tgl'!Q$13)</f>
        <v>0</v>
      </c>
      <c r="R26" s="42">
        <f>SUMIFS('CWO Bulan Ini'!$DC:$DC,'CWO Bulan Ini'!$DH:$DH,'Summary by Tgl'!$B26,'CWO Bulan Ini'!$CZ:$CZ,'Summary by Tgl'!R$13)</f>
        <v>0</v>
      </c>
      <c r="S26" s="42">
        <f>SUMIFS('CWO Bulan Ini'!$DC:$DC,'CWO Bulan Ini'!$DH:$DH,'Summary by Tgl'!$B26,'CWO Bulan Ini'!$CZ:$CZ,'Summary by Tgl'!S$13)</f>
        <v>0</v>
      </c>
      <c r="T26" s="42">
        <f>SUMIFS('CWO Bulan Ini'!$DC:$DC,'CWO Bulan Ini'!$DH:$DH,'Summary by Tgl'!$B26,'CWO Bulan Ini'!$CZ:$CZ,'Summary by Tgl'!T$13)</f>
        <v>0</v>
      </c>
      <c r="U26" s="42">
        <f>SUMIFS('CWO Bulan Ini'!$DC:$DC,'CWO Bulan Ini'!$DH:$DH,'Summary by Tgl'!$B26,'CWO Bulan Ini'!$CZ:$CZ,'Summary by Tgl'!U$13)</f>
        <v>0</v>
      </c>
      <c r="V26" s="42">
        <f>SUMIFS('CWO Bulan Ini'!$DC:$DC,'CWO Bulan Ini'!$DH:$DH,'Summary by Tgl'!$B26,'CWO Bulan Ini'!$CZ:$CZ,'Summary by Tgl'!V$13)</f>
        <v>0</v>
      </c>
      <c r="W26" s="42">
        <f>SUMIFS('CWO Bulan Ini'!$DC:$DC,'CWO Bulan Ini'!$DH:$DH,'Summary by Tgl'!$B26,'CWO Bulan Ini'!$CZ:$CZ,'Summary by Tgl'!W$13)</f>
        <v>0</v>
      </c>
      <c r="X26" s="42">
        <f>SUMIFS('CWO Bulan Ini'!$DC:$DC,'CWO Bulan Ini'!$DH:$DH,'Summary by Tgl'!$B26,'CWO Bulan Ini'!$CZ:$CZ,'Summary by Tgl'!X$13)</f>
        <v>0</v>
      </c>
      <c r="Y26" s="42">
        <f>SUMIFS('CWO Bulan Ini'!$DC:$DC,'CWO Bulan Ini'!$DH:$DH,'Summary by Tgl'!$B26,'CWO Bulan Ini'!$CZ:$CZ,'Summary by Tgl'!Y$13)</f>
        <v>5.0331234500000006</v>
      </c>
      <c r="Z26" s="42">
        <f>SUMIFS('CWO Bulan Ini'!$DC:$DC,'CWO Bulan Ini'!$DH:$DH,'Summary by Tgl'!$B26,'CWO Bulan Ini'!$CZ:$CZ,'Summary by Tgl'!Z$13)</f>
        <v>0</v>
      </c>
      <c r="AA26" s="42">
        <f>SUMIFS('CWO Bulan Ini'!$DC:$DC,'CWO Bulan Ini'!$DH:$DH,'Summary by Tgl'!$B26,'CWO Bulan Ini'!$CZ:$CZ,'Summary by Tgl'!AA$13)</f>
        <v>0</v>
      </c>
      <c r="AB26" s="42">
        <f>SUMIFS('CWO Bulan Ini'!$DC:$DC,'CWO Bulan Ini'!$DH:$DH,'Summary by Tgl'!$B26,'CWO Bulan Ini'!$CZ:$CZ,'Summary by Tgl'!AB$13)</f>
        <v>0</v>
      </c>
      <c r="AC26" s="42">
        <f>SUMIFS('CWO Bulan Ini'!$DC:$DC,'CWO Bulan Ini'!$DH:$DH,'Summary by Tgl'!$B26,'CWO Bulan Ini'!$CZ:$CZ,'Summary by Tgl'!AC$13)</f>
        <v>0</v>
      </c>
      <c r="AD26" s="42">
        <f>SUMIFS('CWO Bulan Ini'!$DC:$DC,'CWO Bulan Ini'!$DH:$DH,'Summary by Tgl'!$B26,'CWO Bulan Ini'!$CZ:$CZ,'Summary by Tgl'!AD$13)</f>
        <v>0</v>
      </c>
      <c r="AE26" s="42">
        <f>SUMIFS('CWO Bulan Ini'!$DC:$DC,'CWO Bulan Ini'!$DH:$DH,'Summary by Tgl'!$B26,'CWO Bulan Ini'!$CZ:$CZ,'Summary by Tgl'!AE$13)</f>
        <v>0</v>
      </c>
      <c r="AF26" s="42">
        <f>SUMIFS('CWO Bulan Ini'!$DC:$DC,'CWO Bulan Ini'!$DH:$DH,'Summary by Tgl'!$B26,'CWO Bulan Ini'!$CZ:$CZ,'Summary by Tgl'!AF$13)</f>
        <v>0</v>
      </c>
      <c r="AG26" s="42">
        <f>SUMIFS('CWO Bulan Ini'!$DC:$DC,'CWO Bulan Ini'!$DH:$DH,'Summary by Tgl'!$B26,'CWO Bulan Ini'!$CZ:$CZ,'Summary by Tgl'!AG$13)</f>
        <v>0</v>
      </c>
      <c r="AH26" s="86">
        <f>SUM(C26:AG26)</f>
        <v>253.80618235</v>
      </c>
    </row>
    <row r="27" spans="2:34" s="44" customFormat="1" ht="15" customHeight="1" x14ac:dyDescent="0.3">
      <c r="B27" s="40" t="s">
        <v>349</v>
      </c>
      <c r="C27" s="41">
        <f>SUMIFS('CWO Bulan Ini'!$DC:$DC,'CWO Bulan Ini'!$DH:$DH,'Summary by Tgl'!$B27,'CWO Bulan Ini'!$CZ:$CZ,'Summary by Tgl'!C$13)</f>
        <v>0</v>
      </c>
      <c r="D27" s="42">
        <f>SUMIFS('CWO Bulan Ini'!$DC:$DC,'CWO Bulan Ini'!$DH:$DH,'Summary by Tgl'!$B27,'CWO Bulan Ini'!$CZ:$CZ,'Summary by Tgl'!D$13)</f>
        <v>0</v>
      </c>
      <c r="E27" s="42">
        <f>SUMIFS('CWO Bulan Ini'!$DC:$DC,'CWO Bulan Ini'!$DH:$DH,'Summary by Tgl'!$B27,'CWO Bulan Ini'!$CZ:$CZ,'Summary by Tgl'!E$13)</f>
        <v>0</v>
      </c>
      <c r="F27" s="42">
        <f>SUMIFS('CWO Bulan Ini'!$DC:$DC,'CWO Bulan Ini'!$DH:$DH,'Summary by Tgl'!$B27,'CWO Bulan Ini'!$CZ:$CZ,'Summary by Tgl'!F$13)</f>
        <v>0</v>
      </c>
      <c r="G27" s="42">
        <f>SUMIFS('CWO Bulan Ini'!$DC:$DC,'CWO Bulan Ini'!$DH:$DH,'Summary by Tgl'!$B27,'CWO Bulan Ini'!$CZ:$CZ,'Summary by Tgl'!G$13)</f>
        <v>0</v>
      </c>
      <c r="H27" s="42">
        <f>SUMIFS('CWO Bulan Ini'!$DC:$DC,'CWO Bulan Ini'!$DH:$DH,'Summary by Tgl'!$B27,'CWO Bulan Ini'!$CZ:$CZ,'Summary by Tgl'!H$13)</f>
        <v>0</v>
      </c>
      <c r="I27" s="42">
        <f>SUMIFS('CWO Bulan Ini'!$DC:$DC,'CWO Bulan Ini'!$DH:$DH,'Summary by Tgl'!$B27,'CWO Bulan Ini'!$CZ:$CZ,'Summary by Tgl'!I$13)</f>
        <v>0</v>
      </c>
      <c r="J27" s="42">
        <f>SUMIFS('CWO Bulan Ini'!$DC:$DC,'CWO Bulan Ini'!$DH:$DH,'Summary by Tgl'!$B27,'CWO Bulan Ini'!$CZ:$CZ,'Summary by Tgl'!J$13)</f>
        <v>0</v>
      </c>
      <c r="K27" s="42">
        <f>SUMIFS('CWO Bulan Ini'!$DC:$DC,'CWO Bulan Ini'!$DH:$DH,'Summary by Tgl'!$B27,'CWO Bulan Ini'!$CZ:$CZ,'Summary by Tgl'!K$13)</f>
        <v>0</v>
      </c>
      <c r="L27" s="42">
        <f>SUMIFS('CWO Bulan Ini'!$DC:$DC,'CWO Bulan Ini'!$DH:$DH,'Summary by Tgl'!$B27,'CWO Bulan Ini'!$CZ:$CZ,'Summary by Tgl'!L$13)</f>
        <v>0</v>
      </c>
      <c r="M27" s="42">
        <f>SUMIFS('CWO Bulan Ini'!$DC:$DC,'CWO Bulan Ini'!$DH:$DH,'Summary by Tgl'!$B27,'CWO Bulan Ini'!$CZ:$CZ,'Summary by Tgl'!M$13)</f>
        <v>0</v>
      </c>
      <c r="N27" s="42">
        <f>SUMIFS('CWO Bulan Ini'!$DC:$DC,'CWO Bulan Ini'!$DH:$DH,'Summary by Tgl'!$B27,'CWO Bulan Ini'!$CZ:$CZ,'Summary by Tgl'!N$13)</f>
        <v>0</v>
      </c>
      <c r="O27" s="42">
        <f>SUMIFS('CWO Bulan Ini'!$DC:$DC,'CWO Bulan Ini'!$DH:$DH,'Summary by Tgl'!$B27,'CWO Bulan Ini'!$CZ:$CZ,'Summary by Tgl'!O$13)</f>
        <v>0</v>
      </c>
      <c r="P27" s="42">
        <f>SUMIFS('CWO Bulan Ini'!$DC:$DC,'CWO Bulan Ini'!$DH:$DH,'Summary by Tgl'!$B27,'CWO Bulan Ini'!$CZ:$CZ,'Summary by Tgl'!P$13)</f>
        <v>0</v>
      </c>
      <c r="Q27" s="42">
        <f>SUMIFS('CWO Bulan Ini'!$DC:$DC,'CWO Bulan Ini'!$DH:$DH,'Summary by Tgl'!$B27,'CWO Bulan Ini'!$CZ:$CZ,'Summary by Tgl'!Q$13)</f>
        <v>0</v>
      </c>
      <c r="R27" s="42">
        <f>SUMIFS('CWO Bulan Ini'!$DC:$DC,'CWO Bulan Ini'!$DH:$DH,'Summary by Tgl'!$B27,'CWO Bulan Ini'!$CZ:$CZ,'Summary by Tgl'!R$13)</f>
        <v>0</v>
      </c>
      <c r="S27" s="42">
        <f>SUMIFS('CWO Bulan Ini'!$DC:$DC,'CWO Bulan Ini'!$DH:$DH,'Summary by Tgl'!$B27,'CWO Bulan Ini'!$CZ:$CZ,'Summary by Tgl'!S$13)</f>
        <v>0</v>
      </c>
      <c r="T27" s="42">
        <f>SUMIFS('CWO Bulan Ini'!$DC:$DC,'CWO Bulan Ini'!$DH:$DH,'Summary by Tgl'!$B27,'CWO Bulan Ini'!$CZ:$CZ,'Summary by Tgl'!T$13)</f>
        <v>0</v>
      </c>
      <c r="U27" s="42">
        <f>SUMIFS('CWO Bulan Ini'!$DC:$DC,'CWO Bulan Ini'!$DH:$DH,'Summary by Tgl'!$B27,'CWO Bulan Ini'!$CZ:$CZ,'Summary by Tgl'!U$13)</f>
        <v>0</v>
      </c>
      <c r="V27" s="42">
        <f>SUMIFS('CWO Bulan Ini'!$DC:$DC,'CWO Bulan Ini'!$DH:$DH,'Summary by Tgl'!$B27,'CWO Bulan Ini'!$CZ:$CZ,'Summary by Tgl'!V$13)</f>
        <v>0</v>
      </c>
      <c r="W27" s="42">
        <f>SUMIFS('CWO Bulan Ini'!$DC:$DC,'CWO Bulan Ini'!$DH:$DH,'Summary by Tgl'!$B27,'CWO Bulan Ini'!$CZ:$CZ,'Summary by Tgl'!W$13)</f>
        <v>0</v>
      </c>
      <c r="X27" s="42">
        <f>SUMIFS('CWO Bulan Ini'!$DC:$DC,'CWO Bulan Ini'!$DH:$DH,'Summary by Tgl'!$B27,'CWO Bulan Ini'!$CZ:$CZ,'Summary by Tgl'!X$13)</f>
        <v>0</v>
      </c>
      <c r="Y27" s="42">
        <f>SUMIFS('CWO Bulan Ini'!$DC:$DC,'CWO Bulan Ini'!$DH:$DH,'Summary by Tgl'!$B27,'CWO Bulan Ini'!$CZ:$CZ,'Summary by Tgl'!Y$13)</f>
        <v>2.0403898599999999</v>
      </c>
      <c r="Z27" s="42">
        <f>SUMIFS('CWO Bulan Ini'!$DC:$DC,'CWO Bulan Ini'!$DH:$DH,'Summary by Tgl'!$B27,'CWO Bulan Ini'!$CZ:$CZ,'Summary by Tgl'!Z$13)</f>
        <v>0</v>
      </c>
      <c r="AA27" s="42">
        <f>SUMIFS('CWO Bulan Ini'!$DC:$DC,'CWO Bulan Ini'!$DH:$DH,'Summary by Tgl'!$B27,'CWO Bulan Ini'!$CZ:$CZ,'Summary by Tgl'!AA$13)</f>
        <v>0</v>
      </c>
      <c r="AB27" s="42">
        <f>SUMIFS('CWO Bulan Ini'!$DC:$DC,'CWO Bulan Ini'!$DH:$DH,'Summary by Tgl'!$B27,'CWO Bulan Ini'!$CZ:$CZ,'Summary by Tgl'!AB$13)</f>
        <v>0</v>
      </c>
      <c r="AC27" s="42">
        <f>SUMIFS('CWO Bulan Ini'!$DC:$DC,'CWO Bulan Ini'!$DH:$DH,'Summary by Tgl'!$B27,'CWO Bulan Ini'!$CZ:$CZ,'Summary by Tgl'!AC$13)</f>
        <v>0</v>
      </c>
      <c r="AD27" s="42">
        <f>SUMIFS('CWO Bulan Ini'!$DC:$DC,'CWO Bulan Ini'!$DH:$DH,'Summary by Tgl'!$B27,'CWO Bulan Ini'!$CZ:$CZ,'Summary by Tgl'!AD$13)</f>
        <v>0</v>
      </c>
      <c r="AE27" s="42">
        <f>SUMIFS('CWO Bulan Ini'!$DC:$DC,'CWO Bulan Ini'!$DH:$DH,'Summary by Tgl'!$B27,'CWO Bulan Ini'!$CZ:$CZ,'Summary by Tgl'!AE$13)</f>
        <v>0</v>
      </c>
      <c r="AF27" s="42">
        <f>SUMIFS('CWO Bulan Ini'!$DC:$DC,'CWO Bulan Ini'!$DH:$DH,'Summary by Tgl'!$B27,'CWO Bulan Ini'!$CZ:$CZ,'Summary by Tgl'!AF$13)</f>
        <v>0</v>
      </c>
      <c r="AG27" s="42">
        <f>SUMIFS('CWO Bulan Ini'!$DC:$DC,'CWO Bulan Ini'!$DH:$DH,'Summary by Tgl'!$B27,'CWO Bulan Ini'!$CZ:$CZ,'Summary by Tgl'!AG$13)</f>
        <v>0</v>
      </c>
      <c r="AH27" s="86">
        <f t="shared" ref="AH27:AH28" si="40">SUM(C27:AG27)</f>
        <v>2.0403898599999999</v>
      </c>
    </row>
    <row r="28" spans="2:34" s="44" customFormat="1" ht="17.55" customHeight="1" x14ac:dyDescent="0.3">
      <c r="B28" s="150" t="s">
        <v>423</v>
      </c>
      <c r="C28" s="151">
        <f>SUM(C26:C27)</f>
        <v>0</v>
      </c>
      <c r="D28" s="152">
        <f t="shared" ref="D28" si="41">SUM(D26:D27)</f>
        <v>0</v>
      </c>
      <c r="E28" s="152">
        <f t="shared" ref="E28" si="42">SUM(E26:E27)</f>
        <v>0</v>
      </c>
      <c r="F28" s="152">
        <f t="shared" ref="F28" si="43">SUM(F26:F27)</f>
        <v>137.12117619999998</v>
      </c>
      <c r="G28" s="152">
        <f t="shared" ref="G28" si="44">SUM(G26:G27)</f>
        <v>0</v>
      </c>
      <c r="H28" s="152">
        <f t="shared" ref="H28" si="45">SUM(H26:H27)</f>
        <v>108.17527831</v>
      </c>
      <c r="I28" s="152">
        <f t="shared" ref="I28" si="46">SUM(I26:I27)</f>
        <v>0</v>
      </c>
      <c r="J28" s="152">
        <f t="shared" ref="J28" si="47">SUM(J26:J27)</f>
        <v>3.4766043900000003</v>
      </c>
      <c r="K28" s="152">
        <f t="shared" ref="K28" si="48">SUM(K26:K27)</f>
        <v>0</v>
      </c>
      <c r="L28" s="152">
        <f t="shared" ref="L28" si="49">SUM(L26:L27)</f>
        <v>0</v>
      </c>
      <c r="M28" s="152">
        <f t="shared" ref="M28" si="50">SUM(M26:M27)</f>
        <v>0</v>
      </c>
      <c r="N28" s="152">
        <f t="shared" ref="N28" si="51">SUM(N26:N27)</f>
        <v>0</v>
      </c>
      <c r="O28" s="152">
        <f t="shared" ref="O28" si="52">SUM(O26:O27)</f>
        <v>0</v>
      </c>
      <c r="P28" s="152">
        <f t="shared" ref="P28" si="53">SUM(P26:P27)</f>
        <v>0</v>
      </c>
      <c r="Q28" s="152">
        <f t="shared" ref="Q28" si="54">SUM(Q26:Q27)</f>
        <v>0</v>
      </c>
      <c r="R28" s="152">
        <f t="shared" ref="R28" si="55">SUM(R26:R27)</f>
        <v>0</v>
      </c>
      <c r="S28" s="152">
        <f t="shared" ref="S28" si="56">SUM(S26:S27)</f>
        <v>0</v>
      </c>
      <c r="T28" s="152">
        <f t="shared" ref="T28" si="57">SUM(T26:T27)</f>
        <v>0</v>
      </c>
      <c r="U28" s="152">
        <f t="shared" ref="U28" si="58">SUM(U26:U27)</f>
        <v>0</v>
      </c>
      <c r="V28" s="152">
        <f t="shared" ref="V28" si="59">SUM(V26:V27)</f>
        <v>0</v>
      </c>
      <c r="W28" s="152">
        <f t="shared" ref="W28" si="60">SUM(W26:W27)</f>
        <v>0</v>
      </c>
      <c r="X28" s="152">
        <f t="shared" ref="X28" si="61">SUM(X26:X27)</f>
        <v>0</v>
      </c>
      <c r="Y28" s="152">
        <f t="shared" ref="Y28" si="62">SUM(Y26:Y27)</f>
        <v>7.0735133100000009</v>
      </c>
      <c r="Z28" s="152">
        <f t="shared" ref="Z28" si="63">SUM(Z26:Z27)</f>
        <v>0</v>
      </c>
      <c r="AA28" s="152">
        <f t="shared" ref="AA28" si="64">SUM(AA26:AA27)</f>
        <v>0</v>
      </c>
      <c r="AB28" s="152">
        <f t="shared" ref="AB28" si="65">SUM(AB26:AB27)</f>
        <v>0</v>
      </c>
      <c r="AC28" s="152">
        <f t="shared" ref="AC28" si="66">SUM(AC26:AC27)</f>
        <v>0</v>
      </c>
      <c r="AD28" s="152">
        <f t="shared" ref="AD28" si="67">SUM(AD26:AD27)</f>
        <v>0</v>
      </c>
      <c r="AE28" s="152">
        <f t="shared" ref="AE28" si="68">SUM(AE26:AE27)</f>
        <v>0</v>
      </c>
      <c r="AF28" s="152">
        <f t="shared" ref="AF28" si="69">SUM(AF26:AF27)</f>
        <v>0</v>
      </c>
      <c r="AG28" s="152">
        <f t="shared" ref="AG28" si="70">SUM(AG26:AG27)</f>
        <v>0</v>
      </c>
      <c r="AH28" s="153">
        <f t="shared" si="40"/>
        <v>255.84657221000001</v>
      </c>
    </row>
    <row r="29" spans="2:34" x14ac:dyDescent="0.3">
      <c r="B29" s="45" t="s">
        <v>793</v>
      </c>
    </row>
  </sheetData>
  <mergeCells count="10">
    <mergeCell ref="B18:B19"/>
    <mergeCell ref="C18:AH18"/>
    <mergeCell ref="B24:B25"/>
    <mergeCell ref="C24:AH24"/>
    <mergeCell ref="B4:B5"/>
    <mergeCell ref="C4:G4"/>
    <mergeCell ref="H4:L4"/>
    <mergeCell ref="M4:Q4"/>
    <mergeCell ref="B12:B13"/>
    <mergeCell ref="C12:AH12"/>
  </mergeCells>
  <conditionalFormatting sqref="M6:O8 Q6:Q8">
    <cfRule type="cellIs" dxfId="245" priority="2" operator="greaterThan">
      <formula>0</formula>
    </cfRule>
  </conditionalFormatting>
  <conditionalFormatting sqref="P6:P8">
    <cfRule type="cellIs" dxfId="244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8DD"/>
  </sheetPr>
  <dimension ref="A1:CZ170"/>
  <sheetViews>
    <sheetView showGridLines="0" topLeftCell="C1" zoomScaleNormal="100" workbookViewId="0">
      <pane xSplit="3" ySplit="4" topLeftCell="F5" activePane="bottomRight" state="frozen"/>
      <selection activeCell="B4" sqref="B4:B5"/>
      <selection pane="topRight" activeCell="B4" sqref="B4:B5"/>
      <selection pane="bottomLeft" activeCell="B4" sqref="B4:B5"/>
      <selection pane="bottomRight" activeCell="B4" sqref="B4:B5"/>
    </sheetView>
  </sheetViews>
  <sheetFormatPr defaultColWidth="8.6640625" defaultRowHeight="13.2" x14ac:dyDescent="0.3"/>
  <cols>
    <col min="1" max="1" width="16" style="38" hidden="1" customWidth="1"/>
    <col min="2" max="2" width="30.5546875" style="38" hidden="1" customWidth="1"/>
    <col min="3" max="3" width="20.77734375" style="38" customWidth="1"/>
    <col min="4" max="4" width="20.77734375" style="44" customWidth="1"/>
    <col min="5" max="5" width="15.77734375" style="44" customWidth="1"/>
    <col min="6" max="98" width="5.77734375" style="44" customWidth="1"/>
    <col min="99" max="99" width="0.5546875" style="224" customWidth="1"/>
    <col min="100" max="100" width="10.6640625" style="92" customWidth="1"/>
    <col min="101" max="101" width="12.6640625" style="92" customWidth="1"/>
    <col min="102" max="104" width="10.6640625" style="92" customWidth="1"/>
    <col min="105" max="16384" width="8.6640625" style="38"/>
  </cols>
  <sheetData>
    <row r="1" spans="1:104" s="157" customFormat="1" ht="19.95" customHeight="1" x14ac:dyDescent="0.3">
      <c r="A1" s="157">
        <v>3</v>
      </c>
      <c r="C1" s="208" t="s">
        <v>790</v>
      </c>
      <c r="D1" s="156"/>
      <c r="E1" s="209">
        <v>45945</v>
      </c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156"/>
      <c r="AP1" s="156"/>
      <c r="AQ1" s="156"/>
      <c r="AR1" s="156"/>
      <c r="AS1" s="156"/>
      <c r="AT1" s="156"/>
      <c r="AU1" s="156"/>
      <c r="AV1" s="156"/>
      <c r="AW1" s="156"/>
      <c r="AX1" s="156"/>
      <c r="AY1" s="156"/>
      <c r="AZ1" s="156"/>
      <c r="BA1" s="156"/>
      <c r="BB1" s="156"/>
      <c r="BC1" s="156"/>
      <c r="BD1" s="156"/>
      <c r="BE1" s="156"/>
      <c r="BF1" s="156"/>
      <c r="BG1" s="156"/>
      <c r="BH1" s="156"/>
      <c r="BI1" s="156"/>
      <c r="BJ1" s="156"/>
      <c r="BK1" s="156"/>
      <c r="BL1" s="156"/>
      <c r="BM1" s="156"/>
      <c r="BN1" s="156"/>
      <c r="BO1" s="156"/>
      <c r="BP1" s="156"/>
      <c r="BQ1" s="156"/>
      <c r="BR1" s="156"/>
      <c r="BS1" s="156"/>
      <c r="BT1" s="156"/>
      <c r="BU1" s="156"/>
      <c r="BV1" s="156"/>
      <c r="BW1" s="156"/>
      <c r="BX1" s="156"/>
      <c r="BY1" s="156"/>
      <c r="BZ1" s="156"/>
      <c r="CA1" s="156"/>
      <c r="CB1" s="156"/>
      <c r="CC1" s="156"/>
      <c r="CD1" s="156"/>
      <c r="CE1" s="156"/>
      <c r="CF1" s="156"/>
      <c r="CG1" s="156"/>
      <c r="CH1" s="156"/>
      <c r="CI1" s="156"/>
      <c r="CJ1" s="156"/>
      <c r="CK1" s="156"/>
      <c r="CL1" s="156"/>
      <c r="CM1" s="156"/>
      <c r="CN1" s="156"/>
      <c r="CO1" s="156"/>
      <c r="CP1" s="156"/>
      <c r="CQ1" s="156"/>
      <c r="CR1" s="156"/>
      <c r="CS1" s="156"/>
      <c r="CT1" s="156"/>
      <c r="CU1" s="223"/>
      <c r="CV1" s="210"/>
      <c r="CW1" s="210"/>
      <c r="CX1" s="210"/>
      <c r="CY1" s="210"/>
      <c r="CZ1" s="210"/>
    </row>
    <row r="2" spans="1:104" ht="3" customHeight="1" x14ac:dyDescent="0.3"/>
    <row r="3" spans="1:104" ht="17.55" customHeight="1" x14ac:dyDescent="0.3">
      <c r="D3" s="233" t="s">
        <v>794</v>
      </c>
      <c r="E3" s="233" t="s">
        <v>416</v>
      </c>
      <c r="F3" s="145" t="s">
        <v>433</v>
      </c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46"/>
      <c r="AI3" s="146"/>
      <c r="AJ3" s="185"/>
      <c r="AK3" s="187" t="s">
        <v>792</v>
      </c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187"/>
      <c r="BJ3" s="187"/>
      <c r="BK3" s="187"/>
      <c r="BL3" s="187"/>
      <c r="BM3" s="187"/>
      <c r="BN3" s="187"/>
      <c r="BO3" s="188"/>
      <c r="BP3" s="145" t="s">
        <v>429</v>
      </c>
      <c r="BQ3" s="146"/>
      <c r="BR3" s="146"/>
      <c r="BS3" s="146"/>
      <c r="BT3" s="146"/>
      <c r="BU3" s="146"/>
      <c r="BV3" s="146"/>
      <c r="BW3" s="146"/>
      <c r="BX3" s="146"/>
      <c r="BY3" s="146"/>
      <c r="BZ3" s="146"/>
      <c r="CA3" s="146"/>
      <c r="CB3" s="146"/>
      <c r="CC3" s="146"/>
      <c r="CD3" s="146"/>
      <c r="CE3" s="146"/>
      <c r="CF3" s="146"/>
      <c r="CG3" s="146"/>
      <c r="CH3" s="146"/>
      <c r="CI3" s="146"/>
      <c r="CJ3" s="146"/>
      <c r="CK3" s="146"/>
      <c r="CL3" s="146"/>
      <c r="CM3" s="146"/>
      <c r="CN3" s="146"/>
      <c r="CO3" s="146"/>
      <c r="CP3" s="146"/>
      <c r="CQ3" s="146"/>
      <c r="CR3" s="146"/>
      <c r="CS3" s="146"/>
      <c r="CT3" s="185"/>
      <c r="CV3" s="189" t="s">
        <v>795</v>
      </c>
      <c r="CW3" s="190" t="s">
        <v>867</v>
      </c>
      <c r="CX3" s="191" t="s">
        <v>429</v>
      </c>
      <c r="CY3" s="192" t="s">
        <v>866</v>
      </c>
      <c r="CZ3" s="197" t="s">
        <v>796</v>
      </c>
    </row>
    <row r="4" spans="1:104" s="44" customFormat="1" ht="17.55" customHeight="1" thickBot="1" x14ac:dyDescent="0.35">
      <c r="D4" s="234"/>
      <c r="E4" s="235"/>
      <c r="F4" s="148">
        <v>1</v>
      </c>
      <c r="G4" s="149">
        <v>2</v>
      </c>
      <c r="H4" s="149">
        <v>3</v>
      </c>
      <c r="I4" s="149">
        <v>4</v>
      </c>
      <c r="J4" s="149">
        <v>5</v>
      </c>
      <c r="K4" s="149">
        <v>6</v>
      </c>
      <c r="L4" s="149">
        <v>7</v>
      </c>
      <c r="M4" s="149">
        <v>8</v>
      </c>
      <c r="N4" s="149">
        <v>9</v>
      </c>
      <c r="O4" s="149">
        <v>10</v>
      </c>
      <c r="P4" s="149">
        <v>11</v>
      </c>
      <c r="Q4" s="149">
        <v>12</v>
      </c>
      <c r="R4" s="149">
        <v>13</v>
      </c>
      <c r="S4" s="149">
        <v>14</v>
      </c>
      <c r="T4" s="149">
        <v>15</v>
      </c>
      <c r="U4" s="149">
        <v>16</v>
      </c>
      <c r="V4" s="149">
        <v>17</v>
      </c>
      <c r="W4" s="149">
        <v>18</v>
      </c>
      <c r="X4" s="149">
        <v>19</v>
      </c>
      <c r="Y4" s="149">
        <v>20</v>
      </c>
      <c r="Z4" s="149">
        <v>21</v>
      </c>
      <c r="AA4" s="149">
        <v>22</v>
      </c>
      <c r="AB4" s="149">
        <v>23</v>
      </c>
      <c r="AC4" s="149">
        <v>24</v>
      </c>
      <c r="AD4" s="149">
        <v>25</v>
      </c>
      <c r="AE4" s="149">
        <v>26</v>
      </c>
      <c r="AF4" s="149">
        <v>27</v>
      </c>
      <c r="AG4" s="149">
        <v>28</v>
      </c>
      <c r="AH4" s="149">
        <v>29</v>
      </c>
      <c r="AI4" s="149">
        <v>30</v>
      </c>
      <c r="AJ4" s="184">
        <v>31</v>
      </c>
      <c r="AK4" s="186">
        <v>1</v>
      </c>
      <c r="AL4" s="186">
        <v>2</v>
      </c>
      <c r="AM4" s="186">
        <v>3</v>
      </c>
      <c r="AN4" s="186">
        <v>4</v>
      </c>
      <c r="AO4" s="186">
        <v>5</v>
      </c>
      <c r="AP4" s="186">
        <v>6</v>
      </c>
      <c r="AQ4" s="186">
        <v>7</v>
      </c>
      <c r="AR4" s="186">
        <v>8</v>
      </c>
      <c r="AS4" s="186">
        <v>9</v>
      </c>
      <c r="AT4" s="186">
        <v>10</v>
      </c>
      <c r="AU4" s="186">
        <v>11</v>
      </c>
      <c r="AV4" s="186">
        <v>12</v>
      </c>
      <c r="AW4" s="186">
        <v>13</v>
      </c>
      <c r="AX4" s="186">
        <v>14</v>
      </c>
      <c r="AY4" s="186">
        <v>15</v>
      </c>
      <c r="AZ4" s="186">
        <v>16</v>
      </c>
      <c r="BA4" s="186">
        <v>17</v>
      </c>
      <c r="BB4" s="186">
        <v>18</v>
      </c>
      <c r="BC4" s="186">
        <v>19</v>
      </c>
      <c r="BD4" s="186">
        <v>20</v>
      </c>
      <c r="BE4" s="186">
        <v>21</v>
      </c>
      <c r="BF4" s="186">
        <v>22</v>
      </c>
      <c r="BG4" s="186">
        <v>23</v>
      </c>
      <c r="BH4" s="186">
        <v>24</v>
      </c>
      <c r="BI4" s="186">
        <v>25</v>
      </c>
      <c r="BJ4" s="186">
        <v>26</v>
      </c>
      <c r="BK4" s="186">
        <v>27</v>
      </c>
      <c r="BL4" s="186">
        <v>28</v>
      </c>
      <c r="BM4" s="186">
        <v>29</v>
      </c>
      <c r="BN4" s="186">
        <v>30</v>
      </c>
      <c r="BO4" s="186">
        <v>31</v>
      </c>
      <c r="BP4" s="148">
        <v>1</v>
      </c>
      <c r="BQ4" s="149">
        <v>2</v>
      </c>
      <c r="BR4" s="149">
        <v>3</v>
      </c>
      <c r="BS4" s="149">
        <v>4</v>
      </c>
      <c r="BT4" s="149">
        <v>5</v>
      </c>
      <c r="BU4" s="149">
        <v>6</v>
      </c>
      <c r="BV4" s="149">
        <v>7</v>
      </c>
      <c r="BW4" s="149">
        <v>8</v>
      </c>
      <c r="BX4" s="149">
        <v>9</v>
      </c>
      <c r="BY4" s="149">
        <v>10</v>
      </c>
      <c r="BZ4" s="149">
        <v>11</v>
      </c>
      <c r="CA4" s="149">
        <v>12</v>
      </c>
      <c r="CB4" s="149">
        <v>13</v>
      </c>
      <c r="CC4" s="149">
        <v>14</v>
      </c>
      <c r="CD4" s="149">
        <v>15</v>
      </c>
      <c r="CE4" s="149">
        <v>16</v>
      </c>
      <c r="CF4" s="149">
        <v>17</v>
      </c>
      <c r="CG4" s="149">
        <v>18</v>
      </c>
      <c r="CH4" s="149">
        <v>19</v>
      </c>
      <c r="CI4" s="149">
        <v>20</v>
      </c>
      <c r="CJ4" s="149">
        <v>21</v>
      </c>
      <c r="CK4" s="149">
        <v>22</v>
      </c>
      <c r="CL4" s="149">
        <v>23</v>
      </c>
      <c r="CM4" s="149">
        <v>24</v>
      </c>
      <c r="CN4" s="149">
        <v>25</v>
      </c>
      <c r="CO4" s="149">
        <v>26</v>
      </c>
      <c r="CP4" s="149">
        <v>27</v>
      </c>
      <c r="CQ4" s="149">
        <v>28</v>
      </c>
      <c r="CR4" s="149">
        <v>29</v>
      </c>
      <c r="CS4" s="149">
        <v>30</v>
      </c>
      <c r="CT4" s="184">
        <v>31</v>
      </c>
      <c r="CU4" s="225"/>
      <c r="CV4" s="193"/>
      <c r="CW4" s="194"/>
      <c r="CX4" s="195"/>
      <c r="CY4" s="196"/>
      <c r="CZ4" s="198"/>
    </row>
    <row r="5" spans="1:104" s="44" customFormat="1" ht="17.55" customHeight="1" thickTop="1" x14ac:dyDescent="0.3">
      <c r="D5" s="229" t="s">
        <v>797</v>
      </c>
      <c r="E5" s="84" t="s">
        <v>132</v>
      </c>
      <c r="F5" s="46">
        <f>SUMIFS(F$12:F$38,$E$12:$E$38,$E5)</f>
        <v>0</v>
      </c>
      <c r="G5" s="47">
        <f t="shared" ref="G5:V6" si="0">SUMIFS(G$12:G$38,$E$12:$E$38,$E5)</f>
        <v>72.322370919999997</v>
      </c>
      <c r="H5" s="47">
        <f t="shared" si="0"/>
        <v>7.4018064000000008</v>
      </c>
      <c r="I5" s="47">
        <f t="shared" si="0"/>
        <v>2006.9776687200003</v>
      </c>
      <c r="J5" s="47">
        <f t="shared" si="0"/>
        <v>412.16534659000001</v>
      </c>
      <c r="K5" s="47">
        <f t="shared" si="0"/>
        <v>240.01606830999998</v>
      </c>
      <c r="L5" s="47">
        <f t="shared" si="0"/>
        <v>146.98150742999999</v>
      </c>
      <c r="M5" s="47">
        <f t="shared" si="0"/>
        <v>3.4766043900000003</v>
      </c>
      <c r="N5" s="47">
        <f t="shared" si="0"/>
        <v>56.361792239999993</v>
      </c>
      <c r="O5" s="47">
        <f t="shared" si="0"/>
        <v>361.78512597999998</v>
      </c>
      <c r="P5" s="47">
        <f t="shared" si="0"/>
        <v>338.73577638</v>
      </c>
      <c r="Q5" s="47">
        <f t="shared" si="0"/>
        <v>82.916521130000007</v>
      </c>
      <c r="R5" s="47">
        <f t="shared" si="0"/>
        <v>420.48391662</v>
      </c>
      <c r="S5" s="47">
        <f t="shared" si="0"/>
        <v>249.37757734000002</v>
      </c>
      <c r="T5" s="47">
        <f t="shared" si="0"/>
        <v>274.72876844999996</v>
      </c>
      <c r="U5" s="47">
        <f t="shared" si="0"/>
        <v>0</v>
      </c>
      <c r="V5" s="47">
        <f t="shared" si="0"/>
        <v>60.633634700000002</v>
      </c>
      <c r="W5" s="47">
        <f t="shared" ref="W5:AL6" si="1">SUMIFS(W$12:W$38,$E$12:$E$38,$E5)</f>
        <v>306.97349281999999</v>
      </c>
      <c r="X5" s="47">
        <f t="shared" si="1"/>
        <v>113.52305103</v>
      </c>
      <c r="Y5" s="47">
        <f t="shared" si="1"/>
        <v>93.263666999999998</v>
      </c>
      <c r="Z5" s="47">
        <f t="shared" si="1"/>
        <v>202.13608207999999</v>
      </c>
      <c r="AA5" s="47">
        <f t="shared" si="1"/>
        <v>0</v>
      </c>
      <c r="AB5" s="47">
        <f t="shared" si="1"/>
        <v>109.76010813000001</v>
      </c>
      <c r="AC5" s="47">
        <f t="shared" si="1"/>
        <v>117.34439656999999</v>
      </c>
      <c r="AD5" s="47">
        <f t="shared" si="1"/>
        <v>0</v>
      </c>
      <c r="AE5" s="47">
        <f t="shared" si="1"/>
        <v>126.52319047</v>
      </c>
      <c r="AF5" s="47">
        <f t="shared" si="1"/>
        <v>0</v>
      </c>
      <c r="AG5" s="47">
        <f t="shared" si="1"/>
        <v>0</v>
      </c>
      <c r="AH5" s="47">
        <f t="shared" si="1"/>
        <v>0</v>
      </c>
      <c r="AI5" s="47">
        <f t="shared" si="1"/>
        <v>0</v>
      </c>
      <c r="AJ5" s="47">
        <f t="shared" si="1"/>
        <v>0</v>
      </c>
      <c r="AK5" s="46">
        <f t="shared" si="1"/>
        <v>0</v>
      </c>
      <c r="AL5" s="47">
        <f t="shared" si="1"/>
        <v>72.322370919999997</v>
      </c>
      <c r="AM5" s="47">
        <f t="shared" ref="AM5:BB6" si="2">SUMIFS(AM$12:AM$38,$E$12:$E$38,$E5)</f>
        <v>7.4018064000000008</v>
      </c>
      <c r="AN5" s="47">
        <f t="shared" si="2"/>
        <v>1869.8564925200003</v>
      </c>
      <c r="AO5" s="47">
        <f t="shared" si="2"/>
        <v>412.16534659000001</v>
      </c>
      <c r="AP5" s="47">
        <f t="shared" si="2"/>
        <v>131.84079</v>
      </c>
      <c r="AQ5" s="47">
        <f t="shared" si="2"/>
        <v>146.98150742999999</v>
      </c>
      <c r="AR5" s="47">
        <f t="shared" si="2"/>
        <v>0</v>
      </c>
      <c r="AS5" s="47">
        <f t="shared" si="2"/>
        <v>0</v>
      </c>
      <c r="AT5" s="47">
        <f t="shared" si="2"/>
        <v>0</v>
      </c>
      <c r="AU5" s="47">
        <f t="shared" si="2"/>
        <v>0</v>
      </c>
      <c r="AV5" s="47">
        <f t="shared" si="2"/>
        <v>0</v>
      </c>
      <c r="AW5" s="47">
        <f t="shared" si="2"/>
        <v>0</v>
      </c>
      <c r="AX5" s="47">
        <f t="shared" si="2"/>
        <v>0</v>
      </c>
      <c r="AY5" s="47">
        <f t="shared" si="2"/>
        <v>0</v>
      </c>
      <c r="AZ5" s="47">
        <f t="shared" si="2"/>
        <v>0</v>
      </c>
      <c r="BA5" s="47">
        <f t="shared" si="2"/>
        <v>0</v>
      </c>
      <c r="BB5" s="47">
        <f t="shared" si="2"/>
        <v>0</v>
      </c>
      <c r="BC5" s="47">
        <f t="shared" ref="BC5:BR6" si="3">SUMIFS(BC$12:BC$38,$E$12:$E$38,$E5)</f>
        <v>0</v>
      </c>
      <c r="BD5" s="47">
        <f t="shared" si="3"/>
        <v>0</v>
      </c>
      <c r="BE5" s="47">
        <f t="shared" si="3"/>
        <v>0</v>
      </c>
      <c r="BF5" s="47">
        <f t="shared" si="3"/>
        <v>0</v>
      </c>
      <c r="BG5" s="47">
        <f t="shared" si="3"/>
        <v>0</v>
      </c>
      <c r="BH5" s="47">
        <f t="shared" si="3"/>
        <v>0</v>
      </c>
      <c r="BI5" s="47">
        <f t="shared" si="3"/>
        <v>0</v>
      </c>
      <c r="BJ5" s="47">
        <f t="shared" si="3"/>
        <v>0</v>
      </c>
      <c r="BK5" s="47">
        <f t="shared" si="3"/>
        <v>0</v>
      </c>
      <c r="BL5" s="47">
        <f t="shared" si="3"/>
        <v>0</v>
      </c>
      <c r="BM5" s="47">
        <f t="shared" si="3"/>
        <v>0</v>
      </c>
      <c r="BN5" s="47">
        <f t="shared" si="3"/>
        <v>0</v>
      </c>
      <c r="BO5" s="48">
        <f t="shared" si="3"/>
        <v>0</v>
      </c>
      <c r="BP5" s="46">
        <f t="shared" si="3"/>
        <v>0</v>
      </c>
      <c r="BQ5" s="47">
        <f t="shared" si="3"/>
        <v>0</v>
      </c>
      <c r="BR5" s="47">
        <f t="shared" si="3"/>
        <v>0</v>
      </c>
      <c r="BS5" s="47">
        <f t="shared" ref="BS5:CH6" si="4">SUMIFS(BS$12:BS$38,$E$12:$E$38,$E5)</f>
        <v>137.12117619999998</v>
      </c>
      <c r="BT5" s="47">
        <f t="shared" si="4"/>
        <v>0</v>
      </c>
      <c r="BU5" s="47">
        <f t="shared" si="4"/>
        <v>108.17527831</v>
      </c>
      <c r="BV5" s="47">
        <f t="shared" si="4"/>
        <v>0</v>
      </c>
      <c r="BW5" s="47">
        <f t="shared" si="4"/>
        <v>3.4766043900000003</v>
      </c>
      <c r="BX5" s="47">
        <f t="shared" si="4"/>
        <v>0</v>
      </c>
      <c r="BY5" s="47">
        <f t="shared" si="4"/>
        <v>0</v>
      </c>
      <c r="BZ5" s="47">
        <f t="shared" si="4"/>
        <v>0</v>
      </c>
      <c r="CA5" s="47">
        <f t="shared" si="4"/>
        <v>0</v>
      </c>
      <c r="CB5" s="47">
        <f t="shared" si="4"/>
        <v>0</v>
      </c>
      <c r="CC5" s="47">
        <f t="shared" si="4"/>
        <v>0</v>
      </c>
      <c r="CD5" s="47">
        <f t="shared" si="4"/>
        <v>0</v>
      </c>
      <c r="CE5" s="47">
        <f t="shared" si="4"/>
        <v>0</v>
      </c>
      <c r="CF5" s="47">
        <f t="shared" si="4"/>
        <v>0</v>
      </c>
      <c r="CG5" s="47">
        <f t="shared" si="4"/>
        <v>0</v>
      </c>
      <c r="CH5" s="47">
        <f t="shared" si="4"/>
        <v>0</v>
      </c>
      <c r="CI5" s="47">
        <f t="shared" ref="CI5:CX6" si="5">SUMIFS(CI$12:CI$38,$E$12:$E$38,$E5)</f>
        <v>0</v>
      </c>
      <c r="CJ5" s="47">
        <f t="shared" si="5"/>
        <v>0</v>
      </c>
      <c r="CK5" s="47">
        <f t="shared" si="5"/>
        <v>0</v>
      </c>
      <c r="CL5" s="47">
        <f t="shared" si="5"/>
        <v>5.0331234500000006</v>
      </c>
      <c r="CM5" s="47">
        <f t="shared" si="5"/>
        <v>0</v>
      </c>
      <c r="CN5" s="47">
        <f t="shared" si="5"/>
        <v>0</v>
      </c>
      <c r="CO5" s="47">
        <f t="shared" si="5"/>
        <v>0</v>
      </c>
      <c r="CP5" s="47">
        <f t="shared" si="5"/>
        <v>0</v>
      </c>
      <c r="CQ5" s="47">
        <f t="shared" si="5"/>
        <v>0</v>
      </c>
      <c r="CR5" s="47">
        <f t="shared" si="5"/>
        <v>0</v>
      </c>
      <c r="CS5" s="47">
        <f t="shared" si="5"/>
        <v>0</v>
      </c>
      <c r="CT5" s="49">
        <f t="shared" si="5"/>
        <v>0</v>
      </c>
      <c r="CU5" s="225"/>
      <c r="CV5" s="207">
        <f t="shared" si="5"/>
        <v>5803.8884736999998</v>
      </c>
      <c r="CW5" s="42">
        <f t="shared" si="5"/>
        <v>2640.5683138599998</v>
      </c>
      <c r="CX5" s="42">
        <f t="shared" si="5"/>
        <v>253.80618235</v>
      </c>
      <c r="CY5" s="43">
        <f t="shared" ref="CV5:CZ6" si="6">SUMIFS(CY$12:CY$38,$E$12:$E$38,$E5)</f>
        <v>2909.5139774899999</v>
      </c>
      <c r="CZ5" s="50">
        <f t="shared" si="6"/>
        <v>5550.0822913500006</v>
      </c>
    </row>
    <row r="6" spans="1:104" s="44" customFormat="1" ht="17.55" customHeight="1" x14ac:dyDescent="0.3">
      <c r="D6" s="230"/>
      <c r="E6" s="84" t="s">
        <v>349</v>
      </c>
      <c r="F6" s="41">
        <f t="shared" ref="F6" si="7">SUMIFS(F$12:F$38,$E$12:$E$38,$E6)</f>
        <v>0</v>
      </c>
      <c r="G6" s="42">
        <f t="shared" si="0"/>
        <v>0</v>
      </c>
      <c r="H6" s="42">
        <f t="shared" si="0"/>
        <v>0</v>
      </c>
      <c r="I6" s="42">
        <f t="shared" si="0"/>
        <v>36.935740740000007</v>
      </c>
      <c r="J6" s="42">
        <f t="shared" si="0"/>
        <v>0</v>
      </c>
      <c r="K6" s="42">
        <f t="shared" si="0"/>
        <v>0</v>
      </c>
      <c r="L6" s="42">
        <f t="shared" si="0"/>
        <v>0</v>
      </c>
      <c r="M6" s="42">
        <f t="shared" si="0"/>
        <v>0</v>
      </c>
      <c r="N6" s="42">
        <f t="shared" si="0"/>
        <v>0</v>
      </c>
      <c r="O6" s="42">
        <f t="shared" si="0"/>
        <v>1.1973179599999999</v>
      </c>
      <c r="P6" s="42">
        <f t="shared" si="0"/>
        <v>0</v>
      </c>
      <c r="Q6" s="42">
        <f t="shared" si="0"/>
        <v>2.2893304100000003</v>
      </c>
      <c r="R6" s="42">
        <f t="shared" si="0"/>
        <v>0</v>
      </c>
      <c r="S6" s="42">
        <f t="shared" si="0"/>
        <v>0</v>
      </c>
      <c r="T6" s="42">
        <f t="shared" si="0"/>
        <v>0</v>
      </c>
      <c r="U6" s="42">
        <f t="shared" si="0"/>
        <v>3.7302722799999999</v>
      </c>
      <c r="V6" s="42">
        <f t="shared" si="0"/>
        <v>0</v>
      </c>
      <c r="W6" s="42">
        <f t="shared" si="1"/>
        <v>0</v>
      </c>
      <c r="X6" s="42">
        <f t="shared" si="1"/>
        <v>0</v>
      </c>
      <c r="Y6" s="42">
        <f t="shared" si="1"/>
        <v>0</v>
      </c>
      <c r="Z6" s="42">
        <f t="shared" si="1"/>
        <v>2.87146342</v>
      </c>
      <c r="AA6" s="42">
        <f t="shared" si="1"/>
        <v>4.5516993699999997</v>
      </c>
      <c r="AB6" s="42">
        <f t="shared" si="1"/>
        <v>2.0403898599999999</v>
      </c>
      <c r="AC6" s="42">
        <f t="shared" si="1"/>
        <v>0</v>
      </c>
      <c r="AD6" s="42">
        <f t="shared" si="1"/>
        <v>0</v>
      </c>
      <c r="AE6" s="42">
        <f t="shared" si="1"/>
        <v>0</v>
      </c>
      <c r="AF6" s="42">
        <f t="shared" si="1"/>
        <v>0</v>
      </c>
      <c r="AG6" s="42">
        <f t="shared" si="1"/>
        <v>0</v>
      </c>
      <c r="AH6" s="42">
        <f t="shared" si="1"/>
        <v>0</v>
      </c>
      <c r="AI6" s="42">
        <f t="shared" si="1"/>
        <v>0</v>
      </c>
      <c r="AJ6" s="42">
        <f t="shared" si="1"/>
        <v>0</v>
      </c>
      <c r="AK6" s="41">
        <f t="shared" si="1"/>
        <v>0</v>
      </c>
      <c r="AL6" s="42">
        <f t="shared" si="1"/>
        <v>0</v>
      </c>
      <c r="AM6" s="42">
        <f t="shared" si="2"/>
        <v>0</v>
      </c>
      <c r="AN6" s="42">
        <f t="shared" si="2"/>
        <v>36.935740740000007</v>
      </c>
      <c r="AO6" s="42">
        <f t="shared" si="2"/>
        <v>0</v>
      </c>
      <c r="AP6" s="42">
        <f t="shared" si="2"/>
        <v>0</v>
      </c>
      <c r="AQ6" s="42">
        <f t="shared" si="2"/>
        <v>0</v>
      </c>
      <c r="AR6" s="42">
        <f t="shared" si="2"/>
        <v>0</v>
      </c>
      <c r="AS6" s="42">
        <f t="shared" si="2"/>
        <v>0</v>
      </c>
      <c r="AT6" s="42">
        <f t="shared" si="2"/>
        <v>0</v>
      </c>
      <c r="AU6" s="42">
        <f t="shared" si="2"/>
        <v>0</v>
      </c>
      <c r="AV6" s="42">
        <f t="shared" si="2"/>
        <v>0</v>
      </c>
      <c r="AW6" s="42">
        <f t="shared" si="2"/>
        <v>0</v>
      </c>
      <c r="AX6" s="42">
        <f t="shared" si="2"/>
        <v>0</v>
      </c>
      <c r="AY6" s="42">
        <f t="shared" si="2"/>
        <v>0</v>
      </c>
      <c r="AZ6" s="42">
        <f t="shared" si="2"/>
        <v>0</v>
      </c>
      <c r="BA6" s="42">
        <f t="shared" si="2"/>
        <v>0</v>
      </c>
      <c r="BB6" s="42">
        <f t="shared" si="2"/>
        <v>0</v>
      </c>
      <c r="BC6" s="42">
        <f t="shared" si="3"/>
        <v>0</v>
      </c>
      <c r="BD6" s="42">
        <f t="shared" si="3"/>
        <v>0</v>
      </c>
      <c r="BE6" s="42">
        <f t="shared" si="3"/>
        <v>0</v>
      </c>
      <c r="BF6" s="42">
        <f t="shared" si="3"/>
        <v>0</v>
      </c>
      <c r="BG6" s="42">
        <f t="shared" si="3"/>
        <v>0</v>
      </c>
      <c r="BH6" s="42">
        <f t="shared" si="3"/>
        <v>0</v>
      </c>
      <c r="BI6" s="42">
        <f t="shared" si="3"/>
        <v>0</v>
      </c>
      <c r="BJ6" s="42">
        <f t="shared" si="3"/>
        <v>0</v>
      </c>
      <c r="BK6" s="42">
        <f t="shared" si="3"/>
        <v>0</v>
      </c>
      <c r="BL6" s="42">
        <f t="shared" si="3"/>
        <v>0</v>
      </c>
      <c r="BM6" s="42">
        <f t="shared" si="3"/>
        <v>0</v>
      </c>
      <c r="BN6" s="42">
        <f t="shared" si="3"/>
        <v>0</v>
      </c>
      <c r="BO6" s="43">
        <f t="shared" si="3"/>
        <v>0</v>
      </c>
      <c r="BP6" s="41">
        <f t="shared" si="3"/>
        <v>0</v>
      </c>
      <c r="BQ6" s="42">
        <f t="shared" si="3"/>
        <v>0</v>
      </c>
      <c r="BR6" s="42">
        <f t="shared" si="3"/>
        <v>0</v>
      </c>
      <c r="BS6" s="42">
        <f t="shared" si="4"/>
        <v>0</v>
      </c>
      <c r="BT6" s="42">
        <f t="shared" si="4"/>
        <v>0</v>
      </c>
      <c r="BU6" s="42">
        <f t="shared" si="4"/>
        <v>0</v>
      </c>
      <c r="BV6" s="42">
        <f t="shared" si="4"/>
        <v>0</v>
      </c>
      <c r="BW6" s="42">
        <f t="shared" si="4"/>
        <v>0</v>
      </c>
      <c r="BX6" s="42">
        <f t="shared" si="4"/>
        <v>0</v>
      </c>
      <c r="BY6" s="42">
        <f t="shared" si="4"/>
        <v>0</v>
      </c>
      <c r="BZ6" s="42">
        <f t="shared" si="4"/>
        <v>0</v>
      </c>
      <c r="CA6" s="42">
        <f t="shared" si="4"/>
        <v>0</v>
      </c>
      <c r="CB6" s="42">
        <f t="shared" si="4"/>
        <v>0</v>
      </c>
      <c r="CC6" s="42">
        <f t="shared" si="4"/>
        <v>0</v>
      </c>
      <c r="CD6" s="42">
        <f t="shared" si="4"/>
        <v>0</v>
      </c>
      <c r="CE6" s="42">
        <f t="shared" si="4"/>
        <v>0</v>
      </c>
      <c r="CF6" s="42">
        <f t="shared" si="4"/>
        <v>0</v>
      </c>
      <c r="CG6" s="42">
        <f t="shared" si="4"/>
        <v>0</v>
      </c>
      <c r="CH6" s="42">
        <f t="shared" si="4"/>
        <v>0</v>
      </c>
      <c r="CI6" s="42">
        <f t="shared" si="5"/>
        <v>0</v>
      </c>
      <c r="CJ6" s="42">
        <f t="shared" si="5"/>
        <v>0</v>
      </c>
      <c r="CK6" s="42">
        <f t="shared" si="5"/>
        <v>0</v>
      </c>
      <c r="CL6" s="42">
        <f t="shared" si="5"/>
        <v>2.0403898599999999</v>
      </c>
      <c r="CM6" s="42">
        <f t="shared" si="5"/>
        <v>0</v>
      </c>
      <c r="CN6" s="42">
        <f t="shared" si="5"/>
        <v>0</v>
      </c>
      <c r="CO6" s="42">
        <f t="shared" si="5"/>
        <v>0</v>
      </c>
      <c r="CP6" s="42">
        <f t="shared" si="5"/>
        <v>0</v>
      </c>
      <c r="CQ6" s="42">
        <f t="shared" si="5"/>
        <v>0</v>
      </c>
      <c r="CR6" s="42">
        <f t="shared" si="5"/>
        <v>0</v>
      </c>
      <c r="CS6" s="42">
        <f t="shared" si="5"/>
        <v>0</v>
      </c>
      <c r="CT6" s="50">
        <f t="shared" si="5"/>
        <v>0</v>
      </c>
      <c r="CU6" s="225"/>
      <c r="CV6" s="207">
        <f t="shared" si="6"/>
        <v>53.616214040000003</v>
      </c>
      <c r="CW6" s="42">
        <f t="shared" si="6"/>
        <v>36.935740740000007</v>
      </c>
      <c r="CX6" s="42">
        <f t="shared" si="6"/>
        <v>2.0403898599999999</v>
      </c>
      <c r="CY6" s="43">
        <f t="shared" si="6"/>
        <v>14.64008344</v>
      </c>
      <c r="CZ6" s="50">
        <f t="shared" si="6"/>
        <v>51.575824180000005</v>
      </c>
    </row>
    <row r="7" spans="1:104" s="44" customFormat="1" ht="17.55" customHeight="1" x14ac:dyDescent="0.3">
      <c r="D7" s="217" t="s">
        <v>798</v>
      </c>
      <c r="E7" s="218"/>
      <c r="F7" s="199">
        <f>SUM(F5:F6)</f>
        <v>0</v>
      </c>
      <c r="G7" s="200">
        <f t="shared" ref="G7:BR7" si="8">SUM(G5:G6)</f>
        <v>72.322370919999997</v>
      </c>
      <c r="H7" s="200">
        <f t="shared" si="8"/>
        <v>7.4018064000000008</v>
      </c>
      <c r="I7" s="200">
        <f t="shared" si="8"/>
        <v>2043.9134094600004</v>
      </c>
      <c r="J7" s="200">
        <f t="shared" si="8"/>
        <v>412.16534659000001</v>
      </c>
      <c r="K7" s="200">
        <f t="shared" si="8"/>
        <v>240.01606830999998</v>
      </c>
      <c r="L7" s="200">
        <f t="shared" si="8"/>
        <v>146.98150742999999</v>
      </c>
      <c r="M7" s="200">
        <f t="shared" si="8"/>
        <v>3.4766043900000003</v>
      </c>
      <c r="N7" s="200">
        <f t="shared" si="8"/>
        <v>56.361792239999993</v>
      </c>
      <c r="O7" s="200">
        <f t="shared" si="8"/>
        <v>362.98244394</v>
      </c>
      <c r="P7" s="200">
        <f t="shared" si="8"/>
        <v>338.73577638</v>
      </c>
      <c r="Q7" s="200">
        <f t="shared" si="8"/>
        <v>85.205851540000012</v>
      </c>
      <c r="R7" s="200">
        <f t="shared" si="8"/>
        <v>420.48391662</v>
      </c>
      <c r="S7" s="200">
        <f t="shared" si="8"/>
        <v>249.37757734000002</v>
      </c>
      <c r="T7" s="200">
        <f t="shared" si="8"/>
        <v>274.72876844999996</v>
      </c>
      <c r="U7" s="200">
        <f t="shared" si="8"/>
        <v>3.7302722799999999</v>
      </c>
      <c r="V7" s="200">
        <f t="shared" si="8"/>
        <v>60.633634700000002</v>
      </c>
      <c r="W7" s="200">
        <f t="shared" si="8"/>
        <v>306.97349281999999</v>
      </c>
      <c r="X7" s="200">
        <f t="shared" si="8"/>
        <v>113.52305103</v>
      </c>
      <c r="Y7" s="200">
        <f t="shared" si="8"/>
        <v>93.263666999999998</v>
      </c>
      <c r="Z7" s="200">
        <f t="shared" si="8"/>
        <v>205.00754549999999</v>
      </c>
      <c r="AA7" s="200">
        <f t="shared" si="8"/>
        <v>4.5516993699999997</v>
      </c>
      <c r="AB7" s="200">
        <f t="shared" si="8"/>
        <v>111.80049799000001</v>
      </c>
      <c r="AC7" s="200">
        <f t="shared" si="8"/>
        <v>117.34439656999999</v>
      </c>
      <c r="AD7" s="200">
        <f t="shared" si="8"/>
        <v>0</v>
      </c>
      <c r="AE7" s="200">
        <f t="shared" si="8"/>
        <v>126.52319047</v>
      </c>
      <c r="AF7" s="200">
        <f t="shared" si="8"/>
        <v>0</v>
      </c>
      <c r="AG7" s="200">
        <f t="shared" si="8"/>
        <v>0</v>
      </c>
      <c r="AH7" s="200">
        <f t="shared" si="8"/>
        <v>0</v>
      </c>
      <c r="AI7" s="200">
        <f t="shared" si="8"/>
        <v>0</v>
      </c>
      <c r="AJ7" s="200">
        <f t="shared" si="8"/>
        <v>0</v>
      </c>
      <c r="AK7" s="199">
        <f t="shared" si="8"/>
        <v>0</v>
      </c>
      <c r="AL7" s="200">
        <f t="shared" si="8"/>
        <v>72.322370919999997</v>
      </c>
      <c r="AM7" s="200">
        <f t="shared" si="8"/>
        <v>7.4018064000000008</v>
      </c>
      <c r="AN7" s="200">
        <f t="shared" si="8"/>
        <v>1906.7922332600003</v>
      </c>
      <c r="AO7" s="200">
        <f t="shared" si="8"/>
        <v>412.16534659000001</v>
      </c>
      <c r="AP7" s="200">
        <f t="shared" si="8"/>
        <v>131.84079</v>
      </c>
      <c r="AQ7" s="200">
        <f t="shared" si="8"/>
        <v>146.98150742999999</v>
      </c>
      <c r="AR7" s="200">
        <f t="shared" si="8"/>
        <v>0</v>
      </c>
      <c r="AS7" s="200">
        <f t="shared" si="8"/>
        <v>0</v>
      </c>
      <c r="AT7" s="200">
        <f t="shared" si="8"/>
        <v>0</v>
      </c>
      <c r="AU7" s="200">
        <f t="shared" si="8"/>
        <v>0</v>
      </c>
      <c r="AV7" s="200">
        <f t="shared" si="8"/>
        <v>0</v>
      </c>
      <c r="AW7" s="200">
        <f t="shared" si="8"/>
        <v>0</v>
      </c>
      <c r="AX7" s="200">
        <f t="shared" si="8"/>
        <v>0</v>
      </c>
      <c r="AY7" s="200">
        <f t="shared" si="8"/>
        <v>0</v>
      </c>
      <c r="AZ7" s="200">
        <f t="shared" si="8"/>
        <v>0</v>
      </c>
      <c r="BA7" s="200">
        <f t="shared" si="8"/>
        <v>0</v>
      </c>
      <c r="BB7" s="200">
        <f t="shared" si="8"/>
        <v>0</v>
      </c>
      <c r="BC7" s="200">
        <f t="shared" si="8"/>
        <v>0</v>
      </c>
      <c r="BD7" s="200">
        <f t="shared" si="8"/>
        <v>0</v>
      </c>
      <c r="BE7" s="200">
        <f t="shared" si="8"/>
        <v>0</v>
      </c>
      <c r="BF7" s="200">
        <f t="shared" si="8"/>
        <v>0</v>
      </c>
      <c r="BG7" s="200">
        <f t="shared" si="8"/>
        <v>0</v>
      </c>
      <c r="BH7" s="200">
        <f t="shared" si="8"/>
        <v>0</v>
      </c>
      <c r="BI7" s="200">
        <f t="shared" si="8"/>
        <v>0</v>
      </c>
      <c r="BJ7" s="200">
        <f t="shared" si="8"/>
        <v>0</v>
      </c>
      <c r="BK7" s="200">
        <f t="shared" si="8"/>
        <v>0</v>
      </c>
      <c r="BL7" s="200">
        <f t="shared" si="8"/>
        <v>0</v>
      </c>
      <c r="BM7" s="200">
        <f t="shared" si="8"/>
        <v>0</v>
      </c>
      <c r="BN7" s="200">
        <f t="shared" si="8"/>
        <v>0</v>
      </c>
      <c r="BO7" s="201">
        <f t="shared" si="8"/>
        <v>0</v>
      </c>
      <c r="BP7" s="199">
        <f t="shared" si="8"/>
        <v>0</v>
      </c>
      <c r="BQ7" s="200">
        <f t="shared" si="8"/>
        <v>0</v>
      </c>
      <c r="BR7" s="200">
        <f t="shared" si="8"/>
        <v>0</v>
      </c>
      <c r="BS7" s="200">
        <f t="shared" ref="BS7:CT7" si="9">SUM(BS5:BS6)</f>
        <v>137.12117619999998</v>
      </c>
      <c r="BT7" s="200">
        <f t="shared" si="9"/>
        <v>0</v>
      </c>
      <c r="BU7" s="200">
        <f t="shared" si="9"/>
        <v>108.17527831</v>
      </c>
      <c r="BV7" s="200">
        <f t="shared" si="9"/>
        <v>0</v>
      </c>
      <c r="BW7" s="200">
        <f t="shared" si="9"/>
        <v>3.4766043900000003</v>
      </c>
      <c r="BX7" s="200">
        <f t="shared" si="9"/>
        <v>0</v>
      </c>
      <c r="BY7" s="200">
        <f t="shared" si="9"/>
        <v>0</v>
      </c>
      <c r="BZ7" s="200">
        <f t="shared" si="9"/>
        <v>0</v>
      </c>
      <c r="CA7" s="200">
        <f t="shared" si="9"/>
        <v>0</v>
      </c>
      <c r="CB7" s="200">
        <f t="shared" si="9"/>
        <v>0</v>
      </c>
      <c r="CC7" s="200">
        <f t="shared" si="9"/>
        <v>0</v>
      </c>
      <c r="CD7" s="200">
        <f t="shared" si="9"/>
        <v>0</v>
      </c>
      <c r="CE7" s="200">
        <f t="shared" si="9"/>
        <v>0</v>
      </c>
      <c r="CF7" s="200">
        <f t="shared" si="9"/>
        <v>0</v>
      </c>
      <c r="CG7" s="200">
        <f t="shared" si="9"/>
        <v>0</v>
      </c>
      <c r="CH7" s="200">
        <f t="shared" si="9"/>
        <v>0</v>
      </c>
      <c r="CI7" s="200">
        <f t="shared" si="9"/>
        <v>0</v>
      </c>
      <c r="CJ7" s="200">
        <f t="shared" si="9"/>
        <v>0</v>
      </c>
      <c r="CK7" s="200">
        <f t="shared" si="9"/>
        <v>0</v>
      </c>
      <c r="CL7" s="200">
        <f t="shared" si="9"/>
        <v>7.0735133100000009</v>
      </c>
      <c r="CM7" s="200">
        <f t="shared" si="9"/>
        <v>0</v>
      </c>
      <c r="CN7" s="200">
        <f t="shared" si="9"/>
        <v>0</v>
      </c>
      <c r="CO7" s="200">
        <f t="shared" si="9"/>
        <v>0</v>
      </c>
      <c r="CP7" s="200">
        <f t="shared" si="9"/>
        <v>0</v>
      </c>
      <c r="CQ7" s="200">
        <f t="shared" si="9"/>
        <v>0</v>
      </c>
      <c r="CR7" s="200">
        <f t="shared" si="9"/>
        <v>0</v>
      </c>
      <c r="CS7" s="200">
        <f t="shared" si="9"/>
        <v>0</v>
      </c>
      <c r="CT7" s="202">
        <f t="shared" si="9"/>
        <v>0</v>
      </c>
      <c r="CU7" s="226"/>
      <c r="CV7" s="203">
        <f t="shared" ref="CV7" si="10">SUM(CV5:CV6)</f>
        <v>5857.50468774</v>
      </c>
      <c r="CW7" s="204">
        <f t="shared" ref="CW7" si="11">SUM(CW5:CW6)</f>
        <v>2677.5040545999996</v>
      </c>
      <c r="CX7" s="204">
        <f t="shared" ref="CX7" si="12">SUM(CX5:CX6)</f>
        <v>255.84657221000001</v>
      </c>
      <c r="CY7" s="205">
        <f t="shared" ref="CY7" si="13">SUM(CY5:CY6)</f>
        <v>2924.15406093</v>
      </c>
      <c r="CZ7" s="206">
        <f t="shared" ref="CZ7" si="14">SUM(CZ5:CZ6)</f>
        <v>5601.6581155300009</v>
      </c>
    </row>
    <row r="8" spans="1:104" ht="5.0999999999999996" customHeight="1" x14ac:dyDescent="0.3"/>
    <row r="9" spans="1:104" ht="5.0999999999999996" customHeight="1" x14ac:dyDescent="0.3"/>
    <row r="10" spans="1:104" ht="17.55" customHeight="1" x14ac:dyDescent="0.3">
      <c r="A10" s="38" t="s">
        <v>439</v>
      </c>
      <c r="B10" s="38" t="s">
        <v>439</v>
      </c>
      <c r="D10" s="233" t="s">
        <v>787</v>
      </c>
      <c r="E10" s="233" t="s">
        <v>416</v>
      </c>
      <c r="F10" s="145" t="s">
        <v>433</v>
      </c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85"/>
      <c r="AK10" s="187" t="s">
        <v>792</v>
      </c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8"/>
      <c r="BP10" s="145" t="s">
        <v>429</v>
      </c>
      <c r="BQ10" s="146"/>
      <c r="BR10" s="146"/>
      <c r="BS10" s="146"/>
      <c r="BT10" s="146"/>
      <c r="BU10" s="146"/>
      <c r="BV10" s="146"/>
      <c r="BW10" s="146"/>
      <c r="BX10" s="146"/>
      <c r="BY10" s="146"/>
      <c r="BZ10" s="146"/>
      <c r="CA10" s="146"/>
      <c r="CB10" s="146"/>
      <c r="CC10" s="146"/>
      <c r="CD10" s="146"/>
      <c r="CE10" s="146"/>
      <c r="CF10" s="146"/>
      <c r="CG10" s="146"/>
      <c r="CH10" s="146"/>
      <c r="CI10" s="146"/>
      <c r="CJ10" s="146"/>
      <c r="CK10" s="146"/>
      <c r="CL10" s="146"/>
      <c r="CM10" s="146"/>
      <c r="CN10" s="146"/>
      <c r="CO10" s="146"/>
      <c r="CP10" s="146"/>
      <c r="CQ10" s="146"/>
      <c r="CR10" s="146"/>
      <c r="CS10" s="146"/>
      <c r="CT10" s="185"/>
      <c r="CV10" s="189" t="s">
        <v>795</v>
      </c>
      <c r="CW10" s="190" t="s">
        <v>867</v>
      </c>
      <c r="CX10" s="191" t="s">
        <v>429</v>
      </c>
      <c r="CY10" s="192" t="s">
        <v>866</v>
      </c>
      <c r="CZ10" s="197" t="s">
        <v>796</v>
      </c>
    </row>
    <row r="11" spans="1:104" s="44" customFormat="1" ht="17.55" customHeight="1" thickBot="1" x14ac:dyDescent="0.35">
      <c r="D11" s="234"/>
      <c r="E11" s="235"/>
      <c r="F11" s="148">
        <v>1</v>
      </c>
      <c r="G11" s="149">
        <v>2</v>
      </c>
      <c r="H11" s="149">
        <v>3</v>
      </c>
      <c r="I11" s="149">
        <v>4</v>
      </c>
      <c r="J11" s="149">
        <v>5</v>
      </c>
      <c r="K11" s="149">
        <v>6</v>
      </c>
      <c r="L11" s="149">
        <v>7</v>
      </c>
      <c r="M11" s="149">
        <v>8</v>
      </c>
      <c r="N11" s="149">
        <v>9</v>
      </c>
      <c r="O11" s="149">
        <v>10</v>
      </c>
      <c r="P11" s="149">
        <v>11</v>
      </c>
      <c r="Q11" s="149">
        <v>12</v>
      </c>
      <c r="R11" s="149">
        <v>13</v>
      </c>
      <c r="S11" s="149">
        <v>14</v>
      </c>
      <c r="T11" s="149">
        <v>15</v>
      </c>
      <c r="U11" s="149">
        <v>16</v>
      </c>
      <c r="V11" s="149">
        <v>17</v>
      </c>
      <c r="W11" s="149">
        <v>18</v>
      </c>
      <c r="X11" s="149">
        <v>19</v>
      </c>
      <c r="Y11" s="149">
        <v>20</v>
      </c>
      <c r="Z11" s="149">
        <v>21</v>
      </c>
      <c r="AA11" s="149">
        <v>22</v>
      </c>
      <c r="AB11" s="149">
        <v>23</v>
      </c>
      <c r="AC11" s="149">
        <v>24</v>
      </c>
      <c r="AD11" s="149">
        <v>25</v>
      </c>
      <c r="AE11" s="149">
        <v>26</v>
      </c>
      <c r="AF11" s="149">
        <v>27</v>
      </c>
      <c r="AG11" s="149">
        <v>28</v>
      </c>
      <c r="AH11" s="149">
        <v>29</v>
      </c>
      <c r="AI11" s="149">
        <v>30</v>
      </c>
      <c r="AJ11" s="184">
        <v>31</v>
      </c>
      <c r="AK11" s="186">
        <v>1</v>
      </c>
      <c r="AL11" s="186">
        <v>2</v>
      </c>
      <c r="AM11" s="186">
        <v>3</v>
      </c>
      <c r="AN11" s="186">
        <v>4</v>
      </c>
      <c r="AO11" s="186">
        <v>5</v>
      </c>
      <c r="AP11" s="186">
        <v>6</v>
      </c>
      <c r="AQ11" s="186">
        <v>7</v>
      </c>
      <c r="AR11" s="186">
        <v>8</v>
      </c>
      <c r="AS11" s="186">
        <v>9</v>
      </c>
      <c r="AT11" s="186">
        <v>10</v>
      </c>
      <c r="AU11" s="186">
        <v>11</v>
      </c>
      <c r="AV11" s="186">
        <v>12</v>
      </c>
      <c r="AW11" s="186">
        <v>13</v>
      </c>
      <c r="AX11" s="186">
        <v>14</v>
      </c>
      <c r="AY11" s="186">
        <v>15</v>
      </c>
      <c r="AZ11" s="186">
        <v>16</v>
      </c>
      <c r="BA11" s="186">
        <v>17</v>
      </c>
      <c r="BB11" s="186">
        <v>18</v>
      </c>
      <c r="BC11" s="186">
        <v>19</v>
      </c>
      <c r="BD11" s="186">
        <v>20</v>
      </c>
      <c r="BE11" s="186">
        <v>21</v>
      </c>
      <c r="BF11" s="186">
        <v>22</v>
      </c>
      <c r="BG11" s="186">
        <v>23</v>
      </c>
      <c r="BH11" s="186">
        <v>24</v>
      </c>
      <c r="BI11" s="186">
        <v>25</v>
      </c>
      <c r="BJ11" s="186">
        <v>26</v>
      </c>
      <c r="BK11" s="186">
        <v>27</v>
      </c>
      <c r="BL11" s="186">
        <v>28</v>
      </c>
      <c r="BM11" s="186">
        <v>29</v>
      </c>
      <c r="BN11" s="186">
        <v>30</v>
      </c>
      <c r="BO11" s="186">
        <v>31</v>
      </c>
      <c r="BP11" s="148">
        <v>1</v>
      </c>
      <c r="BQ11" s="149">
        <v>2</v>
      </c>
      <c r="BR11" s="149">
        <v>3</v>
      </c>
      <c r="BS11" s="149">
        <v>4</v>
      </c>
      <c r="BT11" s="149">
        <v>5</v>
      </c>
      <c r="BU11" s="149">
        <v>6</v>
      </c>
      <c r="BV11" s="149">
        <v>7</v>
      </c>
      <c r="BW11" s="149">
        <v>8</v>
      </c>
      <c r="BX11" s="149">
        <v>9</v>
      </c>
      <c r="BY11" s="149">
        <v>10</v>
      </c>
      <c r="BZ11" s="149">
        <v>11</v>
      </c>
      <c r="CA11" s="149">
        <v>12</v>
      </c>
      <c r="CB11" s="149">
        <v>13</v>
      </c>
      <c r="CC11" s="149">
        <v>14</v>
      </c>
      <c r="CD11" s="149">
        <v>15</v>
      </c>
      <c r="CE11" s="149">
        <v>16</v>
      </c>
      <c r="CF11" s="149">
        <v>17</v>
      </c>
      <c r="CG11" s="149">
        <v>18</v>
      </c>
      <c r="CH11" s="149">
        <v>19</v>
      </c>
      <c r="CI11" s="149">
        <v>20</v>
      </c>
      <c r="CJ11" s="149">
        <v>21</v>
      </c>
      <c r="CK11" s="149">
        <v>22</v>
      </c>
      <c r="CL11" s="149">
        <v>23</v>
      </c>
      <c r="CM11" s="149">
        <v>24</v>
      </c>
      <c r="CN11" s="149">
        <v>25</v>
      </c>
      <c r="CO11" s="149">
        <v>26</v>
      </c>
      <c r="CP11" s="149">
        <v>27</v>
      </c>
      <c r="CQ11" s="149">
        <v>28</v>
      </c>
      <c r="CR11" s="149">
        <v>29</v>
      </c>
      <c r="CS11" s="149">
        <v>30</v>
      </c>
      <c r="CT11" s="184">
        <v>31</v>
      </c>
      <c r="CU11" s="225"/>
      <c r="CV11" s="193"/>
      <c r="CW11" s="194"/>
      <c r="CX11" s="195"/>
      <c r="CY11" s="196"/>
      <c r="CZ11" s="198"/>
    </row>
    <row r="12" spans="1:104" ht="15" customHeight="1" thickTop="1" x14ac:dyDescent="0.3">
      <c r="A12" s="51"/>
      <c r="B12" s="52" t="s">
        <v>465</v>
      </c>
      <c r="C12" s="51"/>
      <c r="D12" s="231" t="s">
        <v>465</v>
      </c>
      <c r="E12" s="85" t="s">
        <v>132</v>
      </c>
      <c r="F12" s="46">
        <f t="shared" ref="F12:O13" si="15">SUMIFS(F$42:F$170,$A$42:$A$170,$B12,$E$42:$E$170,$E12)</f>
        <v>0</v>
      </c>
      <c r="G12" s="47">
        <f t="shared" si="15"/>
        <v>0</v>
      </c>
      <c r="H12" s="47">
        <f t="shared" si="15"/>
        <v>0</v>
      </c>
      <c r="I12" s="47">
        <f t="shared" si="15"/>
        <v>417.43256442000001</v>
      </c>
      <c r="J12" s="47">
        <f t="shared" si="15"/>
        <v>412.16534659000001</v>
      </c>
      <c r="K12" s="47">
        <f t="shared" si="15"/>
        <v>131.84079</v>
      </c>
      <c r="L12" s="47">
        <f t="shared" si="15"/>
        <v>0</v>
      </c>
      <c r="M12" s="47">
        <f t="shared" si="15"/>
        <v>3.4766043900000003</v>
      </c>
      <c r="N12" s="47">
        <f t="shared" si="15"/>
        <v>3.8406207299999999</v>
      </c>
      <c r="O12" s="47">
        <f t="shared" si="15"/>
        <v>0</v>
      </c>
      <c r="P12" s="47">
        <f t="shared" ref="P12:Y13" si="16">SUMIFS(P$42:P$170,$A$42:$A$170,$B12,$E$42:$E$170,$E12)</f>
        <v>211.84600175</v>
      </c>
      <c r="Q12" s="47">
        <f t="shared" si="16"/>
        <v>7.5072124499999999</v>
      </c>
      <c r="R12" s="47">
        <f t="shared" si="16"/>
        <v>0</v>
      </c>
      <c r="S12" s="47">
        <f t="shared" si="16"/>
        <v>0</v>
      </c>
      <c r="T12" s="47">
        <f t="shared" si="16"/>
        <v>0</v>
      </c>
      <c r="U12" s="47">
        <f t="shared" si="16"/>
        <v>0</v>
      </c>
      <c r="V12" s="47">
        <f t="shared" si="16"/>
        <v>0</v>
      </c>
      <c r="W12" s="47">
        <f t="shared" si="16"/>
        <v>200.07037828</v>
      </c>
      <c r="X12" s="47">
        <f t="shared" si="16"/>
        <v>0</v>
      </c>
      <c r="Y12" s="47">
        <f t="shared" si="16"/>
        <v>89.726350920000002</v>
      </c>
      <c r="Z12" s="47">
        <f t="shared" ref="Z12:AI13" si="17">SUMIFS(Z$42:Z$170,$A$42:$A$170,$B12,$E$42:$E$170,$E12)</f>
        <v>0</v>
      </c>
      <c r="AA12" s="47">
        <f t="shared" si="17"/>
        <v>0</v>
      </c>
      <c r="AB12" s="47">
        <f t="shared" si="17"/>
        <v>104.72698468</v>
      </c>
      <c r="AC12" s="47">
        <f t="shared" si="17"/>
        <v>0</v>
      </c>
      <c r="AD12" s="47">
        <f t="shared" si="17"/>
        <v>0</v>
      </c>
      <c r="AE12" s="47">
        <f t="shared" si="17"/>
        <v>0</v>
      </c>
      <c r="AF12" s="47">
        <f t="shared" si="17"/>
        <v>0</v>
      </c>
      <c r="AG12" s="47">
        <f t="shared" si="17"/>
        <v>0</v>
      </c>
      <c r="AH12" s="47">
        <f t="shared" si="17"/>
        <v>0</v>
      </c>
      <c r="AI12" s="47">
        <f t="shared" si="17"/>
        <v>0</v>
      </c>
      <c r="AJ12" s="48">
        <f t="shared" ref="AJ12:AS13" si="18">SUMIFS(AJ$42:AJ$170,$A$42:$A$170,$B12,$E$42:$E$170,$E12)</f>
        <v>0</v>
      </c>
      <c r="AK12" s="46">
        <f t="shared" si="18"/>
        <v>0</v>
      </c>
      <c r="AL12" s="47">
        <f t="shared" si="18"/>
        <v>0</v>
      </c>
      <c r="AM12" s="47">
        <f t="shared" si="18"/>
        <v>0</v>
      </c>
      <c r="AN12" s="47">
        <f t="shared" si="18"/>
        <v>417.43256442000001</v>
      </c>
      <c r="AO12" s="47">
        <f t="shared" si="18"/>
        <v>412.16534659000001</v>
      </c>
      <c r="AP12" s="47">
        <f t="shared" si="18"/>
        <v>131.84079</v>
      </c>
      <c r="AQ12" s="47">
        <f t="shared" si="18"/>
        <v>0</v>
      </c>
      <c r="AR12" s="47">
        <f t="shared" si="18"/>
        <v>0</v>
      </c>
      <c r="AS12" s="47">
        <f t="shared" si="18"/>
        <v>0</v>
      </c>
      <c r="AT12" s="47">
        <f t="shared" ref="AT12:BC13" si="19">SUMIFS(AT$42:AT$170,$A$42:$A$170,$B12,$E$42:$E$170,$E12)</f>
        <v>0</v>
      </c>
      <c r="AU12" s="47">
        <f t="shared" si="19"/>
        <v>0</v>
      </c>
      <c r="AV12" s="47">
        <f t="shared" si="19"/>
        <v>0</v>
      </c>
      <c r="AW12" s="47">
        <f t="shared" si="19"/>
        <v>0</v>
      </c>
      <c r="AX12" s="47">
        <f t="shared" si="19"/>
        <v>0</v>
      </c>
      <c r="AY12" s="47">
        <f t="shared" si="19"/>
        <v>0</v>
      </c>
      <c r="AZ12" s="47">
        <f t="shared" si="19"/>
        <v>0</v>
      </c>
      <c r="BA12" s="47">
        <f t="shared" si="19"/>
        <v>0</v>
      </c>
      <c r="BB12" s="47">
        <f t="shared" si="19"/>
        <v>0</v>
      </c>
      <c r="BC12" s="47">
        <f t="shared" si="19"/>
        <v>0</v>
      </c>
      <c r="BD12" s="47">
        <f t="shared" ref="BD12:BM13" si="20">SUMIFS(BD$42:BD$170,$A$42:$A$170,$B12,$E$42:$E$170,$E12)</f>
        <v>0</v>
      </c>
      <c r="BE12" s="47">
        <f t="shared" si="20"/>
        <v>0</v>
      </c>
      <c r="BF12" s="47">
        <f t="shared" si="20"/>
        <v>0</v>
      </c>
      <c r="BG12" s="47">
        <f t="shared" si="20"/>
        <v>0</v>
      </c>
      <c r="BH12" s="47">
        <f t="shared" si="20"/>
        <v>0</v>
      </c>
      <c r="BI12" s="47">
        <f t="shared" si="20"/>
        <v>0</v>
      </c>
      <c r="BJ12" s="47">
        <f t="shared" si="20"/>
        <v>0</v>
      </c>
      <c r="BK12" s="47">
        <f t="shared" si="20"/>
        <v>0</v>
      </c>
      <c r="BL12" s="47">
        <f t="shared" si="20"/>
        <v>0</v>
      </c>
      <c r="BM12" s="47">
        <f t="shared" si="20"/>
        <v>0</v>
      </c>
      <c r="BN12" s="47">
        <f t="shared" ref="BN12:BW13" si="21">SUMIFS(BN$42:BN$170,$A$42:$A$170,$B12,$E$42:$E$170,$E12)</f>
        <v>0</v>
      </c>
      <c r="BO12" s="48">
        <f t="shared" si="21"/>
        <v>0</v>
      </c>
      <c r="BP12" s="46">
        <f t="shared" si="21"/>
        <v>0</v>
      </c>
      <c r="BQ12" s="47">
        <f t="shared" si="21"/>
        <v>0</v>
      </c>
      <c r="BR12" s="47">
        <f t="shared" si="21"/>
        <v>0</v>
      </c>
      <c r="BS12" s="47">
        <f t="shared" si="21"/>
        <v>0</v>
      </c>
      <c r="BT12" s="47">
        <f t="shared" si="21"/>
        <v>0</v>
      </c>
      <c r="BU12" s="47">
        <f t="shared" si="21"/>
        <v>0</v>
      </c>
      <c r="BV12" s="47">
        <f t="shared" si="21"/>
        <v>0</v>
      </c>
      <c r="BW12" s="47">
        <f t="shared" si="21"/>
        <v>3.4766043900000003</v>
      </c>
      <c r="BX12" s="47">
        <f t="shared" ref="BX12:CG13" si="22">SUMIFS(BX$42:BX$170,$A$42:$A$170,$B12,$E$42:$E$170,$E12)</f>
        <v>0</v>
      </c>
      <c r="BY12" s="47">
        <f t="shared" si="22"/>
        <v>0</v>
      </c>
      <c r="BZ12" s="47">
        <f t="shared" si="22"/>
        <v>0</v>
      </c>
      <c r="CA12" s="47">
        <f t="shared" si="22"/>
        <v>0</v>
      </c>
      <c r="CB12" s="47">
        <f t="shared" si="22"/>
        <v>0</v>
      </c>
      <c r="CC12" s="47">
        <f t="shared" si="22"/>
        <v>0</v>
      </c>
      <c r="CD12" s="47">
        <f t="shared" si="22"/>
        <v>0</v>
      </c>
      <c r="CE12" s="47">
        <f t="shared" si="22"/>
        <v>0</v>
      </c>
      <c r="CF12" s="47">
        <f t="shared" si="22"/>
        <v>0</v>
      </c>
      <c r="CG12" s="47">
        <f t="shared" si="22"/>
        <v>0</v>
      </c>
      <c r="CH12" s="47">
        <f t="shared" ref="CH12:CT13" si="23">SUMIFS(CH$42:CH$170,$A$42:$A$170,$B12,$E$42:$E$170,$E12)</f>
        <v>0</v>
      </c>
      <c r="CI12" s="47">
        <f t="shared" si="23"/>
        <v>0</v>
      </c>
      <c r="CJ12" s="47">
        <f t="shared" si="23"/>
        <v>0</v>
      </c>
      <c r="CK12" s="47">
        <f t="shared" si="23"/>
        <v>0</v>
      </c>
      <c r="CL12" s="47">
        <f t="shared" si="23"/>
        <v>0</v>
      </c>
      <c r="CM12" s="47">
        <f t="shared" si="23"/>
        <v>0</v>
      </c>
      <c r="CN12" s="47">
        <f t="shared" si="23"/>
        <v>0</v>
      </c>
      <c r="CO12" s="47">
        <f t="shared" si="23"/>
        <v>0</v>
      </c>
      <c r="CP12" s="47">
        <f t="shared" si="23"/>
        <v>0</v>
      </c>
      <c r="CQ12" s="47">
        <f t="shared" si="23"/>
        <v>0</v>
      </c>
      <c r="CR12" s="47">
        <f t="shared" si="23"/>
        <v>0</v>
      </c>
      <c r="CS12" s="47">
        <f t="shared" si="23"/>
        <v>0</v>
      </c>
      <c r="CT12" s="49">
        <f t="shared" si="23"/>
        <v>0</v>
      </c>
      <c r="CV12" s="101">
        <f t="shared" ref="CV12:CZ13" si="24">SUMIFS(CV$42:CV$170,$A$42:$A$170,$B12,$E$42:$E$170,$E12)</f>
        <v>1582.63285421</v>
      </c>
      <c r="CW12" s="102">
        <f t="shared" si="24"/>
        <v>961.43870100999993</v>
      </c>
      <c r="CX12" s="102">
        <f t="shared" si="24"/>
        <v>3.4766043900000003</v>
      </c>
      <c r="CY12" s="103">
        <f t="shared" si="24"/>
        <v>617.71754881000004</v>
      </c>
      <c r="CZ12" s="103">
        <f t="shared" si="24"/>
        <v>1579.1562498200001</v>
      </c>
    </row>
    <row r="13" spans="1:104" ht="15" customHeight="1" x14ac:dyDescent="0.3">
      <c r="A13" s="51"/>
      <c r="B13" s="54" t="s">
        <v>465</v>
      </c>
      <c r="C13" s="51"/>
      <c r="D13" s="232"/>
      <c r="E13" s="40" t="s">
        <v>349</v>
      </c>
      <c r="F13" s="41">
        <f t="shared" si="15"/>
        <v>0</v>
      </c>
      <c r="G13" s="42">
        <f t="shared" si="15"/>
        <v>0</v>
      </c>
      <c r="H13" s="42">
        <f t="shared" si="15"/>
        <v>0</v>
      </c>
      <c r="I13" s="42">
        <f t="shared" si="15"/>
        <v>0</v>
      </c>
      <c r="J13" s="42">
        <f t="shared" si="15"/>
        <v>0</v>
      </c>
      <c r="K13" s="42">
        <f t="shared" si="15"/>
        <v>0</v>
      </c>
      <c r="L13" s="42">
        <f t="shared" si="15"/>
        <v>0</v>
      </c>
      <c r="M13" s="42">
        <f t="shared" si="15"/>
        <v>0</v>
      </c>
      <c r="N13" s="42">
        <f t="shared" si="15"/>
        <v>0</v>
      </c>
      <c r="O13" s="42">
        <f t="shared" si="15"/>
        <v>0</v>
      </c>
      <c r="P13" s="42">
        <f t="shared" si="16"/>
        <v>0</v>
      </c>
      <c r="Q13" s="42">
        <f t="shared" si="16"/>
        <v>0</v>
      </c>
      <c r="R13" s="42">
        <f t="shared" si="16"/>
        <v>0</v>
      </c>
      <c r="S13" s="42">
        <f t="shared" si="16"/>
        <v>0</v>
      </c>
      <c r="T13" s="42">
        <f t="shared" si="16"/>
        <v>0</v>
      </c>
      <c r="U13" s="42">
        <f t="shared" si="16"/>
        <v>0</v>
      </c>
      <c r="V13" s="42">
        <f t="shared" si="16"/>
        <v>0</v>
      </c>
      <c r="W13" s="42">
        <f t="shared" si="16"/>
        <v>0</v>
      </c>
      <c r="X13" s="42">
        <f t="shared" si="16"/>
        <v>0</v>
      </c>
      <c r="Y13" s="42">
        <f t="shared" si="16"/>
        <v>0</v>
      </c>
      <c r="Z13" s="42">
        <f t="shared" si="17"/>
        <v>0</v>
      </c>
      <c r="AA13" s="42">
        <f t="shared" si="17"/>
        <v>0</v>
      </c>
      <c r="AB13" s="42">
        <f t="shared" si="17"/>
        <v>0</v>
      </c>
      <c r="AC13" s="42">
        <f t="shared" si="17"/>
        <v>0</v>
      </c>
      <c r="AD13" s="42">
        <f t="shared" si="17"/>
        <v>0</v>
      </c>
      <c r="AE13" s="42">
        <f t="shared" si="17"/>
        <v>0</v>
      </c>
      <c r="AF13" s="42">
        <f t="shared" si="17"/>
        <v>0</v>
      </c>
      <c r="AG13" s="42">
        <f t="shared" si="17"/>
        <v>0</v>
      </c>
      <c r="AH13" s="42">
        <f t="shared" si="17"/>
        <v>0</v>
      </c>
      <c r="AI13" s="42">
        <f t="shared" si="17"/>
        <v>0</v>
      </c>
      <c r="AJ13" s="43">
        <f t="shared" si="18"/>
        <v>0</v>
      </c>
      <c r="AK13" s="41">
        <f t="shared" si="18"/>
        <v>0</v>
      </c>
      <c r="AL13" s="42">
        <f t="shared" si="18"/>
        <v>0</v>
      </c>
      <c r="AM13" s="42">
        <f t="shared" si="18"/>
        <v>0</v>
      </c>
      <c r="AN13" s="42">
        <f t="shared" si="18"/>
        <v>0</v>
      </c>
      <c r="AO13" s="42">
        <f t="shared" si="18"/>
        <v>0</v>
      </c>
      <c r="AP13" s="42">
        <f t="shared" si="18"/>
        <v>0</v>
      </c>
      <c r="AQ13" s="42">
        <f t="shared" si="18"/>
        <v>0</v>
      </c>
      <c r="AR13" s="42">
        <f t="shared" si="18"/>
        <v>0</v>
      </c>
      <c r="AS13" s="42">
        <f t="shared" si="18"/>
        <v>0</v>
      </c>
      <c r="AT13" s="42">
        <f t="shared" si="19"/>
        <v>0</v>
      </c>
      <c r="AU13" s="42">
        <f t="shared" si="19"/>
        <v>0</v>
      </c>
      <c r="AV13" s="42">
        <f t="shared" si="19"/>
        <v>0</v>
      </c>
      <c r="AW13" s="42">
        <f t="shared" si="19"/>
        <v>0</v>
      </c>
      <c r="AX13" s="42">
        <f t="shared" si="19"/>
        <v>0</v>
      </c>
      <c r="AY13" s="42">
        <f t="shared" si="19"/>
        <v>0</v>
      </c>
      <c r="AZ13" s="42">
        <f t="shared" si="19"/>
        <v>0</v>
      </c>
      <c r="BA13" s="42">
        <f t="shared" si="19"/>
        <v>0</v>
      </c>
      <c r="BB13" s="42">
        <f t="shared" si="19"/>
        <v>0</v>
      </c>
      <c r="BC13" s="42">
        <f t="shared" si="19"/>
        <v>0</v>
      </c>
      <c r="BD13" s="42">
        <f t="shared" si="20"/>
        <v>0</v>
      </c>
      <c r="BE13" s="42">
        <f t="shared" si="20"/>
        <v>0</v>
      </c>
      <c r="BF13" s="42">
        <f t="shared" si="20"/>
        <v>0</v>
      </c>
      <c r="BG13" s="42">
        <f t="shared" si="20"/>
        <v>0</v>
      </c>
      <c r="BH13" s="42">
        <f t="shared" si="20"/>
        <v>0</v>
      </c>
      <c r="BI13" s="42">
        <f t="shared" si="20"/>
        <v>0</v>
      </c>
      <c r="BJ13" s="42">
        <f t="shared" si="20"/>
        <v>0</v>
      </c>
      <c r="BK13" s="42">
        <f t="shared" si="20"/>
        <v>0</v>
      </c>
      <c r="BL13" s="42">
        <f t="shared" si="20"/>
        <v>0</v>
      </c>
      <c r="BM13" s="42">
        <f t="shared" si="20"/>
        <v>0</v>
      </c>
      <c r="BN13" s="42">
        <f t="shared" si="21"/>
        <v>0</v>
      </c>
      <c r="BO13" s="43">
        <f t="shared" si="21"/>
        <v>0</v>
      </c>
      <c r="BP13" s="41">
        <f t="shared" si="21"/>
        <v>0</v>
      </c>
      <c r="BQ13" s="42">
        <f t="shared" si="21"/>
        <v>0</v>
      </c>
      <c r="BR13" s="42">
        <f t="shared" si="21"/>
        <v>0</v>
      </c>
      <c r="BS13" s="42">
        <f t="shared" si="21"/>
        <v>0</v>
      </c>
      <c r="BT13" s="42">
        <f t="shared" si="21"/>
        <v>0</v>
      </c>
      <c r="BU13" s="42">
        <f t="shared" si="21"/>
        <v>0</v>
      </c>
      <c r="BV13" s="42">
        <f t="shared" si="21"/>
        <v>0</v>
      </c>
      <c r="BW13" s="42">
        <f t="shared" si="21"/>
        <v>0</v>
      </c>
      <c r="BX13" s="42">
        <f t="shared" si="22"/>
        <v>0</v>
      </c>
      <c r="BY13" s="42">
        <f t="shared" si="22"/>
        <v>0</v>
      </c>
      <c r="BZ13" s="42">
        <f t="shared" si="22"/>
        <v>0</v>
      </c>
      <c r="CA13" s="42">
        <f t="shared" si="22"/>
        <v>0</v>
      </c>
      <c r="CB13" s="42">
        <f t="shared" si="22"/>
        <v>0</v>
      </c>
      <c r="CC13" s="42">
        <f t="shared" si="22"/>
        <v>0</v>
      </c>
      <c r="CD13" s="42">
        <f t="shared" si="22"/>
        <v>0</v>
      </c>
      <c r="CE13" s="42">
        <f t="shared" si="22"/>
        <v>0</v>
      </c>
      <c r="CF13" s="42">
        <f t="shared" si="22"/>
        <v>0</v>
      </c>
      <c r="CG13" s="42">
        <f t="shared" si="22"/>
        <v>0</v>
      </c>
      <c r="CH13" s="42">
        <f t="shared" si="23"/>
        <v>0</v>
      </c>
      <c r="CI13" s="42">
        <f t="shared" si="23"/>
        <v>0</v>
      </c>
      <c r="CJ13" s="42">
        <f t="shared" si="23"/>
        <v>0</v>
      </c>
      <c r="CK13" s="42">
        <f t="shared" si="23"/>
        <v>0</v>
      </c>
      <c r="CL13" s="42">
        <f t="shared" si="23"/>
        <v>0</v>
      </c>
      <c r="CM13" s="42">
        <f t="shared" si="23"/>
        <v>0</v>
      </c>
      <c r="CN13" s="42">
        <f t="shared" si="23"/>
        <v>0</v>
      </c>
      <c r="CO13" s="42">
        <f t="shared" si="23"/>
        <v>0</v>
      </c>
      <c r="CP13" s="42">
        <f t="shared" si="23"/>
        <v>0</v>
      </c>
      <c r="CQ13" s="42">
        <f t="shared" si="23"/>
        <v>0</v>
      </c>
      <c r="CR13" s="42">
        <f t="shared" si="23"/>
        <v>0</v>
      </c>
      <c r="CS13" s="42">
        <f t="shared" si="23"/>
        <v>0</v>
      </c>
      <c r="CT13" s="50">
        <f t="shared" si="23"/>
        <v>0</v>
      </c>
      <c r="CV13" s="96">
        <f t="shared" si="24"/>
        <v>0</v>
      </c>
      <c r="CW13" s="93">
        <f t="shared" si="24"/>
        <v>0</v>
      </c>
      <c r="CX13" s="93">
        <f t="shared" si="24"/>
        <v>0</v>
      </c>
      <c r="CY13" s="100">
        <f t="shared" si="24"/>
        <v>0</v>
      </c>
      <c r="CZ13" s="100">
        <f t="shared" si="24"/>
        <v>0</v>
      </c>
    </row>
    <row r="14" spans="1:104" s="44" customFormat="1" ht="17.55" customHeight="1" x14ac:dyDescent="0.3">
      <c r="B14" s="44" t="s">
        <v>799</v>
      </c>
      <c r="D14" s="217" t="s">
        <v>799</v>
      </c>
      <c r="E14" s="218"/>
      <c r="F14" s="199">
        <f>SUM(F12:F13)</f>
        <v>0</v>
      </c>
      <c r="G14" s="200">
        <f t="shared" ref="G14" si="25">SUM(G12:G13)</f>
        <v>0</v>
      </c>
      <c r="H14" s="200">
        <f t="shared" ref="H14" si="26">SUM(H12:H13)</f>
        <v>0</v>
      </c>
      <c r="I14" s="200">
        <f t="shared" ref="I14" si="27">SUM(I12:I13)</f>
        <v>417.43256442000001</v>
      </c>
      <c r="J14" s="200">
        <f t="shared" ref="J14" si="28">SUM(J12:J13)</f>
        <v>412.16534659000001</v>
      </c>
      <c r="K14" s="200">
        <f t="shared" ref="K14" si="29">SUM(K12:K13)</f>
        <v>131.84079</v>
      </c>
      <c r="L14" s="200">
        <f t="shared" ref="L14" si="30">SUM(L12:L13)</f>
        <v>0</v>
      </c>
      <c r="M14" s="200">
        <f t="shared" ref="M14" si="31">SUM(M12:M13)</f>
        <v>3.4766043900000003</v>
      </c>
      <c r="N14" s="200">
        <f t="shared" ref="N14" si="32">SUM(N12:N13)</f>
        <v>3.8406207299999999</v>
      </c>
      <c r="O14" s="200">
        <f t="shared" ref="O14" si="33">SUM(O12:O13)</f>
        <v>0</v>
      </c>
      <c r="P14" s="200">
        <f t="shared" ref="P14" si="34">SUM(P12:P13)</f>
        <v>211.84600175</v>
      </c>
      <c r="Q14" s="200">
        <f t="shared" ref="Q14" si="35">SUM(Q12:Q13)</f>
        <v>7.5072124499999999</v>
      </c>
      <c r="R14" s="200">
        <f t="shared" ref="R14" si="36">SUM(R12:R13)</f>
        <v>0</v>
      </c>
      <c r="S14" s="200">
        <f t="shared" ref="S14" si="37">SUM(S12:S13)</f>
        <v>0</v>
      </c>
      <c r="T14" s="200">
        <f t="shared" ref="T14" si="38">SUM(T12:T13)</f>
        <v>0</v>
      </c>
      <c r="U14" s="200">
        <f t="shared" ref="U14" si="39">SUM(U12:U13)</f>
        <v>0</v>
      </c>
      <c r="V14" s="200">
        <f t="shared" ref="V14" si="40">SUM(V12:V13)</f>
        <v>0</v>
      </c>
      <c r="W14" s="200">
        <f t="shared" ref="W14" si="41">SUM(W12:W13)</f>
        <v>200.07037828</v>
      </c>
      <c r="X14" s="200">
        <f t="shared" ref="X14" si="42">SUM(X12:X13)</f>
        <v>0</v>
      </c>
      <c r="Y14" s="200">
        <f t="shared" ref="Y14" si="43">SUM(Y12:Y13)</f>
        <v>89.726350920000002</v>
      </c>
      <c r="Z14" s="200">
        <f t="shared" ref="Z14" si="44">SUM(Z12:Z13)</f>
        <v>0</v>
      </c>
      <c r="AA14" s="200">
        <f t="shared" ref="AA14" si="45">SUM(AA12:AA13)</f>
        <v>0</v>
      </c>
      <c r="AB14" s="200">
        <f t="shared" ref="AB14" si="46">SUM(AB12:AB13)</f>
        <v>104.72698468</v>
      </c>
      <c r="AC14" s="200">
        <f t="shared" ref="AC14" si="47">SUM(AC12:AC13)</f>
        <v>0</v>
      </c>
      <c r="AD14" s="200">
        <f t="shared" ref="AD14" si="48">SUM(AD12:AD13)</f>
        <v>0</v>
      </c>
      <c r="AE14" s="200">
        <f t="shared" ref="AE14" si="49">SUM(AE12:AE13)</f>
        <v>0</v>
      </c>
      <c r="AF14" s="200">
        <f t="shared" ref="AF14" si="50">SUM(AF12:AF13)</f>
        <v>0</v>
      </c>
      <c r="AG14" s="200">
        <f t="shared" ref="AG14" si="51">SUM(AG12:AG13)</f>
        <v>0</v>
      </c>
      <c r="AH14" s="200">
        <f t="shared" ref="AH14" si="52">SUM(AH12:AH13)</f>
        <v>0</v>
      </c>
      <c r="AI14" s="200">
        <f t="shared" ref="AI14" si="53">SUM(AI12:AI13)</f>
        <v>0</v>
      </c>
      <c r="AJ14" s="200">
        <f t="shared" ref="AJ14" si="54">SUM(AJ12:AJ13)</f>
        <v>0</v>
      </c>
      <c r="AK14" s="199">
        <f t="shared" ref="AK14" si="55">SUM(AK12:AK13)</f>
        <v>0</v>
      </c>
      <c r="AL14" s="200">
        <f t="shared" ref="AL14" si="56">SUM(AL12:AL13)</f>
        <v>0</v>
      </c>
      <c r="AM14" s="200">
        <f t="shared" ref="AM14" si="57">SUM(AM12:AM13)</f>
        <v>0</v>
      </c>
      <c r="AN14" s="200">
        <f t="shared" ref="AN14" si="58">SUM(AN12:AN13)</f>
        <v>417.43256442000001</v>
      </c>
      <c r="AO14" s="200">
        <f t="shared" ref="AO14" si="59">SUM(AO12:AO13)</f>
        <v>412.16534659000001</v>
      </c>
      <c r="AP14" s="200">
        <f t="shared" ref="AP14" si="60">SUM(AP12:AP13)</f>
        <v>131.84079</v>
      </c>
      <c r="AQ14" s="200">
        <f t="shared" ref="AQ14" si="61">SUM(AQ12:AQ13)</f>
        <v>0</v>
      </c>
      <c r="AR14" s="200">
        <f t="shared" ref="AR14" si="62">SUM(AR12:AR13)</f>
        <v>0</v>
      </c>
      <c r="AS14" s="200">
        <f t="shared" ref="AS14" si="63">SUM(AS12:AS13)</f>
        <v>0</v>
      </c>
      <c r="AT14" s="200">
        <f t="shared" ref="AT14" si="64">SUM(AT12:AT13)</f>
        <v>0</v>
      </c>
      <c r="AU14" s="200">
        <f t="shared" ref="AU14" si="65">SUM(AU12:AU13)</f>
        <v>0</v>
      </c>
      <c r="AV14" s="200">
        <f t="shared" ref="AV14" si="66">SUM(AV12:AV13)</f>
        <v>0</v>
      </c>
      <c r="AW14" s="200">
        <f t="shared" ref="AW14" si="67">SUM(AW12:AW13)</f>
        <v>0</v>
      </c>
      <c r="AX14" s="200">
        <f t="shared" ref="AX14" si="68">SUM(AX12:AX13)</f>
        <v>0</v>
      </c>
      <c r="AY14" s="200">
        <f t="shared" ref="AY14" si="69">SUM(AY12:AY13)</f>
        <v>0</v>
      </c>
      <c r="AZ14" s="200">
        <f t="shared" ref="AZ14" si="70">SUM(AZ12:AZ13)</f>
        <v>0</v>
      </c>
      <c r="BA14" s="200">
        <f t="shared" ref="BA14" si="71">SUM(BA12:BA13)</f>
        <v>0</v>
      </c>
      <c r="BB14" s="200">
        <f t="shared" ref="BB14" si="72">SUM(BB12:BB13)</f>
        <v>0</v>
      </c>
      <c r="BC14" s="200">
        <f t="shared" ref="BC14" si="73">SUM(BC12:BC13)</f>
        <v>0</v>
      </c>
      <c r="BD14" s="200">
        <f t="shared" ref="BD14" si="74">SUM(BD12:BD13)</f>
        <v>0</v>
      </c>
      <c r="BE14" s="200">
        <f t="shared" ref="BE14" si="75">SUM(BE12:BE13)</f>
        <v>0</v>
      </c>
      <c r="BF14" s="200">
        <f t="shared" ref="BF14" si="76">SUM(BF12:BF13)</f>
        <v>0</v>
      </c>
      <c r="BG14" s="200">
        <f t="shared" ref="BG14" si="77">SUM(BG12:BG13)</f>
        <v>0</v>
      </c>
      <c r="BH14" s="200">
        <f t="shared" ref="BH14" si="78">SUM(BH12:BH13)</f>
        <v>0</v>
      </c>
      <c r="BI14" s="200">
        <f t="shared" ref="BI14" si="79">SUM(BI12:BI13)</f>
        <v>0</v>
      </c>
      <c r="BJ14" s="200">
        <f t="shared" ref="BJ14" si="80">SUM(BJ12:BJ13)</f>
        <v>0</v>
      </c>
      <c r="BK14" s="200">
        <f t="shared" ref="BK14" si="81">SUM(BK12:BK13)</f>
        <v>0</v>
      </c>
      <c r="BL14" s="200">
        <f t="shared" ref="BL14" si="82">SUM(BL12:BL13)</f>
        <v>0</v>
      </c>
      <c r="BM14" s="200">
        <f t="shared" ref="BM14" si="83">SUM(BM12:BM13)</f>
        <v>0</v>
      </c>
      <c r="BN14" s="200">
        <f t="shared" ref="BN14" si="84">SUM(BN12:BN13)</f>
        <v>0</v>
      </c>
      <c r="BO14" s="201">
        <f t="shared" ref="BO14" si="85">SUM(BO12:BO13)</f>
        <v>0</v>
      </c>
      <c r="BP14" s="199">
        <f t="shared" ref="BP14" si="86">SUM(BP12:BP13)</f>
        <v>0</v>
      </c>
      <c r="BQ14" s="200">
        <f t="shared" ref="BQ14" si="87">SUM(BQ12:BQ13)</f>
        <v>0</v>
      </c>
      <c r="BR14" s="200">
        <f t="shared" ref="BR14" si="88">SUM(BR12:BR13)</f>
        <v>0</v>
      </c>
      <c r="BS14" s="200">
        <f t="shared" ref="BS14" si="89">SUM(BS12:BS13)</f>
        <v>0</v>
      </c>
      <c r="BT14" s="200">
        <f t="shared" ref="BT14" si="90">SUM(BT12:BT13)</f>
        <v>0</v>
      </c>
      <c r="BU14" s="200">
        <f t="shared" ref="BU14" si="91">SUM(BU12:BU13)</f>
        <v>0</v>
      </c>
      <c r="BV14" s="200">
        <f t="shared" ref="BV14" si="92">SUM(BV12:BV13)</f>
        <v>0</v>
      </c>
      <c r="BW14" s="200">
        <f t="shared" ref="BW14" si="93">SUM(BW12:BW13)</f>
        <v>3.4766043900000003</v>
      </c>
      <c r="BX14" s="200">
        <f t="shared" ref="BX14" si="94">SUM(BX12:BX13)</f>
        <v>0</v>
      </c>
      <c r="BY14" s="200">
        <f t="shared" ref="BY14" si="95">SUM(BY12:BY13)</f>
        <v>0</v>
      </c>
      <c r="BZ14" s="200">
        <f t="shared" ref="BZ14" si="96">SUM(BZ12:BZ13)</f>
        <v>0</v>
      </c>
      <c r="CA14" s="200">
        <f t="shared" ref="CA14" si="97">SUM(CA12:CA13)</f>
        <v>0</v>
      </c>
      <c r="CB14" s="200">
        <f t="shared" ref="CB14" si="98">SUM(CB12:CB13)</f>
        <v>0</v>
      </c>
      <c r="CC14" s="200">
        <f t="shared" ref="CC14" si="99">SUM(CC12:CC13)</f>
        <v>0</v>
      </c>
      <c r="CD14" s="200">
        <f t="shared" ref="CD14" si="100">SUM(CD12:CD13)</f>
        <v>0</v>
      </c>
      <c r="CE14" s="200">
        <f t="shared" ref="CE14" si="101">SUM(CE12:CE13)</f>
        <v>0</v>
      </c>
      <c r="CF14" s="200">
        <f t="shared" ref="CF14" si="102">SUM(CF12:CF13)</f>
        <v>0</v>
      </c>
      <c r="CG14" s="200">
        <f t="shared" ref="CG14" si="103">SUM(CG12:CG13)</f>
        <v>0</v>
      </c>
      <c r="CH14" s="200">
        <f t="shared" ref="CH14" si="104">SUM(CH12:CH13)</f>
        <v>0</v>
      </c>
      <c r="CI14" s="200">
        <f t="shared" ref="CI14" si="105">SUM(CI12:CI13)</f>
        <v>0</v>
      </c>
      <c r="CJ14" s="200">
        <f t="shared" ref="CJ14" si="106">SUM(CJ12:CJ13)</f>
        <v>0</v>
      </c>
      <c r="CK14" s="200">
        <f t="shared" ref="CK14" si="107">SUM(CK12:CK13)</f>
        <v>0</v>
      </c>
      <c r="CL14" s="200">
        <f t="shared" ref="CL14" si="108">SUM(CL12:CL13)</f>
        <v>0</v>
      </c>
      <c r="CM14" s="200">
        <f t="shared" ref="CM14" si="109">SUM(CM12:CM13)</f>
        <v>0</v>
      </c>
      <c r="CN14" s="200">
        <f t="shared" ref="CN14" si="110">SUM(CN12:CN13)</f>
        <v>0</v>
      </c>
      <c r="CO14" s="200">
        <f t="shared" ref="CO14" si="111">SUM(CO12:CO13)</f>
        <v>0</v>
      </c>
      <c r="CP14" s="200">
        <f t="shared" ref="CP14" si="112">SUM(CP12:CP13)</f>
        <v>0</v>
      </c>
      <c r="CQ14" s="200">
        <f t="shared" ref="CQ14" si="113">SUM(CQ12:CQ13)</f>
        <v>0</v>
      </c>
      <c r="CR14" s="200">
        <f t="shared" ref="CR14" si="114">SUM(CR12:CR13)</f>
        <v>0</v>
      </c>
      <c r="CS14" s="200">
        <f t="shared" ref="CS14" si="115">SUM(CS12:CS13)</f>
        <v>0</v>
      </c>
      <c r="CT14" s="202">
        <f t="shared" ref="CT14" si="116">SUM(CT12:CT13)</f>
        <v>0</v>
      </c>
      <c r="CU14" s="226"/>
      <c r="CV14" s="203">
        <f t="shared" ref="CV14" si="117">SUM(CV12:CV13)</f>
        <v>1582.63285421</v>
      </c>
      <c r="CW14" s="204">
        <f t="shared" ref="CW14" si="118">SUM(CW12:CW13)</f>
        <v>961.43870100999993</v>
      </c>
      <c r="CX14" s="204">
        <f t="shared" ref="CX14" si="119">SUM(CX12:CX13)</f>
        <v>3.4766043900000003</v>
      </c>
      <c r="CY14" s="205">
        <f t="shared" ref="CY14" si="120">SUM(CY12:CY13)</f>
        <v>617.71754881000004</v>
      </c>
      <c r="CZ14" s="206">
        <f t="shared" ref="CZ14" si="121">SUM(CZ12:CZ13)</f>
        <v>1579.1562498200001</v>
      </c>
    </row>
    <row r="15" spans="1:104" ht="15" customHeight="1" x14ac:dyDescent="0.3">
      <c r="A15" s="51"/>
      <c r="B15" s="52" t="s">
        <v>474</v>
      </c>
      <c r="C15" s="51"/>
      <c r="D15" s="241" t="s">
        <v>474</v>
      </c>
      <c r="E15" s="85" t="s">
        <v>132</v>
      </c>
      <c r="F15" s="41">
        <f t="shared" ref="F15:O16" si="122">SUMIFS(F$42:F$170,$A$42:$A$170,$B15,$E$42:$E$170,$E15)</f>
        <v>0</v>
      </c>
      <c r="G15" s="42">
        <f t="shared" si="122"/>
        <v>0</v>
      </c>
      <c r="H15" s="42">
        <f t="shared" si="122"/>
        <v>0</v>
      </c>
      <c r="I15" s="42">
        <f t="shared" si="122"/>
        <v>184.42906199999999</v>
      </c>
      <c r="J15" s="42">
        <f t="shared" si="122"/>
        <v>0</v>
      </c>
      <c r="K15" s="42">
        <f t="shared" si="122"/>
        <v>0</v>
      </c>
      <c r="L15" s="42">
        <f t="shared" si="122"/>
        <v>0</v>
      </c>
      <c r="M15" s="42">
        <f t="shared" si="122"/>
        <v>0</v>
      </c>
      <c r="N15" s="42">
        <f t="shared" si="122"/>
        <v>0</v>
      </c>
      <c r="O15" s="42">
        <f t="shared" si="122"/>
        <v>0</v>
      </c>
      <c r="P15" s="42">
        <f t="shared" ref="P15:Y16" si="123">SUMIFS(P$42:P$170,$A$42:$A$170,$B15,$E$42:$E$170,$E15)</f>
        <v>0</v>
      </c>
      <c r="Q15" s="42">
        <f t="shared" si="123"/>
        <v>0</v>
      </c>
      <c r="R15" s="42">
        <f t="shared" si="123"/>
        <v>0</v>
      </c>
      <c r="S15" s="42">
        <f t="shared" si="123"/>
        <v>0</v>
      </c>
      <c r="T15" s="42">
        <f t="shared" si="123"/>
        <v>0</v>
      </c>
      <c r="U15" s="42">
        <f t="shared" si="123"/>
        <v>0</v>
      </c>
      <c r="V15" s="42">
        <f t="shared" si="123"/>
        <v>0</v>
      </c>
      <c r="W15" s="42">
        <f t="shared" si="123"/>
        <v>0</v>
      </c>
      <c r="X15" s="42">
        <f t="shared" si="123"/>
        <v>0</v>
      </c>
      <c r="Y15" s="42">
        <f t="shared" si="123"/>
        <v>0</v>
      </c>
      <c r="Z15" s="42">
        <f t="shared" ref="Z15:AI16" si="124">SUMIFS(Z$42:Z$170,$A$42:$A$170,$B15,$E$42:$E$170,$E15)</f>
        <v>0</v>
      </c>
      <c r="AA15" s="42">
        <f t="shared" si="124"/>
        <v>0</v>
      </c>
      <c r="AB15" s="42">
        <f t="shared" si="124"/>
        <v>0</v>
      </c>
      <c r="AC15" s="42">
        <f t="shared" si="124"/>
        <v>0</v>
      </c>
      <c r="AD15" s="42">
        <f t="shared" si="124"/>
        <v>0</v>
      </c>
      <c r="AE15" s="42">
        <f t="shared" si="124"/>
        <v>0</v>
      </c>
      <c r="AF15" s="42">
        <f t="shared" si="124"/>
        <v>0</v>
      </c>
      <c r="AG15" s="42">
        <f t="shared" si="124"/>
        <v>0</v>
      </c>
      <c r="AH15" s="42">
        <f t="shared" si="124"/>
        <v>0</v>
      </c>
      <c r="AI15" s="42">
        <f t="shared" si="124"/>
        <v>0</v>
      </c>
      <c r="AJ15" s="43">
        <f t="shared" ref="AJ15:AS16" si="125">SUMIFS(AJ$42:AJ$170,$A$42:$A$170,$B15,$E$42:$E$170,$E15)</f>
        <v>0</v>
      </c>
      <c r="AK15" s="41">
        <f t="shared" si="125"/>
        <v>0</v>
      </c>
      <c r="AL15" s="42">
        <f t="shared" si="125"/>
        <v>0</v>
      </c>
      <c r="AM15" s="42">
        <f t="shared" si="125"/>
        <v>0</v>
      </c>
      <c r="AN15" s="42">
        <f t="shared" si="125"/>
        <v>184.42906199999999</v>
      </c>
      <c r="AO15" s="42">
        <f t="shared" si="125"/>
        <v>0</v>
      </c>
      <c r="AP15" s="42">
        <f t="shared" si="125"/>
        <v>0</v>
      </c>
      <c r="AQ15" s="42">
        <f t="shared" si="125"/>
        <v>0</v>
      </c>
      <c r="AR15" s="42">
        <f t="shared" si="125"/>
        <v>0</v>
      </c>
      <c r="AS15" s="42">
        <f t="shared" si="125"/>
        <v>0</v>
      </c>
      <c r="AT15" s="42">
        <f t="shared" ref="AT15:BC16" si="126">SUMIFS(AT$42:AT$170,$A$42:$A$170,$B15,$E$42:$E$170,$E15)</f>
        <v>0</v>
      </c>
      <c r="AU15" s="42">
        <f t="shared" si="126"/>
        <v>0</v>
      </c>
      <c r="AV15" s="42">
        <f t="shared" si="126"/>
        <v>0</v>
      </c>
      <c r="AW15" s="42">
        <f t="shared" si="126"/>
        <v>0</v>
      </c>
      <c r="AX15" s="42">
        <f t="shared" si="126"/>
        <v>0</v>
      </c>
      <c r="AY15" s="42">
        <f t="shared" si="126"/>
        <v>0</v>
      </c>
      <c r="AZ15" s="42">
        <f t="shared" si="126"/>
        <v>0</v>
      </c>
      <c r="BA15" s="42">
        <f t="shared" si="126"/>
        <v>0</v>
      </c>
      <c r="BB15" s="42">
        <f t="shared" si="126"/>
        <v>0</v>
      </c>
      <c r="BC15" s="42">
        <f t="shared" si="126"/>
        <v>0</v>
      </c>
      <c r="BD15" s="42">
        <f t="shared" ref="BD15:BM16" si="127">SUMIFS(BD$42:BD$170,$A$42:$A$170,$B15,$E$42:$E$170,$E15)</f>
        <v>0</v>
      </c>
      <c r="BE15" s="42">
        <f t="shared" si="127"/>
        <v>0</v>
      </c>
      <c r="BF15" s="42">
        <f t="shared" si="127"/>
        <v>0</v>
      </c>
      <c r="BG15" s="42">
        <f t="shared" si="127"/>
        <v>0</v>
      </c>
      <c r="BH15" s="42">
        <f t="shared" si="127"/>
        <v>0</v>
      </c>
      <c r="BI15" s="42">
        <f t="shared" si="127"/>
        <v>0</v>
      </c>
      <c r="BJ15" s="42">
        <f t="shared" si="127"/>
        <v>0</v>
      </c>
      <c r="BK15" s="42">
        <f t="shared" si="127"/>
        <v>0</v>
      </c>
      <c r="BL15" s="42">
        <f t="shared" si="127"/>
        <v>0</v>
      </c>
      <c r="BM15" s="42">
        <f t="shared" si="127"/>
        <v>0</v>
      </c>
      <c r="BN15" s="42">
        <f t="shared" ref="BN15:BW16" si="128">SUMIFS(BN$42:BN$170,$A$42:$A$170,$B15,$E$42:$E$170,$E15)</f>
        <v>0</v>
      </c>
      <c r="BO15" s="43">
        <f t="shared" si="128"/>
        <v>0</v>
      </c>
      <c r="BP15" s="41">
        <f t="shared" si="128"/>
        <v>0</v>
      </c>
      <c r="BQ15" s="42">
        <f t="shared" si="128"/>
        <v>0</v>
      </c>
      <c r="BR15" s="42">
        <f t="shared" si="128"/>
        <v>0</v>
      </c>
      <c r="BS15" s="42">
        <f t="shared" si="128"/>
        <v>0</v>
      </c>
      <c r="BT15" s="42">
        <f t="shared" si="128"/>
        <v>0</v>
      </c>
      <c r="BU15" s="42">
        <f t="shared" si="128"/>
        <v>0</v>
      </c>
      <c r="BV15" s="42">
        <f t="shared" si="128"/>
        <v>0</v>
      </c>
      <c r="BW15" s="42">
        <f t="shared" si="128"/>
        <v>0</v>
      </c>
      <c r="BX15" s="42">
        <f t="shared" ref="BX15:CG16" si="129">SUMIFS(BX$42:BX$170,$A$42:$A$170,$B15,$E$42:$E$170,$E15)</f>
        <v>0</v>
      </c>
      <c r="BY15" s="42">
        <f t="shared" si="129"/>
        <v>0</v>
      </c>
      <c r="BZ15" s="42">
        <f t="shared" si="129"/>
        <v>0</v>
      </c>
      <c r="CA15" s="42">
        <f t="shared" si="129"/>
        <v>0</v>
      </c>
      <c r="CB15" s="42">
        <f t="shared" si="129"/>
        <v>0</v>
      </c>
      <c r="CC15" s="42">
        <f t="shared" si="129"/>
        <v>0</v>
      </c>
      <c r="CD15" s="42">
        <f t="shared" si="129"/>
        <v>0</v>
      </c>
      <c r="CE15" s="42">
        <f t="shared" si="129"/>
        <v>0</v>
      </c>
      <c r="CF15" s="42">
        <f t="shared" si="129"/>
        <v>0</v>
      </c>
      <c r="CG15" s="42">
        <f t="shared" si="129"/>
        <v>0</v>
      </c>
      <c r="CH15" s="42">
        <f t="shared" ref="CH15:CT16" si="130">SUMIFS(CH$42:CH$170,$A$42:$A$170,$B15,$E$42:$E$170,$E15)</f>
        <v>0</v>
      </c>
      <c r="CI15" s="42">
        <f t="shared" si="130"/>
        <v>0</v>
      </c>
      <c r="CJ15" s="42">
        <f t="shared" si="130"/>
        <v>0</v>
      </c>
      <c r="CK15" s="42">
        <f t="shared" si="130"/>
        <v>0</v>
      </c>
      <c r="CL15" s="42">
        <f t="shared" si="130"/>
        <v>0</v>
      </c>
      <c r="CM15" s="42">
        <f t="shared" si="130"/>
        <v>0</v>
      </c>
      <c r="CN15" s="42">
        <f t="shared" si="130"/>
        <v>0</v>
      </c>
      <c r="CO15" s="42">
        <f t="shared" si="130"/>
        <v>0</v>
      </c>
      <c r="CP15" s="42">
        <f t="shared" si="130"/>
        <v>0</v>
      </c>
      <c r="CQ15" s="42">
        <f t="shared" si="130"/>
        <v>0</v>
      </c>
      <c r="CR15" s="42">
        <f t="shared" si="130"/>
        <v>0</v>
      </c>
      <c r="CS15" s="42">
        <f t="shared" si="130"/>
        <v>0</v>
      </c>
      <c r="CT15" s="50">
        <f t="shared" si="130"/>
        <v>0</v>
      </c>
      <c r="CV15" s="96">
        <f t="shared" ref="CV15:CZ16" si="131">SUMIFS(CV$42:CV$170,$A$42:$A$170,$B15,$E$42:$E$170,$E15)</f>
        <v>184.42906199999999</v>
      </c>
      <c r="CW15" s="93">
        <f t="shared" si="131"/>
        <v>184.42906199999999</v>
      </c>
      <c r="CX15" s="93">
        <f t="shared" si="131"/>
        <v>0</v>
      </c>
      <c r="CY15" s="100">
        <f t="shared" si="131"/>
        <v>0</v>
      </c>
      <c r="CZ15" s="100">
        <f t="shared" si="131"/>
        <v>184.42906199999999</v>
      </c>
    </row>
    <row r="16" spans="1:104" ht="15" customHeight="1" x14ac:dyDescent="0.3">
      <c r="A16" s="51"/>
      <c r="B16" s="54" t="s">
        <v>474</v>
      </c>
      <c r="C16" s="51"/>
      <c r="D16" s="232"/>
      <c r="E16" s="40" t="s">
        <v>349</v>
      </c>
      <c r="F16" s="41">
        <f t="shared" si="122"/>
        <v>0</v>
      </c>
      <c r="G16" s="42">
        <f t="shared" si="122"/>
        <v>0</v>
      </c>
      <c r="H16" s="42">
        <f t="shared" si="122"/>
        <v>0</v>
      </c>
      <c r="I16" s="42">
        <f t="shared" si="122"/>
        <v>0</v>
      </c>
      <c r="J16" s="42">
        <f t="shared" si="122"/>
        <v>0</v>
      </c>
      <c r="K16" s="42">
        <f t="shared" si="122"/>
        <v>0</v>
      </c>
      <c r="L16" s="42">
        <f t="shared" si="122"/>
        <v>0</v>
      </c>
      <c r="M16" s="42">
        <f t="shared" si="122"/>
        <v>0</v>
      </c>
      <c r="N16" s="42">
        <f t="shared" si="122"/>
        <v>0</v>
      </c>
      <c r="O16" s="42">
        <f t="shared" si="122"/>
        <v>0</v>
      </c>
      <c r="P16" s="42">
        <f t="shared" si="123"/>
        <v>0</v>
      </c>
      <c r="Q16" s="42">
        <f t="shared" si="123"/>
        <v>0</v>
      </c>
      <c r="R16" s="42">
        <f t="shared" si="123"/>
        <v>0</v>
      </c>
      <c r="S16" s="42">
        <f t="shared" si="123"/>
        <v>0</v>
      </c>
      <c r="T16" s="42">
        <f t="shared" si="123"/>
        <v>0</v>
      </c>
      <c r="U16" s="42">
        <f t="shared" si="123"/>
        <v>0</v>
      </c>
      <c r="V16" s="42">
        <f t="shared" si="123"/>
        <v>0</v>
      </c>
      <c r="W16" s="42">
        <f t="shared" si="123"/>
        <v>0</v>
      </c>
      <c r="X16" s="42">
        <f t="shared" si="123"/>
        <v>0</v>
      </c>
      <c r="Y16" s="42">
        <f t="shared" si="123"/>
        <v>0</v>
      </c>
      <c r="Z16" s="42">
        <f t="shared" si="124"/>
        <v>0</v>
      </c>
      <c r="AA16" s="42">
        <f t="shared" si="124"/>
        <v>0</v>
      </c>
      <c r="AB16" s="42">
        <f t="shared" si="124"/>
        <v>0</v>
      </c>
      <c r="AC16" s="42">
        <f t="shared" si="124"/>
        <v>0</v>
      </c>
      <c r="AD16" s="42">
        <f t="shared" si="124"/>
        <v>0</v>
      </c>
      <c r="AE16" s="42">
        <f t="shared" si="124"/>
        <v>0</v>
      </c>
      <c r="AF16" s="42">
        <f t="shared" si="124"/>
        <v>0</v>
      </c>
      <c r="AG16" s="42">
        <f t="shared" si="124"/>
        <v>0</v>
      </c>
      <c r="AH16" s="42">
        <f t="shared" si="124"/>
        <v>0</v>
      </c>
      <c r="AI16" s="42">
        <f t="shared" si="124"/>
        <v>0</v>
      </c>
      <c r="AJ16" s="43">
        <f t="shared" si="125"/>
        <v>0</v>
      </c>
      <c r="AK16" s="41">
        <f t="shared" si="125"/>
        <v>0</v>
      </c>
      <c r="AL16" s="42">
        <f t="shared" si="125"/>
        <v>0</v>
      </c>
      <c r="AM16" s="42">
        <f t="shared" si="125"/>
        <v>0</v>
      </c>
      <c r="AN16" s="42">
        <f t="shared" si="125"/>
        <v>0</v>
      </c>
      <c r="AO16" s="42">
        <f t="shared" si="125"/>
        <v>0</v>
      </c>
      <c r="AP16" s="42">
        <f t="shared" si="125"/>
        <v>0</v>
      </c>
      <c r="AQ16" s="42">
        <f t="shared" si="125"/>
        <v>0</v>
      </c>
      <c r="AR16" s="42">
        <f t="shared" si="125"/>
        <v>0</v>
      </c>
      <c r="AS16" s="42">
        <f t="shared" si="125"/>
        <v>0</v>
      </c>
      <c r="AT16" s="42">
        <f t="shared" si="126"/>
        <v>0</v>
      </c>
      <c r="AU16" s="42">
        <f t="shared" si="126"/>
        <v>0</v>
      </c>
      <c r="AV16" s="42">
        <f t="shared" si="126"/>
        <v>0</v>
      </c>
      <c r="AW16" s="42">
        <f t="shared" si="126"/>
        <v>0</v>
      </c>
      <c r="AX16" s="42">
        <f t="shared" si="126"/>
        <v>0</v>
      </c>
      <c r="AY16" s="42">
        <f t="shared" si="126"/>
        <v>0</v>
      </c>
      <c r="AZ16" s="42">
        <f t="shared" si="126"/>
        <v>0</v>
      </c>
      <c r="BA16" s="42">
        <f t="shared" si="126"/>
        <v>0</v>
      </c>
      <c r="BB16" s="42">
        <f t="shared" si="126"/>
        <v>0</v>
      </c>
      <c r="BC16" s="42">
        <f t="shared" si="126"/>
        <v>0</v>
      </c>
      <c r="BD16" s="42">
        <f t="shared" si="127"/>
        <v>0</v>
      </c>
      <c r="BE16" s="42">
        <f t="shared" si="127"/>
        <v>0</v>
      </c>
      <c r="BF16" s="42">
        <f t="shared" si="127"/>
        <v>0</v>
      </c>
      <c r="BG16" s="42">
        <f t="shared" si="127"/>
        <v>0</v>
      </c>
      <c r="BH16" s="42">
        <f t="shared" si="127"/>
        <v>0</v>
      </c>
      <c r="BI16" s="42">
        <f t="shared" si="127"/>
        <v>0</v>
      </c>
      <c r="BJ16" s="42">
        <f t="shared" si="127"/>
        <v>0</v>
      </c>
      <c r="BK16" s="42">
        <f t="shared" si="127"/>
        <v>0</v>
      </c>
      <c r="BL16" s="42">
        <f t="shared" si="127"/>
        <v>0</v>
      </c>
      <c r="BM16" s="42">
        <f t="shared" si="127"/>
        <v>0</v>
      </c>
      <c r="BN16" s="42">
        <f t="shared" si="128"/>
        <v>0</v>
      </c>
      <c r="BO16" s="43">
        <f t="shared" si="128"/>
        <v>0</v>
      </c>
      <c r="BP16" s="41">
        <f t="shared" si="128"/>
        <v>0</v>
      </c>
      <c r="BQ16" s="42">
        <f t="shared" si="128"/>
        <v>0</v>
      </c>
      <c r="BR16" s="42">
        <f t="shared" si="128"/>
        <v>0</v>
      </c>
      <c r="BS16" s="42">
        <f t="shared" si="128"/>
        <v>0</v>
      </c>
      <c r="BT16" s="42">
        <f t="shared" si="128"/>
        <v>0</v>
      </c>
      <c r="BU16" s="42">
        <f t="shared" si="128"/>
        <v>0</v>
      </c>
      <c r="BV16" s="42">
        <f t="shared" si="128"/>
        <v>0</v>
      </c>
      <c r="BW16" s="42">
        <f t="shared" si="128"/>
        <v>0</v>
      </c>
      <c r="BX16" s="42">
        <f t="shared" si="129"/>
        <v>0</v>
      </c>
      <c r="BY16" s="42">
        <f t="shared" si="129"/>
        <v>0</v>
      </c>
      <c r="BZ16" s="42">
        <f t="shared" si="129"/>
        <v>0</v>
      </c>
      <c r="CA16" s="42">
        <f t="shared" si="129"/>
        <v>0</v>
      </c>
      <c r="CB16" s="42">
        <f t="shared" si="129"/>
        <v>0</v>
      </c>
      <c r="CC16" s="42">
        <f t="shared" si="129"/>
        <v>0</v>
      </c>
      <c r="CD16" s="42">
        <f t="shared" si="129"/>
        <v>0</v>
      </c>
      <c r="CE16" s="42">
        <f t="shared" si="129"/>
        <v>0</v>
      </c>
      <c r="CF16" s="42">
        <f t="shared" si="129"/>
        <v>0</v>
      </c>
      <c r="CG16" s="42">
        <f t="shared" si="129"/>
        <v>0</v>
      </c>
      <c r="CH16" s="42">
        <f t="shared" si="130"/>
        <v>0</v>
      </c>
      <c r="CI16" s="42">
        <f t="shared" si="130"/>
        <v>0</v>
      </c>
      <c r="CJ16" s="42">
        <f t="shared" si="130"/>
        <v>0</v>
      </c>
      <c r="CK16" s="42">
        <f t="shared" si="130"/>
        <v>0</v>
      </c>
      <c r="CL16" s="42">
        <f t="shared" si="130"/>
        <v>0</v>
      </c>
      <c r="CM16" s="42">
        <f t="shared" si="130"/>
        <v>0</v>
      </c>
      <c r="CN16" s="42">
        <f t="shared" si="130"/>
        <v>0</v>
      </c>
      <c r="CO16" s="42">
        <f t="shared" si="130"/>
        <v>0</v>
      </c>
      <c r="CP16" s="42">
        <f t="shared" si="130"/>
        <v>0</v>
      </c>
      <c r="CQ16" s="42">
        <f t="shared" si="130"/>
        <v>0</v>
      </c>
      <c r="CR16" s="42">
        <f t="shared" si="130"/>
        <v>0</v>
      </c>
      <c r="CS16" s="42">
        <f t="shared" si="130"/>
        <v>0</v>
      </c>
      <c r="CT16" s="50">
        <f t="shared" si="130"/>
        <v>0</v>
      </c>
      <c r="CV16" s="96">
        <f t="shared" si="131"/>
        <v>0</v>
      </c>
      <c r="CW16" s="93">
        <f t="shared" si="131"/>
        <v>0</v>
      </c>
      <c r="CX16" s="93">
        <f t="shared" si="131"/>
        <v>0</v>
      </c>
      <c r="CY16" s="100">
        <f t="shared" si="131"/>
        <v>0</v>
      </c>
      <c r="CZ16" s="100">
        <f t="shared" si="131"/>
        <v>0</v>
      </c>
    </row>
    <row r="17" spans="1:104" s="44" customFormat="1" ht="17.55" customHeight="1" x14ac:dyDescent="0.3">
      <c r="B17" s="44" t="s">
        <v>800</v>
      </c>
      <c r="D17" s="217" t="s">
        <v>800</v>
      </c>
      <c r="E17" s="218"/>
      <c r="F17" s="199">
        <f t="shared" ref="F17" si="132">SUM(F15:F16)</f>
        <v>0</v>
      </c>
      <c r="G17" s="200">
        <f t="shared" ref="G17" si="133">SUM(G15:G16)</f>
        <v>0</v>
      </c>
      <c r="H17" s="200">
        <f t="shared" ref="H17" si="134">SUM(H15:H16)</f>
        <v>0</v>
      </c>
      <c r="I17" s="200">
        <f t="shared" ref="I17" si="135">SUM(I15:I16)</f>
        <v>184.42906199999999</v>
      </c>
      <c r="J17" s="200">
        <f t="shared" ref="J17" si="136">SUM(J15:J16)</f>
        <v>0</v>
      </c>
      <c r="K17" s="200">
        <f t="shared" ref="K17" si="137">SUM(K15:K16)</f>
        <v>0</v>
      </c>
      <c r="L17" s="200">
        <f t="shared" ref="L17" si="138">SUM(L15:L16)</f>
        <v>0</v>
      </c>
      <c r="M17" s="200">
        <f t="shared" ref="M17" si="139">SUM(M15:M16)</f>
        <v>0</v>
      </c>
      <c r="N17" s="200">
        <f t="shared" ref="N17" si="140">SUM(N15:N16)</f>
        <v>0</v>
      </c>
      <c r="O17" s="200">
        <f t="shared" ref="O17" si="141">SUM(O15:O16)</f>
        <v>0</v>
      </c>
      <c r="P17" s="200">
        <f t="shared" ref="P17" si="142">SUM(P15:P16)</f>
        <v>0</v>
      </c>
      <c r="Q17" s="200">
        <f t="shared" ref="Q17" si="143">SUM(Q15:Q16)</f>
        <v>0</v>
      </c>
      <c r="R17" s="200">
        <f t="shared" ref="R17" si="144">SUM(R15:R16)</f>
        <v>0</v>
      </c>
      <c r="S17" s="200">
        <f t="shared" ref="S17" si="145">SUM(S15:S16)</f>
        <v>0</v>
      </c>
      <c r="T17" s="200">
        <f t="shared" ref="T17" si="146">SUM(T15:T16)</f>
        <v>0</v>
      </c>
      <c r="U17" s="200">
        <f t="shared" ref="U17" si="147">SUM(U15:U16)</f>
        <v>0</v>
      </c>
      <c r="V17" s="200">
        <f t="shared" ref="V17" si="148">SUM(V15:V16)</f>
        <v>0</v>
      </c>
      <c r="W17" s="200">
        <f t="shared" ref="W17" si="149">SUM(W15:W16)</f>
        <v>0</v>
      </c>
      <c r="X17" s="200">
        <f t="shared" ref="X17" si="150">SUM(X15:X16)</f>
        <v>0</v>
      </c>
      <c r="Y17" s="200">
        <f t="shared" ref="Y17" si="151">SUM(Y15:Y16)</f>
        <v>0</v>
      </c>
      <c r="Z17" s="200">
        <f t="shared" ref="Z17" si="152">SUM(Z15:Z16)</f>
        <v>0</v>
      </c>
      <c r="AA17" s="200">
        <f t="shared" ref="AA17" si="153">SUM(AA15:AA16)</f>
        <v>0</v>
      </c>
      <c r="AB17" s="200">
        <f t="shared" ref="AB17" si="154">SUM(AB15:AB16)</f>
        <v>0</v>
      </c>
      <c r="AC17" s="200">
        <f t="shared" ref="AC17" si="155">SUM(AC15:AC16)</f>
        <v>0</v>
      </c>
      <c r="AD17" s="200">
        <f t="shared" ref="AD17" si="156">SUM(AD15:AD16)</f>
        <v>0</v>
      </c>
      <c r="AE17" s="200">
        <f t="shared" ref="AE17" si="157">SUM(AE15:AE16)</f>
        <v>0</v>
      </c>
      <c r="AF17" s="200">
        <f t="shared" ref="AF17" si="158">SUM(AF15:AF16)</f>
        <v>0</v>
      </c>
      <c r="AG17" s="200">
        <f t="shared" ref="AG17" si="159">SUM(AG15:AG16)</f>
        <v>0</v>
      </c>
      <c r="AH17" s="200">
        <f t="shared" ref="AH17" si="160">SUM(AH15:AH16)</f>
        <v>0</v>
      </c>
      <c r="AI17" s="200">
        <f t="shared" ref="AI17" si="161">SUM(AI15:AI16)</f>
        <v>0</v>
      </c>
      <c r="AJ17" s="200">
        <f t="shared" ref="AJ17" si="162">SUM(AJ15:AJ16)</f>
        <v>0</v>
      </c>
      <c r="AK17" s="199">
        <f t="shared" ref="AK17" si="163">SUM(AK15:AK16)</f>
        <v>0</v>
      </c>
      <c r="AL17" s="200">
        <f t="shared" ref="AL17" si="164">SUM(AL15:AL16)</f>
        <v>0</v>
      </c>
      <c r="AM17" s="200">
        <f t="shared" ref="AM17" si="165">SUM(AM15:AM16)</f>
        <v>0</v>
      </c>
      <c r="AN17" s="200">
        <f t="shared" ref="AN17" si="166">SUM(AN15:AN16)</f>
        <v>184.42906199999999</v>
      </c>
      <c r="AO17" s="200">
        <f t="shared" ref="AO17" si="167">SUM(AO15:AO16)</f>
        <v>0</v>
      </c>
      <c r="AP17" s="200">
        <f t="shared" ref="AP17" si="168">SUM(AP15:AP16)</f>
        <v>0</v>
      </c>
      <c r="AQ17" s="200">
        <f t="shared" ref="AQ17" si="169">SUM(AQ15:AQ16)</f>
        <v>0</v>
      </c>
      <c r="AR17" s="200">
        <f t="shared" ref="AR17" si="170">SUM(AR15:AR16)</f>
        <v>0</v>
      </c>
      <c r="AS17" s="200">
        <f t="shared" ref="AS17" si="171">SUM(AS15:AS16)</f>
        <v>0</v>
      </c>
      <c r="AT17" s="200">
        <f t="shared" ref="AT17" si="172">SUM(AT15:AT16)</f>
        <v>0</v>
      </c>
      <c r="AU17" s="200">
        <f t="shared" ref="AU17" si="173">SUM(AU15:AU16)</f>
        <v>0</v>
      </c>
      <c r="AV17" s="200">
        <f t="shared" ref="AV17" si="174">SUM(AV15:AV16)</f>
        <v>0</v>
      </c>
      <c r="AW17" s="200">
        <f t="shared" ref="AW17" si="175">SUM(AW15:AW16)</f>
        <v>0</v>
      </c>
      <c r="AX17" s="200">
        <f t="shared" ref="AX17" si="176">SUM(AX15:AX16)</f>
        <v>0</v>
      </c>
      <c r="AY17" s="200">
        <f t="shared" ref="AY17" si="177">SUM(AY15:AY16)</f>
        <v>0</v>
      </c>
      <c r="AZ17" s="200">
        <f t="shared" ref="AZ17" si="178">SUM(AZ15:AZ16)</f>
        <v>0</v>
      </c>
      <c r="BA17" s="200">
        <f t="shared" ref="BA17" si="179">SUM(BA15:BA16)</f>
        <v>0</v>
      </c>
      <c r="BB17" s="200">
        <f t="shared" ref="BB17" si="180">SUM(BB15:BB16)</f>
        <v>0</v>
      </c>
      <c r="BC17" s="200">
        <f t="shared" ref="BC17" si="181">SUM(BC15:BC16)</f>
        <v>0</v>
      </c>
      <c r="BD17" s="200">
        <f t="shared" ref="BD17" si="182">SUM(BD15:BD16)</f>
        <v>0</v>
      </c>
      <c r="BE17" s="200">
        <f t="shared" ref="BE17" si="183">SUM(BE15:BE16)</f>
        <v>0</v>
      </c>
      <c r="BF17" s="200">
        <f t="shared" ref="BF17" si="184">SUM(BF15:BF16)</f>
        <v>0</v>
      </c>
      <c r="BG17" s="200">
        <f t="shared" ref="BG17" si="185">SUM(BG15:BG16)</f>
        <v>0</v>
      </c>
      <c r="BH17" s="200">
        <f t="shared" ref="BH17" si="186">SUM(BH15:BH16)</f>
        <v>0</v>
      </c>
      <c r="BI17" s="200">
        <f t="shared" ref="BI17" si="187">SUM(BI15:BI16)</f>
        <v>0</v>
      </c>
      <c r="BJ17" s="200">
        <f t="shared" ref="BJ17" si="188">SUM(BJ15:BJ16)</f>
        <v>0</v>
      </c>
      <c r="BK17" s="200">
        <f t="shared" ref="BK17" si="189">SUM(BK15:BK16)</f>
        <v>0</v>
      </c>
      <c r="BL17" s="200">
        <f t="shared" ref="BL17" si="190">SUM(BL15:BL16)</f>
        <v>0</v>
      </c>
      <c r="BM17" s="200">
        <f t="shared" ref="BM17" si="191">SUM(BM15:BM16)</f>
        <v>0</v>
      </c>
      <c r="BN17" s="200">
        <f t="shared" ref="BN17" si="192">SUM(BN15:BN16)</f>
        <v>0</v>
      </c>
      <c r="BO17" s="201">
        <f t="shared" ref="BO17" si="193">SUM(BO15:BO16)</f>
        <v>0</v>
      </c>
      <c r="BP17" s="199">
        <f t="shared" ref="BP17" si="194">SUM(BP15:BP16)</f>
        <v>0</v>
      </c>
      <c r="BQ17" s="200">
        <f t="shared" ref="BQ17" si="195">SUM(BQ15:BQ16)</f>
        <v>0</v>
      </c>
      <c r="BR17" s="200">
        <f t="shared" ref="BR17" si="196">SUM(BR15:BR16)</f>
        <v>0</v>
      </c>
      <c r="BS17" s="200">
        <f t="shared" ref="BS17" si="197">SUM(BS15:BS16)</f>
        <v>0</v>
      </c>
      <c r="BT17" s="200">
        <f t="shared" ref="BT17" si="198">SUM(BT15:BT16)</f>
        <v>0</v>
      </c>
      <c r="BU17" s="200">
        <f t="shared" ref="BU17" si="199">SUM(BU15:BU16)</f>
        <v>0</v>
      </c>
      <c r="BV17" s="200">
        <f t="shared" ref="BV17" si="200">SUM(BV15:BV16)</f>
        <v>0</v>
      </c>
      <c r="BW17" s="200">
        <f t="shared" ref="BW17" si="201">SUM(BW15:BW16)</f>
        <v>0</v>
      </c>
      <c r="BX17" s="200">
        <f t="shared" ref="BX17" si="202">SUM(BX15:BX16)</f>
        <v>0</v>
      </c>
      <c r="BY17" s="200">
        <f t="shared" ref="BY17" si="203">SUM(BY15:BY16)</f>
        <v>0</v>
      </c>
      <c r="BZ17" s="200">
        <f t="shared" ref="BZ17" si="204">SUM(BZ15:BZ16)</f>
        <v>0</v>
      </c>
      <c r="CA17" s="200">
        <f t="shared" ref="CA17" si="205">SUM(CA15:CA16)</f>
        <v>0</v>
      </c>
      <c r="CB17" s="200">
        <f t="shared" ref="CB17" si="206">SUM(CB15:CB16)</f>
        <v>0</v>
      </c>
      <c r="CC17" s="200">
        <f t="shared" ref="CC17" si="207">SUM(CC15:CC16)</f>
        <v>0</v>
      </c>
      <c r="CD17" s="200">
        <f t="shared" ref="CD17" si="208">SUM(CD15:CD16)</f>
        <v>0</v>
      </c>
      <c r="CE17" s="200">
        <f t="shared" ref="CE17" si="209">SUM(CE15:CE16)</f>
        <v>0</v>
      </c>
      <c r="CF17" s="200">
        <f t="shared" ref="CF17" si="210">SUM(CF15:CF16)</f>
        <v>0</v>
      </c>
      <c r="CG17" s="200">
        <f t="shared" ref="CG17" si="211">SUM(CG15:CG16)</f>
        <v>0</v>
      </c>
      <c r="CH17" s="200">
        <f t="shared" ref="CH17" si="212">SUM(CH15:CH16)</f>
        <v>0</v>
      </c>
      <c r="CI17" s="200">
        <f t="shared" ref="CI17" si="213">SUM(CI15:CI16)</f>
        <v>0</v>
      </c>
      <c r="CJ17" s="200">
        <f t="shared" ref="CJ17" si="214">SUM(CJ15:CJ16)</f>
        <v>0</v>
      </c>
      <c r="CK17" s="200">
        <f t="shared" ref="CK17" si="215">SUM(CK15:CK16)</f>
        <v>0</v>
      </c>
      <c r="CL17" s="200">
        <f t="shared" ref="CL17" si="216">SUM(CL15:CL16)</f>
        <v>0</v>
      </c>
      <c r="CM17" s="200">
        <f t="shared" ref="CM17" si="217">SUM(CM15:CM16)</f>
        <v>0</v>
      </c>
      <c r="CN17" s="200">
        <f t="shared" ref="CN17" si="218">SUM(CN15:CN16)</f>
        <v>0</v>
      </c>
      <c r="CO17" s="200">
        <f t="shared" ref="CO17" si="219">SUM(CO15:CO16)</f>
        <v>0</v>
      </c>
      <c r="CP17" s="200">
        <f t="shared" ref="CP17" si="220">SUM(CP15:CP16)</f>
        <v>0</v>
      </c>
      <c r="CQ17" s="200">
        <f t="shared" ref="CQ17" si="221">SUM(CQ15:CQ16)</f>
        <v>0</v>
      </c>
      <c r="CR17" s="200">
        <f t="shared" ref="CR17" si="222">SUM(CR15:CR16)</f>
        <v>0</v>
      </c>
      <c r="CS17" s="200">
        <f t="shared" ref="CS17" si="223">SUM(CS15:CS16)</f>
        <v>0</v>
      </c>
      <c r="CT17" s="202">
        <f t="shared" ref="CT17" si="224">SUM(CT15:CT16)</f>
        <v>0</v>
      </c>
      <c r="CU17" s="226"/>
      <c r="CV17" s="203">
        <f t="shared" ref="CV17" si="225">SUM(CV15:CV16)</f>
        <v>184.42906199999999</v>
      </c>
      <c r="CW17" s="204">
        <f t="shared" ref="CW17" si="226">SUM(CW15:CW16)</f>
        <v>184.42906199999999</v>
      </c>
      <c r="CX17" s="204">
        <f t="shared" ref="CX17" si="227">SUM(CX15:CX16)</f>
        <v>0</v>
      </c>
      <c r="CY17" s="205">
        <f t="shared" ref="CY17" si="228">SUM(CY15:CY16)</f>
        <v>0</v>
      </c>
      <c r="CZ17" s="206">
        <f t="shared" ref="CZ17" si="229">SUM(CZ15:CZ16)</f>
        <v>184.42906199999999</v>
      </c>
    </row>
    <row r="18" spans="1:104" ht="15" customHeight="1" x14ac:dyDescent="0.3">
      <c r="A18" s="51"/>
      <c r="B18" s="52" t="s">
        <v>487</v>
      </c>
      <c r="C18" s="51"/>
      <c r="D18" s="242" t="s">
        <v>487</v>
      </c>
      <c r="E18" s="85" t="s">
        <v>132</v>
      </c>
      <c r="F18" s="41">
        <f t="shared" ref="F18:O19" si="230">SUMIFS(F$42:F$170,$A$42:$A$170,$B18,$E$42:$E$170,$E18)</f>
        <v>0</v>
      </c>
      <c r="G18" s="42">
        <f t="shared" si="230"/>
        <v>0</v>
      </c>
      <c r="H18" s="42">
        <f t="shared" si="230"/>
        <v>0</v>
      </c>
      <c r="I18" s="42">
        <f t="shared" si="230"/>
        <v>160.02240781</v>
      </c>
      <c r="J18" s="42">
        <f t="shared" si="230"/>
        <v>0</v>
      </c>
      <c r="K18" s="42">
        <f t="shared" si="230"/>
        <v>0</v>
      </c>
      <c r="L18" s="42">
        <f t="shared" si="230"/>
        <v>0</v>
      </c>
      <c r="M18" s="42">
        <f t="shared" si="230"/>
        <v>0</v>
      </c>
      <c r="N18" s="42">
        <f t="shared" si="230"/>
        <v>0</v>
      </c>
      <c r="O18" s="42">
        <f t="shared" si="230"/>
        <v>0</v>
      </c>
      <c r="P18" s="42">
        <f t="shared" ref="P18:Y19" si="231">SUMIFS(P$42:P$170,$A$42:$A$170,$B18,$E$42:$E$170,$E18)</f>
        <v>0</v>
      </c>
      <c r="Q18" s="42">
        <f t="shared" si="231"/>
        <v>0</v>
      </c>
      <c r="R18" s="42">
        <f t="shared" si="231"/>
        <v>134.80538847999998</v>
      </c>
      <c r="S18" s="42">
        <f t="shared" si="231"/>
        <v>0</v>
      </c>
      <c r="T18" s="42">
        <f t="shared" si="231"/>
        <v>0</v>
      </c>
      <c r="U18" s="42">
        <f t="shared" si="231"/>
        <v>0</v>
      </c>
      <c r="V18" s="42">
        <f t="shared" si="231"/>
        <v>0</v>
      </c>
      <c r="W18" s="42">
        <f t="shared" si="231"/>
        <v>0</v>
      </c>
      <c r="X18" s="42">
        <f t="shared" si="231"/>
        <v>0</v>
      </c>
      <c r="Y18" s="42">
        <f t="shared" si="231"/>
        <v>0</v>
      </c>
      <c r="Z18" s="42">
        <f t="shared" ref="Z18:AI19" si="232">SUMIFS(Z$42:Z$170,$A$42:$A$170,$B18,$E$42:$E$170,$E18)</f>
        <v>0</v>
      </c>
      <c r="AA18" s="42">
        <f t="shared" si="232"/>
        <v>0</v>
      </c>
      <c r="AB18" s="42">
        <f t="shared" si="232"/>
        <v>0</v>
      </c>
      <c r="AC18" s="42">
        <f t="shared" si="232"/>
        <v>0</v>
      </c>
      <c r="AD18" s="42">
        <f t="shared" si="232"/>
        <v>0</v>
      </c>
      <c r="AE18" s="42">
        <f t="shared" si="232"/>
        <v>0</v>
      </c>
      <c r="AF18" s="42">
        <f t="shared" si="232"/>
        <v>0</v>
      </c>
      <c r="AG18" s="42">
        <f t="shared" si="232"/>
        <v>0</v>
      </c>
      <c r="AH18" s="42">
        <f t="shared" si="232"/>
        <v>0</v>
      </c>
      <c r="AI18" s="42">
        <f t="shared" si="232"/>
        <v>0</v>
      </c>
      <c r="AJ18" s="43">
        <f t="shared" ref="AJ18:AS19" si="233">SUMIFS(AJ$42:AJ$170,$A$42:$A$170,$B18,$E$42:$E$170,$E18)</f>
        <v>0</v>
      </c>
      <c r="AK18" s="41">
        <f t="shared" si="233"/>
        <v>0</v>
      </c>
      <c r="AL18" s="42">
        <f t="shared" si="233"/>
        <v>0</v>
      </c>
      <c r="AM18" s="42">
        <f t="shared" si="233"/>
        <v>0</v>
      </c>
      <c r="AN18" s="42">
        <f t="shared" si="233"/>
        <v>160.02240781</v>
      </c>
      <c r="AO18" s="42">
        <f t="shared" si="233"/>
        <v>0</v>
      </c>
      <c r="AP18" s="42">
        <f t="shared" si="233"/>
        <v>0</v>
      </c>
      <c r="AQ18" s="42">
        <f t="shared" si="233"/>
        <v>0</v>
      </c>
      <c r="AR18" s="42">
        <f t="shared" si="233"/>
        <v>0</v>
      </c>
      <c r="AS18" s="42">
        <f t="shared" si="233"/>
        <v>0</v>
      </c>
      <c r="AT18" s="42">
        <f t="shared" ref="AT18:BC19" si="234">SUMIFS(AT$42:AT$170,$A$42:$A$170,$B18,$E$42:$E$170,$E18)</f>
        <v>0</v>
      </c>
      <c r="AU18" s="42">
        <f t="shared" si="234"/>
        <v>0</v>
      </c>
      <c r="AV18" s="42">
        <f t="shared" si="234"/>
        <v>0</v>
      </c>
      <c r="AW18" s="42">
        <f t="shared" si="234"/>
        <v>0</v>
      </c>
      <c r="AX18" s="42">
        <f t="shared" si="234"/>
        <v>0</v>
      </c>
      <c r="AY18" s="42">
        <f t="shared" si="234"/>
        <v>0</v>
      </c>
      <c r="AZ18" s="42">
        <f t="shared" si="234"/>
        <v>0</v>
      </c>
      <c r="BA18" s="42">
        <f t="shared" si="234"/>
        <v>0</v>
      </c>
      <c r="BB18" s="42">
        <f t="shared" si="234"/>
        <v>0</v>
      </c>
      <c r="BC18" s="42">
        <f t="shared" si="234"/>
        <v>0</v>
      </c>
      <c r="BD18" s="42">
        <f t="shared" ref="BD18:BM19" si="235">SUMIFS(BD$42:BD$170,$A$42:$A$170,$B18,$E$42:$E$170,$E18)</f>
        <v>0</v>
      </c>
      <c r="BE18" s="42">
        <f t="shared" si="235"/>
        <v>0</v>
      </c>
      <c r="BF18" s="42">
        <f t="shared" si="235"/>
        <v>0</v>
      </c>
      <c r="BG18" s="42">
        <f t="shared" si="235"/>
        <v>0</v>
      </c>
      <c r="BH18" s="42">
        <f t="shared" si="235"/>
        <v>0</v>
      </c>
      <c r="BI18" s="42">
        <f t="shared" si="235"/>
        <v>0</v>
      </c>
      <c r="BJ18" s="42">
        <f t="shared" si="235"/>
        <v>0</v>
      </c>
      <c r="BK18" s="42">
        <f t="shared" si="235"/>
        <v>0</v>
      </c>
      <c r="BL18" s="42">
        <f t="shared" si="235"/>
        <v>0</v>
      </c>
      <c r="BM18" s="42">
        <f t="shared" si="235"/>
        <v>0</v>
      </c>
      <c r="BN18" s="42">
        <f t="shared" ref="BN18:BW19" si="236">SUMIFS(BN$42:BN$170,$A$42:$A$170,$B18,$E$42:$E$170,$E18)</f>
        <v>0</v>
      </c>
      <c r="BO18" s="43">
        <f t="shared" si="236"/>
        <v>0</v>
      </c>
      <c r="BP18" s="41">
        <f t="shared" si="236"/>
        <v>0</v>
      </c>
      <c r="BQ18" s="42">
        <f t="shared" si="236"/>
        <v>0</v>
      </c>
      <c r="BR18" s="42">
        <f t="shared" si="236"/>
        <v>0</v>
      </c>
      <c r="BS18" s="42">
        <f t="shared" si="236"/>
        <v>0</v>
      </c>
      <c r="BT18" s="42">
        <f t="shared" si="236"/>
        <v>0</v>
      </c>
      <c r="BU18" s="42">
        <f t="shared" si="236"/>
        <v>0</v>
      </c>
      <c r="BV18" s="42">
        <f t="shared" si="236"/>
        <v>0</v>
      </c>
      <c r="BW18" s="42">
        <f t="shared" si="236"/>
        <v>0</v>
      </c>
      <c r="BX18" s="42">
        <f t="shared" ref="BX18:CG19" si="237">SUMIFS(BX$42:BX$170,$A$42:$A$170,$B18,$E$42:$E$170,$E18)</f>
        <v>0</v>
      </c>
      <c r="BY18" s="42">
        <f t="shared" si="237"/>
        <v>0</v>
      </c>
      <c r="BZ18" s="42">
        <f t="shared" si="237"/>
        <v>0</v>
      </c>
      <c r="CA18" s="42">
        <f t="shared" si="237"/>
        <v>0</v>
      </c>
      <c r="CB18" s="42">
        <f t="shared" si="237"/>
        <v>0</v>
      </c>
      <c r="CC18" s="42">
        <f t="shared" si="237"/>
        <v>0</v>
      </c>
      <c r="CD18" s="42">
        <f t="shared" si="237"/>
        <v>0</v>
      </c>
      <c r="CE18" s="42">
        <f t="shared" si="237"/>
        <v>0</v>
      </c>
      <c r="CF18" s="42">
        <f t="shared" si="237"/>
        <v>0</v>
      </c>
      <c r="CG18" s="42">
        <f t="shared" si="237"/>
        <v>0</v>
      </c>
      <c r="CH18" s="42">
        <f t="shared" ref="CH18:CT19" si="238">SUMIFS(CH$42:CH$170,$A$42:$A$170,$B18,$E$42:$E$170,$E18)</f>
        <v>0</v>
      </c>
      <c r="CI18" s="42">
        <f t="shared" si="238"/>
        <v>0</v>
      </c>
      <c r="CJ18" s="42">
        <f t="shared" si="238"/>
        <v>0</v>
      </c>
      <c r="CK18" s="42">
        <f t="shared" si="238"/>
        <v>0</v>
      </c>
      <c r="CL18" s="42">
        <f t="shared" si="238"/>
        <v>0</v>
      </c>
      <c r="CM18" s="42">
        <f t="shared" si="238"/>
        <v>0</v>
      </c>
      <c r="CN18" s="42">
        <f t="shared" si="238"/>
        <v>0</v>
      </c>
      <c r="CO18" s="42">
        <f t="shared" si="238"/>
        <v>0</v>
      </c>
      <c r="CP18" s="42">
        <f t="shared" si="238"/>
        <v>0</v>
      </c>
      <c r="CQ18" s="42">
        <f t="shared" si="238"/>
        <v>0</v>
      </c>
      <c r="CR18" s="42">
        <f t="shared" si="238"/>
        <v>0</v>
      </c>
      <c r="CS18" s="42">
        <f t="shared" si="238"/>
        <v>0</v>
      </c>
      <c r="CT18" s="50">
        <f t="shared" si="238"/>
        <v>0</v>
      </c>
      <c r="CV18" s="97">
        <f t="shared" ref="CV18:CZ19" si="239">SUMIFS(CV$42:CV$170,$A$42:$A$170,$B18,$E$42:$E$170,$E18)</f>
        <v>294.82779628999998</v>
      </c>
      <c r="CW18" s="98">
        <f t="shared" si="239"/>
        <v>160.02240781</v>
      </c>
      <c r="CX18" s="98">
        <f t="shared" si="239"/>
        <v>0</v>
      </c>
      <c r="CY18" s="104">
        <f t="shared" si="239"/>
        <v>134.80538847999998</v>
      </c>
      <c r="CZ18" s="104">
        <f t="shared" si="239"/>
        <v>294.82779628999998</v>
      </c>
    </row>
    <row r="19" spans="1:104" ht="15" customHeight="1" x14ac:dyDescent="0.3">
      <c r="A19" s="51"/>
      <c r="B19" s="54" t="s">
        <v>487</v>
      </c>
      <c r="C19" s="51"/>
      <c r="D19" s="232"/>
      <c r="E19" s="40" t="s">
        <v>349</v>
      </c>
      <c r="F19" s="41">
        <f t="shared" si="230"/>
        <v>0</v>
      </c>
      <c r="G19" s="42">
        <f t="shared" si="230"/>
        <v>0</v>
      </c>
      <c r="H19" s="42">
        <f t="shared" si="230"/>
        <v>0</v>
      </c>
      <c r="I19" s="42">
        <f t="shared" si="230"/>
        <v>0</v>
      </c>
      <c r="J19" s="42">
        <f t="shared" si="230"/>
        <v>0</v>
      </c>
      <c r="K19" s="42">
        <f t="shared" si="230"/>
        <v>0</v>
      </c>
      <c r="L19" s="42">
        <f t="shared" si="230"/>
        <v>0</v>
      </c>
      <c r="M19" s="42">
        <f t="shared" si="230"/>
        <v>0</v>
      </c>
      <c r="N19" s="42">
        <f t="shared" si="230"/>
        <v>0</v>
      </c>
      <c r="O19" s="42">
        <f t="shared" si="230"/>
        <v>0</v>
      </c>
      <c r="P19" s="42">
        <f t="shared" si="231"/>
        <v>0</v>
      </c>
      <c r="Q19" s="42">
        <f t="shared" si="231"/>
        <v>0</v>
      </c>
      <c r="R19" s="42">
        <f t="shared" si="231"/>
        <v>0</v>
      </c>
      <c r="S19" s="42">
        <f t="shared" si="231"/>
        <v>0</v>
      </c>
      <c r="T19" s="42">
        <f t="shared" si="231"/>
        <v>0</v>
      </c>
      <c r="U19" s="42">
        <f t="shared" si="231"/>
        <v>3.7302722799999999</v>
      </c>
      <c r="V19" s="42">
        <f t="shared" si="231"/>
        <v>0</v>
      </c>
      <c r="W19" s="42">
        <f t="shared" si="231"/>
        <v>0</v>
      </c>
      <c r="X19" s="42">
        <f t="shared" si="231"/>
        <v>0</v>
      </c>
      <c r="Y19" s="42">
        <f t="shared" si="231"/>
        <v>0</v>
      </c>
      <c r="Z19" s="42">
        <f t="shared" si="232"/>
        <v>0</v>
      </c>
      <c r="AA19" s="42">
        <f t="shared" si="232"/>
        <v>0</v>
      </c>
      <c r="AB19" s="42">
        <f t="shared" si="232"/>
        <v>0</v>
      </c>
      <c r="AC19" s="42">
        <f t="shared" si="232"/>
        <v>0</v>
      </c>
      <c r="AD19" s="42">
        <f t="shared" si="232"/>
        <v>0</v>
      </c>
      <c r="AE19" s="42">
        <f t="shared" si="232"/>
        <v>0</v>
      </c>
      <c r="AF19" s="42">
        <f t="shared" si="232"/>
        <v>0</v>
      </c>
      <c r="AG19" s="42">
        <f t="shared" si="232"/>
        <v>0</v>
      </c>
      <c r="AH19" s="42">
        <f t="shared" si="232"/>
        <v>0</v>
      </c>
      <c r="AI19" s="42">
        <f t="shared" si="232"/>
        <v>0</v>
      </c>
      <c r="AJ19" s="43">
        <f t="shared" si="233"/>
        <v>0</v>
      </c>
      <c r="AK19" s="41">
        <f t="shared" si="233"/>
        <v>0</v>
      </c>
      <c r="AL19" s="42">
        <f t="shared" si="233"/>
        <v>0</v>
      </c>
      <c r="AM19" s="42">
        <f t="shared" si="233"/>
        <v>0</v>
      </c>
      <c r="AN19" s="42">
        <f t="shared" si="233"/>
        <v>0</v>
      </c>
      <c r="AO19" s="42">
        <f t="shared" si="233"/>
        <v>0</v>
      </c>
      <c r="AP19" s="42">
        <f t="shared" si="233"/>
        <v>0</v>
      </c>
      <c r="AQ19" s="42">
        <f t="shared" si="233"/>
        <v>0</v>
      </c>
      <c r="AR19" s="42">
        <f t="shared" si="233"/>
        <v>0</v>
      </c>
      <c r="AS19" s="42">
        <f t="shared" si="233"/>
        <v>0</v>
      </c>
      <c r="AT19" s="42">
        <f t="shared" si="234"/>
        <v>0</v>
      </c>
      <c r="AU19" s="42">
        <f t="shared" si="234"/>
        <v>0</v>
      </c>
      <c r="AV19" s="42">
        <f t="shared" si="234"/>
        <v>0</v>
      </c>
      <c r="AW19" s="42">
        <f t="shared" si="234"/>
        <v>0</v>
      </c>
      <c r="AX19" s="42">
        <f t="shared" si="234"/>
        <v>0</v>
      </c>
      <c r="AY19" s="42">
        <f t="shared" si="234"/>
        <v>0</v>
      </c>
      <c r="AZ19" s="42">
        <f t="shared" si="234"/>
        <v>0</v>
      </c>
      <c r="BA19" s="42">
        <f t="shared" si="234"/>
        <v>0</v>
      </c>
      <c r="BB19" s="42">
        <f t="shared" si="234"/>
        <v>0</v>
      </c>
      <c r="BC19" s="42">
        <f t="shared" si="234"/>
        <v>0</v>
      </c>
      <c r="BD19" s="42">
        <f t="shared" si="235"/>
        <v>0</v>
      </c>
      <c r="BE19" s="42">
        <f t="shared" si="235"/>
        <v>0</v>
      </c>
      <c r="BF19" s="42">
        <f t="shared" si="235"/>
        <v>0</v>
      </c>
      <c r="BG19" s="42">
        <f t="shared" si="235"/>
        <v>0</v>
      </c>
      <c r="BH19" s="42">
        <f t="shared" si="235"/>
        <v>0</v>
      </c>
      <c r="BI19" s="42">
        <f t="shared" si="235"/>
        <v>0</v>
      </c>
      <c r="BJ19" s="42">
        <f t="shared" si="235"/>
        <v>0</v>
      </c>
      <c r="BK19" s="42">
        <f t="shared" si="235"/>
        <v>0</v>
      </c>
      <c r="BL19" s="42">
        <f t="shared" si="235"/>
        <v>0</v>
      </c>
      <c r="BM19" s="42">
        <f t="shared" si="235"/>
        <v>0</v>
      </c>
      <c r="BN19" s="42">
        <f t="shared" si="236"/>
        <v>0</v>
      </c>
      <c r="BO19" s="43">
        <f t="shared" si="236"/>
        <v>0</v>
      </c>
      <c r="BP19" s="41">
        <f t="shared" si="236"/>
        <v>0</v>
      </c>
      <c r="BQ19" s="42">
        <f t="shared" si="236"/>
        <v>0</v>
      </c>
      <c r="BR19" s="42">
        <f t="shared" si="236"/>
        <v>0</v>
      </c>
      <c r="BS19" s="42">
        <f t="shared" si="236"/>
        <v>0</v>
      </c>
      <c r="BT19" s="42">
        <f t="shared" si="236"/>
        <v>0</v>
      </c>
      <c r="BU19" s="42">
        <f t="shared" si="236"/>
        <v>0</v>
      </c>
      <c r="BV19" s="42">
        <f t="shared" si="236"/>
        <v>0</v>
      </c>
      <c r="BW19" s="42">
        <f t="shared" si="236"/>
        <v>0</v>
      </c>
      <c r="BX19" s="42">
        <f t="shared" si="237"/>
        <v>0</v>
      </c>
      <c r="BY19" s="42">
        <f t="shared" si="237"/>
        <v>0</v>
      </c>
      <c r="BZ19" s="42">
        <f t="shared" si="237"/>
        <v>0</v>
      </c>
      <c r="CA19" s="42">
        <f t="shared" si="237"/>
        <v>0</v>
      </c>
      <c r="CB19" s="42">
        <f t="shared" si="237"/>
        <v>0</v>
      </c>
      <c r="CC19" s="42">
        <f t="shared" si="237"/>
        <v>0</v>
      </c>
      <c r="CD19" s="42">
        <f t="shared" si="237"/>
        <v>0</v>
      </c>
      <c r="CE19" s="42">
        <f t="shared" si="237"/>
        <v>0</v>
      </c>
      <c r="CF19" s="42">
        <f t="shared" si="237"/>
        <v>0</v>
      </c>
      <c r="CG19" s="42">
        <f t="shared" si="237"/>
        <v>0</v>
      </c>
      <c r="CH19" s="42">
        <f t="shared" si="238"/>
        <v>0</v>
      </c>
      <c r="CI19" s="42">
        <f t="shared" si="238"/>
        <v>0</v>
      </c>
      <c r="CJ19" s="42">
        <f t="shared" si="238"/>
        <v>0</v>
      </c>
      <c r="CK19" s="42">
        <f t="shared" si="238"/>
        <v>0</v>
      </c>
      <c r="CL19" s="42">
        <f t="shared" si="238"/>
        <v>0</v>
      </c>
      <c r="CM19" s="42">
        <f t="shared" si="238"/>
        <v>0</v>
      </c>
      <c r="CN19" s="42">
        <f t="shared" si="238"/>
        <v>0</v>
      </c>
      <c r="CO19" s="42">
        <f t="shared" si="238"/>
        <v>0</v>
      </c>
      <c r="CP19" s="42">
        <f t="shared" si="238"/>
        <v>0</v>
      </c>
      <c r="CQ19" s="42">
        <f t="shared" si="238"/>
        <v>0</v>
      </c>
      <c r="CR19" s="42">
        <f t="shared" si="238"/>
        <v>0</v>
      </c>
      <c r="CS19" s="42">
        <f t="shared" si="238"/>
        <v>0</v>
      </c>
      <c r="CT19" s="50">
        <f t="shared" si="238"/>
        <v>0</v>
      </c>
      <c r="CV19" s="96">
        <f t="shared" si="239"/>
        <v>3.7302722799999999</v>
      </c>
      <c r="CW19" s="93">
        <f t="shared" si="239"/>
        <v>0</v>
      </c>
      <c r="CX19" s="93">
        <f t="shared" si="239"/>
        <v>0</v>
      </c>
      <c r="CY19" s="100">
        <f t="shared" si="239"/>
        <v>3.7302722799999999</v>
      </c>
      <c r="CZ19" s="100">
        <f t="shared" si="239"/>
        <v>3.7302722799999999</v>
      </c>
    </row>
    <row r="20" spans="1:104" s="44" customFormat="1" ht="17.55" customHeight="1" x14ac:dyDescent="0.3">
      <c r="B20" s="44" t="s">
        <v>801</v>
      </c>
      <c r="D20" s="217" t="s">
        <v>801</v>
      </c>
      <c r="E20" s="218"/>
      <c r="F20" s="199">
        <f t="shared" ref="F20" si="240">SUM(F18:F19)</f>
        <v>0</v>
      </c>
      <c r="G20" s="200">
        <f t="shared" ref="G20" si="241">SUM(G18:G19)</f>
        <v>0</v>
      </c>
      <c r="H20" s="200">
        <f t="shared" ref="H20" si="242">SUM(H18:H19)</f>
        <v>0</v>
      </c>
      <c r="I20" s="200">
        <f t="shared" ref="I20" si="243">SUM(I18:I19)</f>
        <v>160.02240781</v>
      </c>
      <c r="J20" s="200">
        <f t="shared" ref="J20" si="244">SUM(J18:J19)</f>
        <v>0</v>
      </c>
      <c r="K20" s="200">
        <f t="shared" ref="K20" si="245">SUM(K18:K19)</f>
        <v>0</v>
      </c>
      <c r="L20" s="200">
        <f t="shared" ref="L20" si="246">SUM(L18:L19)</f>
        <v>0</v>
      </c>
      <c r="M20" s="200">
        <f t="shared" ref="M20" si="247">SUM(M18:M19)</f>
        <v>0</v>
      </c>
      <c r="N20" s="200">
        <f t="shared" ref="N20" si="248">SUM(N18:N19)</f>
        <v>0</v>
      </c>
      <c r="O20" s="200">
        <f t="shared" ref="O20" si="249">SUM(O18:O19)</f>
        <v>0</v>
      </c>
      <c r="P20" s="200">
        <f t="shared" ref="P20" si="250">SUM(P18:P19)</f>
        <v>0</v>
      </c>
      <c r="Q20" s="200">
        <f t="shared" ref="Q20" si="251">SUM(Q18:Q19)</f>
        <v>0</v>
      </c>
      <c r="R20" s="200">
        <f t="shared" ref="R20" si="252">SUM(R18:R19)</f>
        <v>134.80538847999998</v>
      </c>
      <c r="S20" s="200">
        <f t="shared" ref="S20" si="253">SUM(S18:S19)</f>
        <v>0</v>
      </c>
      <c r="T20" s="200">
        <f t="shared" ref="T20" si="254">SUM(T18:T19)</f>
        <v>0</v>
      </c>
      <c r="U20" s="200">
        <f t="shared" ref="U20" si="255">SUM(U18:U19)</f>
        <v>3.7302722799999999</v>
      </c>
      <c r="V20" s="200">
        <f t="shared" ref="V20" si="256">SUM(V18:V19)</f>
        <v>0</v>
      </c>
      <c r="W20" s="200">
        <f t="shared" ref="W20" si="257">SUM(W18:W19)</f>
        <v>0</v>
      </c>
      <c r="X20" s="200">
        <f t="shared" ref="X20" si="258">SUM(X18:X19)</f>
        <v>0</v>
      </c>
      <c r="Y20" s="200">
        <f t="shared" ref="Y20" si="259">SUM(Y18:Y19)</f>
        <v>0</v>
      </c>
      <c r="Z20" s="200">
        <f t="shared" ref="Z20" si="260">SUM(Z18:Z19)</f>
        <v>0</v>
      </c>
      <c r="AA20" s="200">
        <f t="shared" ref="AA20" si="261">SUM(AA18:AA19)</f>
        <v>0</v>
      </c>
      <c r="AB20" s="200">
        <f t="shared" ref="AB20" si="262">SUM(AB18:AB19)</f>
        <v>0</v>
      </c>
      <c r="AC20" s="200">
        <f t="shared" ref="AC20" si="263">SUM(AC18:AC19)</f>
        <v>0</v>
      </c>
      <c r="AD20" s="200">
        <f t="shared" ref="AD20" si="264">SUM(AD18:AD19)</f>
        <v>0</v>
      </c>
      <c r="AE20" s="200">
        <f t="shared" ref="AE20" si="265">SUM(AE18:AE19)</f>
        <v>0</v>
      </c>
      <c r="AF20" s="200">
        <f t="shared" ref="AF20" si="266">SUM(AF18:AF19)</f>
        <v>0</v>
      </c>
      <c r="AG20" s="200">
        <f t="shared" ref="AG20" si="267">SUM(AG18:AG19)</f>
        <v>0</v>
      </c>
      <c r="AH20" s="200">
        <f t="shared" ref="AH20" si="268">SUM(AH18:AH19)</f>
        <v>0</v>
      </c>
      <c r="AI20" s="200">
        <f t="shared" ref="AI20" si="269">SUM(AI18:AI19)</f>
        <v>0</v>
      </c>
      <c r="AJ20" s="200">
        <f t="shared" ref="AJ20" si="270">SUM(AJ18:AJ19)</f>
        <v>0</v>
      </c>
      <c r="AK20" s="199">
        <f t="shared" ref="AK20" si="271">SUM(AK18:AK19)</f>
        <v>0</v>
      </c>
      <c r="AL20" s="200">
        <f t="shared" ref="AL20" si="272">SUM(AL18:AL19)</f>
        <v>0</v>
      </c>
      <c r="AM20" s="200">
        <f t="shared" ref="AM20" si="273">SUM(AM18:AM19)</f>
        <v>0</v>
      </c>
      <c r="AN20" s="200">
        <f t="shared" ref="AN20" si="274">SUM(AN18:AN19)</f>
        <v>160.02240781</v>
      </c>
      <c r="AO20" s="200">
        <f t="shared" ref="AO20" si="275">SUM(AO18:AO19)</f>
        <v>0</v>
      </c>
      <c r="AP20" s="200">
        <f t="shared" ref="AP20" si="276">SUM(AP18:AP19)</f>
        <v>0</v>
      </c>
      <c r="AQ20" s="200">
        <f t="shared" ref="AQ20" si="277">SUM(AQ18:AQ19)</f>
        <v>0</v>
      </c>
      <c r="AR20" s="200">
        <f t="shared" ref="AR20" si="278">SUM(AR18:AR19)</f>
        <v>0</v>
      </c>
      <c r="AS20" s="200">
        <f t="shared" ref="AS20" si="279">SUM(AS18:AS19)</f>
        <v>0</v>
      </c>
      <c r="AT20" s="200">
        <f t="shared" ref="AT20" si="280">SUM(AT18:AT19)</f>
        <v>0</v>
      </c>
      <c r="AU20" s="200">
        <f t="shared" ref="AU20" si="281">SUM(AU18:AU19)</f>
        <v>0</v>
      </c>
      <c r="AV20" s="200">
        <f t="shared" ref="AV20" si="282">SUM(AV18:AV19)</f>
        <v>0</v>
      </c>
      <c r="AW20" s="200">
        <f t="shared" ref="AW20" si="283">SUM(AW18:AW19)</f>
        <v>0</v>
      </c>
      <c r="AX20" s="200">
        <f t="shared" ref="AX20" si="284">SUM(AX18:AX19)</f>
        <v>0</v>
      </c>
      <c r="AY20" s="200">
        <f t="shared" ref="AY20" si="285">SUM(AY18:AY19)</f>
        <v>0</v>
      </c>
      <c r="AZ20" s="200">
        <f t="shared" ref="AZ20" si="286">SUM(AZ18:AZ19)</f>
        <v>0</v>
      </c>
      <c r="BA20" s="200">
        <f t="shared" ref="BA20" si="287">SUM(BA18:BA19)</f>
        <v>0</v>
      </c>
      <c r="BB20" s="200">
        <f t="shared" ref="BB20" si="288">SUM(BB18:BB19)</f>
        <v>0</v>
      </c>
      <c r="BC20" s="200">
        <f t="shared" ref="BC20" si="289">SUM(BC18:BC19)</f>
        <v>0</v>
      </c>
      <c r="BD20" s="200">
        <f t="shared" ref="BD20" si="290">SUM(BD18:BD19)</f>
        <v>0</v>
      </c>
      <c r="BE20" s="200">
        <f t="shared" ref="BE20" si="291">SUM(BE18:BE19)</f>
        <v>0</v>
      </c>
      <c r="BF20" s="200">
        <f t="shared" ref="BF20" si="292">SUM(BF18:BF19)</f>
        <v>0</v>
      </c>
      <c r="BG20" s="200">
        <f t="shared" ref="BG20" si="293">SUM(BG18:BG19)</f>
        <v>0</v>
      </c>
      <c r="BH20" s="200">
        <f t="shared" ref="BH20" si="294">SUM(BH18:BH19)</f>
        <v>0</v>
      </c>
      <c r="BI20" s="200">
        <f t="shared" ref="BI20" si="295">SUM(BI18:BI19)</f>
        <v>0</v>
      </c>
      <c r="BJ20" s="200">
        <f t="shared" ref="BJ20" si="296">SUM(BJ18:BJ19)</f>
        <v>0</v>
      </c>
      <c r="BK20" s="200">
        <f t="shared" ref="BK20" si="297">SUM(BK18:BK19)</f>
        <v>0</v>
      </c>
      <c r="BL20" s="200">
        <f t="shared" ref="BL20" si="298">SUM(BL18:BL19)</f>
        <v>0</v>
      </c>
      <c r="BM20" s="200">
        <f t="shared" ref="BM20" si="299">SUM(BM18:BM19)</f>
        <v>0</v>
      </c>
      <c r="BN20" s="200">
        <f t="shared" ref="BN20" si="300">SUM(BN18:BN19)</f>
        <v>0</v>
      </c>
      <c r="BO20" s="201">
        <f t="shared" ref="BO20" si="301">SUM(BO18:BO19)</f>
        <v>0</v>
      </c>
      <c r="BP20" s="199">
        <f t="shared" ref="BP20" si="302">SUM(BP18:BP19)</f>
        <v>0</v>
      </c>
      <c r="BQ20" s="200">
        <f t="shared" ref="BQ20" si="303">SUM(BQ18:BQ19)</f>
        <v>0</v>
      </c>
      <c r="BR20" s="200">
        <f t="shared" ref="BR20" si="304">SUM(BR18:BR19)</f>
        <v>0</v>
      </c>
      <c r="BS20" s="200">
        <f t="shared" ref="BS20" si="305">SUM(BS18:BS19)</f>
        <v>0</v>
      </c>
      <c r="BT20" s="200">
        <f t="shared" ref="BT20" si="306">SUM(BT18:BT19)</f>
        <v>0</v>
      </c>
      <c r="BU20" s="200">
        <f t="shared" ref="BU20" si="307">SUM(BU18:BU19)</f>
        <v>0</v>
      </c>
      <c r="BV20" s="200">
        <f t="shared" ref="BV20" si="308">SUM(BV18:BV19)</f>
        <v>0</v>
      </c>
      <c r="BW20" s="200">
        <f t="shared" ref="BW20" si="309">SUM(BW18:BW19)</f>
        <v>0</v>
      </c>
      <c r="BX20" s="200">
        <f t="shared" ref="BX20" si="310">SUM(BX18:BX19)</f>
        <v>0</v>
      </c>
      <c r="BY20" s="200">
        <f t="shared" ref="BY20" si="311">SUM(BY18:BY19)</f>
        <v>0</v>
      </c>
      <c r="BZ20" s="200">
        <f t="shared" ref="BZ20" si="312">SUM(BZ18:BZ19)</f>
        <v>0</v>
      </c>
      <c r="CA20" s="200">
        <f t="shared" ref="CA20" si="313">SUM(CA18:CA19)</f>
        <v>0</v>
      </c>
      <c r="CB20" s="200">
        <f t="shared" ref="CB20" si="314">SUM(CB18:CB19)</f>
        <v>0</v>
      </c>
      <c r="CC20" s="200">
        <f t="shared" ref="CC20" si="315">SUM(CC18:CC19)</f>
        <v>0</v>
      </c>
      <c r="CD20" s="200">
        <f t="shared" ref="CD20" si="316">SUM(CD18:CD19)</f>
        <v>0</v>
      </c>
      <c r="CE20" s="200">
        <f t="shared" ref="CE20" si="317">SUM(CE18:CE19)</f>
        <v>0</v>
      </c>
      <c r="CF20" s="200">
        <f t="shared" ref="CF20" si="318">SUM(CF18:CF19)</f>
        <v>0</v>
      </c>
      <c r="CG20" s="200">
        <f t="shared" ref="CG20" si="319">SUM(CG18:CG19)</f>
        <v>0</v>
      </c>
      <c r="CH20" s="200">
        <f t="shared" ref="CH20" si="320">SUM(CH18:CH19)</f>
        <v>0</v>
      </c>
      <c r="CI20" s="200">
        <f t="shared" ref="CI20" si="321">SUM(CI18:CI19)</f>
        <v>0</v>
      </c>
      <c r="CJ20" s="200">
        <f t="shared" ref="CJ20" si="322">SUM(CJ18:CJ19)</f>
        <v>0</v>
      </c>
      <c r="CK20" s="200">
        <f t="shared" ref="CK20" si="323">SUM(CK18:CK19)</f>
        <v>0</v>
      </c>
      <c r="CL20" s="200">
        <f t="shared" ref="CL20" si="324">SUM(CL18:CL19)</f>
        <v>0</v>
      </c>
      <c r="CM20" s="200">
        <f t="shared" ref="CM20" si="325">SUM(CM18:CM19)</f>
        <v>0</v>
      </c>
      <c r="CN20" s="200">
        <f t="shared" ref="CN20" si="326">SUM(CN18:CN19)</f>
        <v>0</v>
      </c>
      <c r="CO20" s="200">
        <f t="shared" ref="CO20" si="327">SUM(CO18:CO19)</f>
        <v>0</v>
      </c>
      <c r="CP20" s="200">
        <f t="shared" ref="CP20" si="328">SUM(CP18:CP19)</f>
        <v>0</v>
      </c>
      <c r="CQ20" s="200">
        <f t="shared" ref="CQ20" si="329">SUM(CQ18:CQ19)</f>
        <v>0</v>
      </c>
      <c r="CR20" s="200">
        <f t="shared" ref="CR20" si="330">SUM(CR18:CR19)</f>
        <v>0</v>
      </c>
      <c r="CS20" s="200">
        <f t="shared" ref="CS20" si="331">SUM(CS18:CS19)</f>
        <v>0</v>
      </c>
      <c r="CT20" s="202">
        <f t="shared" ref="CT20" si="332">SUM(CT18:CT19)</f>
        <v>0</v>
      </c>
      <c r="CU20" s="226"/>
      <c r="CV20" s="203">
        <f t="shared" ref="CV20" si="333">SUM(CV18:CV19)</f>
        <v>298.55806856999999</v>
      </c>
      <c r="CW20" s="204">
        <f t="shared" ref="CW20" si="334">SUM(CW18:CW19)</f>
        <v>160.02240781</v>
      </c>
      <c r="CX20" s="204">
        <f t="shared" ref="CX20" si="335">SUM(CX18:CX19)</f>
        <v>0</v>
      </c>
      <c r="CY20" s="205">
        <f t="shared" ref="CY20" si="336">SUM(CY18:CY19)</f>
        <v>138.53566075999998</v>
      </c>
      <c r="CZ20" s="206">
        <f t="shared" ref="CZ20" si="337">SUM(CZ18:CZ19)</f>
        <v>298.55806856999999</v>
      </c>
    </row>
    <row r="21" spans="1:104" ht="15" customHeight="1" x14ac:dyDescent="0.3">
      <c r="A21" s="51"/>
      <c r="B21" s="52" t="s">
        <v>469</v>
      </c>
      <c r="C21" s="51"/>
      <c r="D21" s="242" t="s">
        <v>469</v>
      </c>
      <c r="E21" s="85" t="s">
        <v>132</v>
      </c>
      <c r="F21" s="41">
        <f t="shared" ref="F21:O22" si="338">SUMIFS(F$42:F$170,$A$42:$A$170,$B21,$E$42:$E$170,$E21)</f>
        <v>0</v>
      </c>
      <c r="G21" s="42">
        <f t="shared" si="338"/>
        <v>0</v>
      </c>
      <c r="H21" s="42">
        <f t="shared" si="338"/>
        <v>0</v>
      </c>
      <c r="I21" s="42">
        <f t="shared" si="338"/>
        <v>66.660504219999993</v>
      </c>
      <c r="J21" s="42">
        <f t="shared" si="338"/>
        <v>0</v>
      </c>
      <c r="K21" s="42">
        <f t="shared" si="338"/>
        <v>0</v>
      </c>
      <c r="L21" s="42">
        <f t="shared" si="338"/>
        <v>0</v>
      </c>
      <c r="M21" s="42">
        <f t="shared" si="338"/>
        <v>0</v>
      </c>
      <c r="N21" s="42">
        <f t="shared" si="338"/>
        <v>0</v>
      </c>
      <c r="O21" s="42">
        <f t="shared" si="338"/>
        <v>0</v>
      </c>
      <c r="P21" s="42">
        <f t="shared" ref="P21:Y22" si="339">SUMIFS(P$42:P$170,$A$42:$A$170,$B21,$E$42:$E$170,$E21)</f>
        <v>0</v>
      </c>
      <c r="Q21" s="42">
        <f t="shared" si="339"/>
        <v>0</v>
      </c>
      <c r="R21" s="42">
        <f t="shared" si="339"/>
        <v>0</v>
      </c>
      <c r="S21" s="42">
        <f t="shared" si="339"/>
        <v>0</v>
      </c>
      <c r="T21" s="42">
        <f t="shared" si="339"/>
        <v>0</v>
      </c>
      <c r="U21" s="42">
        <f t="shared" si="339"/>
        <v>0</v>
      </c>
      <c r="V21" s="42">
        <f t="shared" si="339"/>
        <v>0</v>
      </c>
      <c r="W21" s="42">
        <f t="shared" si="339"/>
        <v>0</v>
      </c>
      <c r="X21" s="42">
        <f t="shared" si="339"/>
        <v>0</v>
      </c>
      <c r="Y21" s="42">
        <f t="shared" si="339"/>
        <v>0</v>
      </c>
      <c r="Z21" s="42">
        <f t="shared" ref="Z21:AI22" si="340">SUMIFS(Z$42:Z$170,$A$42:$A$170,$B21,$E$42:$E$170,$E21)</f>
        <v>0</v>
      </c>
      <c r="AA21" s="42">
        <f t="shared" si="340"/>
        <v>0</v>
      </c>
      <c r="AB21" s="42">
        <f t="shared" si="340"/>
        <v>0</v>
      </c>
      <c r="AC21" s="42">
        <f t="shared" si="340"/>
        <v>117.34439656999999</v>
      </c>
      <c r="AD21" s="42">
        <f t="shared" si="340"/>
        <v>0</v>
      </c>
      <c r="AE21" s="42">
        <f t="shared" si="340"/>
        <v>0</v>
      </c>
      <c r="AF21" s="42">
        <f t="shared" si="340"/>
        <v>0</v>
      </c>
      <c r="AG21" s="42">
        <f t="shared" si="340"/>
        <v>0</v>
      </c>
      <c r="AH21" s="42">
        <f t="shared" si="340"/>
        <v>0</v>
      </c>
      <c r="AI21" s="42">
        <f t="shared" si="340"/>
        <v>0</v>
      </c>
      <c r="AJ21" s="43">
        <f t="shared" ref="AJ21:AS22" si="341">SUMIFS(AJ$42:AJ$170,$A$42:$A$170,$B21,$E$42:$E$170,$E21)</f>
        <v>0</v>
      </c>
      <c r="AK21" s="41">
        <f t="shared" si="341"/>
        <v>0</v>
      </c>
      <c r="AL21" s="42">
        <f t="shared" si="341"/>
        <v>0</v>
      </c>
      <c r="AM21" s="42">
        <f t="shared" si="341"/>
        <v>0</v>
      </c>
      <c r="AN21" s="42">
        <f t="shared" si="341"/>
        <v>66.660504219999993</v>
      </c>
      <c r="AO21" s="42">
        <f t="shared" si="341"/>
        <v>0</v>
      </c>
      <c r="AP21" s="42">
        <f t="shared" si="341"/>
        <v>0</v>
      </c>
      <c r="AQ21" s="42">
        <f t="shared" si="341"/>
        <v>0</v>
      </c>
      <c r="AR21" s="42">
        <f t="shared" si="341"/>
        <v>0</v>
      </c>
      <c r="AS21" s="42">
        <f t="shared" si="341"/>
        <v>0</v>
      </c>
      <c r="AT21" s="42">
        <f t="shared" ref="AT21:BC22" si="342">SUMIFS(AT$42:AT$170,$A$42:$A$170,$B21,$E$42:$E$170,$E21)</f>
        <v>0</v>
      </c>
      <c r="AU21" s="42">
        <f t="shared" si="342"/>
        <v>0</v>
      </c>
      <c r="AV21" s="42">
        <f t="shared" si="342"/>
        <v>0</v>
      </c>
      <c r="AW21" s="42">
        <f t="shared" si="342"/>
        <v>0</v>
      </c>
      <c r="AX21" s="42">
        <f t="shared" si="342"/>
        <v>0</v>
      </c>
      <c r="AY21" s="42">
        <f t="shared" si="342"/>
        <v>0</v>
      </c>
      <c r="AZ21" s="42">
        <f t="shared" si="342"/>
        <v>0</v>
      </c>
      <c r="BA21" s="42">
        <f t="shared" si="342"/>
        <v>0</v>
      </c>
      <c r="BB21" s="42">
        <f t="shared" si="342"/>
        <v>0</v>
      </c>
      <c r="BC21" s="42">
        <f t="shared" si="342"/>
        <v>0</v>
      </c>
      <c r="BD21" s="42">
        <f t="shared" ref="BD21:BM22" si="343">SUMIFS(BD$42:BD$170,$A$42:$A$170,$B21,$E$42:$E$170,$E21)</f>
        <v>0</v>
      </c>
      <c r="BE21" s="42">
        <f t="shared" si="343"/>
        <v>0</v>
      </c>
      <c r="BF21" s="42">
        <f t="shared" si="343"/>
        <v>0</v>
      </c>
      <c r="BG21" s="42">
        <f t="shared" si="343"/>
        <v>0</v>
      </c>
      <c r="BH21" s="42">
        <f t="shared" si="343"/>
        <v>0</v>
      </c>
      <c r="BI21" s="42">
        <f t="shared" si="343"/>
        <v>0</v>
      </c>
      <c r="BJ21" s="42">
        <f t="shared" si="343"/>
        <v>0</v>
      </c>
      <c r="BK21" s="42">
        <f t="shared" si="343"/>
        <v>0</v>
      </c>
      <c r="BL21" s="42">
        <f t="shared" si="343"/>
        <v>0</v>
      </c>
      <c r="BM21" s="42">
        <f t="shared" si="343"/>
        <v>0</v>
      </c>
      <c r="BN21" s="42">
        <f t="shared" ref="BN21:BW22" si="344">SUMIFS(BN$42:BN$170,$A$42:$A$170,$B21,$E$42:$E$170,$E21)</f>
        <v>0</v>
      </c>
      <c r="BO21" s="43">
        <f t="shared" si="344"/>
        <v>0</v>
      </c>
      <c r="BP21" s="41">
        <f t="shared" si="344"/>
        <v>0</v>
      </c>
      <c r="BQ21" s="42">
        <f t="shared" si="344"/>
        <v>0</v>
      </c>
      <c r="BR21" s="42">
        <f t="shared" si="344"/>
        <v>0</v>
      </c>
      <c r="BS21" s="42">
        <f t="shared" si="344"/>
        <v>0</v>
      </c>
      <c r="BT21" s="42">
        <f t="shared" si="344"/>
        <v>0</v>
      </c>
      <c r="BU21" s="42">
        <f t="shared" si="344"/>
        <v>0</v>
      </c>
      <c r="BV21" s="42">
        <f t="shared" si="344"/>
        <v>0</v>
      </c>
      <c r="BW21" s="42">
        <f t="shared" si="344"/>
        <v>0</v>
      </c>
      <c r="BX21" s="42">
        <f t="shared" ref="BX21:CG22" si="345">SUMIFS(BX$42:BX$170,$A$42:$A$170,$B21,$E$42:$E$170,$E21)</f>
        <v>0</v>
      </c>
      <c r="BY21" s="42">
        <f t="shared" si="345"/>
        <v>0</v>
      </c>
      <c r="BZ21" s="42">
        <f t="shared" si="345"/>
        <v>0</v>
      </c>
      <c r="CA21" s="42">
        <f t="shared" si="345"/>
        <v>0</v>
      </c>
      <c r="CB21" s="42">
        <f t="shared" si="345"/>
        <v>0</v>
      </c>
      <c r="CC21" s="42">
        <f t="shared" si="345"/>
        <v>0</v>
      </c>
      <c r="CD21" s="42">
        <f t="shared" si="345"/>
        <v>0</v>
      </c>
      <c r="CE21" s="42">
        <f t="shared" si="345"/>
        <v>0</v>
      </c>
      <c r="CF21" s="42">
        <f t="shared" si="345"/>
        <v>0</v>
      </c>
      <c r="CG21" s="42">
        <f t="shared" si="345"/>
        <v>0</v>
      </c>
      <c r="CH21" s="42">
        <f t="shared" ref="CH21:CT22" si="346">SUMIFS(CH$42:CH$170,$A$42:$A$170,$B21,$E$42:$E$170,$E21)</f>
        <v>0</v>
      </c>
      <c r="CI21" s="42">
        <f t="shared" si="346"/>
        <v>0</v>
      </c>
      <c r="CJ21" s="42">
        <f t="shared" si="346"/>
        <v>0</v>
      </c>
      <c r="CK21" s="42">
        <f t="shared" si="346"/>
        <v>0</v>
      </c>
      <c r="CL21" s="42">
        <f t="shared" si="346"/>
        <v>0</v>
      </c>
      <c r="CM21" s="42">
        <f t="shared" si="346"/>
        <v>0</v>
      </c>
      <c r="CN21" s="42">
        <f t="shared" si="346"/>
        <v>0</v>
      </c>
      <c r="CO21" s="42">
        <f t="shared" si="346"/>
        <v>0</v>
      </c>
      <c r="CP21" s="42">
        <f t="shared" si="346"/>
        <v>0</v>
      </c>
      <c r="CQ21" s="42">
        <f t="shared" si="346"/>
        <v>0</v>
      </c>
      <c r="CR21" s="42">
        <f t="shared" si="346"/>
        <v>0</v>
      </c>
      <c r="CS21" s="42">
        <f t="shared" si="346"/>
        <v>0</v>
      </c>
      <c r="CT21" s="50">
        <f t="shared" si="346"/>
        <v>0</v>
      </c>
      <c r="CV21" s="97">
        <f t="shared" ref="CV21:CZ22" si="347">SUMIFS(CV$42:CV$170,$A$42:$A$170,$B21,$E$42:$E$170,$E21)</f>
        <v>184.00490078999997</v>
      </c>
      <c r="CW21" s="98">
        <f t="shared" si="347"/>
        <v>66.660504219999993</v>
      </c>
      <c r="CX21" s="98">
        <f t="shared" si="347"/>
        <v>0</v>
      </c>
      <c r="CY21" s="104">
        <f t="shared" si="347"/>
        <v>117.34439656999997</v>
      </c>
      <c r="CZ21" s="104">
        <f t="shared" si="347"/>
        <v>184.00490078999997</v>
      </c>
    </row>
    <row r="22" spans="1:104" ht="15" customHeight="1" x14ac:dyDescent="0.3">
      <c r="A22" s="51"/>
      <c r="B22" s="54" t="s">
        <v>469</v>
      </c>
      <c r="C22" s="51"/>
      <c r="D22" s="232"/>
      <c r="E22" s="40" t="s">
        <v>349</v>
      </c>
      <c r="F22" s="41">
        <f t="shared" si="338"/>
        <v>0</v>
      </c>
      <c r="G22" s="42">
        <f t="shared" si="338"/>
        <v>0</v>
      </c>
      <c r="H22" s="42">
        <f t="shared" si="338"/>
        <v>0</v>
      </c>
      <c r="I22" s="42">
        <f t="shared" si="338"/>
        <v>0.62155158999999993</v>
      </c>
      <c r="J22" s="42">
        <f t="shared" si="338"/>
        <v>0</v>
      </c>
      <c r="K22" s="42">
        <f t="shared" si="338"/>
        <v>0</v>
      </c>
      <c r="L22" s="42">
        <f t="shared" si="338"/>
        <v>0</v>
      </c>
      <c r="M22" s="42">
        <f t="shared" si="338"/>
        <v>0</v>
      </c>
      <c r="N22" s="42">
        <f t="shared" si="338"/>
        <v>0</v>
      </c>
      <c r="O22" s="42">
        <f t="shared" si="338"/>
        <v>1.1973179599999999</v>
      </c>
      <c r="P22" s="42">
        <f t="shared" si="339"/>
        <v>0</v>
      </c>
      <c r="Q22" s="42">
        <f t="shared" si="339"/>
        <v>2.2893304100000003</v>
      </c>
      <c r="R22" s="42">
        <f t="shared" si="339"/>
        <v>0</v>
      </c>
      <c r="S22" s="42">
        <f t="shared" si="339"/>
        <v>0</v>
      </c>
      <c r="T22" s="42">
        <f t="shared" si="339"/>
        <v>0</v>
      </c>
      <c r="U22" s="42">
        <f t="shared" si="339"/>
        <v>0</v>
      </c>
      <c r="V22" s="42">
        <f t="shared" si="339"/>
        <v>0</v>
      </c>
      <c r="W22" s="42">
        <f t="shared" si="339"/>
        <v>0</v>
      </c>
      <c r="X22" s="42">
        <f t="shared" si="339"/>
        <v>0</v>
      </c>
      <c r="Y22" s="42">
        <f t="shared" si="339"/>
        <v>0</v>
      </c>
      <c r="Z22" s="42">
        <f t="shared" si="340"/>
        <v>2.87146342</v>
      </c>
      <c r="AA22" s="42">
        <f t="shared" si="340"/>
        <v>0</v>
      </c>
      <c r="AB22" s="42">
        <f t="shared" si="340"/>
        <v>2.0403898599999999</v>
      </c>
      <c r="AC22" s="42">
        <f t="shared" si="340"/>
        <v>0</v>
      </c>
      <c r="AD22" s="42">
        <f t="shared" si="340"/>
        <v>0</v>
      </c>
      <c r="AE22" s="42">
        <f t="shared" si="340"/>
        <v>0</v>
      </c>
      <c r="AF22" s="42">
        <f t="shared" si="340"/>
        <v>0</v>
      </c>
      <c r="AG22" s="42">
        <f t="shared" si="340"/>
        <v>0</v>
      </c>
      <c r="AH22" s="42">
        <f t="shared" si="340"/>
        <v>0</v>
      </c>
      <c r="AI22" s="42">
        <f t="shared" si="340"/>
        <v>0</v>
      </c>
      <c r="AJ22" s="43">
        <f t="shared" si="341"/>
        <v>0</v>
      </c>
      <c r="AK22" s="41">
        <f t="shared" si="341"/>
        <v>0</v>
      </c>
      <c r="AL22" s="42">
        <f t="shared" si="341"/>
        <v>0</v>
      </c>
      <c r="AM22" s="42">
        <f t="shared" si="341"/>
        <v>0</v>
      </c>
      <c r="AN22" s="42">
        <f t="shared" si="341"/>
        <v>0.62155158999999993</v>
      </c>
      <c r="AO22" s="42">
        <f t="shared" si="341"/>
        <v>0</v>
      </c>
      <c r="AP22" s="42">
        <f t="shared" si="341"/>
        <v>0</v>
      </c>
      <c r="AQ22" s="42">
        <f t="shared" si="341"/>
        <v>0</v>
      </c>
      <c r="AR22" s="42">
        <f t="shared" si="341"/>
        <v>0</v>
      </c>
      <c r="AS22" s="42">
        <f t="shared" si="341"/>
        <v>0</v>
      </c>
      <c r="AT22" s="42">
        <f t="shared" si="342"/>
        <v>0</v>
      </c>
      <c r="AU22" s="42">
        <f t="shared" si="342"/>
        <v>0</v>
      </c>
      <c r="AV22" s="42">
        <f t="shared" si="342"/>
        <v>0</v>
      </c>
      <c r="AW22" s="42">
        <f t="shared" si="342"/>
        <v>0</v>
      </c>
      <c r="AX22" s="42">
        <f t="shared" si="342"/>
        <v>0</v>
      </c>
      <c r="AY22" s="42">
        <f t="shared" si="342"/>
        <v>0</v>
      </c>
      <c r="AZ22" s="42">
        <f t="shared" si="342"/>
        <v>0</v>
      </c>
      <c r="BA22" s="42">
        <f t="shared" si="342"/>
        <v>0</v>
      </c>
      <c r="BB22" s="42">
        <f t="shared" si="342"/>
        <v>0</v>
      </c>
      <c r="BC22" s="42">
        <f t="shared" si="342"/>
        <v>0</v>
      </c>
      <c r="BD22" s="42">
        <f t="shared" si="343"/>
        <v>0</v>
      </c>
      <c r="BE22" s="42">
        <f t="shared" si="343"/>
        <v>0</v>
      </c>
      <c r="BF22" s="42">
        <f t="shared" si="343"/>
        <v>0</v>
      </c>
      <c r="BG22" s="42">
        <f t="shared" si="343"/>
        <v>0</v>
      </c>
      <c r="BH22" s="42">
        <f t="shared" si="343"/>
        <v>0</v>
      </c>
      <c r="BI22" s="42">
        <f t="shared" si="343"/>
        <v>0</v>
      </c>
      <c r="BJ22" s="42">
        <f t="shared" si="343"/>
        <v>0</v>
      </c>
      <c r="BK22" s="42">
        <f t="shared" si="343"/>
        <v>0</v>
      </c>
      <c r="BL22" s="42">
        <f t="shared" si="343"/>
        <v>0</v>
      </c>
      <c r="BM22" s="42">
        <f t="shared" si="343"/>
        <v>0</v>
      </c>
      <c r="BN22" s="42">
        <f t="shared" si="344"/>
        <v>0</v>
      </c>
      <c r="BO22" s="43">
        <f t="shared" si="344"/>
        <v>0</v>
      </c>
      <c r="BP22" s="41">
        <f t="shared" si="344"/>
        <v>0</v>
      </c>
      <c r="BQ22" s="42">
        <f t="shared" si="344"/>
        <v>0</v>
      </c>
      <c r="BR22" s="42">
        <f t="shared" si="344"/>
        <v>0</v>
      </c>
      <c r="BS22" s="42">
        <f t="shared" si="344"/>
        <v>0</v>
      </c>
      <c r="BT22" s="42">
        <f t="shared" si="344"/>
        <v>0</v>
      </c>
      <c r="BU22" s="42">
        <f t="shared" si="344"/>
        <v>0</v>
      </c>
      <c r="BV22" s="42">
        <f t="shared" si="344"/>
        <v>0</v>
      </c>
      <c r="BW22" s="42">
        <f t="shared" si="344"/>
        <v>0</v>
      </c>
      <c r="BX22" s="42">
        <f t="shared" si="345"/>
        <v>0</v>
      </c>
      <c r="BY22" s="42">
        <f t="shared" si="345"/>
        <v>0</v>
      </c>
      <c r="BZ22" s="42">
        <f t="shared" si="345"/>
        <v>0</v>
      </c>
      <c r="CA22" s="42">
        <f t="shared" si="345"/>
        <v>0</v>
      </c>
      <c r="CB22" s="42">
        <f t="shared" si="345"/>
        <v>0</v>
      </c>
      <c r="CC22" s="42">
        <f t="shared" si="345"/>
        <v>0</v>
      </c>
      <c r="CD22" s="42">
        <f t="shared" si="345"/>
        <v>0</v>
      </c>
      <c r="CE22" s="42">
        <f t="shared" si="345"/>
        <v>0</v>
      </c>
      <c r="CF22" s="42">
        <f t="shared" si="345"/>
        <v>0</v>
      </c>
      <c r="CG22" s="42">
        <f t="shared" si="345"/>
        <v>0</v>
      </c>
      <c r="CH22" s="42">
        <f t="shared" si="346"/>
        <v>0</v>
      </c>
      <c r="CI22" s="42">
        <f t="shared" si="346"/>
        <v>0</v>
      </c>
      <c r="CJ22" s="42">
        <f t="shared" si="346"/>
        <v>0</v>
      </c>
      <c r="CK22" s="42">
        <f t="shared" si="346"/>
        <v>0</v>
      </c>
      <c r="CL22" s="42">
        <f t="shared" si="346"/>
        <v>2.0403898599999999</v>
      </c>
      <c r="CM22" s="42">
        <f t="shared" si="346"/>
        <v>0</v>
      </c>
      <c r="CN22" s="42">
        <f t="shared" si="346"/>
        <v>0</v>
      </c>
      <c r="CO22" s="42">
        <f t="shared" si="346"/>
        <v>0</v>
      </c>
      <c r="CP22" s="42">
        <f t="shared" si="346"/>
        <v>0</v>
      </c>
      <c r="CQ22" s="42">
        <f t="shared" si="346"/>
        <v>0</v>
      </c>
      <c r="CR22" s="42">
        <f t="shared" si="346"/>
        <v>0</v>
      </c>
      <c r="CS22" s="42">
        <f t="shared" si="346"/>
        <v>0</v>
      </c>
      <c r="CT22" s="50">
        <f t="shared" si="346"/>
        <v>0</v>
      </c>
      <c r="CV22" s="96">
        <f t="shared" si="347"/>
        <v>9.0200532399999993</v>
      </c>
      <c r="CW22" s="93">
        <f t="shared" si="347"/>
        <v>0.62155158999999993</v>
      </c>
      <c r="CX22" s="93">
        <f t="shared" si="347"/>
        <v>2.0403898599999999</v>
      </c>
      <c r="CY22" s="100">
        <f t="shared" si="347"/>
        <v>6.3581117899999997</v>
      </c>
      <c r="CZ22" s="100">
        <f t="shared" si="347"/>
        <v>6.9796633799999999</v>
      </c>
    </row>
    <row r="23" spans="1:104" s="44" customFormat="1" ht="17.55" customHeight="1" x14ac:dyDescent="0.3">
      <c r="B23" s="44" t="s">
        <v>802</v>
      </c>
      <c r="D23" s="217" t="s">
        <v>802</v>
      </c>
      <c r="E23" s="218"/>
      <c r="F23" s="199">
        <f t="shared" ref="F23" si="348">SUM(F21:F22)</f>
        <v>0</v>
      </c>
      <c r="G23" s="200">
        <f t="shared" ref="G23" si="349">SUM(G21:G22)</f>
        <v>0</v>
      </c>
      <c r="H23" s="200">
        <f t="shared" ref="H23" si="350">SUM(H21:H22)</f>
        <v>0</v>
      </c>
      <c r="I23" s="200">
        <f t="shared" ref="I23" si="351">SUM(I21:I22)</f>
        <v>67.282055809999989</v>
      </c>
      <c r="J23" s="200">
        <f t="shared" ref="J23" si="352">SUM(J21:J22)</f>
        <v>0</v>
      </c>
      <c r="K23" s="200">
        <f t="shared" ref="K23" si="353">SUM(K21:K22)</f>
        <v>0</v>
      </c>
      <c r="L23" s="200">
        <f t="shared" ref="L23" si="354">SUM(L21:L22)</f>
        <v>0</v>
      </c>
      <c r="M23" s="200">
        <f t="shared" ref="M23" si="355">SUM(M21:M22)</f>
        <v>0</v>
      </c>
      <c r="N23" s="200">
        <f t="shared" ref="N23" si="356">SUM(N21:N22)</f>
        <v>0</v>
      </c>
      <c r="O23" s="200">
        <f t="shared" ref="O23" si="357">SUM(O21:O22)</f>
        <v>1.1973179599999999</v>
      </c>
      <c r="P23" s="200">
        <f t="shared" ref="P23" si="358">SUM(P21:P22)</f>
        <v>0</v>
      </c>
      <c r="Q23" s="200">
        <f t="shared" ref="Q23" si="359">SUM(Q21:Q22)</f>
        <v>2.2893304100000003</v>
      </c>
      <c r="R23" s="200">
        <f t="shared" ref="R23" si="360">SUM(R21:R22)</f>
        <v>0</v>
      </c>
      <c r="S23" s="200">
        <f t="shared" ref="S23" si="361">SUM(S21:S22)</f>
        <v>0</v>
      </c>
      <c r="T23" s="200">
        <f t="shared" ref="T23" si="362">SUM(T21:T22)</f>
        <v>0</v>
      </c>
      <c r="U23" s="200">
        <f t="shared" ref="U23" si="363">SUM(U21:U22)</f>
        <v>0</v>
      </c>
      <c r="V23" s="200">
        <f t="shared" ref="V23" si="364">SUM(V21:V22)</f>
        <v>0</v>
      </c>
      <c r="W23" s="200">
        <f t="shared" ref="W23" si="365">SUM(W21:W22)</f>
        <v>0</v>
      </c>
      <c r="X23" s="200">
        <f t="shared" ref="X23" si="366">SUM(X21:X22)</f>
        <v>0</v>
      </c>
      <c r="Y23" s="200">
        <f t="shared" ref="Y23" si="367">SUM(Y21:Y22)</f>
        <v>0</v>
      </c>
      <c r="Z23" s="200">
        <f t="shared" ref="Z23" si="368">SUM(Z21:Z22)</f>
        <v>2.87146342</v>
      </c>
      <c r="AA23" s="200">
        <f t="shared" ref="AA23" si="369">SUM(AA21:AA22)</f>
        <v>0</v>
      </c>
      <c r="AB23" s="200">
        <f t="shared" ref="AB23" si="370">SUM(AB21:AB22)</f>
        <v>2.0403898599999999</v>
      </c>
      <c r="AC23" s="200">
        <f t="shared" ref="AC23" si="371">SUM(AC21:AC22)</f>
        <v>117.34439656999999</v>
      </c>
      <c r="AD23" s="200">
        <f t="shared" ref="AD23" si="372">SUM(AD21:AD22)</f>
        <v>0</v>
      </c>
      <c r="AE23" s="200">
        <f t="shared" ref="AE23" si="373">SUM(AE21:AE22)</f>
        <v>0</v>
      </c>
      <c r="AF23" s="200">
        <f t="shared" ref="AF23" si="374">SUM(AF21:AF22)</f>
        <v>0</v>
      </c>
      <c r="AG23" s="200">
        <f t="shared" ref="AG23" si="375">SUM(AG21:AG22)</f>
        <v>0</v>
      </c>
      <c r="AH23" s="200">
        <f t="shared" ref="AH23" si="376">SUM(AH21:AH22)</f>
        <v>0</v>
      </c>
      <c r="AI23" s="200">
        <f t="shared" ref="AI23" si="377">SUM(AI21:AI22)</f>
        <v>0</v>
      </c>
      <c r="AJ23" s="200">
        <f t="shared" ref="AJ23" si="378">SUM(AJ21:AJ22)</f>
        <v>0</v>
      </c>
      <c r="AK23" s="199">
        <f t="shared" ref="AK23" si="379">SUM(AK21:AK22)</f>
        <v>0</v>
      </c>
      <c r="AL23" s="200">
        <f t="shared" ref="AL23" si="380">SUM(AL21:AL22)</f>
        <v>0</v>
      </c>
      <c r="AM23" s="200">
        <f t="shared" ref="AM23" si="381">SUM(AM21:AM22)</f>
        <v>0</v>
      </c>
      <c r="AN23" s="200">
        <f t="shared" ref="AN23" si="382">SUM(AN21:AN22)</f>
        <v>67.282055809999989</v>
      </c>
      <c r="AO23" s="200">
        <f t="shared" ref="AO23" si="383">SUM(AO21:AO22)</f>
        <v>0</v>
      </c>
      <c r="AP23" s="200">
        <f t="shared" ref="AP23" si="384">SUM(AP21:AP22)</f>
        <v>0</v>
      </c>
      <c r="AQ23" s="200">
        <f t="shared" ref="AQ23" si="385">SUM(AQ21:AQ22)</f>
        <v>0</v>
      </c>
      <c r="AR23" s="200">
        <f t="shared" ref="AR23" si="386">SUM(AR21:AR22)</f>
        <v>0</v>
      </c>
      <c r="AS23" s="200">
        <f t="shared" ref="AS23" si="387">SUM(AS21:AS22)</f>
        <v>0</v>
      </c>
      <c r="AT23" s="200">
        <f t="shared" ref="AT23" si="388">SUM(AT21:AT22)</f>
        <v>0</v>
      </c>
      <c r="AU23" s="200">
        <f t="shared" ref="AU23" si="389">SUM(AU21:AU22)</f>
        <v>0</v>
      </c>
      <c r="AV23" s="200">
        <f t="shared" ref="AV23" si="390">SUM(AV21:AV22)</f>
        <v>0</v>
      </c>
      <c r="AW23" s="200">
        <f t="shared" ref="AW23" si="391">SUM(AW21:AW22)</f>
        <v>0</v>
      </c>
      <c r="AX23" s="200">
        <f t="shared" ref="AX23" si="392">SUM(AX21:AX22)</f>
        <v>0</v>
      </c>
      <c r="AY23" s="200">
        <f t="shared" ref="AY23" si="393">SUM(AY21:AY22)</f>
        <v>0</v>
      </c>
      <c r="AZ23" s="200">
        <f t="shared" ref="AZ23" si="394">SUM(AZ21:AZ22)</f>
        <v>0</v>
      </c>
      <c r="BA23" s="200">
        <f t="shared" ref="BA23" si="395">SUM(BA21:BA22)</f>
        <v>0</v>
      </c>
      <c r="BB23" s="200">
        <f t="shared" ref="BB23" si="396">SUM(BB21:BB22)</f>
        <v>0</v>
      </c>
      <c r="BC23" s="200">
        <f t="shared" ref="BC23" si="397">SUM(BC21:BC22)</f>
        <v>0</v>
      </c>
      <c r="BD23" s="200">
        <f t="shared" ref="BD23" si="398">SUM(BD21:BD22)</f>
        <v>0</v>
      </c>
      <c r="BE23" s="200">
        <f t="shared" ref="BE23" si="399">SUM(BE21:BE22)</f>
        <v>0</v>
      </c>
      <c r="BF23" s="200">
        <f t="shared" ref="BF23" si="400">SUM(BF21:BF22)</f>
        <v>0</v>
      </c>
      <c r="BG23" s="200">
        <f t="shared" ref="BG23" si="401">SUM(BG21:BG22)</f>
        <v>0</v>
      </c>
      <c r="BH23" s="200">
        <f t="shared" ref="BH23" si="402">SUM(BH21:BH22)</f>
        <v>0</v>
      </c>
      <c r="BI23" s="200">
        <f t="shared" ref="BI23" si="403">SUM(BI21:BI22)</f>
        <v>0</v>
      </c>
      <c r="BJ23" s="200">
        <f t="shared" ref="BJ23" si="404">SUM(BJ21:BJ22)</f>
        <v>0</v>
      </c>
      <c r="BK23" s="200">
        <f t="shared" ref="BK23" si="405">SUM(BK21:BK22)</f>
        <v>0</v>
      </c>
      <c r="BL23" s="200">
        <f t="shared" ref="BL23" si="406">SUM(BL21:BL22)</f>
        <v>0</v>
      </c>
      <c r="BM23" s="200">
        <f t="shared" ref="BM23" si="407">SUM(BM21:BM22)</f>
        <v>0</v>
      </c>
      <c r="BN23" s="200">
        <f t="shared" ref="BN23" si="408">SUM(BN21:BN22)</f>
        <v>0</v>
      </c>
      <c r="BO23" s="201">
        <f t="shared" ref="BO23" si="409">SUM(BO21:BO22)</f>
        <v>0</v>
      </c>
      <c r="BP23" s="199">
        <f t="shared" ref="BP23" si="410">SUM(BP21:BP22)</f>
        <v>0</v>
      </c>
      <c r="BQ23" s="200">
        <f t="shared" ref="BQ23" si="411">SUM(BQ21:BQ22)</f>
        <v>0</v>
      </c>
      <c r="BR23" s="200">
        <f t="shared" ref="BR23" si="412">SUM(BR21:BR22)</f>
        <v>0</v>
      </c>
      <c r="BS23" s="200">
        <f t="shared" ref="BS23" si="413">SUM(BS21:BS22)</f>
        <v>0</v>
      </c>
      <c r="BT23" s="200">
        <f t="shared" ref="BT23" si="414">SUM(BT21:BT22)</f>
        <v>0</v>
      </c>
      <c r="BU23" s="200">
        <f t="shared" ref="BU23" si="415">SUM(BU21:BU22)</f>
        <v>0</v>
      </c>
      <c r="BV23" s="200">
        <f t="shared" ref="BV23" si="416">SUM(BV21:BV22)</f>
        <v>0</v>
      </c>
      <c r="BW23" s="200">
        <f t="shared" ref="BW23" si="417">SUM(BW21:BW22)</f>
        <v>0</v>
      </c>
      <c r="BX23" s="200">
        <f t="shared" ref="BX23" si="418">SUM(BX21:BX22)</f>
        <v>0</v>
      </c>
      <c r="BY23" s="200">
        <f t="shared" ref="BY23" si="419">SUM(BY21:BY22)</f>
        <v>0</v>
      </c>
      <c r="BZ23" s="200">
        <f t="shared" ref="BZ23" si="420">SUM(BZ21:BZ22)</f>
        <v>0</v>
      </c>
      <c r="CA23" s="200">
        <f t="shared" ref="CA23" si="421">SUM(CA21:CA22)</f>
        <v>0</v>
      </c>
      <c r="CB23" s="200">
        <f t="shared" ref="CB23" si="422">SUM(CB21:CB22)</f>
        <v>0</v>
      </c>
      <c r="CC23" s="200">
        <f t="shared" ref="CC23" si="423">SUM(CC21:CC22)</f>
        <v>0</v>
      </c>
      <c r="CD23" s="200">
        <f t="shared" ref="CD23" si="424">SUM(CD21:CD22)</f>
        <v>0</v>
      </c>
      <c r="CE23" s="200">
        <f t="shared" ref="CE23" si="425">SUM(CE21:CE22)</f>
        <v>0</v>
      </c>
      <c r="CF23" s="200">
        <f t="shared" ref="CF23" si="426">SUM(CF21:CF22)</f>
        <v>0</v>
      </c>
      <c r="CG23" s="200">
        <f t="shared" ref="CG23" si="427">SUM(CG21:CG22)</f>
        <v>0</v>
      </c>
      <c r="CH23" s="200">
        <f t="shared" ref="CH23" si="428">SUM(CH21:CH22)</f>
        <v>0</v>
      </c>
      <c r="CI23" s="200">
        <f t="shared" ref="CI23" si="429">SUM(CI21:CI22)</f>
        <v>0</v>
      </c>
      <c r="CJ23" s="200">
        <f t="shared" ref="CJ23" si="430">SUM(CJ21:CJ22)</f>
        <v>0</v>
      </c>
      <c r="CK23" s="200">
        <f t="shared" ref="CK23" si="431">SUM(CK21:CK22)</f>
        <v>0</v>
      </c>
      <c r="CL23" s="200">
        <f t="shared" ref="CL23" si="432">SUM(CL21:CL22)</f>
        <v>2.0403898599999999</v>
      </c>
      <c r="CM23" s="200">
        <f t="shared" ref="CM23" si="433">SUM(CM21:CM22)</f>
        <v>0</v>
      </c>
      <c r="CN23" s="200">
        <f t="shared" ref="CN23" si="434">SUM(CN21:CN22)</f>
        <v>0</v>
      </c>
      <c r="CO23" s="200">
        <f t="shared" ref="CO23" si="435">SUM(CO21:CO22)</f>
        <v>0</v>
      </c>
      <c r="CP23" s="200">
        <f t="shared" ref="CP23" si="436">SUM(CP21:CP22)</f>
        <v>0</v>
      </c>
      <c r="CQ23" s="200">
        <f t="shared" ref="CQ23" si="437">SUM(CQ21:CQ22)</f>
        <v>0</v>
      </c>
      <c r="CR23" s="200">
        <f t="shared" ref="CR23" si="438">SUM(CR21:CR22)</f>
        <v>0</v>
      </c>
      <c r="CS23" s="200">
        <f t="shared" ref="CS23" si="439">SUM(CS21:CS22)</f>
        <v>0</v>
      </c>
      <c r="CT23" s="202">
        <f t="shared" ref="CT23" si="440">SUM(CT21:CT22)</f>
        <v>0</v>
      </c>
      <c r="CU23" s="226"/>
      <c r="CV23" s="203">
        <f t="shared" ref="CV23" si="441">SUM(CV21:CV22)</f>
        <v>193.02495402999998</v>
      </c>
      <c r="CW23" s="204">
        <f t="shared" ref="CW23" si="442">SUM(CW21:CW22)</f>
        <v>67.282055809999989</v>
      </c>
      <c r="CX23" s="204">
        <f t="shared" ref="CX23" si="443">SUM(CX21:CX22)</f>
        <v>2.0403898599999999</v>
      </c>
      <c r="CY23" s="205">
        <f t="shared" ref="CY23" si="444">SUM(CY21:CY22)</f>
        <v>123.70250835999997</v>
      </c>
      <c r="CZ23" s="206">
        <f t="shared" ref="CZ23" si="445">SUM(CZ21:CZ22)</f>
        <v>190.98456416999997</v>
      </c>
    </row>
    <row r="24" spans="1:104" ht="15" customHeight="1" x14ac:dyDescent="0.3">
      <c r="A24" s="51"/>
      <c r="B24" s="52" t="s">
        <v>448</v>
      </c>
      <c r="C24" s="51"/>
      <c r="D24" s="242" t="s">
        <v>448</v>
      </c>
      <c r="E24" s="85" t="s">
        <v>132</v>
      </c>
      <c r="F24" s="41">
        <f t="shared" ref="F24:O25" si="446">SUMIFS(F$42:F$170,$A$42:$A$170,$B24,$E$42:$E$170,$E24)</f>
        <v>0</v>
      </c>
      <c r="G24" s="42">
        <f t="shared" si="446"/>
        <v>0</v>
      </c>
      <c r="H24" s="42">
        <f t="shared" si="446"/>
        <v>0</v>
      </c>
      <c r="I24" s="42">
        <f t="shared" si="446"/>
        <v>387.49280771999997</v>
      </c>
      <c r="J24" s="42">
        <f t="shared" si="446"/>
        <v>0</v>
      </c>
      <c r="K24" s="42">
        <f t="shared" si="446"/>
        <v>0</v>
      </c>
      <c r="L24" s="42">
        <f t="shared" si="446"/>
        <v>146.98150742999999</v>
      </c>
      <c r="M24" s="42">
        <f t="shared" si="446"/>
        <v>0</v>
      </c>
      <c r="N24" s="42">
        <f t="shared" si="446"/>
        <v>0</v>
      </c>
      <c r="O24" s="42">
        <f t="shared" si="446"/>
        <v>180.7592209</v>
      </c>
      <c r="P24" s="42">
        <f t="shared" ref="P24:Y25" si="447">SUMIFS(P$42:P$170,$A$42:$A$170,$B24,$E$42:$E$170,$E24)</f>
        <v>28.009723390000001</v>
      </c>
      <c r="Q24" s="42">
        <f t="shared" si="447"/>
        <v>75.409308680000009</v>
      </c>
      <c r="R24" s="42">
        <f t="shared" si="447"/>
        <v>0</v>
      </c>
      <c r="S24" s="42">
        <f t="shared" si="447"/>
        <v>57.360339500000002</v>
      </c>
      <c r="T24" s="42">
        <f t="shared" si="447"/>
        <v>63.960013680000003</v>
      </c>
      <c r="U24" s="42">
        <f t="shared" si="447"/>
        <v>0</v>
      </c>
      <c r="V24" s="42">
        <f t="shared" si="447"/>
        <v>0</v>
      </c>
      <c r="W24" s="42">
        <f t="shared" si="447"/>
        <v>95.816002810000001</v>
      </c>
      <c r="X24" s="42">
        <f t="shared" si="447"/>
        <v>52.240353319999997</v>
      </c>
      <c r="Y24" s="42">
        <f t="shared" si="447"/>
        <v>0</v>
      </c>
      <c r="Z24" s="42">
        <f t="shared" ref="Z24:AI25" si="448">SUMIFS(Z$42:Z$170,$A$42:$A$170,$B24,$E$42:$E$170,$E24)</f>
        <v>0</v>
      </c>
      <c r="AA24" s="42">
        <f t="shared" si="448"/>
        <v>0</v>
      </c>
      <c r="AB24" s="42">
        <f t="shared" si="448"/>
        <v>5.0331234500000006</v>
      </c>
      <c r="AC24" s="42">
        <f t="shared" si="448"/>
        <v>0</v>
      </c>
      <c r="AD24" s="42">
        <f t="shared" si="448"/>
        <v>0</v>
      </c>
      <c r="AE24" s="42">
        <f t="shared" si="448"/>
        <v>0</v>
      </c>
      <c r="AF24" s="42">
        <f t="shared" si="448"/>
        <v>0</v>
      </c>
      <c r="AG24" s="42">
        <f t="shared" si="448"/>
        <v>0</v>
      </c>
      <c r="AH24" s="42">
        <f t="shared" si="448"/>
        <v>0</v>
      </c>
      <c r="AI24" s="42">
        <f t="shared" si="448"/>
        <v>0</v>
      </c>
      <c r="AJ24" s="43">
        <f t="shared" ref="AJ24:AS25" si="449">SUMIFS(AJ$42:AJ$170,$A$42:$A$170,$B24,$E$42:$E$170,$E24)</f>
        <v>0</v>
      </c>
      <c r="AK24" s="41">
        <f t="shared" si="449"/>
        <v>0</v>
      </c>
      <c r="AL24" s="42">
        <f t="shared" si="449"/>
        <v>0</v>
      </c>
      <c r="AM24" s="42">
        <f t="shared" si="449"/>
        <v>0</v>
      </c>
      <c r="AN24" s="42">
        <f t="shared" si="449"/>
        <v>387.49280771999997</v>
      </c>
      <c r="AO24" s="42">
        <f t="shared" si="449"/>
        <v>0</v>
      </c>
      <c r="AP24" s="42">
        <f t="shared" si="449"/>
        <v>0</v>
      </c>
      <c r="AQ24" s="42">
        <f t="shared" si="449"/>
        <v>146.98150742999999</v>
      </c>
      <c r="AR24" s="42">
        <f t="shared" si="449"/>
        <v>0</v>
      </c>
      <c r="AS24" s="42">
        <f t="shared" si="449"/>
        <v>0</v>
      </c>
      <c r="AT24" s="42">
        <f t="shared" ref="AT24:BC25" si="450">SUMIFS(AT$42:AT$170,$A$42:$A$170,$B24,$E$42:$E$170,$E24)</f>
        <v>0</v>
      </c>
      <c r="AU24" s="42">
        <f t="shared" si="450"/>
        <v>0</v>
      </c>
      <c r="AV24" s="42">
        <f t="shared" si="450"/>
        <v>0</v>
      </c>
      <c r="AW24" s="42">
        <f t="shared" si="450"/>
        <v>0</v>
      </c>
      <c r="AX24" s="42">
        <f t="shared" si="450"/>
        <v>0</v>
      </c>
      <c r="AY24" s="42">
        <f t="shared" si="450"/>
        <v>0</v>
      </c>
      <c r="AZ24" s="42">
        <f t="shared" si="450"/>
        <v>0</v>
      </c>
      <c r="BA24" s="42">
        <f t="shared" si="450"/>
        <v>0</v>
      </c>
      <c r="BB24" s="42">
        <f t="shared" si="450"/>
        <v>0</v>
      </c>
      <c r="BC24" s="42">
        <f t="shared" si="450"/>
        <v>0</v>
      </c>
      <c r="BD24" s="42">
        <f t="shared" ref="BD24:BM25" si="451">SUMIFS(BD$42:BD$170,$A$42:$A$170,$B24,$E$42:$E$170,$E24)</f>
        <v>0</v>
      </c>
      <c r="BE24" s="42">
        <f t="shared" si="451"/>
        <v>0</v>
      </c>
      <c r="BF24" s="42">
        <f t="shared" si="451"/>
        <v>0</v>
      </c>
      <c r="BG24" s="42">
        <f t="shared" si="451"/>
        <v>0</v>
      </c>
      <c r="BH24" s="42">
        <f t="shared" si="451"/>
        <v>0</v>
      </c>
      <c r="BI24" s="42">
        <f t="shared" si="451"/>
        <v>0</v>
      </c>
      <c r="BJ24" s="42">
        <f t="shared" si="451"/>
        <v>0</v>
      </c>
      <c r="BK24" s="42">
        <f t="shared" si="451"/>
        <v>0</v>
      </c>
      <c r="BL24" s="42">
        <f t="shared" si="451"/>
        <v>0</v>
      </c>
      <c r="BM24" s="42">
        <f t="shared" si="451"/>
        <v>0</v>
      </c>
      <c r="BN24" s="42">
        <f t="shared" ref="BN24:BW25" si="452">SUMIFS(BN$42:BN$170,$A$42:$A$170,$B24,$E$42:$E$170,$E24)</f>
        <v>0</v>
      </c>
      <c r="BO24" s="43">
        <f t="shared" si="452"/>
        <v>0</v>
      </c>
      <c r="BP24" s="41">
        <f t="shared" si="452"/>
        <v>0</v>
      </c>
      <c r="BQ24" s="42">
        <f t="shared" si="452"/>
        <v>0</v>
      </c>
      <c r="BR24" s="42">
        <f t="shared" si="452"/>
        <v>0</v>
      </c>
      <c r="BS24" s="42">
        <f t="shared" si="452"/>
        <v>0</v>
      </c>
      <c r="BT24" s="42">
        <f t="shared" si="452"/>
        <v>0</v>
      </c>
      <c r="BU24" s="42">
        <f t="shared" si="452"/>
        <v>0</v>
      </c>
      <c r="BV24" s="42">
        <f t="shared" si="452"/>
        <v>0</v>
      </c>
      <c r="BW24" s="42">
        <f t="shared" si="452"/>
        <v>0</v>
      </c>
      <c r="BX24" s="42">
        <f t="shared" ref="BX24:CG25" si="453">SUMIFS(BX$42:BX$170,$A$42:$A$170,$B24,$E$42:$E$170,$E24)</f>
        <v>0</v>
      </c>
      <c r="BY24" s="42">
        <f t="shared" si="453"/>
        <v>0</v>
      </c>
      <c r="BZ24" s="42">
        <f t="shared" si="453"/>
        <v>0</v>
      </c>
      <c r="CA24" s="42">
        <f t="shared" si="453"/>
        <v>0</v>
      </c>
      <c r="CB24" s="42">
        <f t="shared" si="453"/>
        <v>0</v>
      </c>
      <c r="CC24" s="42">
        <f t="shared" si="453"/>
        <v>0</v>
      </c>
      <c r="CD24" s="42">
        <f t="shared" si="453"/>
        <v>0</v>
      </c>
      <c r="CE24" s="42">
        <f t="shared" si="453"/>
        <v>0</v>
      </c>
      <c r="CF24" s="42">
        <f t="shared" si="453"/>
        <v>0</v>
      </c>
      <c r="CG24" s="42">
        <f t="shared" si="453"/>
        <v>0</v>
      </c>
      <c r="CH24" s="42">
        <f t="shared" ref="CH24:CT25" si="454">SUMIFS(CH$42:CH$170,$A$42:$A$170,$B24,$E$42:$E$170,$E24)</f>
        <v>0</v>
      </c>
      <c r="CI24" s="42">
        <f t="shared" si="454"/>
        <v>0</v>
      </c>
      <c r="CJ24" s="42">
        <f t="shared" si="454"/>
        <v>0</v>
      </c>
      <c r="CK24" s="42">
        <f t="shared" si="454"/>
        <v>0</v>
      </c>
      <c r="CL24" s="42">
        <f t="shared" si="454"/>
        <v>5.0331234500000006</v>
      </c>
      <c r="CM24" s="42">
        <f t="shared" si="454"/>
        <v>0</v>
      </c>
      <c r="CN24" s="42">
        <f t="shared" si="454"/>
        <v>0</v>
      </c>
      <c r="CO24" s="42">
        <f t="shared" si="454"/>
        <v>0</v>
      </c>
      <c r="CP24" s="42">
        <f t="shared" si="454"/>
        <v>0</v>
      </c>
      <c r="CQ24" s="42">
        <f t="shared" si="454"/>
        <v>0</v>
      </c>
      <c r="CR24" s="42">
        <f t="shared" si="454"/>
        <v>0</v>
      </c>
      <c r="CS24" s="42">
        <f t="shared" si="454"/>
        <v>0</v>
      </c>
      <c r="CT24" s="50">
        <f t="shared" si="454"/>
        <v>0</v>
      </c>
      <c r="CV24" s="97">
        <f t="shared" ref="CV24:CZ25" si="455">SUMIFS(CV$42:CV$170,$A$42:$A$170,$B24,$E$42:$E$170,$E24)</f>
        <v>1093.06240088</v>
      </c>
      <c r="CW24" s="98">
        <f t="shared" si="455"/>
        <v>534.47431515000005</v>
      </c>
      <c r="CX24" s="98">
        <f t="shared" si="455"/>
        <v>5.0331234500000006</v>
      </c>
      <c r="CY24" s="104">
        <f t="shared" si="455"/>
        <v>553.55496228000004</v>
      </c>
      <c r="CZ24" s="104">
        <f t="shared" si="455"/>
        <v>1088.0292774300001</v>
      </c>
    </row>
    <row r="25" spans="1:104" ht="15" customHeight="1" x14ac:dyDescent="0.3">
      <c r="A25" s="51"/>
      <c r="B25" s="54" t="s">
        <v>448</v>
      </c>
      <c r="C25" s="51"/>
      <c r="D25" s="232"/>
      <c r="E25" s="40" t="s">
        <v>349</v>
      </c>
      <c r="F25" s="41">
        <f t="shared" si="446"/>
        <v>0</v>
      </c>
      <c r="G25" s="42">
        <f t="shared" si="446"/>
        <v>0</v>
      </c>
      <c r="H25" s="42">
        <f t="shared" si="446"/>
        <v>0</v>
      </c>
      <c r="I25" s="42">
        <f t="shared" si="446"/>
        <v>36.314189150000004</v>
      </c>
      <c r="J25" s="42">
        <f t="shared" si="446"/>
        <v>0</v>
      </c>
      <c r="K25" s="42">
        <f t="shared" si="446"/>
        <v>0</v>
      </c>
      <c r="L25" s="42">
        <f t="shared" si="446"/>
        <v>0</v>
      </c>
      <c r="M25" s="42">
        <f t="shared" si="446"/>
        <v>0</v>
      </c>
      <c r="N25" s="42">
        <f t="shared" si="446"/>
        <v>0</v>
      </c>
      <c r="O25" s="42">
        <f t="shared" si="446"/>
        <v>0</v>
      </c>
      <c r="P25" s="42">
        <f t="shared" si="447"/>
        <v>0</v>
      </c>
      <c r="Q25" s="42">
        <f t="shared" si="447"/>
        <v>0</v>
      </c>
      <c r="R25" s="42">
        <f t="shared" si="447"/>
        <v>0</v>
      </c>
      <c r="S25" s="42">
        <f t="shared" si="447"/>
        <v>0</v>
      </c>
      <c r="T25" s="42">
        <f t="shared" si="447"/>
        <v>0</v>
      </c>
      <c r="U25" s="42">
        <f t="shared" si="447"/>
        <v>0</v>
      </c>
      <c r="V25" s="42">
        <f t="shared" si="447"/>
        <v>0</v>
      </c>
      <c r="W25" s="42">
        <f t="shared" si="447"/>
        <v>0</v>
      </c>
      <c r="X25" s="42">
        <f t="shared" si="447"/>
        <v>0</v>
      </c>
      <c r="Y25" s="42">
        <f t="shared" si="447"/>
        <v>0</v>
      </c>
      <c r="Z25" s="42">
        <f t="shared" si="448"/>
        <v>0</v>
      </c>
      <c r="AA25" s="42">
        <f t="shared" si="448"/>
        <v>4.5516993699999997</v>
      </c>
      <c r="AB25" s="42">
        <f t="shared" si="448"/>
        <v>0</v>
      </c>
      <c r="AC25" s="42">
        <f t="shared" si="448"/>
        <v>0</v>
      </c>
      <c r="AD25" s="42">
        <f t="shared" si="448"/>
        <v>0</v>
      </c>
      <c r="AE25" s="42">
        <f t="shared" si="448"/>
        <v>0</v>
      </c>
      <c r="AF25" s="42">
        <f t="shared" si="448"/>
        <v>0</v>
      </c>
      <c r="AG25" s="42">
        <f t="shared" si="448"/>
        <v>0</v>
      </c>
      <c r="AH25" s="42">
        <f t="shared" si="448"/>
        <v>0</v>
      </c>
      <c r="AI25" s="42">
        <f t="shared" si="448"/>
        <v>0</v>
      </c>
      <c r="AJ25" s="43">
        <f t="shared" si="449"/>
        <v>0</v>
      </c>
      <c r="AK25" s="41">
        <f t="shared" si="449"/>
        <v>0</v>
      </c>
      <c r="AL25" s="42">
        <f t="shared" si="449"/>
        <v>0</v>
      </c>
      <c r="AM25" s="42">
        <f t="shared" si="449"/>
        <v>0</v>
      </c>
      <c r="AN25" s="42">
        <f t="shared" si="449"/>
        <v>36.314189150000004</v>
      </c>
      <c r="AO25" s="42">
        <f t="shared" si="449"/>
        <v>0</v>
      </c>
      <c r="AP25" s="42">
        <f t="shared" si="449"/>
        <v>0</v>
      </c>
      <c r="AQ25" s="42">
        <f t="shared" si="449"/>
        <v>0</v>
      </c>
      <c r="AR25" s="42">
        <f t="shared" si="449"/>
        <v>0</v>
      </c>
      <c r="AS25" s="42">
        <f t="shared" si="449"/>
        <v>0</v>
      </c>
      <c r="AT25" s="42">
        <f t="shared" si="450"/>
        <v>0</v>
      </c>
      <c r="AU25" s="42">
        <f t="shared" si="450"/>
        <v>0</v>
      </c>
      <c r="AV25" s="42">
        <f t="shared" si="450"/>
        <v>0</v>
      </c>
      <c r="AW25" s="42">
        <f t="shared" si="450"/>
        <v>0</v>
      </c>
      <c r="AX25" s="42">
        <f t="shared" si="450"/>
        <v>0</v>
      </c>
      <c r="AY25" s="42">
        <f t="shared" si="450"/>
        <v>0</v>
      </c>
      <c r="AZ25" s="42">
        <f t="shared" si="450"/>
        <v>0</v>
      </c>
      <c r="BA25" s="42">
        <f t="shared" si="450"/>
        <v>0</v>
      </c>
      <c r="BB25" s="42">
        <f t="shared" si="450"/>
        <v>0</v>
      </c>
      <c r="BC25" s="42">
        <f t="shared" si="450"/>
        <v>0</v>
      </c>
      <c r="BD25" s="42">
        <f t="shared" si="451"/>
        <v>0</v>
      </c>
      <c r="BE25" s="42">
        <f t="shared" si="451"/>
        <v>0</v>
      </c>
      <c r="BF25" s="42">
        <f t="shared" si="451"/>
        <v>0</v>
      </c>
      <c r="BG25" s="42">
        <f t="shared" si="451"/>
        <v>0</v>
      </c>
      <c r="BH25" s="42">
        <f t="shared" si="451"/>
        <v>0</v>
      </c>
      <c r="BI25" s="42">
        <f t="shared" si="451"/>
        <v>0</v>
      </c>
      <c r="BJ25" s="42">
        <f t="shared" si="451"/>
        <v>0</v>
      </c>
      <c r="BK25" s="42">
        <f t="shared" si="451"/>
        <v>0</v>
      </c>
      <c r="BL25" s="42">
        <f t="shared" si="451"/>
        <v>0</v>
      </c>
      <c r="BM25" s="42">
        <f t="shared" si="451"/>
        <v>0</v>
      </c>
      <c r="BN25" s="42">
        <f t="shared" si="452"/>
        <v>0</v>
      </c>
      <c r="BO25" s="43">
        <f t="shared" si="452"/>
        <v>0</v>
      </c>
      <c r="BP25" s="41">
        <f t="shared" si="452"/>
        <v>0</v>
      </c>
      <c r="BQ25" s="42">
        <f t="shared" si="452"/>
        <v>0</v>
      </c>
      <c r="BR25" s="42">
        <f t="shared" si="452"/>
        <v>0</v>
      </c>
      <c r="BS25" s="42">
        <f t="shared" si="452"/>
        <v>0</v>
      </c>
      <c r="BT25" s="42">
        <f t="shared" si="452"/>
        <v>0</v>
      </c>
      <c r="BU25" s="42">
        <f t="shared" si="452"/>
        <v>0</v>
      </c>
      <c r="BV25" s="42">
        <f t="shared" si="452"/>
        <v>0</v>
      </c>
      <c r="BW25" s="42">
        <f t="shared" si="452"/>
        <v>0</v>
      </c>
      <c r="BX25" s="42">
        <f t="shared" si="453"/>
        <v>0</v>
      </c>
      <c r="BY25" s="42">
        <f t="shared" si="453"/>
        <v>0</v>
      </c>
      <c r="BZ25" s="42">
        <f t="shared" si="453"/>
        <v>0</v>
      </c>
      <c r="CA25" s="42">
        <f t="shared" si="453"/>
        <v>0</v>
      </c>
      <c r="CB25" s="42">
        <f t="shared" si="453"/>
        <v>0</v>
      </c>
      <c r="CC25" s="42">
        <f t="shared" si="453"/>
        <v>0</v>
      </c>
      <c r="CD25" s="42">
        <f t="shared" si="453"/>
        <v>0</v>
      </c>
      <c r="CE25" s="42">
        <f t="shared" si="453"/>
        <v>0</v>
      </c>
      <c r="CF25" s="42">
        <f t="shared" si="453"/>
        <v>0</v>
      </c>
      <c r="CG25" s="42">
        <f t="shared" si="453"/>
        <v>0</v>
      </c>
      <c r="CH25" s="42">
        <f t="shared" si="454"/>
        <v>0</v>
      </c>
      <c r="CI25" s="42">
        <f t="shared" si="454"/>
        <v>0</v>
      </c>
      <c r="CJ25" s="42">
        <f t="shared" si="454"/>
        <v>0</v>
      </c>
      <c r="CK25" s="42">
        <f t="shared" si="454"/>
        <v>0</v>
      </c>
      <c r="CL25" s="42">
        <f t="shared" si="454"/>
        <v>0</v>
      </c>
      <c r="CM25" s="42">
        <f t="shared" si="454"/>
        <v>0</v>
      </c>
      <c r="CN25" s="42">
        <f t="shared" si="454"/>
        <v>0</v>
      </c>
      <c r="CO25" s="42">
        <f t="shared" si="454"/>
        <v>0</v>
      </c>
      <c r="CP25" s="42">
        <f t="shared" si="454"/>
        <v>0</v>
      </c>
      <c r="CQ25" s="42">
        <f t="shared" si="454"/>
        <v>0</v>
      </c>
      <c r="CR25" s="42">
        <f t="shared" si="454"/>
        <v>0</v>
      </c>
      <c r="CS25" s="42">
        <f t="shared" si="454"/>
        <v>0</v>
      </c>
      <c r="CT25" s="50">
        <f t="shared" si="454"/>
        <v>0</v>
      </c>
      <c r="CV25" s="96">
        <f t="shared" si="455"/>
        <v>40.865888520000006</v>
      </c>
      <c r="CW25" s="93">
        <f t="shared" si="455"/>
        <v>36.314189150000004</v>
      </c>
      <c r="CX25" s="93">
        <f t="shared" si="455"/>
        <v>0</v>
      </c>
      <c r="CY25" s="100">
        <f t="shared" si="455"/>
        <v>4.5516993699999997</v>
      </c>
      <c r="CZ25" s="100">
        <f t="shared" si="455"/>
        <v>40.865888520000006</v>
      </c>
    </row>
    <row r="26" spans="1:104" s="44" customFormat="1" ht="17.55" customHeight="1" x14ac:dyDescent="0.3">
      <c r="B26" s="44" t="s">
        <v>803</v>
      </c>
      <c r="D26" s="217" t="s">
        <v>803</v>
      </c>
      <c r="E26" s="218"/>
      <c r="F26" s="199">
        <f t="shared" ref="F26" si="456">SUM(F24:F25)</f>
        <v>0</v>
      </c>
      <c r="G26" s="200">
        <f t="shared" ref="G26" si="457">SUM(G24:G25)</f>
        <v>0</v>
      </c>
      <c r="H26" s="200">
        <f t="shared" ref="H26" si="458">SUM(H24:H25)</f>
        <v>0</v>
      </c>
      <c r="I26" s="200">
        <f t="shared" ref="I26" si="459">SUM(I24:I25)</f>
        <v>423.80699686999998</v>
      </c>
      <c r="J26" s="200">
        <f t="shared" ref="J26" si="460">SUM(J24:J25)</f>
        <v>0</v>
      </c>
      <c r="K26" s="200">
        <f t="shared" ref="K26" si="461">SUM(K24:K25)</f>
        <v>0</v>
      </c>
      <c r="L26" s="200">
        <f t="shared" ref="L26" si="462">SUM(L24:L25)</f>
        <v>146.98150742999999</v>
      </c>
      <c r="M26" s="200">
        <f t="shared" ref="M26" si="463">SUM(M24:M25)</f>
        <v>0</v>
      </c>
      <c r="N26" s="200">
        <f t="shared" ref="N26" si="464">SUM(N24:N25)</f>
        <v>0</v>
      </c>
      <c r="O26" s="200">
        <f t="shared" ref="O26" si="465">SUM(O24:O25)</f>
        <v>180.7592209</v>
      </c>
      <c r="P26" s="200">
        <f t="shared" ref="P26" si="466">SUM(P24:P25)</f>
        <v>28.009723390000001</v>
      </c>
      <c r="Q26" s="200">
        <f t="shared" ref="Q26" si="467">SUM(Q24:Q25)</f>
        <v>75.409308680000009</v>
      </c>
      <c r="R26" s="200">
        <f t="shared" ref="R26" si="468">SUM(R24:R25)</f>
        <v>0</v>
      </c>
      <c r="S26" s="200">
        <f t="shared" ref="S26" si="469">SUM(S24:S25)</f>
        <v>57.360339500000002</v>
      </c>
      <c r="T26" s="200">
        <f t="shared" ref="T26" si="470">SUM(T24:T25)</f>
        <v>63.960013680000003</v>
      </c>
      <c r="U26" s="200">
        <f t="shared" ref="U26" si="471">SUM(U24:U25)</f>
        <v>0</v>
      </c>
      <c r="V26" s="200">
        <f t="shared" ref="V26" si="472">SUM(V24:V25)</f>
        <v>0</v>
      </c>
      <c r="W26" s="200">
        <f t="shared" ref="W26" si="473">SUM(W24:W25)</f>
        <v>95.816002810000001</v>
      </c>
      <c r="X26" s="200">
        <f t="shared" ref="X26" si="474">SUM(X24:X25)</f>
        <v>52.240353319999997</v>
      </c>
      <c r="Y26" s="200">
        <f t="shared" ref="Y26" si="475">SUM(Y24:Y25)</f>
        <v>0</v>
      </c>
      <c r="Z26" s="200">
        <f t="shared" ref="Z26" si="476">SUM(Z24:Z25)</f>
        <v>0</v>
      </c>
      <c r="AA26" s="200">
        <f t="shared" ref="AA26" si="477">SUM(AA24:AA25)</f>
        <v>4.5516993699999997</v>
      </c>
      <c r="AB26" s="200">
        <f t="shared" ref="AB26" si="478">SUM(AB24:AB25)</f>
        <v>5.0331234500000006</v>
      </c>
      <c r="AC26" s="200">
        <f t="shared" ref="AC26" si="479">SUM(AC24:AC25)</f>
        <v>0</v>
      </c>
      <c r="AD26" s="200">
        <f t="shared" ref="AD26" si="480">SUM(AD24:AD25)</f>
        <v>0</v>
      </c>
      <c r="AE26" s="200">
        <f t="shared" ref="AE26" si="481">SUM(AE24:AE25)</f>
        <v>0</v>
      </c>
      <c r="AF26" s="200">
        <f t="shared" ref="AF26" si="482">SUM(AF24:AF25)</f>
        <v>0</v>
      </c>
      <c r="AG26" s="200">
        <f t="shared" ref="AG26" si="483">SUM(AG24:AG25)</f>
        <v>0</v>
      </c>
      <c r="AH26" s="200">
        <f t="shared" ref="AH26" si="484">SUM(AH24:AH25)</f>
        <v>0</v>
      </c>
      <c r="AI26" s="200">
        <f t="shared" ref="AI26" si="485">SUM(AI24:AI25)</f>
        <v>0</v>
      </c>
      <c r="AJ26" s="200">
        <f t="shared" ref="AJ26" si="486">SUM(AJ24:AJ25)</f>
        <v>0</v>
      </c>
      <c r="AK26" s="199">
        <f t="shared" ref="AK26" si="487">SUM(AK24:AK25)</f>
        <v>0</v>
      </c>
      <c r="AL26" s="200">
        <f t="shared" ref="AL26" si="488">SUM(AL24:AL25)</f>
        <v>0</v>
      </c>
      <c r="AM26" s="200">
        <f t="shared" ref="AM26" si="489">SUM(AM24:AM25)</f>
        <v>0</v>
      </c>
      <c r="AN26" s="200">
        <f t="shared" ref="AN26" si="490">SUM(AN24:AN25)</f>
        <v>423.80699686999998</v>
      </c>
      <c r="AO26" s="200">
        <f t="shared" ref="AO26" si="491">SUM(AO24:AO25)</f>
        <v>0</v>
      </c>
      <c r="AP26" s="200">
        <f t="shared" ref="AP26" si="492">SUM(AP24:AP25)</f>
        <v>0</v>
      </c>
      <c r="AQ26" s="200">
        <f t="shared" ref="AQ26" si="493">SUM(AQ24:AQ25)</f>
        <v>146.98150742999999</v>
      </c>
      <c r="AR26" s="200">
        <f t="shared" ref="AR26" si="494">SUM(AR24:AR25)</f>
        <v>0</v>
      </c>
      <c r="AS26" s="200">
        <f t="shared" ref="AS26" si="495">SUM(AS24:AS25)</f>
        <v>0</v>
      </c>
      <c r="AT26" s="200">
        <f t="shared" ref="AT26" si="496">SUM(AT24:AT25)</f>
        <v>0</v>
      </c>
      <c r="AU26" s="200">
        <f t="shared" ref="AU26" si="497">SUM(AU24:AU25)</f>
        <v>0</v>
      </c>
      <c r="AV26" s="200">
        <f t="shared" ref="AV26" si="498">SUM(AV24:AV25)</f>
        <v>0</v>
      </c>
      <c r="AW26" s="200">
        <f t="shared" ref="AW26" si="499">SUM(AW24:AW25)</f>
        <v>0</v>
      </c>
      <c r="AX26" s="200">
        <f t="shared" ref="AX26" si="500">SUM(AX24:AX25)</f>
        <v>0</v>
      </c>
      <c r="AY26" s="200">
        <f t="shared" ref="AY26" si="501">SUM(AY24:AY25)</f>
        <v>0</v>
      </c>
      <c r="AZ26" s="200">
        <f t="shared" ref="AZ26" si="502">SUM(AZ24:AZ25)</f>
        <v>0</v>
      </c>
      <c r="BA26" s="200">
        <f t="shared" ref="BA26" si="503">SUM(BA24:BA25)</f>
        <v>0</v>
      </c>
      <c r="BB26" s="200">
        <f t="shared" ref="BB26" si="504">SUM(BB24:BB25)</f>
        <v>0</v>
      </c>
      <c r="BC26" s="200">
        <f t="shared" ref="BC26" si="505">SUM(BC24:BC25)</f>
        <v>0</v>
      </c>
      <c r="BD26" s="200">
        <f t="shared" ref="BD26" si="506">SUM(BD24:BD25)</f>
        <v>0</v>
      </c>
      <c r="BE26" s="200">
        <f t="shared" ref="BE26" si="507">SUM(BE24:BE25)</f>
        <v>0</v>
      </c>
      <c r="BF26" s="200">
        <f t="shared" ref="BF26" si="508">SUM(BF24:BF25)</f>
        <v>0</v>
      </c>
      <c r="BG26" s="200">
        <f t="shared" ref="BG26" si="509">SUM(BG24:BG25)</f>
        <v>0</v>
      </c>
      <c r="BH26" s="200">
        <f t="shared" ref="BH26" si="510">SUM(BH24:BH25)</f>
        <v>0</v>
      </c>
      <c r="BI26" s="200">
        <f t="shared" ref="BI26" si="511">SUM(BI24:BI25)</f>
        <v>0</v>
      </c>
      <c r="BJ26" s="200">
        <f t="shared" ref="BJ26" si="512">SUM(BJ24:BJ25)</f>
        <v>0</v>
      </c>
      <c r="BK26" s="200">
        <f t="shared" ref="BK26" si="513">SUM(BK24:BK25)</f>
        <v>0</v>
      </c>
      <c r="BL26" s="200">
        <f t="shared" ref="BL26" si="514">SUM(BL24:BL25)</f>
        <v>0</v>
      </c>
      <c r="BM26" s="200">
        <f t="shared" ref="BM26" si="515">SUM(BM24:BM25)</f>
        <v>0</v>
      </c>
      <c r="BN26" s="200">
        <f t="shared" ref="BN26" si="516">SUM(BN24:BN25)</f>
        <v>0</v>
      </c>
      <c r="BO26" s="201">
        <f t="shared" ref="BO26" si="517">SUM(BO24:BO25)</f>
        <v>0</v>
      </c>
      <c r="BP26" s="199">
        <f t="shared" ref="BP26" si="518">SUM(BP24:BP25)</f>
        <v>0</v>
      </c>
      <c r="BQ26" s="200">
        <f t="shared" ref="BQ26" si="519">SUM(BQ24:BQ25)</f>
        <v>0</v>
      </c>
      <c r="BR26" s="200">
        <f t="shared" ref="BR26" si="520">SUM(BR24:BR25)</f>
        <v>0</v>
      </c>
      <c r="BS26" s="200">
        <f t="shared" ref="BS26" si="521">SUM(BS24:BS25)</f>
        <v>0</v>
      </c>
      <c r="BT26" s="200">
        <f t="shared" ref="BT26" si="522">SUM(BT24:BT25)</f>
        <v>0</v>
      </c>
      <c r="BU26" s="200">
        <f t="shared" ref="BU26" si="523">SUM(BU24:BU25)</f>
        <v>0</v>
      </c>
      <c r="BV26" s="200">
        <f t="shared" ref="BV26" si="524">SUM(BV24:BV25)</f>
        <v>0</v>
      </c>
      <c r="BW26" s="200">
        <f t="shared" ref="BW26" si="525">SUM(BW24:BW25)</f>
        <v>0</v>
      </c>
      <c r="BX26" s="200">
        <f t="shared" ref="BX26" si="526">SUM(BX24:BX25)</f>
        <v>0</v>
      </c>
      <c r="BY26" s="200">
        <f t="shared" ref="BY26" si="527">SUM(BY24:BY25)</f>
        <v>0</v>
      </c>
      <c r="BZ26" s="200">
        <f t="shared" ref="BZ26" si="528">SUM(BZ24:BZ25)</f>
        <v>0</v>
      </c>
      <c r="CA26" s="200">
        <f t="shared" ref="CA26" si="529">SUM(CA24:CA25)</f>
        <v>0</v>
      </c>
      <c r="CB26" s="200">
        <f t="shared" ref="CB26" si="530">SUM(CB24:CB25)</f>
        <v>0</v>
      </c>
      <c r="CC26" s="200">
        <f t="shared" ref="CC26" si="531">SUM(CC24:CC25)</f>
        <v>0</v>
      </c>
      <c r="CD26" s="200">
        <f t="shared" ref="CD26" si="532">SUM(CD24:CD25)</f>
        <v>0</v>
      </c>
      <c r="CE26" s="200">
        <f t="shared" ref="CE26" si="533">SUM(CE24:CE25)</f>
        <v>0</v>
      </c>
      <c r="CF26" s="200">
        <f t="shared" ref="CF26" si="534">SUM(CF24:CF25)</f>
        <v>0</v>
      </c>
      <c r="CG26" s="200">
        <f t="shared" ref="CG26" si="535">SUM(CG24:CG25)</f>
        <v>0</v>
      </c>
      <c r="CH26" s="200">
        <f t="shared" ref="CH26" si="536">SUM(CH24:CH25)</f>
        <v>0</v>
      </c>
      <c r="CI26" s="200">
        <f t="shared" ref="CI26" si="537">SUM(CI24:CI25)</f>
        <v>0</v>
      </c>
      <c r="CJ26" s="200">
        <f t="shared" ref="CJ26" si="538">SUM(CJ24:CJ25)</f>
        <v>0</v>
      </c>
      <c r="CK26" s="200">
        <f t="shared" ref="CK26" si="539">SUM(CK24:CK25)</f>
        <v>0</v>
      </c>
      <c r="CL26" s="200">
        <f t="shared" ref="CL26" si="540">SUM(CL24:CL25)</f>
        <v>5.0331234500000006</v>
      </c>
      <c r="CM26" s="200">
        <f t="shared" ref="CM26" si="541">SUM(CM24:CM25)</f>
        <v>0</v>
      </c>
      <c r="CN26" s="200">
        <f t="shared" ref="CN26" si="542">SUM(CN24:CN25)</f>
        <v>0</v>
      </c>
      <c r="CO26" s="200">
        <f t="shared" ref="CO26" si="543">SUM(CO24:CO25)</f>
        <v>0</v>
      </c>
      <c r="CP26" s="200">
        <f t="shared" ref="CP26" si="544">SUM(CP24:CP25)</f>
        <v>0</v>
      </c>
      <c r="CQ26" s="200">
        <f t="shared" ref="CQ26" si="545">SUM(CQ24:CQ25)</f>
        <v>0</v>
      </c>
      <c r="CR26" s="200">
        <f t="shared" ref="CR26" si="546">SUM(CR24:CR25)</f>
        <v>0</v>
      </c>
      <c r="CS26" s="200">
        <f t="shared" ref="CS26" si="547">SUM(CS24:CS25)</f>
        <v>0</v>
      </c>
      <c r="CT26" s="202">
        <f t="shared" ref="CT26" si="548">SUM(CT24:CT25)</f>
        <v>0</v>
      </c>
      <c r="CU26" s="226"/>
      <c r="CV26" s="203">
        <f t="shared" ref="CV26" si="549">SUM(CV24:CV25)</f>
        <v>1133.9282894</v>
      </c>
      <c r="CW26" s="204">
        <f t="shared" ref="CW26" si="550">SUM(CW24:CW25)</f>
        <v>570.78850430000011</v>
      </c>
      <c r="CX26" s="204">
        <f t="shared" ref="CX26" si="551">SUM(CX24:CX25)</f>
        <v>5.0331234500000006</v>
      </c>
      <c r="CY26" s="205">
        <f t="shared" ref="CY26" si="552">SUM(CY24:CY25)</f>
        <v>558.10666165000009</v>
      </c>
      <c r="CZ26" s="206">
        <f t="shared" ref="CZ26" si="553">SUM(CZ24:CZ25)</f>
        <v>1128.8951659500001</v>
      </c>
    </row>
    <row r="27" spans="1:104" ht="15" customHeight="1" x14ac:dyDescent="0.3">
      <c r="A27" s="51"/>
      <c r="B27" s="52" t="s">
        <v>454</v>
      </c>
      <c r="C27" s="51"/>
      <c r="D27" s="242" t="s">
        <v>454</v>
      </c>
      <c r="E27" s="85" t="s">
        <v>132</v>
      </c>
      <c r="F27" s="41">
        <f t="shared" ref="F27:O28" si="554">SUMIFS(F$42:F$170,$A$42:$A$170,$B27,$E$42:$E$170,$E27)</f>
        <v>0</v>
      </c>
      <c r="G27" s="42">
        <f t="shared" si="554"/>
        <v>0</v>
      </c>
      <c r="H27" s="42">
        <f t="shared" si="554"/>
        <v>0</v>
      </c>
      <c r="I27" s="42">
        <f t="shared" si="554"/>
        <v>75.428285129999992</v>
      </c>
      <c r="J27" s="42">
        <f t="shared" si="554"/>
        <v>0</v>
      </c>
      <c r="K27" s="42">
        <f t="shared" si="554"/>
        <v>0</v>
      </c>
      <c r="L27" s="42">
        <f t="shared" si="554"/>
        <v>0</v>
      </c>
      <c r="M27" s="42">
        <f t="shared" si="554"/>
        <v>0</v>
      </c>
      <c r="N27" s="42">
        <f t="shared" si="554"/>
        <v>0</v>
      </c>
      <c r="O27" s="42">
        <f t="shared" si="554"/>
        <v>82.137892170000001</v>
      </c>
      <c r="P27" s="42">
        <f t="shared" ref="P27:Y28" si="555">SUMIFS(P$42:P$170,$A$42:$A$170,$B27,$E$42:$E$170,$E27)</f>
        <v>98.88005124</v>
      </c>
      <c r="Q27" s="42">
        <f t="shared" si="555"/>
        <v>0</v>
      </c>
      <c r="R27" s="42">
        <f t="shared" si="555"/>
        <v>57.19941274</v>
      </c>
      <c r="S27" s="42">
        <f t="shared" si="555"/>
        <v>192.01723784000001</v>
      </c>
      <c r="T27" s="42">
        <f t="shared" si="555"/>
        <v>0</v>
      </c>
      <c r="U27" s="42">
        <f t="shared" si="555"/>
        <v>0</v>
      </c>
      <c r="V27" s="42">
        <f t="shared" si="555"/>
        <v>0</v>
      </c>
      <c r="W27" s="42">
        <f t="shared" si="555"/>
        <v>11.08711173</v>
      </c>
      <c r="X27" s="42">
        <f t="shared" si="555"/>
        <v>0</v>
      </c>
      <c r="Y27" s="42">
        <f t="shared" si="555"/>
        <v>3.5373160800000001</v>
      </c>
      <c r="Z27" s="42">
        <f t="shared" ref="Z27:AI28" si="556">SUMIFS(Z$42:Z$170,$A$42:$A$170,$B27,$E$42:$E$170,$E27)</f>
        <v>0</v>
      </c>
      <c r="AA27" s="42">
        <f t="shared" si="556"/>
        <v>0</v>
      </c>
      <c r="AB27" s="42">
        <f t="shared" si="556"/>
        <v>0</v>
      </c>
      <c r="AC27" s="42">
        <f t="shared" si="556"/>
        <v>0</v>
      </c>
      <c r="AD27" s="42">
        <f t="shared" si="556"/>
        <v>0</v>
      </c>
      <c r="AE27" s="42">
        <f t="shared" si="556"/>
        <v>0</v>
      </c>
      <c r="AF27" s="42">
        <f t="shared" si="556"/>
        <v>0</v>
      </c>
      <c r="AG27" s="42">
        <f t="shared" si="556"/>
        <v>0</v>
      </c>
      <c r="AH27" s="42">
        <f t="shared" si="556"/>
        <v>0</v>
      </c>
      <c r="AI27" s="42">
        <f t="shared" si="556"/>
        <v>0</v>
      </c>
      <c r="AJ27" s="43">
        <f t="shared" ref="AJ27:AS28" si="557">SUMIFS(AJ$42:AJ$170,$A$42:$A$170,$B27,$E$42:$E$170,$E27)</f>
        <v>0</v>
      </c>
      <c r="AK27" s="41">
        <f t="shared" si="557"/>
        <v>0</v>
      </c>
      <c r="AL27" s="42">
        <f t="shared" si="557"/>
        <v>0</v>
      </c>
      <c r="AM27" s="42">
        <f t="shared" si="557"/>
        <v>0</v>
      </c>
      <c r="AN27" s="42">
        <f t="shared" si="557"/>
        <v>75.428285129999992</v>
      </c>
      <c r="AO27" s="42">
        <f t="shared" si="557"/>
        <v>0</v>
      </c>
      <c r="AP27" s="42">
        <f t="shared" si="557"/>
        <v>0</v>
      </c>
      <c r="AQ27" s="42">
        <f t="shared" si="557"/>
        <v>0</v>
      </c>
      <c r="AR27" s="42">
        <f t="shared" si="557"/>
        <v>0</v>
      </c>
      <c r="AS27" s="42">
        <f t="shared" si="557"/>
        <v>0</v>
      </c>
      <c r="AT27" s="42">
        <f t="shared" ref="AT27:BC28" si="558">SUMIFS(AT$42:AT$170,$A$42:$A$170,$B27,$E$42:$E$170,$E27)</f>
        <v>0</v>
      </c>
      <c r="AU27" s="42">
        <f t="shared" si="558"/>
        <v>0</v>
      </c>
      <c r="AV27" s="42">
        <f t="shared" si="558"/>
        <v>0</v>
      </c>
      <c r="AW27" s="42">
        <f t="shared" si="558"/>
        <v>0</v>
      </c>
      <c r="AX27" s="42">
        <f t="shared" si="558"/>
        <v>0</v>
      </c>
      <c r="AY27" s="42">
        <f t="shared" si="558"/>
        <v>0</v>
      </c>
      <c r="AZ27" s="42">
        <f t="shared" si="558"/>
        <v>0</v>
      </c>
      <c r="BA27" s="42">
        <f t="shared" si="558"/>
        <v>0</v>
      </c>
      <c r="BB27" s="42">
        <f t="shared" si="558"/>
        <v>0</v>
      </c>
      <c r="BC27" s="42">
        <f t="shared" si="558"/>
        <v>0</v>
      </c>
      <c r="BD27" s="42">
        <f t="shared" ref="BD27:BM28" si="559">SUMIFS(BD$42:BD$170,$A$42:$A$170,$B27,$E$42:$E$170,$E27)</f>
        <v>0</v>
      </c>
      <c r="BE27" s="42">
        <f t="shared" si="559"/>
        <v>0</v>
      </c>
      <c r="BF27" s="42">
        <f t="shared" si="559"/>
        <v>0</v>
      </c>
      <c r="BG27" s="42">
        <f t="shared" si="559"/>
        <v>0</v>
      </c>
      <c r="BH27" s="42">
        <f t="shared" si="559"/>
        <v>0</v>
      </c>
      <c r="BI27" s="42">
        <f t="shared" si="559"/>
        <v>0</v>
      </c>
      <c r="BJ27" s="42">
        <f t="shared" si="559"/>
        <v>0</v>
      </c>
      <c r="BK27" s="42">
        <f t="shared" si="559"/>
        <v>0</v>
      </c>
      <c r="BL27" s="42">
        <f t="shared" si="559"/>
        <v>0</v>
      </c>
      <c r="BM27" s="42">
        <f t="shared" si="559"/>
        <v>0</v>
      </c>
      <c r="BN27" s="42">
        <f t="shared" ref="BN27:BW28" si="560">SUMIFS(BN$42:BN$170,$A$42:$A$170,$B27,$E$42:$E$170,$E27)</f>
        <v>0</v>
      </c>
      <c r="BO27" s="43">
        <f t="shared" si="560"/>
        <v>0</v>
      </c>
      <c r="BP27" s="41">
        <f t="shared" si="560"/>
        <v>0</v>
      </c>
      <c r="BQ27" s="42">
        <f t="shared" si="560"/>
        <v>0</v>
      </c>
      <c r="BR27" s="42">
        <f t="shared" si="560"/>
        <v>0</v>
      </c>
      <c r="BS27" s="42">
        <f t="shared" si="560"/>
        <v>0</v>
      </c>
      <c r="BT27" s="42">
        <f t="shared" si="560"/>
        <v>0</v>
      </c>
      <c r="BU27" s="42">
        <f t="shared" si="560"/>
        <v>0</v>
      </c>
      <c r="BV27" s="42">
        <f t="shared" si="560"/>
        <v>0</v>
      </c>
      <c r="BW27" s="42">
        <f t="shared" si="560"/>
        <v>0</v>
      </c>
      <c r="BX27" s="42">
        <f t="shared" ref="BX27:CG28" si="561">SUMIFS(BX$42:BX$170,$A$42:$A$170,$B27,$E$42:$E$170,$E27)</f>
        <v>0</v>
      </c>
      <c r="BY27" s="42">
        <f t="shared" si="561"/>
        <v>0</v>
      </c>
      <c r="BZ27" s="42">
        <f t="shared" si="561"/>
        <v>0</v>
      </c>
      <c r="CA27" s="42">
        <f t="shared" si="561"/>
        <v>0</v>
      </c>
      <c r="CB27" s="42">
        <f t="shared" si="561"/>
        <v>0</v>
      </c>
      <c r="CC27" s="42">
        <f t="shared" si="561"/>
        <v>0</v>
      </c>
      <c r="CD27" s="42">
        <f t="shared" si="561"/>
        <v>0</v>
      </c>
      <c r="CE27" s="42">
        <f t="shared" si="561"/>
        <v>0</v>
      </c>
      <c r="CF27" s="42">
        <f t="shared" si="561"/>
        <v>0</v>
      </c>
      <c r="CG27" s="42">
        <f t="shared" si="561"/>
        <v>0</v>
      </c>
      <c r="CH27" s="42">
        <f t="shared" ref="CH27:CT28" si="562">SUMIFS(CH$42:CH$170,$A$42:$A$170,$B27,$E$42:$E$170,$E27)</f>
        <v>0</v>
      </c>
      <c r="CI27" s="42">
        <f t="shared" si="562"/>
        <v>0</v>
      </c>
      <c r="CJ27" s="42">
        <f t="shared" si="562"/>
        <v>0</v>
      </c>
      <c r="CK27" s="42">
        <f t="shared" si="562"/>
        <v>0</v>
      </c>
      <c r="CL27" s="42">
        <f t="shared" si="562"/>
        <v>0</v>
      </c>
      <c r="CM27" s="42">
        <f t="shared" si="562"/>
        <v>0</v>
      </c>
      <c r="CN27" s="42">
        <f t="shared" si="562"/>
        <v>0</v>
      </c>
      <c r="CO27" s="42">
        <f t="shared" si="562"/>
        <v>0</v>
      </c>
      <c r="CP27" s="42">
        <f t="shared" si="562"/>
        <v>0</v>
      </c>
      <c r="CQ27" s="42">
        <f t="shared" si="562"/>
        <v>0</v>
      </c>
      <c r="CR27" s="42">
        <f t="shared" si="562"/>
        <v>0</v>
      </c>
      <c r="CS27" s="42">
        <f t="shared" si="562"/>
        <v>0</v>
      </c>
      <c r="CT27" s="50">
        <f t="shared" si="562"/>
        <v>0</v>
      </c>
      <c r="CV27" s="97">
        <f t="shared" ref="CV27:CZ28" si="563">SUMIFS(CV$42:CV$170,$A$42:$A$170,$B27,$E$42:$E$170,$E27)</f>
        <v>520.28730693</v>
      </c>
      <c r="CW27" s="98">
        <f t="shared" si="563"/>
        <v>75.428285129999992</v>
      </c>
      <c r="CX27" s="98">
        <f t="shared" si="563"/>
        <v>0</v>
      </c>
      <c r="CY27" s="104">
        <f t="shared" si="563"/>
        <v>444.85902180000005</v>
      </c>
      <c r="CZ27" s="104">
        <f t="shared" si="563"/>
        <v>520.28730693</v>
      </c>
    </row>
    <row r="28" spans="1:104" ht="15" customHeight="1" x14ac:dyDescent="0.3">
      <c r="A28" s="51"/>
      <c r="B28" s="54" t="s">
        <v>454</v>
      </c>
      <c r="C28" s="51"/>
      <c r="D28" s="232"/>
      <c r="E28" s="40" t="s">
        <v>349</v>
      </c>
      <c r="F28" s="41">
        <f t="shared" si="554"/>
        <v>0</v>
      </c>
      <c r="G28" s="42">
        <f t="shared" si="554"/>
        <v>0</v>
      </c>
      <c r="H28" s="42">
        <f t="shared" si="554"/>
        <v>0</v>
      </c>
      <c r="I28" s="42">
        <f t="shared" si="554"/>
        <v>0</v>
      </c>
      <c r="J28" s="42">
        <f t="shared" si="554"/>
        <v>0</v>
      </c>
      <c r="K28" s="42">
        <f t="shared" si="554"/>
        <v>0</v>
      </c>
      <c r="L28" s="42">
        <f t="shared" si="554"/>
        <v>0</v>
      </c>
      <c r="M28" s="42">
        <f t="shared" si="554"/>
        <v>0</v>
      </c>
      <c r="N28" s="42">
        <f t="shared" si="554"/>
        <v>0</v>
      </c>
      <c r="O28" s="42">
        <f t="shared" si="554"/>
        <v>0</v>
      </c>
      <c r="P28" s="42">
        <f t="shared" si="555"/>
        <v>0</v>
      </c>
      <c r="Q28" s="42">
        <f t="shared" si="555"/>
        <v>0</v>
      </c>
      <c r="R28" s="42">
        <f t="shared" si="555"/>
        <v>0</v>
      </c>
      <c r="S28" s="42">
        <f t="shared" si="555"/>
        <v>0</v>
      </c>
      <c r="T28" s="42">
        <f t="shared" si="555"/>
        <v>0</v>
      </c>
      <c r="U28" s="42">
        <f t="shared" si="555"/>
        <v>0</v>
      </c>
      <c r="V28" s="42">
        <f t="shared" si="555"/>
        <v>0</v>
      </c>
      <c r="W28" s="42">
        <f t="shared" si="555"/>
        <v>0</v>
      </c>
      <c r="X28" s="42">
        <f t="shared" si="555"/>
        <v>0</v>
      </c>
      <c r="Y28" s="42">
        <f t="shared" si="555"/>
        <v>0</v>
      </c>
      <c r="Z28" s="42">
        <f t="shared" si="556"/>
        <v>0</v>
      </c>
      <c r="AA28" s="42">
        <f t="shared" si="556"/>
        <v>0</v>
      </c>
      <c r="AB28" s="42">
        <f t="shared" si="556"/>
        <v>0</v>
      </c>
      <c r="AC28" s="42">
        <f t="shared" si="556"/>
        <v>0</v>
      </c>
      <c r="AD28" s="42">
        <f t="shared" si="556"/>
        <v>0</v>
      </c>
      <c r="AE28" s="42">
        <f t="shared" si="556"/>
        <v>0</v>
      </c>
      <c r="AF28" s="42">
        <f t="shared" si="556"/>
        <v>0</v>
      </c>
      <c r="AG28" s="42">
        <f t="shared" si="556"/>
        <v>0</v>
      </c>
      <c r="AH28" s="42">
        <f t="shared" si="556"/>
        <v>0</v>
      </c>
      <c r="AI28" s="42">
        <f t="shared" si="556"/>
        <v>0</v>
      </c>
      <c r="AJ28" s="43">
        <f t="shared" si="557"/>
        <v>0</v>
      </c>
      <c r="AK28" s="41">
        <f t="shared" si="557"/>
        <v>0</v>
      </c>
      <c r="AL28" s="42">
        <f t="shared" si="557"/>
        <v>0</v>
      </c>
      <c r="AM28" s="42">
        <f t="shared" si="557"/>
        <v>0</v>
      </c>
      <c r="AN28" s="42">
        <f t="shared" si="557"/>
        <v>0</v>
      </c>
      <c r="AO28" s="42">
        <f t="shared" si="557"/>
        <v>0</v>
      </c>
      <c r="AP28" s="42">
        <f t="shared" si="557"/>
        <v>0</v>
      </c>
      <c r="AQ28" s="42">
        <f t="shared" si="557"/>
        <v>0</v>
      </c>
      <c r="AR28" s="42">
        <f t="shared" si="557"/>
        <v>0</v>
      </c>
      <c r="AS28" s="42">
        <f t="shared" si="557"/>
        <v>0</v>
      </c>
      <c r="AT28" s="42">
        <f t="shared" si="558"/>
        <v>0</v>
      </c>
      <c r="AU28" s="42">
        <f t="shared" si="558"/>
        <v>0</v>
      </c>
      <c r="AV28" s="42">
        <f t="shared" si="558"/>
        <v>0</v>
      </c>
      <c r="AW28" s="42">
        <f t="shared" si="558"/>
        <v>0</v>
      </c>
      <c r="AX28" s="42">
        <f t="shared" si="558"/>
        <v>0</v>
      </c>
      <c r="AY28" s="42">
        <f t="shared" si="558"/>
        <v>0</v>
      </c>
      <c r="AZ28" s="42">
        <f t="shared" si="558"/>
        <v>0</v>
      </c>
      <c r="BA28" s="42">
        <f t="shared" si="558"/>
        <v>0</v>
      </c>
      <c r="BB28" s="42">
        <f t="shared" si="558"/>
        <v>0</v>
      </c>
      <c r="BC28" s="42">
        <f t="shared" si="558"/>
        <v>0</v>
      </c>
      <c r="BD28" s="42">
        <f t="shared" si="559"/>
        <v>0</v>
      </c>
      <c r="BE28" s="42">
        <f t="shared" si="559"/>
        <v>0</v>
      </c>
      <c r="BF28" s="42">
        <f t="shared" si="559"/>
        <v>0</v>
      </c>
      <c r="BG28" s="42">
        <f t="shared" si="559"/>
        <v>0</v>
      </c>
      <c r="BH28" s="42">
        <f t="shared" si="559"/>
        <v>0</v>
      </c>
      <c r="BI28" s="42">
        <f t="shared" si="559"/>
        <v>0</v>
      </c>
      <c r="BJ28" s="42">
        <f t="shared" si="559"/>
        <v>0</v>
      </c>
      <c r="BK28" s="42">
        <f t="shared" si="559"/>
        <v>0</v>
      </c>
      <c r="BL28" s="42">
        <f t="shared" si="559"/>
        <v>0</v>
      </c>
      <c r="BM28" s="42">
        <f t="shared" si="559"/>
        <v>0</v>
      </c>
      <c r="BN28" s="42">
        <f t="shared" si="560"/>
        <v>0</v>
      </c>
      <c r="BO28" s="43">
        <f t="shared" si="560"/>
        <v>0</v>
      </c>
      <c r="BP28" s="41">
        <f t="shared" si="560"/>
        <v>0</v>
      </c>
      <c r="BQ28" s="42">
        <f t="shared" si="560"/>
        <v>0</v>
      </c>
      <c r="BR28" s="42">
        <f t="shared" si="560"/>
        <v>0</v>
      </c>
      <c r="BS28" s="42">
        <f t="shared" si="560"/>
        <v>0</v>
      </c>
      <c r="BT28" s="42">
        <f t="shared" si="560"/>
        <v>0</v>
      </c>
      <c r="BU28" s="42">
        <f t="shared" si="560"/>
        <v>0</v>
      </c>
      <c r="BV28" s="42">
        <f t="shared" si="560"/>
        <v>0</v>
      </c>
      <c r="BW28" s="42">
        <f t="shared" si="560"/>
        <v>0</v>
      </c>
      <c r="BX28" s="42">
        <f t="shared" si="561"/>
        <v>0</v>
      </c>
      <c r="BY28" s="42">
        <f t="shared" si="561"/>
        <v>0</v>
      </c>
      <c r="BZ28" s="42">
        <f t="shared" si="561"/>
        <v>0</v>
      </c>
      <c r="CA28" s="42">
        <f t="shared" si="561"/>
        <v>0</v>
      </c>
      <c r="CB28" s="42">
        <f t="shared" si="561"/>
        <v>0</v>
      </c>
      <c r="CC28" s="42">
        <f t="shared" si="561"/>
        <v>0</v>
      </c>
      <c r="CD28" s="42">
        <f t="shared" si="561"/>
        <v>0</v>
      </c>
      <c r="CE28" s="42">
        <f t="shared" si="561"/>
        <v>0</v>
      </c>
      <c r="CF28" s="42">
        <f t="shared" si="561"/>
        <v>0</v>
      </c>
      <c r="CG28" s="42">
        <f t="shared" si="561"/>
        <v>0</v>
      </c>
      <c r="CH28" s="42">
        <f t="shared" si="562"/>
        <v>0</v>
      </c>
      <c r="CI28" s="42">
        <f t="shared" si="562"/>
        <v>0</v>
      </c>
      <c r="CJ28" s="42">
        <f t="shared" si="562"/>
        <v>0</v>
      </c>
      <c r="CK28" s="42">
        <f t="shared" si="562"/>
        <v>0</v>
      </c>
      <c r="CL28" s="42">
        <f t="shared" si="562"/>
        <v>0</v>
      </c>
      <c r="CM28" s="42">
        <f t="shared" si="562"/>
        <v>0</v>
      </c>
      <c r="CN28" s="42">
        <f t="shared" si="562"/>
        <v>0</v>
      </c>
      <c r="CO28" s="42">
        <f t="shared" si="562"/>
        <v>0</v>
      </c>
      <c r="CP28" s="42">
        <f t="shared" si="562"/>
        <v>0</v>
      </c>
      <c r="CQ28" s="42">
        <f t="shared" si="562"/>
        <v>0</v>
      </c>
      <c r="CR28" s="42">
        <f t="shared" si="562"/>
        <v>0</v>
      </c>
      <c r="CS28" s="42">
        <f t="shared" si="562"/>
        <v>0</v>
      </c>
      <c r="CT28" s="50">
        <f t="shared" si="562"/>
        <v>0</v>
      </c>
      <c r="CV28" s="96">
        <f t="shared" si="563"/>
        <v>0</v>
      </c>
      <c r="CW28" s="93">
        <f t="shared" si="563"/>
        <v>0</v>
      </c>
      <c r="CX28" s="93">
        <f t="shared" si="563"/>
        <v>0</v>
      </c>
      <c r="CY28" s="100">
        <f t="shared" si="563"/>
        <v>0</v>
      </c>
      <c r="CZ28" s="100">
        <f t="shared" si="563"/>
        <v>0</v>
      </c>
    </row>
    <row r="29" spans="1:104" s="44" customFormat="1" ht="17.55" customHeight="1" x14ac:dyDescent="0.3">
      <c r="B29" s="44" t="s">
        <v>804</v>
      </c>
      <c r="D29" s="217" t="s">
        <v>804</v>
      </c>
      <c r="E29" s="218"/>
      <c r="F29" s="199">
        <f t="shared" ref="F29" si="564">SUM(F27:F28)</f>
        <v>0</v>
      </c>
      <c r="G29" s="200">
        <f t="shared" ref="G29" si="565">SUM(G27:G28)</f>
        <v>0</v>
      </c>
      <c r="H29" s="200">
        <f t="shared" ref="H29" si="566">SUM(H27:H28)</f>
        <v>0</v>
      </c>
      <c r="I29" s="200">
        <f t="shared" ref="I29" si="567">SUM(I27:I28)</f>
        <v>75.428285129999992</v>
      </c>
      <c r="J29" s="200">
        <f t="shared" ref="J29" si="568">SUM(J27:J28)</f>
        <v>0</v>
      </c>
      <c r="K29" s="200">
        <f t="shared" ref="K29" si="569">SUM(K27:K28)</f>
        <v>0</v>
      </c>
      <c r="L29" s="200">
        <f t="shared" ref="L29" si="570">SUM(L27:L28)</f>
        <v>0</v>
      </c>
      <c r="M29" s="200">
        <f t="shared" ref="M29" si="571">SUM(M27:M28)</f>
        <v>0</v>
      </c>
      <c r="N29" s="200">
        <f t="shared" ref="N29" si="572">SUM(N27:N28)</f>
        <v>0</v>
      </c>
      <c r="O29" s="200">
        <f t="shared" ref="O29" si="573">SUM(O27:O28)</f>
        <v>82.137892170000001</v>
      </c>
      <c r="P29" s="200">
        <f t="shared" ref="P29" si="574">SUM(P27:P28)</f>
        <v>98.88005124</v>
      </c>
      <c r="Q29" s="200">
        <f t="shared" ref="Q29" si="575">SUM(Q27:Q28)</f>
        <v>0</v>
      </c>
      <c r="R29" s="200">
        <f t="shared" ref="R29" si="576">SUM(R27:R28)</f>
        <v>57.19941274</v>
      </c>
      <c r="S29" s="200">
        <f t="shared" ref="S29" si="577">SUM(S27:S28)</f>
        <v>192.01723784000001</v>
      </c>
      <c r="T29" s="200">
        <f t="shared" ref="T29" si="578">SUM(T27:T28)</f>
        <v>0</v>
      </c>
      <c r="U29" s="200">
        <f t="shared" ref="U29" si="579">SUM(U27:U28)</f>
        <v>0</v>
      </c>
      <c r="V29" s="200">
        <f t="shared" ref="V29" si="580">SUM(V27:V28)</f>
        <v>0</v>
      </c>
      <c r="W29" s="200">
        <f t="shared" ref="W29" si="581">SUM(W27:W28)</f>
        <v>11.08711173</v>
      </c>
      <c r="X29" s="200">
        <f t="shared" ref="X29" si="582">SUM(X27:X28)</f>
        <v>0</v>
      </c>
      <c r="Y29" s="200">
        <f t="shared" ref="Y29" si="583">SUM(Y27:Y28)</f>
        <v>3.5373160800000001</v>
      </c>
      <c r="Z29" s="200">
        <f t="shared" ref="Z29" si="584">SUM(Z27:Z28)</f>
        <v>0</v>
      </c>
      <c r="AA29" s="200">
        <f t="shared" ref="AA29" si="585">SUM(AA27:AA28)</f>
        <v>0</v>
      </c>
      <c r="AB29" s="200">
        <f t="shared" ref="AB29" si="586">SUM(AB27:AB28)</f>
        <v>0</v>
      </c>
      <c r="AC29" s="200">
        <f t="shared" ref="AC29" si="587">SUM(AC27:AC28)</f>
        <v>0</v>
      </c>
      <c r="AD29" s="200">
        <f t="shared" ref="AD29" si="588">SUM(AD27:AD28)</f>
        <v>0</v>
      </c>
      <c r="AE29" s="200">
        <f t="shared" ref="AE29" si="589">SUM(AE27:AE28)</f>
        <v>0</v>
      </c>
      <c r="AF29" s="200">
        <f t="shared" ref="AF29" si="590">SUM(AF27:AF28)</f>
        <v>0</v>
      </c>
      <c r="AG29" s="200">
        <f t="shared" ref="AG29" si="591">SUM(AG27:AG28)</f>
        <v>0</v>
      </c>
      <c r="AH29" s="200">
        <f t="shared" ref="AH29" si="592">SUM(AH27:AH28)</f>
        <v>0</v>
      </c>
      <c r="AI29" s="200">
        <f t="shared" ref="AI29" si="593">SUM(AI27:AI28)</f>
        <v>0</v>
      </c>
      <c r="AJ29" s="200">
        <f t="shared" ref="AJ29" si="594">SUM(AJ27:AJ28)</f>
        <v>0</v>
      </c>
      <c r="AK29" s="199">
        <f t="shared" ref="AK29" si="595">SUM(AK27:AK28)</f>
        <v>0</v>
      </c>
      <c r="AL29" s="200">
        <f t="shared" ref="AL29" si="596">SUM(AL27:AL28)</f>
        <v>0</v>
      </c>
      <c r="AM29" s="200">
        <f t="shared" ref="AM29" si="597">SUM(AM27:AM28)</f>
        <v>0</v>
      </c>
      <c r="AN29" s="200">
        <f t="shared" ref="AN29" si="598">SUM(AN27:AN28)</f>
        <v>75.428285129999992</v>
      </c>
      <c r="AO29" s="200">
        <f t="shared" ref="AO29" si="599">SUM(AO27:AO28)</f>
        <v>0</v>
      </c>
      <c r="AP29" s="200">
        <f t="shared" ref="AP29" si="600">SUM(AP27:AP28)</f>
        <v>0</v>
      </c>
      <c r="AQ29" s="200">
        <f t="shared" ref="AQ29" si="601">SUM(AQ27:AQ28)</f>
        <v>0</v>
      </c>
      <c r="AR29" s="200">
        <f t="shared" ref="AR29" si="602">SUM(AR27:AR28)</f>
        <v>0</v>
      </c>
      <c r="AS29" s="200">
        <f t="shared" ref="AS29" si="603">SUM(AS27:AS28)</f>
        <v>0</v>
      </c>
      <c r="AT29" s="200">
        <f t="shared" ref="AT29" si="604">SUM(AT27:AT28)</f>
        <v>0</v>
      </c>
      <c r="AU29" s="200">
        <f t="shared" ref="AU29" si="605">SUM(AU27:AU28)</f>
        <v>0</v>
      </c>
      <c r="AV29" s="200">
        <f t="shared" ref="AV29" si="606">SUM(AV27:AV28)</f>
        <v>0</v>
      </c>
      <c r="AW29" s="200">
        <f t="shared" ref="AW29" si="607">SUM(AW27:AW28)</f>
        <v>0</v>
      </c>
      <c r="AX29" s="200">
        <f t="shared" ref="AX29" si="608">SUM(AX27:AX28)</f>
        <v>0</v>
      </c>
      <c r="AY29" s="200">
        <f t="shared" ref="AY29" si="609">SUM(AY27:AY28)</f>
        <v>0</v>
      </c>
      <c r="AZ29" s="200">
        <f t="shared" ref="AZ29" si="610">SUM(AZ27:AZ28)</f>
        <v>0</v>
      </c>
      <c r="BA29" s="200">
        <f t="shared" ref="BA29" si="611">SUM(BA27:BA28)</f>
        <v>0</v>
      </c>
      <c r="BB29" s="200">
        <f t="shared" ref="BB29" si="612">SUM(BB27:BB28)</f>
        <v>0</v>
      </c>
      <c r="BC29" s="200">
        <f t="shared" ref="BC29" si="613">SUM(BC27:BC28)</f>
        <v>0</v>
      </c>
      <c r="BD29" s="200">
        <f t="shared" ref="BD29" si="614">SUM(BD27:BD28)</f>
        <v>0</v>
      </c>
      <c r="BE29" s="200">
        <f t="shared" ref="BE29" si="615">SUM(BE27:BE28)</f>
        <v>0</v>
      </c>
      <c r="BF29" s="200">
        <f t="shared" ref="BF29" si="616">SUM(BF27:BF28)</f>
        <v>0</v>
      </c>
      <c r="BG29" s="200">
        <f t="shared" ref="BG29" si="617">SUM(BG27:BG28)</f>
        <v>0</v>
      </c>
      <c r="BH29" s="200">
        <f t="shared" ref="BH29" si="618">SUM(BH27:BH28)</f>
        <v>0</v>
      </c>
      <c r="BI29" s="200">
        <f t="shared" ref="BI29" si="619">SUM(BI27:BI28)</f>
        <v>0</v>
      </c>
      <c r="BJ29" s="200">
        <f t="shared" ref="BJ29" si="620">SUM(BJ27:BJ28)</f>
        <v>0</v>
      </c>
      <c r="BK29" s="200">
        <f t="shared" ref="BK29" si="621">SUM(BK27:BK28)</f>
        <v>0</v>
      </c>
      <c r="BL29" s="200">
        <f t="shared" ref="BL29" si="622">SUM(BL27:BL28)</f>
        <v>0</v>
      </c>
      <c r="BM29" s="200">
        <f t="shared" ref="BM29" si="623">SUM(BM27:BM28)</f>
        <v>0</v>
      </c>
      <c r="BN29" s="200">
        <f t="shared" ref="BN29" si="624">SUM(BN27:BN28)</f>
        <v>0</v>
      </c>
      <c r="BO29" s="201">
        <f t="shared" ref="BO29" si="625">SUM(BO27:BO28)</f>
        <v>0</v>
      </c>
      <c r="BP29" s="199">
        <f t="shared" ref="BP29" si="626">SUM(BP27:BP28)</f>
        <v>0</v>
      </c>
      <c r="BQ29" s="200">
        <f t="shared" ref="BQ29" si="627">SUM(BQ27:BQ28)</f>
        <v>0</v>
      </c>
      <c r="BR29" s="200">
        <f t="shared" ref="BR29" si="628">SUM(BR27:BR28)</f>
        <v>0</v>
      </c>
      <c r="BS29" s="200">
        <f t="shared" ref="BS29" si="629">SUM(BS27:BS28)</f>
        <v>0</v>
      </c>
      <c r="BT29" s="200">
        <f t="shared" ref="BT29" si="630">SUM(BT27:BT28)</f>
        <v>0</v>
      </c>
      <c r="BU29" s="200">
        <f t="shared" ref="BU29" si="631">SUM(BU27:BU28)</f>
        <v>0</v>
      </c>
      <c r="BV29" s="200">
        <f t="shared" ref="BV29" si="632">SUM(BV27:BV28)</f>
        <v>0</v>
      </c>
      <c r="BW29" s="200">
        <f t="shared" ref="BW29" si="633">SUM(BW27:BW28)</f>
        <v>0</v>
      </c>
      <c r="BX29" s="200">
        <f t="shared" ref="BX29" si="634">SUM(BX27:BX28)</f>
        <v>0</v>
      </c>
      <c r="BY29" s="200">
        <f t="shared" ref="BY29" si="635">SUM(BY27:BY28)</f>
        <v>0</v>
      </c>
      <c r="BZ29" s="200">
        <f t="shared" ref="BZ29" si="636">SUM(BZ27:BZ28)</f>
        <v>0</v>
      </c>
      <c r="CA29" s="200">
        <f t="shared" ref="CA29" si="637">SUM(CA27:CA28)</f>
        <v>0</v>
      </c>
      <c r="CB29" s="200">
        <f t="shared" ref="CB29" si="638">SUM(CB27:CB28)</f>
        <v>0</v>
      </c>
      <c r="CC29" s="200">
        <f t="shared" ref="CC29" si="639">SUM(CC27:CC28)</f>
        <v>0</v>
      </c>
      <c r="CD29" s="200">
        <f t="shared" ref="CD29" si="640">SUM(CD27:CD28)</f>
        <v>0</v>
      </c>
      <c r="CE29" s="200">
        <f t="shared" ref="CE29" si="641">SUM(CE27:CE28)</f>
        <v>0</v>
      </c>
      <c r="CF29" s="200">
        <f t="shared" ref="CF29" si="642">SUM(CF27:CF28)</f>
        <v>0</v>
      </c>
      <c r="CG29" s="200">
        <f t="shared" ref="CG29" si="643">SUM(CG27:CG28)</f>
        <v>0</v>
      </c>
      <c r="CH29" s="200">
        <f t="shared" ref="CH29" si="644">SUM(CH27:CH28)</f>
        <v>0</v>
      </c>
      <c r="CI29" s="200">
        <f t="shared" ref="CI29" si="645">SUM(CI27:CI28)</f>
        <v>0</v>
      </c>
      <c r="CJ29" s="200">
        <f t="shared" ref="CJ29" si="646">SUM(CJ27:CJ28)</f>
        <v>0</v>
      </c>
      <c r="CK29" s="200">
        <f t="shared" ref="CK29" si="647">SUM(CK27:CK28)</f>
        <v>0</v>
      </c>
      <c r="CL29" s="200">
        <f t="shared" ref="CL29" si="648">SUM(CL27:CL28)</f>
        <v>0</v>
      </c>
      <c r="CM29" s="200">
        <f t="shared" ref="CM29" si="649">SUM(CM27:CM28)</f>
        <v>0</v>
      </c>
      <c r="CN29" s="200">
        <f t="shared" ref="CN29" si="650">SUM(CN27:CN28)</f>
        <v>0</v>
      </c>
      <c r="CO29" s="200">
        <f t="shared" ref="CO29" si="651">SUM(CO27:CO28)</f>
        <v>0</v>
      </c>
      <c r="CP29" s="200">
        <f t="shared" ref="CP29" si="652">SUM(CP27:CP28)</f>
        <v>0</v>
      </c>
      <c r="CQ29" s="200">
        <f t="shared" ref="CQ29" si="653">SUM(CQ27:CQ28)</f>
        <v>0</v>
      </c>
      <c r="CR29" s="200">
        <f t="shared" ref="CR29" si="654">SUM(CR27:CR28)</f>
        <v>0</v>
      </c>
      <c r="CS29" s="200">
        <f t="shared" ref="CS29" si="655">SUM(CS27:CS28)</f>
        <v>0</v>
      </c>
      <c r="CT29" s="202">
        <f t="shared" ref="CT29" si="656">SUM(CT27:CT28)</f>
        <v>0</v>
      </c>
      <c r="CU29" s="226"/>
      <c r="CV29" s="203">
        <f t="shared" ref="CV29" si="657">SUM(CV27:CV28)</f>
        <v>520.28730693</v>
      </c>
      <c r="CW29" s="204">
        <f t="shared" ref="CW29" si="658">SUM(CW27:CW28)</f>
        <v>75.428285129999992</v>
      </c>
      <c r="CX29" s="204">
        <f t="shared" ref="CX29" si="659">SUM(CX27:CX28)</f>
        <v>0</v>
      </c>
      <c r="CY29" s="205">
        <f t="shared" ref="CY29" si="660">SUM(CY27:CY28)</f>
        <v>444.85902180000005</v>
      </c>
      <c r="CZ29" s="206">
        <f t="shared" ref="CZ29" si="661">SUM(CZ27:CZ28)</f>
        <v>520.28730693</v>
      </c>
    </row>
    <row r="30" spans="1:104" ht="15" customHeight="1" x14ac:dyDescent="0.3">
      <c r="A30" s="51"/>
      <c r="B30" s="52" t="s">
        <v>500</v>
      </c>
      <c r="C30" s="51"/>
      <c r="D30" s="242" t="s">
        <v>500</v>
      </c>
      <c r="E30" s="85" t="s">
        <v>132</v>
      </c>
      <c r="F30" s="41">
        <f t="shared" ref="F30:O31" si="662">SUMIFS(F$42:F$170,$A$42:$A$170,$B30,$E$42:$E$170,$E30)</f>
        <v>0</v>
      </c>
      <c r="G30" s="42">
        <f t="shared" si="662"/>
        <v>0</v>
      </c>
      <c r="H30" s="42">
        <f t="shared" si="662"/>
        <v>0</v>
      </c>
      <c r="I30" s="42">
        <f t="shared" si="662"/>
        <v>10.37161665</v>
      </c>
      <c r="J30" s="42">
        <f t="shared" si="662"/>
        <v>0</v>
      </c>
      <c r="K30" s="42">
        <f t="shared" si="662"/>
        <v>0</v>
      </c>
      <c r="L30" s="42">
        <f t="shared" si="662"/>
        <v>0</v>
      </c>
      <c r="M30" s="42">
        <f t="shared" si="662"/>
        <v>0</v>
      </c>
      <c r="N30" s="42">
        <f t="shared" si="662"/>
        <v>0</v>
      </c>
      <c r="O30" s="42">
        <f t="shared" si="662"/>
        <v>0</v>
      </c>
      <c r="P30" s="42">
        <f t="shared" ref="P30:Y31" si="663">SUMIFS(P$42:P$170,$A$42:$A$170,$B30,$E$42:$E$170,$E30)</f>
        <v>0</v>
      </c>
      <c r="Q30" s="42">
        <f t="shared" si="663"/>
        <v>0</v>
      </c>
      <c r="R30" s="42">
        <f t="shared" si="663"/>
        <v>0</v>
      </c>
      <c r="S30" s="42">
        <f t="shared" si="663"/>
        <v>0</v>
      </c>
      <c r="T30" s="42">
        <f t="shared" si="663"/>
        <v>92.620355989999993</v>
      </c>
      <c r="U30" s="42">
        <f t="shared" si="663"/>
        <v>0</v>
      </c>
      <c r="V30" s="42">
        <f t="shared" si="663"/>
        <v>60.633634700000002</v>
      </c>
      <c r="W30" s="42">
        <f t="shared" si="663"/>
        <v>0</v>
      </c>
      <c r="X30" s="42">
        <f t="shared" si="663"/>
        <v>0</v>
      </c>
      <c r="Y30" s="42">
        <f t="shared" si="663"/>
        <v>0</v>
      </c>
      <c r="Z30" s="42">
        <f t="shared" ref="Z30:AI31" si="664">SUMIFS(Z$42:Z$170,$A$42:$A$170,$B30,$E$42:$E$170,$E30)</f>
        <v>21.654243079999997</v>
      </c>
      <c r="AA30" s="42">
        <f t="shared" si="664"/>
        <v>0</v>
      </c>
      <c r="AB30" s="42">
        <f t="shared" si="664"/>
        <v>0</v>
      </c>
      <c r="AC30" s="42">
        <f t="shared" si="664"/>
        <v>0</v>
      </c>
      <c r="AD30" s="42">
        <f t="shared" si="664"/>
        <v>0</v>
      </c>
      <c r="AE30" s="42">
        <f t="shared" si="664"/>
        <v>126.52319047</v>
      </c>
      <c r="AF30" s="42">
        <f t="shared" si="664"/>
        <v>0</v>
      </c>
      <c r="AG30" s="42">
        <f t="shared" si="664"/>
        <v>0</v>
      </c>
      <c r="AH30" s="42">
        <f t="shared" si="664"/>
        <v>0</v>
      </c>
      <c r="AI30" s="42">
        <f t="shared" si="664"/>
        <v>0</v>
      </c>
      <c r="AJ30" s="43">
        <f t="shared" ref="AJ30:AS31" si="665">SUMIFS(AJ$42:AJ$170,$A$42:$A$170,$B30,$E$42:$E$170,$E30)</f>
        <v>0</v>
      </c>
      <c r="AK30" s="41">
        <f t="shared" si="665"/>
        <v>0</v>
      </c>
      <c r="AL30" s="42">
        <f t="shared" si="665"/>
        <v>0</v>
      </c>
      <c r="AM30" s="42">
        <f t="shared" si="665"/>
        <v>0</v>
      </c>
      <c r="AN30" s="42">
        <f t="shared" si="665"/>
        <v>10.37161665</v>
      </c>
      <c r="AO30" s="42">
        <f t="shared" si="665"/>
        <v>0</v>
      </c>
      <c r="AP30" s="42">
        <f t="shared" si="665"/>
        <v>0</v>
      </c>
      <c r="AQ30" s="42">
        <f t="shared" si="665"/>
        <v>0</v>
      </c>
      <c r="AR30" s="42">
        <f t="shared" si="665"/>
        <v>0</v>
      </c>
      <c r="AS30" s="42">
        <f t="shared" si="665"/>
        <v>0</v>
      </c>
      <c r="AT30" s="42">
        <f t="shared" ref="AT30:BC31" si="666">SUMIFS(AT$42:AT$170,$A$42:$A$170,$B30,$E$42:$E$170,$E30)</f>
        <v>0</v>
      </c>
      <c r="AU30" s="42">
        <f t="shared" si="666"/>
        <v>0</v>
      </c>
      <c r="AV30" s="42">
        <f t="shared" si="666"/>
        <v>0</v>
      </c>
      <c r="AW30" s="42">
        <f t="shared" si="666"/>
        <v>0</v>
      </c>
      <c r="AX30" s="42">
        <f t="shared" si="666"/>
        <v>0</v>
      </c>
      <c r="AY30" s="42">
        <f t="shared" si="666"/>
        <v>0</v>
      </c>
      <c r="AZ30" s="42">
        <f t="shared" si="666"/>
        <v>0</v>
      </c>
      <c r="BA30" s="42">
        <f t="shared" si="666"/>
        <v>0</v>
      </c>
      <c r="BB30" s="42">
        <f t="shared" si="666"/>
        <v>0</v>
      </c>
      <c r="BC30" s="42">
        <f t="shared" si="666"/>
        <v>0</v>
      </c>
      <c r="BD30" s="42">
        <f t="shared" ref="BD30:BM31" si="667">SUMIFS(BD$42:BD$170,$A$42:$A$170,$B30,$E$42:$E$170,$E30)</f>
        <v>0</v>
      </c>
      <c r="BE30" s="42">
        <f t="shared" si="667"/>
        <v>0</v>
      </c>
      <c r="BF30" s="42">
        <f t="shared" si="667"/>
        <v>0</v>
      </c>
      <c r="BG30" s="42">
        <f t="shared" si="667"/>
        <v>0</v>
      </c>
      <c r="BH30" s="42">
        <f t="shared" si="667"/>
        <v>0</v>
      </c>
      <c r="BI30" s="42">
        <f t="shared" si="667"/>
        <v>0</v>
      </c>
      <c r="BJ30" s="42">
        <f t="shared" si="667"/>
        <v>0</v>
      </c>
      <c r="BK30" s="42">
        <f t="shared" si="667"/>
        <v>0</v>
      </c>
      <c r="BL30" s="42">
        <f t="shared" si="667"/>
        <v>0</v>
      </c>
      <c r="BM30" s="42">
        <f t="shared" si="667"/>
        <v>0</v>
      </c>
      <c r="BN30" s="42">
        <f t="shared" ref="BN30:BW31" si="668">SUMIFS(BN$42:BN$170,$A$42:$A$170,$B30,$E$42:$E$170,$E30)</f>
        <v>0</v>
      </c>
      <c r="BO30" s="43">
        <f t="shared" si="668"/>
        <v>0</v>
      </c>
      <c r="BP30" s="41">
        <f t="shared" si="668"/>
        <v>0</v>
      </c>
      <c r="BQ30" s="42">
        <f t="shared" si="668"/>
        <v>0</v>
      </c>
      <c r="BR30" s="42">
        <f t="shared" si="668"/>
        <v>0</v>
      </c>
      <c r="BS30" s="42">
        <f t="shared" si="668"/>
        <v>0</v>
      </c>
      <c r="BT30" s="42">
        <f t="shared" si="668"/>
        <v>0</v>
      </c>
      <c r="BU30" s="42">
        <f t="shared" si="668"/>
        <v>0</v>
      </c>
      <c r="BV30" s="42">
        <f t="shared" si="668"/>
        <v>0</v>
      </c>
      <c r="BW30" s="42">
        <f t="shared" si="668"/>
        <v>0</v>
      </c>
      <c r="BX30" s="42">
        <f t="shared" ref="BX30:CG31" si="669">SUMIFS(BX$42:BX$170,$A$42:$A$170,$B30,$E$42:$E$170,$E30)</f>
        <v>0</v>
      </c>
      <c r="BY30" s="42">
        <f t="shared" si="669"/>
        <v>0</v>
      </c>
      <c r="BZ30" s="42">
        <f t="shared" si="669"/>
        <v>0</v>
      </c>
      <c r="CA30" s="42">
        <f t="shared" si="669"/>
        <v>0</v>
      </c>
      <c r="CB30" s="42">
        <f t="shared" si="669"/>
        <v>0</v>
      </c>
      <c r="CC30" s="42">
        <f t="shared" si="669"/>
        <v>0</v>
      </c>
      <c r="CD30" s="42">
        <f t="shared" si="669"/>
        <v>0</v>
      </c>
      <c r="CE30" s="42">
        <f t="shared" si="669"/>
        <v>0</v>
      </c>
      <c r="CF30" s="42">
        <f t="shared" si="669"/>
        <v>0</v>
      </c>
      <c r="CG30" s="42">
        <f t="shared" si="669"/>
        <v>0</v>
      </c>
      <c r="CH30" s="42">
        <f t="shared" ref="CH30:CT31" si="670">SUMIFS(CH$42:CH$170,$A$42:$A$170,$B30,$E$42:$E$170,$E30)</f>
        <v>0</v>
      </c>
      <c r="CI30" s="42">
        <f t="shared" si="670"/>
        <v>0</v>
      </c>
      <c r="CJ30" s="42">
        <f t="shared" si="670"/>
        <v>0</v>
      </c>
      <c r="CK30" s="42">
        <f t="shared" si="670"/>
        <v>0</v>
      </c>
      <c r="CL30" s="42">
        <f t="shared" si="670"/>
        <v>0</v>
      </c>
      <c r="CM30" s="42">
        <f t="shared" si="670"/>
        <v>0</v>
      </c>
      <c r="CN30" s="42">
        <f t="shared" si="670"/>
        <v>0</v>
      </c>
      <c r="CO30" s="42">
        <f t="shared" si="670"/>
        <v>0</v>
      </c>
      <c r="CP30" s="42">
        <f t="shared" si="670"/>
        <v>0</v>
      </c>
      <c r="CQ30" s="42">
        <f t="shared" si="670"/>
        <v>0</v>
      </c>
      <c r="CR30" s="42">
        <f t="shared" si="670"/>
        <v>0</v>
      </c>
      <c r="CS30" s="42">
        <f t="shared" si="670"/>
        <v>0</v>
      </c>
      <c r="CT30" s="50">
        <f t="shared" si="670"/>
        <v>0</v>
      </c>
      <c r="CV30" s="97">
        <f t="shared" ref="CV30:CZ31" si="671">SUMIFS(CV$42:CV$170,$A$42:$A$170,$B30,$E$42:$E$170,$E30)</f>
        <v>311.80304089000003</v>
      </c>
      <c r="CW30" s="98">
        <f t="shared" si="671"/>
        <v>10.37161665</v>
      </c>
      <c r="CX30" s="98">
        <f t="shared" si="671"/>
        <v>0</v>
      </c>
      <c r="CY30" s="104">
        <f t="shared" si="671"/>
        <v>301.43142423999996</v>
      </c>
      <c r="CZ30" s="104">
        <f t="shared" si="671"/>
        <v>311.80304089000003</v>
      </c>
    </row>
    <row r="31" spans="1:104" ht="15" customHeight="1" x14ac:dyDescent="0.3">
      <c r="A31" s="51"/>
      <c r="B31" s="54" t="s">
        <v>500</v>
      </c>
      <c r="C31" s="51"/>
      <c r="D31" s="232"/>
      <c r="E31" s="40" t="s">
        <v>349</v>
      </c>
      <c r="F31" s="41">
        <f t="shared" si="662"/>
        <v>0</v>
      </c>
      <c r="G31" s="42">
        <f t="shared" si="662"/>
        <v>0</v>
      </c>
      <c r="H31" s="42">
        <f t="shared" si="662"/>
        <v>0</v>
      </c>
      <c r="I31" s="42">
        <f t="shared" si="662"/>
        <v>0</v>
      </c>
      <c r="J31" s="42">
        <f t="shared" si="662"/>
        <v>0</v>
      </c>
      <c r="K31" s="42">
        <f t="shared" si="662"/>
        <v>0</v>
      </c>
      <c r="L31" s="42">
        <f t="shared" si="662"/>
        <v>0</v>
      </c>
      <c r="M31" s="42">
        <f t="shared" si="662"/>
        <v>0</v>
      </c>
      <c r="N31" s="42">
        <f t="shared" si="662"/>
        <v>0</v>
      </c>
      <c r="O31" s="42">
        <f t="shared" si="662"/>
        <v>0</v>
      </c>
      <c r="P31" s="42">
        <f t="shared" si="663"/>
        <v>0</v>
      </c>
      <c r="Q31" s="42">
        <f t="shared" si="663"/>
        <v>0</v>
      </c>
      <c r="R31" s="42">
        <f t="shared" si="663"/>
        <v>0</v>
      </c>
      <c r="S31" s="42">
        <f t="shared" si="663"/>
        <v>0</v>
      </c>
      <c r="T31" s="42">
        <f t="shared" si="663"/>
        <v>0</v>
      </c>
      <c r="U31" s="42">
        <f t="shared" si="663"/>
        <v>0</v>
      </c>
      <c r="V31" s="42">
        <f t="shared" si="663"/>
        <v>0</v>
      </c>
      <c r="W31" s="42">
        <f t="shared" si="663"/>
        <v>0</v>
      </c>
      <c r="X31" s="42">
        <f t="shared" si="663"/>
        <v>0</v>
      </c>
      <c r="Y31" s="42">
        <f t="shared" si="663"/>
        <v>0</v>
      </c>
      <c r="Z31" s="42">
        <f t="shared" si="664"/>
        <v>0</v>
      </c>
      <c r="AA31" s="42">
        <f t="shared" si="664"/>
        <v>0</v>
      </c>
      <c r="AB31" s="42">
        <f t="shared" si="664"/>
        <v>0</v>
      </c>
      <c r="AC31" s="42">
        <f t="shared" si="664"/>
        <v>0</v>
      </c>
      <c r="AD31" s="42">
        <f t="shared" si="664"/>
        <v>0</v>
      </c>
      <c r="AE31" s="42">
        <f t="shared" si="664"/>
        <v>0</v>
      </c>
      <c r="AF31" s="42">
        <f t="shared" si="664"/>
        <v>0</v>
      </c>
      <c r="AG31" s="42">
        <f t="shared" si="664"/>
        <v>0</v>
      </c>
      <c r="AH31" s="42">
        <f t="shared" si="664"/>
        <v>0</v>
      </c>
      <c r="AI31" s="42">
        <f t="shared" si="664"/>
        <v>0</v>
      </c>
      <c r="AJ31" s="43">
        <f t="shared" si="665"/>
        <v>0</v>
      </c>
      <c r="AK31" s="41">
        <f t="shared" si="665"/>
        <v>0</v>
      </c>
      <c r="AL31" s="42">
        <f t="shared" si="665"/>
        <v>0</v>
      </c>
      <c r="AM31" s="42">
        <f t="shared" si="665"/>
        <v>0</v>
      </c>
      <c r="AN31" s="42">
        <f t="shared" si="665"/>
        <v>0</v>
      </c>
      <c r="AO31" s="42">
        <f t="shared" si="665"/>
        <v>0</v>
      </c>
      <c r="AP31" s="42">
        <f t="shared" si="665"/>
        <v>0</v>
      </c>
      <c r="AQ31" s="42">
        <f t="shared" si="665"/>
        <v>0</v>
      </c>
      <c r="AR31" s="42">
        <f t="shared" si="665"/>
        <v>0</v>
      </c>
      <c r="AS31" s="42">
        <f t="shared" si="665"/>
        <v>0</v>
      </c>
      <c r="AT31" s="42">
        <f t="shared" si="666"/>
        <v>0</v>
      </c>
      <c r="AU31" s="42">
        <f t="shared" si="666"/>
        <v>0</v>
      </c>
      <c r="AV31" s="42">
        <f t="shared" si="666"/>
        <v>0</v>
      </c>
      <c r="AW31" s="42">
        <f t="shared" si="666"/>
        <v>0</v>
      </c>
      <c r="AX31" s="42">
        <f t="shared" si="666"/>
        <v>0</v>
      </c>
      <c r="AY31" s="42">
        <f t="shared" si="666"/>
        <v>0</v>
      </c>
      <c r="AZ31" s="42">
        <f t="shared" si="666"/>
        <v>0</v>
      </c>
      <c r="BA31" s="42">
        <f t="shared" si="666"/>
        <v>0</v>
      </c>
      <c r="BB31" s="42">
        <f t="shared" si="666"/>
        <v>0</v>
      </c>
      <c r="BC31" s="42">
        <f t="shared" si="666"/>
        <v>0</v>
      </c>
      <c r="BD31" s="42">
        <f t="shared" si="667"/>
        <v>0</v>
      </c>
      <c r="BE31" s="42">
        <f t="shared" si="667"/>
        <v>0</v>
      </c>
      <c r="BF31" s="42">
        <f t="shared" si="667"/>
        <v>0</v>
      </c>
      <c r="BG31" s="42">
        <f t="shared" si="667"/>
        <v>0</v>
      </c>
      <c r="BH31" s="42">
        <f t="shared" si="667"/>
        <v>0</v>
      </c>
      <c r="BI31" s="42">
        <f t="shared" si="667"/>
        <v>0</v>
      </c>
      <c r="BJ31" s="42">
        <f t="shared" si="667"/>
        <v>0</v>
      </c>
      <c r="BK31" s="42">
        <f t="shared" si="667"/>
        <v>0</v>
      </c>
      <c r="BL31" s="42">
        <f t="shared" si="667"/>
        <v>0</v>
      </c>
      <c r="BM31" s="42">
        <f t="shared" si="667"/>
        <v>0</v>
      </c>
      <c r="BN31" s="42">
        <f t="shared" si="668"/>
        <v>0</v>
      </c>
      <c r="BO31" s="43">
        <f t="shared" si="668"/>
        <v>0</v>
      </c>
      <c r="BP31" s="41">
        <f t="shared" si="668"/>
        <v>0</v>
      </c>
      <c r="BQ31" s="42">
        <f t="shared" si="668"/>
        <v>0</v>
      </c>
      <c r="BR31" s="42">
        <f t="shared" si="668"/>
        <v>0</v>
      </c>
      <c r="BS31" s="42">
        <f t="shared" si="668"/>
        <v>0</v>
      </c>
      <c r="BT31" s="42">
        <f t="shared" si="668"/>
        <v>0</v>
      </c>
      <c r="BU31" s="42">
        <f t="shared" si="668"/>
        <v>0</v>
      </c>
      <c r="BV31" s="42">
        <f t="shared" si="668"/>
        <v>0</v>
      </c>
      <c r="BW31" s="42">
        <f t="shared" si="668"/>
        <v>0</v>
      </c>
      <c r="BX31" s="42">
        <f t="shared" si="669"/>
        <v>0</v>
      </c>
      <c r="BY31" s="42">
        <f t="shared" si="669"/>
        <v>0</v>
      </c>
      <c r="BZ31" s="42">
        <f t="shared" si="669"/>
        <v>0</v>
      </c>
      <c r="CA31" s="42">
        <f t="shared" si="669"/>
        <v>0</v>
      </c>
      <c r="CB31" s="42">
        <f t="shared" si="669"/>
        <v>0</v>
      </c>
      <c r="CC31" s="42">
        <f t="shared" si="669"/>
        <v>0</v>
      </c>
      <c r="CD31" s="42">
        <f t="shared" si="669"/>
        <v>0</v>
      </c>
      <c r="CE31" s="42">
        <f t="shared" si="669"/>
        <v>0</v>
      </c>
      <c r="CF31" s="42">
        <f t="shared" si="669"/>
        <v>0</v>
      </c>
      <c r="CG31" s="42">
        <f t="shared" si="669"/>
        <v>0</v>
      </c>
      <c r="CH31" s="42">
        <f t="shared" si="670"/>
        <v>0</v>
      </c>
      <c r="CI31" s="42">
        <f t="shared" si="670"/>
        <v>0</v>
      </c>
      <c r="CJ31" s="42">
        <f t="shared" si="670"/>
        <v>0</v>
      </c>
      <c r="CK31" s="42">
        <f t="shared" si="670"/>
        <v>0</v>
      </c>
      <c r="CL31" s="42">
        <f t="shared" si="670"/>
        <v>0</v>
      </c>
      <c r="CM31" s="42">
        <f t="shared" si="670"/>
        <v>0</v>
      </c>
      <c r="CN31" s="42">
        <f t="shared" si="670"/>
        <v>0</v>
      </c>
      <c r="CO31" s="42">
        <f t="shared" si="670"/>
        <v>0</v>
      </c>
      <c r="CP31" s="42">
        <f t="shared" si="670"/>
        <v>0</v>
      </c>
      <c r="CQ31" s="42">
        <f t="shared" si="670"/>
        <v>0</v>
      </c>
      <c r="CR31" s="42">
        <f t="shared" si="670"/>
        <v>0</v>
      </c>
      <c r="CS31" s="42">
        <f t="shared" si="670"/>
        <v>0</v>
      </c>
      <c r="CT31" s="50">
        <f t="shared" si="670"/>
        <v>0</v>
      </c>
      <c r="CV31" s="96">
        <f t="shared" si="671"/>
        <v>0</v>
      </c>
      <c r="CW31" s="93">
        <f t="shared" si="671"/>
        <v>0</v>
      </c>
      <c r="CX31" s="93">
        <f t="shared" si="671"/>
        <v>0</v>
      </c>
      <c r="CY31" s="100">
        <f t="shared" si="671"/>
        <v>0</v>
      </c>
      <c r="CZ31" s="100">
        <f t="shared" si="671"/>
        <v>0</v>
      </c>
    </row>
    <row r="32" spans="1:104" s="44" customFormat="1" ht="17.55" customHeight="1" x14ac:dyDescent="0.3">
      <c r="B32" s="44" t="s">
        <v>805</v>
      </c>
      <c r="D32" s="217" t="s">
        <v>805</v>
      </c>
      <c r="E32" s="218"/>
      <c r="F32" s="199">
        <f t="shared" ref="F32" si="672">SUM(F30:F31)</f>
        <v>0</v>
      </c>
      <c r="G32" s="200">
        <f t="shared" ref="G32" si="673">SUM(G30:G31)</f>
        <v>0</v>
      </c>
      <c r="H32" s="200">
        <f t="shared" ref="H32" si="674">SUM(H30:H31)</f>
        <v>0</v>
      </c>
      <c r="I32" s="200">
        <f t="shared" ref="I32" si="675">SUM(I30:I31)</f>
        <v>10.37161665</v>
      </c>
      <c r="J32" s="200">
        <f t="shared" ref="J32" si="676">SUM(J30:J31)</f>
        <v>0</v>
      </c>
      <c r="K32" s="200">
        <f t="shared" ref="K32" si="677">SUM(K30:K31)</f>
        <v>0</v>
      </c>
      <c r="L32" s="200">
        <f t="shared" ref="L32" si="678">SUM(L30:L31)</f>
        <v>0</v>
      </c>
      <c r="M32" s="200">
        <f t="shared" ref="M32" si="679">SUM(M30:M31)</f>
        <v>0</v>
      </c>
      <c r="N32" s="200">
        <f t="shared" ref="N32" si="680">SUM(N30:N31)</f>
        <v>0</v>
      </c>
      <c r="O32" s="200">
        <f t="shared" ref="O32" si="681">SUM(O30:O31)</f>
        <v>0</v>
      </c>
      <c r="P32" s="200">
        <f t="shared" ref="P32" si="682">SUM(P30:P31)</f>
        <v>0</v>
      </c>
      <c r="Q32" s="200">
        <f t="shared" ref="Q32" si="683">SUM(Q30:Q31)</f>
        <v>0</v>
      </c>
      <c r="R32" s="200">
        <f t="shared" ref="R32" si="684">SUM(R30:R31)</f>
        <v>0</v>
      </c>
      <c r="S32" s="200">
        <f t="shared" ref="S32" si="685">SUM(S30:S31)</f>
        <v>0</v>
      </c>
      <c r="T32" s="200">
        <f t="shared" ref="T32" si="686">SUM(T30:T31)</f>
        <v>92.620355989999993</v>
      </c>
      <c r="U32" s="200">
        <f t="shared" ref="U32" si="687">SUM(U30:U31)</f>
        <v>0</v>
      </c>
      <c r="V32" s="200">
        <f t="shared" ref="V32" si="688">SUM(V30:V31)</f>
        <v>60.633634700000002</v>
      </c>
      <c r="W32" s="200">
        <f t="shared" ref="W32" si="689">SUM(W30:W31)</f>
        <v>0</v>
      </c>
      <c r="X32" s="200">
        <f t="shared" ref="X32" si="690">SUM(X30:X31)</f>
        <v>0</v>
      </c>
      <c r="Y32" s="200">
        <f t="shared" ref="Y32" si="691">SUM(Y30:Y31)</f>
        <v>0</v>
      </c>
      <c r="Z32" s="200">
        <f t="shared" ref="Z32" si="692">SUM(Z30:Z31)</f>
        <v>21.654243079999997</v>
      </c>
      <c r="AA32" s="200">
        <f t="shared" ref="AA32" si="693">SUM(AA30:AA31)</f>
        <v>0</v>
      </c>
      <c r="AB32" s="200">
        <f t="shared" ref="AB32" si="694">SUM(AB30:AB31)</f>
        <v>0</v>
      </c>
      <c r="AC32" s="200">
        <f t="shared" ref="AC32" si="695">SUM(AC30:AC31)</f>
        <v>0</v>
      </c>
      <c r="AD32" s="200">
        <f t="shared" ref="AD32" si="696">SUM(AD30:AD31)</f>
        <v>0</v>
      </c>
      <c r="AE32" s="200">
        <f t="shared" ref="AE32" si="697">SUM(AE30:AE31)</f>
        <v>126.52319047</v>
      </c>
      <c r="AF32" s="200">
        <f t="shared" ref="AF32" si="698">SUM(AF30:AF31)</f>
        <v>0</v>
      </c>
      <c r="AG32" s="200">
        <f t="shared" ref="AG32" si="699">SUM(AG30:AG31)</f>
        <v>0</v>
      </c>
      <c r="AH32" s="200">
        <f t="shared" ref="AH32" si="700">SUM(AH30:AH31)</f>
        <v>0</v>
      </c>
      <c r="AI32" s="200">
        <f t="shared" ref="AI32" si="701">SUM(AI30:AI31)</f>
        <v>0</v>
      </c>
      <c r="AJ32" s="200">
        <f t="shared" ref="AJ32" si="702">SUM(AJ30:AJ31)</f>
        <v>0</v>
      </c>
      <c r="AK32" s="199">
        <f t="shared" ref="AK32" si="703">SUM(AK30:AK31)</f>
        <v>0</v>
      </c>
      <c r="AL32" s="200">
        <f t="shared" ref="AL32" si="704">SUM(AL30:AL31)</f>
        <v>0</v>
      </c>
      <c r="AM32" s="200">
        <f t="shared" ref="AM32" si="705">SUM(AM30:AM31)</f>
        <v>0</v>
      </c>
      <c r="AN32" s="200">
        <f t="shared" ref="AN32" si="706">SUM(AN30:AN31)</f>
        <v>10.37161665</v>
      </c>
      <c r="AO32" s="200">
        <f t="shared" ref="AO32" si="707">SUM(AO30:AO31)</f>
        <v>0</v>
      </c>
      <c r="AP32" s="200">
        <f t="shared" ref="AP32" si="708">SUM(AP30:AP31)</f>
        <v>0</v>
      </c>
      <c r="AQ32" s="200">
        <f t="shared" ref="AQ32" si="709">SUM(AQ30:AQ31)</f>
        <v>0</v>
      </c>
      <c r="AR32" s="200">
        <f t="shared" ref="AR32" si="710">SUM(AR30:AR31)</f>
        <v>0</v>
      </c>
      <c r="AS32" s="200">
        <f t="shared" ref="AS32" si="711">SUM(AS30:AS31)</f>
        <v>0</v>
      </c>
      <c r="AT32" s="200">
        <f t="shared" ref="AT32" si="712">SUM(AT30:AT31)</f>
        <v>0</v>
      </c>
      <c r="AU32" s="200">
        <f t="shared" ref="AU32" si="713">SUM(AU30:AU31)</f>
        <v>0</v>
      </c>
      <c r="AV32" s="200">
        <f t="shared" ref="AV32" si="714">SUM(AV30:AV31)</f>
        <v>0</v>
      </c>
      <c r="AW32" s="200">
        <f t="shared" ref="AW32" si="715">SUM(AW30:AW31)</f>
        <v>0</v>
      </c>
      <c r="AX32" s="200">
        <f t="shared" ref="AX32" si="716">SUM(AX30:AX31)</f>
        <v>0</v>
      </c>
      <c r="AY32" s="200">
        <f t="shared" ref="AY32" si="717">SUM(AY30:AY31)</f>
        <v>0</v>
      </c>
      <c r="AZ32" s="200">
        <f t="shared" ref="AZ32" si="718">SUM(AZ30:AZ31)</f>
        <v>0</v>
      </c>
      <c r="BA32" s="200">
        <f t="shared" ref="BA32" si="719">SUM(BA30:BA31)</f>
        <v>0</v>
      </c>
      <c r="BB32" s="200">
        <f t="shared" ref="BB32" si="720">SUM(BB30:BB31)</f>
        <v>0</v>
      </c>
      <c r="BC32" s="200">
        <f t="shared" ref="BC32" si="721">SUM(BC30:BC31)</f>
        <v>0</v>
      </c>
      <c r="BD32" s="200">
        <f t="shared" ref="BD32" si="722">SUM(BD30:BD31)</f>
        <v>0</v>
      </c>
      <c r="BE32" s="200">
        <f t="shared" ref="BE32" si="723">SUM(BE30:BE31)</f>
        <v>0</v>
      </c>
      <c r="BF32" s="200">
        <f t="shared" ref="BF32" si="724">SUM(BF30:BF31)</f>
        <v>0</v>
      </c>
      <c r="BG32" s="200">
        <f t="shared" ref="BG32" si="725">SUM(BG30:BG31)</f>
        <v>0</v>
      </c>
      <c r="BH32" s="200">
        <f t="shared" ref="BH32" si="726">SUM(BH30:BH31)</f>
        <v>0</v>
      </c>
      <c r="BI32" s="200">
        <f t="shared" ref="BI32" si="727">SUM(BI30:BI31)</f>
        <v>0</v>
      </c>
      <c r="BJ32" s="200">
        <f t="shared" ref="BJ32" si="728">SUM(BJ30:BJ31)</f>
        <v>0</v>
      </c>
      <c r="BK32" s="200">
        <f t="shared" ref="BK32" si="729">SUM(BK30:BK31)</f>
        <v>0</v>
      </c>
      <c r="BL32" s="200">
        <f t="shared" ref="BL32" si="730">SUM(BL30:BL31)</f>
        <v>0</v>
      </c>
      <c r="BM32" s="200">
        <f t="shared" ref="BM32" si="731">SUM(BM30:BM31)</f>
        <v>0</v>
      </c>
      <c r="BN32" s="200">
        <f t="shared" ref="BN32" si="732">SUM(BN30:BN31)</f>
        <v>0</v>
      </c>
      <c r="BO32" s="201">
        <f t="shared" ref="BO32" si="733">SUM(BO30:BO31)</f>
        <v>0</v>
      </c>
      <c r="BP32" s="199">
        <f t="shared" ref="BP32" si="734">SUM(BP30:BP31)</f>
        <v>0</v>
      </c>
      <c r="BQ32" s="200">
        <f t="shared" ref="BQ32" si="735">SUM(BQ30:BQ31)</f>
        <v>0</v>
      </c>
      <c r="BR32" s="200">
        <f t="shared" ref="BR32" si="736">SUM(BR30:BR31)</f>
        <v>0</v>
      </c>
      <c r="BS32" s="200">
        <f t="shared" ref="BS32" si="737">SUM(BS30:BS31)</f>
        <v>0</v>
      </c>
      <c r="BT32" s="200">
        <f t="shared" ref="BT32" si="738">SUM(BT30:BT31)</f>
        <v>0</v>
      </c>
      <c r="BU32" s="200">
        <f t="shared" ref="BU32" si="739">SUM(BU30:BU31)</f>
        <v>0</v>
      </c>
      <c r="BV32" s="200">
        <f t="shared" ref="BV32" si="740">SUM(BV30:BV31)</f>
        <v>0</v>
      </c>
      <c r="BW32" s="200">
        <f t="shared" ref="BW32" si="741">SUM(BW30:BW31)</f>
        <v>0</v>
      </c>
      <c r="BX32" s="200">
        <f t="shared" ref="BX32" si="742">SUM(BX30:BX31)</f>
        <v>0</v>
      </c>
      <c r="BY32" s="200">
        <f t="shared" ref="BY32" si="743">SUM(BY30:BY31)</f>
        <v>0</v>
      </c>
      <c r="BZ32" s="200">
        <f t="shared" ref="BZ32" si="744">SUM(BZ30:BZ31)</f>
        <v>0</v>
      </c>
      <c r="CA32" s="200">
        <f t="shared" ref="CA32" si="745">SUM(CA30:CA31)</f>
        <v>0</v>
      </c>
      <c r="CB32" s="200">
        <f t="shared" ref="CB32" si="746">SUM(CB30:CB31)</f>
        <v>0</v>
      </c>
      <c r="CC32" s="200">
        <f t="shared" ref="CC32" si="747">SUM(CC30:CC31)</f>
        <v>0</v>
      </c>
      <c r="CD32" s="200">
        <f t="shared" ref="CD32" si="748">SUM(CD30:CD31)</f>
        <v>0</v>
      </c>
      <c r="CE32" s="200">
        <f t="shared" ref="CE32" si="749">SUM(CE30:CE31)</f>
        <v>0</v>
      </c>
      <c r="CF32" s="200">
        <f t="shared" ref="CF32" si="750">SUM(CF30:CF31)</f>
        <v>0</v>
      </c>
      <c r="CG32" s="200">
        <f t="shared" ref="CG32" si="751">SUM(CG30:CG31)</f>
        <v>0</v>
      </c>
      <c r="CH32" s="200">
        <f t="shared" ref="CH32" si="752">SUM(CH30:CH31)</f>
        <v>0</v>
      </c>
      <c r="CI32" s="200">
        <f t="shared" ref="CI32" si="753">SUM(CI30:CI31)</f>
        <v>0</v>
      </c>
      <c r="CJ32" s="200">
        <f t="shared" ref="CJ32" si="754">SUM(CJ30:CJ31)</f>
        <v>0</v>
      </c>
      <c r="CK32" s="200">
        <f t="shared" ref="CK32" si="755">SUM(CK30:CK31)</f>
        <v>0</v>
      </c>
      <c r="CL32" s="200">
        <f t="shared" ref="CL32" si="756">SUM(CL30:CL31)</f>
        <v>0</v>
      </c>
      <c r="CM32" s="200">
        <f t="shared" ref="CM32" si="757">SUM(CM30:CM31)</f>
        <v>0</v>
      </c>
      <c r="CN32" s="200">
        <f t="shared" ref="CN32" si="758">SUM(CN30:CN31)</f>
        <v>0</v>
      </c>
      <c r="CO32" s="200">
        <f t="shared" ref="CO32" si="759">SUM(CO30:CO31)</f>
        <v>0</v>
      </c>
      <c r="CP32" s="200">
        <f t="shared" ref="CP32" si="760">SUM(CP30:CP31)</f>
        <v>0</v>
      </c>
      <c r="CQ32" s="200">
        <f t="shared" ref="CQ32" si="761">SUM(CQ30:CQ31)</f>
        <v>0</v>
      </c>
      <c r="CR32" s="200">
        <f t="shared" ref="CR32" si="762">SUM(CR30:CR31)</f>
        <v>0</v>
      </c>
      <c r="CS32" s="200">
        <f t="shared" ref="CS32" si="763">SUM(CS30:CS31)</f>
        <v>0</v>
      </c>
      <c r="CT32" s="202">
        <f t="shared" ref="CT32" si="764">SUM(CT30:CT31)</f>
        <v>0</v>
      </c>
      <c r="CU32" s="226"/>
      <c r="CV32" s="203">
        <f t="shared" ref="CV32" si="765">SUM(CV30:CV31)</f>
        <v>311.80304089000003</v>
      </c>
      <c r="CW32" s="204">
        <f t="shared" ref="CW32" si="766">SUM(CW30:CW31)</f>
        <v>10.37161665</v>
      </c>
      <c r="CX32" s="204">
        <f t="shared" ref="CX32" si="767">SUM(CX30:CX31)</f>
        <v>0</v>
      </c>
      <c r="CY32" s="205">
        <f t="shared" ref="CY32" si="768">SUM(CY30:CY31)</f>
        <v>301.43142423999996</v>
      </c>
      <c r="CZ32" s="206">
        <f t="shared" ref="CZ32" si="769">SUM(CZ30:CZ31)</f>
        <v>311.80304089000003</v>
      </c>
    </row>
    <row r="33" spans="1:104" ht="15" customHeight="1" x14ac:dyDescent="0.3">
      <c r="A33" s="51"/>
      <c r="B33" s="52" t="s">
        <v>480</v>
      </c>
      <c r="C33" s="51"/>
      <c r="D33" s="242" t="s">
        <v>480</v>
      </c>
      <c r="E33" s="85" t="s">
        <v>132</v>
      </c>
      <c r="F33" s="41">
        <f t="shared" ref="F33:O34" si="770">SUMIFS(F$42:F$170,$A$42:$A$170,$B33,$E$42:$E$170,$E33)</f>
        <v>0</v>
      </c>
      <c r="G33" s="42">
        <f t="shared" si="770"/>
        <v>72.322370919999997</v>
      </c>
      <c r="H33" s="42">
        <f t="shared" si="770"/>
        <v>7.4018064000000008</v>
      </c>
      <c r="I33" s="42">
        <f t="shared" si="770"/>
        <v>457.59721503000003</v>
      </c>
      <c r="J33" s="42">
        <f t="shared" si="770"/>
        <v>0</v>
      </c>
      <c r="K33" s="42">
        <f t="shared" si="770"/>
        <v>0</v>
      </c>
      <c r="L33" s="42">
        <f t="shared" si="770"/>
        <v>0</v>
      </c>
      <c r="M33" s="42">
        <f t="shared" si="770"/>
        <v>0</v>
      </c>
      <c r="N33" s="42">
        <f t="shared" si="770"/>
        <v>52.521171509999995</v>
      </c>
      <c r="O33" s="42">
        <f t="shared" si="770"/>
        <v>0</v>
      </c>
      <c r="P33" s="42">
        <f t="shared" ref="P33:Y34" si="771">SUMIFS(P$42:P$170,$A$42:$A$170,$B33,$E$42:$E$170,$E33)</f>
        <v>0</v>
      </c>
      <c r="Q33" s="42">
        <f t="shared" si="771"/>
        <v>0</v>
      </c>
      <c r="R33" s="42">
        <f t="shared" si="771"/>
        <v>0</v>
      </c>
      <c r="S33" s="42">
        <f t="shared" si="771"/>
        <v>0</v>
      </c>
      <c r="T33" s="42">
        <f t="shared" si="771"/>
        <v>0</v>
      </c>
      <c r="U33" s="42">
        <f t="shared" si="771"/>
        <v>0</v>
      </c>
      <c r="V33" s="42">
        <f t="shared" si="771"/>
        <v>0</v>
      </c>
      <c r="W33" s="42">
        <f t="shared" si="771"/>
        <v>0</v>
      </c>
      <c r="X33" s="42">
        <f t="shared" si="771"/>
        <v>61.282697710000001</v>
      </c>
      <c r="Y33" s="42">
        <f t="shared" si="771"/>
        <v>0</v>
      </c>
      <c r="Z33" s="42">
        <f t="shared" ref="Z33:AI34" si="772">SUMIFS(Z$42:Z$170,$A$42:$A$170,$B33,$E$42:$E$170,$E33)</f>
        <v>0</v>
      </c>
      <c r="AA33" s="42">
        <f t="shared" si="772"/>
        <v>0</v>
      </c>
      <c r="AB33" s="42">
        <f t="shared" si="772"/>
        <v>0</v>
      </c>
      <c r="AC33" s="42">
        <f t="shared" si="772"/>
        <v>0</v>
      </c>
      <c r="AD33" s="42">
        <f t="shared" si="772"/>
        <v>0</v>
      </c>
      <c r="AE33" s="42">
        <f t="shared" si="772"/>
        <v>0</v>
      </c>
      <c r="AF33" s="42">
        <f t="shared" si="772"/>
        <v>0</v>
      </c>
      <c r="AG33" s="42">
        <f t="shared" si="772"/>
        <v>0</v>
      </c>
      <c r="AH33" s="42">
        <f t="shared" si="772"/>
        <v>0</v>
      </c>
      <c r="AI33" s="42">
        <f t="shared" si="772"/>
        <v>0</v>
      </c>
      <c r="AJ33" s="43">
        <f t="shared" ref="AJ33:AS34" si="773">SUMIFS(AJ$42:AJ$170,$A$42:$A$170,$B33,$E$42:$E$170,$E33)</f>
        <v>0</v>
      </c>
      <c r="AK33" s="41">
        <f t="shared" si="773"/>
        <v>0</v>
      </c>
      <c r="AL33" s="42">
        <f t="shared" si="773"/>
        <v>72.322370919999997</v>
      </c>
      <c r="AM33" s="42">
        <f t="shared" si="773"/>
        <v>7.4018064000000008</v>
      </c>
      <c r="AN33" s="42">
        <f t="shared" si="773"/>
        <v>447.11506517999999</v>
      </c>
      <c r="AO33" s="42">
        <f t="shared" si="773"/>
        <v>0</v>
      </c>
      <c r="AP33" s="42">
        <f t="shared" si="773"/>
        <v>0</v>
      </c>
      <c r="AQ33" s="42">
        <f t="shared" si="773"/>
        <v>0</v>
      </c>
      <c r="AR33" s="42">
        <f t="shared" si="773"/>
        <v>0</v>
      </c>
      <c r="AS33" s="42">
        <f t="shared" si="773"/>
        <v>0</v>
      </c>
      <c r="AT33" s="42">
        <f t="shared" ref="AT33:BC34" si="774">SUMIFS(AT$42:AT$170,$A$42:$A$170,$B33,$E$42:$E$170,$E33)</f>
        <v>0</v>
      </c>
      <c r="AU33" s="42">
        <f t="shared" si="774"/>
        <v>0</v>
      </c>
      <c r="AV33" s="42">
        <f t="shared" si="774"/>
        <v>0</v>
      </c>
      <c r="AW33" s="42">
        <f t="shared" si="774"/>
        <v>0</v>
      </c>
      <c r="AX33" s="42">
        <f t="shared" si="774"/>
        <v>0</v>
      </c>
      <c r="AY33" s="42">
        <f t="shared" si="774"/>
        <v>0</v>
      </c>
      <c r="AZ33" s="42">
        <f t="shared" si="774"/>
        <v>0</v>
      </c>
      <c r="BA33" s="42">
        <f t="shared" si="774"/>
        <v>0</v>
      </c>
      <c r="BB33" s="42">
        <f t="shared" si="774"/>
        <v>0</v>
      </c>
      <c r="BC33" s="42">
        <f t="shared" si="774"/>
        <v>0</v>
      </c>
      <c r="BD33" s="42">
        <f t="shared" ref="BD33:BM34" si="775">SUMIFS(BD$42:BD$170,$A$42:$A$170,$B33,$E$42:$E$170,$E33)</f>
        <v>0</v>
      </c>
      <c r="BE33" s="42">
        <f t="shared" si="775"/>
        <v>0</v>
      </c>
      <c r="BF33" s="42">
        <f t="shared" si="775"/>
        <v>0</v>
      </c>
      <c r="BG33" s="42">
        <f t="shared" si="775"/>
        <v>0</v>
      </c>
      <c r="BH33" s="42">
        <f t="shared" si="775"/>
        <v>0</v>
      </c>
      <c r="BI33" s="42">
        <f t="shared" si="775"/>
        <v>0</v>
      </c>
      <c r="BJ33" s="42">
        <f t="shared" si="775"/>
        <v>0</v>
      </c>
      <c r="BK33" s="42">
        <f t="shared" si="775"/>
        <v>0</v>
      </c>
      <c r="BL33" s="42">
        <f t="shared" si="775"/>
        <v>0</v>
      </c>
      <c r="BM33" s="42">
        <f t="shared" si="775"/>
        <v>0</v>
      </c>
      <c r="BN33" s="42">
        <f t="shared" ref="BN33:BW34" si="776">SUMIFS(BN$42:BN$170,$A$42:$A$170,$B33,$E$42:$E$170,$E33)</f>
        <v>0</v>
      </c>
      <c r="BO33" s="43">
        <f t="shared" si="776"/>
        <v>0</v>
      </c>
      <c r="BP33" s="41">
        <f t="shared" si="776"/>
        <v>0</v>
      </c>
      <c r="BQ33" s="42">
        <f t="shared" si="776"/>
        <v>0</v>
      </c>
      <c r="BR33" s="42">
        <f t="shared" si="776"/>
        <v>0</v>
      </c>
      <c r="BS33" s="42">
        <f t="shared" si="776"/>
        <v>10.482149849999999</v>
      </c>
      <c r="BT33" s="42">
        <f t="shared" si="776"/>
        <v>0</v>
      </c>
      <c r="BU33" s="42">
        <f t="shared" si="776"/>
        <v>0</v>
      </c>
      <c r="BV33" s="42">
        <f t="shared" si="776"/>
        <v>0</v>
      </c>
      <c r="BW33" s="42">
        <f t="shared" si="776"/>
        <v>0</v>
      </c>
      <c r="BX33" s="42">
        <f t="shared" ref="BX33:CG34" si="777">SUMIFS(BX$42:BX$170,$A$42:$A$170,$B33,$E$42:$E$170,$E33)</f>
        <v>0</v>
      </c>
      <c r="BY33" s="42">
        <f t="shared" si="777"/>
        <v>0</v>
      </c>
      <c r="BZ33" s="42">
        <f t="shared" si="777"/>
        <v>0</v>
      </c>
      <c r="CA33" s="42">
        <f t="shared" si="777"/>
        <v>0</v>
      </c>
      <c r="CB33" s="42">
        <f t="shared" si="777"/>
        <v>0</v>
      </c>
      <c r="CC33" s="42">
        <f t="shared" si="777"/>
        <v>0</v>
      </c>
      <c r="CD33" s="42">
        <f t="shared" si="777"/>
        <v>0</v>
      </c>
      <c r="CE33" s="42">
        <f t="shared" si="777"/>
        <v>0</v>
      </c>
      <c r="CF33" s="42">
        <f t="shared" si="777"/>
        <v>0</v>
      </c>
      <c r="CG33" s="42">
        <f t="shared" si="777"/>
        <v>0</v>
      </c>
      <c r="CH33" s="42">
        <f t="shared" ref="CH33:CT34" si="778">SUMIFS(CH$42:CH$170,$A$42:$A$170,$B33,$E$42:$E$170,$E33)</f>
        <v>0</v>
      </c>
      <c r="CI33" s="42">
        <f t="shared" si="778"/>
        <v>0</v>
      </c>
      <c r="CJ33" s="42">
        <f t="shared" si="778"/>
        <v>0</v>
      </c>
      <c r="CK33" s="42">
        <f t="shared" si="778"/>
        <v>0</v>
      </c>
      <c r="CL33" s="42">
        <f t="shared" si="778"/>
        <v>0</v>
      </c>
      <c r="CM33" s="42">
        <f t="shared" si="778"/>
        <v>0</v>
      </c>
      <c r="CN33" s="42">
        <f t="shared" si="778"/>
        <v>0</v>
      </c>
      <c r="CO33" s="42">
        <f t="shared" si="778"/>
        <v>0</v>
      </c>
      <c r="CP33" s="42">
        <f t="shared" si="778"/>
        <v>0</v>
      </c>
      <c r="CQ33" s="42">
        <f t="shared" si="778"/>
        <v>0</v>
      </c>
      <c r="CR33" s="42">
        <f t="shared" si="778"/>
        <v>0</v>
      </c>
      <c r="CS33" s="42">
        <f t="shared" si="778"/>
        <v>0</v>
      </c>
      <c r="CT33" s="50">
        <f t="shared" si="778"/>
        <v>0</v>
      </c>
      <c r="CV33" s="97">
        <f t="shared" ref="CV33:CZ34" si="779">SUMIFS(CV$42:CV$170,$A$42:$A$170,$B33,$E$42:$E$170,$E33)</f>
        <v>651.12526156999991</v>
      </c>
      <c r="CW33" s="98">
        <f t="shared" si="779"/>
        <v>526.83924249999995</v>
      </c>
      <c r="CX33" s="98">
        <f t="shared" si="779"/>
        <v>10.482149849999999</v>
      </c>
      <c r="CY33" s="104">
        <f t="shared" si="779"/>
        <v>113.80386921999995</v>
      </c>
      <c r="CZ33" s="104">
        <f t="shared" si="779"/>
        <v>640.64311171999998</v>
      </c>
    </row>
    <row r="34" spans="1:104" ht="15" customHeight="1" x14ac:dyDescent="0.3">
      <c r="A34" s="51"/>
      <c r="B34" s="54" t="s">
        <v>480</v>
      </c>
      <c r="C34" s="51"/>
      <c r="D34" s="232"/>
      <c r="E34" s="40" t="s">
        <v>349</v>
      </c>
      <c r="F34" s="41">
        <f t="shared" si="770"/>
        <v>0</v>
      </c>
      <c r="G34" s="42">
        <f t="shared" si="770"/>
        <v>0</v>
      </c>
      <c r="H34" s="42">
        <f t="shared" si="770"/>
        <v>0</v>
      </c>
      <c r="I34" s="42">
        <f t="shared" si="770"/>
        <v>0</v>
      </c>
      <c r="J34" s="42">
        <f t="shared" si="770"/>
        <v>0</v>
      </c>
      <c r="K34" s="42">
        <f t="shared" si="770"/>
        <v>0</v>
      </c>
      <c r="L34" s="42">
        <f t="shared" si="770"/>
        <v>0</v>
      </c>
      <c r="M34" s="42">
        <f t="shared" si="770"/>
        <v>0</v>
      </c>
      <c r="N34" s="42">
        <f t="shared" si="770"/>
        <v>0</v>
      </c>
      <c r="O34" s="42">
        <f t="shared" si="770"/>
        <v>0</v>
      </c>
      <c r="P34" s="42">
        <f t="shared" si="771"/>
        <v>0</v>
      </c>
      <c r="Q34" s="42">
        <f t="shared" si="771"/>
        <v>0</v>
      </c>
      <c r="R34" s="42">
        <f t="shared" si="771"/>
        <v>0</v>
      </c>
      <c r="S34" s="42">
        <f t="shared" si="771"/>
        <v>0</v>
      </c>
      <c r="T34" s="42">
        <f t="shared" si="771"/>
        <v>0</v>
      </c>
      <c r="U34" s="42">
        <f t="shared" si="771"/>
        <v>0</v>
      </c>
      <c r="V34" s="42">
        <f t="shared" si="771"/>
        <v>0</v>
      </c>
      <c r="W34" s="42">
        <f t="shared" si="771"/>
        <v>0</v>
      </c>
      <c r="X34" s="42">
        <f t="shared" si="771"/>
        <v>0</v>
      </c>
      <c r="Y34" s="42">
        <f t="shared" si="771"/>
        <v>0</v>
      </c>
      <c r="Z34" s="42">
        <f t="shared" si="772"/>
        <v>0</v>
      </c>
      <c r="AA34" s="42">
        <f t="shared" si="772"/>
        <v>0</v>
      </c>
      <c r="AB34" s="42">
        <f t="shared" si="772"/>
        <v>0</v>
      </c>
      <c r="AC34" s="42">
        <f t="shared" si="772"/>
        <v>0</v>
      </c>
      <c r="AD34" s="42">
        <f t="shared" si="772"/>
        <v>0</v>
      </c>
      <c r="AE34" s="42">
        <f t="shared" si="772"/>
        <v>0</v>
      </c>
      <c r="AF34" s="42">
        <f t="shared" si="772"/>
        <v>0</v>
      </c>
      <c r="AG34" s="42">
        <f t="shared" si="772"/>
        <v>0</v>
      </c>
      <c r="AH34" s="42">
        <f t="shared" si="772"/>
        <v>0</v>
      </c>
      <c r="AI34" s="42">
        <f t="shared" si="772"/>
        <v>0</v>
      </c>
      <c r="AJ34" s="43">
        <f t="shared" si="773"/>
        <v>0</v>
      </c>
      <c r="AK34" s="41">
        <f t="shared" si="773"/>
        <v>0</v>
      </c>
      <c r="AL34" s="42">
        <f t="shared" si="773"/>
        <v>0</v>
      </c>
      <c r="AM34" s="42">
        <f t="shared" si="773"/>
        <v>0</v>
      </c>
      <c r="AN34" s="42">
        <f t="shared" si="773"/>
        <v>0</v>
      </c>
      <c r="AO34" s="42">
        <f t="shared" si="773"/>
        <v>0</v>
      </c>
      <c r="AP34" s="42">
        <f t="shared" si="773"/>
        <v>0</v>
      </c>
      <c r="AQ34" s="42">
        <f t="shared" si="773"/>
        <v>0</v>
      </c>
      <c r="AR34" s="42">
        <f t="shared" si="773"/>
        <v>0</v>
      </c>
      <c r="AS34" s="42">
        <f t="shared" si="773"/>
        <v>0</v>
      </c>
      <c r="AT34" s="42">
        <f t="shared" si="774"/>
        <v>0</v>
      </c>
      <c r="AU34" s="42">
        <f t="shared" si="774"/>
        <v>0</v>
      </c>
      <c r="AV34" s="42">
        <f t="shared" si="774"/>
        <v>0</v>
      </c>
      <c r="AW34" s="42">
        <f t="shared" si="774"/>
        <v>0</v>
      </c>
      <c r="AX34" s="42">
        <f t="shared" si="774"/>
        <v>0</v>
      </c>
      <c r="AY34" s="42">
        <f t="shared" si="774"/>
        <v>0</v>
      </c>
      <c r="AZ34" s="42">
        <f t="shared" si="774"/>
        <v>0</v>
      </c>
      <c r="BA34" s="42">
        <f t="shared" si="774"/>
        <v>0</v>
      </c>
      <c r="BB34" s="42">
        <f t="shared" si="774"/>
        <v>0</v>
      </c>
      <c r="BC34" s="42">
        <f t="shared" si="774"/>
        <v>0</v>
      </c>
      <c r="BD34" s="42">
        <f t="shared" si="775"/>
        <v>0</v>
      </c>
      <c r="BE34" s="42">
        <f t="shared" si="775"/>
        <v>0</v>
      </c>
      <c r="BF34" s="42">
        <f t="shared" si="775"/>
        <v>0</v>
      </c>
      <c r="BG34" s="42">
        <f t="shared" si="775"/>
        <v>0</v>
      </c>
      <c r="BH34" s="42">
        <f t="shared" si="775"/>
        <v>0</v>
      </c>
      <c r="BI34" s="42">
        <f t="shared" si="775"/>
        <v>0</v>
      </c>
      <c r="BJ34" s="42">
        <f t="shared" si="775"/>
        <v>0</v>
      </c>
      <c r="BK34" s="42">
        <f t="shared" si="775"/>
        <v>0</v>
      </c>
      <c r="BL34" s="42">
        <f t="shared" si="775"/>
        <v>0</v>
      </c>
      <c r="BM34" s="42">
        <f t="shared" si="775"/>
        <v>0</v>
      </c>
      <c r="BN34" s="42">
        <f t="shared" si="776"/>
        <v>0</v>
      </c>
      <c r="BO34" s="43">
        <f t="shared" si="776"/>
        <v>0</v>
      </c>
      <c r="BP34" s="41">
        <f t="shared" si="776"/>
        <v>0</v>
      </c>
      <c r="BQ34" s="42">
        <f t="shared" si="776"/>
        <v>0</v>
      </c>
      <c r="BR34" s="42">
        <f t="shared" si="776"/>
        <v>0</v>
      </c>
      <c r="BS34" s="42">
        <f t="shared" si="776"/>
        <v>0</v>
      </c>
      <c r="BT34" s="42">
        <f t="shared" si="776"/>
        <v>0</v>
      </c>
      <c r="BU34" s="42">
        <f t="shared" si="776"/>
        <v>0</v>
      </c>
      <c r="BV34" s="42">
        <f t="shared" si="776"/>
        <v>0</v>
      </c>
      <c r="BW34" s="42">
        <f t="shared" si="776"/>
        <v>0</v>
      </c>
      <c r="BX34" s="42">
        <f t="shared" si="777"/>
        <v>0</v>
      </c>
      <c r="BY34" s="42">
        <f t="shared" si="777"/>
        <v>0</v>
      </c>
      <c r="BZ34" s="42">
        <f t="shared" si="777"/>
        <v>0</v>
      </c>
      <c r="CA34" s="42">
        <f t="shared" si="777"/>
        <v>0</v>
      </c>
      <c r="CB34" s="42">
        <f t="shared" si="777"/>
        <v>0</v>
      </c>
      <c r="CC34" s="42">
        <f t="shared" si="777"/>
        <v>0</v>
      </c>
      <c r="CD34" s="42">
        <f t="shared" si="777"/>
        <v>0</v>
      </c>
      <c r="CE34" s="42">
        <f t="shared" si="777"/>
        <v>0</v>
      </c>
      <c r="CF34" s="42">
        <f t="shared" si="777"/>
        <v>0</v>
      </c>
      <c r="CG34" s="42">
        <f t="shared" si="777"/>
        <v>0</v>
      </c>
      <c r="CH34" s="42">
        <f t="shared" si="778"/>
        <v>0</v>
      </c>
      <c r="CI34" s="42">
        <f t="shared" si="778"/>
        <v>0</v>
      </c>
      <c r="CJ34" s="42">
        <f t="shared" si="778"/>
        <v>0</v>
      </c>
      <c r="CK34" s="42">
        <f t="shared" si="778"/>
        <v>0</v>
      </c>
      <c r="CL34" s="42">
        <f t="shared" si="778"/>
        <v>0</v>
      </c>
      <c r="CM34" s="42">
        <f t="shared" si="778"/>
        <v>0</v>
      </c>
      <c r="CN34" s="42">
        <f t="shared" si="778"/>
        <v>0</v>
      </c>
      <c r="CO34" s="42">
        <f t="shared" si="778"/>
        <v>0</v>
      </c>
      <c r="CP34" s="42">
        <f t="shared" si="778"/>
        <v>0</v>
      </c>
      <c r="CQ34" s="42">
        <f t="shared" si="778"/>
        <v>0</v>
      </c>
      <c r="CR34" s="42">
        <f t="shared" si="778"/>
        <v>0</v>
      </c>
      <c r="CS34" s="42">
        <f t="shared" si="778"/>
        <v>0</v>
      </c>
      <c r="CT34" s="50">
        <f t="shared" si="778"/>
        <v>0</v>
      </c>
      <c r="CV34" s="96">
        <f t="shared" si="779"/>
        <v>0</v>
      </c>
      <c r="CW34" s="93">
        <f t="shared" si="779"/>
        <v>0</v>
      </c>
      <c r="CX34" s="93">
        <f t="shared" si="779"/>
        <v>0</v>
      </c>
      <c r="CY34" s="100">
        <f t="shared" si="779"/>
        <v>0</v>
      </c>
      <c r="CZ34" s="100">
        <f t="shared" si="779"/>
        <v>0</v>
      </c>
    </row>
    <row r="35" spans="1:104" s="44" customFormat="1" ht="17.55" customHeight="1" x14ac:dyDescent="0.3">
      <c r="B35" s="44" t="s">
        <v>806</v>
      </c>
      <c r="D35" s="217" t="s">
        <v>806</v>
      </c>
      <c r="E35" s="218"/>
      <c r="F35" s="199">
        <f t="shared" ref="F35" si="780">SUM(F33:F34)</f>
        <v>0</v>
      </c>
      <c r="G35" s="200">
        <f t="shared" ref="G35" si="781">SUM(G33:G34)</f>
        <v>72.322370919999997</v>
      </c>
      <c r="H35" s="200">
        <f t="shared" ref="H35" si="782">SUM(H33:H34)</f>
        <v>7.4018064000000008</v>
      </c>
      <c r="I35" s="200">
        <f t="shared" ref="I35" si="783">SUM(I33:I34)</f>
        <v>457.59721503000003</v>
      </c>
      <c r="J35" s="200">
        <f t="shared" ref="J35" si="784">SUM(J33:J34)</f>
        <v>0</v>
      </c>
      <c r="K35" s="200">
        <f t="shared" ref="K35" si="785">SUM(K33:K34)</f>
        <v>0</v>
      </c>
      <c r="L35" s="200">
        <f t="shared" ref="L35" si="786">SUM(L33:L34)</f>
        <v>0</v>
      </c>
      <c r="M35" s="200">
        <f t="shared" ref="M35" si="787">SUM(M33:M34)</f>
        <v>0</v>
      </c>
      <c r="N35" s="200">
        <f t="shared" ref="N35" si="788">SUM(N33:N34)</f>
        <v>52.521171509999995</v>
      </c>
      <c r="O35" s="200">
        <f t="shared" ref="O35" si="789">SUM(O33:O34)</f>
        <v>0</v>
      </c>
      <c r="P35" s="200">
        <f t="shared" ref="P35" si="790">SUM(P33:P34)</f>
        <v>0</v>
      </c>
      <c r="Q35" s="200">
        <f t="shared" ref="Q35" si="791">SUM(Q33:Q34)</f>
        <v>0</v>
      </c>
      <c r="R35" s="200">
        <f t="shared" ref="R35" si="792">SUM(R33:R34)</f>
        <v>0</v>
      </c>
      <c r="S35" s="200">
        <f t="shared" ref="S35" si="793">SUM(S33:S34)</f>
        <v>0</v>
      </c>
      <c r="T35" s="200">
        <f t="shared" ref="T35" si="794">SUM(T33:T34)</f>
        <v>0</v>
      </c>
      <c r="U35" s="200">
        <f t="shared" ref="U35" si="795">SUM(U33:U34)</f>
        <v>0</v>
      </c>
      <c r="V35" s="200">
        <f t="shared" ref="V35" si="796">SUM(V33:V34)</f>
        <v>0</v>
      </c>
      <c r="W35" s="200">
        <f t="shared" ref="W35" si="797">SUM(W33:W34)</f>
        <v>0</v>
      </c>
      <c r="X35" s="200">
        <f t="shared" ref="X35" si="798">SUM(X33:X34)</f>
        <v>61.282697710000001</v>
      </c>
      <c r="Y35" s="200">
        <f t="shared" ref="Y35" si="799">SUM(Y33:Y34)</f>
        <v>0</v>
      </c>
      <c r="Z35" s="200">
        <f t="shared" ref="Z35" si="800">SUM(Z33:Z34)</f>
        <v>0</v>
      </c>
      <c r="AA35" s="200">
        <f t="shared" ref="AA35" si="801">SUM(AA33:AA34)</f>
        <v>0</v>
      </c>
      <c r="AB35" s="200">
        <f t="shared" ref="AB35" si="802">SUM(AB33:AB34)</f>
        <v>0</v>
      </c>
      <c r="AC35" s="200">
        <f t="shared" ref="AC35" si="803">SUM(AC33:AC34)</f>
        <v>0</v>
      </c>
      <c r="AD35" s="200">
        <f t="shared" ref="AD35" si="804">SUM(AD33:AD34)</f>
        <v>0</v>
      </c>
      <c r="AE35" s="200">
        <f t="shared" ref="AE35" si="805">SUM(AE33:AE34)</f>
        <v>0</v>
      </c>
      <c r="AF35" s="200">
        <f t="shared" ref="AF35" si="806">SUM(AF33:AF34)</f>
        <v>0</v>
      </c>
      <c r="AG35" s="200">
        <f t="shared" ref="AG35" si="807">SUM(AG33:AG34)</f>
        <v>0</v>
      </c>
      <c r="AH35" s="200">
        <f t="shared" ref="AH35" si="808">SUM(AH33:AH34)</f>
        <v>0</v>
      </c>
      <c r="AI35" s="200">
        <f t="shared" ref="AI35" si="809">SUM(AI33:AI34)</f>
        <v>0</v>
      </c>
      <c r="AJ35" s="200">
        <f t="shared" ref="AJ35" si="810">SUM(AJ33:AJ34)</f>
        <v>0</v>
      </c>
      <c r="AK35" s="199">
        <f t="shared" ref="AK35" si="811">SUM(AK33:AK34)</f>
        <v>0</v>
      </c>
      <c r="AL35" s="200">
        <f t="shared" ref="AL35" si="812">SUM(AL33:AL34)</f>
        <v>72.322370919999997</v>
      </c>
      <c r="AM35" s="200">
        <f t="shared" ref="AM35" si="813">SUM(AM33:AM34)</f>
        <v>7.4018064000000008</v>
      </c>
      <c r="AN35" s="200">
        <f t="shared" ref="AN35" si="814">SUM(AN33:AN34)</f>
        <v>447.11506517999999</v>
      </c>
      <c r="AO35" s="200">
        <f t="shared" ref="AO35" si="815">SUM(AO33:AO34)</f>
        <v>0</v>
      </c>
      <c r="AP35" s="200">
        <f t="shared" ref="AP35" si="816">SUM(AP33:AP34)</f>
        <v>0</v>
      </c>
      <c r="AQ35" s="200">
        <f t="shared" ref="AQ35" si="817">SUM(AQ33:AQ34)</f>
        <v>0</v>
      </c>
      <c r="AR35" s="200">
        <f t="shared" ref="AR35" si="818">SUM(AR33:AR34)</f>
        <v>0</v>
      </c>
      <c r="AS35" s="200">
        <f t="shared" ref="AS35" si="819">SUM(AS33:AS34)</f>
        <v>0</v>
      </c>
      <c r="AT35" s="200">
        <f t="shared" ref="AT35" si="820">SUM(AT33:AT34)</f>
        <v>0</v>
      </c>
      <c r="AU35" s="200">
        <f t="shared" ref="AU35" si="821">SUM(AU33:AU34)</f>
        <v>0</v>
      </c>
      <c r="AV35" s="200">
        <f t="shared" ref="AV35" si="822">SUM(AV33:AV34)</f>
        <v>0</v>
      </c>
      <c r="AW35" s="200">
        <f t="shared" ref="AW35" si="823">SUM(AW33:AW34)</f>
        <v>0</v>
      </c>
      <c r="AX35" s="200">
        <f t="shared" ref="AX35" si="824">SUM(AX33:AX34)</f>
        <v>0</v>
      </c>
      <c r="AY35" s="200">
        <f t="shared" ref="AY35" si="825">SUM(AY33:AY34)</f>
        <v>0</v>
      </c>
      <c r="AZ35" s="200">
        <f t="shared" ref="AZ35" si="826">SUM(AZ33:AZ34)</f>
        <v>0</v>
      </c>
      <c r="BA35" s="200">
        <f t="shared" ref="BA35" si="827">SUM(BA33:BA34)</f>
        <v>0</v>
      </c>
      <c r="BB35" s="200">
        <f t="shared" ref="BB35" si="828">SUM(BB33:BB34)</f>
        <v>0</v>
      </c>
      <c r="BC35" s="200">
        <f t="shared" ref="BC35" si="829">SUM(BC33:BC34)</f>
        <v>0</v>
      </c>
      <c r="BD35" s="200">
        <f t="shared" ref="BD35" si="830">SUM(BD33:BD34)</f>
        <v>0</v>
      </c>
      <c r="BE35" s="200">
        <f t="shared" ref="BE35" si="831">SUM(BE33:BE34)</f>
        <v>0</v>
      </c>
      <c r="BF35" s="200">
        <f t="shared" ref="BF35" si="832">SUM(BF33:BF34)</f>
        <v>0</v>
      </c>
      <c r="BG35" s="200">
        <f t="shared" ref="BG35" si="833">SUM(BG33:BG34)</f>
        <v>0</v>
      </c>
      <c r="BH35" s="200">
        <f t="shared" ref="BH35" si="834">SUM(BH33:BH34)</f>
        <v>0</v>
      </c>
      <c r="BI35" s="200">
        <f t="shared" ref="BI35" si="835">SUM(BI33:BI34)</f>
        <v>0</v>
      </c>
      <c r="BJ35" s="200">
        <f t="shared" ref="BJ35" si="836">SUM(BJ33:BJ34)</f>
        <v>0</v>
      </c>
      <c r="BK35" s="200">
        <f t="shared" ref="BK35" si="837">SUM(BK33:BK34)</f>
        <v>0</v>
      </c>
      <c r="BL35" s="200">
        <f t="shared" ref="BL35" si="838">SUM(BL33:BL34)</f>
        <v>0</v>
      </c>
      <c r="BM35" s="200">
        <f t="shared" ref="BM35" si="839">SUM(BM33:BM34)</f>
        <v>0</v>
      </c>
      <c r="BN35" s="200">
        <f t="shared" ref="BN35" si="840">SUM(BN33:BN34)</f>
        <v>0</v>
      </c>
      <c r="BO35" s="201">
        <f t="shared" ref="BO35" si="841">SUM(BO33:BO34)</f>
        <v>0</v>
      </c>
      <c r="BP35" s="199">
        <f t="shared" ref="BP35" si="842">SUM(BP33:BP34)</f>
        <v>0</v>
      </c>
      <c r="BQ35" s="200">
        <f t="shared" ref="BQ35" si="843">SUM(BQ33:BQ34)</f>
        <v>0</v>
      </c>
      <c r="BR35" s="200">
        <f t="shared" ref="BR35" si="844">SUM(BR33:BR34)</f>
        <v>0</v>
      </c>
      <c r="BS35" s="200">
        <f t="shared" ref="BS35" si="845">SUM(BS33:BS34)</f>
        <v>10.482149849999999</v>
      </c>
      <c r="BT35" s="200">
        <f t="shared" ref="BT35" si="846">SUM(BT33:BT34)</f>
        <v>0</v>
      </c>
      <c r="BU35" s="200">
        <f t="shared" ref="BU35" si="847">SUM(BU33:BU34)</f>
        <v>0</v>
      </c>
      <c r="BV35" s="200">
        <f t="shared" ref="BV35" si="848">SUM(BV33:BV34)</f>
        <v>0</v>
      </c>
      <c r="BW35" s="200">
        <f t="shared" ref="BW35" si="849">SUM(BW33:BW34)</f>
        <v>0</v>
      </c>
      <c r="BX35" s="200">
        <f t="shared" ref="BX35" si="850">SUM(BX33:BX34)</f>
        <v>0</v>
      </c>
      <c r="BY35" s="200">
        <f t="shared" ref="BY35" si="851">SUM(BY33:BY34)</f>
        <v>0</v>
      </c>
      <c r="BZ35" s="200">
        <f t="shared" ref="BZ35" si="852">SUM(BZ33:BZ34)</f>
        <v>0</v>
      </c>
      <c r="CA35" s="200">
        <f t="shared" ref="CA35" si="853">SUM(CA33:CA34)</f>
        <v>0</v>
      </c>
      <c r="CB35" s="200">
        <f t="shared" ref="CB35" si="854">SUM(CB33:CB34)</f>
        <v>0</v>
      </c>
      <c r="CC35" s="200">
        <f t="shared" ref="CC35" si="855">SUM(CC33:CC34)</f>
        <v>0</v>
      </c>
      <c r="CD35" s="200">
        <f t="shared" ref="CD35" si="856">SUM(CD33:CD34)</f>
        <v>0</v>
      </c>
      <c r="CE35" s="200">
        <f t="shared" ref="CE35" si="857">SUM(CE33:CE34)</f>
        <v>0</v>
      </c>
      <c r="CF35" s="200">
        <f t="shared" ref="CF35" si="858">SUM(CF33:CF34)</f>
        <v>0</v>
      </c>
      <c r="CG35" s="200">
        <f t="shared" ref="CG35" si="859">SUM(CG33:CG34)</f>
        <v>0</v>
      </c>
      <c r="CH35" s="200">
        <f t="shared" ref="CH35" si="860">SUM(CH33:CH34)</f>
        <v>0</v>
      </c>
      <c r="CI35" s="200">
        <f t="shared" ref="CI35" si="861">SUM(CI33:CI34)</f>
        <v>0</v>
      </c>
      <c r="CJ35" s="200">
        <f t="shared" ref="CJ35" si="862">SUM(CJ33:CJ34)</f>
        <v>0</v>
      </c>
      <c r="CK35" s="200">
        <f t="shared" ref="CK35" si="863">SUM(CK33:CK34)</f>
        <v>0</v>
      </c>
      <c r="CL35" s="200">
        <f t="shared" ref="CL35" si="864">SUM(CL33:CL34)</f>
        <v>0</v>
      </c>
      <c r="CM35" s="200">
        <f t="shared" ref="CM35" si="865">SUM(CM33:CM34)</f>
        <v>0</v>
      </c>
      <c r="CN35" s="200">
        <f t="shared" ref="CN35" si="866">SUM(CN33:CN34)</f>
        <v>0</v>
      </c>
      <c r="CO35" s="200">
        <f t="shared" ref="CO35" si="867">SUM(CO33:CO34)</f>
        <v>0</v>
      </c>
      <c r="CP35" s="200">
        <f t="shared" ref="CP35" si="868">SUM(CP33:CP34)</f>
        <v>0</v>
      </c>
      <c r="CQ35" s="200">
        <f t="shared" ref="CQ35" si="869">SUM(CQ33:CQ34)</f>
        <v>0</v>
      </c>
      <c r="CR35" s="200">
        <f t="shared" ref="CR35" si="870">SUM(CR33:CR34)</f>
        <v>0</v>
      </c>
      <c r="CS35" s="200">
        <f t="shared" ref="CS35" si="871">SUM(CS33:CS34)</f>
        <v>0</v>
      </c>
      <c r="CT35" s="202">
        <f t="shared" ref="CT35" si="872">SUM(CT33:CT34)</f>
        <v>0</v>
      </c>
      <c r="CU35" s="226"/>
      <c r="CV35" s="203">
        <f t="shared" ref="CV35" si="873">SUM(CV33:CV34)</f>
        <v>651.12526156999991</v>
      </c>
      <c r="CW35" s="204">
        <f t="shared" ref="CW35" si="874">SUM(CW33:CW34)</f>
        <v>526.83924249999995</v>
      </c>
      <c r="CX35" s="204">
        <f t="shared" ref="CX35" si="875">SUM(CX33:CX34)</f>
        <v>10.482149849999999</v>
      </c>
      <c r="CY35" s="205">
        <f t="shared" ref="CY35" si="876">SUM(CY33:CY34)</f>
        <v>113.80386921999995</v>
      </c>
      <c r="CZ35" s="206">
        <f t="shared" ref="CZ35" si="877">SUM(CZ33:CZ34)</f>
        <v>640.64311171999998</v>
      </c>
    </row>
    <row r="36" spans="1:104" ht="15" customHeight="1" x14ac:dyDescent="0.3">
      <c r="A36" s="51"/>
      <c r="B36" s="52" t="s">
        <v>576</v>
      </c>
      <c r="C36" s="51"/>
      <c r="D36" s="242" t="s">
        <v>576</v>
      </c>
      <c r="E36" s="85" t="s">
        <v>132</v>
      </c>
      <c r="F36" s="41">
        <f t="shared" ref="F36:O37" si="878">SUMIFS(F$42:F$170,$A$42:$A$170,$B36,$E$42:$E$170,$E36)</f>
        <v>0</v>
      </c>
      <c r="G36" s="42">
        <f t="shared" si="878"/>
        <v>0</v>
      </c>
      <c r="H36" s="42">
        <f t="shared" si="878"/>
        <v>0</v>
      </c>
      <c r="I36" s="42">
        <f t="shared" si="878"/>
        <v>247.54320573999999</v>
      </c>
      <c r="J36" s="42">
        <f t="shared" si="878"/>
        <v>0</v>
      </c>
      <c r="K36" s="42">
        <f t="shared" si="878"/>
        <v>108.17527831</v>
      </c>
      <c r="L36" s="42">
        <f t="shared" si="878"/>
        <v>0</v>
      </c>
      <c r="M36" s="42">
        <f t="shared" si="878"/>
        <v>0</v>
      </c>
      <c r="N36" s="42">
        <f t="shared" si="878"/>
        <v>0</v>
      </c>
      <c r="O36" s="42">
        <f t="shared" si="878"/>
        <v>98.88801291</v>
      </c>
      <c r="P36" s="42">
        <f t="shared" ref="P36:Y37" si="879">SUMIFS(P$42:P$170,$A$42:$A$170,$B36,$E$42:$E$170,$E36)</f>
        <v>0</v>
      </c>
      <c r="Q36" s="42">
        <f t="shared" si="879"/>
        <v>0</v>
      </c>
      <c r="R36" s="42">
        <f t="shared" si="879"/>
        <v>228.47911540000001</v>
      </c>
      <c r="S36" s="42">
        <f t="shared" si="879"/>
        <v>0</v>
      </c>
      <c r="T36" s="42">
        <f t="shared" si="879"/>
        <v>118.14839878000001</v>
      </c>
      <c r="U36" s="42">
        <f t="shared" si="879"/>
        <v>0</v>
      </c>
      <c r="V36" s="42">
        <f t="shared" si="879"/>
        <v>0</v>
      </c>
      <c r="W36" s="42">
        <f t="shared" si="879"/>
        <v>0</v>
      </c>
      <c r="X36" s="42">
        <f t="shared" si="879"/>
        <v>0</v>
      </c>
      <c r="Y36" s="42">
        <f t="shared" si="879"/>
        <v>0</v>
      </c>
      <c r="Z36" s="42">
        <f t="shared" ref="Z36:AI37" si="880">SUMIFS(Z$42:Z$170,$A$42:$A$170,$B36,$E$42:$E$170,$E36)</f>
        <v>180.48183900000001</v>
      </c>
      <c r="AA36" s="42">
        <f t="shared" si="880"/>
        <v>0</v>
      </c>
      <c r="AB36" s="42">
        <f t="shared" si="880"/>
        <v>0</v>
      </c>
      <c r="AC36" s="42">
        <f t="shared" si="880"/>
        <v>0</v>
      </c>
      <c r="AD36" s="42">
        <f t="shared" si="880"/>
        <v>0</v>
      </c>
      <c r="AE36" s="42">
        <f t="shared" si="880"/>
        <v>0</v>
      </c>
      <c r="AF36" s="42">
        <f t="shared" si="880"/>
        <v>0</v>
      </c>
      <c r="AG36" s="42">
        <f t="shared" si="880"/>
        <v>0</v>
      </c>
      <c r="AH36" s="42">
        <f t="shared" si="880"/>
        <v>0</v>
      </c>
      <c r="AI36" s="42">
        <f t="shared" si="880"/>
        <v>0</v>
      </c>
      <c r="AJ36" s="43">
        <f t="shared" ref="AJ36:AS37" si="881">SUMIFS(AJ$42:AJ$170,$A$42:$A$170,$B36,$E$42:$E$170,$E36)</f>
        <v>0</v>
      </c>
      <c r="AK36" s="41">
        <f t="shared" si="881"/>
        <v>0</v>
      </c>
      <c r="AL36" s="42">
        <f t="shared" si="881"/>
        <v>0</v>
      </c>
      <c r="AM36" s="42">
        <f t="shared" si="881"/>
        <v>0</v>
      </c>
      <c r="AN36" s="42">
        <f t="shared" si="881"/>
        <v>120.90417939</v>
      </c>
      <c r="AO36" s="42">
        <f t="shared" si="881"/>
        <v>0</v>
      </c>
      <c r="AP36" s="42">
        <f t="shared" si="881"/>
        <v>0</v>
      </c>
      <c r="AQ36" s="42">
        <f t="shared" si="881"/>
        <v>0</v>
      </c>
      <c r="AR36" s="42">
        <f t="shared" si="881"/>
        <v>0</v>
      </c>
      <c r="AS36" s="42">
        <f t="shared" si="881"/>
        <v>0</v>
      </c>
      <c r="AT36" s="42">
        <f t="shared" ref="AT36:BC37" si="882">SUMIFS(AT$42:AT$170,$A$42:$A$170,$B36,$E$42:$E$170,$E36)</f>
        <v>0</v>
      </c>
      <c r="AU36" s="42">
        <f t="shared" si="882"/>
        <v>0</v>
      </c>
      <c r="AV36" s="42">
        <f t="shared" si="882"/>
        <v>0</v>
      </c>
      <c r="AW36" s="42">
        <f t="shared" si="882"/>
        <v>0</v>
      </c>
      <c r="AX36" s="42">
        <f t="shared" si="882"/>
        <v>0</v>
      </c>
      <c r="AY36" s="42">
        <f t="shared" si="882"/>
        <v>0</v>
      </c>
      <c r="AZ36" s="42">
        <f t="shared" si="882"/>
        <v>0</v>
      </c>
      <c r="BA36" s="42">
        <f t="shared" si="882"/>
        <v>0</v>
      </c>
      <c r="BB36" s="42">
        <f t="shared" si="882"/>
        <v>0</v>
      </c>
      <c r="BC36" s="42">
        <f t="shared" si="882"/>
        <v>0</v>
      </c>
      <c r="BD36" s="42">
        <f t="shared" ref="BD36:BM37" si="883">SUMIFS(BD$42:BD$170,$A$42:$A$170,$B36,$E$42:$E$170,$E36)</f>
        <v>0</v>
      </c>
      <c r="BE36" s="42">
        <f t="shared" si="883"/>
        <v>0</v>
      </c>
      <c r="BF36" s="42">
        <f t="shared" si="883"/>
        <v>0</v>
      </c>
      <c r="BG36" s="42">
        <f t="shared" si="883"/>
        <v>0</v>
      </c>
      <c r="BH36" s="42">
        <f t="shared" si="883"/>
        <v>0</v>
      </c>
      <c r="BI36" s="42">
        <f t="shared" si="883"/>
        <v>0</v>
      </c>
      <c r="BJ36" s="42">
        <f t="shared" si="883"/>
        <v>0</v>
      </c>
      <c r="BK36" s="42">
        <f t="shared" si="883"/>
        <v>0</v>
      </c>
      <c r="BL36" s="42">
        <f t="shared" si="883"/>
        <v>0</v>
      </c>
      <c r="BM36" s="42">
        <f t="shared" si="883"/>
        <v>0</v>
      </c>
      <c r="BN36" s="42">
        <f t="shared" ref="BN36:BW37" si="884">SUMIFS(BN$42:BN$170,$A$42:$A$170,$B36,$E$42:$E$170,$E36)</f>
        <v>0</v>
      </c>
      <c r="BO36" s="43">
        <f t="shared" si="884"/>
        <v>0</v>
      </c>
      <c r="BP36" s="41">
        <f t="shared" si="884"/>
        <v>0</v>
      </c>
      <c r="BQ36" s="42">
        <f t="shared" si="884"/>
        <v>0</v>
      </c>
      <c r="BR36" s="42">
        <f t="shared" si="884"/>
        <v>0</v>
      </c>
      <c r="BS36" s="42">
        <f t="shared" si="884"/>
        <v>126.63902634999999</v>
      </c>
      <c r="BT36" s="42">
        <f t="shared" si="884"/>
        <v>0</v>
      </c>
      <c r="BU36" s="42">
        <f t="shared" si="884"/>
        <v>108.17527831</v>
      </c>
      <c r="BV36" s="42">
        <f t="shared" si="884"/>
        <v>0</v>
      </c>
      <c r="BW36" s="42">
        <f t="shared" si="884"/>
        <v>0</v>
      </c>
      <c r="BX36" s="42">
        <f t="shared" ref="BX36:CG37" si="885">SUMIFS(BX$42:BX$170,$A$42:$A$170,$B36,$E$42:$E$170,$E36)</f>
        <v>0</v>
      </c>
      <c r="BY36" s="42">
        <f t="shared" si="885"/>
        <v>0</v>
      </c>
      <c r="BZ36" s="42">
        <f t="shared" si="885"/>
        <v>0</v>
      </c>
      <c r="CA36" s="42">
        <f t="shared" si="885"/>
        <v>0</v>
      </c>
      <c r="CB36" s="42">
        <f t="shared" si="885"/>
        <v>0</v>
      </c>
      <c r="CC36" s="42">
        <f t="shared" si="885"/>
        <v>0</v>
      </c>
      <c r="CD36" s="42">
        <f t="shared" si="885"/>
        <v>0</v>
      </c>
      <c r="CE36" s="42">
        <f t="shared" si="885"/>
        <v>0</v>
      </c>
      <c r="CF36" s="42">
        <f t="shared" si="885"/>
        <v>0</v>
      </c>
      <c r="CG36" s="42">
        <f t="shared" si="885"/>
        <v>0</v>
      </c>
      <c r="CH36" s="42">
        <f t="shared" ref="CH36:CT37" si="886">SUMIFS(CH$42:CH$170,$A$42:$A$170,$B36,$E$42:$E$170,$E36)</f>
        <v>0</v>
      </c>
      <c r="CI36" s="42">
        <f t="shared" si="886"/>
        <v>0</v>
      </c>
      <c r="CJ36" s="42">
        <f t="shared" si="886"/>
        <v>0</v>
      </c>
      <c r="CK36" s="42">
        <f t="shared" si="886"/>
        <v>0</v>
      </c>
      <c r="CL36" s="42">
        <f t="shared" si="886"/>
        <v>0</v>
      </c>
      <c r="CM36" s="42">
        <f t="shared" si="886"/>
        <v>0</v>
      </c>
      <c r="CN36" s="42">
        <f t="shared" si="886"/>
        <v>0</v>
      </c>
      <c r="CO36" s="42">
        <f t="shared" si="886"/>
        <v>0</v>
      </c>
      <c r="CP36" s="42">
        <f t="shared" si="886"/>
        <v>0</v>
      </c>
      <c r="CQ36" s="42">
        <f t="shared" si="886"/>
        <v>0</v>
      </c>
      <c r="CR36" s="42">
        <f t="shared" si="886"/>
        <v>0</v>
      </c>
      <c r="CS36" s="42">
        <f t="shared" si="886"/>
        <v>0</v>
      </c>
      <c r="CT36" s="50">
        <f t="shared" si="886"/>
        <v>0</v>
      </c>
      <c r="CV36" s="211">
        <f t="shared" ref="CV36:CZ37" si="887">SUMIFS(CV$42:CV$170,$A$42:$A$170,$B36,$E$42:$E$170,$E36)</f>
        <v>981.71585014000004</v>
      </c>
      <c r="CW36" s="212">
        <f t="shared" si="887"/>
        <v>120.90417939</v>
      </c>
      <c r="CX36" s="212">
        <f t="shared" si="887"/>
        <v>234.81430466</v>
      </c>
      <c r="CY36" s="213">
        <f t="shared" si="887"/>
        <v>625.99736609000001</v>
      </c>
      <c r="CZ36" s="213">
        <f t="shared" si="887"/>
        <v>746.90154547999998</v>
      </c>
    </row>
    <row r="37" spans="1:104" ht="15" customHeight="1" x14ac:dyDescent="0.3">
      <c r="A37" s="51"/>
      <c r="B37" s="54" t="s">
        <v>576</v>
      </c>
      <c r="C37" s="51"/>
      <c r="D37" s="232"/>
      <c r="E37" s="40" t="s">
        <v>349</v>
      </c>
      <c r="F37" s="41">
        <f t="shared" si="878"/>
        <v>0</v>
      </c>
      <c r="G37" s="42">
        <f t="shared" si="878"/>
        <v>0</v>
      </c>
      <c r="H37" s="42">
        <f t="shared" si="878"/>
        <v>0</v>
      </c>
      <c r="I37" s="42">
        <f t="shared" si="878"/>
        <v>0</v>
      </c>
      <c r="J37" s="42">
        <f t="shared" si="878"/>
        <v>0</v>
      </c>
      <c r="K37" s="42">
        <f t="shared" si="878"/>
        <v>0</v>
      </c>
      <c r="L37" s="42">
        <f t="shared" si="878"/>
        <v>0</v>
      </c>
      <c r="M37" s="42">
        <f t="shared" si="878"/>
        <v>0</v>
      </c>
      <c r="N37" s="42">
        <f t="shared" si="878"/>
        <v>0</v>
      </c>
      <c r="O37" s="42">
        <f t="shared" si="878"/>
        <v>0</v>
      </c>
      <c r="P37" s="42">
        <f t="shared" si="879"/>
        <v>0</v>
      </c>
      <c r="Q37" s="42">
        <f t="shared" si="879"/>
        <v>0</v>
      </c>
      <c r="R37" s="42">
        <f t="shared" si="879"/>
        <v>0</v>
      </c>
      <c r="S37" s="42">
        <f t="shared" si="879"/>
        <v>0</v>
      </c>
      <c r="T37" s="42">
        <f t="shared" si="879"/>
        <v>0</v>
      </c>
      <c r="U37" s="42">
        <f t="shared" si="879"/>
        <v>0</v>
      </c>
      <c r="V37" s="42">
        <f t="shared" si="879"/>
        <v>0</v>
      </c>
      <c r="W37" s="42">
        <f t="shared" si="879"/>
        <v>0</v>
      </c>
      <c r="X37" s="42">
        <f t="shared" si="879"/>
        <v>0</v>
      </c>
      <c r="Y37" s="42">
        <f t="shared" si="879"/>
        <v>0</v>
      </c>
      <c r="Z37" s="42">
        <f t="shared" si="880"/>
        <v>0</v>
      </c>
      <c r="AA37" s="42">
        <f t="shared" si="880"/>
        <v>0</v>
      </c>
      <c r="AB37" s="42">
        <f t="shared" si="880"/>
        <v>0</v>
      </c>
      <c r="AC37" s="42">
        <f t="shared" si="880"/>
        <v>0</v>
      </c>
      <c r="AD37" s="42">
        <f t="shared" si="880"/>
        <v>0</v>
      </c>
      <c r="AE37" s="42">
        <f t="shared" si="880"/>
        <v>0</v>
      </c>
      <c r="AF37" s="42">
        <f t="shared" si="880"/>
        <v>0</v>
      </c>
      <c r="AG37" s="42">
        <f t="shared" si="880"/>
        <v>0</v>
      </c>
      <c r="AH37" s="42">
        <f t="shared" si="880"/>
        <v>0</v>
      </c>
      <c r="AI37" s="42">
        <f t="shared" si="880"/>
        <v>0</v>
      </c>
      <c r="AJ37" s="43">
        <f t="shared" si="881"/>
        <v>0</v>
      </c>
      <c r="AK37" s="41">
        <f t="shared" si="881"/>
        <v>0</v>
      </c>
      <c r="AL37" s="42">
        <f t="shared" si="881"/>
        <v>0</v>
      </c>
      <c r="AM37" s="42">
        <f t="shared" si="881"/>
        <v>0</v>
      </c>
      <c r="AN37" s="42">
        <f t="shared" si="881"/>
        <v>0</v>
      </c>
      <c r="AO37" s="42">
        <f t="shared" si="881"/>
        <v>0</v>
      </c>
      <c r="AP37" s="42">
        <f t="shared" si="881"/>
        <v>0</v>
      </c>
      <c r="AQ37" s="42">
        <f t="shared" si="881"/>
        <v>0</v>
      </c>
      <c r="AR37" s="42">
        <f t="shared" si="881"/>
        <v>0</v>
      </c>
      <c r="AS37" s="42">
        <f t="shared" si="881"/>
        <v>0</v>
      </c>
      <c r="AT37" s="42">
        <f t="shared" si="882"/>
        <v>0</v>
      </c>
      <c r="AU37" s="42">
        <f t="shared" si="882"/>
        <v>0</v>
      </c>
      <c r="AV37" s="42">
        <f t="shared" si="882"/>
        <v>0</v>
      </c>
      <c r="AW37" s="42">
        <f t="shared" si="882"/>
        <v>0</v>
      </c>
      <c r="AX37" s="42">
        <f t="shared" si="882"/>
        <v>0</v>
      </c>
      <c r="AY37" s="42">
        <f t="shared" si="882"/>
        <v>0</v>
      </c>
      <c r="AZ37" s="42">
        <f t="shared" si="882"/>
        <v>0</v>
      </c>
      <c r="BA37" s="42">
        <f t="shared" si="882"/>
        <v>0</v>
      </c>
      <c r="BB37" s="42">
        <f t="shared" si="882"/>
        <v>0</v>
      </c>
      <c r="BC37" s="42">
        <f t="shared" si="882"/>
        <v>0</v>
      </c>
      <c r="BD37" s="42">
        <f t="shared" si="883"/>
        <v>0</v>
      </c>
      <c r="BE37" s="42">
        <f t="shared" si="883"/>
        <v>0</v>
      </c>
      <c r="BF37" s="42">
        <f t="shared" si="883"/>
        <v>0</v>
      </c>
      <c r="BG37" s="42">
        <f t="shared" si="883"/>
        <v>0</v>
      </c>
      <c r="BH37" s="42">
        <f t="shared" si="883"/>
        <v>0</v>
      </c>
      <c r="BI37" s="42">
        <f t="shared" si="883"/>
        <v>0</v>
      </c>
      <c r="BJ37" s="42">
        <f t="shared" si="883"/>
        <v>0</v>
      </c>
      <c r="BK37" s="42">
        <f t="shared" si="883"/>
        <v>0</v>
      </c>
      <c r="BL37" s="42">
        <f t="shared" si="883"/>
        <v>0</v>
      </c>
      <c r="BM37" s="42">
        <f t="shared" si="883"/>
        <v>0</v>
      </c>
      <c r="BN37" s="42">
        <f t="shared" si="884"/>
        <v>0</v>
      </c>
      <c r="BO37" s="43">
        <f t="shared" si="884"/>
        <v>0</v>
      </c>
      <c r="BP37" s="41">
        <f t="shared" si="884"/>
        <v>0</v>
      </c>
      <c r="BQ37" s="42">
        <f t="shared" si="884"/>
        <v>0</v>
      </c>
      <c r="BR37" s="42">
        <f t="shared" si="884"/>
        <v>0</v>
      </c>
      <c r="BS37" s="42">
        <f t="shared" si="884"/>
        <v>0</v>
      </c>
      <c r="BT37" s="42">
        <f t="shared" si="884"/>
        <v>0</v>
      </c>
      <c r="BU37" s="42">
        <f t="shared" si="884"/>
        <v>0</v>
      </c>
      <c r="BV37" s="42">
        <f t="shared" si="884"/>
        <v>0</v>
      </c>
      <c r="BW37" s="42">
        <f t="shared" si="884"/>
        <v>0</v>
      </c>
      <c r="BX37" s="42">
        <f t="shared" si="885"/>
        <v>0</v>
      </c>
      <c r="BY37" s="42">
        <f t="shared" si="885"/>
        <v>0</v>
      </c>
      <c r="BZ37" s="42">
        <f t="shared" si="885"/>
        <v>0</v>
      </c>
      <c r="CA37" s="42">
        <f t="shared" si="885"/>
        <v>0</v>
      </c>
      <c r="CB37" s="42">
        <f t="shared" si="885"/>
        <v>0</v>
      </c>
      <c r="CC37" s="42">
        <f t="shared" si="885"/>
        <v>0</v>
      </c>
      <c r="CD37" s="42">
        <f t="shared" si="885"/>
        <v>0</v>
      </c>
      <c r="CE37" s="42">
        <f t="shared" si="885"/>
        <v>0</v>
      </c>
      <c r="CF37" s="42">
        <f t="shared" si="885"/>
        <v>0</v>
      </c>
      <c r="CG37" s="42">
        <f t="shared" si="885"/>
        <v>0</v>
      </c>
      <c r="CH37" s="42">
        <f t="shared" si="886"/>
        <v>0</v>
      </c>
      <c r="CI37" s="42">
        <f t="shared" si="886"/>
        <v>0</v>
      </c>
      <c r="CJ37" s="42">
        <f t="shared" si="886"/>
        <v>0</v>
      </c>
      <c r="CK37" s="42">
        <f t="shared" si="886"/>
        <v>0</v>
      </c>
      <c r="CL37" s="42">
        <f t="shared" si="886"/>
        <v>0</v>
      </c>
      <c r="CM37" s="42">
        <f t="shared" si="886"/>
        <v>0</v>
      </c>
      <c r="CN37" s="42">
        <f t="shared" si="886"/>
        <v>0</v>
      </c>
      <c r="CO37" s="42">
        <f t="shared" si="886"/>
        <v>0</v>
      </c>
      <c r="CP37" s="42">
        <f t="shared" si="886"/>
        <v>0</v>
      </c>
      <c r="CQ37" s="42">
        <f t="shared" si="886"/>
        <v>0</v>
      </c>
      <c r="CR37" s="42">
        <f t="shared" si="886"/>
        <v>0</v>
      </c>
      <c r="CS37" s="42">
        <f t="shared" si="886"/>
        <v>0</v>
      </c>
      <c r="CT37" s="50">
        <f t="shared" si="886"/>
        <v>0</v>
      </c>
      <c r="CV37" s="214">
        <f t="shared" si="887"/>
        <v>0</v>
      </c>
      <c r="CW37" s="215">
        <f t="shared" si="887"/>
        <v>0</v>
      </c>
      <c r="CX37" s="215">
        <f t="shared" si="887"/>
        <v>0</v>
      </c>
      <c r="CY37" s="216">
        <f t="shared" si="887"/>
        <v>0</v>
      </c>
      <c r="CZ37" s="216">
        <f t="shared" si="887"/>
        <v>0</v>
      </c>
    </row>
    <row r="38" spans="1:104" s="44" customFormat="1" ht="17.55" customHeight="1" x14ac:dyDescent="0.3">
      <c r="B38" s="44" t="s">
        <v>807</v>
      </c>
      <c r="D38" s="217" t="s">
        <v>807</v>
      </c>
      <c r="E38" s="218"/>
      <c r="F38" s="199">
        <f t="shared" ref="F38" si="888">SUM(F36:F37)</f>
        <v>0</v>
      </c>
      <c r="G38" s="200">
        <f t="shared" ref="G38" si="889">SUM(G36:G37)</f>
        <v>0</v>
      </c>
      <c r="H38" s="200">
        <f t="shared" ref="H38" si="890">SUM(H36:H37)</f>
        <v>0</v>
      </c>
      <c r="I38" s="200">
        <f t="shared" ref="I38" si="891">SUM(I36:I37)</f>
        <v>247.54320573999999</v>
      </c>
      <c r="J38" s="200">
        <f t="shared" ref="J38" si="892">SUM(J36:J37)</f>
        <v>0</v>
      </c>
      <c r="K38" s="200">
        <f t="shared" ref="K38" si="893">SUM(K36:K37)</f>
        <v>108.17527831</v>
      </c>
      <c r="L38" s="200">
        <f t="shared" ref="L38" si="894">SUM(L36:L37)</f>
        <v>0</v>
      </c>
      <c r="M38" s="200">
        <f t="shared" ref="M38" si="895">SUM(M36:M37)</f>
        <v>0</v>
      </c>
      <c r="N38" s="200">
        <f t="shared" ref="N38" si="896">SUM(N36:N37)</f>
        <v>0</v>
      </c>
      <c r="O38" s="200">
        <f t="shared" ref="O38" si="897">SUM(O36:O37)</f>
        <v>98.88801291</v>
      </c>
      <c r="P38" s="200">
        <f t="shared" ref="P38" si="898">SUM(P36:P37)</f>
        <v>0</v>
      </c>
      <c r="Q38" s="200">
        <f t="shared" ref="Q38" si="899">SUM(Q36:Q37)</f>
        <v>0</v>
      </c>
      <c r="R38" s="200">
        <f t="shared" ref="R38" si="900">SUM(R36:R37)</f>
        <v>228.47911540000001</v>
      </c>
      <c r="S38" s="200">
        <f t="shared" ref="S38" si="901">SUM(S36:S37)</f>
        <v>0</v>
      </c>
      <c r="T38" s="200">
        <f t="shared" ref="T38" si="902">SUM(T36:T37)</f>
        <v>118.14839878000001</v>
      </c>
      <c r="U38" s="200">
        <f t="shared" ref="U38" si="903">SUM(U36:U37)</f>
        <v>0</v>
      </c>
      <c r="V38" s="200">
        <f t="shared" ref="V38" si="904">SUM(V36:V37)</f>
        <v>0</v>
      </c>
      <c r="W38" s="200">
        <f t="shared" ref="W38" si="905">SUM(W36:W37)</f>
        <v>0</v>
      </c>
      <c r="X38" s="200">
        <f t="shared" ref="X38" si="906">SUM(X36:X37)</f>
        <v>0</v>
      </c>
      <c r="Y38" s="200">
        <f t="shared" ref="Y38" si="907">SUM(Y36:Y37)</f>
        <v>0</v>
      </c>
      <c r="Z38" s="200">
        <f t="shared" ref="Z38" si="908">SUM(Z36:Z37)</f>
        <v>180.48183900000001</v>
      </c>
      <c r="AA38" s="200">
        <f t="shared" ref="AA38" si="909">SUM(AA36:AA37)</f>
        <v>0</v>
      </c>
      <c r="AB38" s="200">
        <f t="shared" ref="AB38" si="910">SUM(AB36:AB37)</f>
        <v>0</v>
      </c>
      <c r="AC38" s="200">
        <f t="shared" ref="AC38" si="911">SUM(AC36:AC37)</f>
        <v>0</v>
      </c>
      <c r="AD38" s="200">
        <f t="shared" ref="AD38" si="912">SUM(AD36:AD37)</f>
        <v>0</v>
      </c>
      <c r="AE38" s="200">
        <f t="shared" ref="AE38" si="913">SUM(AE36:AE37)</f>
        <v>0</v>
      </c>
      <c r="AF38" s="200">
        <f t="shared" ref="AF38" si="914">SUM(AF36:AF37)</f>
        <v>0</v>
      </c>
      <c r="AG38" s="200">
        <f t="shared" ref="AG38" si="915">SUM(AG36:AG37)</f>
        <v>0</v>
      </c>
      <c r="AH38" s="200">
        <f t="shared" ref="AH38" si="916">SUM(AH36:AH37)</f>
        <v>0</v>
      </c>
      <c r="AI38" s="200">
        <f t="shared" ref="AI38" si="917">SUM(AI36:AI37)</f>
        <v>0</v>
      </c>
      <c r="AJ38" s="200">
        <f t="shared" ref="AJ38" si="918">SUM(AJ36:AJ37)</f>
        <v>0</v>
      </c>
      <c r="AK38" s="199">
        <f t="shared" ref="AK38" si="919">SUM(AK36:AK37)</f>
        <v>0</v>
      </c>
      <c r="AL38" s="200">
        <f t="shared" ref="AL38" si="920">SUM(AL36:AL37)</f>
        <v>0</v>
      </c>
      <c r="AM38" s="200">
        <f t="shared" ref="AM38" si="921">SUM(AM36:AM37)</f>
        <v>0</v>
      </c>
      <c r="AN38" s="200">
        <f t="shared" ref="AN38" si="922">SUM(AN36:AN37)</f>
        <v>120.90417939</v>
      </c>
      <c r="AO38" s="200">
        <f t="shared" ref="AO38" si="923">SUM(AO36:AO37)</f>
        <v>0</v>
      </c>
      <c r="AP38" s="200">
        <f t="shared" ref="AP38" si="924">SUM(AP36:AP37)</f>
        <v>0</v>
      </c>
      <c r="AQ38" s="200">
        <f t="shared" ref="AQ38" si="925">SUM(AQ36:AQ37)</f>
        <v>0</v>
      </c>
      <c r="AR38" s="200">
        <f t="shared" ref="AR38" si="926">SUM(AR36:AR37)</f>
        <v>0</v>
      </c>
      <c r="AS38" s="200">
        <f t="shared" ref="AS38" si="927">SUM(AS36:AS37)</f>
        <v>0</v>
      </c>
      <c r="AT38" s="200">
        <f t="shared" ref="AT38" si="928">SUM(AT36:AT37)</f>
        <v>0</v>
      </c>
      <c r="AU38" s="200">
        <f t="shared" ref="AU38" si="929">SUM(AU36:AU37)</f>
        <v>0</v>
      </c>
      <c r="AV38" s="200">
        <f t="shared" ref="AV38" si="930">SUM(AV36:AV37)</f>
        <v>0</v>
      </c>
      <c r="AW38" s="200">
        <f t="shared" ref="AW38" si="931">SUM(AW36:AW37)</f>
        <v>0</v>
      </c>
      <c r="AX38" s="200">
        <f t="shared" ref="AX38" si="932">SUM(AX36:AX37)</f>
        <v>0</v>
      </c>
      <c r="AY38" s="200">
        <f t="shared" ref="AY38" si="933">SUM(AY36:AY37)</f>
        <v>0</v>
      </c>
      <c r="AZ38" s="200">
        <f t="shared" ref="AZ38" si="934">SUM(AZ36:AZ37)</f>
        <v>0</v>
      </c>
      <c r="BA38" s="200">
        <f t="shared" ref="BA38" si="935">SUM(BA36:BA37)</f>
        <v>0</v>
      </c>
      <c r="BB38" s="200">
        <f t="shared" ref="BB38" si="936">SUM(BB36:BB37)</f>
        <v>0</v>
      </c>
      <c r="BC38" s="200">
        <f t="shared" ref="BC38" si="937">SUM(BC36:BC37)</f>
        <v>0</v>
      </c>
      <c r="BD38" s="200">
        <f t="shared" ref="BD38" si="938">SUM(BD36:BD37)</f>
        <v>0</v>
      </c>
      <c r="BE38" s="200">
        <f t="shared" ref="BE38" si="939">SUM(BE36:BE37)</f>
        <v>0</v>
      </c>
      <c r="BF38" s="200">
        <f t="shared" ref="BF38" si="940">SUM(BF36:BF37)</f>
        <v>0</v>
      </c>
      <c r="BG38" s="200">
        <f t="shared" ref="BG38" si="941">SUM(BG36:BG37)</f>
        <v>0</v>
      </c>
      <c r="BH38" s="200">
        <f t="shared" ref="BH38" si="942">SUM(BH36:BH37)</f>
        <v>0</v>
      </c>
      <c r="BI38" s="200">
        <f t="shared" ref="BI38" si="943">SUM(BI36:BI37)</f>
        <v>0</v>
      </c>
      <c r="BJ38" s="200">
        <f t="shared" ref="BJ38" si="944">SUM(BJ36:BJ37)</f>
        <v>0</v>
      </c>
      <c r="BK38" s="200">
        <f t="shared" ref="BK38" si="945">SUM(BK36:BK37)</f>
        <v>0</v>
      </c>
      <c r="BL38" s="200">
        <f t="shared" ref="BL38" si="946">SUM(BL36:BL37)</f>
        <v>0</v>
      </c>
      <c r="BM38" s="200">
        <f t="shared" ref="BM38" si="947">SUM(BM36:BM37)</f>
        <v>0</v>
      </c>
      <c r="BN38" s="200">
        <f t="shared" ref="BN38" si="948">SUM(BN36:BN37)</f>
        <v>0</v>
      </c>
      <c r="BO38" s="201">
        <f t="shared" ref="BO38" si="949">SUM(BO36:BO37)</f>
        <v>0</v>
      </c>
      <c r="BP38" s="199">
        <f t="shared" ref="BP38" si="950">SUM(BP36:BP37)</f>
        <v>0</v>
      </c>
      <c r="BQ38" s="200">
        <f t="shared" ref="BQ38" si="951">SUM(BQ36:BQ37)</f>
        <v>0</v>
      </c>
      <c r="BR38" s="200">
        <f t="shared" ref="BR38" si="952">SUM(BR36:BR37)</f>
        <v>0</v>
      </c>
      <c r="BS38" s="200">
        <f t="shared" ref="BS38" si="953">SUM(BS36:BS37)</f>
        <v>126.63902634999999</v>
      </c>
      <c r="BT38" s="200">
        <f t="shared" ref="BT38" si="954">SUM(BT36:BT37)</f>
        <v>0</v>
      </c>
      <c r="BU38" s="200">
        <f t="shared" ref="BU38" si="955">SUM(BU36:BU37)</f>
        <v>108.17527831</v>
      </c>
      <c r="BV38" s="200">
        <f t="shared" ref="BV38" si="956">SUM(BV36:BV37)</f>
        <v>0</v>
      </c>
      <c r="BW38" s="200">
        <f t="shared" ref="BW38" si="957">SUM(BW36:BW37)</f>
        <v>0</v>
      </c>
      <c r="BX38" s="200">
        <f t="shared" ref="BX38" si="958">SUM(BX36:BX37)</f>
        <v>0</v>
      </c>
      <c r="BY38" s="200">
        <f t="shared" ref="BY38" si="959">SUM(BY36:BY37)</f>
        <v>0</v>
      </c>
      <c r="BZ38" s="200">
        <f t="shared" ref="BZ38" si="960">SUM(BZ36:BZ37)</f>
        <v>0</v>
      </c>
      <c r="CA38" s="200">
        <f t="shared" ref="CA38" si="961">SUM(CA36:CA37)</f>
        <v>0</v>
      </c>
      <c r="CB38" s="200">
        <f t="shared" ref="CB38" si="962">SUM(CB36:CB37)</f>
        <v>0</v>
      </c>
      <c r="CC38" s="200">
        <f t="shared" ref="CC38" si="963">SUM(CC36:CC37)</f>
        <v>0</v>
      </c>
      <c r="CD38" s="200">
        <f t="shared" ref="CD38" si="964">SUM(CD36:CD37)</f>
        <v>0</v>
      </c>
      <c r="CE38" s="200">
        <f t="shared" ref="CE38" si="965">SUM(CE36:CE37)</f>
        <v>0</v>
      </c>
      <c r="CF38" s="200">
        <f t="shared" ref="CF38" si="966">SUM(CF36:CF37)</f>
        <v>0</v>
      </c>
      <c r="CG38" s="200">
        <f t="shared" ref="CG38" si="967">SUM(CG36:CG37)</f>
        <v>0</v>
      </c>
      <c r="CH38" s="200">
        <f t="shared" ref="CH38" si="968">SUM(CH36:CH37)</f>
        <v>0</v>
      </c>
      <c r="CI38" s="200">
        <f t="shared" ref="CI38" si="969">SUM(CI36:CI37)</f>
        <v>0</v>
      </c>
      <c r="CJ38" s="200">
        <f t="shared" ref="CJ38" si="970">SUM(CJ36:CJ37)</f>
        <v>0</v>
      </c>
      <c r="CK38" s="200">
        <f t="shared" ref="CK38" si="971">SUM(CK36:CK37)</f>
        <v>0</v>
      </c>
      <c r="CL38" s="200">
        <f t="shared" ref="CL38" si="972">SUM(CL36:CL37)</f>
        <v>0</v>
      </c>
      <c r="CM38" s="200">
        <f t="shared" ref="CM38" si="973">SUM(CM36:CM37)</f>
        <v>0</v>
      </c>
      <c r="CN38" s="200">
        <f t="shared" ref="CN38" si="974">SUM(CN36:CN37)</f>
        <v>0</v>
      </c>
      <c r="CO38" s="200">
        <f t="shared" ref="CO38" si="975">SUM(CO36:CO37)</f>
        <v>0</v>
      </c>
      <c r="CP38" s="200">
        <f t="shared" ref="CP38" si="976">SUM(CP36:CP37)</f>
        <v>0</v>
      </c>
      <c r="CQ38" s="200">
        <f t="shared" ref="CQ38" si="977">SUM(CQ36:CQ37)</f>
        <v>0</v>
      </c>
      <c r="CR38" s="200">
        <f t="shared" ref="CR38" si="978">SUM(CR36:CR37)</f>
        <v>0</v>
      </c>
      <c r="CS38" s="200">
        <f t="shared" ref="CS38" si="979">SUM(CS36:CS37)</f>
        <v>0</v>
      </c>
      <c r="CT38" s="202">
        <f t="shared" ref="CT38" si="980">SUM(CT36:CT37)</f>
        <v>0</v>
      </c>
      <c r="CU38" s="226"/>
      <c r="CV38" s="203">
        <f t="shared" ref="CV38" si="981">SUM(CV36:CV37)</f>
        <v>981.71585014000004</v>
      </c>
      <c r="CW38" s="204">
        <f t="shared" ref="CW38" si="982">SUM(CW36:CW37)</f>
        <v>120.90417939</v>
      </c>
      <c r="CX38" s="204">
        <f t="shared" ref="CX38" si="983">SUM(CX36:CX37)</f>
        <v>234.81430466</v>
      </c>
      <c r="CY38" s="205">
        <f t="shared" ref="CY38" si="984">SUM(CY36:CY37)</f>
        <v>625.99736609000001</v>
      </c>
      <c r="CZ38" s="206">
        <f t="shared" ref="CZ38" si="985">SUM(CZ36:CZ37)</f>
        <v>746.90154547999998</v>
      </c>
    </row>
    <row r="39" spans="1:104" ht="15" customHeight="1" x14ac:dyDescent="0.3"/>
    <row r="40" spans="1:104" ht="15" customHeight="1" x14ac:dyDescent="0.3">
      <c r="A40" s="122" t="s">
        <v>443</v>
      </c>
      <c r="B40" s="122" t="s">
        <v>444</v>
      </c>
      <c r="C40" s="233" t="s">
        <v>787</v>
      </c>
      <c r="D40" s="233" t="s">
        <v>788</v>
      </c>
      <c r="E40" s="233" t="s">
        <v>416</v>
      </c>
      <c r="F40" s="145" t="s">
        <v>433</v>
      </c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85"/>
      <c r="AK40" s="187" t="s">
        <v>792</v>
      </c>
      <c r="AL40" s="187"/>
      <c r="AM40" s="187"/>
      <c r="AN40" s="187"/>
      <c r="AO40" s="187"/>
      <c r="AP40" s="187"/>
      <c r="AQ40" s="187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8"/>
      <c r="BP40" s="145" t="s">
        <v>429</v>
      </c>
      <c r="BQ40" s="146"/>
      <c r="BR40" s="146"/>
      <c r="BS40" s="146"/>
      <c r="BT40" s="146"/>
      <c r="BU40" s="146"/>
      <c r="BV40" s="146"/>
      <c r="BW40" s="146"/>
      <c r="BX40" s="146"/>
      <c r="BY40" s="146"/>
      <c r="BZ40" s="146"/>
      <c r="CA40" s="146"/>
      <c r="CB40" s="146"/>
      <c r="CC40" s="146"/>
      <c r="CD40" s="146"/>
      <c r="CE40" s="146"/>
      <c r="CF40" s="146"/>
      <c r="CG40" s="146"/>
      <c r="CH40" s="146"/>
      <c r="CI40" s="146"/>
      <c r="CJ40" s="146"/>
      <c r="CK40" s="146"/>
      <c r="CL40" s="146"/>
      <c r="CM40" s="146"/>
      <c r="CN40" s="146"/>
      <c r="CO40" s="146"/>
      <c r="CP40" s="146"/>
      <c r="CQ40" s="146"/>
      <c r="CR40" s="146"/>
      <c r="CS40" s="146"/>
      <c r="CT40" s="185"/>
      <c r="CV40" s="189" t="s">
        <v>795</v>
      </c>
      <c r="CW40" s="190" t="s">
        <v>867</v>
      </c>
      <c r="CX40" s="191" t="s">
        <v>429</v>
      </c>
      <c r="CY40" s="192" t="s">
        <v>866</v>
      </c>
      <c r="CZ40" s="197" t="s">
        <v>796</v>
      </c>
    </row>
    <row r="41" spans="1:104" ht="15" customHeight="1" thickBot="1" x14ac:dyDescent="0.35">
      <c r="A41" s="123"/>
      <c r="B41" s="123"/>
      <c r="C41" s="234"/>
      <c r="D41" s="234"/>
      <c r="E41" s="235"/>
      <c r="F41" s="148">
        <v>1</v>
      </c>
      <c r="G41" s="149">
        <v>2</v>
      </c>
      <c r="H41" s="149">
        <v>3</v>
      </c>
      <c r="I41" s="149">
        <v>4</v>
      </c>
      <c r="J41" s="149">
        <v>5</v>
      </c>
      <c r="K41" s="149">
        <v>6</v>
      </c>
      <c r="L41" s="149">
        <v>7</v>
      </c>
      <c r="M41" s="149">
        <v>8</v>
      </c>
      <c r="N41" s="149">
        <v>9</v>
      </c>
      <c r="O41" s="149">
        <v>10</v>
      </c>
      <c r="P41" s="149">
        <v>11</v>
      </c>
      <c r="Q41" s="149">
        <v>12</v>
      </c>
      <c r="R41" s="149">
        <v>13</v>
      </c>
      <c r="S41" s="149">
        <v>14</v>
      </c>
      <c r="T41" s="149">
        <v>15</v>
      </c>
      <c r="U41" s="149">
        <v>16</v>
      </c>
      <c r="V41" s="149">
        <v>17</v>
      </c>
      <c r="W41" s="149">
        <v>18</v>
      </c>
      <c r="X41" s="149">
        <v>19</v>
      </c>
      <c r="Y41" s="149">
        <v>20</v>
      </c>
      <c r="Z41" s="149">
        <v>21</v>
      </c>
      <c r="AA41" s="149">
        <v>22</v>
      </c>
      <c r="AB41" s="149">
        <v>23</v>
      </c>
      <c r="AC41" s="149">
        <v>24</v>
      </c>
      <c r="AD41" s="149">
        <v>25</v>
      </c>
      <c r="AE41" s="149">
        <v>26</v>
      </c>
      <c r="AF41" s="149">
        <v>27</v>
      </c>
      <c r="AG41" s="149">
        <v>28</v>
      </c>
      <c r="AH41" s="149">
        <v>29</v>
      </c>
      <c r="AI41" s="149">
        <v>30</v>
      </c>
      <c r="AJ41" s="184">
        <v>31</v>
      </c>
      <c r="AK41" s="186">
        <v>1</v>
      </c>
      <c r="AL41" s="186">
        <v>2</v>
      </c>
      <c r="AM41" s="186">
        <v>3</v>
      </c>
      <c r="AN41" s="186">
        <v>4</v>
      </c>
      <c r="AO41" s="186">
        <v>5</v>
      </c>
      <c r="AP41" s="186">
        <v>6</v>
      </c>
      <c r="AQ41" s="186">
        <v>7</v>
      </c>
      <c r="AR41" s="186">
        <v>8</v>
      </c>
      <c r="AS41" s="186">
        <v>9</v>
      </c>
      <c r="AT41" s="186">
        <v>10</v>
      </c>
      <c r="AU41" s="186">
        <v>11</v>
      </c>
      <c r="AV41" s="186">
        <v>12</v>
      </c>
      <c r="AW41" s="186">
        <v>13</v>
      </c>
      <c r="AX41" s="186">
        <v>14</v>
      </c>
      <c r="AY41" s="186">
        <v>15</v>
      </c>
      <c r="AZ41" s="186">
        <v>16</v>
      </c>
      <c r="BA41" s="186">
        <v>17</v>
      </c>
      <c r="BB41" s="186">
        <v>18</v>
      </c>
      <c r="BC41" s="186">
        <v>19</v>
      </c>
      <c r="BD41" s="186">
        <v>20</v>
      </c>
      <c r="BE41" s="186">
        <v>21</v>
      </c>
      <c r="BF41" s="186">
        <v>22</v>
      </c>
      <c r="BG41" s="186">
        <v>23</v>
      </c>
      <c r="BH41" s="186">
        <v>24</v>
      </c>
      <c r="BI41" s="186">
        <v>25</v>
      </c>
      <c r="BJ41" s="186">
        <v>26</v>
      </c>
      <c r="BK41" s="186">
        <v>27</v>
      </c>
      <c r="BL41" s="186">
        <v>28</v>
      </c>
      <c r="BM41" s="186">
        <v>29</v>
      </c>
      <c r="BN41" s="186">
        <v>30</v>
      </c>
      <c r="BO41" s="186">
        <v>31</v>
      </c>
      <c r="BP41" s="148">
        <v>1</v>
      </c>
      <c r="BQ41" s="149">
        <v>2</v>
      </c>
      <c r="BR41" s="149">
        <v>3</v>
      </c>
      <c r="BS41" s="149">
        <v>4</v>
      </c>
      <c r="BT41" s="149">
        <v>5</v>
      </c>
      <c r="BU41" s="149">
        <v>6</v>
      </c>
      <c r="BV41" s="149">
        <v>7</v>
      </c>
      <c r="BW41" s="149">
        <v>8</v>
      </c>
      <c r="BX41" s="149">
        <v>9</v>
      </c>
      <c r="BY41" s="149">
        <v>10</v>
      </c>
      <c r="BZ41" s="149">
        <v>11</v>
      </c>
      <c r="CA41" s="149">
        <v>12</v>
      </c>
      <c r="CB41" s="149">
        <v>13</v>
      </c>
      <c r="CC41" s="149">
        <v>14</v>
      </c>
      <c r="CD41" s="149">
        <v>15</v>
      </c>
      <c r="CE41" s="149">
        <v>16</v>
      </c>
      <c r="CF41" s="149">
        <v>17</v>
      </c>
      <c r="CG41" s="149">
        <v>18</v>
      </c>
      <c r="CH41" s="149">
        <v>19</v>
      </c>
      <c r="CI41" s="149">
        <v>20</v>
      </c>
      <c r="CJ41" s="149">
        <v>21</v>
      </c>
      <c r="CK41" s="149">
        <v>22</v>
      </c>
      <c r="CL41" s="149">
        <v>23</v>
      </c>
      <c r="CM41" s="149">
        <v>24</v>
      </c>
      <c r="CN41" s="149">
        <v>25</v>
      </c>
      <c r="CO41" s="149">
        <v>26</v>
      </c>
      <c r="CP41" s="149">
        <v>27</v>
      </c>
      <c r="CQ41" s="149">
        <v>28</v>
      </c>
      <c r="CR41" s="149">
        <v>29</v>
      </c>
      <c r="CS41" s="149">
        <v>30</v>
      </c>
      <c r="CT41" s="184">
        <v>31</v>
      </c>
      <c r="CU41" s="225"/>
      <c r="CV41" s="193"/>
      <c r="CW41" s="194"/>
      <c r="CX41" s="195"/>
      <c r="CY41" s="196"/>
      <c r="CZ41" s="198"/>
    </row>
    <row r="42" spans="1:104" ht="15" customHeight="1" thickTop="1" x14ac:dyDescent="0.25">
      <c r="A42" s="53" t="s">
        <v>465</v>
      </c>
      <c r="B42" s="53" t="s">
        <v>0</v>
      </c>
      <c r="C42" s="254" t="s">
        <v>465</v>
      </c>
      <c r="D42" s="243" t="s">
        <v>0</v>
      </c>
      <c r="E42" s="85" t="s">
        <v>132</v>
      </c>
      <c r="F42" s="55">
        <f>SUMIFS('CWO Bulan Ini'!$DA:$DA,'CWO Bulan Ini'!$DJ:$DJ,'Area-Cabang'!$B42,'CWO Bulan Ini'!$DH:$DH,'Area-Cabang'!$E42,'CWO Bulan Ini'!$CZ:$CZ,'Area-Cabang'!F$41)</f>
        <v>0</v>
      </c>
      <c r="G42" s="56">
        <f>SUMIFS('CWO Bulan Ini'!$DA:$DA,'CWO Bulan Ini'!$DJ:$DJ,'Area-Cabang'!$B42,'CWO Bulan Ini'!$DH:$DH,'Area-Cabang'!$E42,'CWO Bulan Ini'!$CZ:$CZ,'Area-Cabang'!G$41)</f>
        <v>0</v>
      </c>
      <c r="H42" s="56">
        <f>SUMIFS('CWO Bulan Ini'!$DA:$DA,'CWO Bulan Ini'!$DJ:$DJ,'Area-Cabang'!$B42,'CWO Bulan Ini'!$DH:$DH,'Area-Cabang'!$E42,'CWO Bulan Ini'!$CZ:$CZ,'Area-Cabang'!H$41)</f>
        <v>0</v>
      </c>
      <c r="I42" s="56">
        <f>SUMIFS('CWO Bulan Ini'!$DA:$DA,'CWO Bulan Ini'!$DJ:$DJ,'Area-Cabang'!$B42,'CWO Bulan Ini'!$DH:$DH,'Area-Cabang'!$E42,'CWO Bulan Ini'!$CZ:$CZ,'Area-Cabang'!I$41)</f>
        <v>0</v>
      </c>
      <c r="J42" s="56">
        <f>SUMIFS('CWO Bulan Ini'!$DA:$DA,'CWO Bulan Ini'!$DJ:$DJ,'Area-Cabang'!$B42,'CWO Bulan Ini'!$DH:$DH,'Area-Cabang'!$E42,'CWO Bulan Ini'!$CZ:$CZ,'Area-Cabang'!J$41)</f>
        <v>120.62451383</v>
      </c>
      <c r="K42" s="56">
        <f>SUMIFS('CWO Bulan Ini'!$DA:$DA,'CWO Bulan Ini'!$DJ:$DJ,'Area-Cabang'!$B42,'CWO Bulan Ini'!$DH:$DH,'Area-Cabang'!$E42,'CWO Bulan Ini'!$CZ:$CZ,'Area-Cabang'!K$41)</f>
        <v>0</v>
      </c>
      <c r="L42" s="56">
        <f>SUMIFS('CWO Bulan Ini'!$DA:$DA,'CWO Bulan Ini'!$DJ:$DJ,'Area-Cabang'!$B42,'CWO Bulan Ini'!$DH:$DH,'Area-Cabang'!$E42,'CWO Bulan Ini'!$CZ:$CZ,'Area-Cabang'!L$41)</f>
        <v>0</v>
      </c>
      <c r="M42" s="56">
        <f>SUMIFS('CWO Bulan Ini'!$DA:$DA,'CWO Bulan Ini'!$DJ:$DJ,'Area-Cabang'!$B42,'CWO Bulan Ini'!$DH:$DH,'Area-Cabang'!$E42,'CWO Bulan Ini'!$CZ:$CZ,'Area-Cabang'!M$41)</f>
        <v>0</v>
      </c>
      <c r="N42" s="56">
        <f>SUMIFS('CWO Bulan Ini'!$DA:$DA,'CWO Bulan Ini'!$DJ:$DJ,'Area-Cabang'!$B42,'CWO Bulan Ini'!$DH:$DH,'Area-Cabang'!$E42,'CWO Bulan Ini'!$CZ:$CZ,'Area-Cabang'!N$41)</f>
        <v>0</v>
      </c>
      <c r="O42" s="56">
        <f>SUMIFS('CWO Bulan Ini'!$DA:$DA,'CWO Bulan Ini'!$DJ:$DJ,'Area-Cabang'!$B42,'CWO Bulan Ini'!$DH:$DH,'Area-Cabang'!$E42,'CWO Bulan Ini'!$CZ:$CZ,'Area-Cabang'!O$41)</f>
        <v>0</v>
      </c>
      <c r="P42" s="56">
        <f>SUMIFS('CWO Bulan Ini'!$DA:$DA,'CWO Bulan Ini'!$DJ:$DJ,'Area-Cabang'!$B42,'CWO Bulan Ini'!$DH:$DH,'Area-Cabang'!$E42,'CWO Bulan Ini'!$CZ:$CZ,'Area-Cabang'!P$41)</f>
        <v>0</v>
      </c>
      <c r="Q42" s="56">
        <f>SUMIFS('CWO Bulan Ini'!$DA:$DA,'CWO Bulan Ini'!$DJ:$DJ,'Area-Cabang'!$B42,'CWO Bulan Ini'!$DH:$DH,'Area-Cabang'!$E42,'CWO Bulan Ini'!$CZ:$CZ,'Area-Cabang'!Q$41)</f>
        <v>0</v>
      </c>
      <c r="R42" s="56">
        <f>SUMIFS('CWO Bulan Ini'!$DA:$DA,'CWO Bulan Ini'!$DJ:$DJ,'Area-Cabang'!$B42,'CWO Bulan Ini'!$DH:$DH,'Area-Cabang'!$E42,'CWO Bulan Ini'!$CZ:$CZ,'Area-Cabang'!R$41)</f>
        <v>0</v>
      </c>
      <c r="S42" s="56">
        <f>SUMIFS('CWO Bulan Ini'!$DA:$DA,'CWO Bulan Ini'!$DJ:$DJ,'Area-Cabang'!$B42,'CWO Bulan Ini'!$DH:$DH,'Area-Cabang'!$E42,'CWO Bulan Ini'!$CZ:$CZ,'Area-Cabang'!S$41)</f>
        <v>0</v>
      </c>
      <c r="T42" s="56">
        <f>SUMIFS('CWO Bulan Ini'!$DA:$DA,'CWO Bulan Ini'!$DJ:$DJ,'Area-Cabang'!$B42,'CWO Bulan Ini'!$DH:$DH,'Area-Cabang'!$E42,'CWO Bulan Ini'!$CZ:$CZ,'Area-Cabang'!T$41)</f>
        <v>0</v>
      </c>
      <c r="U42" s="56">
        <f>SUMIFS('CWO Bulan Ini'!$DA:$DA,'CWO Bulan Ini'!$DJ:$DJ,'Area-Cabang'!$B42,'CWO Bulan Ini'!$DH:$DH,'Area-Cabang'!$E42,'CWO Bulan Ini'!$CZ:$CZ,'Area-Cabang'!U$41)</f>
        <v>0</v>
      </c>
      <c r="V42" s="56">
        <f>SUMIFS('CWO Bulan Ini'!$DA:$DA,'CWO Bulan Ini'!$DJ:$DJ,'Area-Cabang'!$B42,'CWO Bulan Ini'!$DH:$DH,'Area-Cabang'!$E42,'CWO Bulan Ini'!$CZ:$CZ,'Area-Cabang'!V$41)</f>
        <v>0</v>
      </c>
      <c r="W42" s="56">
        <f>SUMIFS('CWO Bulan Ini'!$DA:$DA,'CWO Bulan Ini'!$DJ:$DJ,'Area-Cabang'!$B42,'CWO Bulan Ini'!$DH:$DH,'Area-Cabang'!$E42,'CWO Bulan Ini'!$CZ:$CZ,'Area-Cabang'!W$41)</f>
        <v>200.07037828</v>
      </c>
      <c r="X42" s="56">
        <f>SUMIFS('CWO Bulan Ini'!$DA:$DA,'CWO Bulan Ini'!$DJ:$DJ,'Area-Cabang'!$B42,'CWO Bulan Ini'!$DH:$DH,'Area-Cabang'!$E42,'CWO Bulan Ini'!$CZ:$CZ,'Area-Cabang'!X$41)</f>
        <v>0</v>
      </c>
      <c r="Y42" s="56">
        <f>SUMIFS('CWO Bulan Ini'!$DA:$DA,'CWO Bulan Ini'!$DJ:$DJ,'Area-Cabang'!$B42,'CWO Bulan Ini'!$DH:$DH,'Area-Cabang'!$E42,'CWO Bulan Ini'!$CZ:$CZ,'Area-Cabang'!Y$41)</f>
        <v>0</v>
      </c>
      <c r="Z42" s="56">
        <f>SUMIFS('CWO Bulan Ini'!$DA:$DA,'CWO Bulan Ini'!$DJ:$DJ,'Area-Cabang'!$B42,'CWO Bulan Ini'!$DH:$DH,'Area-Cabang'!$E42,'CWO Bulan Ini'!$CZ:$CZ,'Area-Cabang'!Z$41)</f>
        <v>0</v>
      </c>
      <c r="AA42" s="56">
        <f>SUMIFS('CWO Bulan Ini'!$DA:$DA,'CWO Bulan Ini'!$DJ:$DJ,'Area-Cabang'!$B42,'CWO Bulan Ini'!$DH:$DH,'Area-Cabang'!$E42,'CWO Bulan Ini'!$CZ:$CZ,'Area-Cabang'!AA$41)</f>
        <v>0</v>
      </c>
      <c r="AB42" s="56">
        <f>SUMIFS('CWO Bulan Ini'!$DA:$DA,'CWO Bulan Ini'!$DJ:$DJ,'Area-Cabang'!$B42,'CWO Bulan Ini'!$DH:$DH,'Area-Cabang'!$E42,'CWO Bulan Ini'!$CZ:$CZ,'Area-Cabang'!AB$41)</f>
        <v>104.72698468</v>
      </c>
      <c r="AC42" s="56">
        <f>SUMIFS('CWO Bulan Ini'!$DA:$DA,'CWO Bulan Ini'!$DJ:$DJ,'Area-Cabang'!$B42,'CWO Bulan Ini'!$DH:$DH,'Area-Cabang'!$E42,'CWO Bulan Ini'!$CZ:$CZ,'Area-Cabang'!AC$41)</f>
        <v>0</v>
      </c>
      <c r="AD42" s="56">
        <f>SUMIFS('CWO Bulan Ini'!$DA:$DA,'CWO Bulan Ini'!$DJ:$DJ,'Area-Cabang'!$B42,'CWO Bulan Ini'!$DH:$DH,'Area-Cabang'!$E42,'CWO Bulan Ini'!$CZ:$CZ,'Area-Cabang'!AD$41)</f>
        <v>0</v>
      </c>
      <c r="AE42" s="56">
        <f>SUMIFS('CWO Bulan Ini'!$DA:$DA,'CWO Bulan Ini'!$DJ:$DJ,'Area-Cabang'!$B42,'CWO Bulan Ini'!$DH:$DH,'Area-Cabang'!$E42,'CWO Bulan Ini'!$CZ:$CZ,'Area-Cabang'!AE$41)</f>
        <v>0</v>
      </c>
      <c r="AF42" s="56">
        <f>SUMIFS('CWO Bulan Ini'!$DA:$DA,'CWO Bulan Ini'!$DJ:$DJ,'Area-Cabang'!$B42,'CWO Bulan Ini'!$DH:$DH,'Area-Cabang'!$E42,'CWO Bulan Ini'!$CZ:$CZ,'Area-Cabang'!AF$41)</f>
        <v>0</v>
      </c>
      <c r="AG42" s="56">
        <f>SUMIFS('CWO Bulan Ini'!$DA:$DA,'CWO Bulan Ini'!$DJ:$DJ,'Area-Cabang'!$B42,'CWO Bulan Ini'!$DH:$DH,'Area-Cabang'!$E42,'CWO Bulan Ini'!$CZ:$CZ,'Area-Cabang'!AG$41)</f>
        <v>0</v>
      </c>
      <c r="AH42" s="56">
        <f>SUMIFS('CWO Bulan Ini'!$DA:$DA,'CWO Bulan Ini'!$DJ:$DJ,'Area-Cabang'!$B42,'CWO Bulan Ini'!$DH:$DH,'Area-Cabang'!$E42,'CWO Bulan Ini'!$CZ:$CZ,'Area-Cabang'!AH$41)</f>
        <v>0</v>
      </c>
      <c r="AI42" s="56">
        <f>SUMIFS('CWO Bulan Ini'!$DA:$DA,'CWO Bulan Ini'!$DJ:$DJ,'Area-Cabang'!$B42,'CWO Bulan Ini'!$DH:$DH,'Area-Cabang'!$E42,'CWO Bulan Ini'!$CZ:$CZ,'Area-Cabang'!AI$41)</f>
        <v>0</v>
      </c>
      <c r="AJ42" s="56">
        <f>SUMIFS('CWO Bulan Ini'!$DA:$DA,'CWO Bulan Ini'!$DJ:$DJ,'Area-Cabang'!$B42,'CWO Bulan Ini'!$DH:$DH,'Area-Cabang'!$E42,'CWO Bulan Ini'!$CZ:$CZ,'Area-Cabang'!AJ$41)</f>
        <v>0</v>
      </c>
      <c r="AK42" s="46">
        <f>SUMIFS('CWO Bulan Ini'!$DD:$DD,'CWO Bulan Ini'!$DJ:$DJ,'Area-Cabang'!$B42,'CWO Bulan Ini'!$DH:$DH,'Area-Cabang'!$E42,'CWO Bulan Ini'!$CZ:$CZ,'Area-Cabang'!AK$41)</f>
        <v>0</v>
      </c>
      <c r="AL42" s="56">
        <f>SUMIFS('CWO Bulan Ini'!$DD:$DD,'CWO Bulan Ini'!$DJ:$DJ,'Area-Cabang'!$B42,'CWO Bulan Ini'!$DH:$DH,'Area-Cabang'!$E42,'CWO Bulan Ini'!$CZ:$CZ,'Area-Cabang'!AL$41)</f>
        <v>0</v>
      </c>
      <c r="AM42" s="56">
        <f>SUMIFS('CWO Bulan Ini'!$DD:$DD,'CWO Bulan Ini'!$DJ:$DJ,'Area-Cabang'!$B42,'CWO Bulan Ini'!$DH:$DH,'Area-Cabang'!$E42,'CWO Bulan Ini'!$CZ:$CZ,'Area-Cabang'!AM$41)</f>
        <v>0</v>
      </c>
      <c r="AN42" s="56">
        <f>SUMIFS('CWO Bulan Ini'!$DD:$DD,'CWO Bulan Ini'!$DJ:$DJ,'Area-Cabang'!$B42,'CWO Bulan Ini'!$DH:$DH,'Area-Cabang'!$E42,'CWO Bulan Ini'!$CZ:$CZ,'Area-Cabang'!AN$41)</f>
        <v>0</v>
      </c>
      <c r="AO42" s="56">
        <f>SUMIFS('CWO Bulan Ini'!$DD:$DD,'CWO Bulan Ini'!$DJ:$DJ,'Area-Cabang'!$B42,'CWO Bulan Ini'!$DH:$DH,'Area-Cabang'!$E42,'CWO Bulan Ini'!$CZ:$CZ,'Area-Cabang'!AO$41)</f>
        <v>120.62451383</v>
      </c>
      <c r="AP42" s="56">
        <f>SUMIFS('CWO Bulan Ini'!$DD:$DD,'CWO Bulan Ini'!$DJ:$DJ,'Area-Cabang'!$B42,'CWO Bulan Ini'!$DH:$DH,'Area-Cabang'!$E42,'CWO Bulan Ini'!$CZ:$CZ,'Area-Cabang'!AP$41)</f>
        <v>0</v>
      </c>
      <c r="AQ42" s="56">
        <f>SUMIFS('CWO Bulan Ini'!$DD:$DD,'CWO Bulan Ini'!$DJ:$DJ,'Area-Cabang'!$B42,'CWO Bulan Ini'!$DH:$DH,'Area-Cabang'!$E42,'CWO Bulan Ini'!$CZ:$CZ,'Area-Cabang'!AQ$41)</f>
        <v>0</v>
      </c>
      <c r="AR42" s="56">
        <f>SUMIFS('CWO Bulan Ini'!$DD:$DD,'CWO Bulan Ini'!$DJ:$DJ,'Area-Cabang'!$B42,'CWO Bulan Ini'!$DH:$DH,'Area-Cabang'!$E42,'CWO Bulan Ini'!$CZ:$CZ,'Area-Cabang'!AR$41)</f>
        <v>0</v>
      </c>
      <c r="AS42" s="56">
        <f>SUMIFS('CWO Bulan Ini'!$DD:$DD,'CWO Bulan Ini'!$DJ:$DJ,'Area-Cabang'!$B42,'CWO Bulan Ini'!$DH:$DH,'Area-Cabang'!$E42,'CWO Bulan Ini'!$CZ:$CZ,'Area-Cabang'!AS$41)</f>
        <v>0</v>
      </c>
      <c r="AT42" s="56">
        <f>SUMIFS('CWO Bulan Ini'!$DD:$DD,'CWO Bulan Ini'!$DJ:$DJ,'Area-Cabang'!$B42,'CWO Bulan Ini'!$DH:$DH,'Area-Cabang'!$E42,'CWO Bulan Ini'!$CZ:$CZ,'Area-Cabang'!AT$41)</f>
        <v>0</v>
      </c>
      <c r="AU42" s="56">
        <f>SUMIFS('CWO Bulan Ini'!$DD:$DD,'CWO Bulan Ini'!$DJ:$DJ,'Area-Cabang'!$B42,'CWO Bulan Ini'!$DH:$DH,'Area-Cabang'!$E42,'CWO Bulan Ini'!$CZ:$CZ,'Area-Cabang'!AU$41)</f>
        <v>0</v>
      </c>
      <c r="AV42" s="56">
        <f>SUMIFS('CWO Bulan Ini'!$DD:$DD,'CWO Bulan Ini'!$DJ:$DJ,'Area-Cabang'!$B42,'CWO Bulan Ini'!$DH:$DH,'Area-Cabang'!$E42,'CWO Bulan Ini'!$CZ:$CZ,'Area-Cabang'!AV$41)</f>
        <v>0</v>
      </c>
      <c r="AW42" s="56">
        <f>SUMIFS('CWO Bulan Ini'!$DD:$DD,'CWO Bulan Ini'!$DJ:$DJ,'Area-Cabang'!$B42,'CWO Bulan Ini'!$DH:$DH,'Area-Cabang'!$E42,'CWO Bulan Ini'!$CZ:$CZ,'Area-Cabang'!AW$41)</f>
        <v>0</v>
      </c>
      <c r="AX42" s="56">
        <f>SUMIFS('CWO Bulan Ini'!$DD:$DD,'CWO Bulan Ini'!$DJ:$DJ,'Area-Cabang'!$B42,'CWO Bulan Ini'!$DH:$DH,'Area-Cabang'!$E42,'CWO Bulan Ini'!$CZ:$CZ,'Area-Cabang'!AX$41)</f>
        <v>0</v>
      </c>
      <c r="AY42" s="56">
        <f>SUMIFS('CWO Bulan Ini'!$DD:$DD,'CWO Bulan Ini'!$DJ:$DJ,'Area-Cabang'!$B42,'CWO Bulan Ini'!$DH:$DH,'Area-Cabang'!$E42,'CWO Bulan Ini'!$CZ:$CZ,'Area-Cabang'!AY$41)</f>
        <v>0</v>
      </c>
      <c r="AZ42" s="56">
        <f>SUMIFS('CWO Bulan Ini'!$DD:$DD,'CWO Bulan Ini'!$DJ:$DJ,'Area-Cabang'!$B42,'CWO Bulan Ini'!$DH:$DH,'Area-Cabang'!$E42,'CWO Bulan Ini'!$CZ:$CZ,'Area-Cabang'!AZ$41)</f>
        <v>0</v>
      </c>
      <c r="BA42" s="56">
        <f>SUMIFS('CWO Bulan Ini'!$DD:$DD,'CWO Bulan Ini'!$DJ:$DJ,'Area-Cabang'!$B42,'CWO Bulan Ini'!$DH:$DH,'Area-Cabang'!$E42,'CWO Bulan Ini'!$CZ:$CZ,'Area-Cabang'!BA$41)</f>
        <v>0</v>
      </c>
      <c r="BB42" s="56">
        <f>SUMIFS('CWO Bulan Ini'!$DD:$DD,'CWO Bulan Ini'!$DJ:$DJ,'Area-Cabang'!$B42,'CWO Bulan Ini'!$DH:$DH,'Area-Cabang'!$E42,'CWO Bulan Ini'!$CZ:$CZ,'Area-Cabang'!BB$41)</f>
        <v>0</v>
      </c>
      <c r="BC42" s="56">
        <f>SUMIFS('CWO Bulan Ini'!$DD:$DD,'CWO Bulan Ini'!$DJ:$DJ,'Area-Cabang'!$B42,'CWO Bulan Ini'!$DH:$DH,'Area-Cabang'!$E42,'CWO Bulan Ini'!$CZ:$CZ,'Area-Cabang'!BC$41)</f>
        <v>0</v>
      </c>
      <c r="BD42" s="56">
        <f>SUMIFS('CWO Bulan Ini'!$DD:$DD,'CWO Bulan Ini'!$DJ:$DJ,'Area-Cabang'!$B42,'CWO Bulan Ini'!$DH:$DH,'Area-Cabang'!$E42,'CWO Bulan Ini'!$CZ:$CZ,'Area-Cabang'!BD$41)</f>
        <v>0</v>
      </c>
      <c r="BE42" s="56">
        <f>SUMIFS('CWO Bulan Ini'!$DD:$DD,'CWO Bulan Ini'!$DJ:$DJ,'Area-Cabang'!$B42,'CWO Bulan Ini'!$DH:$DH,'Area-Cabang'!$E42,'CWO Bulan Ini'!$CZ:$CZ,'Area-Cabang'!BE$41)</f>
        <v>0</v>
      </c>
      <c r="BF42" s="56">
        <f>SUMIFS('CWO Bulan Ini'!$DD:$DD,'CWO Bulan Ini'!$DJ:$DJ,'Area-Cabang'!$B42,'CWO Bulan Ini'!$DH:$DH,'Area-Cabang'!$E42,'CWO Bulan Ini'!$CZ:$CZ,'Area-Cabang'!BF$41)</f>
        <v>0</v>
      </c>
      <c r="BG42" s="56">
        <f>SUMIFS('CWO Bulan Ini'!$DD:$DD,'CWO Bulan Ini'!$DJ:$DJ,'Area-Cabang'!$B42,'CWO Bulan Ini'!$DH:$DH,'Area-Cabang'!$E42,'CWO Bulan Ini'!$CZ:$CZ,'Area-Cabang'!BG$41)</f>
        <v>0</v>
      </c>
      <c r="BH42" s="56">
        <f>SUMIFS('CWO Bulan Ini'!$DD:$DD,'CWO Bulan Ini'!$DJ:$DJ,'Area-Cabang'!$B42,'CWO Bulan Ini'!$DH:$DH,'Area-Cabang'!$E42,'CWO Bulan Ini'!$CZ:$CZ,'Area-Cabang'!BH$41)</f>
        <v>0</v>
      </c>
      <c r="BI42" s="56">
        <f>SUMIFS('CWO Bulan Ini'!$DD:$DD,'CWO Bulan Ini'!$DJ:$DJ,'Area-Cabang'!$B42,'CWO Bulan Ini'!$DH:$DH,'Area-Cabang'!$E42,'CWO Bulan Ini'!$CZ:$CZ,'Area-Cabang'!BI$41)</f>
        <v>0</v>
      </c>
      <c r="BJ42" s="56">
        <f>SUMIFS('CWO Bulan Ini'!$DD:$DD,'CWO Bulan Ini'!$DJ:$DJ,'Area-Cabang'!$B42,'CWO Bulan Ini'!$DH:$DH,'Area-Cabang'!$E42,'CWO Bulan Ini'!$CZ:$CZ,'Area-Cabang'!BJ$41)</f>
        <v>0</v>
      </c>
      <c r="BK42" s="56">
        <f>SUMIFS('CWO Bulan Ini'!$DD:$DD,'CWO Bulan Ini'!$DJ:$DJ,'Area-Cabang'!$B42,'CWO Bulan Ini'!$DH:$DH,'Area-Cabang'!$E42,'CWO Bulan Ini'!$CZ:$CZ,'Area-Cabang'!BK$41)</f>
        <v>0</v>
      </c>
      <c r="BL42" s="56">
        <f>SUMIFS('CWO Bulan Ini'!$DD:$DD,'CWO Bulan Ini'!$DJ:$DJ,'Area-Cabang'!$B42,'CWO Bulan Ini'!$DH:$DH,'Area-Cabang'!$E42,'CWO Bulan Ini'!$CZ:$CZ,'Area-Cabang'!BL$41)</f>
        <v>0</v>
      </c>
      <c r="BM42" s="56">
        <f>SUMIFS('CWO Bulan Ini'!$DD:$DD,'CWO Bulan Ini'!$DJ:$DJ,'Area-Cabang'!$B42,'CWO Bulan Ini'!$DH:$DH,'Area-Cabang'!$E42,'CWO Bulan Ini'!$CZ:$CZ,'Area-Cabang'!BM$41)</f>
        <v>0</v>
      </c>
      <c r="BN42" s="56">
        <f>SUMIFS('CWO Bulan Ini'!$DD:$DD,'CWO Bulan Ini'!$DJ:$DJ,'Area-Cabang'!$B42,'CWO Bulan Ini'!$DH:$DH,'Area-Cabang'!$E42,'CWO Bulan Ini'!$CZ:$CZ,'Area-Cabang'!BN$41)</f>
        <v>0</v>
      </c>
      <c r="BO42" s="57">
        <f>SUMIFS('CWO Bulan Ini'!$DD:$DD,'CWO Bulan Ini'!$DJ:$DJ,'Area-Cabang'!$B42,'CWO Bulan Ini'!$DH:$DH,'Area-Cabang'!$E42,'CWO Bulan Ini'!$CZ:$CZ,'Area-Cabang'!BO$41)</f>
        <v>0</v>
      </c>
      <c r="BP42" s="46">
        <f>SUMIFS('CWO Bulan Ini'!$DC:$DC,'CWO Bulan Ini'!$DJ:$DJ,'Area-Cabang'!$B42,'CWO Bulan Ini'!$DH:$DH,'Area-Cabang'!$E42,'CWO Bulan Ini'!$CZ:$CZ,'Area-Cabang'!BP$41)</f>
        <v>0</v>
      </c>
      <c r="BQ42" s="56">
        <f>SUMIFS('CWO Bulan Ini'!$DC:$DC,'CWO Bulan Ini'!$DJ:$DJ,'Area-Cabang'!$B42,'CWO Bulan Ini'!$DH:$DH,'Area-Cabang'!$E42,'CWO Bulan Ini'!$CZ:$CZ,'Area-Cabang'!BQ$41)</f>
        <v>0</v>
      </c>
      <c r="BR42" s="56">
        <f>SUMIFS('CWO Bulan Ini'!$DC:$DC,'CWO Bulan Ini'!$DJ:$DJ,'Area-Cabang'!$B42,'CWO Bulan Ini'!$DH:$DH,'Area-Cabang'!$E42,'CWO Bulan Ini'!$CZ:$CZ,'Area-Cabang'!BR$41)</f>
        <v>0</v>
      </c>
      <c r="BS42" s="56">
        <f>SUMIFS('CWO Bulan Ini'!$DC:$DC,'CWO Bulan Ini'!$DJ:$DJ,'Area-Cabang'!$B42,'CWO Bulan Ini'!$DH:$DH,'Area-Cabang'!$E42,'CWO Bulan Ini'!$CZ:$CZ,'Area-Cabang'!BS$41)</f>
        <v>0</v>
      </c>
      <c r="BT42" s="56">
        <f>SUMIFS('CWO Bulan Ini'!$DC:$DC,'CWO Bulan Ini'!$DJ:$DJ,'Area-Cabang'!$B42,'CWO Bulan Ini'!$DH:$DH,'Area-Cabang'!$E42,'CWO Bulan Ini'!$CZ:$CZ,'Area-Cabang'!BT$41)</f>
        <v>0</v>
      </c>
      <c r="BU42" s="56">
        <f>SUMIFS('CWO Bulan Ini'!$DC:$DC,'CWO Bulan Ini'!$DJ:$DJ,'Area-Cabang'!$B42,'CWO Bulan Ini'!$DH:$DH,'Area-Cabang'!$E42,'CWO Bulan Ini'!$CZ:$CZ,'Area-Cabang'!BU$41)</f>
        <v>0</v>
      </c>
      <c r="BV42" s="56">
        <f>SUMIFS('CWO Bulan Ini'!$DC:$DC,'CWO Bulan Ini'!$DJ:$DJ,'Area-Cabang'!$B42,'CWO Bulan Ini'!$DH:$DH,'Area-Cabang'!$E42,'CWO Bulan Ini'!$CZ:$CZ,'Area-Cabang'!BV$41)</f>
        <v>0</v>
      </c>
      <c r="BW42" s="56">
        <f>SUMIFS('CWO Bulan Ini'!$DC:$DC,'CWO Bulan Ini'!$DJ:$DJ,'Area-Cabang'!$B42,'CWO Bulan Ini'!$DH:$DH,'Area-Cabang'!$E42,'CWO Bulan Ini'!$CZ:$CZ,'Area-Cabang'!BW$41)</f>
        <v>0</v>
      </c>
      <c r="BX42" s="56">
        <f>SUMIFS('CWO Bulan Ini'!$DC:$DC,'CWO Bulan Ini'!$DJ:$DJ,'Area-Cabang'!$B42,'CWO Bulan Ini'!$DH:$DH,'Area-Cabang'!$E42,'CWO Bulan Ini'!$CZ:$CZ,'Area-Cabang'!BX$41)</f>
        <v>0</v>
      </c>
      <c r="BY42" s="56">
        <f>SUMIFS('CWO Bulan Ini'!$DC:$DC,'CWO Bulan Ini'!$DJ:$DJ,'Area-Cabang'!$B42,'CWO Bulan Ini'!$DH:$DH,'Area-Cabang'!$E42,'CWO Bulan Ini'!$CZ:$CZ,'Area-Cabang'!BY$41)</f>
        <v>0</v>
      </c>
      <c r="BZ42" s="56">
        <f>SUMIFS('CWO Bulan Ini'!$DC:$DC,'CWO Bulan Ini'!$DJ:$DJ,'Area-Cabang'!$B42,'CWO Bulan Ini'!$DH:$DH,'Area-Cabang'!$E42,'CWO Bulan Ini'!$CZ:$CZ,'Area-Cabang'!BZ$41)</f>
        <v>0</v>
      </c>
      <c r="CA42" s="56">
        <f>SUMIFS('CWO Bulan Ini'!$DC:$DC,'CWO Bulan Ini'!$DJ:$DJ,'Area-Cabang'!$B42,'CWO Bulan Ini'!$DH:$DH,'Area-Cabang'!$E42,'CWO Bulan Ini'!$CZ:$CZ,'Area-Cabang'!CA$41)</f>
        <v>0</v>
      </c>
      <c r="CB42" s="56">
        <f>SUMIFS('CWO Bulan Ini'!$DC:$DC,'CWO Bulan Ini'!$DJ:$DJ,'Area-Cabang'!$B42,'CWO Bulan Ini'!$DH:$DH,'Area-Cabang'!$E42,'CWO Bulan Ini'!$CZ:$CZ,'Area-Cabang'!CB$41)</f>
        <v>0</v>
      </c>
      <c r="CC42" s="56">
        <f>SUMIFS('CWO Bulan Ini'!$DC:$DC,'CWO Bulan Ini'!$DJ:$DJ,'Area-Cabang'!$B42,'CWO Bulan Ini'!$DH:$DH,'Area-Cabang'!$E42,'CWO Bulan Ini'!$CZ:$CZ,'Area-Cabang'!CC$41)</f>
        <v>0</v>
      </c>
      <c r="CD42" s="56">
        <f>SUMIFS('CWO Bulan Ini'!$DC:$DC,'CWO Bulan Ini'!$DJ:$DJ,'Area-Cabang'!$B42,'CWO Bulan Ini'!$DH:$DH,'Area-Cabang'!$E42,'CWO Bulan Ini'!$CZ:$CZ,'Area-Cabang'!CD$41)</f>
        <v>0</v>
      </c>
      <c r="CE42" s="56">
        <f>SUMIFS('CWO Bulan Ini'!$DC:$DC,'CWO Bulan Ini'!$DJ:$DJ,'Area-Cabang'!$B42,'CWO Bulan Ini'!$DH:$DH,'Area-Cabang'!$E42,'CWO Bulan Ini'!$CZ:$CZ,'Area-Cabang'!CE$41)</f>
        <v>0</v>
      </c>
      <c r="CF42" s="56">
        <f>SUMIFS('CWO Bulan Ini'!$DC:$DC,'CWO Bulan Ini'!$DJ:$DJ,'Area-Cabang'!$B42,'CWO Bulan Ini'!$DH:$DH,'Area-Cabang'!$E42,'CWO Bulan Ini'!$CZ:$CZ,'Area-Cabang'!CF$41)</f>
        <v>0</v>
      </c>
      <c r="CG42" s="56">
        <f>SUMIFS('CWO Bulan Ini'!$DC:$DC,'CWO Bulan Ini'!$DJ:$DJ,'Area-Cabang'!$B42,'CWO Bulan Ini'!$DH:$DH,'Area-Cabang'!$E42,'CWO Bulan Ini'!$CZ:$CZ,'Area-Cabang'!CG$41)</f>
        <v>0</v>
      </c>
      <c r="CH42" s="56">
        <f>SUMIFS('CWO Bulan Ini'!$DC:$DC,'CWO Bulan Ini'!$DJ:$DJ,'Area-Cabang'!$B42,'CWO Bulan Ini'!$DH:$DH,'Area-Cabang'!$E42,'CWO Bulan Ini'!$CZ:$CZ,'Area-Cabang'!CH$41)</f>
        <v>0</v>
      </c>
      <c r="CI42" s="56">
        <f>SUMIFS('CWO Bulan Ini'!$DC:$DC,'CWO Bulan Ini'!$DJ:$DJ,'Area-Cabang'!$B42,'CWO Bulan Ini'!$DH:$DH,'Area-Cabang'!$E42,'CWO Bulan Ini'!$CZ:$CZ,'Area-Cabang'!CI$41)</f>
        <v>0</v>
      </c>
      <c r="CJ42" s="56">
        <f>SUMIFS('CWO Bulan Ini'!$DC:$DC,'CWO Bulan Ini'!$DJ:$DJ,'Area-Cabang'!$B42,'CWO Bulan Ini'!$DH:$DH,'Area-Cabang'!$E42,'CWO Bulan Ini'!$CZ:$CZ,'Area-Cabang'!CJ$41)</f>
        <v>0</v>
      </c>
      <c r="CK42" s="56">
        <f>SUMIFS('CWO Bulan Ini'!$DC:$DC,'CWO Bulan Ini'!$DJ:$DJ,'Area-Cabang'!$B42,'CWO Bulan Ini'!$DH:$DH,'Area-Cabang'!$E42,'CWO Bulan Ini'!$CZ:$CZ,'Area-Cabang'!CK$41)</f>
        <v>0</v>
      </c>
      <c r="CL42" s="56">
        <f>SUMIFS('CWO Bulan Ini'!$DC:$DC,'CWO Bulan Ini'!$DJ:$DJ,'Area-Cabang'!$B42,'CWO Bulan Ini'!$DH:$DH,'Area-Cabang'!$E42,'CWO Bulan Ini'!$CZ:$CZ,'Area-Cabang'!CL$41)</f>
        <v>0</v>
      </c>
      <c r="CM42" s="56">
        <f>SUMIFS('CWO Bulan Ini'!$DC:$DC,'CWO Bulan Ini'!$DJ:$DJ,'Area-Cabang'!$B42,'CWO Bulan Ini'!$DH:$DH,'Area-Cabang'!$E42,'CWO Bulan Ini'!$CZ:$CZ,'Area-Cabang'!CM$41)</f>
        <v>0</v>
      </c>
      <c r="CN42" s="56">
        <f>SUMIFS('CWO Bulan Ini'!$DC:$DC,'CWO Bulan Ini'!$DJ:$DJ,'Area-Cabang'!$B42,'CWO Bulan Ini'!$DH:$DH,'Area-Cabang'!$E42,'CWO Bulan Ini'!$CZ:$CZ,'Area-Cabang'!CN$41)</f>
        <v>0</v>
      </c>
      <c r="CO42" s="56">
        <f>SUMIFS('CWO Bulan Ini'!$DC:$DC,'CWO Bulan Ini'!$DJ:$DJ,'Area-Cabang'!$B42,'CWO Bulan Ini'!$DH:$DH,'Area-Cabang'!$E42,'CWO Bulan Ini'!$CZ:$CZ,'Area-Cabang'!CO$41)</f>
        <v>0</v>
      </c>
      <c r="CP42" s="56">
        <f>SUMIFS('CWO Bulan Ini'!$DC:$DC,'CWO Bulan Ini'!$DJ:$DJ,'Area-Cabang'!$B42,'CWO Bulan Ini'!$DH:$DH,'Area-Cabang'!$E42,'CWO Bulan Ini'!$CZ:$CZ,'Area-Cabang'!CP$41)</f>
        <v>0</v>
      </c>
      <c r="CQ42" s="56">
        <f>SUMIFS('CWO Bulan Ini'!$DC:$DC,'CWO Bulan Ini'!$DJ:$DJ,'Area-Cabang'!$B42,'CWO Bulan Ini'!$DH:$DH,'Area-Cabang'!$E42,'CWO Bulan Ini'!$CZ:$CZ,'Area-Cabang'!CQ$41)</f>
        <v>0</v>
      </c>
      <c r="CR42" s="56">
        <f>SUMIFS('CWO Bulan Ini'!$DC:$DC,'CWO Bulan Ini'!$DJ:$DJ,'Area-Cabang'!$B42,'CWO Bulan Ini'!$DH:$DH,'Area-Cabang'!$E42,'CWO Bulan Ini'!$CZ:$CZ,'Area-Cabang'!CR$41)</f>
        <v>0</v>
      </c>
      <c r="CS42" s="56">
        <f>SUMIFS('CWO Bulan Ini'!$DC:$DC,'CWO Bulan Ini'!$DJ:$DJ,'Area-Cabang'!$B42,'CWO Bulan Ini'!$DH:$DH,'Area-Cabang'!$E42,'CWO Bulan Ini'!$CZ:$CZ,'Area-Cabang'!CS$41)</f>
        <v>0</v>
      </c>
      <c r="CT42" s="57">
        <f>SUMIFS('CWO Bulan Ini'!$DC:$DC,'CWO Bulan Ini'!$DJ:$DJ,'Area-Cabang'!$B42,'CWO Bulan Ini'!$DH:$DH,'Area-Cabang'!$E42,'CWO Bulan Ini'!$CZ:$CZ,'Area-Cabang'!CT$41)</f>
        <v>0</v>
      </c>
      <c r="CV42" s="97">
        <f>SUM(F42:AJ42)</f>
        <v>425.42187679</v>
      </c>
      <c r="CW42" s="98">
        <f>SUM(AK42:BO42)</f>
        <v>120.62451383</v>
      </c>
      <c r="CX42" s="98">
        <f>SUM(BP42:CT42)</f>
        <v>0</v>
      </c>
      <c r="CY42" s="98">
        <f>CV42-CW42-CX42</f>
        <v>304.79736295999999</v>
      </c>
      <c r="CZ42" s="105">
        <f>CY42+CW42</f>
        <v>425.42187679</v>
      </c>
    </row>
    <row r="43" spans="1:104" ht="15" customHeight="1" x14ac:dyDescent="0.25">
      <c r="A43" s="58" t="s">
        <v>465</v>
      </c>
      <c r="B43" s="58" t="s">
        <v>0</v>
      </c>
      <c r="C43" s="250"/>
      <c r="D43" s="244"/>
      <c r="E43" s="40" t="s">
        <v>349</v>
      </c>
      <c r="F43" s="41">
        <f>SUMIFS('CWO Bulan Ini'!$DA:$DA,'CWO Bulan Ini'!$DJ:$DJ,'Area-Cabang'!$B43,'CWO Bulan Ini'!$DH:$DH,'Area-Cabang'!$E43,'CWO Bulan Ini'!$CZ:$CZ,'Area-Cabang'!F$41)</f>
        <v>0</v>
      </c>
      <c r="G43" s="42">
        <f>SUMIFS('CWO Bulan Ini'!$DA:$DA,'CWO Bulan Ini'!$DJ:$DJ,'Area-Cabang'!$B43,'CWO Bulan Ini'!$DH:$DH,'Area-Cabang'!$E43,'CWO Bulan Ini'!$CZ:$CZ,'Area-Cabang'!G$41)</f>
        <v>0</v>
      </c>
      <c r="H43" s="42">
        <f>SUMIFS('CWO Bulan Ini'!$DA:$DA,'CWO Bulan Ini'!$DJ:$DJ,'Area-Cabang'!$B43,'CWO Bulan Ini'!$DH:$DH,'Area-Cabang'!$E43,'CWO Bulan Ini'!$CZ:$CZ,'Area-Cabang'!H$41)</f>
        <v>0</v>
      </c>
      <c r="I43" s="42">
        <f>SUMIFS('CWO Bulan Ini'!$DA:$DA,'CWO Bulan Ini'!$DJ:$DJ,'Area-Cabang'!$B43,'CWO Bulan Ini'!$DH:$DH,'Area-Cabang'!$E43,'CWO Bulan Ini'!$CZ:$CZ,'Area-Cabang'!I$41)</f>
        <v>0</v>
      </c>
      <c r="J43" s="42">
        <f>SUMIFS('CWO Bulan Ini'!$DA:$DA,'CWO Bulan Ini'!$DJ:$DJ,'Area-Cabang'!$B43,'CWO Bulan Ini'!$DH:$DH,'Area-Cabang'!$E43,'CWO Bulan Ini'!$CZ:$CZ,'Area-Cabang'!J$41)</f>
        <v>0</v>
      </c>
      <c r="K43" s="42">
        <f>SUMIFS('CWO Bulan Ini'!$DA:$DA,'CWO Bulan Ini'!$DJ:$DJ,'Area-Cabang'!$B43,'CWO Bulan Ini'!$DH:$DH,'Area-Cabang'!$E43,'CWO Bulan Ini'!$CZ:$CZ,'Area-Cabang'!K$41)</f>
        <v>0</v>
      </c>
      <c r="L43" s="42">
        <f>SUMIFS('CWO Bulan Ini'!$DA:$DA,'CWO Bulan Ini'!$DJ:$DJ,'Area-Cabang'!$B43,'CWO Bulan Ini'!$DH:$DH,'Area-Cabang'!$E43,'CWO Bulan Ini'!$CZ:$CZ,'Area-Cabang'!L$41)</f>
        <v>0</v>
      </c>
      <c r="M43" s="42">
        <f>SUMIFS('CWO Bulan Ini'!$DA:$DA,'CWO Bulan Ini'!$DJ:$DJ,'Area-Cabang'!$B43,'CWO Bulan Ini'!$DH:$DH,'Area-Cabang'!$E43,'CWO Bulan Ini'!$CZ:$CZ,'Area-Cabang'!M$41)</f>
        <v>0</v>
      </c>
      <c r="N43" s="42">
        <f>SUMIFS('CWO Bulan Ini'!$DA:$DA,'CWO Bulan Ini'!$DJ:$DJ,'Area-Cabang'!$B43,'CWO Bulan Ini'!$DH:$DH,'Area-Cabang'!$E43,'CWO Bulan Ini'!$CZ:$CZ,'Area-Cabang'!N$41)</f>
        <v>0</v>
      </c>
      <c r="O43" s="42">
        <f>SUMIFS('CWO Bulan Ini'!$DA:$DA,'CWO Bulan Ini'!$DJ:$DJ,'Area-Cabang'!$B43,'CWO Bulan Ini'!$DH:$DH,'Area-Cabang'!$E43,'CWO Bulan Ini'!$CZ:$CZ,'Area-Cabang'!O$41)</f>
        <v>0</v>
      </c>
      <c r="P43" s="42">
        <f>SUMIFS('CWO Bulan Ini'!$DA:$DA,'CWO Bulan Ini'!$DJ:$DJ,'Area-Cabang'!$B43,'CWO Bulan Ini'!$DH:$DH,'Area-Cabang'!$E43,'CWO Bulan Ini'!$CZ:$CZ,'Area-Cabang'!P$41)</f>
        <v>0</v>
      </c>
      <c r="Q43" s="42">
        <f>SUMIFS('CWO Bulan Ini'!$DA:$DA,'CWO Bulan Ini'!$DJ:$DJ,'Area-Cabang'!$B43,'CWO Bulan Ini'!$DH:$DH,'Area-Cabang'!$E43,'CWO Bulan Ini'!$CZ:$CZ,'Area-Cabang'!Q$41)</f>
        <v>0</v>
      </c>
      <c r="R43" s="42">
        <f>SUMIFS('CWO Bulan Ini'!$DA:$DA,'CWO Bulan Ini'!$DJ:$DJ,'Area-Cabang'!$B43,'CWO Bulan Ini'!$DH:$DH,'Area-Cabang'!$E43,'CWO Bulan Ini'!$CZ:$CZ,'Area-Cabang'!R$41)</f>
        <v>0</v>
      </c>
      <c r="S43" s="42">
        <f>SUMIFS('CWO Bulan Ini'!$DA:$DA,'CWO Bulan Ini'!$DJ:$DJ,'Area-Cabang'!$B43,'CWO Bulan Ini'!$DH:$DH,'Area-Cabang'!$E43,'CWO Bulan Ini'!$CZ:$CZ,'Area-Cabang'!S$41)</f>
        <v>0</v>
      </c>
      <c r="T43" s="42">
        <f>SUMIFS('CWO Bulan Ini'!$DA:$DA,'CWO Bulan Ini'!$DJ:$DJ,'Area-Cabang'!$B43,'CWO Bulan Ini'!$DH:$DH,'Area-Cabang'!$E43,'CWO Bulan Ini'!$CZ:$CZ,'Area-Cabang'!T$41)</f>
        <v>0</v>
      </c>
      <c r="U43" s="42">
        <f>SUMIFS('CWO Bulan Ini'!$DA:$DA,'CWO Bulan Ini'!$DJ:$DJ,'Area-Cabang'!$B43,'CWO Bulan Ini'!$DH:$DH,'Area-Cabang'!$E43,'CWO Bulan Ini'!$CZ:$CZ,'Area-Cabang'!U$41)</f>
        <v>0</v>
      </c>
      <c r="V43" s="42">
        <f>SUMIFS('CWO Bulan Ini'!$DA:$DA,'CWO Bulan Ini'!$DJ:$DJ,'Area-Cabang'!$B43,'CWO Bulan Ini'!$DH:$DH,'Area-Cabang'!$E43,'CWO Bulan Ini'!$CZ:$CZ,'Area-Cabang'!V$41)</f>
        <v>0</v>
      </c>
      <c r="W43" s="42">
        <f>SUMIFS('CWO Bulan Ini'!$DA:$DA,'CWO Bulan Ini'!$DJ:$DJ,'Area-Cabang'!$B43,'CWO Bulan Ini'!$DH:$DH,'Area-Cabang'!$E43,'CWO Bulan Ini'!$CZ:$CZ,'Area-Cabang'!W$41)</f>
        <v>0</v>
      </c>
      <c r="X43" s="42">
        <f>SUMIFS('CWO Bulan Ini'!$DA:$DA,'CWO Bulan Ini'!$DJ:$DJ,'Area-Cabang'!$B43,'CWO Bulan Ini'!$DH:$DH,'Area-Cabang'!$E43,'CWO Bulan Ini'!$CZ:$CZ,'Area-Cabang'!X$41)</f>
        <v>0</v>
      </c>
      <c r="Y43" s="42">
        <f>SUMIFS('CWO Bulan Ini'!$DA:$DA,'CWO Bulan Ini'!$DJ:$DJ,'Area-Cabang'!$B43,'CWO Bulan Ini'!$DH:$DH,'Area-Cabang'!$E43,'CWO Bulan Ini'!$CZ:$CZ,'Area-Cabang'!Y$41)</f>
        <v>0</v>
      </c>
      <c r="Z43" s="42">
        <f>SUMIFS('CWO Bulan Ini'!$DA:$DA,'CWO Bulan Ini'!$DJ:$DJ,'Area-Cabang'!$B43,'CWO Bulan Ini'!$DH:$DH,'Area-Cabang'!$E43,'CWO Bulan Ini'!$CZ:$CZ,'Area-Cabang'!Z$41)</f>
        <v>0</v>
      </c>
      <c r="AA43" s="42">
        <f>SUMIFS('CWO Bulan Ini'!$DA:$DA,'CWO Bulan Ini'!$DJ:$DJ,'Area-Cabang'!$B43,'CWO Bulan Ini'!$DH:$DH,'Area-Cabang'!$E43,'CWO Bulan Ini'!$CZ:$CZ,'Area-Cabang'!AA$41)</f>
        <v>0</v>
      </c>
      <c r="AB43" s="42">
        <f>SUMIFS('CWO Bulan Ini'!$DA:$DA,'CWO Bulan Ini'!$DJ:$DJ,'Area-Cabang'!$B43,'CWO Bulan Ini'!$DH:$DH,'Area-Cabang'!$E43,'CWO Bulan Ini'!$CZ:$CZ,'Area-Cabang'!AB$41)</f>
        <v>0</v>
      </c>
      <c r="AC43" s="42">
        <f>SUMIFS('CWO Bulan Ini'!$DA:$DA,'CWO Bulan Ini'!$DJ:$DJ,'Area-Cabang'!$B43,'CWO Bulan Ini'!$DH:$DH,'Area-Cabang'!$E43,'CWO Bulan Ini'!$CZ:$CZ,'Area-Cabang'!AC$41)</f>
        <v>0</v>
      </c>
      <c r="AD43" s="42">
        <f>SUMIFS('CWO Bulan Ini'!$DA:$DA,'CWO Bulan Ini'!$DJ:$DJ,'Area-Cabang'!$B43,'CWO Bulan Ini'!$DH:$DH,'Area-Cabang'!$E43,'CWO Bulan Ini'!$CZ:$CZ,'Area-Cabang'!AD$41)</f>
        <v>0</v>
      </c>
      <c r="AE43" s="42">
        <f>SUMIFS('CWO Bulan Ini'!$DA:$DA,'CWO Bulan Ini'!$DJ:$DJ,'Area-Cabang'!$B43,'CWO Bulan Ini'!$DH:$DH,'Area-Cabang'!$E43,'CWO Bulan Ini'!$CZ:$CZ,'Area-Cabang'!AE$41)</f>
        <v>0</v>
      </c>
      <c r="AF43" s="42">
        <f>SUMIFS('CWO Bulan Ini'!$DA:$DA,'CWO Bulan Ini'!$DJ:$DJ,'Area-Cabang'!$B43,'CWO Bulan Ini'!$DH:$DH,'Area-Cabang'!$E43,'CWO Bulan Ini'!$CZ:$CZ,'Area-Cabang'!AF$41)</f>
        <v>0</v>
      </c>
      <c r="AG43" s="42">
        <f>SUMIFS('CWO Bulan Ini'!$DA:$DA,'CWO Bulan Ini'!$DJ:$DJ,'Area-Cabang'!$B43,'CWO Bulan Ini'!$DH:$DH,'Area-Cabang'!$E43,'CWO Bulan Ini'!$CZ:$CZ,'Area-Cabang'!AG$41)</f>
        <v>0</v>
      </c>
      <c r="AH43" s="42">
        <f>SUMIFS('CWO Bulan Ini'!$DA:$DA,'CWO Bulan Ini'!$DJ:$DJ,'Area-Cabang'!$B43,'CWO Bulan Ini'!$DH:$DH,'Area-Cabang'!$E43,'CWO Bulan Ini'!$CZ:$CZ,'Area-Cabang'!AH$41)</f>
        <v>0</v>
      </c>
      <c r="AI43" s="42">
        <f>SUMIFS('CWO Bulan Ini'!$DA:$DA,'CWO Bulan Ini'!$DJ:$DJ,'Area-Cabang'!$B43,'CWO Bulan Ini'!$DH:$DH,'Area-Cabang'!$E43,'CWO Bulan Ini'!$CZ:$CZ,'Area-Cabang'!AI$41)</f>
        <v>0</v>
      </c>
      <c r="AJ43" s="42">
        <f>SUMIFS('CWO Bulan Ini'!$DA:$DA,'CWO Bulan Ini'!$DJ:$DJ,'Area-Cabang'!$B43,'CWO Bulan Ini'!$DH:$DH,'Area-Cabang'!$E43,'CWO Bulan Ini'!$CZ:$CZ,'Area-Cabang'!AJ$41)</f>
        <v>0</v>
      </c>
      <c r="AK43" s="41">
        <f>SUMIFS('CWO Bulan Ini'!$DD:$DD,'CWO Bulan Ini'!$DJ:$DJ,'Area-Cabang'!$B43,'CWO Bulan Ini'!$DH:$DH,'Area-Cabang'!$E43,'CWO Bulan Ini'!$CZ:$CZ,'Area-Cabang'!AK$41)</f>
        <v>0</v>
      </c>
      <c r="AL43" s="42">
        <f>SUMIFS('CWO Bulan Ini'!$DD:$DD,'CWO Bulan Ini'!$DJ:$DJ,'Area-Cabang'!$B43,'CWO Bulan Ini'!$DH:$DH,'Area-Cabang'!$E43,'CWO Bulan Ini'!$CZ:$CZ,'Area-Cabang'!AL$41)</f>
        <v>0</v>
      </c>
      <c r="AM43" s="42">
        <f>SUMIFS('CWO Bulan Ini'!$DD:$DD,'CWO Bulan Ini'!$DJ:$DJ,'Area-Cabang'!$B43,'CWO Bulan Ini'!$DH:$DH,'Area-Cabang'!$E43,'CWO Bulan Ini'!$CZ:$CZ,'Area-Cabang'!AM$41)</f>
        <v>0</v>
      </c>
      <c r="AN43" s="42">
        <f>SUMIFS('CWO Bulan Ini'!$DD:$DD,'CWO Bulan Ini'!$DJ:$DJ,'Area-Cabang'!$B43,'CWO Bulan Ini'!$DH:$DH,'Area-Cabang'!$E43,'CWO Bulan Ini'!$CZ:$CZ,'Area-Cabang'!AN$41)</f>
        <v>0</v>
      </c>
      <c r="AO43" s="42">
        <f>SUMIFS('CWO Bulan Ini'!$DD:$DD,'CWO Bulan Ini'!$DJ:$DJ,'Area-Cabang'!$B43,'CWO Bulan Ini'!$DH:$DH,'Area-Cabang'!$E43,'CWO Bulan Ini'!$CZ:$CZ,'Area-Cabang'!AO$41)</f>
        <v>0</v>
      </c>
      <c r="AP43" s="42">
        <f>SUMIFS('CWO Bulan Ini'!$DD:$DD,'CWO Bulan Ini'!$DJ:$DJ,'Area-Cabang'!$B43,'CWO Bulan Ini'!$DH:$DH,'Area-Cabang'!$E43,'CWO Bulan Ini'!$CZ:$CZ,'Area-Cabang'!AP$41)</f>
        <v>0</v>
      </c>
      <c r="AQ43" s="42">
        <f>SUMIFS('CWO Bulan Ini'!$DD:$DD,'CWO Bulan Ini'!$DJ:$DJ,'Area-Cabang'!$B43,'CWO Bulan Ini'!$DH:$DH,'Area-Cabang'!$E43,'CWO Bulan Ini'!$CZ:$CZ,'Area-Cabang'!AQ$41)</f>
        <v>0</v>
      </c>
      <c r="AR43" s="42">
        <f>SUMIFS('CWO Bulan Ini'!$DD:$DD,'CWO Bulan Ini'!$DJ:$DJ,'Area-Cabang'!$B43,'CWO Bulan Ini'!$DH:$DH,'Area-Cabang'!$E43,'CWO Bulan Ini'!$CZ:$CZ,'Area-Cabang'!AR$41)</f>
        <v>0</v>
      </c>
      <c r="AS43" s="42">
        <f>SUMIFS('CWO Bulan Ini'!$DD:$DD,'CWO Bulan Ini'!$DJ:$DJ,'Area-Cabang'!$B43,'CWO Bulan Ini'!$DH:$DH,'Area-Cabang'!$E43,'CWO Bulan Ini'!$CZ:$CZ,'Area-Cabang'!AS$41)</f>
        <v>0</v>
      </c>
      <c r="AT43" s="42">
        <f>SUMIFS('CWO Bulan Ini'!$DD:$DD,'CWO Bulan Ini'!$DJ:$DJ,'Area-Cabang'!$B43,'CWO Bulan Ini'!$DH:$DH,'Area-Cabang'!$E43,'CWO Bulan Ini'!$CZ:$CZ,'Area-Cabang'!AT$41)</f>
        <v>0</v>
      </c>
      <c r="AU43" s="42">
        <f>SUMIFS('CWO Bulan Ini'!$DD:$DD,'CWO Bulan Ini'!$DJ:$DJ,'Area-Cabang'!$B43,'CWO Bulan Ini'!$DH:$DH,'Area-Cabang'!$E43,'CWO Bulan Ini'!$CZ:$CZ,'Area-Cabang'!AU$41)</f>
        <v>0</v>
      </c>
      <c r="AV43" s="42">
        <f>SUMIFS('CWO Bulan Ini'!$DD:$DD,'CWO Bulan Ini'!$DJ:$DJ,'Area-Cabang'!$B43,'CWO Bulan Ini'!$DH:$DH,'Area-Cabang'!$E43,'CWO Bulan Ini'!$CZ:$CZ,'Area-Cabang'!AV$41)</f>
        <v>0</v>
      </c>
      <c r="AW43" s="42">
        <f>SUMIFS('CWO Bulan Ini'!$DD:$DD,'CWO Bulan Ini'!$DJ:$DJ,'Area-Cabang'!$B43,'CWO Bulan Ini'!$DH:$DH,'Area-Cabang'!$E43,'CWO Bulan Ini'!$CZ:$CZ,'Area-Cabang'!AW$41)</f>
        <v>0</v>
      </c>
      <c r="AX43" s="42">
        <f>SUMIFS('CWO Bulan Ini'!$DD:$DD,'CWO Bulan Ini'!$DJ:$DJ,'Area-Cabang'!$B43,'CWO Bulan Ini'!$DH:$DH,'Area-Cabang'!$E43,'CWO Bulan Ini'!$CZ:$CZ,'Area-Cabang'!AX$41)</f>
        <v>0</v>
      </c>
      <c r="AY43" s="42">
        <f>SUMIFS('CWO Bulan Ini'!$DD:$DD,'CWO Bulan Ini'!$DJ:$DJ,'Area-Cabang'!$B43,'CWO Bulan Ini'!$DH:$DH,'Area-Cabang'!$E43,'CWO Bulan Ini'!$CZ:$CZ,'Area-Cabang'!AY$41)</f>
        <v>0</v>
      </c>
      <c r="AZ43" s="42">
        <f>SUMIFS('CWO Bulan Ini'!$DD:$DD,'CWO Bulan Ini'!$DJ:$DJ,'Area-Cabang'!$B43,'CWO Bulan Ini'!$DH:$DH,'Area-Cabang'!$E43,'CWO Bulan Ini'!$CZ:$CZ,'Area-Cabang'!AZ$41)</f>
        <v>0</v>
      </c>
      <c r="BA43" s="42">
        <f>SUMIFS('CWO Bulan Ini'!$DD:$DD,'CWO Bulan Ini'!$DJ:$DJ,'Area-Cabang'!$B43,'CWO Bulan Ini'!$DH:$DH,'Area-Cabang'!$E43,'CWO Bulan Ini'!$CZ:$CZ,'Area-Cabang'!BA$41)</f>
        <v>0</v>
      </c>
      <c r="BB43" s="42">
        <f>SUMIFS('CWO Bulan Ini'!$DD:$DD,'CWO Bulan Ini'!$DJ:$DJ,'Area-Cabang'!$B43,'CWO Bulan Ini'!$DH:$DH,'Area-Cabang'!$E43,'CWO Bulan Ini'!$CZ:$CZ,'Area-Cabang'!BB$41)</f>
        <v>0</v>
      </c>
      <c r="BC43" s="42">
        <f>SUMIFS('CWO Bulan Ini'!$DD:$DD,'CWO Bulan Ini'!$DJ:$DJ,'Area-Cabang'!$B43,'CWO Bulan Ini'!$DH:$DH,'Area-Cabang'!$E43,'CWO Bulan Ini'!$CZ:$CZ,'Area-Cabang'!BC$41)</f>
        <v>0</v>
      </c>
      <c r="BD43" s="42">
        <f>SUMIFS('CWO Bulan Ini'!$DD:$DD,'CWO Bulan Ini'!$DJ:$DJ,'Area-Cabang'!$B43,'CWO Bulan Ini'!$DH:$DH,'Area-Cabang'!$E43,'CWO Bulan Ini'!$CZ:$CZ,'Area-Cabang'!BD$41)</f>
        <v>0</v>
      </c>
      <c r="BE43" s="42">
        <f>SUMIFS('CWO Bulan Ini'!$DD:$DD,'CWO Bulan Ini'!$DJ:$DJ,'Area-Cabang'!$B43,'CWO Bulan Ini'!$DH:$DH,'Area-Cabang'!$E43,'CWO Bulan Ini'!$CZ:$CZ,'Area-Cabang'!BE$41)</f>
        <v>0</v>
      </c>
      <c r="BF43" s="42">
        <f>SUMIFS('CWO Bulan Ini'!$DD:$DD,'CWO Bulan Ini'!$DJ:$DJ,'Area-Cabang'!$B43,'CWO Bulan Ini'!$DH:$DH,'Area-Cabang'!$E43,'CWO Bulan Ini'!$CZ:$CZ,'Area-Cabang'!BF$41)</f>
        <v>0</v>
      </c>
      <c r="BG43" s="42">
        <f>SUMIFS('CWO Bulan Ini'!$DD:$DD,'CWO Bulan Ini'!$DJ:$DJ,'Area-Cabang'!$B43,'CWO Bulan Ini'!$DH:$DH,'Area-Cabang'!$E43,'CWO Bulan Ini'!$CZ:$CZ,'Area-Cabang'!BG$41)</f>
        <v>0</v>
      </c>
      <c r="BH43" s="42">
        <f>SUMIFS('CWO Bulan Ini'!$DD:$DD,'CWO Bulan Ini'!$DJ:$DJ,'Area-Cabang'!$B43,'CWO Bulan Ini'!$DH:$DH,'Area-Cabang'!$E43,'CWO Bulan Ini'!$CZ:$CZ,'Area-Cabang'!BH$41)</f>
        <v>0</v>
      </c>
      <c r="BI43" s="42">
        <f>SUMIFS('CWO Bulan Ini'!$DD:$DD,'CWO Bulan Ini'!$DJ:$DJ,'Area-Cabang'!$B43,'CWO Bulan Ini'!$DH:$DH,'Area-Cabang'!$E43,'CWO Bulan Ini'!$CZ:$CZ,'Area-Cabang'!BI$41)</f>
        <v>0</v>
      </c>
      <c r="BJ43" s="42">
        <f>SUMIFS('CWO Bulan Ini'!$DD:$DD,'CWO Bulan Ini'!$DJ:$DJ,'Area-Cabang'!$B43,'CWO Bulan Ini'!$DH:$DH,'Area-Cabang'!$E43,'CWO Bulan Ini'!$CZ:$CZ,'Area-Cabang'!BJ$41)</f>
        <v>0</v>
      </c>
      <c r="BK43" s="42">
        <f>SUMIFS('CWO Bulan Ini'!$DD:$DD,'CWO Bulan Ini'!$DJ:$DJ,'Area-Cabang'!$B43,'CWO Bulan Ini'!$DH:$DH,'Area-Cabang'!$E43,'CWO Bulan Ini'!$CZ:$CZ,'Area-Cabang'!BK$41)</f>
        <v>0</v>
      </c>
      <c r="BL43" s="42">
        <f>SUMIFS('CWO Bulan Ini'!$DD:$DD,'CWO Bulan Ini'!$DJ:$DJ,'Area-Cabang'!$B43,'CWO Bulan Ini'!$DH:$DH,'Area-Cabang'!$E43,'CWO Bulan Ini'!$CZ:$CZ,'Area-Cabang'!BL$41)</f>
        <v>0</v>
      </c>
      <c r="BM43" s="42">
        <f>SUMIFS('CWO Bulan Ini'!$DD:$DD,'CWO Bulan Ini'!$DJ:$DJ,'Area-Cabang'!$B43,'CWO Bulan Ini'!$DH:$DH,'Area-Cabang'!$E43,'CWO Bulan Ini'!$CZ:$CZ,'Area-Cabang'!BM$41)</f>
        <v>0</v>
      </c>
      <c r="BN43" s="42">
        <f>SUMIFS('CWO Bulan Ini'!$DD:$DD,'CWO Bulan Ini'!$DJ:$DJ,'Area-Cabang'!$B43,'CWO Bulan Ini'!$DH:$DH,'Area-Cabang'!$E43,'CWO Bulan Ini'!$CZ:$CZ,'Area-Cabang'!BN$41)</f>
        <v>0</v>
      </c>
      <c r="BO43" s="43">
        <f>SUMIFS('CWO Bulan Ini'!$DD:$DD,'CWO Bulan Ini'!$DJ:$DJ,'Area-Cabang'!$B43,'CWO Bulan Ini'!$DH:$DH,'Area-Cabang'!$E43,'CWO Bulan Ini'!$CZ:$CZ,'Area-Cabang'!BO$41)</f>
        <v>0</v>
      </c>
      <c r="BP43" s="41">
        <f>SUMIFS('CWO Bulan Ini'!$DC:$DC,'CWO Bulan Ini'!$DJ:$DJ,'Area-Cabang'!$B43,'CWO Bulan Ini'!$DH:$DH,'Area-Cabang'!$E43,'CWO Bulan Ini'!$CZ:$CZ,'Area-Cabang'!BP$41)</f>
        <v>0</v>
      </c>
      <c r="BQ43" s="42">
        <f>SUMIFS('CWO Bulan Ini'!$DC:$DC,'CWO Bulan Ini'!$DJ:$DJ,'Area-Cabang'!$B43,'CWO Bulan Ini'!$DH:$DH,'Area-Cabang'!$E43,'CWO Bulan Ini'!$CZ:$CZ,'Area-Cabang'!BQ$41)</f>
        <v>0</v>
      </c>
      <c r="BR43" s="42">
        <f>SUMIFS('CWO Bulan Ini'!$DC:$DC,'CWO Bulan Ini'!$DJ:$DJ,'Area-Cabang'!$B43,'CWO Bulan Ini'!$DH:$DH,'Area-Cabang'!$E43,'CWO Bulan Ini'!$CZ:$CZ,'Area-Cabang'!BR$41)</f>
        <v>0</v>
      </c>
      <c r="BS43" s="42">
        <f>SUMIFS('CWO Bulan Ini'!$DC:$DC,'CWO Bulan Ini'!$DJ:$DJ,'Area-Cabang'!$B43,'CWO Bulan Ini'!$DH:$DH,'Area-Cabang'!$E43,'CWO Bulan Ini'!$CZ:$CZ,'Area-Cabang'!BS$41)</f>
        <v>0</v>
      </c>
      <c r="BT43" s="42">
        <f>SUMIFS('CWO Bulan Ini'!$DC:$DC,'CWO Bulan Ini'!$DJ:$DJ,'Area-Cabang'!$B43,'CWO Bulan Ini'!$DH:$DH,'Area-Cabang'!$E43,'CWO Bulan Ini'!$CZ:$CZ,'Area-Cabang'!BT$41)</f>
        <v>0</v>
      </c>
      <c r="BU43" s="42">
        <f>SUMIFS('CWO Bulan Ini'!$DC:$DC,'CWO Bulan Ini'!$DJ:$DJ,'Area-Cabang'!$B43,'CWO Bulan Ini'!$DH:$DH,'Area-Cabang'!$E43,'CWO Bulan Ini'!$CZ:$CZ,'Area-Cabang'!BU$41)</f>
        <v>0</v>
      </c>
      <c r="BV43" s="42">
        <f>SUMIFS('CWO Bulan Ini'!$DC:$DC,'CWO Bulan Ini'!$DJ:$DJ,'Area-Cabang'!$B43,'CWO Bulan Ini'!$DH:$DH,'Area-Cabang'!$E43,'CWO Bulan Ini'!$CZ:$CZ,'Area-Cabang'!BV$41)</f>
        <v>0</v>
      </c>
      <c r="BW43" s="42">
        <f>SUMIFS('CWO Bulan Ini'!$DC:$DC,'CWO Bulan Ini'!$DJ:$DJ,'Area-Cabang'!$B43,'CWO Bulan Ini'!$DH:$DH,'Area-Cabang'!$E43,'CWO Bulan Ini'!$CZ:$CZ,'Area-Cabang'!BW$41)</f>
        <v>0</v>
      </c>
      <c r="BX43" s="42">
        <f>SUMIFS('CWO Bulan Ini'!$DC:$DC,'CWO Bulan Ini'!$DJ:$DJ,'Area-Cabang'!$B43,'CWO Bulan Ini'!$DH:$DH,'Area-Cabang'!$E43,'CWO Bulan Ini'!$CZ:$CZ,'Area-Cabang'!BX$41)</f>
        <v>0</v>
      </c>
      <c r="BY43" s="42">
        <f>SUMIFS('CWO Bulan Ini'!$DC:$DC,'CWO Bulan Ini'!$DJ:$DJ,'Area-Cabang'!$B43,'CWO Bulan Ini'!$DH:$DH,'Area-Cabang'!$E43,'CWO Bulan Ini'!$CZ:$CZ,'Area-Cabang'!BY$41)</f>
        <v>0</v>
      </c>
      <c r="BZ43" s="42">
        <f>SUMIFS('CWO Bulan Ini'!$DC:$DC,'CWO Bulan Ini'!$DJ:$DJ,'Area-Cabang'!$B43,'CWO Bulan Ini'!$DH:$DH,'Area-Cabang'!$E43,'CWO Bulan Ini'!$CZ:$CZ,'Area-Cabang'!BZ$41)</f>
        <v>0</v>
      </c>
      <c r="CA43" s="42">
        <f>SUMIFS('CWO Bulan Ini'!$DC:$DC,'CWO Bulan Ini'!$DJ:$DJ,'Area-Cabang'!$B43,'CWO Bulan Ini'!$DH:$DH,'Area-Cabang'!$E43,'CWO Bulan Ini'!$CZ:$CZ,'Area-Cabang'!CA$41)</f>
        <v>0</v>
      </c>
      <c r="CB43" s="42">
        <f>SUMIFS('CWO Bulan Ini'!$DC:$DC,'CWO Bulan Ini'!$DJ:$DJ,'Area-Cabang'!$B43,'CWO Bulan Ini'!$DH:$DH,'Area-Cabang'!$E43,'CWO Bulan Ini'!$CZ:$CZ,'Area-Cabang'!CB$41)</f>
        <v>0</v>
      </c>
      <c r="CC43" s="42">
        <f>SUMIFS('CWO Bulan Ini'!$DC:$DC,'CWO Bulan Ini'!$DJ:$DJ,'Area-Cabang'!$B43,'CWO Bulan Ini'!$DH:$DH,'Area-Cabang'!$E43,'CWO Bulan Ini'!$CZ:$CZ,'Area-Cabang'!CC$41)</f>
        <v>0</v>
      </c>
      <c r="CD43" s="42">
        <f>SUMIFS('CWO Bulan Ini'!$DC:$DC,'CWO Bulan Ini'!$DJ:$DJ,'Area-Cabang'!$B43,'CWO Bulan Ini'!$DH:$DH,'Area-Cabang'!$E43,'CWO Bulan Ini'!$CZ:$CZ,'Area-Cabang'!CD$41)</f>
        <v>0</v>
      </c>
      <c r="CE43" s="42">
        <f>SUMIFS('CWO Bulan Ini'!$DC:$DC,'CWO Bulan Ini'!$DJ:$DJ,'Area-Cabang'!$B43,'CWO Bulan Ini'!$DH:$DH,'Area-Cabang'!$E43,'CWO Bulan Ini'!$CZ:$CZ,'Area-Cabang'!CE$41)</f>
        <v>0</v>
      </c>
      <c r="CF43" s="42">
        <f>SUMIFS('CWO Bulan Ini'!$DC:$DC,'CWO Bulan Ini'!$DJ:$DJ,'Area-Cabang'!$B43,'CWO Bulan Ini'!$DH:$DH,'Area-Cabang'!$E43,'CWO Bulan Ini'!$CZ:$CZ,'Area-Cabang'!CF$41)</f>
        <v>0</v>
      </c>
      <c r="CG43" s="42">
        <f>SUMIFS('CWO Bulan Ini'!$DC:$DC,'CWO Bulan Ini'!$DJ:$DJ,'Area-Cabang'!$B43,'CWO Bulan Ini'!$DH:$DH,'Area-Cabang'!$E43,'CWO Bulan Ini'!$CZ:$CZ,'Area-Cabang'!CG$41)</f>
        <v>0</v>
      </c>
      <c r="CH43" s="42">
        <f>SUMIFS('CWO Bulan Ini'!$DC:$DC,'CWO Bulan Ini'!$DJ:$DJ,'Area-Cabang'!$B43,'CWO Bulan Ini'!$DH:$DH,'Area-Cabang'!$E43,'CWO Bulan Ini'!$CZ:$CZ,'Area-Cabang'!CH$41)</f>
        <v>0</v>
      </c>
      <c r="CI43" s="42">
        <f>SUMIFS('CWO Bulan Ini'!$DC:$DC,'CWO Bulan Ini'!$DJ:$DJ,'Area-Cabang'!$B43,'CWO Bulan Ini'!$DH:$DH,'Area-Cabang'!$E43,'CWO Bulan Ini'!$CZ:$CZ,'Area-Cabang'!CI$41)</f>
        <v>0</v>
      </c>
      <c r="CJ43" s="42">
        <f>SUMIFS('CWO Bulan Ini'!$DC:$DC,'CWO Bulan Ini'!$DJ:$DJ,'Area-Cabang'!$B43,'CWO Bulan Ini'!$DH:$DH,'Area-Cabang'!$E43,'CWO Bulan Ini'!$CZ:$CZ,'Area-Cabang'!CJ$41)</f>
        <v>0</v>
      </c>
      <c r="CK43" s="42">
        <f>SUMIFS('CWO Bulan Ini'!$DC:$DC,'CWO Bulan Ini'!$DJ:$DJ,'Area-Cabang'!$B43,'CWO Bulan Ini'!$DH:$DH,'Area-Cabang'!$E43,'CWO Bulan Ini'!$CZ:$CZ,'Area-Cabang'!CK$41)</f>
        <v>0</v>
      </c>
      <c r="CL43" s="42">
        <f>SUMIFS('CWO Bulan Ini'!$DC:$DC,'CWO Bulan Ini'!$DJ:$DJ,'Area-Cabang'!$B43,'CWO Bulan Ini'!$DH:$DH,'Area-Cabang'!$E43,'CWO Bulan Ini'!$CZ:$CZ,'Area-Cabang'!CL$41)</f>
        <v>0</v>
      </c>
      <c r="CM43" s="42">
        <f>SUMIFS('CWO Bulan Ini'!$DC:$DC,'CWO Bulan Ini'!$DJ:$DJ,'Area-Cabang'!$B43,'CWO Bulan Ini'!$DH:$DH,'Area-Cabang'!$E43,'CWO Bulan Ini'!$CZ:$CZ,'Area-Cabang'!CM$41)</f>
        <v>0</v>
      </c>
      <c r="CN43" s="42">
        <f>SUMIFS('CWO Bulan Ini'!$DC:$DC,'CWO Bulan Ini'!$DJ:$DJ,'Area-Cabang'!$B43,'CWO Bulan Ini'!$DH:$DH,'Area-Cabang'!$E43,'CWO Bulan Ini'!$CZ:$CZ,'Area-Cabang'!CN$41)</f>
        <v>0</v>
      </c>
      <c r="CO43" s="42">
        <f>SUMIFS('CWO Bulan Ini'!$DC:$DC,'CWO Bulan Ini'!$DJ:$DJ,'Area-Cabang'!$B43,'CWO Bulan Ini'!$DH:$DH,'Area-Cabang'!$E43,'CWO Bulan Ini'!$CZ:$CZ,'Area-Cabang'!CO$41)</f>
        <v>0</v>
      </c>
      <c r="CP43" s="42">
        <f>SUMIFS('CWO Bulan Ini'!$DC:$DC,'CWO Bulan Ini'!$DJ:$DJ,'Area-Cabang'!$B43,'CWO Bulan Ini'!$DH:$DH,'Area-Cabang'!$E43,'CWO Bulan Ini'!$CZ:$CZ,'Area-Cabang'!CP$41)</f>
        <v>0</v>
      </c>
      <c r="CQ43" s="42">
        <f>SUMIFS('CWO Bulan Ini'!$DC:$DC,'CWO Bulan Ini'!$DJ:$DJ,'Area-Cabang'!$B43,'CWO Bulan Ini'!$DH:$DH,'Area-Cabang'!$E43,'CWO Bulan Ini'!$CZ:$CZ,'Area-Cabang'!CQ$41)</f>
        <v>0</v>
      </c>
      <c r="CR43" s="42">
        <f>SUMIFS('CWO Bulan Ini'!$DC:$DC,'CWO Bulan Ini'!$DJ:$DJ,'Area-Cabang'!$B43,'CWO Bulan Ini'!$DH:$DH,'Area-Cabang'!$E43,'CWO Bulan Ini'!$CZ:$CZ,'Area-Cabang'!CR$41)</f>
        <v>0</v>
      </c>
      <c r="CS43" s="42">
        <f>SUMIFS('CWO Bulan Ini'!$DC:$DC,'CWO Bulan Ini'!$DJ:$DJ,'Area-Cabang'!$B43,'CWO Bulan Ini'!$DH:$DH,'Area-Cabang'!$E43,'CWO Bulan Ini'!$CZ:$CZ,'Area-Cabang'!CS$41)</f>
        <v>0</v>
      </c>
      <c r="CT43" s="43">
        <f>SUMIFS('CWO Bulan Ini'!$DC:$DC,'CWO Bulan Ini'!$DJ:$DJ,'Area-Cabang'!$B43,'CWO Bulan Ini'!$DH:$DH,'Area-Cabang'!$E43,'CWO Bulan Ini'!$CZ:$CZ,'Area-Cabang'!CT$41)</f>
        <v>0</v>
      </c>
      <c r="CV43" s="96">
        <f>SUM(F43:AJ43)</f>
        <v>0</v>
      </c>
      <c r="CW43" s="93">
        <f>SUM(AK43:BO43)</f>
        <v>0</v>
      </c>
      <c r="CX43" s="93">
        <f>SUM(BP43:CT43)</f>
        <v>0</v>
      </c>
      <c r="CY43" s="93">
        <f>CV43-CW43-CX43</f>
        <v>0</v>
      </c>
      <c r="CZ43" s="106">
        <f>CY43+CW43</f>
        <v>0</v>
      </c>
    </row>
    <row r="44" spans="1:104" ht="17.55" customHeight="1" x14ac:dyDescent="0.25">
      <c r="A44" s="58" t="s">
        <v>465</v>
      </c>
      <c r="B44" s="53" t="s">
        <v>808</v>
      </c>
      <c r="C44" s="250"/>
      <c r="D44" s="227" t="s">
        <v>808</v>
      </c>
      <c r="E44" s="228"/>
      <c r="F44" s="219">
        <f t="shared" ref="F44" si="986">SUM(F42:F43)</f>
        <v>0</v>
      </c>
      <c r="G44" s="220">
        <f t="shared" ref="G44" si="987">SUM(G42:G43)</f>
        <v>0</v>
      </c>
      <c r="H44" s="220">
        <f t="shared" ref="H44" si="988">SUM(H42:H43)</f>
        <v>0</v>
      </c>
      <c r="I44" s="220">
        <f t="shared" ref="I44" si="989">SUM(I42:I43)</f>
        <v>0</v>
      </c>
      <c r="J44" s="220">
        <f t="shared" ref="J44" si="990">SUM(J42:J43)</f>
        <v>120.62451383</v>
      </c>
      <c r="K44" s="220">
        <f t="shared" ref="K44" si="991">SUM(K42:K43)</f>
        <v>0</v>
      </c>
      <c r="L44" s="220">
        <f t="shared" ref="L44" si="992">SUM(L42:L43)</f>
        <v>0</v>
      </c>
      <c r="M44" s="220">
        <f t="shared" ref="M44" si="993">SUM(M42:M43)</f>
        <v>0</v>
      </c>
      <c r="N44" s="220">
        <f t="shared" ref="N44" si="994">SUM(N42:N43)</f>
        <v>0</v>
      </c>
      <c r="O44" s="220">
        <f t="shared" ref="O44" si="995">SUM(O42:O43)</f>
        <v>0</v>
      </c>
      <c r="P44" s="220">
        <f t="shared" ref="P44" si="996">SUM(P42:P43)</f>
        <v>0</v>
      </c>
      <c r="Q44" s="220">
        <f t="shared" ref="Q44" si="997">SUM(Q42:Q43)</f>
        <v>0</v>
      </c>
      <c r="R44" s="220">
        <f t="shared" ref="R44" si="998">SUM(R42:R43)</f>
        <v>0</v>
      </c>
      <c r="S44" s="220">
        <f t="shared" ref="S44" si="999">SUM(S42:S43)</f>
        <v>0</v>
      </c>
      <c r="T44" s="220">
        <f t="shared" ref="T44" si="1000">SUM(T42:T43)</f>
        <v>0</v>
      </c>
      <c r="U44" s="220">
        <f t="shared" ref="U44" si="1001">SUM(U42:U43)</f>
        <v>0</v>
      </c>
      <c r="V44" s="220">
        <f t="shared" ref="V44" si="1002">SUM(V42:V43)</f>
        <v>0</v>
      </c>
      <c r="W44" s="220">
        <f t="shared" ref="W44" si="1003">SUM(W42:W43)</f>
        <v>200.07037828</v>
      </c>
      <c r="X44" s="220">
        <f t="shared" ref="X44" si="1004">SUM(X42:X43)</f>
        <v>0</v>
      </c>
      <c r="Y44" s="220">
        <f t="shared" ref="Y44" si="1005">SUM(Y42:Y43)</f>
        <v>0</v>
      </c>
      <c r="Z44" s="220">
        <f t="shared" ref="Z44" si="1006">SUM(Z42:Z43)</f>
        <v>0</v>
      </c>
      <c r="AA44" s="220">
        <f t="shared" ref="AA44" si="1007">SUM(AA42:AA43)</f>
        <v>0</v>
      </c>
      <c r="AB44" s="220">
        <f t="shared" ref="AB44" si="1008">SUM(AB42:AB43)</f>
        <v>104.72698468</v>
      </c>
      <c r="AC44" s="220">
        <f t="shared" ref="AC44" si="1009">SUM(AC42:AC43)</f>
        <v>0</v>
      </c>
      <c r="AD44" s="220">
        <f t="shared" ref="AD44" si="1010">SUM(AD42:AD43)</f>
        <v>0</v>
      </c>
      <c r="AE44" s="220">
        <f t="shared" ref="AE44" si="1011">SUM(AE42:AE43)</f>
        <v>0</v>
      </c>
      <c r="AF44" s="220">
        <f t="shared" ref="AF44" si="1012">SUM(AF42:AF43)</f>
        <v>0</v>
      </c>
      <c r="AG44" s="220">
        <f t="shared" ref="AG44" si="1013">SUM(AG42:AG43)</f>
        <v>0</v>
      </c>
      <c r="AH44" s="220">
        <f t="shared" ref="AH44" si="1014">SUM(AH42:AH43)</f>
        <v>0</v>
      </c>
      <c r="AI44" s="220">
        <f t="shared" ref="AI44" si="1015">SUM(AI42:AI43)</f>
        <v>0</v>
      </c>
      <c r="AJ44" s="220">
        <f t="shared" ref="AJ44" si="1016">SUM(AJ42:AJ43)</f>
        <v>0</v>
      </c>
      <c r="AK44" s="219">
        <f t="shared" ref="AK44" si="1017">SUM(AK42:AK43)</f>
        <v>0</v>
      </c>
      <c r="AL44" s="220">
        <f t="shared" ref="AL44" si="1018">SUM(AL42:AL43)</f>
        <v>0</v>
      </c>
      <c r="AM44" s="220">
        <f t="shared" ref="AM44" si="1019">SUM(AM42:AM43)</f>
        <v>0</v>
      </c>
      <c r="AN44" s="220">
        <f t="shared" ref="AN44" si="1020">SUM(AN42:AN43)</f>
        <v>0</v>
      </c>
      <c r="AO44" s="220">
        <f t="shared" ref="AO44" si="1021">SUM(AO42:AO43)</f>
        <v>120.62451383</v>
      </c>
      <c r="AP44" s="220">
        <f t="shared" ref="AP44" si="1022">SUM(AP42:AP43)</f>
        <v>0</v>
      </c>
      <c r="AQ44" s="220">
        <f t="shared" ref="AQ44" si="1023">SUM(AQ42:AQ43)</f>
        <v>0</v>
      </c>
      <c r="AR44" s="220">
        <f t="shared" ref="AR44" si="1024">SUM(AR42:AR43)</f>
        <v>0</v>
      </c>
      <c r="AS44" s="220">
        <f t="shared" ref="AS44" si="1025">SUM(AS42:AS43)</f>
        <v>0</v>
      </c>
      <c r="AT44" s="220">
        <f t="shared" ref="AT44" si="1026">SUM(AT42:AT43)</f>
        <v>0</v>
      </c>
      <c r="AU44" s="220">
        <f t="shared" ref="AU44" si="1027">SUM(AU42:AU43)</f>
        <v>0</v>
      </c>
      <c r="AV44" s="220">
        <f t="shared" ref="AV44" si="1028">SUM(AV42:AV43)</f>
        <v>0</v>
      </c>
      <c r="AW44" s="220">
        <f t="shared" ref="AW44" si="1029">SUM(AW42:AW43)</f>
        <v>0</v>
      </c>
      <c r="AX44" s="220">
        <f t="shared" ref="AX44" si="1030">SUM(AX42:AX43)</f>
        <v>0</v>
      </c>
      <c r="AY44" s="220">
        <f t="shared" ref="AY44" si="1031">SUM(AY42:AY43)</f>
        <v>0</v>
      </c>
      <c r="AZ44" s="220">
        <f t="shared" ref="AZ44" si="1032">SUM(AZ42:AZ43)</f>
        <v>0</v>
      </c>
      <c r="BA44" s="220">
        <f t="shared" ref="BA44" si="1033">SUM(BA42:BA43)</f>
        <v>0</v>
      </c>
      <c r="BB44" s="220">
        <f t="shared" ref="BB44" si="1034">SUM(BB42:BB43)</f>
        <v>0</v>
      </c>
      <c r="BC44" s="220">
        <f t="shared" ref="BC44" si="1035">SUM(BC42:BC43)</f>
        <v>0</v>
      </c>
      <c r="BD44" s="220">
        <f t="shared" ref="BD44" si="1036">SUM(BD42:BD43)</f>
        <v>0</v>
      </c>
      <c r="BE44" s="220">
        <f t="shared" ref="BE44" si="1037">SUM(BE42:BE43)</f>
        <v>0</v>
      </c>
      <c r="BF44" s="220">
        <f t="shared" ref="BF44" si="1038">SUM(BF42:BF43)</f>
        <v>0</v>
      </c>
      <c r="BG44" s="220">
        <f t="shared" ref="BG44" si="1039">SUM(BG42:BG43)</f>
        <v>0</v>
      </c>
      <c r="BH44" s="220">
        <f t="shared" ref="BH44" si="1040">SUM(BH42:BH43)</f>
        <v>0</v>
      </c>
      <c r="BI44" s="220">
        <f t="shared" ref="BI44" si="1041">SUM(BI42:BI43)</f>
        <v>0</v>
      </c>
      <c r="BJ44" s="220">
        <f t="shared" ref="BJ44" si="1042">SUM(BJ42:BJ43)</f>
        <v>0</v>
      </c>
      <c r="BK44" s="220">
        <f t="shared" ref="BK44" si="1043">SUM(BK42:BK43)</f>
        <v>0</v>
      </c>
      <c r="BL44" s="220">
        <f t="shared" ref="BL44" si="1044">SUM(BL42:BL43)</f>
        <v>0</v>
      </c>
      <c r="BM44" s="220">
        <f t="shared" ref="BM44" si="1045">SUM(BM42:BM43)</f>
        <v>0</v>
      </c>
      <c r="BN44" s="220">
        <f t="shared" ref="BN44" si="1046">SUM(BN42:BN43)</f>
        <v>0</v>
      </c>
      <c r="BO44" s="221">
        <f t="shared" ref="BO44" si="1047">SUM(BO42:BO43)</f>
        <v>0</v>
      </c>
      <c r="BP44" s="219">
        <f t="shared" ref="BP44" si="1048">SUM(BP42:BP43)</f>
        <v>0</v>
      </c>
      <c r="BQ44" s="220">
        <f t="shared" ref="BQ44" si="1049">SUM(BQ42:BQ43)</f>
        <v>0</v>
      </c>
      <c r="BR44" s="220">
        <f t="shared" ref="BR44" si="1050">SUM(BR42:BR43)</f>
        <v>0</v>
      </c>
      <c r="BS44" s="220">
        <f t="shared" ref="BS44" si="1051">SUM(BS42:BS43)</f>
        <v>0</v>
      </c>
      <c r="BT44" s="220">
        <f t="shared" ref="BT44" si="1052">SUM(BT42:BT43)</f>
        <v>0</v>
      </c>
      <c r="BU44" s="220">
        <f t="shared" ref="BU44" si="1053">SUM(BU42:BU43)</f>
        <v>0</v>
      </c>
      <c r="BV44" s="220">
        <f t="shared" ref="BV44" si="1054">SUM(BV42:BV43)</f>
        <v>0</v>
      </c>
      <c r="BW44" s="220">
        <f t="shared" ref="BW44" si="1055">SUM(BW42:BW43)</f>
        <v>0</v>
      </c>
      <c r="BX44" s="220">
        <f t="shared" ref="BX44" si="1056">SUM(BX42:BX43)</f>
        <v>0</v>
      </c>
      <c r="BY44" s="220">
        <f t="shared" ref="BY44" si="1057">SUM(BY42:BY43)</f>
        <v>0</v>
      </c>
      <c r="BZ44" s="220">
        <f t="shared" ref="BZ44" si="1058">SUM(BZ42:BZ43)</f>
        <v>0</v>
      </c>
      <c r="CA44" s="220">
        <f t="shared" ref="CA44" si="1059">SUM(CA42:CA43)</f>
        <v>0</v>
      </c>
      <c r="CB44" s="220">
        <f t="shared" ref="CB44" si="1060">SUM(CB42:CB43)</f>
        <v>0</v>
      </c>
      <c r="CC44" s="220">
        <f t="shared" ref="CC44" si="1061">SUM(CC42:CC43)</f>
        <v>0</v>
      </c>
      <c r="CD44" s="220">
        <f t="shared" ref="CD44" si="1062">SUM(CD42:CD43)</f>
        <v>0</v>
      </c>
      <c r="CE44" s="220">
        <f t="shared" ref="CE44" si="1063">SUM(CE42:CE43)</f>
        <v>0</v>
      </c>
      <c r="CF44" s="220">
        <f t="shared" ref="CF44" si="1064">SUM(CF42:CF43)</f>
        <v>0</v>
      </c>
      <c r="CG44" s="220">
        <f t="shared" ref="CG44" si="1065">SUM(CG42:CG43)</f>
        <v>0</v>
      </c>
      <c r="CH44" s="220">
        <f t="shared" ref="CH44" si="1066">SUM(CH42:CH43)</f>
        <v>0</v>
      </c>
      <c r="CI44" s="220">
        <f t="shared" ref="CI44" si="1067">SUM(CI42:CI43)</f>
        <v>0</v>
      </c>
      <c r="CJ44" s="220">
        <f t="shared" ref="CJ44" si="1068">SUM(CJ42:CJ43)</f>
        <v>0</v>
      </c>
      <c r="CK44" s="220">
        <f t="shared" ref="CK44" si="1069">SUM(CK42:CK43)</f>
        <v>0</v>
      </c>
      <c r="CL44" s="220">
        <f t="shared" ref="CL44" si="1070">SUM(CL42:CL43)</f>
        <v>0</v>
      </c>
      <c r="CM44" s="220">
        <f t="shared" ref="CM44" si="1071">SUM(CM42:CM43)</f>
        <v>0</v>
      </c>
      <c r="CN44" s="220">
        <f t="shared" ref="CN44" si="1072">SUM(CN42:CN43)</f>
        <v>0</v>
      </c>
      <c r="CO44" s="220">
        <f t="shared" ref="CO44" si="1073">SUM(CO42:CO43)</f>
        <v>0</v>
      </c>
      <c r="CP44" s="220">
        <f t="shared" ref="CP44" si="1074">SUM(CP42:CP43)</f>
        <v>0</v>
      </c>
      <c r="CQ44" s="220">
        <f t="shared" ref="CQ44" si="1075">SUM(CQ42:CQ43)</f>
        <v>0</v>
      </c>
      <c r="CR44" s="220">
        <f t="shared" ref="CR44" si="1076">SUM(CR42:CR43)</f>
        <v>0</v>
      </c>
      <c r="CS44" s="220">
        <f t="shared" ref="CS44" si="1077">SUM(CS42:CS43)</f>
        <v>0</v>
      </c>
      <c r="CT44" s="221">
        <f t="shared" ref="CT44" si="1078">SUM(CT42:CT43)</f>
        <v>0</v>
      </c>
      <c r="CU44" s="226"/>
      <c r="CV44" s="219">
        <f t="shared" ref="CV44" si="1079">SUM(CV42:CV43)</f>
        <v>425.42187679</v>
      </c>
      <c r="CW44" s="220">
        <f t="shared" ref="CW44" si="1080">SUM(CW42:CW43)</f>
        <v>120.62451383</v>
      </c>
      <c r="CX44" s="220">
        <f t="shared" ref="CX44" si="1081">SUM(CX42:CX43)</f>
        <v>0</v>
      </c>
      <c r="CY44" s="220">
        <f t="shared" ref="CY44" si="1082">SUM(CY42:CY43)</f>
        <v>304.79736295999999</v>
      </c>
      <c r="CZ44" s="222">
        <f t="shared" ref="CZ44" si="1083">SUM(CZ42:CZ43)</f>
        <v>425.42187679</v>
      </c>
    </row>
    <row r="45" spans="1:104" ht="15" customHeight="1" x14ac:dyDescent="0.25">
      <c r="A45" s="58" t="s">
        <v>465</v>
      </c>
      <c r="B45" s="53" t="s">
        <v>11</v>
      </c>
      <c r="C45" s="250"/>
      <c r="D45" s="245" t="s">
        <v>11</v>
      </c>
      <c r="E45" s="85" t="s">
        <v>132</v>
      </c>
      <c r="F45" s="55">
        <f>SUMIFS('CWO Bulan Ini'!$DA:$DA,'CWO Bulan Ini'!$DJ:$DJ,'Area-Cabang'!$B45,'CWO Bulan Ini'!$DH:$DH,'Area-Cabang'!$E45,'CWO Bulan Ini'!$CZ:$CZ,'Area-Cabang'!F$41)</f>
        <v>0</v>
      </c>
      <c r="G45" s="56">
        <f>SUMIFS('CWO Bulan Ini'!$DA:$DA,'CWO Bulan Ini'!$DJ:$DJ,'Area-Cabang'!$B45,'CWO Bulan Ini'!$DH:$DH,'Area-Cabang'!$E45,'CWO Bulan Ini'!$CZ:$CZ,'Area-Cabang'!G$41)</f>
        <v>0</v>
      </c>
      <c r="H45" s="56">
        <f>SUMIFS('CWO Bulan Ini'!$DA:$DA,'CWO Bulan Ini'!$DJ:$DJ,'Area-Cabang'!$B45,'CWO Bulan Ini'!$DH:$DH,'Area-Cabang'!$E45,'CWO Bulan Ini'!$CZ:$CZ,'Area-Cabang'!H$41)</f>
        <v>0</v>
      </c>
      <c r="I45" s="56">
        <f>SUMIFS('CWO Bulan Ini'!$DA:$DA,'CWO Bulan Ini'!$DJ:$DJ,'Area-Cabang'!$B45,'CWO Bulan Ini'!$DH:$DH,'Area-Cabang'!$E45,'CWO Bulan Ini'!$CZ:$CZ,'Area-Cabang'!I$41)</f>
        <v>189.78896786999999</v>
      </c>
      <c r="J45" s="56">
        <f>SUMIFS('CWO Bulan Ini'!$DA:$DA,'CWO Bulan Ini'!$DJ:$DJ,'Area-Cabang'!$B45,'CWO Bulan Ini'!$DH:$DH,'Area-Cabang'!$E45,'CWO Bulan Ini'!$CZ:$CZ,'Area-Cabang'!J$41)</f>
        <v>0</v>
      </c>
      <c r="K45" s="56">
        <f>SUMIFS('CWO Bulan Ini'!$DA:$DA,'CWO Bulan Ini'!$DJ:$DJ,'Area-Cabang'!$B45,'CWO Bulan Ini'!$DH:$DH,'Area-Cabang'!$E45,'CWO Bulan Ini'!$CZ:$CZ,'Area-Cabang'!K$41)</f>
        <v>0</v>
      </c>
      <c r="L45" s="56">
        <f>SUMIFS('CWO Bulan Ini'!$DA:$DA,'CWO Bulan Ini'!$DJ:$DJ,'Area-Cabang'!$B45,'CWO Bulan Ini'!$DH:$DH,'Area-Cabang'!$E45,'CWO Bulan Ini'!$CZ:$CZ,'Area-Cabang'!L$41)</f>
        <v>0</v>
      </c>
      <c r="M45" s="56">
        <f>SUMIFS('CWO Bulan Ini'!$DA:$DA,'CWO Bulan Ini'!$DJ:$DJ,'Area-Cabang'!$B45,'CWO Bulan Ini'!$DH:$DH,'Area-Cabang'!$E45,'CWO Bulan Ini'!$CZ:$CZ,'Area-Cabang'!M$41)</f>
        <v>0</v>
      </c>
      <c r="N45" s="56">
        <f>SUMIFS('CWO Bulan Ini'!$DA:$DA,'CWO Bulan Ini'!$DJ:$DJ,'Area-Cabang'!$B45,'CWO Bulan Ini'!$DH:$DH,'Area-Cabang'!$E45,'CWO Bulan Ini'!$CZ:$CZ,'Area-Cabang'!N$41)</f>
        <v>0</v>
      </c>
      <c r="O45" s="56">
        <f>SUMIFS('CWO Bulan Ini'!$DA:$DA,'CWO Bulan Ini'!$DJ:$DJ,'Area-Cabang'!$B45,'CWO Bulan Ini'!$DH:$DH,'Area-Cabang'!$E45,'CWO Bulan Ini'!$CZ:$CZ,'Area-Cabang'!O$41)</f>
        <v>0</v>
      </c>
      <c r="P45" s="56">
        <f>SUMIFS('CWO Bulan Ini'!$DA:$DA,'CWO Bulan Ini'!$DJ:$DJ,'Area-Cabang'!$B45,'CWO Bulan Ini'!$DH:$DH,'Area-Cabang'!$E45,'CWO Bulan Ini'!$CZ:$CZ,'Area-Cabang'!P$41)</f>
        <v>0</v>
      </c>
      <c r="Q45" s="56">
        <f>SUMIFS('CWO Bulan Ini'!$DA:$DA,'CWO Bulan Ini'!$DJ:$DJ,'Area-Cabang'!$B45,'CWO Bulan Ini'!$DH:$DH,'Area-Cabang'!$E45,'CWO Bulan Ini'!$CZ:$CZ,'Area-Cabang'!Q$41)</f>
        <v>0</v>
      </c>
      <c r="R45" s="56">
        <f>SUMIFS('CWO Bulan Ini'!$DA:$DA,'CWO Bulan Ini'!$DJ:$DJ,'Area-Cabang'!$B45,'CWO Bulan Ini'!$DH:$DH,'Area-Cabang'!$E45,'CWO Bulan Ini'!$CZ:$CZ,'Area-Cabang'!R$41)</f>
        <v>0</v>
      </c>
      <c r="S45" s="56">
        <f>SUMIFS('CWO Bulan Ini'!$DA:$DA,'CWO Bulan Ini'!$DJ:$DJ,'Area-Cabang'!$B45,'CWO Bulan Ini'!$DH:$DH,'Area-Cabang'!$E45,'CWO Bulan Ini'!$CZ:$CZ,'Area-Cabang'!S$41)</f>
        <v>0</v>
      </c>
      <c r="T45" s="56">
        <f>SUMIFS('CWO Bulan Ini'!$DA:$DA,'CWO Bulan Ini'!$DJ:$DJ,'Area-Cabang'!$B45,'CWO Bulan Ini'!$DH:$DH,'Area-Cabang'!$E45,'CWO Bulan Ini'!$CZ:$CZ,'Area-Cabang'!T$41)</f>
        <v>0</v>
      </c>
      <c r="U45" s="56">
        <f>SUMIFS('CWO Bulan Ini'!$DA:$DA,'CWO Bulan Ini'!$DJ:$DJ,'Area-Cabang'!$B45,'CWO Bulan Ini'!$DH:$DH,'Area-Cabang'!$E45,'CWO Bulan Ini'!$CZ:$CZ,'Area-Cabang'!U$41)</f>
        <v>0</v>
      </c>
      <c r="V45" s="56">
        <f>SUMIFS('CWO Bulan Ini'!$DA:$DA,'CWO Bulan Ini'!$DJ:$DJ,'Area-Cabang'!$B45,'CWO Bulan Ini'!$DH:$DH,'Area-Cabang'!$E45,'CWO Bulan Ini'!$CZ:$CZ,'Area-Cabang'!V$41)</f>
        <v>0</v>
      </c>
      <c r="W45" s="56">
        <f>SUMIFS('CWO Bulan Ini'!$DA:$DA,'CWO Bulan Ini'!$DJ:$DJ,'Area-Cabang'!$B45,'CWO Bulan Ini'!$DH:$DH,'Area-Cabang'!$E45,'CWO Bulan Ini'!$CZ:$CZ,'Area-Cabang'!W$41)</f>
        <v>0</v>
      </c>
      <c r="X45" s="56">
        <f>SUMIFS('CWO Bulan Ini'!$DA:$DA,'CWO Bulan Ini'!$DJ:$DJ,'Area-Cabang'!$B45,'CWO Bulan Ini'!$DH:$DH,'Area-Cabang'!$E45,'CWO Bulan Ini'!$CZ:$CZ,'Area-Cabang'!X$41)</f>
        <v>0</v>
      </c>
      <c r="Y45" s="56">
        <f>SUMIFS('CWO Bulan Ini'!$DA:$DA,'CWO Bulan Ini'!$DJ:$DJ,'Area-Cabang'!$B45,'CWO Bulan Ini'!$DH:$DH,'Area-Cabang'!$E45,'CWO Bulan Ini'!$CZ:$CZ,'Area-Cabang'!Y$41)</f>
        <v>0</v>
      </c>
      <c r="Z45" s="56">
        <f>SUMIFS('CWO Bulan Ini'!$DA:$DA,'CWO Bulan Ini'!$DJ:$DJ,'Area-Cabang'!$B45,'CWO Bulan Ini'!$DH:$DH,'Area-Cabang'!$E45,'CWO Bulan Ini'!$CZ:$CZ,'Area-Cabang'!Z$41)</f>
        <v>0</v>
      </c>
      <c r="AA45" s="56">
        <f>SUMIFS('CWO Bulan Ini'!$DA:$DA,'CWO Bulan Ini'!$DJ:$DJ,'Area-Cabang'!$B45,'CWO Bulan Ini'!$DH:$DH,'Area-Cabang'!$E45,'CWO Bulan Ini'!$CZ:$CZ,'Area-Cabang'!AA$41)</f>
        <v>0</v>
      </c>
      <c r="AB45" s="56">
        <f>SUMIFS('CWO Bulan Ini'!$DA:$DA,'CWO Bulan Ini'!$DJ:$DJ,'Area-Cabang'!$B45,'CWO Bulan Ini'!$DH:$DH,'Area-Cabang'!$E45,'CWO Bulan Ini'!$CZ:$CZ,'Area-Cabang'!AB$41)</f>
        <v>0</v>
      </c>
      <c r="AC45" s="56">
        <f>SUMIFS('CWO Bulan Ini'!$DA:$DA,'CWO Bulan Ini'!$DJ:$DJ,'Area-Cabang'!$B45,'CWO Bulan Ini'!$DH:$DH,'Area-Cabang'!$E45,'CWO Bulan Ini'!$CZ:$CZ,'Area-Cabang'!AC$41)</f>
        <v>0</v>
      </c>
      <c r="AD45" s="56">
        <f>SUMIFS('CWO Bulan Ini'!$DA:$DA,'CWO Bulan Ini'!$DJ:$DJ,'Area-Cabang'!$B45,'CWO Bulan Ini'!$DH:$DH,'Area-Cabang'!$E45,'CWO Bulan Ini'!$CZ:$CZ,'Area-Cabang'!AD$41)</f>
        <v>0</v>
      </c>
      <c r="AE45" s="56">
        <f>SUMIFS('CWO Bulan Ini'!$DA:$DA,'CWO Bulan Ini'!$DJ:$DJ,'Area-Cabang'!$B45,'CWO Bulan Ini'!$DH:$DH,'Area-Cabang'!$E45,'CWO Bulan Ini'!$CZ:$CZ,'Area-Cabang'!AE$41)</f>
        <v>0</v>
      </c>
      <c r="AF45" s="56">
        <f>SUMIFS('CWO Bulan Ini'!$DA:$DA,'CWO Bulan Ini'!$DJ:$DJ,'Area-Cabang'!$B45,'CWO Bulan Ini'!$DH:$DH,'Area-Cabang'!$E45,'CWO Bulan Ini'!$CZ:$CZ,'Area-Cabang'!AF$41)</f>
        <v>0</v>
      </c>
      <c r="AG45" s="56">
        <f>SUMIFS('CWO Bulan Ini'!$DA:$DA,'CWO Bulan Ini'!$DJ:$DJ,'Area-Cabang'!$B45,'CWO Bulan Ini'!$DH:$DH,'Area-Cabang'!$E45,'CWO Bulan Ini'!$CZ:$CZ,'Area-Cabang'!AG$41)</f>
        <v>0</v>
      </c>
      <c r="AH45" s="56">
        <f>SUMIFS('CWO Bulan Ini'!$DA:$DA,'CWO Bulan Ini'!$DJ:$DJ,'Area-Cabang'!$B45,'CWO Bulan Ini'!$DH:$DH,'Area-Cabang'!$E45,'CWO Bulan Ini'!$CZ:$CZ,'Area-Cabang'!AH$41)</f>
        <v>0</v>
      </c>
      <c r="AI45" s="56">
        <f>SUMIFS('CWO Bulan Ini'!$DA:$DA,'CWO Bulan Ini'!$DJ:$DJ,'Area-Cabang'!$B45,'CWO Bulan Ini'!$DH:$DH,'Area-Cabang'!$E45,'CWO Bulan Ini'!$CZ:$CZ,'Area-Cabang'!AI$41)</f>
        <v>0</v>
      </c>
      <c r="AJ45" s="56">
        <f>SUMIFS('CWO Bulan Ini'!$DA:$DA,'CWO Bulan Ini'!$DJ:$DJ,'Area-Cabang'!$B45,'CWO Bulan Ini'!$DH:$DH,'Area-Cabang'!$E45,'CWO Bulan Ini'!$CZ:$CZ,'Area-Cabang'!AJ$41)</f>
        <v>0</v>
      </c>
      <c r="AK45" s="55">
        <f>SUMIFS('CWO Bulan Ini'!$DD:$DD,'CWO Bulan Ini'!$DJ:$DJ,'Area-Cabang'!$B45,'CWO Bulan Ini'!$DH:$DH,'Area-Cabang'!$E45,'CWO Bulan Ini'!$CZ:$CZ,'Area-Cabang'!AK$41)</f>
        <v>0</v>
      </c>
      <c r="AL45" s="56">
        <f>SUMIFS('CWO Bulan Ini'!$DD:$DD,'CWO Bulan Ini'!$DJ:$DJ,'Area-Cabang'!$B45,'CWO Bulan Ini'!$DH:$DH,'Area-Cabang'!$E45,'CWO Bulan Ini'!$CZ:$CZ,'Area-Cabang'!AL$41)</f>
        <v>0</v>
      </c>
      <c r="AM45" s="56">
        <f>SUMIFS('CWO Bulan Ini'!$DD:$DD,'CWO Bulan Ini'!$DJ:$DJ,'Area-Cabang'!$B45,'CWO Bulan Ini'!$DH:$DH,'Area-Cabang'!$E45,'CWO Bulan Ini'!$CZ:$CZ,'Area-Cabang'!AM$41)</f>
        <v>0</v>
      </c>
      <c r="AN45" s="56">
        <f>SUMIFS('CWO Bulan Ini'!$DD:$DD,'CWO Bulan Ini'!$DJ:$DJ,'Area-Cabang'!$B45,'CWO Bulan Ini'!$DH:$DH,'Area-Cabang'!$E45,'CWO Bulan Ini'!$CZ:$CZ,'Area-Cabang'!AN$41)</f>
        <v>189.78896786999999</v>
      </c>
      <c r="AO45" s="56">
        <f>SUMIFS('CWO Bulan Ini'!$DD:$DD,'CWO Bulan Ini'!$DJ:$DJ,'Area-Cabang'!$B45,'CWO Bulan Ini'!$DH:$DH,'Area-Cabang'!$E45,'CWO Bulan Ini'!$CZ:$CZ,'Area-Cabang'!AO$41)</f>
        <v>0</v>
      </c>
      <c r="AP45" s="56">
        <f>SUMIFS('CWO Bulan Ini'!$DD:$DD,'CWO Bulan Ini'!$DJ:$DJ,'Area-Cabang'!$B45,'CWO Bulan Ini'!$DH:$DH,'Area-Cabang'!$E45,'CWO Bulan Ini'!$CZ:$CZ,'Area-Cabang'!AP$41)</f>
        <v>0</v>
      </c>
      <c r="AQ45" s="56">
        <f>SUMIFS('CWO Bulan Ini'!$DD:$DD,'CWO Bulan Ini'!$DJ:$DJ,'Area-Cabang'!$B45,'CWO Bulan Ini'!$DH:$DH,'Area-Cabang'!$E45,'CWO Bulan Ini'!$CZ:$CZ,'Area-Cabang'!AQ$41)</f>
        <v>0</v>
      </c>
      <c r="AR45" s="56">
        <f>SUMIFS('CWO Bulan Ini'!$DD:$DD,'CWO Bulan Ini'!$DJ:$DJ,'Area-Cabang'!$B45,'CWO Bulan Ini'!$DH:$DH,'Area-Cabang'!$E45,'CWO Bulan Ini'!$CZ:$CZ,'Area-Cabang'!AR$41)</f>
        <v>0</v>
      </c>
      <c r="AS45" s="56">
        <f>SUMIFS('CWO Bulan Ini'!$DD:$DD,'CWO Bulan Ini'!$DJ:$DJ,'Area-Cabang'!$B45,'CWO Bulan Ini'!$DH:$DH,'Area-Cabang'!$E45,'CWO Bulan Ini'!$CZ:$CZ,'Area-Cabang'!AS$41)</f>
        <v>0</v>
      </c>
      <c r="AT45" s="56">
        <f>SUMIFS('CWO Bulan Ini'!$DD:$DD,'CWO Bulan Ini'!$DJ:$DJ,'Area-Cabang'!$B45,'CWO Bulan Ini'!$DH:$DH,'Area-Cabang'!$E45,'CWO Bulan Ini'!$CZ:$CZ,'Area-Cabang'!AT$41)</f>
        <v>0</v>
      </c>
      <c r="AU45" s="56">
        <f>SUMIFS('CWO Bulan Ini'!$DD:$DD,'CWO Bulan Ini'!$DJ:$DJ,'Area-Cabang'!$B45,'CWO Bulan Ini'!$DH:$DH,'Area-Cabang'!$E45,'CWO Bulan Ini'!$CZ:$CZ,'Area-Cabang'!AU$41)</f>
        <v>0</v>
      </c>
      <c r="AV45" s="56">
        <f>SUMIFS('CWO Bulan Ini'!$DD:$DD,'CWO Bulan Ini'!$DJ:$DJ,'Area-Cabang'!$B45,'CWO Bulan Ini'!$DH:$DH,'Area-Cabang'!$E45,'CWO Bulan Ini'!$CZ:$CZ,'Area-Cabang'!AV$41)</f>
        <v>0</v>
      </c>
      <c r="AW45" s="56">
        <f>SUMIFS('CWO Bulan Ini'!$DD:$DD,'CWO Bulan Ini'!$DJ:$DJ,'Area-Cabang'!$B45,'CWO Bulan Ini'!$DH:$DH,'Area-Cabang'!$E45,'CWO Bulan Ini'!$CZ:$CZ,'Area-Cabang'!AW$41)</f>
        <v>0</v>
      </c>
      <c r="AX45" s="56">
        <f>SUMIFS('CWO Bulan Ini'!$DD:$DD,'CWO Bulan Ini'!$DJ:$DJ,'Area-Cabang'!$B45,'CWO Bulan Ini'!$DH:$DH,'Area-Cabang'!$E45,'CWO Bulan Ini'!$CZ:$CZ,'Area-Cabang'!AX$41)</f>
        <v>0</v>
      </c>
      <c r="AY45" s="56">
        <f>SUMIFS('CWO Bulan Ini'!$DD:$DD,'CWO Bulan Ini'!$DJ:$DJ,'Area-Cabang'!$B45,'CWO Bulan Ini'!$DH:$DH,'Area-Cabang'!$E45,'CWO Bulan Ini'!$CZ:$CZ,'Area-Cabang'!AY$41)</f>
        <v>0</v>
      </c>
      <c r="AZ45" s="56">
        <f>SUMIFS('CWO Bulan Ini'!$DD:$DD,'CWO Bulan Ini'!$DJ:$DJ,'Area-Cabang'!$B45,'CWO Bulan Ini'!$DH:$DH,'Area-Cabang'!$E45,'CWO Bulan Ini'!$CZ:$CZ,'Area-Cabang'!AZ$41)</f>
        <v>0</v>
      </c>
      <c r="BA45" s="56">
        <f>SUMIFS('CWO Bulan Ini'!$DD:$DD,'CWO Bulan Ini'!$DJ:$DJ,'Area-Cabang'!$B45,'CWO Bulan Ini'!$DH:$DH,'Area-Cabang'!$E45,'CWO Bulan Ini'!$CZ:$CZ,'Area-Cabang'!BA$41)</f>
        <v>0</v>
      </c>
      <c r="BB45" s="56">
        <f>SUMIFS('CWO Bulan Ini'!$DD:$DD,'CWO Bulan Ini'!$DJ:$DJ,'Area-Cabang'!$B45,'CWO Bulan Ini'!$DH:$DH,'Area-Cabang'!$E45,'CWO Bulan Ini'!$CZ:$CZ,'Area-Cabang'!BB$41)</f>
        <v>0</v>
      </c>
      <c r="BC45" s="56">
        <f>SUMIFS('CWO Bulan Ini'!$DD:$DD,'CWO Bulan Ini'!$DJ:$DJ,'Area-Cabang'!$B45,'CWO Bulan Ini'!$DH:$DH,'Area-Cabang'!$E45,'CWO Bulan Ini'!$CZ:$CZ,'Area-Cabang'!BC$41)</f>
        <v>0</v>
      </c>
      <c r="BD45" s="56">
        <f>SUMIFS('CWO Bulan Ini'!$DD:$DD,'CWO Bulan Ini'!$DJ:$DJ,'Area-Cabang'!$B45,'CWO Bulan Ini'!$DH:$DH,'Area-Cabang'!$E45,'CWO Bulan Ini'!$CZ:$CZ,'Area-Cabang'!BD$41)</f>
        <v>0</v>
      </c>
      <c r="BE45" s="56">
        <f>SUMIFS('CWO Bulan Ini'!$DD:$DD,'CWO Bulan Ini'!$DJ:$DJ,'Area-Cabang'!$B45,'CWO Bulan Ini'!$DH:$DH,'Area-Cabang'!$E45,'CWO Bulan Ini'!$CZ:$CZ,'Area-Cabang'!BE$41)</f>
        <v>0</v>
      </c>
      <c r="BF45" s="56">
        <f>SUMIFS('CWO Bulan Ini'!$DD:$DD,'CWO Bulan Ini'!$DJ:$DJ,'Area-Cabang'!$B45,'CWO Bulan Ini'!$DH:$DH,'Area-Cabang'!$E45,'CWO Bulan Ini'!$CZ:$CZ,'Area-Cabang'!BF$41)</f>
        <v>0</v>
      </c>
      <c r="BG45" s="56">
        <f>SUMIFS('CWO Bulan Ini'!$DD:$DD,'CWO Bulan Ini'!$DJ:$DJ,'Area-Cabang'!$B45,'CWO Bulan Ini'!$DH:$DH,'Area-Cabang'!$E45,'CWO Bulan Ini'!$CZ:$CZ,'Area-Cabang'!BG$41)</f>
        <v>0</v>
      </c>
      <c r="BH45" s="56">
        <f>SUMIFS('CWO Bulan Ini'!$DD:$DD,'CWO Bulan Ini'!$DJ:$DJ,'Area-Cabang'!$B45,'CWO Bulan Ini'!$DH:$DH,'Area-Cabang'!$E45,'CWO Bulan Ini'!$CZ:$CZ,'Area-Cabang'!BH$41)</f>
        <v>0</v>
      </c>
      <c r="BI45" s="56">
        <f>SUMIFS('CWO Bulan Ini'!$DD:$DD,'CWO Bulan Ini'!$DJ:$DJ,'Area-Cabang'!$B45,'CWO Bulan Ini'!$DH:$DH,'Area-Cabang'!$E45,'CWO Bulan Ini'!$CZ:$CZ,'Area-Cabang'!BI$41)</f>
        <v>0</v>
      </c>
      <c r="BJ45" s="56">
        <f>SUMIFS('CWO Bulan Ini'!$DD:$DD,'CWO Bulan Ini'!$DJ:$DJ,'Area-Cabang'!$B45,'CWO Bulan Ini'!$DH:$DH,'Area-Cabang'!$E45,'CWO Bulan Ini'!$CZ:$CZ,'Area-Cabang'!BJ$41)</f>
        <v>0</v>
      </c>
      <c r="BK45" s="56">
        <f>SUMIFS('CWO Bulan Ini'!$DD:$DD,'CWO Bulan Ini'!$DJ:$DJ,'Area-Cabang'!$B45,'CWO Bulan Ini'!$DH:$DH,'Area-Cabang'!$E45,'CWO Bulan Ini'!$CZ:$CZ,'Area-Cabang'!BK$41)</f>
        <v>0</v>
      </c>
      <c r="BL45" s="56">
        <f>SUMIFS('CWO Bulan Ini'!$DD:$DD,'CWO Bulan Ini'!$DJ:$DJ,'Area-Cabang'!$B45,'CWO Bulan Ini'!$DH:$DH,'Area-Cabang'!$E45,'CWO Bulan Ini'!$CZ:$CZ,'Area-Cabang'!BL$41)</f>
        <v>0</v>
      </c>
      <c r="BM45" s="56">
        <f>SUMIFS('CWO Bulan Ini'!$DD:$DD,'CWO Bulan Ini'!$DJ:$DJ,'Area-Cabang'!$B45,'CWO Bulan Ini'!$DH:$DH,'Area-Cabang'!$E45,'CWO Bulan Ini'!$CZ:$CZ,'Area-Cabang'!BM$41)</f>
        <v>0</v>
      </c>
      <c r="BN45" s="56">
        <f>SUMIFS('CWO Bulan Ini'!$DD:$DD,'CWO Bulan Ini'!$DJ:$DJ,'Area-Cabang'!$B45,'CWO Bulan Ini'!$DH:$DH,'Area-Cabang'!$E45,'CWO Bulan Ini'!$CZ:$CZ,'Area-Cabang'!BN$41)</f>
        <v>0</v>
      </c>
      <c r="BO45" s="57">
        <f>SUMIFS('CWO Bulan Ini'!$DD:$DD,'CWO Bulan Ini'!$DJ:$DJ,'Area-Cabang'!$B45,'CWO Bulan Ini'!$DH:$DH,'Area-Cabang'!$E45,'CWO Bulan Ini'!$CZ:$CZ,'Area-Cabang'!BO$41)</f>
        <v>0</v>
      </c>
      <c r="BP45" s="55">
        <f>SUMIFS('CWO Bulan Ini'!$DC:$DC,'CWO Bulan Ini'!$DJ:$DJ,'Area-Cabang'!$B45,'CWO Bulan Ini'!$DH:$DH,'Area-Cabang'!$E45,'CWO Bulan Ini'!$CZ:$CZ,'Area-Cabang'!BP$41)</f>
        <v>0</v>
      </c>
      <c r="BQ45" s="56">
        <f>SUMIFS('CWO Bulan Ini'!$DC:$DC,'CWO Bulan Ini'!$DJ:$DJ,'Area-Cabang'!$B45,'CWO Bulan Ini'!$DH:$DH,'Area-Cabang'!$E45,'CWO Bulan Ini'!$CZ:$CZ,'Area-Cabang'!BQ$41)</f>
        <v>0</v>
      </c>
      <c r="BR45" s="56">
        <f>SUMIFS('CWO Bulan Ini'!$DC:$DC,'CWO Bulan Ini'!$DJ:$DJ,'Area-Cabang'!$B45,'CWO Bulan Ini'!$DH:$DH,'Area-Cabang'!$E45,'CWO Bulan Ini'!$CZ:$CZ,'Area-Cabang'!BR$41)</f>
        <v>0</v>
      </c>
      <c r="BS45" s="56">
        <f>SUMIFS('CWO Bulan Ini'!$DC:$DC,'CWO Bulan Ini'!$DJ:$DJ,'Area-Cabang'!$B45,'CWO Bulan Ini'!$DH:$DH,'Area-Cabang'!$E45,'CWO Bulan Ini'!$CZ:$CZ,'Area-Cabang'!BS$41)</f>
        <v>0</v>
      </c>
      <c r="BT45" s="56">
        <f>SUMIFS('CWO Bulan Ini'!$DC:$DC,'CWO Bulan Ini'!$DJ:$DJ,'Area-Cabang'!$B45,'CWO Bulan Ini'!$DH:$DH,'Area-Cabang'!$E45,'CWO Bulan Ini'!$CZ:$CZ,'Area-Cabang'!BT$41)</f>
        <v>0</v>
      </c>
      <c r="BU45" s="56">
        <f>SUMIFS('CWO Bulan Ini'!$DC:$DC,'CWO Bulan Ini'!$DJ:$DJ,'Area-Cabang'!$B45,'CWO Bulan Ini'!$DH:$DH,'Area-Cabang'!$E45,'CWO Bulan Ini'!$CZ:$CZ,'Area-Cabang'!BU$41)</f>
        <v>0</v>
      </c>
      <c r="BV45" s="56">
        <f>SUMIFS('CWO Bulan Ini'!$DC:$DC,'CWO Bulan Ini'!$DJ:$DJ,'Area-Cabang'!$B45,'CWO Bulan Ini'!$DH:$DH,'Area-Cabang'!$E45,'CWO Bulan Ini'!$CZ:$CZ,'Area-Cabang'!BV$41)</f>
        <v>0</v>
      </c>
      <c r="BW45" s="56">
        <f>SUMIFS('CWO Bulan Ini'!$DC:$DC,'CWO Bulan Ini'!$DJ:$DJ,'Area-Cabang'!$B45,'CWO Bulan Ini'!$DH:$DH,'Area-Cabang'!$E45,'CWO Bulan Ini'!$CZ:$CZ,'Area-Cabang'!BW$41)</f>
        <v>0</v>
      </c>
      <c r="BX45" s="56">
        <f>SUMIFS('CWO Bulan Ini'!$DC:$DC,'CWO Bulan Ini'!$DJ:$DJ,'Area-Cabang'!$B45,'CWO Bulan Ini'!$DH:$DH,'Area-Cabang'!$E45,'CWO Bulan Ini'!$CZ:$CZ,'Area-Cabang'!BX$41)</f>
        <v>0</v>
      </c>
      <c r="BY45" s="56">
        <f>SUMIFS('CWO Bulan Ini'!$DC:$DC,'CWO Bulan Ini'!$DJ:$DJ,'Area-Cabang'!$B45,'CWO Bulan Ini'!$DH:$DH,'Area-Cabang'!$E45,'CWO Bulan Ini'!$CZ:$CZ,'Area-Cabang'!BY$41)</f>
        <v>0</v>
      </c>
      <c r="BZ45" s="56">
        <f>SUMIFS('CWO Bulan Ini'!$DC:$DC,'CWO Bulan Ini'!$DJ:$DJ,'Area-Cabang'!$B45,'CWO Bulan Ini'!$DH:$DH,'Area-Cabang'!$E45,'CWO Bulan Ini'!$CZ:$CZ,'Area-Cabang'!BZ$41)</f>
        <v>0</v>
      </c>
      <c r="CA45" s="56">
        <f>SUMIFS('CWO Bulan Ini'!$DC:$DC,'CWO Bulan Ini'!$DJ:$DJ,'Area-Cabang'!$B45,'CWO Bulan Ini'!$DH:$DH,'Area-Cabang'!$E45,'CWO Bulan Ini'!$CZ:$CZ,'Area-Cabang'!CA$41)</f>
        <v>0</v>
      </c>
      <c r="CB45" s="56">
        <f>SUMIFS('CWO Bulan Ini'!$DC:$DC,'CWO Bulan Ini'!$DJ:$DJ,'Area-Cabang'!$B45,'CWO Bulan Ini'!$DH:$DH,'Area-Cabang'!$E45,'CWO Bulan Ini'!$CZ:$CZ,'Area-Cabang'!CB$41)</f>
        <v>0</v>
      </c>
      <c r="CC45" s="56">
        <f>SUMIFS('CWO Bulan Ini'!$DC:$DC,'CWO Bulan Ini'!$DJ:$DJ,'Area-Cabang'!$B45,'CWO Bulan Ini'!$DH:$DH,'Area-Cabang'!$E45,'CWO Bulan Ini'!$CZ:$CZ,'Area-Cabang'!CC$41)</f>
        <v>0</v>
      </c>
      <c r="CD45" s="56">
        <f>SUMIFS('CWO Bulan Ini'!$DC:$DC,'CWO Bulan Ini'!$DJ:$DJ,'Area-Cabang'!$B45,'CWO Bulan Ini'!$DH:$DH,'Area-Cabang'!$E45,'CWO Bulan Ini'!$CZ:$CZ,'Area-Cabang'!CD$41)</f>
        <v>0</v>
      </c>
      <c r="CE45" s="56">
        <f>SUMIFS('CWO Bulan Ini'!$DC:$DC,'CWO Bulan Ini'!$DJ:$DJ,'Area-Cabang'!$B45,'CWO Bulan Ini'!$DH:$DH,'Area-Cabang'!$E45,'CWO Bulan Ini'!$CZ:$CZ,'Area-Cabang'!CE$41)</f>
        <v>0</v>
      </c>
      <c r="CF45" s="56">
        <f>SUMIFS('CWO Bulan Ini'!$DC:$DC,'CWO Bulan Ini'!$DJ:$DJ,'Area-Cabang'!$B45,'CWO Bulan Ini'!$DH:$DH,'Area-Cabang'!$E45,'CWO Bulan Ini'!$CZ:$CZ,'Area-Cabang'!CF$41)</f>
        <v>0</v>
      </c>
      <c r="CG45" s="56">
        <f>SUMIFS('CWO Bulan Ini'!$DC:$DC,'CWO Bulan Ini'!$DJ:$DJ,'Area-Cabang'!$B45,'CWO Bulan Ini'!$DH:$DH,'Area-Cabang'!$E45,'CWO Bulan Ini'!$CZ:$CZ,'Area-Cabang'!CG$41)</f>
        <v>0</v>
      </c>
      <c r="CH45" s="56">
        <f>SUMIFS('CWO Bulan Ini'!$DC:$DC,'CWO Bulan Ini'!$DJ:$DJ,'Area-Cabang'!$B45,'CWO Bulan Ini'!$DH:$DH,'Area-Cabang'!$E45,'CWO Bulan Ini'!$CZ:$CZ,'Area-Cabang'!CH$41)</f>
        <v>0</v>
      </c>
      <c r="CI45" s="56">
        <f>SUMIFS('CWO Bulan Ini'!$DC:$DC,'CWO Bulan Ini'!$DJ:$DJ,'Area-Cabang'!$B45,'CWO Bulan Ini'!$DH:$DH,'Area-Cabang'!$E45,'CWO Bulan Ini'!$CZ:$CZ,'Area-Cabang'!CI$41)</f>
        <v>0</v>
      </c>
      <c r="CJ45" s="56">
        <f>SUMIFS('CWO Bulan Ini'!$DC:$DC,'CWO Bulan Ini'!$DJ:$DJ,'Area-Cabang'!$B45,'CWO Bulan Ini'!$DH:$DH,'Area-Cabang'!$E45,'CWO Bulan Ini'!$CZ:$CZ,'Area-Cabang'!CJ$41)</f>
        <v>0</v>
      </c>
      <c r="CK45" s="56">
        <f>SUMIFS('CWO Bulan Ini'!$DC:$DC,'CWO Bulan Ini'!$DJ:$DJ,'Area-Cabang'!$B45,'CWO Bulan Ini'!$DH:$DH,'Area-Cabang'!$E45,'CWO Bulan Ini'!$CZ:$CZ,'Area-Cabang'!CK$41)</f>
        <v>0</v>
      </c>
      <c r="CL45" s="56">
        <f>SUMIFS('CWO Bulan Ini'!$DC:$DC,'CWO Bulan Ini'!$DJ:$DJ,'Area-Cabang'!$B45,'CWO Bulan Ini'!$DH:$DH,'Area-Cabang'!$E45,'CWO Bulan Ini'!$CZ:$CZ,'Area-Cabang'!CL$41)</f>
        <v>0</v>
      </c>
      <c r="CM45" s="56">
        <f>SUMIFS('CWO Bulan Ini'!$DC:$DC,'CWO Bulan Ini'!$DJ:$DJ,'Area-Cabang'!$B45,'CWO Bulan Ini'!$DH:$DH,'Area-Cabang'!$E45,'CWO Bulan Ini'!$CZ:$CZ,'Area-Cabang'!CM$41)</f>
        <v>0</v>
      </c>
      <c r="CN45" s="56">
        <f>SUMIFS('CWO Bulan Ini'!$DC:$DC,'CWO Bulan Ini'!$DJ:$DJ,'Area-Cabang'!$B45,'CWO Bulan Ini'!$DH:$DH,'Area-Cabang'!$E45,'CWO Bulan Ini'!$CZ:$CZ,'Area-Cabang'!CN$41)</f>
        <v>0</v>
      </c>
      <c r="CO45" s="56">
        <f>SUMIFS('CWO Bulan Ini'!$DC:$DC,'CWO Bulan Ini'!$DJ:$DJ,'Area-Cabang'!$B45,'CWO Bulan Ini'!$DH:$DH,'Area-Cabang'!$E45,'CWO Bulan Ini'!$CZ:$CZ,'Area-Cabang'!CO$41)</f>
        <v>0</v>
      </c>
      <c r="CP45" s="56">
        <f>SUMIFS('CWO Bulan Ini'!$DC:$DC,'CWO Bulan Ini'!$DJ:$DJ,'Area-Cabang'!$B45,'CWO Bulan Ini'!$DH:$DH,'Area-Cabang'!$E45,'CWO Bulan Ini'!$CZ:$CZ,'Area-Cabang'!CP$41)</f>
        <v>0</v>
      </c>
      <c r="CQ45" s="56">
        <f>SUMIFS('CWO Bulan Ini'!$DC:$DC,'CWO Bulan Ini'!$DJ:$DJ,'Area-Cabang'!$B45,'CWO Bulan Ini'!$DH:$DH,'Area-Cabang'!$E45,'CWO Bulan Ini'!$CZ:$CZ,'Area-Cabang'!CQ$41)</f>
        <v>0</v>
      </c>
      <c r="CR45" s="56">
        <f>SUMIFS('CWO Bulan Ini'!$DC:$DC,'CWO Bulan Ini'!$DJ:$DJ,'Area-Cabang'!$B45,'CWO Bulan Ini'!$DH:$DH,'Area-Cabang'!$E45,'CWO Bulan Ini'!$CZ:$CZ,'Area-Cabang'!CR$41)</f>
        <v>0</v>
      </c>
      <c r="CS45" s="56">
        <f>SUMIFS('CWO Bulan Ini'!$DC:$DC,'CWO Bulan Ini'!$DJ:$DJ,'Area-Cabang'!$B45,'CWO Bulan Ini'!$DH:$DH,'Area-Cabang'!$E45,'CWO Bulan Ini'!$CZ:$CZ,'Area-Cabang'!CS$41)</f>
        <v>0</v>
      </c>
      <c r="CT45" s="57">
        <f>SUMIFS('CWO Bulan Ini'!$DC:$DC,'CWO Bulan Ini'!$DJ:$DJ,'Area-Cabang'!$B45,'CWO Bulan Ini'!$DH:$DH,'Area-Cabang'!$E45,'CWO Bulan Ini'!$CZ:$CZ,'Area-Cabang'!CT$41)</f>
        <v>0</v>
      </c>
      <c r="CV45" s="97">
        <f t="shared" ref="CV45:CV46" si="1084">SUM(F45:AJ45)</f>
        <v>189.78896786999999</v>
      </c>
      <c r="CW45" s="98">
        <f t="shared" ref="CW45:CW46" si="1085">SUM(AK45:BO45)</f>
        <v>189.78896786999999</v>
      </c>
      <c r="CX45" s="98">
        <f t="shared" ref="CX45:CX46" si="1086">SUM(BP45:CT45)</f>
        <v>0</v>
      </c>
      <c r="CY45" s="98">
        <f t="shared" ref="CY45:CY46" si="1087">CV45-CW45-CX45</f>
        <v>0</v>
      </c>
      <c r="CZ45" s="105">
        <f t="shared" ref="CZ45:CZ46" si="1088">CY45+CW45</f>
        <v>189.78896786999999</v>
      </c>
    </row>
    <row r="46" spans="1:104" ht="15" customHeight="1" x14ac:dyDescent="0.25">
      <c r="A46" s="58" t="s">
        <v>465</v>
      </c>
      <c r="B46" s="58" t="s">
        <v>11</v>
      </c>
      <c r="C46" s="250"/>
      <c r="D46" s="244"/>
      <c r="E46" s="40" t="s">
        <v>349</v>
      </c>
      <c r="F46" s="41">
        <f>SUMIFS('CWO Bulan Ini'!$DA:$DA,'CWO Bulan Ini'!$DJ:$DJ,'Area-Cabang'!$B46,'CWO Bulan Ini'!$DH:$DH,'Area-Cabang'!$E46,'CWO Bulan Ini'!$CZ:$CZ,'Area-Cabang'!F$41)</f>
        <v>0</v>
      </c>
      <c r="G46" s="42">
        <f>SUMIFS('CWO Bulan Ini'!$DA:$DA,'CWO Bulan Ini'!$DJ:$DJ,'Area-Cabang'!$B46,'CWO Bulan Ini'!$DH:$DH,'Area-Cabang'!$E46,'CWO Bulan Ini'!$CZ:$CZ,'Area-Cabang'!G$41)</f>
        <v>0</v>
      </c>
      <c r="H46" s="42">
        <f>SUMIFS('CWO Bulan Ini'!$DA:$DA,'CWO Bulan Ini'!$DJ:$DJ,'Area-Cabang'!$B46,'CWO Bulan Ini'!$DH:$DH,'Area-Cabang'!$E46,'CWO Bulan Ini'!$CZ:$CZ,'Area-Cabang'!H$41)</f>
        <v>0</v>
      </c>
      <c r="I46" s="42">
        <f>SUMIFS('CWO Bulan Ini'!$DA:$DA,'CWO Bulan Ini'!$DJ:$DJ,'Area-Cabang'!$B46,'CWO Bulan Ini'!$DH:$DH,'Area-Cabang'!$E46,'CWO Bulan Ini'!$CZ:$CZ,'Area-Cabang'!I$41)</f>
        <v>0</v>
      </c>
      <c r="J46" s="42">
        <f>SUMIFS('CWO Bulan Ini'!$DA:$DA,'CWO Bulan Ini'!$DJ:$DJ,'Area-Cabang'!$B46,'CWO Bulan Ini'!$DH:$DH,'Area-Cabang'!$E46,'CWO Bulan Ini'!$CZ:$CZ,'Area-Cabang'!J$41)</f>
        <v>0</v>
      </c>
      <c r="K46" s="42">
        <f>SUMIFS('CWO Bulan Ini'!$DA:$DA,'CWO Bulan Ini'!$DJ:$DJ,'Area-Cabang'!$B46,'CWO Bulan Ini'!$DH:$DH,'Area-Cabang'!$E46,'CWO Bulan Ini'!$CZ:$CZ,'Area-Cabang'!K$41)</f>
        <v>0</v>
      </c>
      <c r="L46" s="42">
        <f>SUMIFS('CWO Bulan Ini'!$DA:$DA,'CWO Bulan Ini'!$DJ:$DJ,'Area-Cabang'!$B46,'CWO Bulan Ini'!$DH:$DH,'Area-Cabang'!$E46,'CWO Bulan Ini'!$CZ:$CZ,'Area-Cabang'!L$41)</f>
        <v>0</v>
      </c>
      <c r="M46" s="42">
        <f>SUMIFS('CWO Bulan Ini'!$DA:$DA,'CWO Bulan Ini'!$DJ:$DJ,'Area-Cabang'!$B46,'CWO Bulan Ini'!$DH:$DH,'Area-Cabang'!$E46,'CWO Bulan Ini'!$CZ:$CZ,'Area-Cabang'!M$41)</f>
        <v>0</v>
      </c>
      <c r="N46" s="42">
        <f>SUMIFS('CWO Bulan Ini'!$DA:$DA,'CWO Bulan Ini'!$DJ:$DJ,'Area-Cabang'!$B46,'CWO Bulan Ini'!$DH:$DH,'Area-Cabang'!$E46,'CWO Bulan Ini'!$CZ:$CZ,'Area-Cabang'!N$41)</f>
        <v>0</v>
      </c>
      <c r="O46" s="42">
        <f>SUMIFS('CWO Bulan Ini'!$DA:$DA,'CWO Bulan Ini'!$DJ:$DJ,'Area-Cabang'!$B46,'CWO Bulan Ini'!$DH:$DH,'Area-Cabang'!$E46,'CWO Bulan Ini'!$CZ:$CZ,'Area-Cabang'!O$41)</f>
        <v>0</v>
      </c>
      <c r="P46" s="42">
        <f>SUMIFS('CWO Bulan Ini'!$DA:$DA,'CWO Bulan Ini'!$DJ:$DJ,'Area-Cabang'!$B46,'CWO Bulan Ini'!$DH:$DH,'Area-Cabang'!$E46,'CWO Bulan Ini'!$CZ:$CZ,'Area-Cabang'!P$41)</f>
        <v>0</v>
      </c>
      <c r="Q46" s="42">
        <f>SUMIFS('CWO Bulan Ini'!$DA:$DA,'CWO Bulan Ini'!$DJ:$DJ,'Area-Cabang'!$B46,'CWO Bulan Ini'!$DH:$DH,'Area-Cabang'!$E46,'CWO Bulan Ini'!$CZ:$CZ,'Area-Cabang'!Q$41)</f>
        <v>0</v>
      </c>
      <c r="R46" s="42">
        <f>SUMIFS('CWO Bulan Ini'!$DA:$DA,'CWO Bulan Ini'!$DJ:$DJ,'Area-Cabang'!$B46,'CWO Bulan Ini'!$DH:$DH,'Area-Cabang'!$E46,'CWO Bulan Ini'!$CZ:$CZ,'Area-Cabang'!R$41)</f>
        <v>0</v>
      </c>
      <c r="S46" s="42">
        <f>SUMIFS('CWO Bulan Ini'!$DA:$DA,'CWO Bulan Ini'!$DJ:$DJ,'Area-Cabang'!$B46,'CWO Bulan Ini'!$DH:$DH,'Area-Cabang'!$E46,'CWO Bulan Ini'!$CZ:$CZ,'Area-Cabang'!S$41)</f>
        <v>0</v>
      </c>
      <c r="T46" s="42">
        <f>SUMIFS('CWO Bulan Ini'!$DA:$DA,'CWO Bulan Ini'!$DJ:$DJ,'Area-Cabang'!$B46,'CWO Bulan Ini'!$DH:$DH,'Area-Cabang'!$E46,'CWO Bulan Ini'!$CZ:$CZ,'Area-Cabang'!T$41)</f>
        <v>0</v>
      </c>
      <c r="U46" s="42">
        <f>SUMIFS('CWO Bulan Ini'!$DA:$DA,'CWO Bulan Ini'!$DJ:$DJ,'Area-Cabang'!$B46,'CWO Bulan Ini'!$DH:$DH,'Area-Cabang'!$E46,'CWO Bulan Ini'!$CZ:$CZ,'Area-Cabang'!U$41)</f>
        <v>0</v>
      </c>
      <c r="V46" s="42">
        <f>SUMIFS('CWO Bulan Ini'!$DA:$DA,'CWO Bulan Ini'!$DJ:$DJ,'Area-Cabang'!$B46,'CWO Bulan Ini'!$DH:$DH,'Area-Cabang'!$E46,'CWO Bulan Ini'!$CZ:$CZ,'Area-Cabang'!V$41)</f>
        <v>0</v>
      </c>
      <c r="W46" s="42">
        <f>SUMIFS('CWO Bulan Ini'!$DA:$DA,'CWO Bulan Ini'!$DJ:$DJ,'Area-Cabang'!$B46,'CWO Bulan Ini'!$DH:$DH,'Area-Cabang'!$E46,'CWO Bulan Ini'!$CZ:$CZ,'Area-Cabang'!W$41)</f>
        <v>0</v>
      </c>
      <c r="X46" s="42">
        <f>SUMIFS('CWO Bulan Ini'!$DA:$DA,'CWO Bulan Ini'!$DJ:$DJ,'Area-Cabang'!$B46,'CWO Bulan Ini'!$DH:$DH,'Area-Cabang'!$E46,'CWO Bulan Ini'!$CZ:$CZ,'Area-Cabang'!X$41)</f>
        <v>0</v>
      </c>
      <c r="Y46" s="42">
        <f>SUMIFS('CWO Bulan Ini'!$DA:$DA,'CWO Bulan Ini'!$DJ:$DJ,'Area-Cabang'!$B46,'CWO Bulan Ini'!$DH:$DH,'Area-Cabang'!$E46,'CWO Bulan Ini'!$CZ:$CZ,'Area-Cabang'!Y$41)</f>
        <v>0</v>
      </c>
      <c r="Z46" s="42">
        <f>SUMIFS('CWO Bulan Ini'!$DA:$DA,'CWO Bulan Ini'!$DJ:$DJ,'Area-Cabang'!$B46,'CWO Bulan Ini'!$DH:$DH,'Area-Cabang'!$E46,'CWO Bulan Ini'!$CZ:$CZ,'Area-Cabang'!Z$41)</f>
        <v>0</v>
      </c>
      <c r="AA46" s="42">
        <f>SUMIFS('CWO Bulan Ini'!$DA:$DA,'CWO Bulan Ini'!$DJ:$DJ,'Area-Cabang'!$B46,'CWO Bulan Ini'!$DH:$DH,'Area-Cabang'!$E46,'CWO Bulan Ini'!$CZ:$CZ,'Area-Cabang'!AA$41)</f>
        <v>0</v>
      </c>
      <c r="AB46" s="42">
        <f>SUMIFS('CWO Bulan Ini'!$DA:$DA,'CWO Bulan Ini'!$DJ:$DJ,'Area-Cabang'!$B46,'CWO Bulan Ini'!$DH:$DH,'Area-Cabang'!$E46,'CWO Bulan Ini'!$CZ:$CZ,'Area-Cabang'!AB$41)</f>
        <v>0</v>
      </c>
      <c r="AC46" s="42">
        <f>SUMIFS('CWO Bulan Ini'!$DA:$DA,'CWO Bulan Ini'!$DJ:$DJ,'Area-Cabang'!$B46,'CWO Bulan Ini'!$DH:$DH,'Area-Cabang'!$E46,'CWO Bulan Ini'!$CZ:$CZ,'Area-Cabang'!AC$41)</f>
        <v>0</v>
      </c>
      <c r="AD46" s="42">
        <f>SUMIFS('CWO Bulan Ini'!$DA:$DA,'CWO Bulan Ini'!$DJ:$DJ,'Area-Cabang'!$B46,'CWO Bulan Ini'!$DH:$DH,'Area-Cabang'!$E46,'CWO Bulan Ini'!$CZ:$CZ,'Area-Cabang'!AD$41)</f>
        <v>0</v>
      </c>
      <c r="AE46" s="42">
        <f>SUMIFS('CWO Bulan Ini'!$DA:$DA,'CWO Bulan Ini'!$DJ:$DJ,'Area-Cabang'!$B46,'CWO Bulan Ini'!$DH:$DH,'Area-Cabang'!$E46,'CWO Bulan Ini'!$CZ:$CZ,'Area-Cabang'!AE$41)</f>
        <v>0</v>
      </c>
      <c r="AF46" s="42">
        <f>SUMIFS('CWO Bulan Ini'!$DA:$DA,'CWO Bulan Ini'!$DJ:$DJ,'Area-Cabang'!$B46,'CWO Bulan Ini'!$DH:$DH,'Area-Cabang'!$E46,'CWO Bulan Ini'!$CZ:$CZ,'Area-Cabang'!AF$41)</f>
        <v>0</v>
      </c>
      <c r="AG46" s="42">
        <f>SUMIFS('CWO Bulan Ini'!$DA:$DA,'CWO Bulan Ini'!$DJ:$DJ,'Area-Cabang'!$B46,'CWO Bulan Ini'!$DH:$DH,'Area-Cabang'!$E46,'CWO Bulan Ini'!$CZ:$CZ,'Area-Cabang'!AG$41)</f>
        <v>0</v>
      </c>
      <c r="AH46" s="42">
        <f>SUMIFS('CWO Bulan Ini'!$DA:$DA,'CWO Bulan Ini'!$DJ:$DJ,'Area-Cabang'!$B46,'CWO Bulan Ini'!$DH:$DH,'Area-Cabang'!$E46,'CWO Bulan Ini'!$CZ:$CZ,'Area-Cabang'!AH$41)</f>
        <v>0</v>
      </c>
      <c r="AI46" s="42">
        <f>SUMIFS('CWO Bulan Ini'!$DA:$DA,'CWO Bulan Ini'!$DJ:$DJ,'Area-Cabang'!$B46,'CWO Bulan Ini'!$DH:$DH,'Area-Cabang'!$E46,'CWO Bulan Ini'!$CZ:$CZ,'Area-Cabang'!AI$41)</f>
        <v>0</v>
      </c>
      <c r="AJ46" s="42">
        <f>SUMIFS('CWO Bulan Ini'!$DA:$DA,'CWO Bulan Ini'!$DJ:$DJ,'Area-Cabang'!$B46,'CWO Bulan Ini'!$DH:$DH,'Area-Cabang'!$E46,'CWO Bulan Ini'!$CZ:$CZ,'Area-Cabang'!AJ$41)</f>
        <v>0</v>
      </c>
      <c r="AK46" s="41">
        <f>SUMIFS('CWO Bulan Ini'!$DD:$DD,'CWO Bulan Ini'!$DJ:$DJ,'Area-Cabang'!$B46,'CWO Bulan Ini'!$DH:$DH,'Area-Cabang'!$E46,'CWO Bulan Ini'!$CZ:$CZ,'Area-Cabang'!AK$41)</f>
        <v>0</v>
      </c>
      <c r="AL46" s="42">
        <f>SUMIFS('CWO Bulan Ini'!$DD:$DD,'CWO Bulan Ini'!$DJ:$DJ,'Area-Cabang'!$B46,'CWO Bulan Ini'!$DH:$DH,'Area-Cabang'!$E46,'CWO Bulan Ini'!$CZ:$CZ,'Area-Cabang'!AL$41)</f>
        <v>0</v>
      </c>
      <c r="AM46" s="42">
        <f>SUMIFS('CWO Bulan Ini'!$DD:$DD,'CWO Bulan Ini'!$DJ:$DJ,'Area-Cabang'!$B46,'CWO Bulan Ini'!$DH:$DH,'Area-Cabang'!$E46,'CWO Bulan Ini'!$CZ:$CZ,'Area-Cabang'!AM$41)</f>
        <v>0</v>
      </c>
      <c r="AN46" s="42">
        <f>SUMIFS('CWO Bulan Ini'!$DD:$DD,'CWO Bulan Ini'!$DJ:$DJ,'Area-Cabang'!$B46,'CWO Bulan Ini'!$DH:$DH,'Area-Cabang'!$E46,'CWO Bulan Ini'!$CZ:$CZ,'Area-Cabang'!AN$41)</f>
        <v>0</v>
      </c>
      <c r="AO46" s="42">
        <f>SUMIFS('CWO Bulan Ini'!$DD:$DD,'CWO Bulan Ini'!$DJ:$DJ,'Area-Cabang'!$B46,'CWO Bulan Ini'!$DH:$DH,'Area-Cabang'!$E46,'CWO Bulan Ini'!$CZ:$CZ,'Area-Cabang'!AO$41)</f>
        <v>0</v>
      </c>
      <c r="AP46" s="42">
        <f>SUMIFS('CWO Bulan Ini'!$DD:$DD,'CWO Bulan Ini'!$DJ:$DJ,'Area-Cabang'!$B46,'CWO Bulan Ini'!$DH:$DH,'Area-Cabang'!$E46,'CWO Bulan Ini'!$CZ:$CZ,'Area-Cabang'!AP$41)</f>
        <v>0</v>
      </c>
      <c r="AQ46" s="42">
        <f>SUMIFS('CWO Bulan Ini'!$DD:$DD,'CWO Bulan Ini'!$DJ:$DJ,'Area-Cabang'!$B46,'CWO Bulan Ini'!$DH:$DH,'Area-Cabang'!$E46,'CWO Bulan Ini'!$CZ:$CZ,'Area-Cabang'!AQ$41)</f>
        <v>0</v>
      </c>
      <c r="AR46" s="42">
        <f>SUMIFS('CWO Bulan Ini'!$DD:$DD,'CWO Bulan Ini'!$DJ:$DJ,'Area-Cabang'!$B46,'CWO Bulan Ini'!$DH:$DH,'Area-Cabang'!$E46,'CWO Bulan Ini'!$CZ:$CZ,'Area-Cabang'!AR$41)</f>
        <v>0</v>
      </c>
      <c r="AS46" s="42">
        <f>SUMIFS('CWO Bulan Ini'!$DD:$DD,'CWO Bulan Ini'!$DJ:$DJ,'Area-Cabang'!$B46,'CWO Bulan Ini'!$DH:$DH,'Area-Cabang'!$E46,'CWO Bulan Ini'!$CZ:$CZ,'Area-Cabang'!AS$41)</f>
        <v>0</v>
      </c>
      <c r="AT46" s="42">
        <f>SUMIFS('CWO Bulan Ini'!$DD:$DD,'CWO Bulan Ini'!$DJ:$DJ,'Area-Cabang'!$B46,'CWO Bulan Ini'!$DH:$DH,'Area-Cabang'!$E46,'CWO Bulan Ini'!$CZ:$CZ,'Area-Cabang'!AT$41)</f>
        <v>0</v>
      </c>
      <c r="AU46" s="42">
        <f>SUMIFS('CWO Bulan Ini'!$DD:$DD,'CWO Bulan Ini'!$DJ:$DJ,'Area-Cabang'!$B46,'CWO Bulan Ini'!$DH:$DH,'Area-Cabang'!$E46,'CWO Bulan Ini'!$CZ:$CZ,'Area-Cabang'!AU$41)</f>
        <v>0</v>
      </c>
      <c r="AV46" s="42">
        <f>SUMIFS('CWO Bulan Ini'!$DD:$DD,'CWO Bulan Ini'!$DJ:$DJ,'Area-Cabang'!$B46,'CWO Bulan Ini'!$DH:$DH,'Area-Cabang'!$E46,'CWO Bulan Ini'!$CZ:$CZ,'Area-Cabang'!AV$41)</f>
        <v>0</v>
      </c>
      <c r="AW46" s="42">
        <f>SUMIFS('CWO Bulan Ini'!$DD:$DD,'CWO Bulan Ini'!$DJ:$DJ,'Area-Cabang'!$B46,'CWO Bulan Ini'!$DH:$DH,'Area-Cabang'!$E46,'CWO Bulan Ini'!$CZ:$CZ,'Area-Cabang'!AW$41)</f>
        <v>0</v>
      </c>
      <c r="AX46" s="42">
        <f>SUMIFS('CWO Bulan Ini'!$DD:$DD,'CWO Bulan Ini'!$DJ:$DJ,'Area-Cabang'!$B46,'CWO Bulan Ini'!$DH:$DH,'Area-Cabang'!$E46,'CWO Bulan Ini'!$CZ:$CZ,'Area-Cabang'!AX$41)</f>
        <v>0</v>
      </c>
      <c r="AY46" s="42">
        <f>SUMIFS('CWO Bulan Ini'!$DD:$DD,'CWO Bulan Ini'!$DJ:$DJ,'Area-Cabang'!$B46,'CWO Bulan Ini'!$DH:$DH,'Area-Cabang'!$E46,'CWO Bulan Ini'!$CZ:$CZ,'Area-Cabang'!AY$41)</f>
        <v>0</v>
      </c>
      <c r="AZ46" s="42">
        <f>SUMIFS('CWO Bulan Ini'!$DD:$DD,'CWO Bulan Ini'!$DJ:$DJ,'Area-Cabang'!$B46,'CWO Bulan Ini'!$DH:$DH,'Area-Cabang'!$E46,'CWO Bulan Ini'!$CZ:$CZ,'Area-Cabang'!AZ$41)</f>
        <v>0</v>
      </c>
      <c r="BA46" s="42">
        <f>SUMIFS('CWO Bulan Ini'!$DD:$DD,'CWO Bulan Ini'!$DJ:$DJ,'Area-Cabang'!$B46,'CWO Bulan Ini'!$DH:$DH,'Area-Cabang'!$E46,'CWO Bulan Ini'!$CZ:$CZ,'Area-Cabang'!BA$41)</f>
        <v>0</v>
      </c>
      <c r="BB46" s="42">
        <f>SUMIFS('CWO Bulan Ini'!$DD:$DD,'CWO Bulan Ini'!$DJ:$DJ,'Area-Cabang'!$B46,'CWO Bulan Ini'!$DH:$DH,'Area-Cabang'!$E46,'CWO Bulan Ini'!$CZ:$CZ,'Area-Cabang'!BB$41)</f>
        <v>0</v>
      </c>
      <c r="BC46" s="42">
        <f>SUMIFS('CWO Bulan Ini'!$DD:$DD,'CWO Bulan Ini'!$DJ:$DJ,'Area-Cabang'!$B46,'CWO Bulan Ini'!$DH:$DH,'Area-Cabang'!$E46,'CWO Bulan Ini'!$CZ:$CZ,'Area-Cabang'!BC$41)</f>
        <v>0</v>
      </c>
      <c r="BD46" s="42">
        <f>SUMIFS('CWO Bulan Ini'!$DD:$DD,'CWO Bulan Ini'!$DJ:$DJ,'Area-Cabang'!$B46,'CWO Bulan Ini'!$DH:$DH,'Area-Cabang'!$E46,'CWO Bulan Ini'!$CZ:$CZ,'Area-Cabang'!BD$41)</f>
        <v>0</v>
      </c>
      <c r="BE46" s="42">
        <f>SUMIFS('CWO Bulan Ini'!$DD:$DD,'CWO Bulan Ini'!$DJ:$DJ,'Area-Cabang'!$B46,'CWO Bulan Ini'!$DH:$DH,'Area-Cabang'!$E46,'CWO Bulan Ini'!$CZ:$CZ,'Area-Cabang'!BE$41)</f>
        <v>0</v>
      </c>
      <c r="BF46" s="42">
        <f>SUMIFS('CWO Bulan Ini'!$DD:$DD,'CWO Bulan Ini'!$DJ:$DJ,'Area-Cabang'!$B46,'CWO Bulan Ini'!$DH:$DH,'Area-Cabang'!$E46,'CWO Bulan Ini'!$CZ:$CZ,'Area-Cabang'!BF$41)</f>
        <v>0</v>
      </c>
      <c r="BG46" s="42">
        <f>SUMIFS('CWO Bulan Ini'!$DD:$DD,'CWO Bulan Ini'!$DJ:$DJ,'Area-Cabang'!$B46,'CWO Bulan Ini'!$DH:$DH,'Area-Cabang'!$E46,'CWO Bulan Ini'!$CZ:$CZ,'Area-Cabang'!BG$41)</f>
        <v>0</v>
      </c>
      <c r="BH46" s="42">
        <f>SUMIFS('CWO Bulan Ini'!$DD:$DD,'CWO Bulan Ini'!$DJ:$DJ,'Area-Cabang'!$B46,'CWO Bulan Ini'!$DH:$DH,'Area-Cabang'!$E46,'CWO Bulan Ini'!$CZ:$CZ,'Area-Cabang'!BH$41)</f>
        <v>0</v>
      </c>
      <c r="BI46" s="42">
        <f>SUMIFS('CWO Bulan Ini'!$DD:$DD,'CWO Bulan Ini'!$DJ:$DJ,'Area-Cabang'!$B46,'CWO Bulan Ini'!$DH:$DH,'Area-Cabang'!$E46,'CWO Bulan Ini'!$CZ:$CZ,'Area-Cabang'!BI$41)</f>
        <v>0</v>
      </c>
      <c r="BJ46" s="42">
        <f>SUMIFS('CWO Bulan Ini'!$DD:$DD,'CWO Bulan Ini'!$DJ:$DJ,'Area-Cabang'!$B46,'CWO Bulan Ini'!$DH:$DH,'Area-Cabang'!$E46,'CWO Bulan Ini'!$CZ:$CZ,'Area-Cabang'!BJ$41)</f>
        <v>0</v>
      </c>
      <c r="BK46" s="42">
        <f>SUMIFS('CWO Bulan Ini'!$DD:$DD,'CWO Bulan Ini'!$DJ:$DJ,'Area-Cabang'!$B46,'CWO Bulan Ini'!$DH:$DH,'Area-Cabang'!$E46,'CWO Bulan Ini'!$CZ:$CZ,'Area-Cabang'!BK$41)</f>
        <v>0</v>
      </c>
      <c r="BL46" s="42">
        <f>SUMIFS('CWO Bulan Ini'!$DD:$DD,'CWO Bulan Ini'!$DJ:$DJ,'Area-Cabang'!$B46,'CWO Bulan Ini'!$DH:$DH,'Area-Cabang'!$E46,'CWO Bulan Ini'!$CZ:$CZ,'Area-Cabang'!BL$41)</f>
        <v>0</v>
      </c>
      <c r="BM46" s="42">
        <f>SUMIFS('CWO Bulan Ini'!$DD:$DD,'CWO Bulan Ini'!$DJ:$DJ,'Area-Cabang'!$B46,'CWO Bulan Ini'!$DH:$DH,'Area-Cabang'!$E46,'CWO Bulan Ini'!$CZ:$CZ,'Area-Cabang'!BM$41)</f>
        <v>0</v>
      </c>
      <c r="BN46" s="42">
        <f>SUMIFS('CWO Bulan Ini'!$DD:$DD,'CWO Bulan Ini'!$DJ:$DJ,'Area-Cabang'!$B46,'CWO Bulan Ini'!$DH:$DH,'Area-Cabang'!$E46,'CWO Bulan Ini'!$CZ:$CZ,'Area-Cabang'!BN$41)</f>
        <v>0</v>
      </c>
      <c r="BO46" s="43">
        <f>SUMIFS('CWO Bulan Ini'!$DD:$DD,'CWO Bulan Ini'!$DJ:$DJ,'Area-Cabang'!$B46,'CWO Bulan Ini'!$DH:$DH,'Area-Cabang'!$E46,'CWO Bulan Ini'!$CZ:$CZ,'Area-Cabang'!BO$41)</f>
        <v>0</v>
      </c>
      <c r="BP46" s="41">
        <f>SUMIFS('CWO Bulan Ini'!$DC:$DC,'CWO Bulan Ini'!$DJ:$DJ,'Area-Cabang'!$B46,'CWO Bulan Ini'!$DH:$DH,'Area-Cabang'!$E46,'CWO Bulan Ini'!$CZ:$CZ,'Area-Cabang'!BP$41)</f>
        <v>0</v>
      </c>
      <c r="BQ46" s="42">
        <f>SUMIFS('CWO Bulan Ini'!$DC:$DC,'CWO Bulan Ini'!$DJ:$DJ,'Area-Cabang'!$B46,'CWO Bulan Ini'!$DH:$DH,'Area-Cabang'!$E46,'CWO Bulan Ini'!$CZ:$CZ,'Area-Cabang'!BQ$41)</f>
        <v>0</v>
      </c>
      <c r="BR46" s="42">
        <f>SUMIFS('CWO Bulan Ini'!$DC:$DC,'CWO Bulan Ini'!$DJ:$DJ,'Area-Cabang'!$B46,'CWO Bulan Ini'!$DH:$DH,'Area-Cabang'!$E46,'CWO Bulan Ini'!$CZ:$CZ,'Area-Cabang'!BR$41)</f>
        <v>0</v>
      </c>
      <c r="BS46" s="42">
        <f>SUMIFS('CWO Bulan Ini'!$DC:$DC,'CWO Bulan Ini'!$DJ:$DJ,'Area-Cabang'!$B46,'CWO Bulan Ini'!$DH:$DH,'Area-Cabang'!$E46,'CWO Bulan Ini'!$CZ:$CZ,'Area-Cabang'!BS$41)</f>
        <v>0</v>
      </c>
      <c r="BT46" s="42">
        <f>SUMIFS('CWO Bulan Ini'!$DC:$DC,'CWO Bulan Ini'!$DJ:$DJ,'Area-Cabang'!$B46,'CWO Bulan Ini'!$DH:$DH,'Area-Cabang'!$E46,'CWO Bulan Ini'!$CZ:$CZ,'Area-Cabang'!BT$41)</f>
        <v>0</v>
      </c>
      <c r="BU46" s="42">
        <f>SUMIFS('CWO Bulan Ini'!$DC:$DC,'CWO Bulan Ini'!$DJ:$DJ,'Area-Cabang'!$B46,'CWO Bulan Ini'!$DH:$DH,'Area-Cabang'!$E46,'CWO Bulan Ini'!$CZ:$CZ,'Area-Cabang'!BU$41)</f>
        <v>0</v>
      </c>
      <c r="BV46" s="42">
        <f>SUMIFS('CWO Bulan Ini'!$DC:$DC,'CWO Bulan Ini'!$DJ:$DJ,'Area-Cabang'!$B46,'CWO Bulan Ini'!$DH:$DH,'Area-Cabang'!$E46,'CWO Bulan Ini'!$CZ:$CZ,'Area-Cabang'!BV$41)</f>
        <v>0</v>
      </c>
      <c r="BW46" s="42">
        <f>SUMIFS('CWO Bulan Ini'!$DC:$DC,'CWO Bulan Ini'!$DJ:$DJ,'Area-Cabang'!$B46,'CWO Bulan Ini'!$DH:$DH,'Area-Cabang'!$E46,'CWO Bulan Ini'!$CZ:$CZ,'Area-Cabang'!BW$41)</f>
        <v>0</v>
      </c>
      <c r="BX46" s="42">
        <f>SUMIFS('CWO Bulan Ini'!$DC:$DC,'CWO Bulan Ini'!$DJ:$DJ,'Area-Cabang'!$B46,'CWO Bulan Ini'!$DH:$DH,'Area-Cabang'!$E46,'CWO Bulan Ini'!$CZ:$CZ,'Area-Cabang'!BX$41)</f>
        <v>0</v>
      </c>
      <c r="BY46" s="42">
        <f>SUMIFS('CWO Bulan Ini'!$DC:$DC,'CWO Bulan Ini'!$DJ:$DJ,'Area-Cabang'!$B46,'CWO Bulan Ini'!$DH:$DH,'Area-Cabang'!$E46,'CWO Bulan Ini'!$CZ:$CZ,'Area-Cabang'!BY$41)</f>
        <v>0</v>
      </c>
      <c r="BZ46" s="42">
        <f>SUMIFS('CWO Bulan Ini'!$DC:$DC,'CWO Bulan Ini'!$DJ:$DJ,'Area-Cabang'!$B46,'CWO Bulan Ini'!$DH:$DH,'Area-Cabang'!$E46,'CWO Bulan Ini'!$CZ:$CZ,'Area-Cabang'!BZ$41)</f>
        <v>0</v>
      </c>
      <c r="CA46" s="42">
        <f>SUMIFS('CWO Bulan Ini'!$DC:$DC,'CWO Bulan Ini'!$DJ:$DJ,'Area-Cabang'!$B46,'CWO Bulan Ini'!$DH:$DH,'Area-Cabang'!$E46,'CWO Bulan Ini'!$CZ:$CZ,'Area-Cabang'!CA$41)</f>
        <v>0</v>
      </c>
      <c r="CB46" s="42">
        <f>SUMIFS('CWO Bulan Ini'!$DC:$DC,'CWO Bulan Ini'!$DJ:$DJ,'Area-Cabang'!$B46,'CWO Bulan Ini'!$DH:$DH,'Area-Cabang'!$E46,'CWO Bulan Ini'!$CZ:$CZ,'Area-Cabang'!CB$41)</f>
        <v>0</v>
      </c>
      <c r="CC46" s="42">
        <f>SUMIFS('CWO Bulan Ini'!$DC:$DC,'CWO Bulan Ini'!$DJ:$DJ,'Area-Cabang'!$B46,'CWO Bulan Ini'!$DH:$DH,'Area-Cabang'!$E46,'CWO Bulan Ini'!$CZ:$CZ,'Area-Cabang'!CC$41)</f>
        <v>0</v>
      </c>
      <c r="CD46" s="42">
        <f>SUMIFS('CWO Bulan Ini'!$DC:$DC,'CWO Bulan Ini'!$DJ:$DJ,'Area-Cabang'!$B46,'CWO Bulan Ini'!$DH:$DH,'Area-Cabang'!$E46,'CWO Bulan Ini'!$CZ:$CZ,'Area-Cabang'!CD$41)</f>
        <v>0</v>
      </c>
      <c r="CE46" s="42">
        <f>SUMIFS('CWO Bulan Ini'!$DC:$DC,'CWO Bulan Ini'!$DJ:$DJ,'Area-Cabang'!$B46,'CWO Bulan Ini'!$DH:$DH,'Area-Cabang'!$E46,'CWO Bulan Ini'!$CZ:$CZ,'Area-Cabang'!CE$41)</f>
        <v>0</v>
      </c>
      <c r="CF46" s="42">
        <f>SUMIFS('CWO Bulan Ini'!$DC:$DC,'CWO Bulan Ini'!$DJ:$DJ,'Area-Cabang'!$B46,'CWO Bulan Ini'!$DH:$DH,'Area-Cabang'!$E46,'CWO Bulan Ini'!$CZ:$CZ,'Area-Cabang'!CF$41)</f>
        <v>0</v>
      </c>
      <c r="CG46" s="42">
        <f>SUMIFS('CWO Bulan Ini'!$DC:$DC,'CWO Bulan Ini'!$DJ:$DJ,'Area-Cabang'!$B46,'CWO Bulan Ini'!$DH:$DH,'Area-Cabang'!$E46,'CWO Bulan Ini'!$CZ:$CZ,'Area-Cabang'!CG$41)</f>
        <v>0</v>
      </c>
      <c r="CH46" s="42">
        <f>SUMIFS('CWO Bulan Ini'!$DC:$DC,'CWO Bulan Ini'!$DJ:$DJ,'Area-Cabang'!$B46,'CWO Bulan Ini'!$DH:$DH,'Area-Cabang'!$E46,'CWO Bulan Ini'!$CZ:$CZ,'Area-Cabang'!CH$41)</f>
        <v>0</v>
      </c>
      <c r="CI46" s="42">
        <f>SUMIFS('CWO Bulan Ini'!$DC:$DC,'CWO Bulan Ini'!$DJ:$DJ,'Area-Cabang'!$B46,'CWO Bulan Ini'!$DH:$DH,'Area-Cabang'!$E46,'CWO Bulan Ini'!$CZ:$CZ,'Area-Cabang'!CI$41)</f>
        <v>0</v>
      </c>
      <c r="CJ46" s="42">
        <f>SUMIFS('CWO Bulan Ini'!$DC:$DC,'CWO Bulan Ini'!$DJ:$DJ,'Area-Cabang'!$B46,'CWO Bulan Ini'!$DH:$DH,'Area-Cabang'!$E46,'CWO Bulan Ini'!$CZ:$CZ,'Area-Cabang'!CJ$41)</f>
        <v>0</v>
      </c>
      <c r="CK46" s="42">
        <f>SUMIFS('CWO Bulan Ini'!$DC:$DC,'CWO Bulan Ini'!$DJ:$DJ,'Area-Cabang'!$B46,'CWO Bulan Ini'!$DH:$DH,'Area-Cabang'!$E46,'CWO Bulan Ini'!$CZ:$CZ,'Area-Cabang'!CK$41)</f>
        <v>0</v>
      </c>
      <c r="CL46" s="42">
        <f>SUMIFS('CWO Bulan Ini'!$DC:$DC,'CWO Bulan Ini'!$DJ:$DJ,'Area-Cabang'!$B46,'CWO Bulan Ini'!$DH:$DH,'Area-Cabang'!$E46,'CWO Bulan Ini'!$CZ:$CZ,'Area-Cabang'!CL$41)</f>
        <v>0</v>
      </c>
      <c r="CM46" s="42">
        <f>SUMIFS('CWO Bulan Ini'!$DC:$DC,'CWO Bulan Ini'!$DJ:$DJ,'Area-Cabang'!$B46,'CWO Bulan Ini'!$DH:$DH,'Area-Cabang'!$E46,'CWO Bulan Ini'!$CZ:$CZ,'Area-Cabang'!CM$41)</f>
        <v>0</v>
      </c>
      <c r="CN46" s="42">
        <f>SUMIFS('CWO Bulan Ini'!$DC:$DC,'CWO Bulan Ini'!$DJ:$DJ,'Area-Cabang'!$B46,'CWO Bulan Ini'!$DH:$DH,'Area-Cabang'!$E46,'CWO Bulan Ini'!$CZ:$CZ,'Area-Cabang'!CN$41)</f>
        <v>0</v>
      </c>
      <c r="CO46" s="42">
        <f>SUMIFS('CWO Bulan Ini'!$DC:$DC,'CWO Bulan Ini'!$DJ:$DJ,'Area-Cabang'!$B46,'CWO Bulan Ini'!$DH:$DH,'Area-Cabang'!$E46,'CWO Bulan Ini'!$CZ:$CZ,'Area-Cabang'!CO$41)</f>
        <v>0</v>
      </c>
      <c r="CP46" s="42">
        <f>SUMIFS('CWO Bulan Ini'!$DC:$DC,'CWO Bulan Ini'!$DJ:$DJ,'Area-Cabang'!$B46,'CWO Bulan Ini'!$DH:$DH,'Area-Cabang'!$E46,'CWO Bulan Ini'!$CZ:$CZ,'Area-Cabang'!CP$41)</f>
        <v>0</v>
      </c>
      <c r="CQ46" s="42">
        <f>SUMIFS('CWO Bulan Ini'!$DC:$DC,'CWO Bulan Ini'!$DJ:$DJ,'Area-Cabang'!$B46,'CWO Bulan Ini'!$DH:$DH,'Area-Cabang'!$E46,'CWO Bulan Ini'!$CZ:$CZ,'Area-Cabang'!CQ$41)</f>
        <v>0</v>
      </c>
      <c r="CR46" s="42">
        <f>SUMIFS('CWO Bulan Ini'!$DC:$DC,'CWO Bulan Ini'!$DJ:$DJ,'Area-Cabang'!$B46,'CWO Bulan Ini'!$DH:$DH,'Area-Cabang'!$E46,'CWO Bulan Ini'!$CZ:$CZ,'Area-Cabang'!CR$41)</f>
        <v>0</v>
      </c>
      <c r="CS46" s="42">
        <f>SUMIFS('CWO Bulan Ini'!$DC:$DC,'CWO Bulan Ini'!$DJ:$DJ,'Area-Cabang'!$B46,'CWO Bulan Ini'!$DH:$DH,'Area-Cabang'!$E46,'CWO Bulan Ini'!$CZ:$CZ,'Area-Cabang'!CS$41)</f>
        <v>0</v>
      </c>
      <c r="CT46" s="43">
        <f>SUMIFS('CWO Bulan Ini'!$DC:$DC,'CWO Bulan Ini'!$DJ:$DJ,'Area-Cabang'!$B46,'CWO Bulan Ini'!$DH:$DH,'Area-Cabang'!$E46,'CWO Bulan Ini'!$CZ:$CZ,'Area-Cabang'!CT$41)</f>
        <v>0</v>
      </c>
      <c r="CV46" s="96">
        <f t="shared" si="1084"/>
        <v>0</v>
      </c>
      <c r="CW46" s="93">
        <f t="shared" si="1085"/>
        <v>0</v>
      </c>
      <c r="CX46" s="93">
        <f t="shared" si="1086"/>
        <v>0</v>
      </c>
      <c r="CY46" s="93">
        <f t="shared" si="1087"/>
        <v>0</v>
      </c>
      <c r="CZ46" s="106">
        <f t="shared" si="1088"/>
        <v>0</v>
      </c>
    </row>
    <row r="47" spans="1:104" ht="15" customHeight="1" x14ac:dyDescent="0.25">
      <c r="A47" s="58" t="s">
        <v>465</v>
      </c>
      <c r="B47" s="53" t="s">
        <v>809</v>
      </c>
      <c r="C47" s="250"/>
      <c r="D47" s="227" t="s">
        <v>809</v>
      </c>
      <c r="E47" s="228"/>
      <c r="F47" s="219">
        <f t="shared" ref="F47" si="1089">SUM(F45:F46)</f>
        <v>0</v>
      </c>
      <c r="G47" s="220">
        <f t="shared" ref="G47" si="1090">SUM(G45:G46)</f>
        <v>0</v>
      </c>
      <c r="H47" s="220">
        <f t="shared" ref="H47" si="1091">SUM(H45:H46)</f>
        <v>0</v>
      </c>
      <c r="I47" s="220">
        <f t="shared" ref="I47" si="1092">SUM(I45:I46)</f>
        <v>189.78896786999999</v>
      </c>
      <c r="J47" s="220">
        <f t="shared" ref="J47" si="1093">SUM(J45:J46)</f>
        <v>0</v>
      </c>
      <c r="K47" s="220">
        <f t="shared" ref="K47" si="1094">SUM(K45:K46)</f>
        <v>0</v>
      </c>
      <c r="L47" s="220">
        <f t="shared" ref="L47" si="1095">SUM(L45:L46)</f>
        <v>0</v>
      </c>
      <c r="M47" s="220">
        <f t="shared" ref="M47" si="1096">SUM(M45:M46)</f>
        <v>0</v>
      </c>
      <c r="N47" s="220">
        <f t="shared" ref="N47" si="1097">SUM(N45:N46)</f>
        <v>0</v>
      </c>
      <c r="O47" s="220">
        <f t="shared" ref="O47" si="1098">SUM(O45:O46)</f>
        <v>0</v>
      </c>
      <c r="P47" s="220">
        <f t="shared" ref="P47" si="1099">SUM(P45:P46)</f>
        <v>0</v>
      </c>
      <c r="Q47" s="220">
        <f t="shared" ref="Q47" si="1100">SUM(Q45:Q46)</f>
        <v>0</v>
      </c>
      <c r="R47" s="220">
        <f t="shared" ref="R47" si="1101">SUM(R45:R46)</f>
        <v>0</v>
      </c>
      <c r="S47" s="220">
        <f t="shared" ref="S47" si="1102">SUM(S45:S46)</f>
        <v>0</v>
      </c>
      <c r="T47" s="220">
        <f t="shared" ref="T47" si="1103">SUM(T45:T46)</f>
        <v>0</v>
      </c>
      <c r="U47" s="220">
        <f t="shared" ref="U47" si="1104">SUM(U45:U46)</f>
        <v>0</v>
      </c>
      <c r="V47" s="220">
        <f t="shared" ref="V47" si="1105">SUM(V45:V46)</f>
        <v>0</v>
      </c>
      <c r="W47" s="220">
        <f t="shared" ref="W47" si="1106">SUM(W45:W46)</f>
        <v>0</v>
      </c>
      <c r="X47" s="220">
        <f t="shared" ref="X47" si="1107">SUM(X45:X46)</f>
        <v>0</v>
      </c>
      <c r="Y47" s="220">
        <f t="shared" ref="Y47" si="1108">SUM(Y45:Y46)</f>
        <v>0</v>
      </c>
      <c r="Z47" s="220">
        <f t="shared" ref="Z47" si="1109">SUM(Z45:Z46)</f>
        <v>0</v>
      </c>
      <c r="AA47" s="220">
        <f t="shared" ref="AA47" si="1110">SUM(AA45:AA46)</f>
        <v>0</v>
      </c>
      <c r="AB47" s="220">
        <f t="shared" ref="AB47" si="1111">SUM(AB45:AB46)</f>
        <v>0</v>
      </c>
      <c r="AC47" s="220">
        <f t="shared" ref="AC47" si="1112">SUM(AC45:AC46)</f>
        <v>0</v>
      </c>
      <c r="AD47" s="220">
        <f t="shared" ref="AD47" si="1113">SUM(AD45:AD46)</f>
        <v>0</v>
      </c>
      <c r="AE47" s="220">
        <f t="shared" ref="AE47" si="1114">SUM(AE45:AE46)</f>
        <v>0</v>
      </c>
      <c r="AF47" s="220">
        <f t="shared" ref="AF47" si="1115">SUM(AF45:AF46)</f>
        <v>0</v>
      </c>
      <c r="AG47" s="220">
        <f t="shared" ref="AG47" si="1116">SUM(AG45:AG46)</f>
        <v>0</v>
      </c>
      <c r="AH47" s="220">
        <f t="shared" ref="AH47" si="1117">SUM(AH45:AH46)</f>
        <v>0</v>
      </c>
      <c r="AI47" s="220">
        <f t="shared" ref="AI47" si="1118">SUM(AI45:AI46)</f>
        <v>0</v>
      </c>
      <c r="AJ47" s="220">
        <f t="shared" ref="AJ47" si="1119">SUM(AJ45:AJ46)</f>
        <v>0</v>
      </c>
      <c r="AK47" s="219">
        <f t="shared" ref="AK47" si="1120">SUM(AK45:AK46)</f>
        <v>0</v>
      </c>
      <c r="AL47" s="220">
        <f t="shared" ref="AL47" si="1121">SUM(AL45:AL46)</f>
        <v>0</v>
      </c>
      <c r="AM47" s="220">
        <f t="shared" ref="AM47" si="1122">SUM(AM45:AM46)</f>
        <v>0</v>
      </c>
      <c r="AN47" s="220">
        <f t="shared" ref="AN47" si="1123">SUM(AN45:AN46)</f>
        <v>189.78896786999999</v>
      </c>
      <c r="AO47" s="220">
        <f t="shared" ref="AO47" si="1124">SUM(AO45:AO46)</f>
        <v>0</v>
      </c>
      <c r="AP47" s="220">
        <f t="shared" ref="AP47" si="1125">SUM(AP45:AP46)</f>
        <v>0</v>
      </c>
      <c r="AQ47" s="220">
        <f t="shared" ref="AQ47" si="1126">SUM(AQ45:AQ46)</f>
        <v>0</v>
      </c>
      <c r="AR47" s="220">
        <f t="shared" ref="AR47" si="1127">SUM(AR45:AR46)</f>
        <v>0</v>
      </c>
      <c r="AS47" s="220">
        <f t="shared" ref="AS47" si="1128">SUM(AS45:AS46)</f>
        <v>0</v>
      </c>
      <c r="AT47" s="220">
        <f t="shared" ref="AT47" si="1129">SUM(AT45:AT46)</f>
        <v>0</v>
      </c>
      <c r="AU47" s="220">
        <f t="shared" ref="AU47" si="1130">SUM(AU45:AU46)</f>
        <v>0</v>
      </c>
      <c r="AV47" s="220">
        <f t="shared" ref="AV47" si="1131">SUM(AV45:AV46)</f>
        <v>0</v>
      </c>
      <c r="AW47" s="220">
        <f t="shared" ref="AW47" si="1132">SUM(AW45:AW46)</f>
        <v>0</v>
      </c>
      <c r="AX47" s="220">
        <f t="shared" ref="AX47" si="1133">SUM(AX45:AX46)</f>
        <v>0</v>
      </c>
      <c r="AY47" s="220">
        <f t="shared" ref="AY47" si="1134">SUM(AY45:AY46)</f>
        <v>0</v>
      </c>
      <c r="AZ47" s="220">
        <f t="shared" ref="AZ47" si="1135">SUM(AZ45:AZ46)</f>
        <v>0</v>
      </c>
      <c r="BA47" s="220">
        <f t="shared" ref="BA47" si="1136">SUM(BA45:BA46)</f>
        <v>0</v>
      </c>
      <c r="BB47" s="220">
        <f t="shared" ref="BB47" si="1137">SUM(BB45:BB46)</f>
        <v>0</v>
      </c>
      <c r="BC47" s="220">
        <f t="shared" ref="BC47" si="1138">SUM(BC45:BC46)</f>
        <v>0</v>
      </c>
      <c r="BD47" s="220">
        <f t="shared" ref="BD47" si="1139">SUM(BD45:BD46)</f>
        <v>0</v>
      </c>
      <c r="BE47" s="220">
        <f t="shared" ref="BE47" si="1140">SUM(BE45:BE46)</f>
        <v>0</v>
      </c>
      <c r="BF47" s="220">
        <f t="shared" ref="BF47" si="1141">SUM(BF45:BF46)</f>
        <v>0</v>
      </c>
      <c r="BG47" s="220">
        <f t="shared" ref="BG47" si="1142">SUM(BG45:BG46)</f>
        <v>0</v>
      </c>
      <c r="BH47" s="220">
        <f t="shared" ref="BH47" si="1143">SUM(BH45:BH46)</f>
        <v>0</v>
      </c>
      <c r="BI47" s="220">
        <f t="shared" ref="BI47" si="1144">SUM(BI45:BI46)</f>
        <v>0</v>
      </c>
      <c r="BJ47" s="220">
        <f t="shared" ref="BJ47" si="1145">SUM(BJ45:BJ46)</f>
        <v>0</v>
      </c>
      <c r="BK47" s="220">
        <f t="shared" ref="BK47" si="1146">SUM(BK45:BK46)</f>
        <v>0</v>
      </c>
      <c r="BL47" s="220">
        <f t="shared" ref="BL47" si="1147">SUM(BL45:BL46)</f>
        <v>0</v>
      </c>
      <c r="BM47" s="220">
        <f t="shared" ref="BM47" si="1148">SUM(BM45:BM46)</f>
        <v>0</v>
      </c>
      <c r="BN47" s="220">
        <f t="shared" ref="BN47" si="1149">SUM(BN45:BN46)</f>
        <v>0</v>
      </c>
      <c r="BO47" s="221">
        <f t="shared" ref="BO47" si="1150">SUM(BO45:BO46)</f>
        <v>0</v>
      </c>
      <c r="BP47" s="219">
        <f t="shared" ref="BP47" si="1151">SUM(BP45:BP46)</f>
        <v>0</v>
      </c>
      <c r="BQ47" s="220">
        <f t="shared" ref="BQ47" si="1152">SUM(BQ45:BQ46)</f>
        <v>0</v>
      </c>
      <c r="BR47" s="220">
        <f t="shared" ref="BR47" si="1153">SUM(BR45:BR46)</f>
        <v>0</v>
      </c>
      <c r="BS47" s="220">
        <f t="shared" ref="BS47" si="1154">SUM(BS45:BS46)</f>
        <v>0</v>
      </c>
      <c r="BT47" s="220">
        <f t="shared" ref="BT47" si="1155">SUM(BT45:BT46)</f>
        <v>0</v>
      </c>
      <c r="BU47" s="220">
        <f t="shared" ref="BU47" si="1156">SUM(BU45:BU46)</f>
        <v>0</v>
      </c>
      <c r="BV47" s="220">
        <f t="shared" ref="BV47" si="1157">SUM(BV45:BV46)</f>
        <v>0</v>
      </c>
      <c r="BW47" s="220">
        <f t="shared" ref="BW47" si="1158">SUM(BW45:BW46)</f>
        <v>0</v>
      </c>
      <c r="BX47" s="220">
        <f t="shared" ref="BX47" si="1159">SUM(BX45:BX46)</f>
        <v>0</v>
      </c>
      <c r="BY47" s="220">
        <f t="shared" ref="BY47" si="1160">SUM(BY45:BY46)</f>
        <v>0</v>
      </c>
      <c r="BZ47" s="220">
        <f t="shared" ref="BZ47" si="1161">SUM(BZ45:BZ46)</f>
        <v>0</v>
      </c>
      <c r="CA47" s="220">
        <f t="shared" ref="CA47" si="1162">SUM(CA45:CA46)</f>
        <v>0</v>
      </c>
      <c r="CB47" s="220">
        <f t="shared" ref="CB47" si="1163">SUM(CB45:CB46)</f>
        <v>0</v>
      </c>
      <c r="CC47" s="220">
        <f t="shared" ref="CC47" si="1164">SUM(CC45:CC46)</f>
        <v>0</v>
      </c>
      <c r="CD47" s="220">
        <f t="shared" ref="CD47" si="1165">SUM(CD45:CD46)</f>
        <v>0</v>
      </c>
      <c r="CE47" s="220">
        <f t="shared" ref="CE47" si="1166">SUM(CE45:CE46)</f>
        <v>0</v>
      </c>
      <c r="CF47" s="220">
        <f t="shared" ref="CF47" si="1167">SUM(CF45:CF46)</f>
        <v>0</v>
      </c>
      <c r="CG47" s="220">
        <f t="shared" ref="CG47" si="1168">SUM(CG45:CG46)</f>
        <v>0</v>
      </c>
      <c r="CH47" s="220">
        <f t="shared" ref="CH47" si="1169">SUM(CH45:CH46)</f>
        <v>0</v>
      </c>
      <c r="CI47" s="220">
        <f t="shared" ref="CI47" si="1170">SUM(CI45:CI46)</f>
        <v>0</v>
      </c>
      <c r="CJ47" s="220">
        <f t="shared" ref="CJ47" si="1171">SUM(CJ45:CJ46)</f>
        <v>0</v>
      </c>
      <c r="CK47" s="220">
        <f t="shared" ref="CK47" si="1172">SUM(CK45:CK46)</f>
        <v>0</v>
      </c>
      <c r="CL47" s="220">
        <f t="shared" ref="CL47" si="1173">SUM(CL45:CL46)</f>
        <v>0</v>
      </c>
      <c r="CM47" s="220">
        <f t="shared" ref="CM47" si="1174">SUM(CM45:CM46)</f>
        <v>0</v>
      </c>
      <c r="CN47" s="220">
        <f t="shared" ref="CN47" si="1175">SUM(CN45:CN46)</f>
        <v>0</v>
      </c>
      <c r="CO47" s="220">
        <f t="shared" ref="CO47" si="1176">SUM(CO45:CO46)</f>
        <v>0</v>
      </c>
      <c r="CP47" s="220">
        <f t="shared" ref="CP47" si="1177">SUM(CP45:CP46)</f>
        <v>0</v>
      </c>
      <c r="CQ47" s="220">
        <f t="shared" ref="CQ47" si="1178">SUM(CQ45:CQ46)</f>
        <v>0</v>
      </c>
      <c r="CR47" s="220">
        <f t="shared" ref="CR47" si="1179">SUM(CR45:CR46)</f>
        <v>0</v>
      </c>
      <c r="CS47" s="220">
        <f t="shared" ref="CS47" si="1180">SUM(CS45:CS46)</f>
        <v>0</v>
      </c>
      <c r="CT47" s="221">
        <f t="shared" ref="CT47" si="1181">SUM(CT45:CT46)</f>
        <v>0</v>
      </c>
      <c r="CU47" s="226"/>
      <c r="CV47" s="219">
        <f t="shared" ref="CV47" si="1182">SUM(CV45:CV46)</f>
        <v>189.78896786999999</v>
      </c>
      <c r="CW47" s="220">
        <f t="shared" ref="CW47" si="1183">SUM(CW45:CW46)</f>
        <v>189.78896786999999</v>
      </c>
      <c r="CX47" s="220">
        <f t="shared" ref="CX47" si="1184">SUM(CX45:CX46)</f>
        <v>0</v>
      </c>
      <c r="CY47" s="220">
        <f t="shared" ref="CY47" si="1185">SUM(CY45:CY46)</f>
        <v>0</v>
      </c>
      <c r="CZ47" s="222">
        <f t="shared" ref="CZ47" si="1186">SUM(CZ45:CZ46)</f>
        <v>189.78896786999999</v>
      </c>
    </row>
    <row r="48" spans="1:104" ht="15" customHeight="1" x14ac:dyDescent="0.25">
      <c r="A48" s="58" t="s">
        <v>465</v>
      </c>
      <c r="B48" s="53" t="s">
        <v>7</v>
      </c>
      <c r="C48" s="250"/>
      <c r="D48" s="245" t="s">
        <v>7</v>
      </c>
      <c r="E48" s="85" t="s">
        <v>132</v>
      </c>
      <c r="F48" s="55">
        <f>SUMIFS('CWO Bulan Ini'!$DA:$DA,'CWO Bulan Ini'!$DJ:$DJ,'Area-Cabang'!$B48,'CWO Bulan Ini'!$DH:$DH,'Area-Cabang'!$E48,'CWO Bulan Ini'!$CZ:$CZ,'Area-Cabang'!F$41)</f>
        <v>0</v>
      </c>
      <c r="G48" s="56">
        <f>SUMIFS('CWO Bulan Ini'!$DA:$DA,'CWO Bulan Ini'!$DJ:$DJ,'Area-Cabang'!$B48,'CWO Bulan Ini'!$DH:$DH,'Area-Cabang'!$E48,'CWO Bulan Ini'!$CZ:$CZ,'Area-Cabang'!G$41)</f>
        <v>0</v>
      </c>
      <c r="H48" s="56">
        <f>SUMIFS('CWO Bulan Ini'!$DA:$DA,'CWO Bulan Ini'!$DJ:$DJ,'Area-Cabang'!$B48,'CWO Bulan Ini'!$DH:$DH,'Area-Cabang'!$E48,'CWO Bulan Ini'!$CZ:$CZ,'Area-Cabang'!H$41)</f>
        <v>0</v>
      </c>
      <c r="I48" s="56">
        <f>SUMIFS('CWO Bulan Ini'!$DA:$DA,'CWO Bulan Ini'!$DJ:$DJ,'Area-Cabang'!$B48,'CWO Bulan Ini'!$DH:$DH,'Area-Cabang'!$E48,'CWO Bulan Ini'!$CZ:$CZ,'Area-Cabang'!I$41)</f>
        <v>0</v>
      </c>
      <c r="J48" s="56">
        <f>SUMIFS('CWO Bulan Ini'!$DA:$DA,'CWO Bulan Ini'!$DJ:$DJ,'Area-Cabang'!$B48,'CWO Bulan Ini'!$DH:$DH,'Area-Cabang'!$E48,'CWO Bulan Ini'!$CZ:$CZ,'Area-Cabang'!J$41)</f>
        <v>291.54083276</v>
      </c>
      <c r="K48" s="56">
        <f>SUMIFS('CWO Bulan Ini'!$DA:$DA,'CWO Bulan Ini'!$DJ:$DJ,'Area-Cabang'!$B48,'CWO Bulan Ini'!$DH:$DH,'Area-Cabang'!$E48,'CWO Bulan Ini'!$CZ:$CZ,'Area-Cabang'!K$41)</f>
        <v>131.84079</v>
      </c>
      <c r="L48" s="56">
        <f>SUMIFS('CWO Bulan Ini'!$DA:$DA,'CWO Bulan Ini'!$DJ:$DJ,'Area-Cabang'!$B48,'CWO Bulan Ini'!$DH:$DH,'Area-Cabang'!$E48,'CWO Bulan Ini'!$CZ:$CZ,'Area-Cabang'!L$41)</f>
        <v>0</v>
      </c>
      <c r="M48" s="56">
        <f>SUMIFS('CWO Bulan Ini'!$DA:$DA,'CWO Bulan Ini'!$DJ:$DJ,'Area-Cabang'!$B48,'CWO Bulan Ini'!$DH:$DH,'Area-Cabang'!$E48,'CWO Bulan Ini'!$CZ:$CZ,'Area-Cabang'!M$41)</f>
        <v>0</v>
      </c>
      <c r="N48" s="56">
        <f>SUMIFS('CWO Bulan Ini'!$DA:$DA,'CWO Bulan Ini'!$DJ:$DJ,'Area-Cabang'!$B48,'CWO Bulan Ini'!$DH:$DH,'Area-Cabang'!$E48,'CWO Bulan Ini'!$CZ:$CZ,'Area-Cabang'!N$41)</f>
        <v>0</v>
      </c>
      <c r="O48" s="56">
        <f>SUMIFS('CWO Bulan Ini'!$DA:$DA,'CWO Bulan Ini'!$DJ:$DJ,'Area-Cabang'!$B48,'CWO Bulan Ini'!$DH:$DH,'Area-Cabang'!$E48,'CWO Bulan Ini'!$CZ:$CZ,'Area-Cabang'!O$41)</f>
        <v>0</v>
      </c>
      <c r="P48" s="56">
        <f>SUMIFS('CWO Bulan Ini'!$DA:$DA,'CWO Bulan Ini'!$DJ:$DJ,'Area-Cabang'!$B48,'CWO Bulan Ini'!$DH:$DH,'Area-Cabang'!$E48,'CWO Bulan Ini'!$CZ:$CZ,'Area-Cabang'!P$41)</f>
        <v>211.84600175</v>
      </c>
      <c r="Q48" s="56">
        <f>SUMIFS('CWO Bulan Ini'!$DA:$DA,'CWO Bulan Ini'!$DJ:$DJ,'Area-Cabang'!$B48,'CWO Bulan Ini'!$DH:$DH,'Area-Cabang'!$E48,'CWO Bulan Ini'!$CZ:$CZ,'Area-Cabang'!Q$41)</f>
        <v>0</v>
      </c>
      <c r="R48" s="56">
        <f>SUMIFS('CWO Bulan Ini'!$DA:$DA,'CWO Bulan Ini'!$DJ:$DJ,'Area-Cabang'!$B48,'CWO Bulan Ini'!$DH:$DH,'Area-Cabang'!$E48,'CWO Bulan Ini'!$CZ:$CZ,'Area-Cabang'!R$41)</f>
        <v>0</v>
      </c>
      <c r="S48" s="56">
        <f>SUMIFS('CWO Bulan Ini'!$DA:$DA,'CWO Bulan Ini'!$DJ:$DJ,'Area-Cabang'!$B48,'CWO Bulan Ini'!$DH:$DH,'Area-Cabang'!$E48,'CWO Bulan Ini'!$CZ:$CZ,'Area-Cabang'!S$41)</f>
        <v>0</v>
      </c>
      <c r="T48" s="56">
        <f>SUMIFS('CWO Bulan Ini'!$DA:$DA,'CWO Bulan Ini'!$DJ:$DJ,'Area-Cabang'!$B48,'CWO Bulan Ini'!$DH:$DH,'Area-Cabang'!$E48,'CWO Bulan Ini'!$CZ:$CZ,'Area-Cabang'!T$41)</f>
        <v>0</v>
      </c>
      <c r="U48" s="56">
        <f>SUMIFS('CWO Bulan Ini'!$DA:$DA,'CWO Bulan Ini'!$DJ:$DJ,'Area-Cabang'!$B48,'CWO Bulan Ini'!$DH:$DH,'Area-Cabang'!$E48,'CWO Bulan Ini'!$CZ:$CZ,'Area-Cabang'!U$41)</f>
        <v>0</v>
      </c>
      <c r="V48" s="56">
        <f>SUMIFS('CWO Bulan Ini'!$DA:$DA,'CWO Bulan Ini'!$DJ:$DJ,'Area-Cabang'!$B48,'CWO Bulan Ini'!$DH:$DH,'Area-Cabang'!$E48,'CWO Bulan Ini'!$CZ:$CZ,'Area-Cabang'!V$41)</f>
        <v>0</v>
      </c>
      <c r="W48" s="56">
        <f>SUMIFS('CWO Bulan Ini'!$DA:$DA,'CWO Bulan Ini'!$DJ:$DJ,'Area-Cabang'!$B48,'CWO Bulan Ini'!$DH:$DH,'Area-Cabang'!$E48,'CWO Bulan Ini'!$CZ:$CZ,'Area-Cabang'!W$41)</f>
        <v>0</v>
      </c>
      <c r="X48" s="56">
        <f>SUMIFS('CWO Bulan Ini'!$DA:$DA,'CWO Bulan Ini'!$DJ:$DJ,'Area-Cabang'!$B48,'CWO Bulan Ini'!$DH:$DH,'Area-Cabang'!$E48,'CWO Bulan Ini'!$CZ:$CZ,'Area-Cabang'!X$41)</f>
        <v>0</v>
      </c>
      <c r="Y48" s="56">
        <f>SUMIFS('CWO Bulan Ini'!$DA:$DA,'CWO Bulan Ini'!$DJ:$DJ,'Area-Cabang'!$B48,'CWO Bulan Ini'!$DH:$DH,'Area-Cabang'!$E48,'CWO Bulan Ini'!$CZ:$CZ,'Area-Cabang'!Y$41)</f>
        <v>0</v>
      </c>
      <c r="Z48" s="56">
        <f>SUMIFS('CWO Bulan Ini'!$DA:$DA,'CWO Bulan Ini'!$DJ:$DJ,'Area-Cabang'!$B48,'CWO Bulan Ini'!$DH:$DH,'Area-Cabang'!$E48,'CWO Bulan Ini'!$CZ:$CZ,'Area-Cabang'!Z$41)</f>
        <v>0</v>
      </c>
      <c r="AA48" s="56">
        <f>SUMIFS('CWO Bulan Ini'!$DA:$DA,'CWO Bulan Ini'!$DJ:$DJ,'Area-Cabang'!$B48,'CWO Bulan Ini'!$DH:$DH,'Area-Cabang'!$E48,'CWO Bulan Ini'!$CZ:$CZ,'Area-Cabang'!AA$41)</f>
        <v>0</v>
      </c>
      <c r="AB48" s="56">
        <f>SUMIFS('CWO Bulan Ini'!$DA:$DA,'CWO Bulan Ini'!$DJ:$DJ,'Area-Cabang'!$B48,'CWO Bulan Ini'!$DH:$DH,'Area-Cabang'!$E48,'CWO Bulan Ini'!$CZ:$CZ,'Area-Cabang'!AB$41)</f>
        <v>0</v>
      </c>
      <c r="AC48" s="56">
        <f>SUMIFS('CWO Bulan Ini'!$DA:$DA,'CWO Bulan Ini'!$DJ:$DJ,'Area-Cabang'!$B48,'CWO Bulan Ini'!$DH:$DH,'Area-Cabang'!$E48,'CWO Bulan Ini'!$CZ:$CZ,'Area-Cabang'!AC$41)</f>
        <v>0</v>
      </c>
      <c r="AD48" s="56">
        <f>SUMIFS('CWO Bulan Ini'!$DA:$DA,'CWO Bulan Ini'!$DJ:$DJ,'Area-Cabang'!$B48,'CWO Bulan Ini'!$DH:$DH,'Area-Cabang'!$E48,'CWO Bulan Ini'!$CZ:$CZ,'Area-Cabang'!AD$41)</f>
        <v>0</v>
      </c>
      <c r="AE48" s="56">
        <f>SUMIFS('CWO Bulan Ini'!$DA:$DA,'CWO Bulan Ini'!$DJ:$DJ,'Area-Cabang'!$B48,'CWO Bulan Ini'!$DH:$DH,'Area-Cabang'!$E48,'CWO Bulan Ini'!$CZ:$CZ,'Area-Cabang'!AE$41)</f>
        <v>0</v>
      </c>
      <c r="AF48" s="56">
        <f>SUMIFS('CWO Bulan Ini'!$DA:$DA,'CWO Bulan Ini'!$DJ:$DJ,'Area-Cabang'!$B48,'CWO Bulan Ini'!$DH:$DH,'Area-Cabang'!$E48,'CWO Bulan Ini'!$CZ:$CZ,'Area-Cabang'!AF$41)</f>
        <v>0</v>
      </c>
      <c r="AG48" s="56">
        <f>SUMIFS('CWO Bulan Ini'!$DA:$DA,'CWO Bulan Ini'!$DJ:$DJ,'Area-Cabang'!$B48,'CWO Bulan Ini'!$DH:$DH,'Area-Cabang'!$E48,'CWO Bulan Ini'!$CZ:$CZ,'Area-Cabang'!AG$41)</f>
        <v>0</v>
      </c>
      <c r="AH48" s="56">
        <f>SUMIFS('CWO Bulan Ini'!$DA:$DA,'CWO Bulan Ini'!$DJ:$DJ,'Area-Cabang'!$B48,'CWO Bulan Ini'!$DH:$DH,'Area-Cabang'!$E48,'CWO Bulan Ini'!$CZ:$CZ,'Area-Cabang'!AH$41)</f>
        <v>0</v>
      </c>
      <c r="AI48" s="56">
        <f>SUMIFS('CWO Bulan Ini'!$DA:$DA,'CWO Bulan Ini'!$DJ:$DJ,'Area-Cabang'!$B48,'CWO Bulan Ini'!$DH:$DH,'Area-Cabang'!$E48,'CWO Bulan Ini'!$CZ:$CZ,'Area-Cabang'!AI$41)</f>
        <v>0</v>
      </c>
      <c r="AJ48" s="56">
        <f>SUMIFS('CWO Bulan Ini'!$DA:$DA,'CWO Bulan Ini'!$DJ:$DJ,'Area-Cabang'!$B48,'CWO Bulan Ini'!$DH:$DH,'Area-Cabang'!$E48,'CWO Bulan Ini'!$CZ:$CZ,'Area-Cabang'!AJ$41)</f>
        <v>0</v>
      </c>
      <c r="AK48" s="55">
        <f>SUMIFS('CWO Bulan Ini'!$DD:$DD,'CWO Bulan Ini'!$DJ:$DJ,'Area-Cabang'!$B48,'CWO Bulan Ini'!$DH:$DH,'Area-Cabang'!$E48,'CWO Bulan Ini'!$CZ:$CZ,'Area-Cabang'!AK$41)</f>
        <v>0</v>
      </c>
      <c r="AL48" s="56">
        <f>SUMIFS('CWO Bulan Ini'!$DD:$DD,'CWO Bulan Ini'!$DJ:$DJ,'Area-Cabang'!$B48,'CWO Bulan Ini'!$DH:$DH,'Area-Cabang'!$E48,'CWO Bulan Ini'!$CZ:$CZ,'Area-Cabang'!AL$41)</f>
        <v>0</v>
      </c>
      <c r="AM48" s="56">
        <f>SUMIFS('CWO Bulan Ini'!$DD:$DD,'CWO Bulan Ini'!$DJ:$DJ,'Area-Cabang'!$B48,'CWO Bulan Ini'!$DH:$DH,'Area-Cabang'!$E48,'CWO Bulan Ini'!$CZ:$CZ,'Area-Cabang'!AM$41)</f>
        <v>0</v>
      </c>
      <c r="AN48" s="56">
        <f>SUMIFS('CWO Bulan Ini'!$DD:$DD,'CWO Bulan Ini'!$DJ:$DJ,'Area-Cabang'!$B48,'CWO Bulan Ini'!$DH:$DH,'Area-Cabang'!$E48,'CWO Bulan Ini'!$CZ:$CZ,'Area-Cabang'!AN$41)</f>
        <v>0</v>
      </c>
      <c r="AO48" s="56">
        <f>SUMIFS('CWO Bulan Ini'!$DD:$DD,'CWO Bulan Ini'!$DJ:$DJ,'Area-Cabang'!$B48,'CWO Bulan Ini'!$DH:$DH,'Area-Cabang'!$E48,'CWO Bulan Ini'!$CZ:$CZ,'Area-Cabang'!AO$41)</f>
        <v>291.54083276</v>
      </c>
      <c r="AP48" s="56">
        <f>SUMIFS('CWO Bulan Ini'!$DD:$DD,'CWO Bulan Ini'!$DJ:$DJ,'Area-Cabang'!$B48,'CWO Bulan Ini'!$DH:$DH,'Area-Cabang'!$E48,'CWO Bulan Ini'!$CZ:$CZ,'Area-Cabang'!AP$41)</f>
        <v>131.84079</v>
      </c>
      <c r="AQ48" s="56">
        <f>SUMIFS('CWO Bulan Ini'!$DD:$DD,'CWO Bulan Ini'!$DJ:$DJ,'Area-Cabang'!$B48,'CWO Bulan Ini'!$DH:$DH,'Area-Cabang'!$E48,'CWO Bulan Ini'!$CZ:$CZ,'Area-Cabang'!AQ$41)</f>
        <v>0</v>
      </c>
      <c r="AR48" s="56">
        <f>SUMIFS('CWO Bulan Ini'!$DD:$DD,'CWO Bulan Ini'!$DJ:$DJ,'Area-Cabang'!$B48,'CWO Bulan Ini'!$DH:$DH,'Area-Cabang'!$E48,'CWO Bulan Ini'!$CZ:$CZ,'Area-Cabang'!AR$41)</f>
        <v>0</v>
      </c>
      <c r="AS48" s="56">
        <f>SUMIFS('CWO Bulan Ini'!$DD:$DD,'CWO Bulan Ini'!$DJ:$DJ,'Area-Cabang'!$B48,'CWO Bulan Ini'!$DH:$DH,'Area-Cabang'!$E48,'CWO Bulan Ini'!$CZ:$CZ,'Area-Cabang'!AS$41)</f>
        <v>0</v>
      </c>
      <c r="AT48" s="56">
        <f>SUMIFS('CWO Bulan Ini'!$DD:$DD,'CWO Bulan Ini'!$DJ:$DJ,'Area-Cabang'!$B48,'CWO Bulan Ini'!$DH:$DH,'Area-Cabang'!$E48,'CWO Bulan Ini'!$CZ:$CZ,'Area-Cabang'!AT$41)</f>
        <v>0</v>
      </c>
      <c r="AU48" s="56">
        <f>SUMIFS('CWO Bulan Ini'!$DD:$DD,'CWO Bulan Ini'!$DJ:$DJ,'Area-Cabang'!$B48,'CWO Bulan Ini'!$DH:$DH,'Area-Cabang'!$E48,'CWO Bulan Ini'!$CZ:$CZ,'Area-Cabang'!AU$41)</f>
        <v>0</v>
      </c>
      <c r="AV48" s="56">
        <f>SUMIFS('CWO Bulan Ini'!$DD:$DD,'CWO Bulan Ini'!$DJ:$DJ,'Area-Cabang'!$B48,'CWO Bulan Ini'!$DH:$DH,'Area-Cabang'!$E48,'CWO Bulan Ini'!$CZ:$CZ,'Area-Cabang'!AV$41)</f>
        <v>0</v>
      </c>
      <c r="AW48" s="56">
        <f>SUMIFS('CWO Bulan Ini'!$DD:$DD,'CWO Bulan Ini'!$DJ:$DJ,'Area-Cabang'!$B48,'CWO Bulan Ini'!$DH:$DH,'Area-Cabang'!$E48,'CWO Bulan Ini'!$CZ:$CZ,'Area-Cabang'!AW$41)</f>
        <v>0</v>
      </c>
      <c r="AX48" s="56">
        <f>SUMIFS('CWO Bulan Ini'!$DD:$DD,'CWO Bulan Ini'!$DJ:$DJ,'Area-Cabang'!$B48,'CWO Bulan Ini'!$DH:$DH,'Area-Cabang'!$E48,'CWO Bulan Ini'!$CZ:$CZ,'Area-Cabang'!AX$41)</f>
        <v>0</v>
      </c>
      <c r="AY48" s="56">
        <f>SUMIFS('CWO Bulan Ini'!$DD:$DD,'CWO Bulan Ini'!$DJ:$DJ,'Area-Cabang'!$B48,'CWO Bulan Ini'!$DH:$DH,'Area-Cabang'!$E48,'CWO Bulan Ini'!$CZ:$CZ,'Area-Cabang'!AY$41)</f>
        <v>0</v>
      </c>
      <c r="AZ48" s="56">
        <f>SUMIFS('CWO Bulan Ini'!$DD:$DD,'CWO Bulan Ini'!$DJ:$DJ,'Area-Cabang'!$B48,'CWO Bulan Ini'!$DH:$DH,'Area-Cabang'!$E48,'CWO Bulan Ini'!$CZ:$CZ,'Area-Cabang'!AZ$41)</f>
        <v>0</v>
      </c>
      <c r="BA48" s="56">
        <f>SUMIFS('CWO Bulan Ini'!$DD:$DD,'CWO Bulan Ini'!$DJ:$DJ,'Area-Cabang'!$B48,'CWO Bulan Ini'!$DH:$DH,'Area-Cabang'!$E48,'CWO Bulan Ini'!$CZ:$CZ,'Area-Cabang'!BA$41)</f>
        <v>0</v>
      </c>
      <c r="BB48" s="56">
        <f>SUMIFS('CWO Bulan Ini'!$DD:$DD,'CWO Bulan Ini'!$DJ:$DJ,'Area-Cabang'!$B48,'CWO Bulan Ini'!$DH:$DH,'Area-Cabang'!$E48,'CWO Bulan Ini'!$CZ:$CZ,'Area-Cabang'!BB$41)</f>
        <v>0</v>
      </c>
      <c r="BC48" s="56">
        <f>SUMIFS('CWO Bulan Ini'!$DD:$DD,'CWO Bulan Ini'!$DJ:$DJ,'Area-Cabang'!$B48,'CWO Bulan Ini'!$DH:$DH,'Area-Cabang'!$E48,'CWO Bulan Ini'!$CZ:$CZ,'Area-Cabang'!BC$41)</f>
        <v>0</v>
      </c>
      <c r="BD48" s="56">
        <f>SUMIFS('CWO Bulan Ini'!$DD:$DD,'CWO Bulan Ini'!$DJ:$DJ,'Area-Cabang'!$B48,'CWO Bulan Ini'!$DH:$DH,'Area-Cabang'!$E48,'CWO Bulan Ini'!$CZ:$CZ,'Area-Cabang'!BD$41)</f>
        <v>0</v>
      </c>
      <c r="BE48" s="56">
        <f>SUMIFS('CWO Bulan Ini'!$DD:$DD,'CWO Bulan Ini'!$DJ:$DJ,'Area-Cabang'!$B48,'CWO Bulan Ini'!$DH:$DH,'Area-Cabang'!$E48,'CWO Bulan Ini'!$CZ:$CZ,'Area-Cabang'!BE$41)</f>
        <v>0</v>
      </c>
      <c r="BF48" s="56">
        <f>SUMIFS('CWO Bulan Ini'!$DD:$DD,'CWO Bulan Ini'!$DJ:$DJ,'Area-Cabang'!$B48,'CWO Bulan Ini'!$DH:$DH,'Area-Cabang'!$E48,'CWO Bulan Ini'!$CZ:$CZ,'Area-Cabang'!BF$41)</f>
        <v>0</v>
      </c>
      <c r="BG48" s="56">
        <f>SUMIFS('CWO Bulan Ini'!$DD:$DD,'CWO Bulan Ini'!$DJ:$DJ,'Area-Cabang'!$B48,'CWO Bulan Ini'!$DH:$DH,'Area-Cabang'!$E48,'CWO Bulan Ini'!$CZ:$CZ,'Area-Cabang'!BG$41)</f>
        <v>0</v>
      </c>
      <c r="BH48" s="56">
        <f>SUMIFS('CWO Bulan Ini'!$DD:$DD,'CWO Bulan Ini'!$DJ:$DJ,'Area-Cabang'!$B48,'CWO Bulan Ini'!$DH:$DH,'Area-Cabang'!$E48,'CWO Bulan Ini'!$CZ:$CZ,'Area-Cabang'!BH$41)</f>
        <v>0</v>
      </c>
      <c r="BI48" s="56">
        <f>SUMIFS('CWO Bulan Ini'!$DD:$DD,'CWO Bulan Ini'!$DJ:$DJ,'Area-Cabang'!$B48,'CWO Bulan Ini'!$DH:$DH,'Area-Cabang'!$E48,'CWO Bulan Ini'!$CZ:$CZ,'Area-Cabang'!BI$41)</f>
        <v>0</v>
      </c>
      <c r="BJ48" s="56">
        <f>SUMIFS('CWO Bulan Ini'!$DD:$DD,'CWO Bulan Ini'!$DJ:$DJ,'Area-Cabang'!$B48,'CWO Bulan Ini'!$DH:$DH,'Area-Cabang'!$E48,'CWO Bulan Ini'!$CZ:$CZ,'Area-Cabang'!BJ$41)</f>
        <v>0</v>
      </c>
      <c r="BK48" s="56">
        <f>SUMIFS('CWO Bulan Ini'!$DD:$DD,'CWO Bulan Ini'!$DJ:$DJ,'Area-Cabang'!$B48,'CWO Bulan Ini'!$DH:$DH,'Area-Cabang'!$E48,'CWO Bulan Ini'!$CZ:$CZ,'Area-Cabang'!BK$41)</f>
        <v>0</v>
      </c>
      <c r="BL48" s="56">
        <f>SUMIFS('CWO Bulan Ini'!$DD:$DD,'CWO Bulan Ini'!$DJ:$DJ,'Area-Cabang'!$B48,'CWO Bulan Ini'!$DH:$DH,'Area-Cabang'!$E48,'CWO Bulan Ini'!$CZ:$CZ,'Area-Cabang'!BL$41)</f>
        <v>0</v>
      </c>
      <c r="BM48" s="56">
        <f>SUMIFS('CWO Bulan Ini'!$DD:$DD,'CWO Bulan Ini'!$DJ:$DJ,'Area-Cabang'!$B48,'CWO Bulan Ini'!$DH:$DH,'Area-Cabang'!$E48,'CWO Bulan Ini'!$CZ:$CZ,'Area-Cabang'!BM$41)</f>
        <v>0</v>
      </c>
      <c r="BN48" s="56">
        <f>SUMIFS('CWO Bulan Ini'!$DD:$DD,'CWO Bulan Ini'!$DJ:$DJ,'Area-Cabang'!$B48,'CWO Bulan Ini'!$DH:$DH,'Area-Cabang'!$E48,'CWO Bulan Ini'!$CZ:$CZ,'Area-Cabang'!BN$41)</f>
        <v>0</v>
      </c>
      <c r="BO48" s="57">
        <f>SUMIFS('CWO Bulan Ini'!$DD:$DD,'CWO Bulan Ini'!$DJ:$DJ,'Area-Cabang'!$B48,'CWO Bulan Ini'!$DH:$DH,'Area-Cabang'!$E48,'CWO Bulan Ini'!$CZ:$CZ,'Area-Cabang'!BO$41)</f>
        <v>0</v>
      </c>
      <c r="BP48" s="55">
        <f>SUMIFS('CWO Bulan Ini'!$DC:$DC,'CWO Bulan Ini'!$DJ:$DJ,'Area-Cabang'!$B48,'CWO Bulan Ini'!$DH:$DH,'Area-Cabang'!$E48,'CWO Bulan Ini'!$CZ:$CZ,'Area-Cabang'!BP$41)</f>
        <v>0</v>
      </c>
      <c r="BQ48" s="56">
        <f>SUMIFS('CWO Bulan Ini'!$DC:$DC,'CWO Bulan Ini'!$DJ:$DJ,'Area-Cabang'!$B48,'CWO Bulan Ini'!$DH:$DH,'Area-Cabang'!$E48,'CWO Bulan Ini'!$CZ:$CZ,'Area-Cabang'!BQ$41)</f>
        <v>0</v>
      </c>
      <c r="BR48" s="56">
        <f>SUMIFS('CWO Bulan Ini'!$DC:$DC,'CWO Bulan Ini'!$DJ:$DJ,'Area-Cabang'!$B48,'CWO Bulan Ini'!$DH:$DH,'Area-Cabang'!$E48,'CWO Bulan Ini'!$CZ:$CZ,'Area-Cabang'!BR$41)</f>
        <v>0</v>
      </c>
      <c r="BS48" s="56">
        <f>SUMIFS('CWO Bulan Ini'!$DC:$DC,'CWO Bulan Ini'!$DJ:$DJ,'Area-Cabang'!$B48,'CWO Bulan Ini'!$DH:$DH,'Area-Cabang'!$E48,'CWO Bulan Ini'!$CZ:$CZ,'Area-Cabang'!BS$41)</f>
        <v>0</v>
      </c>
      <c r="BT48" s="56">
        <f>SUMIFS('CWO Bulan Ini'!$DC:$DC,'CWO Bulan Ini'!$DJ:$DJ,'Area-Cabang'!$B48,'CWO Bulan Ini'!$DH:$DH,'Area-Cabang'!$E48,'CWO Bulan Ini'!$CZ:$CZ,'Area-Cabang'!BT$41)</f>
        <v>0</v>
      </c>
      <c r="BU48" s="56">
        <f>SUMIFS('CWO Bulan Ini'!$DC:$DC,'CWO Bulan Ini'!$DJ:$DJ,'Area-Cabang'!$B48,'CWO Bulan Ini'!$DH:$DH,'Area-Cabang'!$E48,'CWO Bulan Ini'!$CZ:$CZ,'Area-Cabang'!BU$41)</f>
        <v>0</v>
      </c>
      <c r="BV48" s="56">
        <f>SUMIFS('CWO Bulan Ini'!$DC:$DC,'CWO Bulan Ini'!$DJ:$DJ,'Area-Cabang'!$B48,'CWO Bulan Ini'!$DH:$DH,'Area-Cabang'!$E48,'CWO Bulan Ini'!$CZ:$CZ,'Area-Cabang'!BV$41)</f>
        <v>0</v>
      </c>
      <c r="BW48" s="56">
        <f>SUMIFS('CWO Bulan Ini'!$DC:$DC,'CWO Bulan Ini'!$DJ:$DJ,'Area-Cabang'!$B48,'CWO Bulan Ini'!$DH:$DH,'Area-Cabang'!$E48,'CWO Bulan Ini'!$CZ:$CZ,'Area-Cabang'!BW$41)</f>
        <v>0</v>
      </c>
      <c r="BX48" s="56">
        <f>SUMIFS('CWO Bulan Ini'!$DC:$DC,'CWO Bulan Ini'!$DJ:$DJ,'Area-Cabang'!$B48,'CWO Bulan Ini'!$DH:$DH,'Area-Cabang'!$E48,'CWO Bulan Ini'!$CZ:$CZ,'Area-Cabang'!BX$41)</f>
        <v>0</v>
      </c>
      <c r="BY48" s="56">
        <f>SUMIFS('CWO Bulan Ini'!$DC:$DC,'CWO Bulan Ini'!$DJ:$DJ,'Area-Cabang'!$B48,'CWO Bulan Ini'!$DH:$DH,'Area-Cabang'!$E48,'CWO Bulan Ini'!$CZ:$CZ,'Area-Cabang'!BY$41)</f>
        <v>0</v>
      </c>
      <c r="BZ48" s="56">
        <f>SUMIFS('CWO Bulan Ini'!$DC:$DC,'CWO Bulan Ini'!$DJ:$DJ,'Area-Cabang'!$B48,'CWO Bulan Ini'!$DH:$DH,'Area-Cabang'!$E48,'CWO Bulan Ini'!$CZ:$CZ,'Area-Cabang'!BZ$41)</f>
        <v>0</v>
      </c>
      <c r="CA48" s="56">
        <f>SUMIFS('CWO Bulan Ini'!$DC:$DC,'CWO Bulan Ini'!$DJ:$DJ,'Area-Cabang'!$B48,'CWO Bulan Ini'!$DH:$DH,'Area-Cabang'!$E48,'CWO Bulan Ini'!$CZ:$CZ,'Area-Cabang'!CA$41)</f>
        <v>0</v>
      </c>
      <c r="CB48" s="56">
        <f>SUMIFS('CWO Bulan Ini'!$DC:$DC,'CWO Bulan Ini'!$DJ:$DJ,'Area-Cabang'!$B48,'CWO Bulan Ini'!$DH:$DH,'Area-Cabang'!$E48,'CWO Bulan Ini'!$CZ:$CZ,'Area-Cabang'!CB$41)</f>
        <v>0</v>
      </c>
      <c r="CC48" s="56">
        <f>SUMIFS('CWO Bulan Ini'!$DC:$DC,'CWO Bulan Ini'!$DJ:$DJ,'Area-Cabang'!$B48,'CWO Bulan Ini'!$DH:$DH,'Area-Cabang'!$E48,'CWO Bulan Ini'!$CZ:$CZ,'Area-Cabang'!CC$41)</f>
        <v>0</v>
      </c>
      <c r="CD48" s="56">
        <f>SUMIFS('CWO Bulan Ini'!$DC:$DC,'CWO Bulan Ini'!$DJ:$DJ,'Area-Cabang'!$B48,'CWO Bulan Ini'!$DH:$DH,'Area-Cabang'!$E48,'CWO Bulan Ini'!$CZ:$CZ,'Area-Cabang'!CD$41)</f>
        <v>0</v>
      </c>
      <c r="CE48" s="56">
        <f>SUMIFS('CWO Bulan Ini'!$DC:$DC,'CWO Bulan Ini'!$DJ:$DJ,'Area-Cabang'!$B48,'CWO Bulan Ini'!$DH:$DH,'Area-Cabang'!$E48,'CWO Bulan Ini'!$CZ:$CZ,'Area-Cabang'!CE$41)</f>
        <v>0</v>
      </c>
      <c r="CF48" s="56">
        <f>SUMIFS('CWO Bulan Ini'!$DC:$DC,'CWO Bulan Ini'!$DJ:$DJ,'Area-Cabang'!$B48,'CWO Bulan Ini'!$DH:$DH,'Area-Cabang'!$E48,'CWO Bulan Ini'!$CZ:$CZ,'Area-Cabang'!CF$41)</f>
        <v>0</v>
      </c>
      <c r="CG48" s="56">
        <f>SUMIFS('CWO Bulan Ini'!$DC:$DC,'CWO Bulan Ini'!$DJ:$DJ,'Area-Cabang'!$B48,'CWO Bulan Ini'!$DH:$DH,'Area-Cabang'!$E48,'CWO Bulan Ini'!$CZ:$CZ,'Area-Cabang'!CG$41)</f>
        <v>0</v>
      </c>
      <c r="CH48" s="56">
        <f>SUMIFS('CWO Bulan Ini'!$DC:$DC,'CWO Bulan Ini'!$DJ:$DJ,'Area-Cabang'!$B48,'CWO Bulan Ini'!$DH:$DH,'Area-Cabang'!$E48,'CWO Bulan Ini'!$CZ:$CZ,'Area-Cabang'!CH$41)</f>
        <v>0</v>
      </c>
      <c r="CI48" s="56">
        <f>SUMIFS('CWO Bulan Ini'!$DC:$DC,'CWO Bulan Ini'!$DJ:$DJ,'Area-Cabang'!$B48,'CWO Bulan Ini'!$DH:$DH,'Area-Cabang'!$E48,'CWO Bulan Ini'!$CZ:$CZ,'Area-Cabang'!CI$41)</f>
        <v>0</v>
      </c>
      <c r="CJ48" s="56">
        <f>SUMIFS('CWO Bulan Ini'!$DC:$DC,'CWO Bulan Ini'!$DJ:$DJ,'Area-Cabang'!$B48,'CWO Bulan Ini'!$DH:$DH,'Area-Cabang'!$E48,'CWO Bulan Ini'!$CZ:$CZ,'Area-Cabang'!CJ$41)</f>
        <v>0</v>
      </c>
      <c r="CK48" s="56">
        <f>SUMIFS('CWO Bulan Ini'!$DC:$DC,'CWO Bulan Ini'!$DJ:$DJ,'Area-Cabang'!$B48,'CWO Bulan Ini'!$DH:$DH,'Area-Cabang'!$E48,'CWO Bulan Ini'!$CZ:$CZ,'Area-Cabang'!CK$41)</f>
        <v>0</v>
      </c>
      <c r="CL48" s="56">
        <f>SUMIFS('CWO Bulan Ini'!$DC:$DC,'CWO Bulan Ini'!$DJ:$DJ,'Area-Cabang'!$B48,'CWO Bulan Ini'!$DH:$DH,'Area-Cabang'!$E48,'CWO Bulan Ini'!$CZ:$CZ,'Area-Cabang'!CL$41)</f>
        <v>0</v>
      </c>
      <c r="CM48" s="56">
        <f>SUMIFS('CWO Bulan Ini'!$DC:$DC,'CWO Bulan Ini'!$DJ:$DJ,'Area-Cabang'!$B48,'CWO Bulan Ini'!$DH:$DH,'Area-Cabang'!$E48,'CWO Bulan Ini'!$CZ:$CZ,'Area-Cabang'!CM$41)</f>
        <v>0</v>
      </c>
      <c r="CN48" s="56">
        <f>SUMIFS('CWO Bulan Ini'!$DC:$DC,'CWO Bulan Ini'!$DJ:$DJ,'Area-Cabang'!$B48,'CWO Bulan Ini'!$DH:$DH,'Area-Cabang'!$E48,'CWO Bulan Ini'!$CZ:$CZ,'Area-Cabang'!CN$41)</f>
        <v>0</v>
      </c>
      <c r="CO48" s="56">
        <f>SUMIFS('CWO Bulan Ini'!$DC:$DC,'CWO Bulan Ini'!$DJ:$DJ,'Area-Cabang'!$B48,'CWO Bulan Ini'!$DH:$DH,'Area-Cabang'!$E48,'CWO Bulan Ini'!$CZ:$CZ,'Area-Cabang'!CO$41)</f>
        <v>0</v>
      </c>
      <c r="CP48" s="56">
        <f>SUMIFS('CWO Bulan Ini'!$DC:$DC,'CWO Bulan Ini'!$DJ:$DJ,'Area-Cabang'!$B48,'CWO Bulan Ini'!$DH:$DH,'Area-Cabang'!$E48,'CWO Bulan Ini'!$CZ:$CZ,'Area-Cabang'!CP$41)</f>
        <v>0</v>
      </c>
      <c r="CQ48" s="56">
        <f>SUMIFS('CWO Bulan Ini'!$DC:$DC,'CWO Bulan Ini'!$DJ:$DJ,'Area-Cabang'!$B48,'CWO Bulan Ini'!$DH:$DH,'Area-Cabang'!$E48,'CWO Bulan Ini'!$CZ:$CZ,'Area-Cabang'!CQ$41)</f>
        <v>0</v>
      </c>
      <c r="CR48" s="56">
        <f>SUMIFS('CWO Bulan Ini'!$DC:$DC,'CWO Bulan Ini'!$DJ:$DJ,'Area-Cabang'!$B48,'CWO Bulan Ini'!$DH:$DH,'Area-Cabang'!$E48,'CWO Bulan Ini'!$CZ:$CZ,'Area-Cabang'!CR$41)</f>
        <v>0</v>
      </c>
      <c r="CS48" s="56">
        <f>SUMIFS('CWO Bulan Ini'!$DC:$DC,'CWO Bulan Ini'!$DJ:$DJ,'Area-Cabang'!$B48,'CWO Bulan Ini'!$DH:$DH,'Area-Cabang'!$E48,'CWO Bulan Ini'!$CZ:$CZ,'Area-Cabang'!CS$41)</f>
        <v>0</v>
      </c>
      <c r="CT48" s="57">
        <f>SUMIFS('CWO Bulan Ini'!$DC:$DC,'CWO Bulan Ini'!$DJ:$DJ,'Area-Cabang'!$B48,'CWO Bulan Ini'!$DH:$DH,'Area-Cabang'!$E48,'CWO Bulan Ini'!$CZ:$CZ,'Area-Cabang'!CT$41)</f>
        <v>0</v>
      </c>
      <c r="CV48" s="97">
        <f t="shared" ref="CV48:CV49" si="1187">SUM(F48:AJ48)</f>
        <v>635.22762451000006</v>
      </c>
      <c r="CW48" s="98">
        <f t="shared" ref="CW48:CW49" si="1188">SUM(AK48:BO48)</f>
        <v>423.38162276000003</v>
      </c>
      <c r="CX48" s="98">
        <f t="shared" ref="CX48:CX49" si="1189">SUM(BP48:CT48)</f>
        <v>0</v>
      </c>
      <c r="CY48" s="98">
        <f t="shared" ref="CY48:CY49" si="1190">CV48-CW48-CX48</f>
        <v>211.84600175000003</v>
      </c>
      <c r="CZ48" s="105">
        <f t="shared" ref="CZ48:CZ49" si="1191">CY48+CW48</f>
        <v>635.22762451000006</v>
      </c>
    </row>
    <row r="49" spans="1:104" ht="15" customHeight="1" x14ac:dyDescent="0.25">
      <c r="A49" s="58" t="s">
        <v>465</v>
      </c>
      <c r="B49" s="58" t="s">
        <v>7</v>
      </c>
      <c r="C49" s="250"/>
      <c r="D49" s="244"/>
      <c r="E49" s="40" t="s">
        <v>349</v>
      </c>
      <c r="F49" s="41">
        <f>SUMIFS('CWO Bulan Ini'!$DA:$DA,'CWO Bulan Ini'!$DJ:$DJ,'Area-Cabang'!$B49,'CWO Bulan Ini'!$DH:$DH,'Area-Cabang'!$E49,'CWO Bulan Ini'!$CZ:$CZ,'Area-Cabang'!F$41)</f>
        <v>0</v>
      </c>
      <c r="G49" s="42">
        <f>SUMIFS('CWO Bulan Ini'!$DA:$DA,'CWO Bulan Ini'!$DJ:$DJ,'Area-Cabang'!$B49,'CWO Bulan Ini'!$DH:$DH,'Area-Cabang'!$E49,'CWO Bulan Ini'!$CZ:$CZ,'Area-Cabang'!G$41)</f>
        <v>0</v>
      </c>
      <c r="H49" s="42">
        <f>SUMIFS('CWO Bulan Ini'!$DA:$DA,'CWO Bulan Ini'!$DJ:$DJ,'Area-Cabang'!$B49,'CWO Bulan Ini'!$DH:$DH,'Area-Cabang'!$E49,'CWO Bulan Ini'!$CZ:$CZ,'Area-Cabang'!H$41)</f>
        <v>0</v>
      </c>
      <c r="I49" s="42">
        <f>SUMIFS('CWO Bulan Ini'!$DA:$DA,'CWO Bulan Ini'!$DJ:$DJ,'Area-Cabang'!$B49,'CWO Bulan Ini'!$DH:$DH,'Area-Cabang'!$E49,'CWO Bulan Ini'!$CZ:$CZ,'Area-Cabang'!I$41)</f>
        <v>0</v>
      </c>
      <c r="J49" s="42">
        <f>SUMIFS('CWO Bulan Ini'!$DA:$DA,'CWO Bulan Ini'!$DJ:$DJ,'Area-Cabang'!$B49,'CWO Bulan Ini'!$DH:$DH,'Area-Cabang'!$E49,'CWO Bulan Ini'!$CZ:$CZ,'Area-Cabang'!J$41)</f>
        <v>0</v>
      </c>
      <c r="K49" s="42">
        <f>SUMIFS('CWO Bulan Ini'!$DA:$DA,'CWO Bulan Ini'!$DJ:$DJ,'Area-Cabang'!$B49,'CWO Bulan Ini'!$DH:$DH,'Area-Cabang'!$E49,'CWO Bulan Ini'!$CZ:$CZ,'Area-Cabang'!K$41)</f>
        <v>0</v>
      </c>
      <c r="L49" s="42">
        <f>SUMIFS('CWO Bulan Ini'!$DA:$DA,'CWO Bulan Ini'!$DJ:$DJ,'Area-Cabang'!$B49,'CWO Bulan Ini'!$DH:$DH,'Area-Cabang'!$E49,'CWO Bulan Ini'!$CZ:$CZ,'Area-Cabang'!L$41)</f>
        <v>0</v>
      </c>
      <c r="M49" s="42">
        <f>SUMIFS('CWO Bulan Ini'!$DA:$DA,'CWO Bulan Ini'!$DJ:$DJ,'Area-Cabang'!$B49,'CWO Bulan Ini'!$DH:$DH,'Area-Cabang'!$E49,'CWO Bulan Ini'!$CZ:$CZ,'Area-Cabang'!M$41)</f>
        <v>0</v>
      </c>
      <c r="N49" s="42">
        <f>SUMIFS('CWO Bulan Ini'!$DA:$DA,'CWO Bulan Ini'!$DJ:$DJ,'Area-Cabang'!$B49,'CWO Bulan Ini'!$DH:$DH,'Area-Cabang'!$E49,'CWO Bulan Ini'!$CZ:$CZ,'Area-Cabang'!N$41)</f>
        <v>0</v>
      </c>
      <c r="O49" s="42">
        <f>SUMIFS('CWO Bulan Ini'!$DA:$DA,'CWO Bulan Ini'!$DJ:$DJ,'Area-Cabang'!$B49,'CWO Bulan Ini'!$DH:$DH,'Area-Cabang'!$E49,'CWO Bulan Ini'!$CZ:$CZ,'Area-Cabang'!O$41)</f>
        <v>0</v>
      </c>
      <c r="P49" s="42">
        <f>SUMIFS('CWO Bulan Ini'!$DA:$DA,'CWO Bulan Ini'!$DJ:$DJ,'Area-Cabang'!$B49,'CWO Bulan Ini'!$DH:$DH,'Area-Cabang'!$E49,'CWO Bulan Ini'!$CZ:$CZ,'Area-Cabang'!P$41)</f>
        <v>0</v>
      </c>
      <c r="Q49" s="42">
        <f>SUMIFS('CWO Bulan Ini'!$DA:$DA,'CWO Bulan Ini'!$DJ:$DJ,'Area-Cabang'!$B49,'CWO Bulan Ini'!$DH:$DH,'Area-Cabang'!$E49,'CWO Bulan Ini'!$CZ:$CZ,'Area-Cabang'!Q$41)</f>
        <v>0</v>
      </c>
      <c r="R49" s="42">
        <f>SUMIFS('CWO Bulan Ini'!$DA:$DA,'CWO Bulan Ini'!$DJ:$DJ,'Area-Cabang'!$B49,'CWO Bulan Ini'!$DH:$DH,'Area-Cabang'!$E49,'CWO Bulan Ini'!$CZ:$CZ,'Area-Cabang'!R$41)</f>
        <v>0</v>
      </c>
      <c r="S49" s="42">
        <f>SUMIFS('CWO Bulan Ini'!$DA:$DA,'CWO Bulan Ini'!$DJ:$DJ,'Area-Cabang'!$B49,'CWO Bulan Ini'!$DH:$DH,'Area-Cabang'!$E49,'CWO Bulan Ini'!$CZ:$CZ,'Area-Cabang'!S$41)</f>
        <v>0</v>
      </c>
      <c r="T49" s="42">
        <f>SUMIFS('CWO Bulan Ini'!$DA:$DA,'CWO Bulan Ini'!$DJ:$DJ,'Area-Cabang'!$B49,'CWO Bulan Ini'!$DH:$DH,'Area-Cabang'!$E49,'CWO Bulan Ini'!$CZ:$CZ,'Area-Cabang'!T$41)</f>
        <v>0</v>
      </c>
      <c r="U49" s="42">
        <f>SUMIFS('CWO Bulan Ini'!$DA:$DA,'CWO Bulan Ini'!$DJ:$DJ,'Area-Cabang'!$B49,'CWO Bulan Ini'!$DH:$DH,'Area-Cabang'!$E49,'CWO Bulan Ini'!$CZ:$CZ,'Area-Cabang'!U$41)</f>
        <v>0</v>
      </c>
      <c r="V49" s="42">
        <f>SUMIFS('CWO Bulan Ini'!$DA:$DA,'CWO Bulan Ini'!$DJ:$DJ,'Area-Cabang'!$B49,'CWO Bulan Ini'!$DH:$DH,'Area-Cabang'!$E49,'CWO Bulan Ini'!$CZ:$CZ,'Area-Cabang'!V$41)</f>
        <v>0</v>
      </c>
      <c r="W49" s="42">
        <f>SUMIFS('CWO Bulan Ini'!$DA:$DA,'CWO Bulan Ini'!$DJ:$DJ,'Area-Cabang'!$B49,'CWO Bulan Ini'!$DH:$DH,'Area-Cabang'!$E49,'CWO Bulan Ini'!$CZ:$CZ,'Area-Cabang'!W$41)</f>
        <v>0</v>
      </c>
      <c r="X49" s="42">
        <f>SUMIFS('CWO Bulan Ini'!$DA:$DA,'CWO Bulan Ini'!$DJ:$DJ,'Area-Cabang'!$B49,'CWO Bulan Ini'!$DH:$DH,'Area-Cabang'!$E49,'CWO Bulan Ini'!$CZ:$CZ,'Area-Cabang'!X$41)</f>
        <v>0</v>
      </c>
      <c r="Y49" s="42">
        <f>SUMIFS('CWO Bulan Ini'!$DA:$DA,'CWO Bulan Ini'!$DJ:$DJ,'Area-Cabang'!$B49,'CWO Bulan Ini'!$DH:$DH,'Area-Cabang'!$E49,'CWO Bulan Ini'!$CZ:$CZ,'Area-Cabang'!Y$41)</f>
        <v>0</v>
      </c>
      <c r="Z49" s="42">
        <f>SUMIFS('CWO Bulan Ini'!$DA:$DA,'CWO Bulan Ini'!$DJ:$DJ,'Area-Cabang'!$B49,'CWO Bulan Ini'!$DH:$DH,'Area-Cabang'!$E49,'CWO Bulan Ini'!$CZ:$CZ,'Area-Cabang'!Z$41)</f>
        <v>0</v>
      </c>
      <c r="AA49" s="42">
        <f>SUMIFS('CWO Bulan Ini'!$DA:$DA,'CWO Bulan Ini'!$DJ:$DJ,'Area-Cabang'!$B49,'CWO Bulan Ini'!$DH:$DH,'Area-Cabang'!$E49,'CWO Bulan Ini'!$CZ:$CZ,'Area-Cabang'!AA$41)</f>
        <v>0</v>
      </c>
      <c r="AB49" s="42">
        <f>SUMIFS('CWO Bulan Ini'!$DA:$DA,'CWO Bulan Ini'!$DJ:$DJ,'Area-Cabang'!$B49,'CWO Bulan Ini'!$DH:$DH,'Area-Cabang'!$E49,'CWO Bulan Ini'!$CZ:$CZ,'Area-Cabang'!AB$41)</f>
        <v>0</v>
      </c>
      <c r="AC49" s="42">
        <f>SUMIFS('CWO Bulan Ini'!$DA:$DA,'CWO Bulan Ini'!$DJ:$DJ,'Area-Cabang'!$B49,'CWO Bulan Ini'!$DH:$DH,'Area-Cabang'!$E49,'CWO Bulan Ini'!$CZ:$CZ,'Area-Cabang'!AC$41)</f>
        <v>0</v>
      </c>
      <c r="AD49" s="42">
        <f>SUMIFS('CWO Bulan Ini'!$DA:$DA,'CWO Bulan Ini'!$DJ:$DJ,'Area-Cabang'!$B49,'CWO Bulan Ini'!$DH:$DH,'Area-Cabang'!$E49,'CWO Bulan Ini'!$CZ:$CZ,'Area-Cabang'!AD$41)</f>
        <v>0</v>
      </c>
      <c r="AE49" s="42">
        <f>SUMIFS('CWO Bulan Ini'!$DA:$DA,'CWO Bulan Ini'!$DJ:$DJ,'Area-Cabang'!$B49,'CWO Bulan Ini'!$DH:$DH,'Area-Cabang'!$E49,'CWO Bulan Ini'!$CZ:$CZ,'Area-Cabang'!AE$41)</f>
        <v>0</v>
      </c>
      <c r="AF49" s="42">
        <f>SUMIFS('CWO Bulan Ini'!$DA:$DA,'CWO Bulan Ini'!$DJ:$DJ,'Area-Cabang'!$B49,'CWO Bulan Ini'!$DH:$DH,'Area-Cabang'!$E49,'CWO Bulan Ini'!$CZ:$CZ,'Area-Cabang'!AF$41)</f>
        <v>0</v>
      </c>
      <c r="AG49" s="42">
        <f>SUMIFS('CWO Bulan Ini'!$DA:$DA,'CWO Bulan Ini'!$DJ:$DJ,'Area-Cabang'!$B49,'CWO Bulan Ini'!$DH:$DH,'Area-Cabang'!$E49,'CWO Bulan Ini'!$CZ:$CZ,'Area-Cabang'!AG$41)</f>
        <v>0</v>
      </c>
      <c r="AH49" s="42">
        <f>SUMIFS('CWO Bulan Ini'!$DA:$DA,'CWO Bulan Ini'!$DJ:$DJ,'Area-Cabang'!$B49,'CWO Bulan Ini'!$DH:$DH,'Area-Cabang'!$E49,'CWO Bulan Ini'!$CZ:$CZ,'Area-Cabang'!AH$41)</f>
        <v>0</v>
      </c>
      <c r="AI49" s="42">
        <f>SUMIFS('CWO Bulan Ini'!$DA:$DA,'CWO Bulan Ini'!$DJ:$DJ,'Area-Cabang'!$B49,'CWO Bulan Ini'!$DH:$DH,'Area-Cabang'!$E49,'CWO Bulan Ini'!$CZ:$CZ,'Area-Cabang'!AI$41)</f>
        <v>0</v>
      </c>
      <c r="AJ49" s="42">
        <f>SUMIFS('CWO Bulan Ini'!$DA:$DA,'CWO Bulan Ini'!$DJ:$DJ,'Area-Cabang'!$B49,'CWO Bulan Ini'!$DH:$DH,'Area-Cabang'!$E49,'CWO Bulan Ini'!$CZ:$CZ,'Area-Cabang'!AJ$41)</f>
        <v>0</v>
      </c>
      <c r="AK49" s="41">
        <f>SUMIFS('CWO Bulan Ini'!$DD:$DD,'CWO Bulan Ini'!$DJ:$DJ,'Area-Cabang'!$B49,'CWO Bulan Ini'!$DH:$DH,'Area-Cabang'!$E49,'CWO Bulan Ini'!$CZ:$CZ,'Area-Cabang'!AK$41)</f>
        <v>0</v>
      </c>
      <c r="AL49" s="42">
        <f>SUMIFS('CWO Bulan Ini'!$DD:$DD,'CWO Bulan Ini'!$DJ:$DJ,'Area-Cabang'!$B49,'CWO Bulan Ini'!$DH:$DH,'Area-Cabang'!$E49,'CWO Bulan Ini'!$CZ:$CZ,'Area-Cabang'!AL$41)</f>
        <v>0</v>
      </c>
      <c r="AM49" s="42">
        <f>SUMIFS('CWO Bulan Ini'!$DD:$DD,'CWO Bulan Ini'!$DJ:$DJ,'Area-Cabang'!$B49,'CWO Bulan Ini'!$DH:$DH,'Area-Cabang'!$E49,'CWO Bulan Ini'!$CZ:$CZ,'Area-Cabang'!AM$41)</f>
        <v>0</v>
      </c>
      <c r="AN49" s="42">
        <f>SUMIFS('CWO Bulan Ini'!$DD:$DD,'CWO Bulan Ini'!$DJ:$DJ,'Area-Cabang'!$B49,'CWO Bulan Ini'!$DH:$DH,'Area-Cabang'!$E49,'CWO Bulan Ini'!$CZ:$CZ,'Area-Cabang'!AN$41)</f>
        <v>0</v>
      </c>
      <c r="AO49" s="42">
        <f>SUMIFS('CWO Bulan Ini'!$DD:$DD,'CWO Bulan Ini'!$DJ:$DJ,'Area-Cabang'!$B49,'CWO Bulan Ini'!$DH:$DH,'Area-Cabang'!$E49,'CWO Bulan Ini'!$CZ:$CZ,'Area-Cabang'!AO$41)</f>
        <v>0</v>
      </c>
      <c r="AP49" s="42">
        <f>SUMIFS('CWO Bulan Ini'!$DD:$DD,'CWO Bulan Ini'!$DJ:$DJ,'Area-Cabang'!$B49,'CWO Bulan Ini'!$DH:$DH,'Area-Cabang'!$E49,'CWO Bulan Ini'!$CZ:$CZ,'Area-Cabang'!AP$41)</f>
        <v>0</v>
      </c>
      <c r="AQ49" s="42">
        <f>SUMIFS('CWO Bulan Ini'!$DD:$DD,'CWO Bulan Ini'!$DJ:$DJ,'Area-Cabang'!$B49,'CWO Bulan Ini'!$DH:$DH,'Area-Cabang'!$E49,'CWO Bulan Ini'!$CZ:$CZ,'Area-Cabang'!AQ$41)</f>
        <v>0</v>
      </c>
      <c r="AR49" s="42">
        <f>SUMIFS('CWO Bulan Ini'!$DD:$DD,'CWO Bulan Ini'!$DJ:$DJ,'Area-Cabang'!$B49,'CWO Bulan Ini'!$DH:$DH,'Area-Cabang'!$E49,'CWO Bulan Ini'!$CZ:$CZ,'Area-Cabang'!AR$41)</f>
        <v>0</v>
      </c>
      <c r="AS49" s="42">
        <f>SUMIFS('CWO Bulan Ini'!$DD:$DD,'CWO Bulan Ini'!$DJ:$DJ,'Area-Cabang'!$B49,'CWO Bulan Ini'!$DH:$DH,'Area-Cabang'!$E49,'CWO Bulan Ini'!$CZ:$CZ,'Area-Cabang'!AS$41)</f>
        <v>0</v>
      </c>
      <c r="AT49" s="42">
        <f>SUMIFS('CWO Bulan Ini'!$DD:$DD,'CWO Bulan Ini'!$DJ:$DJ,'Area-Cabang'!$B49,'CWO Bulan Ini'!$DH:$DH,'Area-Cabang'!$E49,'CWO Bulan Ini'!$CZ:$CZ,'Area-Cabang'!AT$41)</f>
        <v>0</v>
      </c>
      <c r="AU49" s="42">
        <f>SUMIFS('CWO Bulan Ini'!$DD:$DD,'CWO Bulan Ini'!$DJ:$DJ,'Area-Cabang'!$B49,'CWO Bulan Ini'!$DH:$DH,'Area-Cabang'!$E49,'CWO Bulan Ini'!$CZ:$CZ,'Area-Cabang'!AU$41)</f>
        <v>0</v>
      </c>
      <c r="AV49" s="42">
        <f>SUMIFS('CWO Bulan Ini'!$DD:$DD,'CWO Bulan Ini'!$DJ:$DJ,'Area-Cabang'!$B49,'CWO Bulan Ini'!$DH:$DH,'Area-Cabang'!$E49,'CWO Bulan Ini'!$CZ:$CZ,'Area-Cabang'!AV$41)</f>
        <v>0</v>
      </c>
      <c r="AW49" s="42">
        <f>SUMIFS('CWO Bulan Ini'!$DD:$DD,'CWO Bulan Ini'!$DJ:$DJ,'Area-Cabang'!$B49,'CWO Bulan Ini'!$DH:$DH,'Area-Cabang'!$E49,'CWO Bulan Ini'!$CZ:$CZ,'Area-Cabang'!AW$41)</f>
        <v>0</v>
      </c>
      <c r="AX49" s="42">
        <f>SUMIFS('CWO Bulan Ini'!$DD:$DD,'CWO Bulan Ini'!$DJ:$DJ,'Area-Cabang'!$B49,'CWO Bulan Ini'!$DH:$DH,'Area-Cabang'!$E49,'CWO Bulan Ini'!$CZ:$CZ,'Area-Cabang'!AX$41)</f>
        <v>0</v>
      </c>
      <c r="AY49" s="42">
        <f>SUMIFS('CWO Bulan Ini'!$DD:$DD,'CWO Bulan Ini'!$DJ:$DJ,'Area-Cabang'!$B49,'CWO Bulan Ini'!$DH:$DH,'Area-Cabang'!$E49,'CWO Bulan Ini'!$CZ:$CZ,'Area-Cabang'!AY$41)</f>
        <v>0</v>
      </c>
      <c r="AZ49" s="42">
        <f>SUMIFS('CWO Bulan Ini'!$DD:$DD,'CWO Bulan Ini'!$DJ:$DJ,'Area-Cabang'!$B49,'CWO Bulan Ini'!$DH:$DH,'Area-Cabang'!$E49,'CWO Bulan Ini'!$CZ:$CZ,'Area-Cabang'!AZ$41)</f>
        <v>0</v>
      </c>
      <c r="BA49" s="42">
        <f>SUMIFS('CWO Bulan Ini'!$DD:$DD,'CWO Bulan Ini'!$DJ:$DJ,'Area-Cabang'!$B49,'CWO Bulan Ini'!$DH:$DH,'Area-Cabang'!$E49,'CWO Bulan Ini'!$CZ:$CZ,'Area-Cabang'!BA$41)</f>
        <v>0</v>
      </c>
      <c r="BB49" s="42">
        <f>SUMIFS('CWO Bulan Ini'!$DD:$DD,'CWO Bulan Ini'!$DJ:$DJ,'Area-Cabang'!$B49,'CWO Bulan Ini'!$DH:$DH,'Area-Cabang'!$E49,'CWO Bulan Ini'!$CZ:$CZ,'Area-Cabang'!BB$41)</f>
        <v>0</v>
      </c>
      <c r="BC49" s="42">
        <f>SUMIFS('CWO Bulan Ini'!$DD:$DD,'CWO Bulan Ini'!$DJ:$DJ,'Area-Cabang'!$B49,'CWO Bulan Ini'!$DH:$DH,'Area-Cabang'!$E49,'CWO Bulan Ini'!$CZ:$CZ,'Area-Cabang'!BC$41)</f>
        <v>0</v>
      </c>
      <c r="BD49" s="42">
        <f>SUMIFS('CWO Bulan Ini'!$DD:$DD,'CWO Bulan Ini'!$DJ:$DJ,'Area-Cabang'!$B49,'CWO Bulan Ini'!$DH:$DH,'Area-Cabang'!$E49,'CWO Bulan Ini'!$CZ:$CZ,'Area-Cabang'!BD$41)</f>
        <v>0</v>
      </c>
      <c r="BE49" s="42">
        <f>SUMIFS('CWO Bulan Ini'!$DD:$DD,'CWO Bulan Ini'!$DJ:$DJ,'Area-Cabang'!$B49,'CWO Bulan Ini'!$DH:$DH,'Area-Cabang'!$E49,'CWO Bulan Ini'!$CZ:$CZ,'Area-Cabang'!BE$41)</f>
        <v>0</v>
      </c>
      <c r="BF49" s="42">
        <f>SUMIFS('CWO Bulan Ini'!$DD:$DD,'CWO Bulan Ini'!$DJ:$DJ,'Area-Cabang'!$B49,'CWO Bulan Ini'!$DH:$DH,'Area-Cabang'!$E49,'CWO Bulan Ini'!$CZ:$CZ,'Area-Cabang'!BF$41)</f>
        <v>0</v>
      </c>
      <c r="BG49" s="42">
        <f>SUMIFS('CWO Bulan Ini'!$DD:$DD,'CWO Bulan Ini'!$DJ:$DJ,'Area-Cabang'!$B49,'CWO Bulan Ini'!$DH:$DH,'Area-Cabang'!$E49,'CWO Bulan Ini'!$CZ:$CZ,'Area-Cabang'!BG$41)</f>
        <v>0</v>
      </c>
      <c r="BH49" s="42">
        <f>SUMIFS('CWO Bulan Ini'!$DD:$DD,'CWO Bulan Ini'!$DJ:$DJ,'Area-Cabang'!$B49,'CWO Bulan Ini'!$DH:$DH,'Area-Cabang'!$E49,'CWO Bulan Ini'!$CZ:$CZ,'Area-Cabang'!BH$41)</f>
        <v>0</v>
      </c>
      <c r="BI49" s="42">
        <f>SUMIFS('CWO Bulan Ini'!$DD:$DD,'CWO Bulan Ini'!$DJ:$DJ,'Area-Cabang'!$B49,'CWO Bulan Ini'!$DH:$DH,'Area-Cabang'!$E49,'CWO Bulan Ini'!$CZ:$CZ,'Area-Cabang'!BI$41)</f>
        <v>0</v>
      </c>
      <c r="BJ49" s="42">
        <f>SUMIFS('CWO Bulan Ini'!$DD:$DD,'CWO Bulan Ini'!$DJ:$DJ,'Area-Cabang'!$B49,'CWO Bulan Ini'!$DH:$DH,'Area-Cabang'!$E49,'CWO Bulan Ini'!$CZ:$CZ,'Area-Cabang'!BJ$41)</f>
        <v>0</v>
      </c>
      <c r="BK49" s="42">
        <f>SUMIFS('CWO Bulan Ini'!$DD:$DD,'CWO Bulan Ini'!$DJ:$DJ,'Area-Cabang'!$B49,'CWO Bulan Ini'!$DH:$DH,'Area-Cabang'!$E49,'CWO Bulan Ini'!$CZ:$CZ,'Area-Cabang'!BK$41)</f>
        <v>0</v>
      </c>
      <c r="BL49" s="42">
        <f>SUMIFS('CWO Bulan Ini'!$DD:$DD,'CWO Bulan Ini'!$DJ:$DJ,'Area-Cabang'!$B49,'CWO Bulan Ini'!$DH:$DH,'Area-Cabang'!$E49,'CWO Bulan Ini'!$CZ:$CZ,'Area-Cabang'!BL$41)</f>
        <v>0</v>
      </c>
      <c r="BM49" s="42">
        <f>SUMIFS('CWO Bulan Ini'!$DD:$DD,'CWO Bulan Ini'!$DJ:$DJ,'Area-Cabang'!$B49,'CWO Bulan Ini'!$DH:$DH,'Area-Cabang'!$E49,'CWO Bulan Ini'!$CZ:$CZ,'Area-Cabang'!BM$41)</f>
        <v>0</v>
      </c>
      <c r="BN49" s="42">
        <f>SUMIFS('CWO Bulan Ini'!$DD:$DD,'CWO Bulan Ini'!$DJ:$DJ,'Area-Cabang'!$B49,'CWO Bulan Ini'!$DH:$DH,'Area-Cabang'!$E49,'CWO Bulan Ini'!$CZ:$CZ,'Area-Cabang'!BN$41)</f>
        <v>0</v>
      </c>
      <c r="BO49" s="43">
        <f>SUMIFS('CWO Bulan Ini'!$DD:$DD,'CWO Bulan Ini'!$DJ:$DJ,'Area-Cabang'!$B49,'CWO Bulan Ini'!$DH:$DH,'Area-Cabang'!$E49,'CWO Bulan Ini'!$CZ:$CZ,'Area-Cabang'!BO$41)</f>
        <v>0</v>
      </c>
      <c r="BP49" s="41">
        <f>SUMIFS('CWO Bulan Ini'!$DC:$DC,'CWO Bulan Ini'!$DJ:$DJ,'Area-Cabang'!$B49,'CWO Bulan Ini'!$DH:$DH,'Area-Cabang'!$E49,'CWO Bulan Ini'!$CZ:$CZ,'Area-Cabang'!BP$41)</f>
        <v>0</v>
      </c>
      <c r="BQ49" s="42">
        <f>SUMIFS('CWO Bulan Ini'!$DC:$DC,'CWO Bulan Ini'!$DJ:$DJ,'Area-Cabang'!$B49,'CWO Bulan Ini'!$DH:$DH,'Area-Cabang'!$E49,'CWO Bulan Ini'!$CZ:$CZ,'Area-Cabang'!BQ$41)</f>
        <v>0</v>
      </c>
      <c r="BR49" s="42">
        <f>SUMIFS('CWO Bulan Ini'!$DC:$DC,'CWO Bulan Ini'!$DJ:$DJ,'Area-Cabang'!$B49,'CWO Bulan Ini'!$DH:$DH,'Area-Cabang'!$E49,'CWO Bulan Ini'!$CZ:$CZ,'Area-Cabang'!BR$41)</f>
        <v>0</v>
      </c>
      <c r="BS49" s="42">
        <f>SUMIFS('CWO Bulan Ini'!$DC:$DC,'CWO Bulan Ini'!$DJ:$DJ,'Area-Cabang'!$B49,'CWO Bulan Ini'!$DH:$DH,'Area-Cabang'!$E49,'CWO Bulan Ini'!$CZ:$CZ,'Area-Cabang'!BS$41)</f>
        <v>0</v>
      </c>
      <c r="BT49" s="42">
        <f>SUMIFS('CWO Bulan Ini'!$DC:$DC,'CWO Bulan Ini'!$DJ:$DJ,'Area-Cabang'!$B49,'CWO Bulan Ini'!$DH:$DH,'Area-Cabang'!$E49,'CWO Bulan Ini'!$CZ:$CZ,'Area-Cabang'!BT$41)</f>
        <v>0</v>
      </c>
      <c r="BU49" s="42">
        <f>SUMIFS('CWO Bulan Ini'!$DC:$DC,'CWO Bulan Ini'!$DJ:$DJ,'Area-Cabang'!$B49,'CWO Bulan Ini'!$DH:$DH,'Area-Cabang'!$E49,'CWO Bulan Ini'!$CZ:$CZ,'Area-Cabang'!BU$41)</f>
        <v>0</v>
      </c>
      <c r="BV49" s="42">
        <f>SUMIFS('CWO Bulan Ini'!$DC:$DC,'CWO Bulan Ini'!$DJ:$DJ,'Area-Cabang'!$B49,'CWO Bulan Ini'!$DH:$DH,'Area-Cabang'!$E49,'CWO Bulan Ini'!$CZ:$CZ,'Area-Cabang'!BV$41)</f>
        <v>0</v>
      </c>
      <c r="BW49" s="42">
        <f>SUMIFS('CWO Bulan Ini'!$DC:$DC,'CWO Bulan Ini'!$DJ:$DJ,'Area-Cabang'!$B49,'CWO Bulan Ini'!$DH:$DH,'Area-Cabang'!$E49,'CWO Bulan Ini'!$CZ:$CZ,'Area-Cabang'!BW$41)</f>
        <v>0</v>
      </c>
      <c r="BX49" s="42">
        <f>SUMIFS('CWO Bulan Ini'!$DC:$DC,'CWO Bulan Ini'!$DJ:$DJ,'Area-Cabang'!$B49,'CWO Bulan Ini'!$DH:$DH,'Area-Cabang'!$E49,'CWO Bulan Ini'!$CZ:$CZ,'Area-Cabang'!BX$41)</f>
        <v>0</v>
      </c>
      <c r="BY49" s="42">
        <f>SUMIFS('CWO Bulan Ini'!$DC:$DC,'CWO Bulan Ini'!$DJ:$DJ,'Area-Cabang'!$B49,'CWO Bulan Ini'!$DH:$DH,'Area-Cabang'!$E49,'CWO Bulan Ini'!$CZ:$CZ,'Area-Cabang'!BY$41)</f>
        <v>0</v>
      </c>
      <c r="BZ49" s="42">
        <f>SUMIFS('CWO Bulan Ini'!$DC:$DC,'CWO Bulan Ini'!$DJ:$DJ,'Area-Cabang'!$B49,'CWO Bulan Ini'!$DH:$DH,'Area-Cabang'!$E49,'CWO Bulan Ini'!$CZ:$CZ,'Area-Cabang'!BZ$41)</f>
        <v>0</v>
      </c>
      <c r="CA49" s="42">
        <f>SUMIFS('CWO Bulan Ini'!$DC:$DC,'CWO Bulan Ini'!$DJ:$DJ,'Area-Cabang'!$B49,'CWO Bulan Ini'!$DH:$DH,'Area-Cabang'!$E49,'CWO Bulan Ini'!$CZ:$CZ,'Area-Cabang'!CA$41)</f>
        <v>0</v>
      </c>
      <c r="CB49" s="42">
        <f>SUMIFS('CWO Bulan Ini'!$DC:$DC,'CWO Bulan Ini'!$DJ:$DJ,'Area-Cabang'!$B49,'CWO Bulan Ini'!$DH:$DH,'Area-Cabang'!$E49,'CWO Bulan Ini'!$CZ:$CZ,'Area-Cabang'!CB$41)</f>
        <v>0</v>
      </c>
      <c r="CC49" s="42">
        <f>SUMIFS('CWO Bulan Ini'!$DC:$DC,'CWO Bulan Ini'!$DJ:$DJ,'Area-Cabang'!$B49,'CWO Bulan Ini'!$DH:$DH,'Area-Cabang'!$E49,'CWO Bulan Ini'!$CZ:$CZ,'Area-Cabang'!CC$41)</f>
        <v>0</v>
      </c>
      <c r="CD49" s="42">
        <f>SUMIFS('CWO Bulan Ini'!$DC:$DC,'CWO Bulan Ini'!$DJ:$DJ,'Area-Cabang'!$B49,'CWO Bulan Ini'!$DH:$DH,'Area-Cabang'!$E49,'CWO Bulan Ini'!$CZ:$CZ,'Area-Cabang'!CD$41)</f>
        <v>0</v>
      </c>
      <c r="CE49" s="42">
        <f>SUMIFS('CWO Bulan Ini'!$DC:$DC,'CWO Bulan Ini'!$DJ:$DJ,'Area-Cabang'!$B49,'CWO Bulan Ini'!$DH:$DH,'Area-Cabang'!$E49,'CWO Bulan Ini'!$CZ:$CZ,'Area-Cabang'!CE$41)</f>
        <v>0</v>
      </c>
      <c r="CF49" s="42">
        <f>SUMIFS('CWO Bulan Ini'!$DC:$DC,'CWO Bulan Ini'!$DJ:$DJ,'Area-Cabang'!$B49,'CWO Bulan Ini'!$DH:$DH,'Area-Cabang'!$E49,'CWO Bulan Ini'!$CZ:$CZ,'Area-Cabang'!CF$41)</f>
        <v>0</v>
      </c>
      <c r="CG49" s="42">
        <f>SUMIFS('CWO Bulan Ini'!$DC:$DC,'CWO Bulan Ini'!$DJ:$DJ,'Area-Cabang'!$B49,'CWO Bulan Ini'!$DH:$DH,'Area-Cabang'!$E49,'CWO Bulan Ini'!$CZ:$CZ,'Area-Cabang'!CG$41)</f>
        <v>0</v>
      </c>
      <c r="CH49" s="42">
        <f>SUMIFS('CWO Bulan Ini'!$DC:$DC,'CWO Bulan Ini'!$DJ:$DJ,'Area-Cabang'!$B49,'CWO Bulan Ini'!$DH:$DH,'Area-Cabang'!$E49,'CWO Bulan Ini'!$CZ:$CZ,'Area-Cabang'!CH$41)</f>
        <v>0</v>
      </c>
      <c r="CI49" s="42">
        <f>SUMIFS('CWO Bulan Ini'!$DC:$DC,'CWO Bulan Ini'!$DJ:$DJ,'Area-Cabang'!$B49,'CWO Bulan Ini'!$DH:$DH,'Area-Cabang'!$E49,'CWO Bulan Ini'!$CZ:$CZ,'Area-Cabang'!CI$41)</f>
        <v>0</v>
      </c>
      <c r="CJ49" s="42">
        <f>SUMIFS('CWO Bulan Ini'!$DC:$DC,'CWO Bulan Ini'!$DJ:$DJ,'Area-Cabang'!$B49,'CWO Bulan Ini'!$DH:$DH,'Area-Cabang'!$E49,'CWO Bulan Ini'!$CZ:$CZ,'Area-Cabang'!CJ$41)</f>
        <v>0</v>
      </c>
      <c r="CK49" s="42">
        <f>SUMIFS('CWO Bulan Ini'!$DC:$DC,'CWO Bulan Ini'!$DJ:$DJ,'Area-Cabang'!$B49,'CWO Bulan Ini'!$DH:$DH,'Area-Cabang'!$E49,'CWO Bulan Ini'!$CZ:$CZ,'Area-Cabang'!CK$41)</f>
        <v>0</v>
      </c>
      <c r="CL49" s="42">
        <f>SUMIFS('CWO Bulan Ini'!$DC:$DC,'CWO Bulan Ini'!$DJ:$DJ,'Area-Cabang'!$B49,'CWO Bulan Ini'!$DH:$DH,'Area-Cabang'!$E49,'CWO Bulan Ini'!$CZ:$CZ,'Area-Cabang'!CL$41)</f>
        <v>0</v>
      </c>
      <c r="CM49" s="42">
        <f>SUMIFS('CWO Bulan Ini'!$DC:$DC,'CWO Bulan Ini'!$DJ:$DJ,'Area-Cabang'!$B49,'CWO Bulan Ini'!$DH:$DH,'Area-Cabang'!$E49,'CWO Bulan Ini'!$CZ:$CZ,'Area-Cabang'!CM$41)</f>
        <v>0</v>
      </c>
      <c r="CN49" s="42">
        <f>SUMIFS('CWO Bulan Ini'!$DC:$DC,'CWO Bulan Ini'!$DJ:$DJ,'Area-Cabang'!$B49,'CWO Bulan Ini'!$DH:$DH,'Area-Cabang'!$E49,'CWO Bulan Ini'!$CZ:$CZ,'Area-Cabang'!CN$41)</f>
        <v>0</v>
      </c>
      <c r="CO49" s="42">
        <f>SUMIFS('CWO Bulan Ini'!$DC:$DC,'CWO Bulan Ini'!$DJ:$DJ,'Area-Cabang'!$B49,'CWO Bulan Ini'!$DH:$DH,'Area-Cabang'!$E49,'CWO Bulan Ini'!$CZ:$CZ,'Area-Cabang'!CO$41)</f>
        <v>0</v>
      </c>
      <c r="CP49" s="42">
        <f>SUMIFS('CWO Bulan Ini'!$DC:$DC,'CWO Bulan Ini'!$DJ:$DJ,'Area-Cabang'!$B49,'CWO Bulan Ini'!$DH:$DH,'Area-Cabang'!$E49,'CWO Bulan Ini'!$CZ:$CZ,'Area-Cabang'!CP$41)</f>
        <v>0</v>
      </c>
      <c r="CQ49" s="42">
        <f>SUMIFS('CWO Bulan Ini'!$DC:$DC,'CWO Bulan Ini'!$DJ:$DJ,'Area-Cabang'!$B49,'CWO Bulan Ini'!$DH:$DH,'Area-Cabang'!$E49,'CWO Bulan Ini'!$CZ:$CZ,'Area-Cabang'!CQ$41)</f>
        <v>0</v>
      </c>
      <c r="CR49" s="42">
        <f>SUMIFS('CWO Bulan Ini'!$DC:$DC,'CWO Bulan Ini'!$DJ:$DJ,'Area-Cabang'!$B49,'CWO Bulan Ini'!$DH:$DH,'Area-Cabang'!$E49,'CWO Bulan Ini'!$CZ:$CZ,'Area-Cabang'!CR$41)</f>
        <v>0</v>
      </c>
      <c r="CS49" s="42">
        <f>SUMIFS('CWO Bulan Ini'!$DC:$DC,'CWO Bulan Ini'!$DJ:$DJ,'Area-Cabang'!$B49,'CWO Bulan Ini'!$DH:$DH,'Area-Cabang'!$E49,'CWO Bulan Ini'!$CZ:$CZ,'Area-Cabang'!CS$41)</f>
        <v>0</v>
      </c>
      <c r="CT49" s="43">
        <f>SUMIFS('CWO Bulan Ini'!$DC:$DC,'CWO Bulan Ini'!$DJ:$DJ,'Area-Cabang'!$B49,'CWO Bulan Ini'!$DH:$DH,'Area-Cabang'!$E49,'CWO Bulan Ini'!$CZ:$CZ,'Area-Cabang'!CT$41)</f>
        <v>0</v>
      </c>
      <c r="CV49" s="96">
        <f t="shared" si="1187"/>
        <v>0</v>
      </c>
      <c r="CW49" s="93">
        <f t="shared" si="1188"/>
        <v>0</v>
      </c>
      <c r="CX49" s="93">
        <f t="shared" si="1189"/>
        <v>0</v>
      </c>
      <c r="CY49" s="93">
        <f t="shared" si="1190"/>
        <v>0</v>
      </c>
      <c r="CZ49" s="106">
        <f t="shared" si="1191"/>
        <v>0</v>
      </c>
    </row>
    <row r="50" spans="1:104" ht="15" customHeight="1" x14ac:dyDescent="0.25">
      <c r="A50" s="58" t="s">
        <v>465</v>
      </c>
      <c r="B50" s="53" t="s">
        <v>810</v>
      </c>
      <c r="C50" s="250"/>
      <c r="D50" s="227" t="s">
        <v>810</v>
      </c>
      <c r="E50" s="228"/>
      <c r="F50" s="219">
        <f t="shared" ref="F50" si="1192">SUM(F48:F49)</f>
        <v>0</v>
      </c>
      <c r="G50" s="220">
        <f t="shared" ref="G50" si="1193">SUM(G48:G49)</f>
        <v>0</v>
      </c>
      <c r="H50" s="220">
        <f t="shared" ref="H50" si="1194">SUM(H48:H49)</f>
        <v>0</v>
      </c>
      <c r="I50" s="220">
        <f t="shared" ref="I50" si="1195">SUM(I48:I49)</f>
        <v>0</v>
      </c>
      <c r="J50" s="220">
        <f t="shared" ref="J50" si="1196">SUM(J48:J49)</f>
        <v>291.54083276</v>
      </c>
      <c r="K50" s="220">
        <f t="shared" ref="K50" si="1197">SUM(K48:K49)</f>
        <v>131.84079</v>
      </c>
      <c r="L50" s="220">
        <f t="shared" ref="L50" si="1198">SUM(L48:L49)</f>
        <v>0</v>
      </c>
      <c r="M50" s="220">
        <f t="shared" ref="M50" si="1199">SUM(M48:M49)</f>
        <v>0</v>
      </c>
      <c r="N50" s="220">
        <f t="shared" ref="N50" si="1200">SUM(N48:N49)</f>
        <v>0</v>
      </c>
      <c r="O50" s="220">
        <f t="shared" ref="O50" si="1201">SUM(O48:O49)</f>
        <v>0</v>
      </c>
      <c r="P50" s="220">
        <f t="shared" ref="P50" si="1202">SUM(P48:P49)</f>
        <v>211.84600175</v>
      </c>
      <c r="Q50" s="220">
        <f t="shared" ref="Q50" si="1203">SUM(Q48:Q49)</f>
        <v>0</v>
      </c>
      <c r="R50" s="220">
        <f t="shared" ref="R50" si="1204">SUM(R48:R49)</f>
        <v>0</v>
      </c>
      <c r="S50" s="220">
        <f t="shared" ref="S50" si="1205">SUM(S48:S49)</f>
        <v>0</v>
      </c>
      <c r="T50" s="220">
        <f t="shared" ref="T50" si="1206">SUM(T48:T49)</f>
        <v>0</v>
      </c>
      <c r="U50" s="220">
        <f t="shared" ref="U50" si="1207">SUM(U48:U49)</f>
        <v>0</v>
      </c>
      <c r="V50" s="220">
        <f t="shared" ref="V50" si="1208">SUM(V48:V49)</f>
        <v>0</v>
      </c>
      <c r="W50" s="220">
        <f t="shared" ref="W50" si="1209">SUM(W48:W49)</f>
        <v>0</v>
      </c>
      <c r="X50" s="220">
        <f t="shared" ref="X50" si="1210">SUM(X48:X49)</f>
        <v>0</v>
      </c>
      <c r="Y50" s="220">
        <f t="shared" ref="Y50" si="1211">SUM(Y48:Y49)</f>
        <v>0</v>
      </c>
      <c r="Z50" s="220">
        <f t="shared" ref="Z50" si="1212">SUM(Z48:Z49)</f>
        <v>0</v>
      </c>
      <c r="AA50" s="220">
        <f t="shared" ref="AA50" si="1213">SUM(AA48:AA49)</f>
        <v>0</v>
      </c>
      <c r="AB50" s="220">
        <f t="shared" ref="AB50" si="1214">SUM(AB48:AB49)</f>
        <v>0</v>
      </c>
      <c r="AC50" s="220">
        <f t="shared" ref="AC50" si="1215">SUM(AC48:AC49)</f>
        <v>0</v>
      </c>
      <c r="AD50" s="220">
        <f t="shared" ref="AD50" si="1216">SUM(AD48:AD49)</f>
        <v>0</v>
      </c>
      <c r="AE50" s="220">
        <f t="shared" ref="AE50" si="1217">SUM(AE48:AE49)</f>
        <v>0</v>
      </c>
      <c r="AF50" s="220">
        <f t="shared" ref="AF50" si="1218">SUM(AF48:AF49)</f>
        <v>0</v>
      </c>
      <c r="AG50" s="220">
        <f t="shared" ref="AG50" si="1219">SUM(AG48:AG49)</f>
        <v>0</v>
      </c>
      <c r="AH50" s="220">
        <f t="shared" ref="AH50" si="1220">SUM(AH48:AH49)</f>
        <v>0</v>
      </c>
      <c r="AI50" s="220">
        <f t="shared" ref="AI50" si="1221">SUM(AI48:AI49)</f>
        <v>0</v>
      </c>
      <c r="AJ50" s="220">
        <f t="shared" ref="AJ50" si="1222">SUM(AJ48:AJ49)</f>
        <v>0</v>
      </c>
      <c r="AK50" s="219">
        <f t="shared" ref="AK50" si="1223">SUM(AK48:AK49)</f>
        <v>0</v>
      </c>
      <c r="AL50" s="220">
        <f t="shared" ref="AL50" si="1224">SUM(AL48:AL49)</f>
        <v>0</v>
      </c>
      <c r="AM50" s="220">
        <f t="shared" ref="AM50" si="1225">SUM(AM48:AM49)</f>
        <v>0</v>
      </c>
      <c r="AN50" s="220">
        <f t="shared" ref="AN50" si="1226">SUM(AN48:AN49)</f>
        <v>0</v>
      </c>
      <c r="AO50" s="220">
        <f t="shared" ref="AO50" si="1227">SUM(AO48:AO49)</f>
        <v>291.54083276</v>
      </c>
      <c r="AP50" s="220">
        <f t="shared" ref="AP50" si="1228">SUM(AP48:AP49)</f>
        <v>131.84079</v>
      </c>
      <c r="AQ50" s="220">
        <f t="shared" ref="AQ50" si="1229">SUM(AQ48:AQ49)</f>
        <v>0</v>
      </c>
      <c r="AR50" s="220">
        <f t="shared" ref="AR50" si="1230">SUM(AR48:AR49)</f>
        <v>0</v>
      </c>
      <c r="AS50" s="220">
        <f t="shared" ref="AS50" si="1231">SUM(AS48:AS49)</f>
        <v>0</v>
      </c>
      <c r="AT50" s="220">
        <f t="shared" ref="AT50" si="1232">SUM(AT48:AT49)</f>
        <v>0</v>
      </c>
      <c r="AU50" s="220">
        <f t="shared" ref="AU50" si="1233">SUM(AU48:AU49)</f>
        <v>0</v>
      </c>
      <c r="AV50" s="220">
        <f t="shared" ref="AV50" si="1234">SUM(AV48:AV49)</f>
        <v>0</v>
      </c>
      <c r="AW50" s="220">
        <f t="shared" ref="AW50" si="1235">SUM(AW48:AW49)</f>
        <v>0</v>
      </c>
      <c r="AX50" s="220">
        <f t="shared" ref="AX50" si="1236">SUM(AX48:AX49)</f>
        <v>0</v>
      </c>
      <c r="AY50" s="220">
        <f t="shared" ref="AY50" si="1237">SUM(AY48:AY49)</f>
        <v>0</v>
      </c>
      <c r="AZ50" s="220">
        <f t="shared" ref="AZ50" si="1238">SUM(AZ48:AZ49)</f>
        <v>0</v>
      </c>
      <c r="BA50" s="220">
        <f t="shared" ref="BA50" si="1239">SUM(BA48:BA49)</f>
        <v>0</v>
      </c>
      <c r="BB50" s="220">
        <f t="shared" ref="BB50" si="1240">SUM(BB48:BB49)</f>
        <v>0</v>
      </c>
      <c r="BC50" s="220">
        <f t="shared" ref="BC50" si="1241">SUM(BC48:BC49)</f>
        <v>0</v>
      </c>
      <c r="BD50" s="220">
        <f t="shared" ref="BD50" si="1242">SUM(BD48:BD49)</f>
        <v>0</v>
      </c>
      <c r="BE50" s="220">
        <f t="shared" ref="BE50" si="1243">SUM(BE48:BE49)</f>
        <v>0</v>
      </c>
      <c r="BF50" s="220">
        <f t="shared" ref="BF50" si="1244">SUM(BF48:BF49)</f>
        <v>0</v>
      </c>
      <c r="BG50" s="220">
        <f t="shared" ref="BG50" si="1245">SUM(BG48:BG49)</f>
        <v>0</v>
      </c>
      <c r="BH50" s="220">
        <f t="shared" ref="BH50" si="1246">SUM(BH48:BH49)</f>
        <v>0</v>
      </c>
      <c r="BI50" s="220">
        <f t="shared" ref="BI50" si="1247">SUM(BI48:BI49)</f>
        <v>0</v>
      </c>
      <c r="BJ50" s="220">
        <f t="shared" ref="BJ50" si="1248">SUM(BJ48:BJ49)</f>
        <v>0</v>
      </c>
      <c r="BK50" s="220">
        <f t="shared" ref="BK50" si="1249">SUM(BK48:BK49)</f>
        <v>0</v>
      </c>
      <c r="BL50" s="220">
        <f t="shared" ref="BL50" si="1250">SUM(BL48:BL49)</f>
        <v>0</v>
      </c>
      <c r="BM50" s="220">
        <f t="shared" ref="BM50" si="1251">SUM(BM48:BM49)</f>
        <v>0</v>
      </c>
      <c r="BN50" s="220">
        <f t="shared" ref="BN50" si="1252">SUM(BN48:BN49)</f>
        <v>0</v>
      </c>
      <c r="BO50" s="221">
        <f t="shared" ref="BO50" si="1253">SUM(BO48:BO49)</f>
        <v>0</v>
      </c>
      <c r="BP50" s="219">
        <f t="shared" ref="BP50" si="1254">SUM(BP48:BP49)</f>
        <v>0</v>
      </c>
      <c r="BQ50" s="220">
        <f t="shared" ref="BQ50" si="1255">SUM(BQ48:BQ49)</f>
        <v>0</v>
      </c>
      <c r="BR50" s="220">
        <f t="shared" ref="BR50" si="1256">SUM(BR48:BR49)</f>
        <v>0</v>
      </c>
      <c r="BS50" s="220">
        <f t="shared" ref="BS50" si="1257">SUM(BS48:BS49)</f>
        <v>0</v>
      </c>
      <c r="BT50" s="220">
        <f t="shared" ref="BT50" si="1258">SUM(BT48:BT49)</f>
        <v>0</v>
      </c>
      <c r="BU50" s="220">
        <f t="shared" ref="BU50" si="1259">SUM(BU48:BU49)</f>
        <v>0</v>
      </c>
      <c r="BV50" s="220">
        <f t="shared" ref="BV50" si="1260">SUM(BV48:BV49)</f>
        <v>0</v>
      </c>
      <c r="BW50" s="220">
        <f t="shared" ref="BW50" si="1261">SUM(BW48:BW49)</f>
        <v>0</v>
      </c>
      <c r="BX50" s="220">
        <f t="shared" ref="BX50" si="1262">SUM(BX48:BX49)</f>
        <v>0</v>
      </c>
      <c r="BY50" s="220">
        <f t="shared" ref="BY50" si="1263">SUM(BY48:BY49)</f>
        <v>0</v>
      </c>
      <c r="BZ50" s="220">
        <f t="shared" ref="BZ50" si="1264">SUM(BZ48:BZ49)</f>
        <v>0</v>
      </c>
      <c r="CA50" s="220">
        <f t="shared" ref="CA50" si="1265">SUM(CA48:CA49)</f>
        <v>0</v>
      </c>
      <c r="CB50" s="220">
        <f t="shared" ref="CB50" si="1266">SUM(CB48:CB49)</f>
        <v>0</v>
      </c>
      <c r="CC50" s="220">
        <f t="shared" ref="CC50" si="1267">SUM(CC48:CC49)</f>
        <v>0</v>
      </c>
      <c r="CD50" s="220">
        <f t="shared" ref="CD50" si="1268">SUM(CD48:CD49)</f>
        <v>0</v>
      </c>
      <c r="CE50" s="220">
        <f t="shared" ref="CE50" si="1269">SUM(CE48:CE49)</f>
        <v>0</v>
      </c>
      <c r="CF50" s="220">
        <f t="shared" ref="CF50" si="1270">SUM(CF48:CF49)</f>
        <v>0</v>
      </c>
      <c r="CG50" s="220">
        <f t="shared" ref="CG50" si="1271">SUM(CG48:CG49)</f>
        <v>0</v>
      </c>
      <c r="CH50" s="220">
        <f t="shared" ref="CH50" si="1272">SUM(CH48:CH49)</f>
        <v>0</v>
      </c>
      <c r="CI50" s="220">
        <f t="shared" ref="CI50" si="1273">SUM(CI48:CI49)</f>
        <v>0</v>
      </c>
      <c r="CJ50" s="220">
        <f t="shared" ref="CJ50" si="1274">SUM(CJ48:CJ49)</f>
        <v>0</v>
      </c>
      <c r="CK50" s="220">
        <f t="shared" ref="CK50" si="1275">SUM(CK48:CK49)</f>
        <v>0</v>
      </c>
      <c r="CL50" s="220">
        <f t="shared" ref="CL50" si="1276">SUM(CL48:CL49)</f>
        <v>0</v>
      </c>
      <c r="CM50" s="220">
        <f t="shared" ref="CM50" si="1277">SUM(CM48:CM49)</f>
        <v>0</v>
      </c>
      <c r="CN50" s="220">
        <f t="shared" ref="CN50" si="1278">SUM(CN48:CN49)</f>
        <v>0</v>
      </c>
      <c r="CO50" s="220">
        <f t="shared" ref="CO50" si="1279">SUM(CO48:CO49)</f>
        <v>0</v>
      </c>
      <c r="CP50" s="220">
        <f t="shared" ref="CP50" si="1280">SUM(CP48:CP49)</f>
        <v>0</v>
      </c>
      <c r="CQ50" s="220">
        <f t="shared" ref="CQ50" si="1281">SUM(CQ48:CQ49)</f>
        <v>0</v>
      </c>
      <c r="CR50" s="220">
        <f t="shared" ref="CR50" si="1282">SUM(CR48:CR49)</f>
        <v>0</v>
      </c>
      <c r="CS50" s="220">
        <f t="shared" ref="CS50" si="1283">SUM(CS48:CS49)</f>
        <v>0</v>
      </c>
      <c r="CT50" s="221">
        <f t="shared" ref="CT50" si="1284">SUM(CT48:CT49)</f>
        <v>0</v>
      </c>
      <c r="CU50" s="226"/>
      <c r="CV50" s="219">
        <f t="shared" ref="CV50" si="1285">SUM(CV48:CV49)</f>
        <v>635.22762451000006</v>
      </c>
      <c r="CW50" s="220">
        <f t="shared" ref="CW50" si="1286">SUM(CW48:CW49)</f>
        <v>423.38162276000003</v>
      </c>
      <c r="CX50" s="220">
        <f t="shared" ref="CX50" si="1287">SUM(CX48:CX49)</f>
        <v>0</v>
      </c>
      <c r="CY50" s="220">
        <f t="shared" ref="CY50" si="1288">SUM(CY48:CY49)</f>
        <v>211.84600175000003</v>
      </c>
      <c r="CZ50" s="222">
        <f t="shared" ref="CZ50" si="1289">SUM(CZ48:CZ49)</f>
        <v>635.22762451000006</v>
      </c>
    </row>
    <row r="51" spans="1:104" ht="15" customHeight="1" x14ac:dyDescent="0.25">
      <c r="A51" s="58" t="s">
        <v>465</v>
      </c>
      <c r="B51" s="53" t="s">
        <v>2</v>
      </c>
      <c r="C51" s="250"/>
      <c r="D51" s="245" t="s">
        <v>2</v>
      </c>
      <c r="E51" s="85" t="s">
        <v>132</v>
      </c>
      <c r="F51" s="55">
        <f>SUMIFS('CWO Bulan Ini'!$DA:$DA,'CWO Bulan Ini'!$DJ:$DJ,'Area-Cabang'!$B51,'CWO Bulan Ini'!$DH:$DH,'Area-Cabang'!$E51,'CWO Bulan Ini'!$CZ:$CZ,'Area-Cabang'!F$41)</f>
        <v>0</v>
      </c>
      <c r="G51" s="56">
        <f>SUMIFS('CWO Bulan Ini'!$DA:$DA,'CWO Bulan Ini'!$DJ:$DJ,'Area-Cabang'!$B51,'CWO Bulan Ini'!$DH:$DH,'Area-Cabang'!$E51,'CWO Bulan Ini'!$CZ:$CZ,'Area-Cabang'!G$41)</f>
        <v>0</v>
      </c>
      <c r="H51" s="56">
        <f>SUMIFS('CWO Bulan Ini'!$DA:$DA,'CWO Bulan Ini'!$DJ:$DJ,'Area-Cabang'!$B51,'CWO Bulan Ini'!$DH:$DH,'Area-Cabang'!$E51,'CWO Bulan Ini'!$CZ:$CZ,'Area-Cabang'!H$41)</f>
        <v>0</v>
      </c>
      <c r="I51" s="56">
        <f>SUMIFS('CWO Bulan Ini'!$DA:$DA,'CWO Bulan Ini'!$DJ:$DJ,'Area-Cabang'!$B51,'CWO Bulan Ini'!$DH:$DH,'Area-Cabang'!$E51,'CWO Bulan Ini'!$CZ:$CZ,'Area-Cabang'!I$41)</f>
        <v>24.977815320000001</v>
      </c>
      <c r="J51" s="56">
        <f>SUMIFS('CWO Bulan Ini'!$DA:$DA,'CWO Bulan Ini'!$DJ:$DJ,'Area-Cabang'!$B51,'CWO Bulan Ini'!$DH:$DH,'Area-Cabang'!$E51,'CWO Bulan Ini'!$CZ:$CZ,'Area-Cabang'!J$41)</f>
        <v>0</v>
      </c>
      <c r="K51" s="56">
        <f>SUMIFS('CWO Bulan Ini'!$DA:$DA,'CWO Bulan Ini'!$DJ:$DJ,'Area-Cabang'!$B51,'CWO Bulan Ini'!$DH:$DH,'Area-Cabang'!$E51,'CWO Bulan Ini'!$CZ:$CZ,'Area-Cabang'!K$41)</f>
        <v>0</v>
      </c>
      <c r="L51" s="56">
        <f>SUMIFS('CWO Bulan Ini'!$DA:$DA,'CWO Bulan Ini'!$DJ:$DJ,'Area-Cabang'!$B51,'CWO Bulan Ini'!$DH:$DH,'Area-Cabang'!$E51,'CWO Bulan Ini'!$CZ:$CZ,'Area-Cabang'!L$41)</f>
        <v>0</v>
      </c>
      <c r="M51" s="56">
        <f>SUMIFS('CWO Bulan Ini'!$DA:$DA,'CWO Bulan Ini'!$DJ:$DJ,'Area-Cabang'!$B51,'CWO Bulan Ini'!$DH:$DH,'Area-Cabang'!$E51,'CWO Bulan Ini'!$CZ:$CZ,'Area-Cabang'!M$41)</f>
        <v>0</v>
      </c>
      <c r="N51" s="56">
        <f>SUMIFS('CWO Bulan Ini'!$DA:$DA,'CWO Bulan Ini'!$DJ:$DJ,'Area-Cabang'!$B51,'CWO Bulan Ini'!$DH:$DH,'Area-Cabang'!$E51,'CWO Bulan Ini'!$CZ:$CZ,'Area-Cabang'!N$41)</f>
        <v>0</v>
      </c>
      <c r="O51" s="56">
        <f>SUMIFS('CWO Bulan Ini'!$DA:$DA,'CWO Bulan Ini'!$DJ:$DJ,'Area-Cabang'!$B51,'CWO Bulan Ini'!$DH:$DH,'Area-Cabang'!$E51,'CWO Bulan Ini'!$CZ:$CZ,'Area-Cabang'!O$41)</f>
        <v>0</v>
      </c>
      <c r="P51" s="56">
        <f>SUMIFS('CWO Bulan Ini'!$DA:$DA,'CWO Bulan Ini'!$DJ:$DJ,'Area-Cabang'!$B51,'CWO Bulan Ini'!$DH:$DH,'Area-Cabang'!$E51,'CWO Bulan Ini'!$CZ:$CZ,'Area-Cabang'!P$41)</f>
        <v>0</v>
      </c>
      <c r="Q51" s="56">
        <f>SUMIFS('CWO Bulan Ini'!$DA:$DA,'CWO Bulan Ini'!$DJ:$DJ,'Area-Cabang'!$B51,'CWO Bulan Ini'!$DH:$DH,'Area-Cabang'!$E51,'CWO Bulan Ini'!$CZ:$CZ,'Area-Cabang'!Q$41)</f>
        <v>0</v>
      </c>
      <c r="R51" s="56">
        <f>SUMIFS('CWO Bulan Ini'!$DA:$DA,'CWO Bulan Ini'!$DJ:$DJ,'Area-Cabang'!$B51,'CWO Bulan Ini'!$DH:$DH,'Area-Cabang'!$E51,'CWO Bulan Ini'!$CZ:$CZ,'Area-Cabang'!R$41)</f>
        <v>0</v>
      </c>
      <c r="S51" s="56">
        <f>SUMIFS('CWO Bulan Ini'!$DA:$DA,'CWO Bulan Ini'!$DJ:$DJ,'Area-Cabang'!$B51,'CWO Bulan Ini'!$DH:$DH,'Area-Cabang'!$E51,'CWO Bulan Ini'!$CZ:$CZ,'Area-Cabang'!S$41)</f>
        <v>0</v>
      </c>
      <c r="T51" s="56">
        <f>SUMIFS('CWO Bulan Ini'!$DA:$DA,'CWO Bulan Ini'!$DJ:$DJ,'Area-Cabang'!$B51,'CWO Bulan Ini'!$DH:$DH,'Area-Cabang'!$E51,'CWO Bulan Ini'!$CZ:$CZ,'Area-Cabang'!T$41)</f>
        <v>0</v>
      </c>
      <c r="U51" s="56">
        <f>SUMIFS('CWO Bulan Ini'!$DA:$DA,'CWO Bulan Ini'!$DJ:$DJ,'Area-Cabang'!$B51,'CWO Bulan Ini'!$DH:$DH,'Area-Cabang'!$E51,'CWO Bulan Ini'!$CZ:$CZ,'Area-Cabang'!U$41)</f>
        <v>0</v>
      </c>
      <c r="V51" s="56">
        <f>SUMIFS('CWO Bulan Ini'!$DA:$DA,'CWO Bulan Ini'!$DJ:$DJ,'Area-Cabang'!$B51,'CWO Bulan Ini'!$DH:$DH,'Area-Cabang'!$E51,'CWO Bulan Ini'!$CZ:$CZ,'Area-Cabang'!V$41)</f>
        <v>0</v>
      </c>
      <c r="W51" s="56">
        <f>SUMIFS('CWO Bulan Ini'!$DA:$DA,'CWO Bulan Ini'!$DJ:$DJ,'Area-Cabang'!$B51,'CWO Bulan Ini'!$DH:$DH,'Area-Cabang'!$E51,'CWO Bulan Ini'!$CZ:$CZ,'Area-Cabang'!W$41)</f>
        <v>0</v>
      </c>
      <c r="X51" s="56">
        <f>SUMIFS('CWO Bulan Ini'!$DA:$DA,'CWO Bulan Ini'!$DJ:$DJ,'Area-Cabang'!$B51,'CWO Bulan Ini'!$DH:$DH,'Area-Cabang'!$E51,'CWO Bulan Ini'!$CZ:$CZ,'Area-Cabang'!X$41)</f>
        <v>0</v>
      </c>
      <c r="Y51" s="56">
        <f>SUMIFS('CWO Bulan Ini'!$DA:$DA,'CWO Bulan Ini'!$DJ:$DJ,'Area-Cabang'!$B51,'CWO Bulan Ini'!$DH:$DH,'Area-Cabang'!$E51,'CWO Bulan Ini'!$CZ:$CZ,'Area-Cabang'!Y$41)</f>
        <v>0</v>
      </c>
      <c r="Z51" s="56">
        <f>SUMIFS('CWO Bulan Ini'!$DA:$DA,'CWO Bulan Ini'!$DJ:$DJ,'Area-Cabang'!$B51,'CWO Bulan Ini'!$DH:$DH,'Area-Cabang'!$E51,'CWO Bulan Ini'!$CZ:$CZ,'Area-Cabang'!Z$41)</f>
        <v>0</v>
      </c>
      <c r="AA51" s="56">
        <f>SUMIFS('CWO Bulan Ini'!$DA:$DA,'CWO Bulan Ini'!$DJ:$DJ,'Area-Cabang'!$B51,'CWO Bulan Ini'!$DH:$DH,'Area-Cabang'!$E51,'CWO Bulan Ini'!$CZ:$CZ,'Area-Cabang'!AA$41)</f>
        <v>0</v>
      </c>
      <c r="AB51" s="56">
        <f>SUMIFS('CWO Bulan Ini'!$DA:$DA,'CWO Bulan Ini'!$DJ:$DJ,'Area-Cabang'!$B51,'CWO Bulan Ini'!$DH:$DH,'Area-Cabang'!$E51,'CWO Bulan Ini'!$CZ:$CZ,'Area-Cabang'!AB$41)</f>
        <v>0</v>
      </c>
      <c r="AC51" s="56">
        <f>SUMIFS('CWO Bulan Ini'!$DA:$DA,'CWO Bulan Ini'!$DJ:$DJ,'Area-Cabang'!$B51,'CWO Bulan Ini'!$DH:$DH,'Area-Cabang'!$E51,'CWO Bulan Ini'!$CZ:$CZ,'Area-Cabang'!AC$41)</f>
        <v>0</v>
      </c>
      <c r="AD51" s="56">
        <f>SUMIFS('CWO Bulan Ini'!$DA:$DA,'CWO Bulan Ini'!$DJ:$DJ,'Area-Cabang'!$B51,'CWO Bulan Ini'!$DH:$DH,'Area-Cabang'!$E51,'CWO Bulan Ini'!$CZ:$CZ,'Area-Cabang'!AD$41)</f>
        <v>0</v>
      </c>
      <c r="AE51" s="56">
        <f>SUMIFS('CWO Bulan Ini'!$DA:$DA,'CWO Bulan Ini'!$DJ:$DJ,'Area-Cabang'!$B51,'CWO Bulan Ini'!$DH:$DH,'Area-Cabang'!$E51,'CWO Bulan Ini'!$CZ:$CZ,'Area-Cabang'!AE$41)</f>
        <v>0</v>
      </c>
      <c r="AF51" s="56">
        <f>SUMIFS('CWO Bulan Ini'!$DA:$DA,'CWO Bulan Ini'!$DJ:$DJ,'Area-Cabang'!$B51,'CWO Bulan Ini'!$DH:$DH,'Area-Cabang'!$E51,'CWO Bulan Ini'!$CZ:$CZ,'Area-Cabang'!AF$41)</f>
        <v>0</v>
      </c>
      <c r="AG51" s="56">
        <f>SUMIFS('CWO Bulan Ini'!$DA:$DA,'CWO Bulan Ini'!$DJ:$DJ,'Area-Cabang'!$B51,'CWO Bulan Ini'!$DH:$DH,'Area-Cabang'!$E51,'CWO Bulan Ini'!$CZ:$CZ,'Area-Cabang'!AG$41)</f>
        <v>0</v>
      </c>
      <c r="AH51" s="56">
        <f>SUMIFS('CWO Bulan Ini'!$DA:$DA,'CWO Bulan Ini'!$DJ:$DJ,'Area-Cabang'!$B51,'CWO Bulan Ini'!$DH:$DH,'Area-Cabang'!$E51,'CWO Bulan Ini'!$CZ:$CZ,'Area-Cabang'!AH$41)</f>
        <v>0</v>
      </c>
      <c r="AI51" s="56">
        <f>SUMIFS('CWO Bulan Ini'!$DA:$DA,'CWO Bulan Ini'!$DJ:$DJ,'Area-Cabang'!$B51,'CWO Bulan Ini'!$DH:$DH,'Area-Cabang'!$E51,'CWO Bulan Ini'!$CZ:$CZ,'Area-Cabang'!AI$41)</f>
        <v>0</v>
      </c>
      <c r="AJ51" s="56">
        <f>SUMIFS('CWO Bulan Ini'!$DA:$DA,'CWO Bulan Ini'!$DJ:$DJ,'Area-Cabang'!$B51,'CWO Bulan Ini'!$DH:$DH,'Area-Cabang'!$E51,'CWO Bulan Ini'!$CZ:$CZ,'Area-Cabang'!AJ$41)</f>
        <v>0</v>
      </c>
      <c r="AK51" s="55">
        <f>SUMIFS('CWO Bulan Ini'!$DD:$DD,'CWO Bulan Ini'!$DJ:$DJ,'Area-Cabang'!$B51,'CWO Bulan Ini'!$DH:$DH,'Area-Cabang'!$E51,'CWO Bulan Ini'!$CZ:$CZ,'Area-Cabang'!AK$41)</f>
        <v>0</v>
      </c>
      <c r="AL51" s="56">
        <f>SUMIFS('CWO Bulan Ini'!$DD:$DD,'CWO Bulan Ini'!$DJ:$DJ,'Area-Cabang'!$B51,'CWO Bulan Ini'!$DH:$DH,'Area-Cabang'!$E51,'CWO Bulan Ini'!$CZ:$CZ,'Area-Cabang'!AL$41)</f>
        <v>0</v>
      </c>
      <c r="AM51" s="56">
        <f>SUMIFS('CWO Bulan Ini'!$DD:$DD,'CWO Bulan Ini'!$DJ:$DJ,'Area-Cabang'!$B51,'CWO Bulan Ini'!$DH:$DH,'Area-Cabang'!$E51,'CWO Bulan Ini'!$CZ:$CZ,'Area-Cabang'!AM$41)</f>
        <v>0</v>
      </c>
      <c r="AN51" s="56">
        <f>SUMIFS('CWO Bulan Ini'!$DD:$DD,'CWO Bulan Ini'!$DJ:$DJ,'Area-Cabang'!$B51,'CWO Bulan Ini'!$DH:$DH,'Area-Cabang'!$E51,'CWO Bulan Ini'!$CZ:$CZ,'Area-Cabang'!AN$41)</f>
        <v>24.977815320000001</v>
      </c>
      <c r="AO51" s="56">
        <f>SUMIFS('CWO Bulan Ini'!$DD:$DD,'CWO Bulan Ini'!$DJ:$DJ,'Area-Cabang'!$B51,'CWO Bulan Ini'!$DH:$DH,'Area-Cabang'!$E51,'CWO Bulan Ini'!$CZ:$CZ,'Area-Cabang'!AO$41)</f>
        <v>0</v>
      </c>
      <c r="AP51" s="56">
        <f>SUMIFS('CWO Bulan Ini'!$DD:$DD,'CWO Bulan Ini'!$DJ:$DJ,'Area-Cabang'!$B51,'CWO Bulan Ini'!$DH:$DH,'Area-Cabang'!$E51,'CWO Bulan Ini'!$CZ:$CZ,'Area-Cabang'!AP$41)</f>
        <v>0</v>
      </c>
      <c r="AQ51" s="56">
        <f>SUMIFS('CWO Bulan Ini'!$DD:$DD,'CWO Bulan Ini'!$DJ:$DJ,'Area-Cabang'!$B51,'CWO Bulan Ini'!$DH:$DH,'Area-Cabang'!$E51,'CWO Bulan Ini'!$CZ:$CZ,'Area-Cabang'!AQ$41)</f>
        <v>0</v>
      </c>
      <c r="AR51" s="56">
        <f>SUMIFS('CWO Bulan Ini'!$DD:$DD,'CWO Bulan Ini'!$DJ:$DJ,'Area-Cabang'!$B51,'CWO Bulan Ini'!$DH:$DH,'Area-Cabang'!$E51,'CWO Bulan Ini'!$CZ:$CZ,'Area-Cabang'!AR$41)</f>
        <v>0</v>
      </c>
      <c r="AS51" s="56">
        <f>SUMIFS('CWO Bulan Ini'!$DD:$DD,'CWO Bulan Ini'!$DJ:$DJ,'Area-Cabang'!$B51,'CWO Bulan Ini'!$DH:$DH,'Area-Cabang'!$E51,'CWO Bulan Ini'!$CZ:$CZ,'Area-Cabang'!AS$41)</f>
        <v>0</v>
      </c>
      <c r="AT51" s="56">
        <f>SUMIFS('CWO Bulan Ini'!$DD:$DD,'CWO Bulan Ini'!$DJ:$DJ,'Area-Cabang'!$B51,'CWO Bulan Ini'!$DH:$DH,'Area-Cabang'!$E51,'CWO Bulan Ini'!$CZ:$CZ,'Area-Cabang'!AT$41)</f>
        <v>0</v>
      </c>
      <c r="AU51" s="56">
        <f>SUMIFS('CWO Bulan Ini'!$DD:$DD,'CWO Bulan Ini'!$DJ:$DJ,'Area-Cabang'!$B51,'CWO Bulan Ini'!$DH:$DH,'Area-Cabang'!$E51,'CWO Bulan Ini'!$CZ:$CZ,'Area-Cabang'!AU$41)</f>
        <v>0</v>
      </c>
      <c r="AV51" s="56">
        <f>SUMIFS('CWO Bulan Ini'!$DD:$DD,'CWO Bulan Ini'!$DJ:$DJ,'Area-Cabang'!$B51,'CWO Bulan Ini'!$DH:$DH,'Area-Cabang'!$E51,'CWO Bulan Ini'!$CZ:$CZ,'Area-Cabang'!AV$41)</f>
        <v>0</v>
      </c>
      <c r="AW51" s="56">
        <f>SUMIFS('CWO Bulan Ini'!$DD:$DD,'CWO Bulan Ini'!$DJ:$DJ,'Area-Cabang'!$B51,'CWO Bulan Ini'!$DH:$DH,'Area-Cabang'!$E51,'CWO Bulan Ini'!$CZ:$CZ,'Area-Cabang'!AW$41)</f>
        <v>0</v>
      </c>
      <c r="AX51" s="56">
        <f>SUMIFS('CWO Bulan Ini'!$DD:$DD,'CWO Bulan Ini'!$DJ:$DJ,'Area-Cabang'!$B51,'CWO Bulan Ini'!$DH:$DH,'Area-Cabang'!$E51,'CWO Bulan Ini'!$CZ:$CZ,'Area-Cabang'!AX$41)</f>
        <v>0</v>
      </c>
      <c r="AY51" s="56">
        <f>SUMIFS('CWO Bulan Ini'!$DD:$DD,'CWO Bulan Ini'!$DJ:$DJ,'Area-Cabang'!$B51,'CWO Bulan Ini'!$DH:$DH,'Area-Cabang'!$E51,'CWO Bulan Ini'!$CZ:$CZ,'Area-Cabang'!AY$41)</f>
        <v>0</v>
      </c>
      <c r="AZ51" s="56">
        <f>SUMIFS('CWO Bulan Ini'!$DD:$DD,'CWO Bulan Ini'!$DJ:$DJ,'Area-Cabang'!$B51,'CWO Bulan Ini'!$DH:$DH,'Area-Cabang'!$E51,'CWO Bulan Ini'!$CZ:$CZ,'Area-Cabang'!AZ$41)</f>
        <v>0</v>
      </c>
      <c r="BA51" s="56">
        <f>SUMIFS('CWO Bulan Ini'!$DD:$DD,'CWO Bulan Ini'!$DJ:$DJ,'Area-Cabang'!$B51,'CWO Bulan Ini'!$DH:$DH,'Area-Cabang'!$E51,'CWO Bulan Ini'!$CZ:$CZ,'Area-Cabang'!BA$41)</f>
        <v>0</v>
      </c>
      <c r="BB51" s="56">
        <f>SUMIFS('CWO Bulan Ini'!$DD:$DD,'CWO Bulan Ini'!$DJ:$DJ,'Area-Cabang'!$B51,'CWO Bulan Ini'!$DH:$DH,'Area-Cabang'!$E51,'CWO Bulan Ini'!$CZ:$CZ,'Area-Cabang'!BB$41)</f>
        <v>0</v>
      </c>
      <c r="BC51" s="56">
        <f>SUMIFS('CWO Bulan Ini'!$DD:$DD,'CWO Bulan Ini'!$DJ:$DJ,'Area-Cabang'!$B51,'CWO Bulan Ini'!$DH:$DH,'Area-Cabang'!$E51,'CWO Bulan Ini'!$CZ:$CZ,'Area-Cabang'!BC$41)</f>
        <v>0</v>
      </c>
      <c r="BD51" s="56">
        <f>SUMIFS('CWO Bulan Ini'!$DD:$DD,'CWO Bulan Ini'!$DJ:$DJ,'Area-Cabang'!$B51,'CWO Bulan Ini'!$DH:$DH,'Area-Cabang'!$E51,'CWO Bulan Ini'!$CZ:$CZ,'Area-Cabang'!BD$41)</f>
        <v>0</v>
      </c>
      <c r="BE51" s="56">
        <f>SUMIFS('CWO Bulan Ini'!$DD:$DD,'CWO Bulan Ini'!$DJ:$DJ,'Area-Cabang'!$B51,'CWO Bulan Ini'!$DH:$DH,'Area-Cabang'!$E51,'CWO Bulan Ini'!$CZ:$CZ,'Area-Cabang'!BE$41)</f>
        <v>0</v>
      </c>
      <c r="BF51" s="56">
        <f>SUMIFS('CWO Bulan Ini'!$DD:$DD,'CWO Bulan Ini'!$DJ:$DJ,'Area-Cabang'!$B51,'CWO Bulan Ini'!$DH:$DH,'Area-Cabang'!$E51,'CWO Bulan Ini'!$CZ:$CZ,'Area-Cabang'!BF$41)</f>
        <v>0</v>
      </c>
      <c r="BG51" s="56">
        <f>SUMIFS('CWO Bulan Ini'!$DD:$DD,'CWO Bulan Ini'!$DJ:$DJ,'Area-Cabang'!$B51,'CWO Bulan Ini'!$DH:$DH,'Area-Cabang'!$E51,'CWO Bulan Ini'!$CZ:$CZ,'Area-Cabang'!BG$41)</f>
        <v>0</v>
      </c>
      <c r="BH51" s="56">
        <f>SUMIFS('CWO Bulan Ini'!$DD:$DD,'CWO Bulan Ini'!$DJ:$DJ,'Area-Cabang'!$B51,'CWO Bulan Ini'!$DH:$DH,'Area-Cabang'!$E51,'CWO Bulan Ini'!$CZ:$CZ,'Area-Cabang'!BH$41)</f>
        <v>0</v>
      </c>
      <c r="BI51" s="56">
        <f>SUMIFS('CWO Bulan Ini'!$DD:$DD,'CWO Bulan Ini'!$DJ:$DJ,'Area-Cabang'!$B51,'CWO Bulan Ini'!$DH:$DH,'Area-Cabang'!$E51,'CWO Bulan Ini'!$CZ:$CZ,'Area-Cabang'!BI$41)</f>
        <v>0</v>
      </c>
      <c r="BJ51" s="56">
        <f>SUMIFS('CWO Bulan Ini'!$DD:$DD,'CWO Bulan Ini'!$DJ:$DJ,'Area-Cabang'!$B51,'CWO Bulan Ini'!$DH:$DH,'Area-Cabang'!$E51,'CWO Bulan Ini'!$CZ:$CZ,'Area-Cabang'!BJ$41)</f>
        <v>0</v>
      </c>
      <c r="BK51" s="56">
        <f>SUMIFS('CWO Bulan Ini'!$DD:$DD,'CWO Bulan Ini'!$DJ:$DJ,'Area-Cabang'!$B51,'CWO Bulan Ini'!$DH:$DH,'Area-Cabang'!$E51,'CWO Bulan Ini'!$CZ:$CZ,'Area-Cabang'!BK$41)</f>
        <v>0</v>
      </c>
      <c r="BL51" s="56">
        <f>SUMIFS('CWO Bulan Ini'!$DD:$DD,'CWO Bulan Ini'!$DJ:$DJ,'Area-Cabang'!$B51,'CWO Bulan Ini'!$DH:$DH,'Area-Cabang'!$E51,'CWO Bulan Ini'!$CZ:$CZ,'Area-Cabang'!BL$41)</f>
        <v>0</v>
      </c>
      <c r="BM51" s="56">
        <f>SUMIFS('CWO Bulan Ini'!$DD:$DD,'CWO Bulan Ini'!$DJ:$DJ,'Area-Cabang'!$B51,'CWO Bulan Ini'!$DH:$DH,'Area-Cabang'!$E51,'CWO Bulan Ini'!$CZ:$CZ,'Area-Cabang'!BM$41)</f>
        <v>0</v>
      </c>
      <c r="BN51" s="56">
        <f>SUMIFS('CWO Bulan Ini'!$DD:$DD,'CWO Bulan Ini'!$DJ:$DJ,'Area-Cabang'!$B51,'CWO Bulan Ini'!$DH:$DH,'Area-Cabang'!$E51,'CWO Bulan Ini'!$CZ:$CZ,'Area-Cabang'!BN$41)</f>
        <v>0</v>
      </c>
      <c r="BO51" s="57">
        <f>SUMIFS('CWO Bulan Ini'!$DD:$DD,'CWO Bulan Ini'!$DJ:$DJ,'Area-Cabang'!$B51,'CWO Bulan Ini'!$DH:$DH,'Area-Cabang'!$E51,'CWO Bulan Ini'!$CZ:$CZ,'Area-Cabang'!BO$41)</f>
        <v>0</v>
      </c>
      <c r="BP51" s="55">
        <f>SUMIFS('CWO Bulan Ini'!$DC:$DC,'CWO Bulan Ini'!$DJ:$DJ,'Area-Cabang'!$B51,'CWO Bulan Ini'!$DH:$DH,'Area-Cabang'!$E51,'CWO Bulan Ini'!$CZ:$CZ,'Area-Cabang'!BP$41)</f>
        <v>0</v>
      </c>
      <c r="BQ51" s="56">
        <f>SUMIFS('CWO Bulan Ini'!$DC:$DC,'CWO Bulan Ini'!$DJ:$DJ,'Area-Cabang'!$B51,'CWO Bulan Ini'!$DH:$DH,'Area-Cabang'!$E51,'CWO Bulan Ini'!$CZ:$CZ,'Area-Cabang'!BQ$41)</f>
        <v>0</v>
      </c>
      <c r="BR51" s="56">
        <f>SUMIFS('CWO Bulan Ini'!$DC:$DC,'CWO Bulan Ini'!$DJ:$DJ,'Area-Cabang'!$B51,'CWO Bulan Ini'!$DH:$DH,'Area-Cabang'!$E51,'CWO Bulan Ini'!$CZ:$CZ,'Area-Cabang'!BR$41)</f>
        <v>0</v>
      </c>
      <c r="BS51" s="56">
        <f>SUMIFS('CWO Bulan Ini'!$DC:$DC,'CWO Bulan Ini'!$DJ:$DJ,'Area-Cabang'!$B51,'CWO Bulan Ini'!$DH:$DH,'Area-Cabang'!$E51,'CWO Bulan Ini'!$CZ:$CZ,'Area-Cabang'!BS$41)</f>
        <v>0</v>
      </c>
      <c r="BT51" s="56">
        <f>SUMIFS('CWO Bulan Ini'!$DC:$DC,'CWO Bulan Ini'!$DJ:$DJ,'Area-Cabang'!$B51,'CWO Bulan Ini'!$DH:$DH,'Area-Cabang'!$E51,'CWO Bulan Ini'!$CZ:$CZ,'Area-Cabang'!BT$41)</f>
        <v>0</v>
      </c>
      <c r="BU51" s="56">
        <f>SUMIFS('CWO Bulan Ini'!$DC:$DC,'CWO Bulan Ini'!$DJ:$DJ,'Area-Cabang'!$B51,'CWO Bulan Ini'!$DH:$DH,'Area-Cabang'!$E51,'CWO Bulan Ini'!$CZ:$CZ,'Area-Cabang'!BU$41)</f>
        <v>0</v>
      </c>
      <c r="BV51" s="56">
        <f>SUMIFS('CWO Bulan Ini'!$DC:$DC,'CWO Bulan Ini'!$DJ:$DJ,'Area-Cabang'!$B51,'CWO Bulan Ini'!$DH:$DH,'Area-Cabang'!$E51,'CWO Bulan Ini'!$CZ:$CZ,'Area-Cabang'!BV$41)</f>
        <v>0</v>
      </c>
      <c r="BW51" s="56">
        <f>SUMIFS('CWO Bulan Ini'!$DC:$DC,'CWO Bulan Ini'!$DJ:$DJ,'Area-Cabang'!$B51,'CWO Bulan Ini'!$DH:$DH,'Area-Cabang'!$E51,'CWO Bulan Ini'!$CZ:$CZ,'Area-Cabang'!BW$41)</f>
        <v>0</v>
      </c>
      <c r="BX51" s="56">
        <f>SUMIFS('CWO Bulan Ini'!$DC:$DC,'CWO Bulan Ini'!$DJ:$DJ,'Area-Cabang'!$B51,'CWO Bulan Ini'!$DH:$DH,'Area-Cabang'!$E51,'CWO Bulan Ini'!$CZ:$CZ,'Area-Cabang'!BX$41)</f>
        <v>0</v>
      </c>
      <c r="BY51" s="56">
        <f>SUMIFS('CWO Bulan Ini'!$DC:$DC,'CWO Bulan Ini'!$DJ:$DJ,'Area-Cabang'!$B51,'CWO Bulan Ini'!$DH:$DH,'Area-Cabang'!$E51,'CWO Bulan Ini'!$CZ:$CZ,'Area-Cabang'!BY$41)</f>
        <v>0</v>
      </c>
      <c r="BZ51" s="56">
        <f>SUMIFS('CWO Bulan Ini'!$DC:$DC,'CWO Bulan Ini'!$DJ:$DJ,'Area-Cabang'!$B51,'CWO Bulan Ini'!$DH:$DH,'Area-Cabang'!$E51,'CWO Bulan Ini'!$CZ:$CZ,'Area-Cabang'!BZ$41)</f>
        <v>0</v>
      </c>
      <c r="CA51" s="56">
        <f>SUMIFS('CWO Bulan Ini'!$DC:$DC,'CWO Bulan Ini'!$DJ:$DJ,'Area-Cabang'!$B51,'CWO Bulan Ini'!$DH:$DH,'Area-Cabang'!$E51,'CWO Bulan Ini'!$CZ:$CZ,'Area-Cabang'!CA$41)</f>
        <v>0</v>
      </c>
      <c r="CB51" s="56">
        <f>SUMIFS('CWO Bulan Ini'!$DC:$DC,'CWO Bulan Ini'!$DJ:$DJ,'Area-Cabang'!$B51,'CWO Bulan Ini'!$DH:$DH,'Area-Cabang'!$E51,'CWO Bulan Ini'!$CZ:$CZ,'Area-Cabang'!CB$41)</f>
        <v>0</v>
      </c>
      <c r="CC51" s="56">
        <f>SUMIFS('CWO Bulan Ini'!$DC:$DC,'CWO Bulan Ini'!$DJ:$DJ,'Area-Cabang'!$B51,'CWO Bulan Ini'!$DH:$DH,'Area-Cabang'!$E51,'CWO Bulan Ini'!$CZ:$CZ,'Area-Cabang'!CC$41)</f>
        <v>0</v>
      </c>
      <c r="CD51" s="56">
        <f>SUMIFS('CWO Bulan Ini'!$DC:$DC,'CWO Bulan Ini'!$DJ:$DJ,'Area-Cabang'!$B51,'CWO Bulan Ini'!$DH:$DH,'Area-Cabang'!$E51,'CWO Bulan Ini'!$CZ:$CZ,'Area-Cabang'!CD$41)</f>
        <v>0</v>
      </c>
      <c r="CE51" s="56">
        <f>SUMIFS('CWO Bulan Ini'!$DC:$DC,'CWO Bulan Ini'!$DJ:$DJ,'Area-Cabang'!$B51,'CWO Bulan Ini'!$DH:$DH,'Area-Cabang'!$E51,'CWO Bulan Ini'!$CZ:$CZ,'Area-Cabang'!CE$41)</f>
        <v>0</v>
      </c>
      <c r="CF51" s="56">
        <f>SUMIFS('CWO Bulan Ini'!$DC:$DC,'CWO Bulan Ini'!$DJ:$DJ,'Area-Cabang'!$B51,'CWO Bulan Ini'!$DH:$DH,'Area-Cabang'!$E51,'CWO Bulan Ini'!$CZ:$CZ,'Area-Cabang'!CF$41)</f>
        <v>0</v>
      </c>
      <c r="CG51" s="56">
        <f>SUMIFS('CWO Bulan Ini'!$DC:$DC,'CWO Bulan Ini'!$DJ:$DJ,'Area-Cabang'!$B51,'CWO Bulan Ini'!$DH:$DH,'Area-Cabang'!$E51,'CWO Bulan Ini'!$CZ:$CZ,'Area-Cabang'!CG$41)</f>
        <v>0</v>
      </c>
      <c r="CH51" s="56">
        <f>SUMIFS('CWO Bulan Ini'!$DC:$DC,'CWO Bulan Ini'!$DJ:$DJ,'Area-Cabang'!$B51,'CWO Bulan Ini'!$DH:$DH,'Area-Cabang'!$E51,'CWO Bulan Ini'!$CZ:$CZ,'Area-Cabang'!CH$41)</f>
        <v>0</v>
      </c>
      <c r="CI51" s="56">
        <f>SUMIFS('CWO Bulan Ini'!$DC:$DC,'CWO Bulan Ini'!$DJ:$DJ,'Area-Cabang'!$B51,'CWO Bulan Ini'!$DH:$DH,'Area-Cabang'!$E51,'CWO Bulan Ini'!$CZ:$CZ,'Area-Cabang'!CI$41)</f>
        <v>0</v>
      </c>
      <c r="CJ51" s="56">
        <f>SUMIFS('CWO Bulan Ini'!$DC:$DC,'CWO Bulan Ini'!$DJ:$DJ,'Area-Cabang'!$B51,'CWO Bulan Ini'!$DH:$DH,'Area-Cabang'!$E51,'CWO Bulan Ini'!$CZ:$CZ,'Area-Cabang'!CJ$41)</f>
        <v>0</v>
      </c>
      <c r="CK51" s="56">
        <f>SUMIFS('CWO Bulan Ini'!$DC:$DC,'CWO Bulan Ini'!$DJ:$DJ,'Area-Cabang'!$B51,'CWO Bulan Ini'!$DH:$DH,'Area-Cabang'!$E51,'CWO Bulan Ini'!$CZ:$CZ,'Area-Cabang'!CK$41)</f>
        <v>0</v>
      </c>
      <c r="CL51" s="56">
        <f>SUMIFS('CWO Bulan Ini'!$DC:$DC,'CWO Bulan Ini'!$DJ:$DJ,'Area-Cabang'!$B51,'CWO Bulan Ini'!$DH:$DH,'Area-Cabang'!$E51,'CWO Bulan Ini'!$CZ:$CZ,'Area-Cabang'!CL$41)</f>
        <v>0</v>
      </c>
      <c r="CM51" s="56">
        <f>SUMIFS('CWO Bulan Ini'!$DC:$DC,'CWO Bulan Ini'!$DJ:$DJ,'Area-Cabang'!$B51,'CWO Bulan Ini'!$DH:$DH,'Area-Cabang'!$E51,'CWO Bulan Ini'!$CZ:$CZ,'Area-Cabang'!CM$41)</f>
        <v>0</v>
      </c>
      <c r="CN51" s="56">
        <f>SUMIFS('CWO Bulan Ini'!$DC:$DC,'CWO Bulan Ini'!$DJ:$DJ,'Area-Cabang'!$B51,'CWO Bulan Ini'!$DH:$DH,'Area-Cabang'!$E51,'CWO Bulan Ini'!$CZ:$CZ,'Area-Cabang'!CN$41)</f>
        <v>0</v>
      </c>
      <c r="CO51" s="56">
        <f>SUMIFS('CWO Bulan Ini'!$DC:$DC,'CWO Bulan Ini'!$DJ:$DJ,'Area-Cabang'!$B51,'CWO Bulan Ini'!$DH:$DH,'Area-Cabang'!$E51,'CWO Bulan Ini'!$CZ:$CZ,'Area-Cabang'!CO$41)</f>
        <v>0</v>
      </c>
      <c r="CP51" s="56">
        <f>SUMIFS('CWO Bulan Ini'!$DC:$DC,'CWO Bulan Ini'!$DJ:$DJ,'Area-Cabang'!$B51,'CWO Bulan Ini'!$DH:$DH,'Area-Cabang'!$E51,'CWO Bulan Ini'!$CZ:$CZ,'Area-Cabang'!CP$41)</f>
        <v>0</v>
      </c>
      <c r="CQ51" s="56">
        <f>SUMIFS('CWO Bulan Ini'!$DC:$DC,'CWO Bulan Ini'!$DJ:$DJ,'Area-Cabang'!$B51,'CWO Bulan Ini'!$DH:$DH,'Area-Cabang'!$E51,'CWO Bulan Ini'!$CZ:$CZ,'Area-Cabang'!CQ$41)</f>
        <v>0</v>
      </c>
      <c r="CR51" s="56">
        <f>SUMIFS('CWO Bulan Ini'!$DC:$DC,'CWO Bulan Ini'!$DJ:$DJ,'Area-Cabang'!$B51,'CWO Bulan Ini'!$DH:$DH,'Area-Cabang'!$E51,'CWO Bulan Ini'!$CZ:$CZ,'Area-Cabang'!CR$41)</f>
        <v>0</v>
      </c>
      <c r="CS51" s="56">
        <f>SUMIFS('CWO Bulan Ini'!$DC:$DC,'CWO Bulan Ini'!$DJ:$DJ,'Area-Cabang'!$B51,'CWO Bulan Ini'!$DH:$DH,'Area-Cabang'!$E51,'CWO Bulan Ini'!$CZ:$CZ,'Area-Cabang'!CS$41)</f>
        <v>0</v>
      </c>
      <c r="CT51" s="57">
        <f>SUMIFS('CWO Bulan Ini'!$DC:$DC,'CWO Bulan Ini'!$DJ:$DJ,'Area-Cabang'!$B51,'CWO Bulan Ini'!$DH:$DH,'Area-Cabang'!$E51,'CWO Bulan Ini'!$CZ:$CZ,'Area-Cabang'!CT$41)</f>
        <v>0</v>
      </c>
      <c r="CV51" s="97">
        <f t="shared" ref="CV51:CV52" si="1290">SUM(F51:AJ51)</f>
        <v>24.977815320000001</v>
      </c>
      <c r="CW51" s="98">
        <f t="shared" ref="CW51:CW52" si="1291">SUM(AK51:BO51)</f>
        <v>24.977815320000001</v>
      </c>
      <c r="CX51" s="98">
        <f t="shared" ref="CX51:CX52" si="1292">SUM(BP51:CT51)</f>
        <v>0</v>
      </c>
      <c r="CY51" s="98">
        <f t="shared" ref="CY51:CY52" si="1293">CV51-CW51-CX51</f>
        <v>0</v>
      </c>
      <c r="CZ51" s="105">
        <f t="shared" ref="CZ51:CZ52" si="1294">CY51+CW51</f>
        <v>24.977815320000001</v>
      </c>
    </row>
    <row r="52" spans="1:104" ht="15" customHeight="1" x14ac:dyDescent="0.25">
      <c r="A52" s="58" t="s">
        <v>465</v>
      </c>
      <c r="B52" s="58" t="s">
        <v>2</v>
      </c>
      <c r="C52" s="250"/>
      <c r="D52" s="244"/>
      <c r="E52" s="40" t="s">
        <v>349</v>
      </c>
      <c r="F52" s="41">
        <f>SUMIFS('CWO Bulan Ini'!$DA:$DA,'CWO Bulan Ini'!$DJ:$DJ,'Area-Cabang'!$B52,'CWO Bulan Ini'!$DH:$DH,'Area-Cabang'!$E52,'CWO Bulan Ini'!$CZ:$CZ,'Area-Cabang'!F$41)</f>
        <v>0</v>
      </c>
      <c r="G52" s="42">
        <f>SUMIFS('CWO Bulan Ini'!$DA:$DA,'CWO Bulan Ini'!$DJ:$DJ,'Area-Cabang'!$B52,'CWO Bulan Ini'!$DH:$DH,'Area-Cabang'!$E52,'CWO Bulan Ini'!$CZ:$CZ,'Area-Cabang'!G$41)</f>
        <v>0</v>
      </c>
      <c r="H52" s="42">
        <f>SUMIFS('CWO Bulan Ini'!$DA:$DA,'CWO Bulan Ini'!$DJ:$DJ,'Area-Cabang'!$B52,'CWO Bulan Ini'!$DH:$DH,'Area-Cabang'!$E52,'CWO Bulan Ini'!$CZ:$CZ,'Area-Cabang'!H$41)</f>
        <v>0</v>
      </c>
      <c r="I52" s="42">
        <f>SUMIFS('CWO Bulan Ini'!$DA:$DA,'CWO Bulan Ini'!$DJ:$DJ,'Area-Cabang'!$B52,'CWO Bulan Ini'!$DH:$DH,'Area-Cabang'!$E52,'CWO Bulan Ini'!$CZ:$CZ,'Area-Cabang'!I$41)</f>
        <v>0</v>
      </c>
      <c r="J52" s="42">
        <f>SUMIFS('CWO Bulan Ini'!$DA:$DA,'CWO Bulan Ini'!$DJ:$DJ,'Area-Cabang'!$B52,'CWO Bulan Ini'!$DH:$DH,'Area-Cabang'!$E52,'CWO Bulan Ini'!$CZ:$CZ,'Area-Cabang'!J$41)</f>
        <v>0</v>
      </c>
      <c r="K52" s="42">
        <f>SUMIFS('CWO Bulan Ini'!$DA:$DA,'CWO Bulan Ini'!$DJ:$DJ,'Area-Cabang'!$B52,'CWO Bulan Ini'!$DH:$DH,'Area-Cabang'!$E52,'CWO Bulan Ini'!$CZ:$CZ,'Area-Cabang'!K$41)</f>
        <v>0</v>
      </c>
      <c r="L52" s="42">
        <f>SUMIFS('CWO Bulan Ini'!$DA:$DA,'CWO Bulan Ini'!$DJ:$DJ,'Area-Cabang'!$B52,'CWO Bulan Ini'!$DH:$DH,'Area-Cabang'!$E52,'CWO Bulan Ini'!$CZ:$CZ,'Area-Cabang'!L$41)</f>
        <v>0</v>
      </c>
      <c r="M52" s="42">
        <f>SUMIFS('CWO Bulan Ini'!$DA:$DA,'CWO Bulan Ini'!$DJ:$DJ,'Area-Cabang'!$B52,'CWO Bulan Ini'!$DH:$DH,'Area-Cabang'!$E52,'CWO Bulan Ini'!$CZ:$CZ,'Area-Cabang'!M$41)</f>
        <v>0</v>
      </c>
      <c r="N52" s="42">
        <f>SUMIFS('CWO Bulan Ini'!$DA:$DA,'CWO Bulan Ini'!$DJ:$DJ,'Area-Cabang'!$B52,'CWO Bulan Ini'!$DH:$DH,'Area-Cabang'!$E52,'CWO Bulan Ini'!$CZ:$CZ,'Area-Cabang'!N$41)</f>
        <v>0</v>
      </c>
      <c r="O52" s="42">
        <f>SUMIFS('CWO Bulan Ini'!$DA:$DA,'CWO Bulan Ini'!$DJ:$DJ,'Area-Cabang'!$B52,'CWO Bulan Ini'!$DH:$DH,'Area-Cabang'!$E52,'CWO Bulan Ini'!$CZ:$CZ,'Area-Cabang'!O$41)</f>
        <v>0</v>
      </c>
      <c r="P52" s="42">
        <f>SUMIFS('CWO Bulan Ini'!$DA:$DA,'CWO Bulan Ini'!$DJ:$DJ,'Area-Cabang'!$B52,'CWO Bulan Ini'!$DH:$DH,'Area-Cabang'!$E52,'CWO Bulan Ini'!$CZ:$CZ,'Area-Cabang'!P$41)</f>
        <v>0</v>
      </c>
      <c r="Q52" s="42">
        <f>SUMIFS('CWO Bulan Ini'!$DA:$DA,'CWO Bulan Ini'!$DJ:$DJ,'Area-Cabang'!$B52,'CWO Bulan Ini'!$DH:$DH,'Area-Cabang'!$E52,'CWO Bulan Ini'!$CZ:$CZ,'Area-Cabang'!Q$41)</f>
        <v>0</v>
      </c>
      <c r="R52" s="42">
        <f>SUMIFS('CWO Bulan Ini'!$DA:$DA,'CWO Bulan Ini'!$DJ:$DJ,'Area-Cabang'!$B52,'CWO Bulan Ini'!$DH:$DH,'Area-Cabang'!$E52,'CWO Bulan Ini'!$CZ:$CZ,'Area-Cabang'!R$41)</f>
        <v>0</v>
      </c>
      <c r="S52" s="42">
        <f>SUMIFS('CWO Bulan Ini'!$DA:$DA,'CWO Bulan Ini'!$DJ:$DJ,'Area-Cabang'!$B52,'CWO Bulan Ini'!$DH:$DH,'Area-Cabang'!$E52,'CWO Bulan Ini'!$CZ:$CZ,'Area-Cabang'!S$41)</f>
        <v>0</v>
      </c>
      <c r="T52" s="42">
        <f>SUMIFS('CWO Bulan Ini'!$DA:$DA,'CWO Bulan Ini'!$DJ:$DJ,'Area-Cabang'!$B52,'CWO Bulan Ini'!$DH:$DH,'Area-Cabang'!$E52,'CWO Bulan Ini'!$CZ:$CZ,'Area-Cabang'!T$41)</f>
        <v>0</v>
      </c>
      <c r="U52" s="42">
        <f>SUMIFS('CWO Bulan Ini'!$DA:$DA,'CWO Bulan Ini'!$DJ:$DJ,'Area-Cabang'!$B52,'CWO Bulan Ini'!$DH:$DH,'Area-Cabang'!$E52,'CWO Bulan Ini'!$CZ:$CZ,'Area-Cabang'!U$41)</f>
        <v>0</v>
      </c>
      <c r="V52" s="42">
        <f>SUMIFS('CWO Bulan Ini'!$DA:$DA,'CWO Bulan Ini'!$DJ:$DJ,'Area-Cabang'!$B52,'CWO Bulan Ini'!$DH:$DH,'Area-Cabang'!$E52,'CWO Bulan Ini'!$CZ:$CZ,'Area-Cabang'!V$41)</f>
        <v>0</v>
      </c>
      <c r="W52" s="42">
        <f>SUMIFS('CWO Bulan Ini'!$DA:$DA,'CWO Bulan Ini'!$DJ:$DJ,'Area-Cabang'!$B52,'CWO Bulan Ini'!$DH:$DH,'Area-Cabang'!$E52,'CWO Bulan Ini'!$CZ:$CZ,'Area-Cabang'!W$41)</f>
        <v>0</v>
      </c>
      <c r="X52" s="42">
        <f>SUMIFS('CWO Bulan Ini'!$DA:$DA,'CWO Bulan Ini'!$DJ:$DJ,'Area-Cabang'!$B52,'CWO Bulan Ini'!$DH:$DH,'Area-Cabang'!$E52,'CWO Bulan Ini'!$CZ:$CZ,'Area-Cabang'!X$41)</f>
        <v>0</v>
      </c>
      <c r="Y52" s="42">
        <f>SUMIFS('CWO Bulan Ini'!$DA:$DA,'CWO Bulan Ini'!$DJ:$DJ,'Area-Cabang'!$B52,'CWO Bulan Ini'!$DH:$DH,'Area-Cabang'!$E52,'CWO Bulan Ini'!$CZ:$CZ,'Area-Cabang'!Y$41)</f>
        <v>0</v>
      </c>
      <c r="Z52" s="42">
        <f>SUMIFS('CWO Bulan Ini'!$DA:$DA,'CWO Bulan Ini'!$DJ:$DJ,'Area-Cabang'!$B52,'CWO Bulan Ini'!$DH:$DH,'Area-Cabang'!$E52,'CWO Bulan Ini'!$CZ:$CZ,'Area-Cabang'!Z$41)</f>
        <v>0</v>
      </c>
      <c r="AA52" s="42">
        <f>SUMIFS('CWO Bulan Ini'!$DA:$DA,'CWO Bulan Ini'!$DJ:$DJ,'Area-Cabang'!$B52,'CWO Bulan Ini'!$DH:$DH,'Area-Cabang'!$E52,'CWO Bulan Ini'!$CZ:$CZ,'Area-Cabang'!AA$41)</f>
        <v>0</v>
      </c>
      <c r="AB52" s="42">
        <f>SUMIFS('CWO Bulan Ini'!$DA:$DA,'CWO Bulan Ini'!$DJ:$DJ,'Area-Cabang'!$B52,'CWO Bulan Ini'!$DH:$DH,'Area-Cabang'!$E52,'CWO Bulan Ini'!$CZ:$CZ,'Area-Cabang'!AB$41)</f>
        <v>0</v>
      </c>
      <c r="AC52" s="42">
        <f>SUMIFS('CWO Bulan Ini'!$DA:$DA,'CWO Bulan Ini'!$DJ:$DJ,'Area-Cabang'!$B52,'CWO Bulan Ini'!$DH:$DH,'Area-Cabang'!$E52,'CWO Bulan Ini'!$CZ:$CZ,'Area-Cabang'!AC$41)</f>
        <v>0</v>
      </c>
      <c r="AD52" s="42">
        <f>SUMIFS('CWO Bulan Ini'!$DA:$DA,'CWO Bulan Ini'!$DJ:$DJ,'Area-Cabang'!$B52,'CWO Bulan Ini'!$DH:$DH,'Area-Cabang'!$E52,'CWO Bulan Ini'!$CZ:$CZ,'Area-Cabang'!AD$41)</f>
        <v>0</v>
      </c>
      <c r="AE52" s="42">
        <f>SUMIFS('CWO Bulan Ini'!$DA:$DA,'CWO Bulan Ini'!$DJ:$DJ,'Area-Cabang'!$B52,'CWO Bulan Ini'!$DH:$DH,'Area-Cabang'!$E52,'CWO Bulan Ini'!$CZ:$CZ,'Area-Cabang'!AE$41)</f>
        <v>0</v>
      </c>
      <c r="AF52" s="42">
        <f>SUMIFS('CWO Bulan Ini'!$DA:$DA,'CWO Bulan Ini'!$DJ:$DJ,'Area-Cabang'!$B52,'CWO Bulan Ini'!$DH:$DH,'Area-Cabang'!$E52,'CWO Bulan Ini'!$CZ:$CZ,'Area-Cabang'!AF$41)</f>
        <v>0</v>
      </c>
      <c r="AG52" s="42">
        <f>SUMIFS('CWO Bulan Ini'!$DA:$DA,'CWO Bulan Ini'!$DJ:$DJ,'Area-Cabang'!$B52,'CWO Bulan Ini'!$DH:$DH,'Area-Cabang'!$E52,'CWO Bulan Ini'!$CZ:$CZ,'Area-Cabang'!AG$41)</f>
        <v>0</v>
      </c>
      <c r="AH52" s="42">
        <f>SUMIFS('CWO Bulan Ini'!$DA:$DA,'CWO Bulan Ini'!$DJ:$DJ,'Area-Cabang'!$B52,'CWO Bulan Ini'!$DH:$DH,'Area-Cabang'!$E52,'CWO Bulan Ini'!$CZ:$CZ,'Area-Cabang'!AH$41)</f>
        <v>0</v>
      </c>
      <c r="AI52" s="42">
        <f>SUMIFS('CWO Bulan Ini'!$DA:$DA,'CWO Bulan Ini'!$DJ:$DJ,'Area-Cabang'!$B52,'CWO Bulan Ini'!$DH:$DH,'Area-Cabang'!$E52,'CWO Bulan Ini'!$CZ:$CZ,'Area-Cabang'!AI$41)</f>
        <v>0</v>
      </c>
      <c r="AJ52" s="42">
        <f>SUMIFS('CWO Bulan Ini'!$DA:$DA,'CWO Bulan Ini'!$DJ:$DJ,'Area-Cabang'!$B52,'CWO Bulan Ini'!$DH:$DH,'Area-Cabang'!$E52,'CWO Bulan Ini'!$CZ:$CZ,'Area-Cabang'!AJ$41)</f>
        <v>0</v>
      </c>
      <c r="AK52" s="41">
        <f>SUMIFS('CWO Bulan Ini'!$DD:$DD,'CWO Bulan Ini'!$DJ:$DJ,'Area-Cabang'!$B52,'CWO Bulan Ini'!$DH:$DH,'Area-Cabang'!$E52,'CWO Bulan Ini'!$CZ:$CZ,'Area-Cabang'!AK$41)</f>
        <v>0</v>
      </c>
      <c r="AL52" s="42">
        <f>SUMIFS('CWO Bulan Ini'!$DD:$DD,'CWO Bulan Ini'!$DJ:$DJ,'Area-Cabang'!$B52,'CWO Bulan Ini'!$DH:$DH,'Area-Cabang'!$E52,'CWO Bulan Ini'!$CZ:$CZ,'Area-Cabang'!AL$41)</f>
        <v>0</v>
      </c>
      <c r="AM52" s="42">
        <f>SUMIFS('CWO Bulan Ini'!$DD:$DD,'CWO Bulan Ini'!$DJ:$DJ,'Area-Cabang'!$B52,'CWO Bulan Ini'!$DH:$DH,'Area-Cabang'!$E52,'CWO Bulan Ini'!$CZ:$CZ,'Area-Cabang'!AM$41)</f>
        <v>0</v>
      </c>
      <c r="AN52" s="42">
        <f>SUMIFS('CWO Bulan Ini'!$DD:$DD,'CWO Bulan Ini'!$DJ:$DJ,'Area-Cabang'!$B52,'CWO Bulan Ini'!$DH:$DH,'Area-Cabang'!$E52,'CWO Bulan Ini'!$CZ:$CZ,'Area-Cabang'!AN$41)</f>
        <v>0</v>
      </c>
      <c r="AO52" s="42">
        <f>SUMIFS('CWO Bulan Ini'!$DD:$DD,'CWO Bulan Ini'!$DJ:$DJ,'Area-Cabang'!$B52,'CWO Bulan Ini'!$DH:$DH,'Area-Cabang'!$E52,'CWO Bulan Ini'!$CZ:$CZ,'Area-Cabang'!AO$41)</f>
        <v>0</v>
      </c>
      <c r="AP52" s="42">
        <f>SUMIFS('CWO Bulan Ini'!$DD:$DD,'CWO Bulan Ini'!$DJ:$DJ,'Area-Cabang'!$B52,'CWO Bulan Ini'!$DH:$DH,'Area-Cabang'!$E52,'CWO Bulan Ini'!$CZ:$CZ,'Area-Cabang'!AP$41)</f>
        <v>0</v>
      </c>
      <c r="AQ52" s="42">
        <f>SUMIFS('CWO Bulan Ini'!$DD:$DD,'CWO Bulan Ini'!$DJ:$DJ,'Area-Cabang'!$B52,'CWO Bulan Ini'!$DH:$DH,'Area-Cabang'!$E52,'CWO Bulan Ini'!$CZ:$CZ,'Area-Cabang'!AQ$41)</f>
        <v>0</v>
      </c>
      <c r="AR52" s="42">
        <f>SUMIFS('CWO Bulan Ini'!$DD:$DD,'CWO Bulan Ini'!$DJ:$DJ,'Area-Cabang'!$B52,'CWO Bulan Ini'!$DH:$DH,'Area-Cabang'!$E52,'CWO Bulan Ini'!$CZ:$CZ,'Area-Cabang'!AR$41)</f>
        <v>0</v>
      </c>
      <c r="AS52" s="42">
        <f>SUMIFS('CWO Bulan Ini'!$DD:$DD,'CWO Bulan Ini'!$DJ:$DJ,'Area-Cabang'!$B52,'CWO Bulan Ini'!$DH:$DH,'Area-Cabang'!$E52,'CWO Bulan Ini'!$CZ:$CZ,'Area-Cabang'!AS$41)</f>
        <v>0</v>
      </c>
      <c r="AT52" s="42">
        <f>SUMIFS('CWO Bulan Ini'!$DD:$DD,'CWO Bulan Ini'!$DJ:$DJ,'Area-Cabang'!$B52,'CWO Bulan Ini'!$DH:$DH,'Area-Cabang'!$E52,'CWO Bulan Ini'!$CZ:$CZ,'Area-Cabang'!AT$41)</f>
        <v>0</v>
      </c>
      <c r="AU52" s="42">
        <f>SUMIFS('CWO Bulan Ini'!$DD:$DD,'CWO Bulan Ini'!$DJ:$DJ,'Area-Cabang'!$B52,'CWO Bulan Ini'!$DH:$DH,'Area-Cabang'!$E52,'CWO Bulan Ini'!$CZ:$CZ,'Area-Cabang'!AU$41)</f>
        <v>0</v>
      </c>
      <c r="AV52" s="42">
        <f>SUMIFS('CWO Bulan Ini'!$DD:$DD,'CWO Bulan Ini'!$DJ:$DJ,'Area-Cabang'!$B52,'CWO Bulan Ini'!$DH:$DH,'Area-Cabang'!$E52,'CWO Bulan Ini'!$CZ:$CZ,'Area-Cabang'!AV$41)</f>
        <v>0</v>
      </c>
      <c r="AW52" s="42">
        <f>SUMIFS('CWO Bulan Ini'!$DD:$DD,'CWO Bulan Ini'!$DJ:$DJ,'Area-Cabang'!$B52,'CWO Bulan Ini'!$DH:$DH,'Area-Cabang'!$E52,'CWO Bulan Ini'!$CZ:$CZ,'Area-Cabang'!AW$41)</f>
        <v>0</v>
      </c>
      <c r="AX52" s="42">
        <f>SUMIFS('CWO Bulan Ini'!$DD:$DD,'CWO Bulan Ini'!$DJ:$DJ,'Area-Cabang'!$B52,'CWO Bulan Ini'!$DH:$DH,'Area-Cabang'!$E52,'CWO Bulan Ini'!$CZ:$CZ,'Area-Cabang'!AX$41)</f>
        <v>0</v>
      </c>
      <c r="AY52" s="42">
        <f>SUMIFS('CWO Bulan Ini'!$DD:$DD,'CWO Bulan Ini'!$DJ:$DJ,'Area-Cabang'!$B52,'CWO Bulan Ini'!$DH:$DH,'Area-Cabang'!$E52,'CWO Bulan Ini'!$CZ:$CZ,'Area-Cabang'!AY$41)</f>
        <v>0</v>
      </c>
      <c r="AZ52" s="42">
        <f>SUMIFS('CWO Bulan Ini'!$DD:$DD,'CWO Bulan Ini'!$DJ:$DJ,'Area-Cabang'!$B52,'CWO Bulan Ini'!$DH:$DH,'Area-Cabang'!$E52,'CWO Bulan Ini'!$CZ:$CZ,'Area-Cabang'!AZ$41)</f>
        <v>0</v>
      </c>
      <c r="BA52" s="42">
        <f>SUMIFS('CWO Bulan Ini'!$DD:$DD,'CWO Bulan Ini'!$DJ:$DJ,'Area-Cabang'!$B52,'CWO Bulan Ini'!$DH:$DH,'Area-Cabang'!$E52,'CWO Bulan Ini'!$CZ:$CZ,'Area-Cabang'!BA$41)</f>
        <v>0</v>
      </c>
      <c r="BB52" s="42">
        <f>SUMIFS('CWO Bulan Ini'!$DD:$DD,'CWO Bulan Ini'!$DJ:$DJ,'Area-Cabang'!$B52,'CWO Bulan Ini'!$DH:$DH,'Area-Cabang'!$E52,'CWO Bulan Ini'!$CZ:$CZ,'Area-Cabang'!BB$41)</f>
        <v>0</v>
      </c>
      <c r="BC52" s="42">
        <f>SUMIFS('CWO Bulan Ini'!$DD:$DD,'CWO Bulan Ini'!$DJ:$DJ,'Area-Cabang'!$B52,'CWO Bulan Ini'!$DH:$DH,'Area-Cabang'!$E52,'CWO Bulan Ini'!$CZ:$CZ,'Area-Cabang'!BC$41)</f>
        <v>0</v>
      </c>
      <c r="BD52" s="42">
        <f>SUMIFS('CWO Bulan Ini'!$DD:$DD,'CWO Bulan Ini'!$DJ:$DJ,'Area-Cabang'!$B52,'CWO Bulan Ini'!$DH:$DH,'Area-Cabang'!$E52,'CWO Bulan Ini'!$CZ:$CZ,'Area-Cabang'!BD$41)</f>
        <v>0</v>
      </c>
      <c r="BE52" s="42">
        <f>SUMIFS('CWO Bulan Ini'!$DD:$DD,'CWO Bulan Ini'!$DJ:$DJ,'Area-Cabang'!$B52,'CWO Bulan Ini'!$DH:$DH,'Area-Cabang'!$E52,'CWO Bulan Ini'!$CZ:$CZ,'Area-Cabang'!BE$41)</f>
        <v>0</v>
      </c>
      <c r="BF52" s="42">
        <f>SUMIFS('CWO Bulan Ini'!$DD:$DD,'CWO Bulan Ini'!$DJ:$DJ,'Area-Cabang'!$B52,'CWO Bulan Ini'!$DH:$DH,'Area-Cabang'!$E52,'CWO Bulan Ini'!$CZ:$CZ,'Area-Cabang'!BF$41)</f>
        <v>0</v>
      </c>
      <c r="BG52" s="42">
        <f>SUMIFS('CWO Bulan Ini'!$DD:$DD,'CWO Bulan Ini'!$DJ:$DJ,'Area-Cabang'!$B52,'CWO Bulan Ini'!$DH:$DH,'Area-Cabang'!$E52,'CWO Bulan Ini'!$CZ:$CZ,'Area-Cabang'!BG$41)</f>
        <v>0</v>
      </c>
      <c r="BH52" s="42">
        <f>SUMIFS('CWO Bulan Ini'!$DD:$DD,'CWO Bulan Ini'!$DJ:$DJ,'Area-Cabang'!$B52,'CWO Bulan Ini'!$DH:$DH,'Area-Cabang'!$E52,'CWO Bulan Ini'!$CZ:$CZ,'Area-Cabang'!BH$41)</f>
        <v>0</v>
      </c>
      <c r="BI52" s="42">
        <f>SUMIFS('CWO Bulan Ini'!$DD:$DD,'CWO Bulan Ini'!$DJ:$DJ,'Area-Cabang'!$B52,'CWO Bulan Ini'!$DH:$DH,'Area-Cabang'!$E52,'CWO Bulan Ini'!$CZ:$CZ,'Area-Cabang'!BI$41)</f>
        <v>0</v>
      </c>
      <c r="BJ52" s="42">
        <f>SUMIFS('CWO Bulan Ini'!$DD:$DD,'CWO Bulan Ini'!$DJ:$DJ,'Area-Cabang'!$B52,'CWO Bulan Ini'!$DH:$DH,'Area-Cabang'!$E52,'CWO Bulan Ini'!$CZ:$CZ,'Area-Cabang'!BJ$41)</f>
        <v>0</v>
      </c>
      <c r="BK52" s="42">
        <f>SUMIFS('CWO Bulan Ini'!$DD:$DD,'CWO Bulan Ini'!$DJ:$DJ,'Area-Cabang'!$B52,'CWO Bulan Ini'!$DH:$DH,'Area-Cabang'!$E52,'CWO Bulan Ini'!$CZ:$CZ,'Area-Cabang'!BK$41)</f>
        <v>0</v>
      </c>
      <c r="BL52" s="42">
        <f>SUMIFS('CWO Bulan Ini'!$DD:$DD,'CWO Bulan Ini'!$DJ:$DJ,'Area-Cabang'!$B52,'CWO Bulan Ini'!$DH:$DH,'Area-Cabang'!$E52,'CWO Bulan Ini'!$CZ:$CZ,'Area-Cabang'!BL$41)</f>
        <v>0</v>
      </c>
      <c r="BM52" s="42">
        <f>SUMIFS('CWO Bulan Ini'!$DD:$DD,'CWO Bulan Ini'!$DJ:$DJ,'Area-Cabang'!$B52,'CWO Bulan Ini'!$DH:$DH,'Area-Cabang'!$E52,'CWO Bulan Ini'!$CZ:$CZ,'Area-Cabang'!BM$41)</f>
        <v>0</v>
      </c>
      <c r="BN52" s="42">
        <f>SUMIFS('CWO Bulan Ini'!$DD:$DD,'CWO Bulan Ini'!$DJ:$DJ,'Area-Cabang'!$B52,'CWO Bulan Ini'!$DH:$DH,'Area-Cabang'!$E52,'CWO Bulan Ini'!$CZ:$CZ,'Area-Cabang'!BN$41)</f>
        <v>0</v>
      </c>
      <c r="BO52" s="43">
        <f>SUMIFS('CWO Bulan Ini'!$DD:$DD,'CWO Bulan Ini'!$DJ:$DJ,'Area-Cabang'!$B52,'CWO Bulan Ini'!$DH:$DH,'Area-Cabang'!$E52,'CWO Bulan Ini'!$CZ:$CZ,'Area-Cabang'!BO$41)</f>
        <v>0</v>
      </c>
      <c r="BP52" s="41">
        <f>SUMIFS('CWO Bulan Ini'!$DC:$DC,'CWO Bulan Ini'!$DJ:$DJ,'Area-Cabang'!$B52,'CWO Bulan Ini'!$DH:$DH,'Area-Cabang'!$E52,'CWO Bulan Ini'!$CZ:$CZ,'Area-Cabang'!BP$41)</f>
        <v>0</v>
      </c>
      <c r="BQ52" s="42">
        <f>SUMIFS('CWO Bulan Ini'!$DC:$DC,'CWO Bulan Ini'!$DJ:$DJ,'Area-Cabang'!$B52,'CWO Bulan Ini'!$DH:$DH,'Area-Cabang'!$E52,'CWO Bulan Ini'!$CZ:$CZ,'Area-Cabang'!BQ$41)</f>
        <v>0</v>
      </c>
      <c r="BR52" s="42">
        <f>SUMIFS('CWO Bulan Ini'!$DC:$DC,'CWO Bulan Ini'!$DJ:$DJ,'Area-Cabang'!$B52,'CWO Bulan Ini'!$DH:$DH,'Area-Cabang'!$E52,'CWO Bulan Ini'!$CZ:$CZ,'Area-Cabang'!BR$41)</f>
        <v>0</v>
      </c>
      <c r="BS52" s="42">
        <f>SUMIFS('CWO Bulan Ini'!$DC:$DC,'CWO Bulan Ini'!$DJ:$DJ,'Area-Cabang'!$B52,'CWO Bulan Ini'!$DH:$DH,'Area-Cabang'!$E52,'CWO Bulan Ini'!$CZ:$CZ,'Area-Cabang'!BS$41)</f>
        <v>0</v>
      </c>
      <c r="BT52" s="42">
        <f>SUMIFS('CWO Bulan Ini'!$DC:$DC,'CWO Bulan Ini'!$DJ:$DJ,'Area-Cabang'!$B52,'CWO Bulan Ini'!$DH:$DH,'Area-Cabang'!$E52,'CWO Bulan Ini'!$CZ:$CZ,'Area-Cabang'!BT$41)</f>
        <v>0</v>
      </c>
      <c r="BU52" s="42">
        <f>SUMIFS('CWO Bulan Ini'!$DC:$DC,'CWO Bulan Ini'!$DJ:$DJ,'Area-Cabang'!$B52,'CWO Bulan Ini'!$DH:$DH,'Area-Cabang'!$E52,'CWO Bulan Ini'!$CZ:$CZ,'Area-Cabang'!BU$41)</f>
        <v>0</v>
      </c>
      <c r="BV52" s="42">
        <f>SUMIFS('CWO Bulan Ini'!$DC:$DC,'CWO Bulan Ini'!$DJ:$DJ,'Area-Cabang'!$B52,'CWO Bulan Ini'!$DH:$DH,'Area-Cabang'!$E52,'CWO Bulan Ini'!$CZ:$CZ,'Area-Cabang'!BV$41)</f>
        <v>0</v>
      </c>
      <c r="BW52" s="42">
        <f>SUMIFS('CWO Bulan Ini'!$DC:$DC,'CWO Bulan Ini'!$DJ:$DJ,'Area-Cabang'!$B52,'CWO Bulan Ini'!$DH:$DH,'Area-Cabang'!$E52,'CWO Bulan Ini'!$CZ:$CZ,'Area-Cabang'!BW$41)</f>
        <v>0</v>
      </c>
      <c r="BX52" s="42">
        <f>SUMIFS('CWO Bulan Ini'!$DC:$DC,'CWO Bulan Ini'!$DJ:$DJ,'Area-Cabang'!$B52,'CWO Bulan Ini'!$DH:$DH,'Area-Cabang'!$E52,'CWO Bulan Ini'!$CZ:$CZ,'Area-Cabang'!BX$41)</f>
        <v>0</v>
      </c>
      <c r="BY52" s="42">
        <f>SUMIFS('CWO Bulan Ini'!$DC:$DC,'CWO Bulan Ini'!$DJ:$DJ,'Area-Cabang'!$B52,'CWO Bulan Ini'!$DH:$DH,'Area-Cabang'!$E52,'CWO Bulan Ini'!$CZ:$CZ,'Area-Cabang'!BY$41)</f>
        <v>0</v>
      </c>
      <c r="BZ52" s="42">
        <f>SUMIFS('CWO Bulan Ini'!$DC:$DC,'CWO Bulan Ini'!$DJ:$DJ,'Area-Cabang'!$B52,'CWO Bulan Ini'!$DH:$DH,'Area-Cabang'!$E52,'CWO Bulan Ini'!$CZ:$CZ,'Area-Cabang'!BZ$41)</f>
        <v>0</v>
      </c>
      <c r="CA52" s="42">
        <f>SUMIFS('CWO Bulan Ini'!$DC:$DC,'CWO Bulan Ini'!$DJ:$DJ,'Area-Cabang'!$B52,'CWO Bulan Ini'!$DH:$DH,'Area-Cabang'!$E52,'CWO Bulan Ini'!$CZ:$CZ,'Area-Cabang'!CA$41)</f>
        <v>0</v>
      </c>
      <c r="CB52" s="42">
        <f>SUMIFS('CWO Bulan Ini'!$DC:$DC,'CWO Bulan Ini'!$DJ:$DJ,'Area-Cabang'!$B52,'CWO Bulan Ini'!$DH:$DH,'Area-Cabang'!$E52,'CWO Bulan Ini'!$CZ:$CZ,'Area-Cabang'!CB$41)</f>
        <v>0</v>
      </c>
      <c r="CC52" s="42">
        <f>SUMIFS('CWO Bulan Ini'!$DC:$DC,'CWO Bulan Ini'!$DJ:$DJ,'Area-Cabang'!$B52,'CWO Bulan Ini'!$DH:$DH,'Area-Cabang'!$E52,'CWO Bulan Ini'!$CZ:$CZ,'Area-Cabang'!CC$41)</f>
        <v>0</v>
      </c>
      <c r="CD52" s="42">
        <f>SUMIFS('CWO Bulan Ini'!$DC:$DC,'CWO Bulan Ini'!$DJ:$DJ,'Area-Cabang'!$B52,'CWO Bulan Ini'!$DH:$DH,'Area-Cabang'!$E52,'CWO Bulan Ini'!$CZ:$CZ,'Area-Cabang'!CD$41)</f>
        <v>0</v>
      </c>
      <c r="CE52" s="42">
        <f>SUMIFS('CWO Bulan Ini'!$DC:$DC,'CWO Bulan Ini'!$DJ:$DJ,'Area-Cabang'!$B52,'CWO Bulan Ini'!$DH:$DH,'Area-Cabang'!$E52,'CWO Bulan Ini'!$CZ:$CZ,'Area-Cabang'!CE$41)</f>
        <v>0</v>
      </c>
      <c r="CF52" s="42">
        <f>SUMIFS('CWO Bulan Ini'!$DC:$DC,'CWO Bulan Ini'!$DJ:$DJ,'Area-Cabang'!$B52,'CWO Bulan Ini'!$DH:$DH,'Area-Cabang'!$E52,'CWO Bulan Ini'!$CZ:$CZ,'Area-Cabang'!CF$41)</f>
        <v>0</v>
      </c>
      <c r="CG52" s="42">
        <f>SUMIFS('CWO Bulan Ini'!$DC:$DC,'CWO Bulan Ini'!$DJ:$DJ,'Area-Cabang'!$B52,'CWO Bulan Ini'!$DH:$DH,'Area-Cabang'!$E52,'CWO Bulan Ini'!$CZ:$CZ,'Area-Cabang'!CG$41)</f>
        <v>0</v>
      </c>
      <c r="CH52" s="42">
        <f>SUMIFS('CWO Bulan Ini'!$DC:$DC,'CWO Bulan Ini'!$DJ:$DJ,'Area-Cabang'!$B52,'CWO Bulan Ini'!$DH:$DH,'Area-Cabang'!$E52,'CWO Bulan Ini'!$CZ:$CZ,'Area-Cabang'!CH$41)</f>
        <v>0</v>
      </c>
      <c r="CI52" s="42">
        <f>SUMIFS('CWO Bulan Ini'!$DC:$DC,'CWO Bulan Ini'!$DJ:$DJ,'Area-Cabang'!$B52,'CWO Bulan Ini'!$DH:$DH,'Area-Cabang'!$E52,'CWO Bulan Ini'!$CZ:$CZ,'Area-Cabang'!CI$41)</f>
        <v>0</v>
      </c>
      <c r="CJ52" s="42">
        <f>SUMIFS('CWO Bulan Ini'!$DC:$DC,'CWO Bulan Ini'!$DJ:$DJ,'Area-Cabang'!$B52,'CWO Bulan Ini'!$DH:$DH,'Area-Cabang'!$E52,'CWO Bulan Ini'!$CZ:$CZ,'Area-Cabang'!CJ$41)</f>
        <v>0</v>
      </c>
      <c r="CK52" s="42">
        <f>SUMIFS('CWO Bulan Ini'!$DC:$DC,'CWO Bulan Ini'!$DJ:$DJ,'Area-Cabang'!$B52,'CWO Bulan Ini'!$DH:$DH,'Area-Cabang'!$E52,'CWO Bulan Ini'!$CZ:$CZ,'Area-Cabang'!CK$41)</f>
        <v>0</v>
      </c>
      <c r="CL52" s="42">
        <f>SUMIFS('CWO Bulan Ini'!$DC:$DC,'CWO Bulan Ini'!$DJ:$DJ,'Area-Cabang'!$B52,'CWO Bulan Ini'!$DH:$DH,'Area-Cabang'!$E52,'CWO Bulan Ini'!$CZ:$CZ,'Area-Cabang'!CL$41)</f>
        <v>0</v>
      </c>
      <c r="CM52" s="42">
        <f>SUMIFS('CWO Bulan Ini'!$DC:$DC,'CWO Bulan Ini'!$DJ:$DJ,'Area-Cabang'!$B52,'CWO Bulan Ini'!$DH:$DH,'Area-Cabang'!$E52,'CWO Bulan Ini'!$CZ:$CZ,'Area-Cabang'!CM$41)</f>
        <v>0</v>
      </c>
      <c r="CN52" s="42">
        <f>SUMIFS('CWO Bulan Ini'!$DC:$DC,'CWO Bulan Ini'!$DJ:$DJ,'Area-Cabang'!$B52,'CWO Bulan Ini'!$DH:$DH,'Area-Cabang'!$E52,'CWO Bulan Ini'!$CZ:$CZ,'Area-Cabang'!CN$41)</f>
        <v>0</v>
      </c>
      <c r="CO52" s="42">
        <f>SUMIFS('CWO Bulan Ini'!$DC:$DC,'CWO Bulan Ini'!$DJ:$DJ,'Area-Cabang'!$B52,'CWO Bulan Ini'!$DH:$DH,'Area-Cabang'!$E52,'CWO Bulan Ini'!$CZ:$CZ,'Area-Cabang'!CO$41)</f>
        <v>0</v>
      </c>
      <c r="CP52" s="42">
        <f>SUMIFS('CWO Bulan Ini'!$DC:$DC,'CWO Bulan Ini'!$DJ:$DJ,'Area-Cabang'!$B52,'CWO Bulan Ini'!$DH:$DH,'Area-Cabang'!$E52,'CWO Bulan Ini'!$CZ:$CZ,'Area-Cabang'!CP$41)</f>
        <v>0</v>
      </c>
      <c r="CQ52" s="42">
        <f>SUMIFS('CWO Bulan Ini'!$DC:$DC,'CWO Bulan Ini'!$DJ:$DJ,'Area-Cabang'!$B52,'CWO Bulan Ini'!$DH:$DH,'Area-Cabang'!$E52,'CWO Bulan Ini'!$CZ:$CZ,'Area-Cabang'!CQ$41)</f>
        <v>0</v>
      </c>
      <c r="CR52" s="42">
        <f>SUMIFS('CWO Bulan Ini'!$DC:$DC,'CWO Bulan Ini'!$DJ:$DJ,'Area-Cabang'!$B52,'CWO Bulan Ini'!$DH:$DH,'Area-Cabang'!$E52,'CWO Bulan Ini'!$CZ:$CZ,'Area-Cabang'!CR$41)</f>
        <v>0</v>
      </c>
      <c r="CS52" s="42">
        <f>SUMIFS('CWO Bulan Ini'!$DC:$DC,'CWO Bulan Ini'!$DJ:$DJ,'Area-Cabang'!$B52,'CWO Bulan Ini'!$DH:$DH,'Area-Cabang'!$E52,'CWO Bulan Ini'!$CZ:$CZ,'Area-Cabang'!CS$41)</f>
        <v>0</v>
      </c>
      <c r="CT52" s="43">
        <f>SUMIFS('CWO Bulan Ini'!$DC:$DC,'CWO Bulan Ini'!$DJ:$DJ,'Area-Cabang'!$B52,'CWO Bulan Ini'!$DH:$DH,'Area-Cabang'!$E52,'CWO Bulan Ini'!$CZ:$CZ,'Area-Cabang'!CT$41)</f>
        <v>0</v>
      </c>
      <c r="CV52" s="96">
        <f t="shared" si="1290"/>
        <v>0</v>
      </c>
      <c r="CW52" s="93">
        <f t="shared" si="1291"/>
        <v>0</v>
      </c>
      <c r="CX52" s="93">
        <f t="shared" si="1292"/>
        <v>0</v>
      </c>
      <c r="CY52" s="93">
        <f t="shared" si="1293"/>
        <v>0</v>
      </c>
      <c r="CZ52" s="106">
        <f t="shared" si="1294"/>
        <v>0</v>
      </c>
    </row>
    <row r="53" spans="1:104" ht="15" customHeight="1" x14ac:dyDescent="0.25">
      <c r="A53" s="58" t="s">
        <v>465</v>
      </c>
      <c r="B53" s="53" t="s">
        <v>811</v>
      </c>
      <c r="C53" s="250"/>
      <c r="D53" s="227" t="s">
        <v>811</v>
      </c>
      <c r="E53" s="228"/>
      <c r="F53" s="219">
        <f t="shared" ref="F53" si="1295">SUM(F51:F52)</f>
        <v>0</v>
      </c>
      <c r="G53" s="220">
        <f t="shared" ref="G53" si="1296">SUM(G51:G52)</f>
        <v>0</v>
      </c>
      <c r="H53" s="220">
        <f t="shared" ref="H53" si="1297">SUM(H51:H52)</f>
        <v>0</v>
      </c>
      <c r="I53" s="220">
        <f t="shared" ref="I53" si="1298">SUM(I51:I52)</f>
        <v>24.977815320000001</v>
      </c>
      <c r="J53" s="220">
        <f t="shared" ref="J53" si="1299">SUM(J51:J52)</f>
        <v>0</v>
      </c>
      <c r="K53" s="220">
        <f t="shared" ref="K53" si="1300">SUM(K51:K52)</f>
        <v>0</v>
      </c>
      <c r="L53" s="220">
        <f t="shared" ref="L53" si="1301">SUM(L51:L52)</f>
        <v>0</v>
      </c>
      <c r="M53" s="220">
        <f t="shared" ref="M53" si="1302">SUM(M51:M52)</f>
        <v>0</v>
      </c>
      <c r="N53" s="220">
        <f t="shared" ref="N53" si="1303">SUM(N51:N52)</f>
        <v>0</v>
      </c>
      <c r="O53" s="220">
        <f t="shared" ref="O53" si="1304">SUM(O51:O52)</f>
        <v>0</v>
      </c>
      <c r="P53" s="220">
        <f t="shared" ref="P53" si="1305">SUM(P51:P52)</f>
        <v>0</v>
      </c>
      <c r="Q53" s="220">
        <f t="shared" ref="Q53" si="1306">SUM(Q51:Q52)</f>
        <v>0</v>
      </c>
      <c r="R53" s="220">
        <f t="shared" ref="R53" si="1307">SUM(R51:R52)</f>
        <v>0</v>
      </c>
      <c r="S53" s="220">
        <f t="shared" ref="S53" si="1308">SUM(S51:S52)</f>
        <v>0</v>
      </c>
      <c r="T53" s="220">
        <f t="shared" ref="T53" si="1309">SUM(T51:T52)</f>
        <v>0</v>
      </c>
      <c r="U53" s="220">
        <f t="shared" ref="U53" si="1310">SUM(U51:U52)</f>
        <v>0</v>
      </c>
      <c r="V53" s="220">
        <f t="shared" ref="V53" si="1311">SUM(V51:V52)</f>
        <v>0</v>
      </c>
      <c r="W53" s="220">
        <f t="shared" ref="W53" si="1312">SUM(W51:W52)</f>
        <v>0</v>
      </c>
      <c r="X53" s="220">
        <f t="shared" ref="X53" si="1313">SUM(X51:X52)</f>
        <v>0</v>
      </c>
      <c r="Y53" s="220">
        <f t="shared" ref="Y53" si="1314">SUM(Y51:Y52)</f>
        <v>0</v>
      </c>
      <c r="Z53" s="220">
        <f t="shared" ref="Z53" si="1315">SUM(Z51:Z52)</f>
        <v>0</v>
      </c>
      <c r="AA53" s="220">
        <f t="shared" ref="AA53" si="1316">SUM(AA51:AA52)</f>
        <v>0</v>
      </c>
      <c r="AB53" s="220">
        <f t="shared" ref="AB53" si="1317">SUM(AB51:AB52)</f>
        <v>0</v>
      </c>
      <c r="AC53" s="220">
        <f t="shared" ref="AC53" si="1318">SUM(AC51:AC52)</f>
        <v>0</v>
      </c>
      <c r="AD53" s="220">
        <f t="shared" ref="AD53" si="1319">SUM(AD51:AD52)</f>
        <v>0</v>
      </c>
      <c r="AE53" s="220">
        <f t="shared" ref="AE53" si="1320">SUM(AE51:AE52)</f>
        <v>0</v>
      </c>
      <c r="AF53" s="220">
        <f t="shared" ref="AF53" si="1321">SUM(AF51:AF52)</f>
        <v>0</v>
      </c>
      <c r="AG53" s="220">
        <f t="shared" ref="AG53" si="1322">SUM(AG51:AG52)</f>
        <v>0</v>
      </c>
      <c r="AH53" s="220">
        <f t="shared" ref="AH53" si="1323">SUM(AH51:AH52)</f>
        <v>0</v>
      </c>
      <c r="AI53" s="220">
        <f t="shared" ref="AI53" si="1324">SUM(AI51:AI52)</f>
        <v>0</v>
      </c>
      <c r="AJ53" s="220">
        <f t="shared" ref="AJ53" si="1325">SUM(AJ51:AJ52)</f>
        <v>0</v>
      </c>
      <c r="AK53" s="219">
        <f t="shared" ref="AK53" si="1326">SUM(AK51:AK52)</f>
        <v>0</v>
      </c>
      <c r="AL53" s="220">
        <f t="shared" ref="AL53" si="1327">SUM(AL51:AL52)</f>
        <v>0</v>
      </c>
      <c r="AM53" s="220">
        <f t="shared" ref="AM53" si="1328">SUM(AM51:AM52)</f>
        <v>0</v>
      </c>
      <c r="AN53" s="220">
        <f t="shared" ref="AN53" si="1329">SUM(AN51:AN52)</f>
        <v>24.977815320000001</v>
      </c>
      <c r="AO53" s="220">
        <f t="shared" ref="AO53" si="1330">SUM(AO51:AO52)</f>
        <v>0</v>
      </c>
      <c r="AP53" s="220">
        <f t="shared" ref="AP53" si="1331">SUM(AP51:AP52)</f>
        <v>0</v>
      </c>
      <c r="AQ53" s="220">
        <f t="shared" ref="AQ53" si="1332">SUM(AQ51:AQ52)</f>
        <v>0</v>
      </c>
      <c r="AR53" s="220">
        <f t="shared" ref="AR53" si="1333">SUM(AR51:AR52)</f>
        <v>0</v>
      </c>
      <c r="AS53" s="220">
        <f t="shared" ref="AS53" si="1334">SUM(AS51:AS52)</f>
        <v>0</v>
      </c>
      <c r="AT53" s="220">
        <f t="shared" ref="AT53" si="1335">SUM(AT51:AT52)</f>
        <v>0</v>
      </c>
      <c r="AU53" s="220">
        <f t="shared" ref="AU53" si="1336">SUM(AU51:AU52)</f>
        <v>0</v>
      </c>
      <c r="AV53" s="220">
        <f t="shared" ref="AV53" si="1337">SUM(AV51:AV52)</f>
        <v>0</v>
      </c>
      <c r="AW53" s="220">
        <f t="shared" ref="AW53" si="1338">SUM(AW51:AW52)</f>
        <v>0</v>
      </c>
      <c r="AX53" s="220">
        <f t="shared" ref="AX53" si="1339">SUM(AX51:AX52)</f>
        <v>0</v>
      </c>
      <c r="AY53" s="220">
        <f t="shared" ref="AY53" si="1340">SUM(AY51:AY52)</f>
        <v>0</v>
      </c>
      <c r="AZ53" s="220">
        <f t="shared" ref="AZ53" si="1341">SUM(AZ51:AZ52)</f>
        <v>0</v>
      </c>
      <c r="BA53" s="220">
        <f t="shared" ref="BA53" si="1342">SUM(BA51:BA52)</f>
        <v>0</v>
      </c>
      <c r="BB53" s="220">
        <f t="shared" ref="BB53" si="1343">SUM(BB51:BB52)</f>
        <v>0</v>
      </c>
      <c r="BC53" s="220">
        <f t="shared" ref="BC53" si="1344">SUM(BC51:BC52)</f>
        <v>0</v>
      </c>
      <c r="BD53" s="220">
        <f t="shared" ref="BD53" si="1345">SUM(BD51:BD52)</f>
        <v>0</v>
      </c>
      <c r="BE53" s="220">
        <f t="shared" ref="BE53" si="1346">SUM(BE51:BE52)</f>
        <v>0</v>
      </c>
      <c r="BF53" s="220">
        <f t="shared" ref="BF53" si="1347">SUM(BF51:BF52)</f>
        <v>0</v>
      </c>
      <c r="BG53" s="220">
        <f t="shared" ref="BG53" si="1348">SUM(BG51:BG52)</f>
        <v>0</v>
      </c>
      <c r="BH53" s="220">
        <f t="shared" ref="BH53" si="1349">SUM(BH51:BH52)</f>
        <v>0</v>
      </c>
      <c r="BI53" s="220">
        <f t="shared" ref="BI53" si="1350">SUM(BI51:BI52)</f>
        <v>0</v>
      </c>
      <c r="BJ53" s="220">
        <f t="shared" ref="BJ53" si="1351">SUM(BJ51:BJ52)</f>
        <v>0</v>
      </c>
      <c r="BK53" s="220">
        <f t="shared" ref="BK53" si="1352">SUM(BK51:BK52)</f>
        <v>0</v>
      </c>
      <c r="BL53" s="220">
        <f t="shared" ref="BL53" si="1353">SUM(BL51:BL52)</f>
        <v>0</v>
      </c>
      <c r="BM53" s="220">
        <f t="shared" ref="BM53" si="1354">SUM(BM51:BM52)</f>
        <v>0</v>
      </c>
      <c r="BN53" s="220">
        <f t="shared" ref="BN53" si="1355">SUM(BN51:BN52)</f>
        <v>0</v>
      </c>
      <c r="BO53" s="221">
        <f t="shared" ref="BO53" si="1356">SUM(BO51:BO52)</f>
        <v>0</v>
      </c>
      <c r="BP53" s="219">
        <f t="shared" ref="BP53" si="1357">SUM(BP51:BP52)</f>
        <v>0</v>
      </c>
      <c r="BQ53" s="220">
        <f t="shared" ref="BQ53" si="1358">SUM(BQ51:BQ52)</f>
        <v>0</v>
      </c>
      <c r="BR53" s="220">
        <f t="shared" ref="BR53" si="1359">SUM(BR51:BR52)</f>
        <v>0</v>
      </c>
      <c r="BS53" s="220">
        <f t="shared" ref="BS53" si="1360">SUM(BS51:BS52)</f>
        <v>0</v>
      </c>
      <c r="BT53" s="220">
        <f t="shared" ref="BT53" si="1361">SUM(BT51:BT52)</f>
        <v>0</v>
      </c>
      <c r="BU53" s="220">
        <f t="shared" ref="BU53" si="1362">SUM(BU51:BU52)</f>
        <v>0</v>
      </c>
      <c r="BV53" s="220">
        <f t="shared" ref="BV53" si="1363">SUM(BV51:BV52)</f>
        <v>0</v>
      </c>
      <c r="BW53" s="220">
        <f t="shared" ref="BW53" si="1364">SUM(BW51:BW52)</f>
        <v>0</v>
      </c>
      <c r="BX53" s="220">
        <f t="shared" ref="BX53" si="1365">SUM(BX51:BX52)</f>
        <v>0</v>
      </c>
      <c r="BY53" s="220">
        <f t="shared" ref="BY53" si="1366">SUM(BY51:BY52)</f>
        <v>0</v>
      </c>
      <c r="BZ53" s="220">
        <f t="shared" ref="BZ53" si="1367">SUM(BZ51:BZ52)</f>
        <v>0</v>
      </c>
      <c r="CA53" s="220">
        <f t="shared" ref="CA53" si="1368">SUM(CA51:CA52)</f>
        <v>0</v>
      </c>
      <c r="CB53" s="220">
        <f t="shared" ref="CB53" si="1369">SUM(CB51:CB52)</f>
        <v>0</v>
      </c>
      <c r="CC53" s="220">
        <f t="shared" ref="CC53" si="1370">SUM(CC51:CC52)</f>
        <v>0</v>
      </c>
      <c r="CD53" s="220">
        <f t="shared" ref="CD53" si="1371">SUM(CD51:CD52)</f>
        <v>0</v>
      </c>
      <c r="CE53" s="220">
        <f t="shared" ref="CE53" si="1372">SUM(CE51:CE52)</f>
        <v>0</v>
      </c>
      <c r="CF53" s="220">
        <f t="shared" ref="CF53" si="1373">SUM(CF51:CF52)</f>
        <v>0</v>
      </c>
      <c r="CG53" s="220">
        <f t="shared" ref="CG53" si="1374">SUM(CG51:CG52)</f>
        <v>0</v>
      </c>
      <c r="CH53" s="220">
        <f t="shared" ref="CH53" si="1375">SUM(CH51:CH52)</f>
        <v>0</v>
      </c>
      <c r="CI53" s="220">
        <f t="shared" ref="CI53" si="1376">SUM(CI51:CI52)</f>
        <v>0</v>
      </c>
      <c r="CJ53" s="220">
        <f t="shared" ref="CJ53" si="1377">SUM(CJ51:CJ52)</f>
        <v>0</v>
      </c>
      <c r="CK53" s="220">
        <f t="shared" ref="CK53" si="1378">SUM(CK51:CK52)</f>
        <v>0</v>
      </c>
      <c r="CL53" s="220">
        <f t="shared" ref="CL53" si="1379">SUM(CL51:CL52)</f>
        <v>0</v>
      </c>
      <c r="CM53" s="220">
        <f t="shared" ref="CM53" si="1380">SUM(CM51:CM52)</f>
        <v>0</v>
      </c>
      <c r="CN53" s="220">
        <f t="shared" ref="CN53" si="1381">SUM(CN51:CN52)</f>
        <v>0</v>
      </c>
      <c r="CO53" s="220">
        <f t="shared" ref="CO53" si="1382">SUM(CO51:CO52)</f>
        <v>0</v>
      </c>
      <c r="CP53" s="220">
        <f t="shared" ref="CP53" si="1383">SUM(CP51:CP52)</f>
        <v>0</v>
      </c>
      <c r="CQ53" s="220">
        <f t="shared" ref="CQ53" si="1384">SUM(CQ51:CQ52)</f>
        <v>0</v>
      </c>
      <c r="CR53" s="220">
        <f t="shared" ref="CR53" si="1385">SUM(CR51:CR52)</f>
        <v>0</v>
      </c>
      <c r="CS53" s="220">
        <f t="shared" ref="CS53" si="1386">SUM(CS51:CS52)</f>
        <v>0</v>
      </c>
      <c r="CT53" s="221">
        <f t="shared" ref="CT53" si="1387">SUM(CT51:CT52)</f>
        <v>0</v>
      </c>
      <c r="CU53" s="226"/>
      <c r="CV53" s="219">
        <f t="shared" ref="CV53" si="1388">SUM(CV51:CV52)</f>
        <v>24.977815320000001</v>
      </c>
      <c r="CW53" s="220">
        <f t="shared" ref="CW53" si="1389">SUM(CW51:CW52)</f>
        <v>24.977815320000001</v>
      </c>
      <c r="CX53" s="220">
        <f t="shared" ref="CX53" si="1390">SUM(CX51:CX52)</f>
        <v>0</v>
      </c>
      <c r="CY53" s="220">
        <f t="shared" ref="CY53" si="1391">SUM(CY51:CY52)</f>
        <v>0</v>
      </c>
      <c r="CZ53" s="222">
        <f t="shared" ref="CZ53" si="1392">SUM(CZ51:CZ52)</f>
        <v>24.977815320000001</v>
      </c>
    </row>
    <row r="54" spans="1:104" ht="15" customHeight="1" x14ac:dyDescent="0.25">
      <c r="A54" s="58" t="s">
        <v>465</v>
      </c>
      <c r="B54" s="53" t="s">
        <v>13</v>
      </c>
      <c r="C54" s="250"/>
      <c r="D54" s="245" t="s">
        <v>13</v>
      </c>
      <c r="E54" s="85" t="s">
        <v>132</v>
      </c>
      <c r="F54" s="55">
        <f>SUMIFS('CWO Bulan Ini'!$DA:$DA,'CWO Bulan Ini'!$DJ:$DJ,'Area-Cabang'!$B54,'CWO Bulan Ini'!$DH:$DH,'Area-Cabang'!$E54,'CWO Bulan Ini'!$CZ:$CZ,'Area-Cabang'!F$41)</f>
        <v>0</v>
      </c>
      <c r="G54" s="56">
        <f>SUMIFS('CWO Bulan Ini'!$DA:$DA,'CWO Bulan Ini'!$DJ:$DJ,'Area-Cabang'!$B54,'CWO Bulan Ini'!$DH:$DH,'Area-Cabang'!$E54,'CWO Bulan Ini'!$CZ:$CZ,'Area-Cabang'!G$41)</f>
        <v>0</v>
      </c>
      <c r="H54" s="56">
        <f>SUMIFS('CWO Bulan Ini'!$DA:$DA,'CWO Bulan Ini'!$DJ:$DJ,'Area-Cabang'!$B54,'CWO Bulan Ini'!$DH:$DH,'Area-Cabang'!$E54,'CWO Bulan Ini'!$CZ:$CZ,'Area-Cabang'!H$41)</f>
        <v>0</v>
      </c>
      <c r="I54" s="56">
        <f>SUMIFS('CWO Bulan Ini'!$DA:$DA,'CWO Bulan Ini'!$DJ:$DJ,'Area-Cabang'!$B54,'CWO Bulan Ini'!$DH:$DH,'Area-Cabang'!$E54,'CWO Bulan Ini'!$CZ:$CZ,'Area-Cabang'!I$41)</f>
        <v>0</v>
      </c>
      <c r="J54" s="56">
        <f>SUMIFS('CWO Bulan Ini'!$DA:$DA,'CWO Bulan Ini'!$DJ:$DJ,'Area-Cabang'!$B54,'CWO Bulan Ini'!$DH:$DH,'Area-Cabang'!$E54,'CWO Bulan Ini'!$CZ:$CZ,'Area-Cabang'!J$41)</f>
        <v>0</v>
      </c>
      <c r="K54" s="56">
        <f>SUMIFS('CWO Bulan Ini'!$DA:$DA,'CWO Bulan Ini'!$DJ:$DJ,'Area-Cabang'!$B54,'CWO Bulan Ini'!$DH:$DH,'Area-Cabang'!$E54,'CWO Bulan Ini'!$CZ:$CZ,'Area-Cabang'!K$41)</f>
        <v>0</v>
      </c>
      <c r="L54" s="56">
        <f>SUMIFS('CWO Bulan Ini'!$DA:$DA,'CWO Bulan Ini'!$DJ:$DJ,'Area-Cabang'!$B54,'CWO Bulan Ini'!$DH:$DH,'Area-Cabang'!$E54,'CWO Bulan Ini'!$CZ:$CZ,'Area-Cabang'!L$41)</f>
        <v>0</v>
      </c>
      <c r="M54" s="56">
        <f>SUMIFS('CWO Bulan Ini'!$DA:$DA,'CWO Bulan Ini'!$DJ:$DJ,'Area-Cabang'!$B54,'CWO Bulan Ini'!$DH:$DH,'Area-Cabang'!$E54,'CWO Bulan Ini'!$CZ:$CZ,'Area-Cabang'!M$41)</f>
        <v>0</v>
      </c>
      <c r="N54" s="56">
        <f>SUMIFS('CWO Bulan Ini'!$DA:$DA,'CWO Bulan Ini'!$DJ:$DJ,'Area-Cabang'!$B54,'CWO Bulan Ini'!$DH:$DH,'Area-Cabang'!$E54,'CWO Bulan Ini'!$CZ:$CZ,'Area-Cabang'!N$41)</f>
        <v>0</v>
      </c>
      <c r="O54" s="56">
        <f>SUMIFS('CWO Bulan Ini'!$DA:$DA,'CWO Bulan Ini'!$DJ:$DJ,'Area-Cabang'!$B54,'CWO Bulan Ini'!$DH:$DH,'Area-Cabang'!$E54,'CWO Bulan Ini'!$CZ:$CZ,'Area-Cabang'!O$41)</f>
        <v>0</v>
      </c>
      <c r="P54" s="56">
        <f>SUMIFS('CWO Bulan Ini'!$DA:$DA,'CWO Bulan Ini'!$DJ:$DJ,'Area-Cabang'!$B54,'CWO Bulan Ini'!$DH:$DH,'Area-Cabang'!$E54,'CWO Bulan Ini'!$CZ:$CZ,'Area-Cabang'!P$41)</f>
        <v>0</v>
      </c>
      <c r="Q54" s="56">
        <f>SUMIFS('CWO Bulan Ini'!$DA:$DA,'CWO Bulan Ini'!$DJ:$DJ,'Area-Cabang'!$B54,'CWO Bulan Ini'!$DH:$DH,'Area-Cabang'!$E54,'CWO Bulan Ini'!$CZ:$CZ,'Area-Cabang'!Q$41)</f>
        <v>0</v>
      </c>
      <c r="R54" s="56">
        <f>SUMIFS('CWO Bulan Ini'!$DA:$DA,'CWO Bulan Ini'!$DJ:$DJ,'Area-Cabang'!$B54,'CWO Bulan Ini'!$DH:$DH,'Area-Cabang'!$E54,'CWO Bulan Ini'!$CZ:$CZ,'Area-Cabang'!R$41)</f>
        <v>0</v>
      </c>
      <c r="S54" s="56">
        <f>SUMIFS('CWO Bulan Ini'!$DA:$DA,'CWO Bulan Ini'!$DJ:$DJ,'Area-Cabang'!$B54,'CWO Bulan Ini'!$DH:$DH,'Area-Cabang'!$E54,'CWO Bulan Ini'!$CZ:$CZ,'Area-Cabang'!S$41)</f>
        <v>0</v>
      </c>
      <c r="T54" s="56">
        <f>SUMIFS('CWO Bulan Ini'!$DA:$DA,'CWO Bulan Ini'!$DJ:$DJ,'Area-Cabang'!$B54,'CWO Bulan Ini'!$DH:$DH,'Area-Cabang'!$E54,'CWO Bulan Ini'!$CZ:$CZ,'Area-Cabang'!T$41)</f>
        <v>0</v>
      </c>
      <c r="U54" s="56">
        <f>SUMIFS('CWO Bulan Ini'!$DA:$DA,'CWO Bulan Ini'!$DJ:$DJ,'Area-Cabang'!$B54,'CWO Bulan Ini'!$DH:$DH,'Area-Cabang'!$E54,'CWO Bulan Ini'!$CZ:$CZ,'Area-Cabang'!U$41)</f>
        <v>0</v>
      </c>
      <c r="V54" s="56">
        <f>SUMIFS('CWO Bulan Ini'!$DA:$DA,'CWO Bulan Ini'!$DJ:$DJ,'Area-Cabang'!$B54,'CWO Bulan Ini'!$DH:$DH,'Area-Cabang'!$E54,'CWO Bulan Ini'!$CZ:$CZ,'Area-Cabang'!V$41)</f>
        <v>0</v>
      </c>
      <c r="W54" s="56">
        <f>SUMIFS('CWO Bulan Ini'!$DA:$DA,'CWO Bulan Ini'!$DJ:$DJ,'Area-Cabang'!$B54,'CWO Bulan Ini'!$DH:$DH,'Area-Cabang'!$E54,'CWO Bulan Ini'!$CZ:$CZ,'Area-Cabang'!W$41)</f>
        <v>0</v>
      </c>
      <c r="X54" s="56">
        <f>SUMIFS('CWO Bulan Ini'!$DA:$DA,'CWO Bulan Ini'!$DJ:$DJ,'Area-Cabang'!$B54,'CWO Bulan Ini'!$DH:$DH,'Area-Cabang'!$E54,'CWO Bulan Ini'!$CZ:$CZ,'Area-Cabang'!X$41)</f>
        <v>0</v>
      </c>
      <c r="Y54" s="56">
        <f>SUMIFS('CWO Bulan Ini'!$DA:$DA,'CWO Bulan Ini'!$DJ:$DJ,'Area-Cabang'!$B54,'CWO Bulan Ini'!$DH:$DH,'Area-Cabang'!$E54,'CWO Bulan Ini'!$CZ:$CZ,'Area-Cabang'!Y$41)</f>
        <v>0</v>
      </c>
      <c r="Z54" s="56">
        <f>SUMIFS('CWO Bulan Ini'!$DA:$DA,'CWO Bulan Ini'!$DJ:$DJ,'Area-Cabang'!$B54,'CWO Bulan Ini'!$DH:$DH,'Area-Cabang'!$E54,'CWO Bulan Ini'!$CZ:$CZ,'Area-Cabang'!Z$41)</f>
        <v>0</v>
      </c>
      <c r="AA54" s="56">
        <f>SUMIFS('CWO Bulan Ini'!$DA:$DA,'CWO Bulan Ini'!$DJ:$DJ,'Area-Cabang'!$B54,'CWO Bulan Ini'!$DH:$DH,'Area-Cabang'!$E54,'CWO Bulan Ini'!$CZ:$CZ,'Area-Cabang'!AA$41)</f>
        <v>0</v>
      </c>
      <c r="AB54" s="56">
        <f>SUMIFS('CWO Bulan Ini'!$DA:$DA,'CWO Bulan Ini'!$DJ:$DJ,'Area-Cabang'!$B54,'CWO Bulan Ini'!$DH:$DH,'Area-Cabang'!$E54,'CWO Bulan Ini'!$CZ:$CZ,'Area-Cabang'!AB$41)</f>
        <v>0</v>
      </c>
      <c r="AC54" s="56">
        <f>SUMIFS('CWO Bulan Ini'!$DA:$DA,'CWO Bulan Ini'!$DJ:$DJ,'Area-Cabang'!$B54,'CWO Bulan Ini'!$DH:$DH,'Area-Cabang'!$E54,'CWO Bulan Ini'!$CZ:$CZ,'Area-Cabang'!AC$41)</f>
        <v>0</v>
      </c>
      <c r="AD54" s="56">
        <f>SUMIFS('CWO Bulan Ini'!$DA:$DA,'CWO Bulan Ini'!$DJ:$DJ,'Area-Cabang'!$B54,'CWO Bulan Ini'!$DH:$DH,'Area-Cabang'!$E54,'CWO Bulan Ini'!$CZ:$CZ,'Area-Cabang'!AD$41)</f>
        <v>0</v>
      </c>
      <c r="AE54" s="56">
        <f>SUMIFS('CWO Bulan Ini'!$DA:$DA,'CWO Bulan Ini'!$DJ:$DJ,'Area-Cabang'!$B54,'CWO Bulan Ini'!$DH:$DH,'Area-Cabang'!$E54,'CWO Bulan Ini'!$CZ:$CZ,'Area-Cabang'!AE$41)</f>
        <v>0</v>
      </c>
      <c r="AF54" s="56">
        <f>SUMIFS('CWO Bulan Ini'!$DA:$DA,'CWO Bulan Ini'!$DJ:$DJ,'Area-Cabang'!$B54,'CWO Bulan Ini'!$DH:$DH,'Area-Cabang'!$E54,'CWO Bulan Ini'!$CZ:$CZ,'Area-Cabang'!AF$41)</f>
        <v>0</v>
      </c>
      <c r="AG54" s="56">
        <f>SUMIFS('CWO Bulan Ini'!$DA:$DA,'CWO Bulan Ini'!$DJ:$DJ,'Area-Cabang'!$B54,'CWO Bulan Ini'!$DH:$DH,'Area-Cabang'!$E54,'CWO Bulan Ini'!$CZ:$CZ,'Area-Cabang'!AG$41)</f>
        <v>0</v>
      </c>
      <c r="AH54" s="56">
        <f>SUMIFS('CWO Bulan Ini'!$DA:$DA,'CWO Bulan Ini'!$DJ:$DJ,'Area-Cabang'!$B54,'CWO Bulan Ini'!$DH:$DH,'Area-Cabang'!$E54,'CWO Bulan Ini'!$CZ:$CZ,'Area-Cabang'!AH$41)</f>
        <v>0</v>
      </c>
      <c r="AI54" s="56">
        <f>SUMIFS('CWO Bulan Ini'!$DA:$DA,'CWO Bulan Ini'!$DJ:$DJ,'Area-Cabang'!$B54,'CWO Bulan Ini'!$DH:$DH,'Area-Cabang'!$E54,'CWO Bulan Ini'!$CZ:$CZ,'Area-Cabang'!AI$41)</f>
        <v>0</v>
      </c>
      <c r="AJ54" s="56">
        <f>SUMIFS('CWO Bulan Ini'!$DA:$DA,'CWO Bulan Ini'!$DJ:$DJ,'Area-Cabang'!$B54,'CWO Bulan Ini'!$DH:$DH,'Area-Cabang'!$E54,'CWO Bulan Ini'!$CZ:$CZ,'Area-Cabang'!AJ$41)</f>
        <v>0</v>
      </c>
      <c r="AK54" s="55">
        <f>SUMIFS('CWO Bulan Ini'!$DD:$DD,'CWO Bulan Ini'!$DJ:$DJ,'Area-Cabang'!$B54,'CWO Bulan Ini'!$DH:$DH,'Area-Cabang'!$E54,'CWO Bulan Ini'!$CZ:$CZ,'Area-Cabang'!AK$41)</f>
        <v>0</v>
      </c>
      <c r="AL54" s="56">
        <f>SUMIFS('CWO Bulan Ini'!$DD:$DD,'CWO Bulan Ini'!$DJ:$DJ,'Area-Cabang'!$B54,'CWO Bulan Ini'!$DH:$DH,'Area-Cabang'!$E54,'CWO Bulan Ini'!$CZ:$CZ,'Area-Cabang'!AL$41)</f>
        <v>0</v>
      </c>
      <c r="AM54" s="56">
        <f>SUMIFS('CWO Bulan Ini'!$DD:$DD,'CWO Bulan Ini'!$DJ:$DJ,'Area-Cabang'!$B54,'CWO Bulan Ini'!$DH:$DH,'Area-Cabang'!$E54,'CWO Bulan Ini'!$CZ:$CZ,'Area-Cabang'!AM$41)</f>
        <v>0</v>
      </c>
      <c r="AN54" s="56">
        <f>SUMIFS('CWO Bulan Ini'!$DD:$DD,'CWO Bulan Ini'!$DJ:$DJ,'Area-Cabang'!$B54,'CWO Bulan Ini'!$DH:$DH,'Area-Cabang'!$E54,'CWO Bulan Ini'!$CZ:$CZ,'Area-Cabang'!AN$41)</f>
        <v>0</v>
      </c>
      <c r="AO54" s="56">
        <f>SUMIFS('CWO Bulan Ini'!$DD:$DD,'CWO Bulan Ini'!$DJ:$DJ,'Area-Cabang'!$B54,'CWO Bulan Ini'!$DH:$DH,'Area-Cabang'!$E54,'CWO Bulan Ini'!$CZ:$CZ,'Area-Cabang'!AO$41)</f>
        <v>0</v>
      </c>
      <c r="AP54" s="56">
        <f>SUMIFS('CWO Bulan Ini'!$DD:$DD,'CWO Bulan Ini'!$DJ:$DJ,'Area-Cabang'!$B54,'CWO Bulan Ini'!$DH:$DH,'Area-Cabang'!$E54,'CWO Bulan Ini'!$CZ:$CZ,'Area-Cabang'!AP$41)</f>
        <v>0</v>
      </c>
      <c r="AQ54" s="56">
        <f>SUMIFS('CWO Bulan Ini'!$DD:$DD,'CWO Bulan Ini'!$DJ:$DJ,'Area-Cabang'!$B54,'CWO Bulan Ini'!$DH:$DH,'Area-Cabang'!$E54,'CWO Bulan Ini'!$CZ:$CZ,'Area-Cabang'!AQ$41)</f>
        <v>0</v>
      </c>
      <c r="AR54" s="56">
        <f>SUMIFS('CWO Bulan Ini'!$DD:$DD,'CWO Bulan Ini'!$DJ:$DJ,'Area-Cabang'!$B54,'CWO Bulan Ini'!$DH:$DH,'Area-Cabang'!$E54,'CWO Bulan Ini'!$CZ:$CZ,'Area-Cabang'!AR$41)</f>
        <v>0</v>
      </c>
      <c r="AS54" s="56">
        <f>SUMIFS('CWO Bulan Ini'!$DD:$DD,'CWO Bulan Ini'!$DJ:$DJ,'Area-Cabang'!$B54,'CWO Bulan Ini'!$DH:$DH,'Area-Cabang'!$E54,'CWO Bulan Ini'!$CZ:$CZ,'Area-Cabang'!AS$41)</f>
        <v>0</v>
      </c>
      <c r="AT54" s="56">
        <f>SUMIFS('CWO Bulan Ini'!$DD:$DD,'CWO Bulan Ini'!$DJ:$DJ,'Area-Cabang'!$B54,'CWO Bulan Ini'!$DH:$DH,'Area-Cabang'!$E54,'CWO Bulan Ini'!$CZ:$CZ,'Area-Cabang'!AT$41)</f>
        <v>0</v>
      </c>
      <c r="AU54" s="56">
        <f>SUMIFS('CWO Bulan Ini'!$DD:$DD,'CWO Bulan Ini'!$DJ:$DJ,'Area-Cabang'!$B54,'CWO Bulan Ini'!$DH:$DH,'Area-Cabang'!$E54,'CWO Bulan Ini'!$CZ:$CZ,'Area-Cabang'!AU$41)</f>
        <v>0</v>
      </c>
      <c r="AV54" s="56">
        <f>SUMIFS('CWO Bulan Ini'!$DD:$DD,'CWO Bulan Ini'!$DJ:$DJ,'Area-Cabang'!$B54,'CWO Bulan Ini'!$DH:$DH,'Area-Cabang'!$E54,'CWO Bulan Ini'!$CZ:$CZ,'Area-Cabang'!AV$41)</f>
        <v>0</v>
      </c>
      <c r="AW54" s="56">
        <f>SUMIFS('CWO Bulan Ini'!$DD:$DD,'CWO Bulan Ini'!$DJ:$DJ,'Area-Cabang'!$B54,'CWO Bulan Ini'!$DH:$DH,'Area-Cabang'!$E54,'CWO Bulan Ini'!$CZ:$CZ,'Area-Cabang'!AW$41)</f>
        <v>0</v>
      </c>
      <c r="AX54" s="56">
        <f>SUMIFS('CWO Bulan Ini'!$DD:$DD,'CWO Bulan Ini'!$DJ:$DJ,'Area-Cabang'!$B54,'CWO Bulan Ini'!$DH:$DH,'Area-Cabang'!$E54,'CWO Bulan Ini'!$CZ:$CZ,'Area-Cabang'!AX$41)</f>
        <v>0</v>
      </c>
      <c r="AY54" s="56">
        <f>SUMIFS('CWO Bulan Ini'!$DD:$DD,'CWO Bulan Ini'!$DJ:$DJ,'Area-Cabang'!$B54,'CWO Bulan Ini'!$DH:$DH,'Area-Cabang'!$E54,'CWO Bulan Ini'!$CZ:$CZ,'Area-Cabang'!AY$41)</f>
        <v>0</v>
      </c>
      <c r="AZ54" s="56">
        <f>SUMIFS('CWO Bulan Ini'!$DD:$DD,'CWO Bulan Ini'!$DJ:$DJ,'Area-Cabang'!$B54,'CWO Bulan Ini'!$DH:$DH,'Area-Cabang'!$E54,'CWO Bulan Ini'!$CZ:$CZ,'Area-Cabang'!AZ$41)</f>
        <v>0</v>
      </c>
      <c r="BA54" s="56">
        <f>SUMIFS('CWO Bulan Ini'!$DD:$DD,'CWO Bulan Ini'!$DJ:$DJ,'Area-Cabang'!$B54,'CWO Bulan Ini'!$DH:$DH,'Area-Cabang'!$E54,'CWO Bulan Ini'!$CZ:$CZ,'Area-Cabang'!BA$41)</f>
        <v>0</v>
      </c>
      <c r="BB54" s="56">
        <f>SUMIFS('CWO Bulan Ini'!$DD:$DD,'CWO Bulan Ini'!$DJ:$DJ,'Area-Cabang'!$B54,'CWO Bulan Ini'!$DH:$DH,'Area-Cabang'!$E54,'CWO Bulan Ini'!$CZ:$CZ,'Area-Cabang'!BB$41)</f>
        <v>0</v>
      </c>
      <c r="BC54" s="56">
        <f>SUMIFS('CWO Bulan Ini'!$DD:$DD,'CWO Bulan Ini'!$DJ:$DJ,'Area-Cabang'!$B54,'CWO Bulan Ini'!$DH:$DH,'Area-Cabang'!$E54,'CWO Bulan Ini'!$CZ:$CZ,'Area-Cabang'!BC$41)</f>
        <v>0</v>
      </c>
      <c r="BD54" s="56">
        <f>SUMIFS('CWO Bulan Ini'!$DD:$DD,'CWO Bulan Ini'!$DJ:$DJ,'Area-Cabang'!$B54,'CWO Bulan Ini'!$DH:$DH,'Area-Cabang'!$E54,'CWO Bulan Ini'!$CZ:$CZ,'Area-Cabang'!BD$41)</f>
        <v>0</v>
      </c>
      <c r="BE54" s="56">
        <f>SUMIFS('CWO Bulan Ini'!$DD:$DD,'CWO Bulan Ini'!$DJ:$DJ,'Area-Cabang'!$B54,'CWO Bulan Ini'!$DH:$DH,'Area-Cabang'!$E54,'CWO Bulan Ini'!$CZ:$CZ,'Area-Cabang'!BE$41)</f>
        <v>0</v>
      </c>
      <c r="BF54" s="56">
        <f>SUMIFS('CWO Bulan Ini'!$DD:$DD,'CWO Bulan Ini'!$DJ:$DJ,'Area-Cabang'!$B54,'CWO Bulan Ini'!$DH:$DH,'Area-Cabang'!$E54,'CWO Bulan Ini'!$CZ:$CZ,'Area-Cabang'!BF$41)</f>
        <v>0</v>
      </c>
      <c r="BG54" s="56">
        <f>SUMIFS('CWO Bulan Ini'!$DD:$DD,'CWO Bulan Ini'!$DJ:$DJ,'Area-Cabang'!$B54,'CWO Bulan Ini'!$DH:$DH,'Area-Cabang'!$E54,'CWO Bulan Ini'!$CZ:$CZ,'Area-Cabang'!BG$41)</f>
        <v>0</v>
      </c>
      <c r="BH54" s="56">
        <f>SUMIFS('CWO Bulan Ini'!$DD:$DD,'CWO Bulan Ini'!$DJ:$DJ,'Area-Cabang'!$B54,'CWO Bulan Ini'!$DH:$DH,'Area-Cabang'!$E54,'CWO Bulan Ini'!$CZ:$CZ,'Area-Cabang'!BH$41)</f>
        <v>0</v>
      </c>
      <c r="BI54" s="56">
        <f>SUMIFS('CWO Bulan Ini'!$DD:$DD,'CWO Bulan Ini'!$DJ:$DJ,'Area-Cabang'!$B54,'CWO Bulan Ini'!$DH:$DH,'Area-Cabang'!$E54,'CWO Bulan Ini'!$CZ:$CZ,'Area-Cabang'!BI$41)</f>
        <v>0</v>
      </c>
      <c r="BJ54" s="56">
        <f>SUMIFS('CWO Bulan Ini'!$DD:$DD,'CWO Bulan Ini'!$DJ:$DJ,'Area-Cabang'!$B54,'CWO Bulan Ini'!$DH:$DH,'Area-Cabang'!$E54,'CWO Bulan Ini'!$CZ:$CZ,'Area-Cabang'!BJ$41)</f>
        <v>0</v>
      </c>
      <c r="BK54" s="56">
        <f>SUMIFS('CWO Bulan Ini'!$DD:$DD,'CWO Bulan Ini'!$DJ:$DJ,'Area-Cabang'!$B54,'CWO Bulan Ini'!$DH:$DH,'Area-Cabang'!$E54,'CWO Bulan Ini'!$CZ:$CZ,'Area-Cabang'!BK$41)</f>
        <v>0</v>
      </c>
      <c r="BL54" s="56">
        <f>SUMIFS('CWO Bulan Ini'!$DD:$DD,'CWO Bulan Ini'!$DJ:$DJ,'Area-Cabang'!$B54,'CWO Bulan Ini'!$DH:$DH,'Area-Cabang'!$E54,'CWO Bulan Ini'!$CZ:$CZ,'Area-Cabang'!BL$41)</f>
        <v>0</v>
      </c>
      <c r="BM54" s="56">
        <f>SUMIFS('CWO Bulan Ini'!$DD:$DD,'CWO Bulan Ini'!$DJ:$DJ,'Area-Cabang'!$B54,'CWO Bulan Ini'!$DH:$DH,'Area-Cabang'!$E54,'CWO Bulan Ini'!$CZ:$CZ,'Area-Cabang'!BM$41)</f>
        <v>0</v>
      </c>
      <c r="BN54" s="56">
        <f>SUMIFS('CWO Bulan Ini'!$DD:$DD,'CWO Bulan Ini'!$DJ:$DJ,'Area-Cabang'!$B54,'CWO Bulan Ini'!$DH:$DH,'Area-Cabang'!$E54,'CWO Bulan Ini'!$CZ:$CZ,'Area-Cabang'!BN$41)</f>
        <v>0</v>
      </c>
      <c r="BO54" s="57">
        <f>SUMIFS('CWO Bulan Ini'!$DD:$DD,'CWO Bulan Ini'!$DJ:$DJ,'Area-Cabang'!$B54,'CWO Bulan Ini'!$DH:$DH,'Area-Cabang'!$E54,'CWO Bulan Ini'!$CZ:$CZ,'Area-Cabang'!BO$41)</f>
        <v>0</v>
      </c>
      <c r="BP54" s="55">
        <f>SUMIFS('CWO Bulan Ini'!$DC:$DC,'CWO Bulan Ini'!$DJ:$DJ,'Area-Cabang'!$B54,'CWO Bulan Ini'!$DH:$DH,'Area-Cabang'!$E54,'CWO Bulan Ini'!$CZ:$CZ,'Area-Cabang'!BP$41)</f>
        <v>0</v>
      </c>
      <c r="BQ54" s="56">
        <f>SUMIFS('CWO Bulan Ini'!$DC:$DC,'CWO Bulan Ini'!$DJ:$DJ,'Area-Cabang'!$B54,'CWO Bulan Ini'!$DH:$DH,'Area-Cabang'!$E54,'CWO Bulan Ini'!$CZ:$CZ,'Area-Cabang'!BQ$41)</f>
        <v>0</v>
      </c>
      <c r="BR54" s="56">
        <f>SUMIFS('CWO Bulan Ini'!$DC:$DC,'CWO Bulan Ini'!$DJ:$DJ,'Area-Cabang'!$B54,'CWO Bulan Ini'!$DH:$DH,'Area-Cabang'!$E54,'CWO Bulan Ini'!$CZ:$CZ,'Area-Cabang'!BR$41)</f>
        <v>0</v>
      </c>
      <c r="BS54" s="56">
        <f>SUMIFS('CWO Bulan Ini'!$DC:$DC,'CWO Bulan Ini'!$DJ:$DJ,'Area-Cabang'!$B54,'CWO Bulan Ini'!$DH:$DH,'Area-Cabang'!$E54,'CWO Bulan Ini'!$CZ:$CZ,'Area-Cabang'!BS$41)</f>
        <v>0</v>
      </c>
      <c r="BT54" s="56">
        <f>SUMIFS('CWO Bulan Ini'!$DC:$DC,'CWO Bulan Ini'!$DJ:$DJ,'Area-Cabang'!$B54,'CWO Bulan Ini'!$DH:$DH,'Area-Cabang'!$E54,'CWO Bulan Ini'!$CZ:$CZ,'Area-Cabang'!BT$41)</f>
        <v>0</v>
      </c>
      <c r="BU54" s="56">
        <f>SUMIFS('CWO Bulan Ini'!$DC:$DC,'CWO Bulan Ini'!$DJ:$DJ,'Area-Cabang'!$B54,'CWO Bulan Ini'!$DH:$DH,'Area-Cabang'!$E54,'CWO Bulan Ini'!$CZ:$CZ,'Area-Cabang'!BU$41)</f>
        <v>0</v>
      </c>
      <c r="BV54" s="56">
        <f>SUMIFS('CWO Bulan Ini'!$DC:$DC,'CWO Bulan Ini'!$DJ:$DJ,'Area-Cabang'!$B54,'CWO Bulan Ini'!$DH:$DH,'Area-Cabang'!$E54,'CWO Bulan Ini'!$CZ:$CZ,'Area-Cabang'!BV$41)</f>
        <v>0</v>
      </c>
      <c r="BW54" s="56">
        <f>SUMIFS('CWO Bulan Ini'!$DC:$DC,'CWO Bulan Ini'!$DJ:$DJ,'Area-Cabang'!$B54,'CWO Bulan Ini'!$DH:$DH,'Area-Cabang'!$E54,'CWO Bulan Ini'!$CZ:$CZ,'Area-Cabang'!BW$41)</f>
        <v>0</v>
      </c>
      <c r="BX54" s="56">
        <f>SUMIFS('CWO Bulan Ini'!$DC:$DC,'CWO Bulan Ini'!$DJ:$DJ,'Area-Cabang'!$B54,'CWO Bulan Ini'!$DH:$DH,'Area-Cabang'!$E54,'CWO Bulan Ini'!$CZ:$CZ,'Area-Cabang'!BX$41)</f>
        <v>0</v>
      </c>
      <c r="BY54" s="56">
        <f>SUMIFS('CWO Bulan Ini'!$DC:$DC,'CWO Bulan Ini'!$DJ:$DJ,'Area-Cabang'!$B54,'CWO Bulan Ini'!$DH:$DH,'Area-Cabang'!$E54,'CWO Bulan Ini'!$CZ:$CZ,'Area-Cabang'!BY$41)</f>
        <v>0</v>
      </c>
      <c r="BZ54" s="56">
        <f>SUMIFS('CWO Bulan Ini'!$DC:$DC,'CWO Bulan Ini'!$DJ:$DJ,'Area-Cabang'!$B54,'CWO Bulan Ini'!$DH:$DH,'Area-Cabang'!$E54,'CWO Bulan Ini'!$CZ:$CZ,'Area-Cabang'!BZ$41)</f>
        <v>0</v>
      </c>
      <c r="CA54" s="56">
        <f>SUMIFS('CWO Bulan Ini'!$DC:$DC,'CWO Bulan Ini'!$DJ:$DJ,'Area-Cabang'!$B54,'CWO Bulan Ini'!$DH:$DH,'Area-Cabang'!$E54,'CWO Bulan Ini'!$CZ:$CZ,'Area-Cabang'!CA$41)</f>
        <v>0</v>
      </c>
      <c r="CB54" s="56">
        <f>SUMIFS('CWO Bulan Ini'!$DC:$DC,'CWO Bulan Ini'!$DJ:$DJ,'Area-Cabang'!$B54,'CWO Bulan Ini'!$DH:$DH,'Area-Cabang'!$E54,'CWO Bulan Ini'!$CZ:$CZ,'Area-Cabang'!CB$41)</f>
        <v>0</v>
      </c>
      <c r="CC54" s="56">
        <f>SUMIFS('CWO Bulan Ini'!$DC:$DC,'CWO Bulan Ini'!$DJ:$DJ,'Area-Cabang'!$B54,'CWO Bulan Ini'!$DH:$DH,'Area-Cabang'!$E54,'CWO Bulan Ini'!$CZ:$CZ,'Area-Cabang'!CC$41)</f>
        <v>0</v>
      </c>
      <c r="CD54" s="56">
        <f>SUMIFS('CWO Bulan Ini'!$DC:$DC,'CWO Bulan Ini'!$DJ:$DJ,'Area-Cabang'!$B54,'CWO Bulan Ini'!$DH:$DH,'Area-Cabang'!$E54,'CWO Bulan Ini'!$CZ:$CZ,'Area-Cabang'!CD$41)</f>
        <v>0</v>
      </c>
      <c r="CE54" s="56">
        <f>SUMIFS('CWO Bulan Ini'!$DC:$DC,'CWO Bulan Ini'!$DJ:$DJ,'Area-Cabang'!$B54,'CWO Bulan Ini'!$DH:$DH,'Area-Cabang'!$E54,'CWO Bulan Ini'!$CZ:$CZ,'Area-Cabang'!CE$41)</f>
        <v>0</v>
      </c>
      <c r="CF54" s="56">
        <f>SUMIFS('CWO Bulan Ini'!$DC:$DC,'CWO Bulan Ini'!$DJ:$DJ,'Area-Cabang'!$B54,'CWO Bulan Ini'!$DH:$DH,'Area-Cabang'!$E54,'CWO Bulan Ini'!$CZ:$CZ,'Area-Cabang'!CF$41)</f>
        <v>0</v>
      </c>
      <c r="CG54" s="56">
        <f>SUMIFS('CWO Bulan Ini'!$DC:$DC,'CWO Bulan Ini'!$DJ:$DJ,'Area-Cabang'!$B54,'CWO Bulan Ini'!$DH:$DH,'Area-Cabang'!$E54,'CWO Bulan Ini'!$CZ:$CZ,'Area-Cabang'!CG$41)</f>
        <v>0</v>
      </c>
      <c r="CH54" s="56">
        <f>SUMIFS('CWO Bulan Ini'!$DC:$DC,'CWO Bulan Ini'!$DJ:$DJ,'Area-Cabang'!$B54,'CWO Bulan Ini'!$DH:$DH,'Area-Cabang'!$E54,'CWO Bulan Ini'!$CZ:$CZ,'Area-Cabang'!CH$41)</f>
        <v>0</v>
      </c>
      <c r="CI54" s="56">
        <f>SUMIFS('CWO Bulan Ini'!$DC:$DC,'CWO Bulan Ini'!$DJ:$DJ,'Area-Cabang'!$B54,'CWO Bulan Ini'!$DH:$DH,'Area-Cabang'!$E54,'CWO Bulan Ini'!$CZ:$CZ,'Area-Cabang'!CI$41)</f>
        <v>0</v>
      </c>
      <c r="CJ54" s="56">
        <f>SUMIFS('CWO Bulan Ini'!$DC:$DC,'CWO Bulan Ini'!$DJ:$DJ,'Area-Cabang'!$B54,'CWO Bulan Ini'!$DH:$DH,'Area-Cabang'!$E54,'CWO Bulan Ini'!$CZ:$CZ,'Area-Cabang'!CJ$41)</f>
        <v>0</v>
      </c>
      <c r="CK54" s="56">
        <f>SUMIFS('CWO Bulan Ini'!$DC:$DC,'CWO Bulan Ini'!$DJ:$DJ,'Area-Cabang'!$B54,'CWO Bulan Ini'!$DH:$DH,'Area-Cabang'!$E54,'CWO Bulan Ini'!$CZ:$CZ,'Area-Cabang'!CK$41)</f>
        <v>0</v>
      </c>
      <c r="CL54" s="56">
        <f>SUMIFS('CWO Bulan Ini'!$DC:$DC,'CWO Bulan Ini'!$DJ:$DJ,'Area-Cabang'!$B54,'CWO Bulan Ini'!$DH:$DH,'Area-Cabang'!$E54,'CWO Bulan Ini'!$CZ:$CZ,'Area-Cabang'!CL$41)</f>
        <v>0</v>
      </c>
      <c r="CM54" s="56">
        <f>SUMIFS('CWO Bulan Ini'!$DC:$DC,'CWO Bulan Ini'!$DJ:$DJ,'Area-Cabang'!$B54,'CWO Bulan Ini'!$DH:$DH,'Area-Cabang'!$E54,'CWO Bulan Ini'!$CZ:$CZ,'Area-Cabang'!CM$41)</f>
        <v>0</v>
      </c>
      <c r="CN54" s="56">
        <f>SUMIFS('CWO Bulan Ini'!$DC:$DC,'CWO Bulan Ini'!$DJ:$DJ,'Area-Cabang'!$B54,'CWO Bulan Ini'!$DH:$DH,'Area-Cabang'!$E54,'CWO Bulan Ini'!$CZ:$CZ,'Area-Cabang'!CN$41)</f>
        <v>0</v>
      </c>
      <c r="CO54" s="56">
        <f>SUMIFS('CWO Bulan Ini'!$DC:$DC,'CWO Bulan Ini'!$DJ:$DJ,'Area-Cabang'!$B54,'CWO Bulan Ini'!$DH:$DH,'Area-Cabang'!$E54,'CWO Bulan Ini'!$CZ:$CZ,'Area-Cabang'!CO$41)</f>
        <v>0</v>
      </c>
      <c r="CP54" s="56">
        <f>SUMIFS('CWO Bulan Ini'!$DC:$DC,'CWO Bulan Ini'!$DJ:$DJ,'Area-Cabang'!$B54,'CWO Bulan Ini'!$DH:$DH,'Area-Cabang'!$E54,'CWO Bulan Ini'!$CZ:$CZ,'Area-Cabang'!CP$41)</f>
        <v>0</v>
      </c>
      <c r="CQ54" s="56">
        <f>SUMIFS('CWO Bulan Ini'!$DC:$DC,'CWO Bulan Ini'!$DJ:$DJ,'Area-Cabang'!$B54,'CWO Bulan Ini'!$DH:$DH,'Area-Cabang'!$E54,'CWO Bulan Ini'!$CZ:$CZ,'Area-Cabang'!CQ$41)</f>
        <v>0</v>
      </c>
      <c r="CR54" s="56">
        <f>SUMIFS('CWO Bulan Ini'!$DC:$DC,'CWO Bulan Ini'!$DJ:$DJ,'Area-Cabang'!$B54,'CWO Bulan Ini'!$DH:$DH,'Area-Cabang'!$E54,'CWO Bulan Ini'!$CZ:$CZ,'Area-Cabang'!CR$41)</f>
        <v>0</v>
      </c>
      <c r="CS54" s="56">
        <f>SUMIFS('CWO Bulan Ini'!$DC:$DC,'CWO Bulan Ini'!$DJ:$DJ,'Area-Cabang'!$B54,'CWO Bulan Ini'!$DH:$DH,'Area-Cabang'!$E54,'CWO Bulan Ini'!$CZ:$CZ,'Area-Cabang'!CS$41)</f>
        <v>0</v>
      </c>
      <c r="CT54" s="57">
        <f>SUMIFS('CWO Bulan Ini'!$DC:$DC,'CWO Bulan Ini'!$DJ:$DJ,'Area-Cabang'!$B54,'CWO Bulan Ini'!$DH:$DH,'Area-Cabang'!$E54,'CWO Bulan Ini'!$CZ:$CZ,'Area-Cabang'!CT$41)</f>
        <v>0</v>
      </c>
      <c r="CV54" s="97">
        <f t="shared" ref="CV54:CV55" si="1393">SUM(F54:AJ54)</f>
        <v>0</v>
      </c>
      <c r="CW54" s="98">
        <f t="shared" ref="CW54:CW55" si="1394">SUM(AK54:BO54)</f>
        <v>0</v>
      </c>
      <c r="CX54" s="98">
        <f t="shared" ref="CX54:CX55" si="1395">SUM(BP54:CT54)</f>
        <v>0</v>
      </c>
      <c r="CY54" s="98">
        <f t="shared" ref="CY54:CY55" si="1396">CV54-CW54-CX54</f>
        <v>0</v>
      </c>
      <c r="CZ54" s="105">
        <f t="shared" ref="CZ54:CZ55" si="1397">CY54+CW54</f>
        <v>0</v>
      </c>
    </row>
    <row r="55" spans="1:104" ht="15" customHeight="1" x14ac:dyDescent="0.25">
      <c r="A55" s="58" t="s">
        <v>465</v>
      </c>
      <c r="B55" s="58" t="s">
        <v>13</v>
      </c>
      <c r="C55" s="250"/>
      <c r="D55" s="244"/>
      <c r="E55" s="40" t="s">
        <v>349</v>
      </c>
      <c r="F55" s="41">
        <f>SUMIFS('CWO Bulan Ini'!$DA:$DA,'CWO Bulan Ini'!$DJ:$DJ,'Area-Cabang'!$B55,'CWO Bulan Ini'!$DH:$DH,'Area-Cabang'!$E55,'CWO Bulan Ini'!$CZ:$CZ,'Area-Cabang'!F$41)</f>
        <v>0</v>
      </c>
      <c r="G55" s="42">
        <f>SUMIFS('CWO Bulan Ini'!$DA:$DA,'CWO Bulan Ini'!$DJ:$DJ,'Area-Cabang'!$B55,'CWO Bulan Ini'!$DH:$DH,'Area-Cabang'!$E55,'CWO Bulan Ini'!$CZ:$CZ,'Area-Cabang'!G$41)</f>
        <v>0</v>
      </c>
      <c r="H55" s="42">
        <f>SUMIFS('CWO Bulan Ini'!$DA:$DA,'CWO Bulan Ini'!$DJ:$DJ,'Area-Cabang'!$B55,'CWO Bulan Ini'!$DH:$DH,'Area-Cabang'!$E55,'CWO Bulan Ini'!$CZ:$CZ,'Area-Cabang'!H$41)</f>
        <v>0</v>
      </c>
      <c r="I55" s="42">
        <f>SUMIFS('CWO Bulan Ini'!$DA:$DA,'CWO Bulan Ini'!$DJ:$DJ,'Area-Cabang'!$B55,'CWO Bulan Ini'!$DH:$DH,'Area-Cabang'!$E55,'CWO Bulan Ini'!$CZ:$CZ,'Area-Cabang'!I$41)</f>
        <v>0</v>
      </c>
      <c r="J55" s="42">
        <f>SUMIFS('CWO Bulan Ini'!$DA:$DA,'CWO Bulan Ini'!$DJ:$DJ,'Area-Cabang'!$B55,'CWO Bulan Ini'!$DH:$DH,'Area-Cabang'!$E55,'CWO Bulan Ini'!$CZ:$CZ,'Area-Cabang'!J$41)</f>
        <v>0</v>
      </c>
      <c r="K55" s="42">
        <f>SUMIFS('CWO Bulan Ini'!$DA:$DA,'CWO Bulan Ini'!$DJ:$DJ,'Area-Cabang'!$B55,'CWO Bulan Ini'!$DH:$DH,'Area-Cabang'!$E55,'CWO Bulan Ini'!$CZ:$CZ,'Area-Cabang'!K$41)</f>
        <v>0</v>
      </c>
      <c r="L55" s="42">
        <f>SUMIFS('CWO Bulan Ini'!$DA:$DA,'CWO Bulan Ini'!$DJ:$DJ,'Area-Cabang'!$B55,'CWO Bulan Ini'!$DH:$DH,'Area-Cabang'!$E55,'CWO Bulan Ini'!$CZ:$CZ,'Area-Cabang'!L$41)</f>
        <v>0</v>
      </c>
      <c r="M55" s="42">
        <f>SUMIFS('CWO Bulan Ini'!$DA:$DA,'CWO Bulan Ini'!$DJ:$DJ,'Area-Cabang'!$B55,'CWO Bulan Ini'!$DH:$DH,'Area-Cabang'!$E55,'CWO Bulan Ini'!$CZ:$CZ,'Area-Cabang'!M$41)</f>
        <v>0</v>
      </c>
      <c r="N55" s="42">
        <f>SUMIFS('CWO Bulan Ini'!$DA:$DA,'CWO Bulan Ini'!$DJ:$DJ,'Area-Cabang'!$B55,'CWO Bulan Ini'!$DH:$DH,'Area-Cabang'!$E55,'CWO Bulan Ini'!$CZ:$CZ,'Area-Cabang'!N$41)</f>
        <v>0</v>
      </c>
      <c r="O55" s="42">
        <f>SUMIFS('CWO Bulan Ini'!$DA:$DA,'CWO Bulan Ini'!$DJ:$DJ,'Area-Cabang'!$B55,'CWO Bulan Ini'!$DH:$DH,'Area-Cabang'!$E55,'CWO Bulan Ini'!$CZ:$CZ,'Area-Cabang'!O$41)</f>
        <v>0</v>
      </c>
      <c r="P55" s="42">
        <f>SUMIFS('CWO Bulan Ini'!$DA:$DA,'CWO Bulan Ini'!$DJ:$DJ,'Area-Cabang'!$B55,'CWO Bulan Ini'!$DH:$DH,'Area-Cabang'!$E55,'CWO Bulan Ini'!$CZ:$CZ,'Area-Cabang'!P$41)</f>
        <v>0</v>
      </c>
      <c r="Q55" s="42">
        <f>SUMIFS('CWO Bulan Ini'!$DA:$DA,'CWO Bulan Ini'!$DJ:$DJ,'Area-Cabang'!$B55,'CWO Bulan Ini'!$DH:$DH,'Area-Cabang'!$E55,'CWO Bulan Ini'!$CZ:$CZ,'Area-Cabang'!Q$41)</f>
        <v>0</v>
      </c>
      <c r="R55" s="42">
        <f>SUMIFS('CWO Bulan Ini'!$DA:$DA,'CWO Bulan Ini'!$DJ:$DJ,'Area-Cabang'!$B55,'CWO Bulan Ini'!$DH:$DH,'Area-Cabang'!$E55,'CWO Bulan Ini'!$CZ:$CZ,'Area-Cabang'!R$41)</f>
        <v>0</v>
      </c>
      <c r="S55" s="42">
        <f>SUMIFS('CWO Bulan Ini'!$DA:$DA,'CWO Bulan Ini'!$DJ:$DJ,'Area-Cabang'!$B55,'CWO Bulan Ini'!$DH:$DH,'Area-Cabang'!$E55,'CWO Bulan Ini'!$CZ:$CZ,'Area-Cabang'!S$41)</f>
        <v>0</v>
      </c>
      <c r="T55" s="42">
        <f>SUMIFS('CWO Bulan Ini'!$DA:$DA,'CWO Bulan Ini'!$DJ:$DJ,'Area-Cabang'!$B55,'CWO Bulan Ini'!$DH:$DH,'Area-Cabang'!$E55,'CWO Bulan Ini'!$CZ:$CZ,'Area-Cabang'!T$41)</f>
        <v>0</v>
      </c>
      <c r="U55" s="42">
        <f>SUMIFS('CWO Bulan Ini'!$DA:$DA,'CWO Bulan Ini'!$DJ:$DJ,'Area-Cabang'!$B55,'CWO Bulan Ini'!$DH:$DH,'Area-Cabang'!$E55,'CWO Bulan Ini'!$CZ:$CZ,'Area-Cabang'!U$41)</f>
        <v>0</v>
      </c>
      <c r="V55" s="42">
        <f>SUMIFS('CWO Bulan Ini'!$DA:$DA,'CWO Bulan Ini'!$DJ:$DJ,'Area-Cabang'!$B55,'CWO Bulan Ini'!$DH:$DH,'Area-Cabang'!$E55,'CWO Bulan Ini'!$CZ:$CZ,'Area-Cabang'!V$41)</f>
        <v>0</v>
      </c>
      <c r="W55" s="42">
        <f>SUMIFS('CWO Bulan Ini'!$DA:$DA,'CWO Bulan Ini'!$DJ:$DJ,'Area-Cabang'!$B55,'CWO Bulan Ini'!$DH:$DH,'Area-Cabang'!$E55,'CWO Bulan Ini'!$CZ:$CZ,'Area-Cabang'!W$41)</f>
        <v>0</v>
      </c>
      <c r="X55" s="42">
        <f>SUMIFS('CWO Bulan Ini'!$DA:$DA,'CWO Bulan Ini'!$DJ:$DJ,'Area-Cabang'!$B55,'CWO Bulan Ini'!$DH:$DH,'Area-Cabang'!$E55,'CWO Bulan Ini'!$CZ:$CZ,'Area-Cabang'!X$41)</f>
        <v>0</v>
      </c>
      <c r="Y55" s="42">
        <f>SUMIFS('CWO Bulan Ini'!$DA:$DA,'CWO Bulan Ini'!$DJ:$DJ,'Area-Cabang'!$B55,'CWO Bulan Ini'!$DH:$DH,'Area-Cabang'!$E55,'CWO Bulan Ini'!$CZ:$CZ,'Area-Cabang'!Y$41)</f>
        <v>0</v>
      </c>
      <c r="Z55" s="42">
        <f>SUMIFS('CWO Bulan Ini'!$DA:$DA,'CWO Bulan Ini'!$DJ:$DJ,'Area-Cabang'!$B55,'CWO Bulan Ini'!$DH:$DH,'Area-Cabang'!$E55,'CWO Bulan Ini'!$CZ:$CZ,'Area-Cabang'!Z$41)</f>
        <v>0</v>
      </c>
      <c r="AA55" s="42">
        <f>SUMIFS('CWO Bulan Ini'!$DA:$DA,'CWO Bulan Ini'!$DJ:$DJ,'Area-Cabang'!$B55,'CWO Bulan Ini'!$DH:$DH,'Area-Cabang'!$E55,'CWO Bulan Ini'!$CZ:$CZ,'Area-Cabang'!AA$41)</f>
        <v>0</v>
      </c>
      <c r="AB55" s="42">
        <f>SUMIFS('CWO Bulan Ini'!$DA:$DA,'CWO Bulan Ini'!$DJ:$DJ,'Area-Cabang'!$B55,'CWO Bulan Ini'!$DH:$DH,'Area-Cabang'!$E55,'CWO Bulan Ini'!$CZ:$CZ,'Area-Cabang'!AB$41)</f>
        <v>0</v>
      </c>
      <c r="AC55" s="42">
        <f>SUMIFS('CWO Bulan Ini'!$DA:$DA,'CWO Bulan Ini'!$DJ:$DJ,'Area-Cabang'!$B55,'CWO Bulan Ini'!$DH:$DH,'Area-Cabang'!$E55,'CWO Bulan Ini'!$CZ:$CZ,'Area-Cabang'!AC$41)</f>
        <v>0</v>
      </c>
      <c r="AD55" s="42">
        <f>SUMIFS('CWO Bulan Ini'!$DA:$DA,'CWO Bulan Ini'!$DJ:$DJ,'Area-Cabang'!$B55,'CWO Bulan Ini'!$DH:$DH,'Area-Cabang'!$E55,'CWO Bulan Ini'!$CZ:$CZ,'Area-Cabang'!AD$41)</f>
        <v>0</v>
      </c>
      <c r="AE55" s="42">
        <f>SUMIFS('CWO Bulan Ini'!$DA:$DA,'CWO Bulan Ini'!$DJ:$DJ,'Area-Cabang'!$B55,'CWO Bulan Ini'!$DH:$DH,'Area-Cabang'!$E55,'CWO Bulan Ini'!$CZ:$CZ,'Area-Cabang'!AE$41)</f>
        <v>0</v>
      </c>
      <c r="AF55" s="42">
        <f>SUMIFS('CWO Bulan Ini'!$DA:$DA,'CWO Bulan Ini'!$DJ:$DJ,'Area-Cabang'!$B55,'CWO Bulan Ini'!$DH:$DH,'Area-Cabang'!$E55,'CWO Bulan Ini'!$CZ:$CZ,'Area-Cabang'!AF$41)</f>
        <v>0</v>
      </c>
      <c r="AG55" s="42">
        <f>SUMIFS('CWO Bulan Ini'!$DA:$DA,'CWO Bulan Ini'!$DJ:$DJ,'Area-Cabang'!$B55,'CWO Bulan Ini'!$DH:$DH,'Area-Cabang'!$E55,'CWO Bulan Ini'!$CZ:$CZ,'Area-Cabang'!AG$41)</f>
        <v>0</v>
      </c>
      <c r="AH55" s="42">
        <f>SUMIFS('CWO Bulan Ini'!$DA:$DA,'CWO Bulan Ini'!$DJ:$DJ,'Area-Cabang'!$B55,'CWO Bulan Ini'!$DH:$DH,'Area-Cabang'!$E55,'CWO Bulan Ini'!$CZ:$CZ,'Area-Cabang'!AH$41)</f>
        <v>0</v>
      </c>
      <c r="AI55" s="42">
        <f>SUMIFS('CWO Bulan Ini'!$DA:$DA,'CWO Bulan Ini'!$DJ:$DJ,'Area-Cabang'!$B55,'CWO Bulan Ini'!$DH:$DH,'Area-Cabang'!$E55,'CWO Bulan Ini'!$CZ:$CZ,'Area-Cabang'!AI$41)</f>
        <v>0</v>
      </c>
      <c r="AJ55" s="42">
        <f>SUMIFS('CWO Bulan Ini'!$DA:$DA,'CWO Bulan Ini'!$DJ:$DJ,'Area-Cabang'!$B55,'CWO Bulan Ini'!$DH:$DH,'Area-Cabang'!$E55,'CWO Bulan Ini'!$CZ:$CZ,'Area-Cabang'!AJ$41)</f>
        <v>0</v>
      </c>
      <c r="AK55" s="41">
        <f>SUMIFS('CWO Bulan Ini'!$DD:$DD,'CWO Bulan Ini'!$DJ:$DJ,'Area-Cabang'!$B55,'CWO Bulan Ini'!$DH:$DH,'Area-Cabang'!$E55,'CWO Bulan Ini'!$CZ:$CZ,'Area-Cabang'!AK$41)</f>
        <v>0</v>
      </c>
      <c r="AL55" s="42">
        <f>SUMIFS('CWO Bulan Ini'!$DD:$DD,'CWO Bulan Ini'!$DJ:$DJ,'Area-Cabang'!$B55,'CWO Bulan Ini'!$DH:$DH,'Area-Cabang'!$E55,'CWO Bulan Ini'!$CZ:$CZ,'Area-Cabang'!AL$41)</f>
        <v>0</v>
      </c>
      <c r="AM55" s="42">
        <f>SUMIFS('CWO Bulan Ini'!$DD:$DD,'CWO Bulan Ini'!$DJ:$DJ,'Area-Cabang'!$B55,'CWO Bulan Ini'!$DH:$DH,'Area-Cabang'!$E55,'CWO Bulan Ini'!$CZ:$CZ,'Area-Cabang'!AM$41)</f>
        <v>0</v>
      </c>
      <c r="AN55" s="42">
        <f>SUMIFS('CWO Bulan Ini'!$DD:$DD,'CWO Bulan Ini'!$DJ:$DJ,'Area-Cabang'!$B55,'CWO Bulan Ini'!$DH:$DH,'Area-Cabang'!$E55,'CWO Bulan Ini'!$CZ:$CZ,'Area-Cabang'!AN$41)</f>
        <v>0</v>
      </c>
      <c r="AO55" s="42">
        <f>SUMIFS('CWO Bulan Ini'!$DD:$DD,'CWO Bulan Ini'!$DJ:$DJ,'Area-Cabang'!$B55,'CWO Bulan Ini'!$DH:$DH,'Area-Cabang'!$E55,'CWO Bulan Ini'!$CZ:$CZ,'Area-Cabang'!AO$41)</f>
        <v>0</v>
      </c>
      <c r="AP55" s="42">
        <f>SUMIFS('CWO Bulan Ini'!$DD:$DD,'CWO Bulan Ini'!$DJ:$DJ,'Area-Cabang'!$B55,'CWO Bulan Ini'!$DH:$DH,'Area-Cabang'!$E55,'CWO Bulan Ini'!$CZ:$CZ,'Area-Cabang'!AP$41)</f>
        <v>0</v>
      </c>
      <c r="AQ55" s="42">
        <f>SUMIFS('CWO Bulan Ini'!$DD:$DD,'CWO Bulan Ini'!$DJ:$DJ,'Area-Cabang'!$B55,'CWO Bulan Ini'!$DH:$DH,'Area-Cabang'!$E55,'CWO Bulan Ini'!$CZ:$CZ,'Area-Cabang'!AQ$41)</f>
        <v>0</v>
      </c>
      <c r="AR55" s="42">
        <f>SUMIFS('CWO Bulan Ini'!$DD:$DD,'CWO Bulan Ini'!$DJ:$DJ,'Area-Cabang'!$B55,'CWO Bulan Ini'!$DH:$DH,'Area-Cabang'!$E55,'CWO Bulan Ini'!$CZ:$CZ,'Area-Cabang'!AR$41)</f>
        <v>0</v>
      </c>
      <c r="AS55" s="42">
        <f>SUMIFS('CWO Bulan Ini'!$DD:$DD,'CWO Bulan Ini'!$DJ:$DJ,'Area-Cabang'!$B55,'CWO Bulan Ini'!$DH:$DH,'Area-Cabang'!$E55,'CWO Bulan Ini'!$CZ:$CZ,'Area-Cabang'!AS$41)</f>
        <v>0</v>
      </c>
      <c r="AT55" s="42">
        <f>SUMIFS('CWO Bulan Ini'!$DD:$DD,'CWO Bulan Ini'!$DJ:$DJ,'Area-Cabang'!$B55,'CWO Bulan Ini'!$DH:$DH,'Area-Cabang'!$E55,'CWO Bulan Ini'!$CZ:$CZ,'Area-Cabang'!AT$41)</f>
        <v>0</v>
      </c>
      <c r="AU55" s="42">
        <f>SUMIFS('CWO Bulan Ini'!$DD:$DD,'CWO Bulan Ini'!$DJ:$DJ,'Area-Cabang'!$B55,'CWO Bulan Ini'!$DH:$DH,'Area-Cabang'!$E55,'CWO Bulan Ini'!$CZ:$CZ,'Area-Cabang'!AU$41)</f>
        <v>0</v>
      </c>
      <c r="AV55" s="42">
        <f>SUMIFS('CWO Bulan Ini'!$DD:$DD,'CWO Bulan Ini'!$DJ:$DJ,'Area-Cabang'!$B55,'CWO Bulan Ini'!$DH:$DH,'Area-Cabang'!$E55,'CWO Bulan Ini'!$CZ:$CZ,'Area-Cabang'!AV$41)</f>
        <v>0</v>
      </c>
      <c r="AW55" s="42">
        <f>SUMIFS('CWO Bulan Ini'!$DD:$DD,'CWO Bulan Ini'!$DJ:$DJ,'Area-Cabang'!$B55,'CWO Bulan Ini'!$DH:$DH,'Area-Cabang'!$E55,'CWO Bulan Ini'!$CZ:$CZ,'Area-Cabang'!AW$41)</f>
        <v>0</v>
      </c>
      <c r="AX55" s="42">
        <f>SUMIFS('CWO Bulan Ini'!$DD:$DD,'CWO Bulan Ini'!$DJ:$DJ,'Area-Cabang'!$B55,'CWO Bulan Ini'!$DH:$DH,'Area-Cabang'!$E55,'CWO Bulan Ini'!$CZ:$CZ,'Area-Cabang'!AX$41)</f>
        <v>0</v>
      </c>
      <c r="AY55" s="42">
        <f>SUMIFS('CWO Bulan Ini'!$DD:$DD,'CWO Bulan Ini'!$DJ:$DJ,'Area-Cabang'!$B55,'CWO Bulan Ini'!$DH:$DH,'Area-Cabang'!$E55,'CWO Bulan Ini'!$CZ:$CZ,'Area-Cabang'!AY$41)</f>
        <v>0</v>
      </c>
      <c r="AZ55" s="42">
        <f>SUMIFS('CWO Bulan Ini'!$DD:$DD,'CWO Bulan Ini'!$DJ:$DJ,'Area-Cabang'!$B55,'CWO Bulan Ini'!$DH:$DH,'Area-Cabang'!$E55,'CWO Bulan Ini'!$CZ:$CZ,'Area-Cabang'!AZ$41)</f>
        <v>0</v>
      </c>
      <c r="BA55" s="42">
        <f>SUMIFS('CWO Bulan Ini'!$DD:$DD,'CWO Bulan Ini'!$DJ:$DJ,'Area-Cabang'!$B55,'CWO Bulan Ini'!$DH:$DH,'Area-Cabang'!$E55,'CWO Bulan Ini'!$CZ:$CZ,'Area-Cabang'!BA$41)</f>
        <v>0</v>
      </c>
      <c r="BB55" s="42">
        <f>SUMIFS('CWO Bulan Ini'!$DD:$DD,'CWO Bulan Ini'!$DJ:$DJ,'Area-Cabang'!$B55,'CWO Bulan Ini'!$DH:$DH,'Area-Cabang'!$E55,'CWO Bulan Ini'!$CZ:$CZ,'Area-Cabang'!BB$41)</f>
        <v>0</v>
      </c>
      <c r="BC55" s="42">
        <f>SUMIFS('CWO Bulan Ini'!$DD:$DD,'CWO Bulan Ini'!$DJ:$DJ,'Area-Cabang'!$B55,'CWO Bulan Ini'!$DH:$DH,'Area-Cabang'!$E55,'CWO Bulan Ini'!$CZ:$CZ,'Area-Cabang'!BC$41)</f>
        <v>0</v>
      </c>
      <c r="BD55" s="42">
        <f>SUMIFS('CWO Bulan Ini'!$DD:$DD,'CWO Bulan Ini'!$DJ:$DJ,'Area-Cabang'!$B55,'CWO Bulan Ini'!$DH:$DH,'Area-Cabang'!$E55,'CWO Bulan Ini'!$CZ:$CZ,'Area-Cabang'!BD$41)</f>
        <v>0</v>
      </c>
      <c r="BE55" s="42">
        <f>SUMIFS('CWO Bulan Ini'!$DD:$DD,'CWO Bulan Ini'!$DJ:$DJ,'Area-Cabang'!$B55,'CWO Bulan Ini'!$DH:$DH,'Area-Cabang'!$E55,'CWO Bulan Ini'!$CZ:$CZ,'Area-Cabang'!BE$41)</f>
        <v>0</v>
      </c>
      <c r="BF55" s="42">
        <f>SUMIFS('CWO Bulan Ini'!$DD:$DD,'CWO Bulan Ini'!$DJ:$DJ,'Area-Cabang'!$B55,'CWO Bulan Ini'!$DH:$DH,'Area-Cabang'!$E55,'CWO Bulan Ini'!$CZ:$CZ,'Area-Cabang'!BF$41)</f>
        <v>0</v>
      </c>
      <c r="BG55" s="42">
        <f>SUMIFS('CWO Bulan Ini'!$DD:$DD,'CWO Bulan Ini'!$DJ:$DJ,'Area-Cabang'!$B55,'CWO Bulan Ini'!$DH:$DH,'Area-Cabang'!$E55,'CWO Bulan Ini'!$CZ:$CZ,'Area-Cabang'!BG$41)</f>
        <v>0</v>
      </c>
      <c r="BH55" s="42">
        <f>SUMIFS('CWO Bulan Ini'!$DD:$DD,'CWO Bulan Ini'!$DJ:$DJ,'Area-Cabang'!$B55,'CWO Bulan Ini'!$DH:$DH,'Area-Cabang'!$E55,'CWO Bulan Ini'!$CZ:$CZ,'Area-Cabang'!BH$41)</f>
        <v>0</v>
      </c>
      <c r="BI55" s="42">
        <f>SUMIFS('CWO Bulan Ini'!$DD:$DD,'CWO Bulan Ini'!$DJ:$DJ,'Area-Cabang'!$B55,'CWO Bulan Ini'!$DH:$DH,'Area-Cabang'!$E55,'CWO Bulan Ini'!$CZ:$CZ,'Area-Cabang'!BI$41)</f>
        <v>0</v>
      </c>
      <c r="BJ55" s="42">
        <f>SUMIFS('CWO Bulan Ini'!$DD:$DD,'CWO Bulan Ini'!$DJ:$DJ,'Area-Cabang'!$B55,'CWO Bulan Ini'!$DH:$DH,'Area-Cabang'!$E55,'CWO Bulan Ini'!$CZ:$CZ,'Area-Cabang'!BJ$41)</f>
        <v>0</v>
      </c>
      <c r="BK55" s="42">
        <f>SUMIFS('CWO Bulan Ini'!$DD:$DD,'CWO Bulan Ini'!$DJ:$DJ,'Area-Cabang'!$B55,'CWO Bulan Ini'!$DH:$DH,'Area-Cabang'!$E55,'CWO Bulan Ini'!$CZ:$CZ,'Area-Cabang'!BK$41)</f>
        <v>0</v>
      </c>
      <c r="BL55" s="42">
        <f>SUMIFS('CWO Bulan Ini'!$DD:$DD,'CWO Bulan Ini'!$DJ:$DJ,'Area-Cabang'!$B55,'CWO Bulan Ini'!$DH:$DH,'Area-Cabang'!$E55,'CWO Bulan Ini'!$CZ:$CZ,'Area-Cabang'!BL$41)</f>
        <v>0</v>
      </c>
      <c r="BM55" s="42">
        <f>SUMIFS('CWO Bulan Ini'!$DD:$DD,'CWO Bulan Ini'!$DJ:$DJ,'Area-Cabang'!$B55,'CWO Bulan Ini'!$DH:$DH,'Area-Cabang'!$E55,'CWO Bulan Ini'!$CZ:$CZ,'Area-Cabang'!BM$41)</f>
        <v>0</v>
      </c>
      <c r="BN55" s="42">
        <f>SUMIFS('CWO Bulan Ini'!$DD:$DD,'CWO Bulan Ini'!$DJ:$DJ,'Area-Cabang'!$B55,'CWO Bulan Ini'!$DH:$DH,'Area-Cabang'!$E55,'CWO Bulan Ini'!$CZ:$CZ,'Area-Cabang'!BN$41)</f>
        <v>0</v>
      </c>
      <c r="BO55" s="43">
        <f>SUMIFS('CWO Bulan Ini'!$DD:$DD,'CWO Bulan Ini'!$DJ:$DJ,'Area-Cabang'!$B55,'CWO Bulan Ini'!$DH:$DH,'Area-Cabang'!$E55,'CWO Bulan Ini'!$CZ:$CZ,'Area-Cabang'!BO$41)</f>
        <v>0</v>
      </c>
      <c r="BP55" s="41">
        <f>SUMIFS('CWO Bulan Ini'!$DC:$DC,'CWO Bulan Ini'!$DJ:$DJ,'Area-Cabang'!$B55,'CWO Bulan Ini'!$DH:$DH,'Area-Cabang'!$E55,'CWO Bulan Ini'!$CZ:$CZ,'Area-Cabang'!BP$41)</f>
        <v>0</v>
      </c>
      <c r="BQ55" s="42">
        <f>SUMIFS('CWO Bulan Ini'!$DC:$DC,'CWO Bulan Ini'!$DJ:$DJ,'Area-Cabang'!$B55,'CWO Bulan Ini'!$DH:$DH,'Area-Cabang'!$E55,'CWO Bulan Ini'!$CZ:$CZ,'Area-Cabang'!BQ$41)</f>
        <v>0</v>
      </c>
      <c r="BR55" s="42">
        <f>SUMIFS('CWO Bulan Ini'!$DC:$DC,'CWO Bulan Ini'!$DJ:$DJ,'Area-Cabang'!$B55,'CWO Bulan Ini'!$DH:$DH,'Area-Cabang'!$E55,'CWO Bulan Ini'!$CZ:$CZ,'Area-Cabang'!BR$41)</f>
        <v>0</v>
      </c>
      <c r="BS55" s="42">
        <f>SUMIFS('CWO Bulan Ini'!$DC:$DC,'CWO Bulan Ini'!$DJ:$DJ,'Area-Cabang'!$B55,'CWO Bulan Ini'!$DH:$DH,'Area-Cabang'!$E55,'CWO Bulan Ini'!$CZ:$CZ,'Area-Cabang'!BS$41)</f>
        <v>0</v>
      </c>
      <c r="BT55" s="42">
        <f>SUMIFS('CWO Bulan Ini'!$DC:$DC,'CWO Bulan Ini'!$DJ:$DJ,'Area-Cabang'!$B55,'CWO Bulan Ini'!$DH:$DH,'Area-Cabang'!$E55,'CWO Bulan Ini'!$CZ:$CZ,'Area-Cabang'!BT$41)</f>
        <v>0</v>
      </c>
      <c r="BU55" s="42">
        <f>SUMIFS('CWO Bulan Ini'!$DC:$DC,'CWO Bulan Ini'!$DJ:$DJ,'Area-Cabang'!$B55,'CWO Bulan Ini'!$DH:$DH,'Area-Cabang'!$E55,'CWO Bulan Ini'!$CZ:$CZ,'Area-Cabang'!BU$41)</f>
        <v>0</v>
      </c>
      <c r="BV55" s="42">
        <f>SUMIFS('CWO Bulan Ini'!$DC:$DC,'CWO Bulan Ini'!$DJ:$DJ,'Area-Cabang'!$B55,'CWO Bulan Ini'!$DH:$DH,'Area-Cabang'!$E55,'CWO Bulan Ini'!$CZ:$CZ,'Area-Cabang'!BV$41)</f>
        <v>0</v>
      </c>
      <c r="BW55" s="42">
        <f>SUMIFS('CWO Bulan Ini'!$DC:$DC,'CWO Bulan Ini'!$DJ:$DJ,'Area-Cabang'!$B55,'CWO Bulan Ini'!$DH:$DH,'Area-Cabang'!$E55,'CWO Bulan Ini'!$CZ:$CZ,'Area-Cabang'!BW$41)</f>
        <v>0</v>
      </c>
      <c r="BX55" s="42">
        <f>SUMIFS('CWO Bulan Ini'!$DC:$DC,'CWO Bulan Ini'!$DJ:$DJ,'Area-Cabang'!$B55,'CWO Bulan Ini'!$DH:$DH,'Area-Cabang'!$E55,'CWO Bulan Ini'!$CZ:$CZ,'Area-Cabang'!BX$41)</f>
        <v>0</v>
      </c>
      <c r="BY55" s="42">
        <f>SUMIFS('CWO Bulan Ini'!$DC:$DC,'CWO Bulan Ini'!$DJ:$DJ,'Area-Cabang'!$B55,'CWO Bulan Ini'!$DH:$DH,'Area-Cabang'!$E55,'CWO Bulan Ini'!$CZ:$CZ,'Area-Cabang'!BY$41)</f>
        <v>0</v>
      </c>
      <c r="BZ55" s="42">
        <f>SUMIFS('CWO Bulan Ini'!$DC:$DC,'CWO Bulan Ini'!$DJ:$DJ,'Area-Cabang'!$B55,'CWO Bulan Ini'!$DH:$DH,'Area-Cabang'!$E55,'CWO Bulan Ini'!$CZ:$CZ,'Area-Cabang'!BZ$41)</f>
        <v>0</v>
      </c>
      <c r="CA55" s="42">
        <f>SUMIFS('CWO Bulan Ini'!$DC:$DC,'CWO Bulan Ini'!$DJ:$DJ,'Area-Cabang'!$B55,'CWO Bulan Ini'!$DH:$DH,'Area-Cabang'!$E55,'CWO Bulan Ini'!$CZ:$CZ,'Area-Cabang'!CA$41)</f>
        <v>0</v>
      </c>
      <c r="CB55" s="42">
        <f>SUMIFS('CWO Bulan Ini'!$DC:$DC,'CWO Bulan Ini'!$DJ:$DJ,'Area-Cabang'!$B55,'CWO Bulan Ini'!$DH:$DH,'Area-Cabang'!$E55,'CWO Bulan Ini'!$CZ:$CZ,'Area-Cabang'!CB$41)</f>
        <v>0</v>
      </c>
      <c r="CC55" s="42">
        <f>SUMIFS('CWO Bulan Ini'!$DC:$DC,'CWO Bulan Ini'!$DJ:$DJ,'Area-Cabang'!$B55,'CWO Bulan Ini'!$DH:$DH,'Area-Cabang'!$E55,'CWO Bulan Ini'!$CZ:$CZ,'Area-Cabang'!CC$41)</f>
        <v>0</v>
      </c>
      <c r="CD55" s="42">
        <f>SUMIFS('CWO Bulan Ini'!$DC:$DC,'CWO Bulan Ini'!$DJ:$DJ,'Area-Cabang'!$B55,'CWO Bulan Ini'!$DH:$DH,'Area-Cabang'!$E55,'CWO Bulan Ini'!$CZ:$CZ,'Area-Cabang'!CD$41)</f>
        <v>0</v>
      </c>
      <c r="CE55" s="42">
        <f>SUMIFS('CWO Bulan Ini'!$DC:$DC,'CWO Bulan Ini'!$DJ:$DJ,'Area-Cabang'!$B55,'CWO Bulan Ini'!$DH:$DH,'Area-Cabang'!$E55,'CWO Bulan Ini'!$CZ:$CZ,'Area-Cabang'!CE$41)</f>
        <v>0</v>
      </c>
      <c r="CF55" s="42">
        <f>SUMIFS('CWO Bulan Ini'!$DC:$DC,'CWO Bulan Ini'!$DJ:$DJ,'Area-Cabang'!$B55,'CWO Bulan Ini'!$DH:$DH,'Area-Cabang'!$E55,'CWO Bulan Ini'!$CZ:$CZ,'Area-Cabang'!CF$41)</f>
        <v>0</v>
      </c>
      <c r="CG55" s="42">
        <f>SUMIFS('CWO Bulan Ini'!$DC:$DC,'CWO Bulan Ini'!$DJ:$DJ,'Area-Cabang'!$B55,'CWO Bulan Ini'!$DH:$DH,'Area-Cabang'!$E55,'CWO Bulan Ini'!$CZ:$CZ,'Area-Cabang'!CG$41)</f>
        <v>0</v>
      </c>
      <c r="CH55" s="42">
        <f>SUMIFS('CWO Bulan Ini'!$DC:$DC,'CWO Bulan Ini'!$DJ:$DJ,'Area-Cabang'!$B55,'CWO Bulan Ini'!$DH:$DH,'Area-Cabang'!$E55,'CWO Bulan Ini'!$CZ:$CZ,'Area-Cabang'!CH$41)</f>
        <v>0</v>
      </c>
      <c r="CI55" s="42">
        <f>SUMIFS('CWO Bulan Ini'!$DC:$DC,'CWO Bulan Ini'!$DJ:$DJ,'Area-Cabang'!$B55,'CWO Bulan Ini'!$DH:$DH,'Area-Cabang'!$E55,'CWO Bulan Ini'!$CZ:$CZ,'Area-Cabang'!CI$41)</f>
        <v>0</v>
      </c>
      <c r="CJ55" s="42">
        <f>SUMIFS('CWO Bulan Ini'!$DC:$DC,'CWO Bulan Ini'!$DJ:$DJ,'Area-Cabang'!$B55,'CWO Bulan Ini'!$DH:$DH,'Area-Cabang'!$E55,'CWO Bulan Ini'!$CZ:$CZ,'Area-Cabang'!CJ$41)</f>
        <v>0</v>
      </c>
      <c r="CK55" s="42">
        <f>SUMIFS('CWO Bulan Ini'!$DC:$DC,'CWO Bulan Ini'!$DJ:$DJ,'Area-Cabang'!$B55,'CWO Bulan Ini'!$DH:$DH,'Area-Cabang'!$E55,'CWO Bulan Ini'!$CZ:$CZ,'Area-Cabang'!CK$41)</f>
        <v>0</v>
      </c>
      <c r="CL55" s="42">
        <f>SUMIFS('CWO Bulan Ini'!$DC:$DC,'CWO Bulan Ini'!$DJ:$DJ,'Area-Cabang'!$B55,'CWO Bulan Ini'!$DH:$DH,'Area-Cabang'!$E55,'CWO Bulan Ini'!$CZ:$CZ,'Area-Cabang'!CL$41)</f>
        <v>0</v>
      </c>
      <c r="CM55" s="42">
        <f>SUMIFS('CWO Bulan Ini'!$DC:$DC,'CWO Bulan Ini'!$DJ:$DJ,'Area-Cabang'!$B55,'CWO Bulan Ini'!$DH:$DH,'Area-Cabang'!$E55,'CWO Bulan Ini'!$CZ:$CZ,'Area-Cabang'!CM$41)</f>
        <v>0</v>
      </c>
      <c r="CN55" s="42">
        <f>SUMIFS('CWO Bulan Ini'!$DC:$DC,'CWO Bulan Ini'!$DJ:$DJ,'Area-Cabang'!$B55,'CWO Bulan Ini'!$DH:$DH,'Area-Cabang'!$E55,'CWO Bulan Ini'!$CZ:$CZ,'Area-Cabang'!CN$41)</f>
        <v>0</v>
      </c>
      <c r="CO55" s="42">
        <f>SUMIFS('CWO Bulan Ini'!$DC:$DC,'CWO Bulan Ini'!$DJ:$DJ,'Area-Cabang'!$B55,'CWO Bulan Ini'!$DH:$DH,'Area-Cabang'!$E55,'CWO Bulan Ini'!$CZ:$CZ,'Area-Cabang'!CO$41)</f>
        <v>0</v>
      </c>
      <c r="CP55" s="42">
        <f>SUMIFS('CWO Bulan Ini'!$DC:$DC,'CWO Bulan Ini'!$DJ:$DJ,'Area-Cabang'!$B55,'CWO Bulan Ini'!$DH:$DH,'Area-Cabang'!$E55,'CWO Bulan Ini'!$CZ:$CZ,'Area-Cabang'!CP$41)</f>
        <v>0</v>
      </c>
      <c r="CQ55" s="42">
        <f>SUMIFS('CWO Bulan Ini'!$DC:$DC,'CWO Bulan Ini'!$DJ:$DJ,'Area-Cabang'!$B55,'CWO Bulan Ini'!$DH:$DH,'Area-Cabang'!$E55,'CWO Bulan Ini'!$CZ:$CZ,'Area-Cabang'!CQ$41)</f>
        <v>0</v>
      </c>
      <c r="CR55" s="42">
        <f>SUMIFS('CWO Bulan Ini'!$DC:$DC,'CWO Bulan Ini'!$DJ:$DJ,'Area-Cabang'!$B55,'CWO Bulan Ini'!$DH:$DH,'Area-Cabang'!$E55,'CWO Bulan Ini'!$CZ:$CZ,'Area-Cabang'!CR$41)</f>
        <v>0</v>
      </c>
      <c r="CS55" s="42">
        <f>SUMIFS('CWO Bulan Ini'!$DC:$DC,'CWO Bulan Ini'!$DJ:$DJ,'Area-Cabang'!$B55,'CWO Bulan Ini'!$DH:$DH,'Area-Cabang'!$E55,'CWO Bulan Ini'!$CZ:$CZ,'Area-Cabang'!CS$41)</f>
        <v>0</v>
      </c>
      <c r="CT55" s="43">
        <f>SUMIFS('CWO Bulan Ini'!$DC:$DC,'CWO Bulan Ini'!$DJ:$DJ,'Area-Cabang'!$B55,'CWO Bulan Ini'!$DH:$DH,'Area-Cabang'!$E55,'CWO Bulan Ini'!$CZ:$CZ,'Area-Cabang'!CT$41)</f>
        <v>0</v>
      </c>
      <c r="CV55" s="96">
        <f t="shared" si="1393"/>
        <v>0</v>
      </c>
      <c r="CW55" s="93">
        <f t="shared" si="1394"/>
        <v>0</v>
      </c>
      <c r="CX55" s="93">
        <f t="shared" si="1395"/>
        <v>0</v>
      </c>
      <c r="CY55" s="93">
        <f t="shared" si="1396"/>
        <v>0</v>
      </c>
      <c r="CZ55" s="106">
        <f t="shared" si="1397"/>
        <v>0</v>
      </c>
    </row>
    <row r="56" spans="1:104" ht="15" customHeight="1" x14ac:dyDescent="0.25">
      <c r="A56" s="58" t="s">
        <v>465</v>
      </c>
      <c r="B56" s="53" t="s">
        <v>812</v>
      </c>
      <c r="C56" s="250"/>
      <c r="D56" s="227" t="s">
        <v>812</v>
      </c>
      <c r="E56" s="228"/>
      <c r="F56" s="219">
        <f t="shared" ref="F56" si="1398">SUM(F54:F55)</f>
        <v>0</v>
      </c>
      <c r="G56" s="220">
        <f t="shared" ref="G56" si="1399">SUM(G54:G55)</f>
        <v>0</v>
      </c>
      <c r="H56" s="220">
        <f t="shared" ref="H56" si="1400">SUM(H54:H55)</f>
        <v>0</v>
      </c>
      <c r="I56" s="220">
        <f t="shared" ref="I56" si="1401">SUM(I54:I55)</f>
        <v>0</v>
      </c>
      <c r="J56" s="220">
        <f t="shared" ref="J56" si="1402">SUM(J54:J55)</f>
        <v>0</v>
      </c>
      <c r="K56" s="220">
        <f t="shared" ref="K56" si="1403">SUM(K54:K55)</f>
        <v>0</v>
      </c>
      <c r="L56" s="220">
        <f t="shared" ref="L56" si="1404">SUM(L54:L55)</f>
        <v>0</v>
      </c>
      <c r="M56" s="220">
        <f t="shared" ref="M56" si="1405">SUM(M54:M55)</f>
        <v>0</v>
      </c>
      <c r="N56" s="220">
        <f t="shared" ref="N56" si="1406">SUM(N54:N55)</f>
        <v>0</v>
      </c>
      <c r="O56" s="220">
        <f t="shared" ref="O56" si="1407">SUM(O54:O55)</f>
        <v>0</v>
      </c>
      <c r="P56" s="220">
        <f t="shared" ref="P56" si="1408">SUM(P54:P55)</f>
        <v>0</v>
      </c>
      <c r="Q56" s="220">
        <f t="shared" ref="Q56" si="1409">SUM(Q54:Q55)</f>
        <v>0</v>
      </c>
      <c r="R56" s="220">
        <f t="shared" ref="R56" si="1410">SUM(R54:R55)</f>
        <v>0</v>
      </c>
      <c r="S56" s="220">
        <f t="shared" ref="S56" si="1411">SUM(S54:S55)</f>
        <v>0</v>
      </c>
      <c r="T56" s="220">
        <f t="shared" ref="T56" si="1412">SUM(T54:T55)</f>
        <v>0</v>
      </c>
      <c r="U56" s="220">
        <f t="shared" ref="U56" si="1413">SUM(U54:U55)</f>
        <v>0</v>
      </c>
      <c r="V56" s="220">
        <f t="shared" ref="V56" si="1414">SUM(V54:V55)</f>
        <v>0</v>
      </c>
      <c r="W56" s="220">
        <f t="shared" ref="W56" si="1415">SUM(W54:W55)</f>
        <v>0</v>
      </c>
      <c r="X56" s="220">
        <f t="shared" ref="X56" si="1416">SUM(X54:X55)</f>
        <v>0</v>
      </c>
      <c r="Y56" s="220">
        <f t="shared" ref="Y56" si="1417">SUM(Y54:Y55)</f>
        <v>0</v>
      </c>
      <c r="Z56" s="220">
        <f t="shared" ref="Z56" si="1418">SUM(Z54:Z55)</f>
        <v>0</v>
      </c>
      <c r="AA56" s="220">
        <f t="shared" ref="AA56" si="1419">SUM(AA54:AA55)</f>
        <v>0</v>
      </c>
      <c r="AB56" s="220">
        <f t="shared" ref="AB56" si="1420">SUM(AB54:AB55)</f>
        <v>0</v>
      </c>
      <c r="AC56" s="220">
        <f t="shared" ref="AC56" si="1421">SUM(AC54:AC55)</f>
        <v>0</v>
      </c>
      <c r="AD56" s="220">
        <f t="shared" ref="AD56" si="1422">SUM(AD54:AD55)</f>
        <v>0</v>
      </c>
      <c r="AE56" s="220">
        <f t="shared" ref="AE56" si="1423">SUM(AE54:AE55)</f>
        <v>0</v>
      </c>
      <c r="AF56" s="220">
        <f t="shared" ref="AF56" si="1424">SUM(AF54:AF55)</f>
        <v>0</v>
      </c>
      <c r="AG56" s="220">
        <f t="shared" ref="AG56" si="1425">SUM(AG54:AG55)</f>
        <v>0</v>
      </c>
      <c r="AH56" s="220">
        <f t="shared" ref="AH56" si="1426">SUM(AH54:AH55)</f>
        <v>0</v>
      </c>
      <c r="AI56" s="220">
        <f t="shared" ref="AI56" si="1427">SUM(AI54:AI55)</f>
        <v>0</v>
      </c>
      <c r="AJ56" s="220">
        <f t="shared" ref="AJ56" si="1428">SUM(AJ54:AJ55)</f>
        <v>0</v>
      </c>
      <c r="AK56" s="219">
        <f t="shared" ref="AK56" si="1429">SUM(AK54:AK55)</f>
        <v>0</v>
      </c>
      <c r="AL56" s="220">
        <f t="shared" ref="AL56" si="1430">SUM(AL54:AL55)</f>
        <v>0</v>
      </c>
      <c r="AM56" s="220">
        <f t="shared" ref="AM56" si="1431">SUM(AM54:AM55)</f>
        <v>0</v>
      </c>
      <c r="AN56" s="220">
        <f t="shared" ref="AN56" si="1432">SUM(AN54:AN55)</f>
        <v>0</v>
      </c>
      <c r="AO56" s="220">
        <f t="shared" ref="AO56" si="1433">SUM(AO54:AO55)</f>
        <v>0</v>
      </c>
      <c r="AP56" s="220">
        <f t="shared" ref="AP56" si="1434">SUM(AP54:AP55)</f>
        <v>0</v>
      </c>
      <c r="AQ56" s="220">
        <f t="shared" ref="AQ56" si="1435">SUM(AQ54:AQ55)</f>
        <v>0</v>
      </c>
      <c r="AR56" s="220">
        <f t="shared" ref="AR56" si="1436">SUM(AR54:AR55)</f>
        <v>0</v>
      </c>
      <c r="AS56" s="220">
        <f t="shared" ref="AS56" si="1437">SUM(AS54:AS55)</f>
        <v>0</v>
      </c>
      <c r="AT56" s="220">
        <f t="shared" ref="AT56" si="1438">SUM(AT54:AT55)</f>
        <v>0</v>
      </c>
      <c r="AU56" s="220">
        <f t="shared" ref="AU56" si="1439">SUM(AU54:AU55)</f>
        <v>0</v>
      </c>
      <c r="AV56" s="220">
        <f t="shared" ref="AV56" si="1440">SUM(AV54:AV55)</f>
        <v>0</v>
      </c>
      <c r="AW56" s="220">
        <f t="shared" ref="AW56" si="1441">SUM(AW54:AW55)</f>
        <v>0</v>
      </c>
      <c r="AX56" s="220">
        <f t="shared" ref="AX56" si="1442">SUM(AX54:AX55)</f>
        <v>0</v>
      </c>
      <c r="AY56" s="220">
        <f t="shared" ref="AY56" si="1443">SUM(AY54:AY55)</f>
        <v>0</v>
      </c>
      <c r="AZ56" s="220">
        <f t="shared" ref="AZ56" si="1444">SUM(AZ54:AZ55)</f>
        <v>0</v>
      </c>
      <c r="BA56" s="220">
        <f t="shared" ref="BA56" si="1445">SUM(BA54:BA55)</f>
        <v>0</v>
      </c>
      <c r="BB56" s="220">
        <f t="shared" ref="BB56" si="1446">SUM(BB54:BB55)</f>
        <v>0</v>
      </c>
      <c r="BC56" s="220">
        <f t="shared" ref="BC56" si="1447">SUM(BC54:BC55)</f>
        <v>0</v>
      </c>
      <c r="BD56" s="220">
        <f t="shared" ref="BD56" si="1448">SUM(BD54:BD55)</f>
        <v>0</v>
      </c>
      <c r="BE56" s="220">
        <f t="shared" ref="BE56" si="1449">SUM(BE54:BE55)</f>
        <v>0</v>
      </c>
      <c r="BF56" s="220">
        <f t="shared" ref="BF56" si="1450">SUM(BF54:BF55)</f>
        <v>0</v>
      </c>
      <c r="BG56" s="220">
        <f t="shared" ref="BG56" si="1451">SUM(BG54:BG55)</f>
        <v>0</v>
      </c>
      <c r="BH56" s="220">
        <f t="shared" ref="BH56" si="1452">SUM(BH54:BH55)</f>
        <v>0</v>
      </c>
      <c r="BI56" s="220">
        <f t="shared" ref="BI56" si="1453">SUM(BI54:BI55)</f>
        <v>0</v>
      </c>
      <c r="BJ56" s="220">
        <f t="shared" ref="BJ56" si="1454">SUM(BJ54:BJ55)</f>
        <v>0</v>
      </c>
      <c r="BK56" s="220">
        <f t="shared" ref="BK56" si="1455">SUM(BK54:BK55)</f>
        <v>0</v>
      </c>
      <c r="BL56" s="220">
        <f t="shared" ref="BL56" si="1456">SUM(BL54:BL55)</f>
        <v>0</v>
      </c>
      <c r="BM56" s="220">
        <f t="shared" ref="BM56" si="1457">SUM(BM54:BM55)</f>
        <v>0</v>
      </c>
      <c r="BN56" s="220">
        <f t="shared" ref="BN56" si="1458">SUM(BN54:BN55)</f>
        <v>0</v>
      </c>
      <c r="BO56" s="221">
        <f t="shared" ref="BO56" si="1459">SUM(BO54:BO55)</f>
        <v>0</v>
      </c>
      <c r="BP56" s="219">
        <f t="shared" ref="BP56" si="1460">SUM(BP54:BP55)</f>
        <v>0</v>
      </c>
      <c r="BQ56" s="220">
        <f t="shared" ref="BQ56" si="1461">SUM(BQ54:BQ55)</f>
        <v>0</v>
      </c>
      <c r="BR56" s="220">
        <f t="shared" ref="BR56" si="1462">SUM(BR54:BR55)</f>
        <v>0</v>
      </c>
      <c r="BS56" s="220">
        <f t="shared" ref="BS56" si="1463">SUM(BS54:BS55)</f>
        <v>0</v>
      </c>
      <c r="BT56" s="220">
        <f t="shared" ref="BT56" si="1464">SUM(BT54:BT55)</f>
        <v>0</v>
      </c>
      <c r="BU56" s="220">
        <f t="shared" ref="BU56" si="1465">SUM(BU54:BU55)</f>
        <v>0</v>
      </c>
      <c r="BV56" s="220">
        <f t="shared" ref="BV56" si="1466">SUM(BV54:BV55)</f>
        <v>0</v>
      </c>
      <c r="BW56" s="220">
        <f t="shared" ref="BW56" si="1467">SUM(BW54:BW55)</f>
        <v>0</v>
      </c>
      <c r="BX56" s="220">
        <f t="shared" ref="BX56" si="1468">SUM(BX54:BX55)</f>
        <v>0</v>
      </c>
      <c r="BY56" s="220">
        <f t="shared" ref="BY56" si="1469">SUM(BY54:BY55)</f>
        <v>0</v>
      </c>
      <c r="BZ56" s="220">
        <f t="shared" ref="BZ56" si="1470">SUM(BZ54:BZ55)</f>
        <v>0</v>
      </c>
      <c r="CA56" s="220">
        <f t="shared" ref="CA56" si="1471">SUM(CA54:CA55)</f>
        <v>0</v>
      </c>
      <c r="CB56" s="220">
        <f t="shared" ref="CB56" si="1472">SUM(CB54:CB55)</f>
        <v>0</v>
      </c>
      <c r="CC56" s="220">
        <f t="shared" ref="CC56" si="1473">SUM(CC54:CC55)</f>
        <v>0</v>
      </c>
      <c r="CD56" s="220">
        <f t="shared" ref="CD56" si="1474">SUM(CD54:CD55)</f>
        <v>0</v>
      </c>
      <c r="CE56" s="220">
        <f t="shared" ref="CE56" si="1475">SUM(CE54:CE55)</f>
        <v>0</v>
      </c>
      <c r="CF56" s="220">
        <f t="shared" ref="CF56" si="1476">SUM(CF54:CF55)</f>
        <v>0</v>
      </c>
      <c r="CG56" s="220">
        <f t="shared" ref="CG56" si="1477">SUM(CG54:CG55)</f>
        <v>0</v>
      </c>
      <c r="CH56" s="220">
        <f t="shared" ref="CH56" si="1478">SUM(CH54:CH55)</f>
        <v>0</v>
      </c>
      <c r="CI56" s="220">
        <f t="shared" ref="CI56" si="1479">SUM(CI54:CI55)</f>
        <v>0</v>
      </c>
      <c r="CJ56" s="220">
        <f t="shared" ref="CJ56" si="1480">SUM(CJ54:CJ55)</f>
        <v>0</v>
      </c>
      <c r="CK56" s="220">
        <f t="shared" ref="CK56" si="1481">SUM(CK54:CK55)</f>
        <v>0</v>
      </c>
      <c r="CL56" s="220">
        <f t="shared" ref="CL56" si="1482">SUM(CL54:CL55)</f>
        <v>0</v>
      </c>
      <c r="CM56" s="220">
        <f t="shared" ref="CM56" si="1483">SUM(CM54:CM55)</f>
        <v>0</v>
      </c>
      <c r="CN56" s="220">
        <f t="shared" ref="CN56" si="1484">SUM(CN54:CN55)</f>
        <v>0</v>
      </c>
      <c r="CO56" s="220">
        <f t="shared" ref="CO56" si="1485">SUM(CO54:CO55)</f>
        <v>0</v>
      </c>
      <c r="CP56" s="220">
        <f t="shared" ref="CP56" si="1486">SUM(CP54:CP55)</f>
        <v>0</v>
      </c>
      <c r="CQ56" s="220">
        <f t="shared" ref="CQ56" si="1487">SUM(CQ54:CQ55)</f>
        <v>0</v>
      </c>
      <c r="CR56" s="220">
        <f t="shared" ref="CR56" si="1488">SUM(CR54:CR55)</f>
        <v>0</v>
      </c>
      <c r="CS56" s="220">
        <f t="shared" ref="CS56" si="1489">SUM(CS54:CS55)</f>
        <v>0</v>
      </c>
      <c r="CT56" s="221">
        <f t="shared" ref="CT56" si="1490">SUM(CT54:CT55)</f>
        <v>0</v>
      </c>
      <c r="CU56" s="226"/>
      <c r="CV56" s="219">
        <f t="shared" ref="CV56" si="1491">SUM(CV54:CV55)</f>
        <v>0</v>
      </c>
      <c r="CW56" s="220">
        <f t="shared" ref="CW56" si="1492">SUM(CW54:CW55)</f>
        <v>0</v>
      </c>
      <c r="CX56" s="220">
        <f t="shared" ref="CX56" si="1493">SUM(CX54:CX55)</f>
        <v>0</v>
      </c>
      <c r="CY56" s="220">
        <f t="shared" ref="CY56" si="1494">SUM(CY54:CY55)</f>
        <v>0</v>
      </c>
      <c r="CZ56" s="222">
        <f t="shared" ref="CZ56" si="1495">SUM(CZ54:CZ55)</f>
        <v>0</v>
      </c>
    </row>
    <row r="57" spans="1:104" ht="15" customHeight="1" x14ac:dyDescent="0.25">
      <c r="A57" s="58" t="s">
        <v>465</v>
      </c>
      <c r="B57" s="53" t="s">
        <v>5</v>
      </c>
      <c r="C57" s="250"/>
      <c r="D57" s="245" t="s">
        <v>5</v>
      </c>
      <c r="E57" s="85" t="s">
        <v>132</v>
      </c>
      <c r="F57" s="55">
        <f>SUMIFS('CWO Bulan Ini'!$DA:$DA,'CWO Bulan Ini'!$DJ:$DJ,'Area-Cabang'!$B57,'CWO Bulan Ini'!$DH:$DH,'Area-Cabang'!$E57,'CWO Bulan Ini'!$CZ:$CZ,'Area-Cabang'!F$41)</f>
        <v>0</v>
      </c>
      <c r="G57" s="56">
        <f>SUMIFS('CWO Bulan Ini'!$DA:$DA,'CWO Bulan Ini'!$DJ:$DJ,'Area-Cabang'!$B57,'CWO Bulan Ini'!$DH:$DH,'Area-Cabang'!$E57,'CWO Bulan Ini'!$CZ:$CZ,'Area-Cabang'!G$41)</f>
        <v>0</v>
      </c>
      <c r="H57" s="56">
        <f>SUMIFS('CWO Bulan Ini'!$DA:$DA,'CWO Bulan Ini'!$DJ:$DJ,'Area-Cabang'!$B57,'CWO Bulan Ini'!$DH:$DH,'Area-Cabang'!$E57,'CWO Bulan Ini'!$CZ:$CZ,'Area-Cabang'!H$41)</f>
        <v>0</v>
      </c>
      <c r="I57" s="56">
        <f>SUMIFS('CWO Bulan Ini'!$DA:$DA,'CWO Bulan Ini'!$DJ:$DJ,'Area-Cabang'!$B57,'CWO Bulan Ini'!$DH:$DH,'Area-Cabang'!$E57,'CWO Bulan Ini'!$CZ:$CZ,'Area-Cabang'!I$41)</f>
        <v>15.7524991</v>
      </c>
      <c r="J57" s="56">
        <f>SUMIFS('CWO Bulan Ini'!$DA:$DA,'CWO Bulan Ini'!$DJ:$DJ,'Area-Cabang'!$B57,'CWO Bulan Ini'!$DH:$DH,'Area-Cabang'!$E57,'CWO Bulan Ini'!$CZ:$CZ,'Area-Cabang'!J$41)</f>
        <v>0</v>
      </c>
      <c r="K57" s="56">
        <f>SUMIFS('CWO Bulan Ini'!$DA:$DA,'CWO Bulan Ini'!$DJ:$DJ,'Area-Cabang'!$B57,'CWO Bulan Ini'!$DH:$DH,'Area-Cabang'!$E57,'CWO Bulan Ini'!$CZ:$CZ,'Area-Cabang'!K$41)</f>
        <v>0</v>
      </c>
      <c r="L57" s="56">
        <f>SUMIFS('CWO Bulan Ini'!$DA:$DA,'CWO Bulan Ini'!$DJ:$DJ,'Area-Cabang'!$B57,'CWO Bulan Ini'!$DH:$DH,'Area-Cabang'!$E57,'CWO Bulan Ini'!$CZ:$CZ,'Area-Cabang'!L$41)</f>
        <v>0</v>
      </c>
      <c r="M57" s="56">
        <f>SUMIFS('CWO Bulan Ini'!$DA:$DA,'CWO Bulan Ini'!$DJ:$DJ,'Area-Cabang'!$B57,'CWO Bulan Ini'!$DH:$DH,'Area-Cabang'!$E57,'CWO Bulan Ini'!$CZ:$CZ,'Area-Cabang'!M$41)</f>
        <v>0</v>
      </c>
      <c r="N57" s="56">
        <f>SUMIFS('CWO Bulan Ini'!$DA:$DA,'CWO Bulan Ini'!$DJ:$DJ,'Area-Cabang'!$B57,'CWO Bulan Ini'!$DH:$DH,'Area-Cabang'!$E57,'CWO Bulan Ini'!$CZ:$CZ,'Area-Cabang'!N$41)</f>
        <v>0</v>
      </c>
      <c r="O57" s="56">
        <f>SUMIFS('CWO Bulan Ini'!$DA:$DA,'CWO Bulan Ini'!$DJ:$DJ,'Area-Cabang'!$B57,'CWO Bulan Ini'!$DH:$DH,'Area-Cabang'!$E57,'CWO Bulan Ini'!$CZ:$CZ,'Area-Cabang'!O$41)</f>
        <v>0</v>
      </c>
      <c r="P57" s="56">
        <f>SUMIFS('CWO Bulan Ini'!$DA:$DA,'CWO Bulan Ini'!$DJ:$DJ,'Area-Cabang'!$B57,'CWO Bulan Ini'!$DH:$DH,'Area-Cabang'!$E57,'CWO Bulan Ini'!$CZ:$CZ,'Area-Cabang'!P$41)</f>
        <v>0</v>
      </c>
      <c r="Q57" s="56">
        <f>SUMIFS('CWO Bulan Ini'!$DA:$DA,'CWO Bulan Ini'!$DJ:$DJ,'Area-Cabang'!$B57,'CWO Bulan Ini'!$DH:$DH,'Area-Cabang'!$E57,'CWO Bulan Ini'!$CZ:$CZ,'Area-Cabang'!Q$41)</f>
        <v>0</v>
      </c>
      <c r="R57" s="56">
        <f>SUMIFS('CWO Bulan Ini'!$DA:$DA,'CWO Bulan Ini'!$DJ:$DJ,'Area-Cabang'!$B57,'CWO Bulan Ini'!$DH:$DH,'Area-Cabang'!$E57,'CWO Bulan Ini'!$CZ:$CZ,'Area-Cabang'!R$41)</f>
        <v>0</v>
      </c>
      <c r="S57" s="56">
        <f>SUMIFS('CWO Bulan Ini'!$DA:$DA,'CWO Bulan Ini'!$DJ:$DJ,'Area-Cabang'!$B57,'CWO Bulan Ini'!$DH:$DH,'Area-Cabang'!$E57,'CWO Bulan Ini'!$CZ:$CZ,'Area-Cabang'!S$41)</f>
        <v>0</v>
      </c>
      <c r="T57" s="56">
        <f>SUMIFS('CWO Bulan Ini'!$DA:$DA,'CWO Bulan Ini'!$DJ:$DJ,'Area-Cabang'!$B57,'CWO Bulan Ini'!$DH:$DH,'Area-Cabang'!$E57,'CWO Bulan Ini'!$CZ:$CZ,'Area-Cabang'!T$41)</f>
        <v>0</v>
      </c>
      <c r="U57" s="56">
        <f>SUMIFS('CWO Bulan Ini'!$DA:$DA,'CWO Bulan Ini'!$DJ:$DJ,'Area-Cabang'!$B57,'CWO Bulan Ini'!$DH:$DH,'Area-Cabang'!$E57,'CWO Bulan Ini'!$CZ:$CZ,'Area-Cabang'!U$41)</f>
        <v>0</v>
      </c>
      <c r="V57" s="56">
        <f>SUMIFS('CWO Bulan Ini'!$DA:$DA,'CWO Bulan Ini'!$DJ:$DJ,'Area-Cabang'!$B57,'CWO Bulan Ini'!$DH:$DH,'Area-Cabang'!$E57,'CWO Bulan Ini'!$CZ:$CZ,'Area-Cabang'!V$41)</f>
        <v>0</v>
      </c>
      <c r="W57" s="56">
        <f>SUMIFS('CWO Bulan Ini'!$DA:$DA,'CWO Bulan Ini'!$DJ:$DJ,'Area-Cabang'!$B57,'CWO Bulan Ini'!$DH:$DH,'Area-Cabang'!$E57,'CWO Bulan Ini'!$CZ:$CZ,'Area-Cabang'!W$41)</f>
        <v>0</v>
      </c>
      <c r="X57" s="56">
        <f>SUMIFS('CWO Bulan Ini'!$DA:$DA,'CWO Bulan Ini'!$DJ:$DJ,'Area-Cabang'!$B57,'CWO Bulan Ini'!$DH:$DH,'Area-Cabang'!$E57,'CWO Bulan Ini'!$CZ:$CZ,'Area-Cabang'!X$41)</f>
        <v>0</v>
      </c>
      <c r="Y57" s="56">
        <f>SUMIFS('CWO Bulan Ini'!$DA:$DA,'CWO Bulan Ini'!$DJ:$DJ,'Area-Cabang'!$B57,'CWO Bulan Ini'!$DH:$DH,'Area-Cabang'!$E57,'CWO Bulan Ini'!$CZ:$CZ,'Area-Cabang'!Y$41)</f>
        <v>0</v>
      </c>
      <c r="Z57" s="56">
        <f>SUMIFS('CWO Bulan Ini'!$DA:$DA,'CWO Bulan Ini'!$DJ:$DJ,'Area-Cabang'!$B57,'CWO Bulan Ini'!$DH:$DH,'Area-Cabang'!$E57,'CWO Bulan Ini'!$CZ:$CZ,'Area-Cabang'!Z$41)</f>
        <v>0</v>
      </c>
      <c r="AA57" s="56">
        <f>SUMIFS('CWO Bulan Ini'!$DA:$DA,'CWO Bulan Ini'!$DJ:$DJ,'Area-Cabang'!$B57,'CWO Bulan Ini'!$DH:$DH,'Area-Cabang'!$E57,'CWO Bulan Ini'!$CZ:$CZ,'Area-Cabang'!AA$41)</f>
        <v>0</v>
      </c>
      <c r="AB57" s="56">
        <f>SUMIFS('CWO Bulan Ini'!$DA:$DA,'CWO Bulan Ini'!$DJ:$DJ,'Area-Cabang'!$B57,'CWO Bulan Ini'!$DH:$DH,'Area-Cabang'!$E57,'CWO Bulan Ini'!$CZ:$CZ,'Area-Cabang'!AB$41)</f>
        <v>0</v>
      </c>
      <c r="AC57" s="56">
        <f>SUMIFS('CWO Bulan Ini'!$DA:$DA,'CWO Bulan Ini'!$DJ:$DJ,'Area-Cabang'!$B57,'CWO Bulan Ini'!$DH:$DH,'Area-Cabang'!$E57,'CWO Bulan Ini'!$CZ:$CZ,'Area-Cabang'!AC$41)</f>
        <v>0</v>
      </c>
      <c r="AD57" s="56">
        <f>SUMIFS('CWO Bulan Ini'!$DA:$DA,'CWO Bulan Ini'!$DJ:$DJ,'Area-Cabang'!$B57,'CWO Bulan Ini'!$DH:$DH,'Area-Cabang'!$E57,'CWO Bulan Ini'!$CZ:$CZ,'Area-Cabang'!AD$41)</f>
        <v>0</v>
      </c>
      <c r="AE57" s="56">
        <f>SUMIFS('CWO Bulan Ini'!$DA:$DA,'CWO Bulan Ini'!$DJ:$DJ,'Area-Cabang'!$B57,'CWO Bulan Ini'!$DH:$DH,'Area-Cabang'!$E57,'CWO Bulan Ini'!$CZ:$CZ,'Area-Cabang'!AE$41)</f>
        <v>0</v>
      </c>
      <c r="AF57" s="56">
        <f>SUMIFS('CWO Bulan Ini'!$DA:$DA,'CWO Bulan Ini'!$DJ:$DJ,'Area-Cabang'!$B57,'CWO Bulan Ini'!$DH:$DH,'Area-Cabang'!$E57,'CWO Bulan Ini'!$CZ:$CZ,'Area-Cabang'!AF$41)</f>
        <v>0</v>
      </c>
      <c r="AG57" s="56">
        <f>SUMIFS('CWO Bulan Ini'!$DA:$DA,'CWO Bulan Ini'!$DJ:$DJ,'Area-Cabang'!$B57,'CWO Bulan Ini'!$DH:$DH,'Area-Cabang'!$E57,'CWO Bulan Ini'!$CZ:$CZ,'Area-Cabang'!AG$41)</f>
        <v>0</v>
      </c>
      <c r="AH57" s="56">
        <f>SUMIFS('CWO Bulan Ini'!$DA:$DA,'CWO Bulan Ini'!$DJ:$DJ,'Area-Cabang'!$B57,'CWO Bulan Ini'!$DH:$DH,'Area-Cabang'!$E57,'CWO Bulan Ini'!$CZ:$CZ,'Area-Cabang'!AH$41)</f>
        <v>0</v>
      </c>
      <c r="AI57" s="56">
        <f>SUMIFS('CWO Bulan Ini'!$DA:$DA,'CWO Bulan Ini'!$DJ:$DJ,'Area-Cabang'!$B57,'CWO Bulan Ini'!$DH:$DH,'Area-Cabang'!$E57,'CWO Bulan Ini'!$CZ:$CZ,'Area-Cabang'!AI$41)</f>
        <v>0</v>
      </c>
      <c r="AJ57" s="56">
        <f>SUMIFS('CWO Bulan Ini'!$DA:$DA,'CWO Bulan Ini'!$DJ:$DJ,'Area-Cabang'!$B57,'CWO Bulan Ini'!$DH:$DH,'Area-Cabang'!$E57,'CWO Bulan Ini'!$CZ:$CZ,'Area-Cabang'!AJ$41)</f>
        <v>0</v>
      </c>
      <c r="AK57" s="55">
        <f>SUMIFS('CWO Bulan Ini'!$DD:$DD,'CWO Bulan Ini'!$DJ:$DJ,'Area-Cabang'!$B57,'CWO Bulan Ini'!$DH:$DH,'Area-Cabang'!$E57,'CWO Bulan Ini'!$CZ:$CZ,'Area-Cabang'!AK$41)</f>
        <v>0</v>
      </c>
      <c r="AL57" s="56">
        <f>SUMIFS('CWO Bulan Ini'!$DD:$DD,'CWO Bulan Ini'!$DJ:$DJ,'Area-Cabang'!$B57,'CWO Bulan Ini'!$DH:$DH,'Area-Cabang'!$E57,'CWO Bulan Ini'!$CZ:$CZ,'Area-Cabang'!AL$41)</f>
        <v>0</v>
      </c>
      <c r="AM57" s="56">
        <f>SUMIFS('CWO Bulan Ini'!$DD:$DD,'CWO Bulan Ini'!$DJ:$DJ,'Area-Cabang'!$B57,'CWO Bulan Ini'!$DH:$DH,'Area-Cabang'!$E57,'CWO Bulan Ini'!$CZ:$CZ,'Area-Cabang'!AM$41)</f>
        <v>0</v>
      </c>
      <c r="AN57" s="56">
        <f>SUMIFS('CWO Bulan Ini'!$DD:$DD,'CWO Bulan Ini'!$DJ:$DJ,'Area-Cabang'!$B57,'CWO Bulan Ini'!$DH:$DH,'Area-Cabang'!$E57,'CWO Bulan Ini'!$CZ:$CZ,'Area-Cabang'!AN$41)</f>
        <v>15.7524991</v>
      </c>
      <c r="AO57" s="56">
        <f>SUMIFS('CWO Bulan Ini'!$DD:$DD,'CWO Bulan Ini'!$DJ:$DJ,'Area-Cabang'!$B57,'CWO Bulan Ini'!$DH:$DH,'Area-Cabang'!$E57,'CWO Bulan Ini'!$CZ:$CZ,'Area-Cabang'!AO$41)</f>
        <v>0</v>
      </c>
      <c r="AP57" s="56">
        <f>SUMIFS('CWO Bulan Ini'!$DD:$DD,'CWO Bulan Ini'!$DJ:$DJ,'Area-Cabang'!$B57,'CWO Bulan Ini'!$DH:$DH,'Area-Cabang'!$E57,'CWO Bulan Ini'!$CZ:$CZ,'Area-Cabang'!AP$41)</f>
        <v>0</v>
      </c>
      <c r="AQ57" s="56">
        <f>SUMIFS('CWO Bulan Ini'!$DD:$DD,'CWO Bulan Ini'!$DJ:$DJ,'Area-Cabang'!$B57,'CWO Bulan Ini'!$DH:$DH,'Area-Cabang'!$E57,'CWO Bulan Ini'!$CZ:$CZ,'Area-Cabang'!AQ$41)</f>
        <v>0</v>
      </c>
      <c r="AR57" s="56">
        <f>SUMIFS('CWO Bulan Ini'!$DD:$DD,'CWO Bulan Ini'!$DJ:$DJ,'Area-Cabang'!$B57,'CWO Bulan Ini'!$DH:$DH,'Area-Cabang'!$E57,'CWO Bulan Ini'!$CZ:$CZ,'Area-Cabang'!AR$41)</f>
        <v>0</v>
      </c>
      <c r="AS57" s="56">
        <f>SUMIFS('CWO Bulan Ini'!$DD:$DD,'CWO Bulan Ini'!$DJ:$DJ,'Area-Cabang'!$B57,'CWO Bulan Ini'!$DH:$DH,'Area-Cabang'!$E57,'CWO Bulan Ini'!$CZ:$CZ,'Area-Cabang'!AS$41)</f>
        <v>0</v>
      </c>
      <c r="AT57" s="56">
        <f>SUMIFS('CWO Bulan Ini'!$DD:$DD,'CWO Bulan Ini'!$DJ:$DJ,'Area-Cabang'!$B57,'CWO Bulan Ini'!$DH:$DH,'Area-Cabang'!$E57,'CWO Bulan Ini'!$CZ:$CZ,'Area-Cabang'!AT$41)</f>
        <v>0</v>
      </c>
      <c r="AU57" s="56">
        <f>SUMIFS('CWO Bulan Ini'!$DD:$DD,'CWO Bulan Ini'!$DJ:$DJ,'Area-Cabang'!$B57,'CWO Bulan Ini'!$DH:$DH,'Area-Cabang'!$E57,'CWO Bulan Ini'!$CZ:$CZ,'Area-Cabang'!AU$41)</f>
        <v>0</v>
      </c>
      <c r="AV57" s="56">
        <f>SUMIFS('CWO Bulan Ini'!$DD:$DD,'CWO Bulan Ini'!$DJ:$DJ,'Area-Cabang'!$B57,'CWO Bulan Ini'!$DH:$DH,'Area-Cabang'!$E57,'CWO Bulan Ini'!$CZ:$CZ,'Area-Cabang'!AV$41)</f>
        <v>0</v>
      </c>
      <c r="AW57" s="56">
        <f>SUMIFS('CWO Bulan Ini'!$DD:$DD,'CWO Bulan Ini'!$DJ:$DJ,'Area-Cabang'!$B57,'CWO Bulan Ini'!$DH:$DH,'Area-Cabang'!$E57,'CWO Bulan Ini'!$CZ:$CZ,'Area-Cabang'!AW$41)</f>
        <v>0</v>
      </c>
      <c r="AX57" s="56">
        <f>SUMIFS('CWO Bulan Ini'!$DD:$DD,'CWO Bulan Ini'!$DJ:$DJ,'Area-Cabang'!$B57,'CWO Bulan Ini'!$DH:$DH,'Area-Cabang'!$E57,'CWO Bulan Ini'!$CZ:$CZ,'Area-Cabang'!AX$41)</f>
        <v>0</v>
      </c>
      <c r="AY57" s="56">
        <f>SUMIFS('CWO Bulan Ini'!$DD:$DD,'CWO Bulan Ini'!$DJ:$DJ,'Area-Cabang'!$B57,'CWO Bulan Ini'!$DH:$DH,'Area-Cabang'!$E57,'CWO Bulan Ini'!$CZ:$CZ,'Area-Cabang'!AY$41)</f>
        <v>0</v>
      </c>
      <c r="AZ57" s="56">
        <f>SUMIFS('CWO Bulan Ini'!$DD:$DD,'CWO Bulan Ini'!$DJ:$DJ,'Area-Cabang'!$B57,'CWO Bulan Ini'!$DH:$DH,'Area-Cabang'!$E57,'CWO Bulan Ini'!$CZ:$CZ,'Area-Cabang'!AZ$41)</f>
        <v>0</v>
      </c>
      <c r="BA57" s="56">
        <f>SUMIFS('CWO Bulan Ini'!$DD:$DD,'CWO Bulan Ini'!$DJ:$DJ,'Area-Cabang'!$B57,'CWO Bulan Ini'!$DH:$DH,'Area-Cabang'!$E57,'CWO Bulan Ini'!$CZ:$CZ,'Area-Cabang'!BA$41)</f>
        <v>0</v>
      </c>
      <c r="BB57" s="56">
        <f>SUMIFS('CWO Bulan Ini'!$DD:$DD,'CWO Bulan Ini'!$DJ:$DJ,'Area-Cabang'!$B57,'CWO Bulan Ini'!$DH:$DH,'Area-Cabang'!$E57,'CWO Bulan Ini'!$CZ:$CZ,'Area-Cabang'!BB$41)</f>
        <v>0</v>
      </c>
      <c r="BC57" s="56">
        <f>SUMIFS('CWO Bulan Ini'!$DD:$DD,'CWO Bulan Ini'!$DJ:$DJ,'Area-Cabang'!$B57,'CWO Bulan Ini'!$DH:$DH,'Area-Cabang'!$E57,'CWO Bulan Ini'!$CZ:$CZ,'Area-Cabang'!BC$41)</f>
        <v>0</v>
      </c>
      <c r="BD57" s="56">
        <f>SUMIFS('CWO Bulan Ini'!$DD:$DD,'CWO Bulan Ini'!$DJ:$DJ,'Area-Cabang'!$B57,'CWO Bulan Ini'!$DH:$DH,'Area-Cabang'!$E57,'CWO Bulan Ini'!$CZ:$CZ,'Area-Cabang'!BD$41)</f>
        <v>0</v>
      </c>
      <c r="BE57" s="56">
        <f>SUMIFS('CWO Bulan Ini'!$DD:$DD,'CWO Bulan Ini'!$DJ:$DJ,'Area-Cabang'!$B57,'CWO Bulan Ini'!$DH:$DH,'Area-Cabang'!$E57,'CWO Bulan Ini'!$CZ:$CZ,'Area-Cabang'!BE$41)</f>
        <v>0</v>
      </c>
      <c r="BF57" s="56">
        <f>SUMIFS('CWO Bulan Ini'!$DD:$DD,'CWO Bulan Ini'!$DJ:$DJ,'Area-Cabang'!$B57,'CWO Bulan Ini'!$DH:$DH,'Area-Cabang'!$E57,'CWO Bulan Ini'!$CZ:$CZ,'Area-Cabang'!BF$41)</f>
        <v>0</v>
      </c>
      <c r="BG57" s="56">
        <f>SUMIFS('CWO Bulan Ini'!$DD:$DD,'CWO Bulan Ini'!$DJ:$DJ,'Area-Cabang'!$B57,'CWO Bulan Ini'!$DH:$DH,'Area-Cabang'!$E57,'CWO Bulan Ini'!$CZ:$CZ,'Area-Cabang'!BG$41)</f>
        <v>0</v>
      </c>
      <c r="BH57" s="56">
        <f>SUMIFS('CWO Bulan Ini'!$DD:$DD,'CWO Bulan Ini'!$DJ:$DJ,'Area-Cabang'!$B57,'CWO Bulan Ini'!$DH:$DH,'Area-Cabang'!$E57,'CWO Bulan Ini'!$CZ:$CZ,'Area-Cabang'!BH$41)</f>
        <v>0</v>
      </c>
      <c r="BI57" s="56">
        <f>SUMIFS('CWO Bulan Ini'!$DD:$DD,'CWO Bulan Ini'!$DJ:$DJ,'Area-Cabang'!$B57,'CWO Bulan Ini'!$DH:$DH,'Area-Cabang'!$E57,'CWO Bulan Ini'!$CZ:$CZ,'Area-Cabang'!BI$41)</f>
        <v>0</v>
      </c>
      <c r="BJ57" s="56">
        <f>SUMIFS('CWO Bulan Ini'!$DD:$DD,'CWO Bulan Ini'!$DJ:$DJ,'Area-Cabang'!$B57,'CWO Bulan Ini'!$DH:$DH,'Area-Cabang'!$E57,'CWO Bulan Ini'!$CZ:$CZ,'Area-Cabang'!BJ$41)</f>
        <v>0</v>
      </c>
      <c r="BK57" s="56">
        <f>SUMIFS('CWO Bulan Ini'!$DD:$DD,'CWO Bulan Ini'!$DJ:$DJ,'Area-Cabang'!$B57,'CWO Bulan Ini'!$DH:$DH,'Area-Cabang'!$E57,'CWO Bulan Ini'!$CZ:$CZ,'Area-Cabang'!BK$41)</f>
        <v>0</v>
      </c>
      <c r="BL57" s="56">
        <f>SUMIFS('CWO Bulan Ini'!$DD:$DD,'CWO Bulan Ini'!$DJ:$DJ,'Area-Cabang'!$B57,'CWO Bulan Ini'!$DH:$DH,'Area-Cabang'!$E57,'CWO Bulan Ini'!$CZ:$CZ,'Area-Cabang'!BL$41)</f>
        <v>0</v>
      </c>
      <c r="BM57" s="56">
        <f>SUMIFS('CWO Bulan Ini'!$DD:$DD,'CWO Bulan Ini'!$DJ:$DJ,'Area-Cabang'!$B57,'CWO Bulan Ini'!$DH:$DH,'Area-Cabang'!$E57,'CWO Bulan Ini'!$CZ:$CZ,'Area-Cabang'!BM$41)</f>
        <v>0</v>
      </c>
      <c r="BN57" s="56">
        <f>SUMIFS('CWO Bulan Ini'!$DD:$DD,'CWO Bulan Ini'!$DJ:$DJ,'Area-Cabang'!$B57,'CWO Bulan Ini'!$DH:$DH,'Area-Cabang'!$E57,'CWO Bulan Ini'!$CZ:$CZ,'Area-Cabang'!BN$41)</f>
        <v>0</v>
      </c>
      <c r="BO57" s="57">
        <f>SUMIFS('CWO Bulan Ini'!$DD:$DD,'CWO Bulan Ini'!$DJ:$DJ,'Area-Cabang'!$B57,'CWO Bulan Ini'!$DH:$DH,'Area-Cabang'!$E57,'CWO Bulan Ini'!$CZ:$CZ,'Area-Cabang'!BO$41)</f>
        <v>0</v>
      </c>
      <c r="BP57" s="55">
        <f>SUMIFS('CWO Bulan Ini'!$DC:$DC,'CWO Bulan Ini'!$DJ:$DJ,'Area-Cabang'!$B57,'CWO Bulan Ini'!$DH:$DH,'Area-Cabang'!$E57,'CWO Bulan Ini'!$CZ:$CZ,'Area-Cabang'!BP$41)</f>
        <v>0</v>
      </c>
      <c r="BQ57" s="56">
        <f>SUMIFS('CWO Bulan Ini'!$DC:$DC,'CWO Bulan Ini'!$DJ:$DJ,'Area-Cabang'!$B57,'CWO Bulan Ini'!$DH:$DH,'Area-Cabang'!$E57,'CWO Bulan Ini'!$CZ:$CZ,'Area-Cabang'!BQ$41)</f>
        <v>0</v>
      </c>
      <c r="BR57" s="56">
        <f>SUMIFS('CWO Bulan Ini'!$DC:$DC,'CWO Bulan Ini'!$DJ:$DJ,'Area-Cabang'!$B57,'CWO Bulan Ini'!$DH:$DH,'Area-Cabang'!$E57,'CWO Bulan Ini'!$CZ:$CZ,'Area-Cabang'!BR$41)</f>
        <v>0</v>
      </c>
      <c r="BS57" s="56">
        <f>SUMIFS('CWO Bulan Ini'!$DC:$DC,'CWO Bulan Ini'!$DJ:$DJ,'Area-Cabang'!$B57,'CWO Bulan Ini'!$DH:$DH,'Area-Cabang'!$E57,'CWO Bulan Ini'!$CZ:$CZ,'Area-Cabang'!BS$41)</f>
        <v>0</v>
      </c>
      <c r="BT57" s="56">
        <f>SUMIFS('CWO Bulan Ini'!$DC:$DC,'CWO Bulan Ini'!$DJ:$DJ,'Area-Cabang'!$B57,'CWO Bulan Ini'!$DH:$DH,'Area-Cabang'!$E57,'CWO Bulan Ini'!$CZ:$CZ,'Area-Cabang'!BT$41)</f>
        <v>0</v>
      </c>
      <c r="BU57" s="56">
        <f>SUMIFS('CWO Bulan Ini'!$DC:$DC,'CWO Bulan Ini'!$DJ:$DJ,'Area-Cabang'!$B57,'CWO Bulan Ini'!$DH:$DH,'Area-Cabang'!$E57,'CWO Bulan Ini'!$CZ:$CZ,'Area-Cabang'!BU$41)</f>
        <v>0</v>
      </c>
      <c r="BV57" s="56">
        <f>SUMIFS('CWO Bulan Ini'!$DC:$DC,'CWO Bulan Ini'!$DJ:$DJ,'Area-Cabang'!$B57,'CWO Bulan Ini'!$DH:$DH,'Area-Cabang'!$E57,'CWO Bulan Ini'!$CZ:$CZ,'Area-Cabang'!BV$41)</f>
        <v>0</v>
      </c>
      <c r="BW57" s="56">
        <f>SUMIFS('CWO Bulan Ini'!$DC:$DC,'CWO Bulan Ini'!$DJ:$DJ,'Area-Cabang'!$B57,'CWO Bulan Ini'!$DH:$DH,'Area-Cabang'!$E57,'CWO Bulan Ini'!$CZ:$CZ,'Area-Cabang'!BW$41)</f>
        <v>0</v>
      </c>
      <c r="BX57" s="56">
        <f>SUMIFS('CWO Bulan Ini'!$DC:$DC,'CWO Bulan Ini'!$DJ:$DJ,'Area-Cabang'!$B57,'CWO Bulan Ini'!$DH:$DH,'Area-Cabang'!$E57,'CWO Bulan Ini'!$CZ:$CZ,'Area-Cabang'!BX$41)</f>
        <v>0</v>
      </c>
      <c r="BY57" s="56">
        <f>SUMIFS('CWO Bulan Ini'!$DC:$DC,'CWO Bulan Ini'!$DJ:$DJ,'Area-Cabang'!$B57,'CWO Bulan Ini'!$DH:$DH,'Area-Cabang'!$E57,'CWO Bulan Ini'!$CZ:$CZ,'Area-Cabang'!BY$41)</f>
        <v>0</v>
      </c>
      <c r="BZ57" s="56">
        <f>SUMIFS('CWO Bulan Ini'!$DC:$DC,'CWO Bulan Ini'!$DJ:$DJ,'Area-Cabang'!$B57,'CWO Bulan Ini'!$DH:$DH,'Area-Cabang'!$E57,'CWO Bulan Ini'!$CZ:$CZ,'Area-Cabang'!BZ$41)</f>
        <v>0</v>
      </c>
      <c r="CA57" s="56">
        <f>SUMIFS('CWO Bulan Ini'!$DC:$DC,'CWO Bulan Ini'!$DJ:$DJ,'Area-Cabang'!$B57,'CWO Bulan Ini'!$DH:$DH,'Area-Cabang'!$E57,'CWO Bulan Ini'!$CZ:$CZ,'Area-Cabang'!CA$41)</f>
        <v>0</v>
      </c>
      <c r="CB57" s="56">
        <f>SUMIFS('CWO Bulan Ini'!$DC:$DC,'CWO Bulan Ini'!$DJ:$DJ,'Area-Cabang'!$B57,'CWO Bulan Ini'!$DH:$DH,'Area-Cabang'!$E57,'CWO Bulan Ini'!$CZ:$CZ,'Area-Cabang'!CB$41)</f>
        <v>0</v>
      </c>
      <c r="CC57" s="56">
        <f>SUMIFS('CWO Bulan Ini'!$DC:$DC,'CWO Bulan Ini'!$DJ:$DJ,'Area-Cabang'!$B57,'CWO Bulan Ini'!$DH:$DH,'Area-Cabang'!$E57,'CWO Bulan Ini'!$CZ:$CZ,'Area-Cabang'!CC$41)</f>
        <v>0</v>
      </c>
      <c r="CD57" s="56">
        <f>SUMIFS('CWO Bulan Ini'!$DC:$DC,'CWO Bulan Ini'!$DJ:$DJ,'Area-Cabang'!$B57,'CWO Bulan Ini'!$DH:$DH,'Area-Cabang'!$E57,'CWO Bulan Ini'!$CZ:$CZ,'Area-Cabang'!CD$41)</f>
        <v>0</v>
      </c>
      <c r="CE57" s="56">
        <f>SUMIFS('CWO Bulan Ini'!$DC:$DC,'CWO Bulan Ini'!$DJ:$DJ,'Area-Cabang'!$B57,'CWO Bulan Ini'!$DH:$DH,'Area-Cabang'!$E57,'CWO Bulan Ini'!$CZ:$CZ,'Area-Cabang'!CE$41)</f>
        <v>0</v>
      </c>
      <c r="CF57" s="56">
        <f>SUMIFS('CWO Bulan Ini'!$DC:$DC,'CWO Bulan Ini'!$DJ:$DJ,'Area-Cabang'!$B57,'CWO Bulan Ini'!$DH:$DH,'Area-Cabang'!$E57,'CWO Bulan Ini'!$CZ:$CZ,'Area-Cabang'!CF$41)</f>
        <v>0</v>
      </c>
      <c r="CG57" s="56">
        <f>SUMIFS('CWO Bulan Ini'!$DC:$DC,'CWO Bulan Ini'!$DJ:$DJ,'Area-Cabang'!$B57,'CWO Bulan Ini'!$DH:$DH,'Area-Cabang'!$E57,'CWO Bulan Ini'!$CZ:$CZ,'Area-Cabang'!CG$41)</f>
        <v>0</v>
      </c>
      <c r="CH57" s="56">
        <f>SUMIFS('CWO Bulan Ini'!$DC:$DC,'CWO Bulan Ini'!$DJ:$DJ,'Area-Cabang'!$B57,'CWO Bulan Ini'!$DH:$DH,'Area-Cabang'!$E57,'CWO Bulan Ini'!$CZ:$CZ,'Area-Cabang'!CH$41)</f>
        <v>0</v>
      </c>
      <c r="CI57" s="56">
        <f>SUMIFS('CWO Bulan Ini'!$DC:$DC,'CWO Bulan Ini'!$DJ:$DJ,'Area-Cabang'!$B57,'CWO Bulan Ini'!$DH:$DH,'Area-Cabang'!$E57,'CWO Bulan Ini'!$CZ:$CZ,'Area-Cabang'!CI$41)</f>
        <v>0</v>
      </c>
      <c r="CJ57" s="56">
        <f>SUMIFS('CWO Bulan Ini'!$DC:$DC,'CWO Bulan Ini'!$DJ:$DJ,'Area-Cabang'!$B57,'CWO Bulan Ini'!$DH:$DH,'Area-Cabang'!$E57,'CWO Bulan Ini'!$CZ:$CZ,'Area-Cabang'!CJ$41)</f>
        <v>0</v>
      </c>
      <c r="CK57" s="56">
        <f>SUMIFS('CWO Bulan Ini'!$DC:$DC,'CWO Bulan Ini'!$DJ:$DJ,'Area-Cabang'!$B57,'CWO Bulan Ini'!$DH:$DH,'Area-Cabang'!$E57,'CWO Bulan Ini'!$CZ:$CZ,'Area-Cabang'!CK$41)</f>
        <v>0</v>
      </c>
      <c r="CL57" s="56">
        <f>SUMIFS('CWO Bulan Ini'!$DC:$DC,'CWO Bulan Ini'!$DJ:$DJ,'Area-Cabang'!$B57,'CWO Bulan Ini'!$DH:$DH,'Area-Cabang'!$E57,'CWO Bulan Ini'!$CZ:$CZ,'Area-Cabang'!CL$41)</f>
        <v>0</v>
      </c>
      <c r="CM57" s="56">
        <f>SUMIFS('CWO Bulan Ini'!$DC:$DC,'CWO Bulan Ini'!$DJ:$DJ,'Area-Cabang'!$B57,'CWO Bulan Ini'!$DH:$DH,'Area-Cabang'!$E57,'CWO Bulan Ini'!$CZ:$CZ,'Area-Cabang'!CM$41)</f>
        <v>0</v>
      </c>
      <c r="CN57" s="56">
        <f>SUMIFS('CWO Bulan Ini'!$DC:$DC,'CWO Bulan Ini'!$DJ:$DJ,'Area-Cabang'!$B57,'CWO Bulan Ini'!$DH:$DH,'Area-Cabang'!$E57,'CWO Bulan Ini'!$CZ:$CZ,'Area-Cabang'!CN$41)</f>
        <v>0</v>
      </c>
      <c r="CO57" s="56">
        <f>SUMIFS('CWO Bulan Ini'!$DC:$DC,'CWO Bulan Ini'!$DJ:$DJ,'Area-Cabang'!$B57,'CWO Bulan Ini'!$DH:$DH,'Area-Cabang'!$E57,'CWO Bulan Ini'!$CZ:$CZ,'Area-Cabang'!CO$41)</f>
        <v>0</v>
      </c>
      <c r="CP57" s="56">
        <f>SUMIFS('CWO Bulan Ini'!$DC:$DC,'CWO Bulan Ini'!$DJ:$DJ,'Area-Cabang'!$B57,'CWO Bulan Ini'!$DH:$DH,'Area-Cabang'!$E57,'CWO Bulan Ini'!$CZ:$CZ,'Area-Cabang'!CP$41)</f>
        <v>0</v>
      </c>
      <c r="CQ57" s="56">
        <f>SUMIFS('CWO Bulan Ini'!$DC:$DC,'CWO Bulan Ini'!$DJ:$DJ,'Area-Cabang'!$B57,'CWO Bulan Ini'!$DH:$DH,'Area-Cabang'!$E57,'CWO Bulan Ini'!$CZ:$CZ,'Area-Cabang'!CQ$41)</f>
        <v>0</v>
      </c>
      <c r="CR57" s="56">
        <f>SUMIFS('CWO Bulan Ini'!$DC:$DC,'CWO Bulan Ini'!$DJ:$DJ,'Area-Cabang'!$B57,'CWO Bulan Ini'!$DH:$DH,'Area-Cabang'!$E57,'CWO Bulan Ini'!$CZ:$CZ,'Area-Cabang'!CR$41)</f>
        <v>0</v>
      </c>
      <c r="CS57" s="56">
        <f>SUMIFS('CWO Bulan Ini'!$DC:$DC,'CWO Bulan Ini'!$DJ:$DJ,'Area-Cabang'!$B57,'CWO Bulan Ini'!$DH:$DH,'Area-Cabang'!$E57,'CWO Bulan Ini'!$CZ:$CZ,'Area-Cabang'!CS$41)</f>
        <v>0</v>
      </c>
      <c r="CT57" s="57">
        <f>SUMIFS('CWO Bulan Ini'!$DC:$DC,'CWO Bulan Ini'!$DJ:$DJ,'Area-Cabang'!$B57,'CWO Bulan Ini'!$DH:$DH,'Area-Cabang'!$E57,'CWO Bulan Ini'!$CZ:$CZ,'Area-Cabang'!CT$41)</f>
        <v>0</v>
      </c>
      <c r="CV57" s="97">
        <f t="shared" ref="CV57:CV58" si="1496">SUM(F57:AJ57)</f>
        <v>15.7524991</v>
      </c>
      <c r="CW57" s="98">
        <f t="shared" ref="CW57:CW58" si="1497">SUM(AK57:BO57)</f>
        <v>15.7524991</v>
      </c>
      <c r="CX57" s="98">
        <f t="shared" ref="CX57:CX58" si="1498">SUM(BP57:CT57)</f>
        <v>0</v>
      </c>
      <c r="CY57" s="98">
        <f t="shared" ref="CY57:CY58" si="1499">CV57-CW57-CX57</f>
        <v>0</v>
      </c>
      <c r="CZ57" s="105">
        <f t="shared" ref="CZ57:CZ58" si="1500">CY57+CW57</f>
        <v>15.7524991</v>
      </c>
    </row>
    <row r="58" spans="1:104" ht="15" customHeight="1" x14ac:dyDescent="0.25">
      <c r="A58" s="58" t="s">
        <v>465</v>
      </c>
      <c r="B58" s="58" t="s">
        <v>5</v>
      </c>
      <c r="C58" s="250"/>
      <c r="D58" s="244"/>
      <c r="E58" s="40" t="s">
        <v>349</v>
      </c>
      <c r="F58" s="41">
        <f>SUMIFS('CWO Bulan Ini'!$DA:$DA,'CWO Bulan Ini'!$DJ:$DJ,'Area-Cabang'!$B58,'CWO Bulan Ini'!$DH:$DH,'Area-Cabang'!$E58,'CWO Bulan Ini'!$CZ:$CZ,'Area-Cabang'!F$41)</f>
        <v>0</v>
      </c>
      <c r="G58" s="42">
        <f>SUMIFS('CWO Bulan Ini'!$DA:$DA,'CWO Bulan Ini'!$DJ:$DJ,'Area-Cabang'!$B58,'CWO Bulan Ini'!$DH:$DH,'Area-Cabang'!$E58,'CWO Bulan Ini'!$CZ:$CZ,'Area-Cabang'!G$41)</f>
        <v>0</v>
      </c>
      <c r="H58" s="42">
        <f>SUMIFS('CWO Bulan Ini'!$DA:$DA,'CWO Bulan Ini'!$DJ:$DJ,'Area-Cabang'!$B58,'CWO Bulan Ini'!$DH:$DH,'Area-Cabang'!$E58,'CWO Bulan Ini'!$CZ:$CZ,'Area-Cabang'!H$41)</f>
        <v>0</v>
      </c>
      <c r="I58" s="42">
        <f>SUMIFS('CWO Bulan Ini'!$DA:$DA,'CWO Bulan Ini'!$DJ:$DJ,'Area-Cabang'!$B58,'CWO Bulan Ini'!$DH:$DH,'Area-Cabang'!$E58,'CWO Bulan Ini'!$CZ:$CZ,'Area-Cabang'!I$41)</f>
        <v>0</v>
      </c>
      <c r="J58" s="42">
        <f>SUMIFS('CWO Bulan Ini'!$DA:$DA,'CWO Bulan Ini'!$DJ:$DJ,'Area-Cabang'!$B58,'CWO Bulan Ini'!$DH:$DH,'Area-Cabang'!$E58,'CWO Bulan Ini'!$CZ:$CZ,'Area-Cabang'!J$41)</f>
        <v>0</v>
      </c>
      <c r="K58" s="42">
        <f>SUMIFS('CWO Bulan Ini'!$DA:$DA,'CWO Bulan Ini'!$DJ:$DJ,'Area-Cabang'!$B58,'CWO Bulan Ini'!$DH:$DH,'Area-Cabang'!$E58,'CWO Bulan Ini'!$CZ:$CZ,'Area-Cabang'!K$41)</f>
        <v>0</v>
      </c>
      <c r="L58" s="42">
        <f>SUMIFS('CWO Bulan Ini'!$DA:$DA,'CWO Bulan Ini'!$DJ:$DJ,'Area-Cabang'!$B58,'CWO Bulan Ini'!$DH:$DH,'Area-Cabang'!$E58,'CWO Bulan Ini'!$CZ:$CZ,'Area-Cabang'!L$41)</f>
        <v>0</v>
      </c>
      <c r="M58" s="42">
        <f>SUMIFS('CWO Bulan Ini'!$DA:$DA,'CWO Bulan Ini'!$DJ:$DJ,'Area-Cabang'!$B58,'CWO Bulan Ini'!$DH:$DH,'Area-Cabang'!$E58,'CWO Bulan Ini'!$CZ:$CZ,'Area-Cabang'!M$41)</f>
        <v>0</v>
      </c>
      <c r="N58" s="42">
        <f>SUMIFS('CWO Bulan Ini'!$DA:$DA,'CWO Bulan Ini'!$DJ:$DJ,'Area-Cabang'!$B58,'CWO Bulan Ini'!$DH:$DH,'Area-Cabang'!$E58,'CWO Bulan Ini'!$CZ:$CZ,'Area-Cabang'!N$41)</f>
        <v>0</v>
      </c>
      <c r="O58" s="42">
        <f>SUMIFS('CWO Bulan Ini'!$DA:$DA,'CWO Bulan Ini'!$DJ:$DJ,'Area-Cabang'!$B58,'CWO Bulan Ini'!$DH:$DH,'Area-Cabang'!$E58,'CWO Bulan Ini'!$CZ:$CZ,'Area-Cabang'!O$41)</f>
        <v>0</v>
      </c>
      <c r="P58" s="42">
        <f>SUMIFS('CWO Bulan Ini'!$DA:$DA,'CWO Bulan Ini'!$DJ:$DJ,'Area-Cabang'!$B58,'CWO Bulan Ini'!$DH:$DH,'Area-Cabang'!$E58,'CWO Bulan Ini'!$CZ:$CZ,'Area-Cabang'!P$41)</f>
        <v>0</v>
      </c>
      <c r="Q58" s="42">
        <f>SUMIFS('CWO Bulan Ini'!$DA:$DA,'CWO Bulan Ini'!$DJ:$DJ,'Area-Cabang'!$B58,'CWO Bulan Ini'!$DH:$DH,'Area-Cabang'!$E58,'CWO Bulan Ini'!$CZ:$CZ,'Area-Cabang'!Q$41)</f>
        <v>0</v>
      </c>
      <c r="R58" s="42">
        <f>SUMIFS('CWO Bulan Ini'!$DA:$DA,'CWO Bulan Ini'!$DJ:$DJ,'Area-Cabang'!$B58,'CWO Bulan Ini'!$DH:$DH,'Area-Cabang'!$E58,'CWO Bulan Ini'!$CZ:$CZ,'Area-Cabang'!R$41)</f>
        <v>0</v>
      </c>
      <c r="S58" s="42">
        <f>SUMIFS('CWO Bulan Ini'!$DA:$DA,'CWO Bulan Ini'!$DJ:$DJ,'Area-Cabang'!$B58,'CWO Bulan Ini'!$DH:$DH,'Area-Cabang'!$E58,'CWO Bulan Ini'!$CZ:$CZ,'Area-Cabang'!S$41)</f>
        <v>0</v>
      </c>
      <c r="T58" s="42">
        <f>SUMIFS('CWO Bulan Ini'!$DA:$DA,'CWO Bulan Ini'!$DJ:$DJ,'Area-Cabang'!$B58,'CWO Bulan Ini'!$DH:$DH,'Area-Cabang'!$E58,'CWO Bulan Ini'!$CZ:$CZ,'Area-Cabang'!T$41)</f>
        <v>0</v>
      </c>
      <c r="U58" s="42">
        <f>SUMIFS('CWO Bulan Ini'!$DA:$DA,'CWO Bulan Ini'!$DJ:$DJ,'Area-Cabang'!$B58,'CWO Bulan Ini'!$DH:$DH,'Area-Cabang'!$E58,'CWO Bulan Ini'!$CZ:$CZ,'Area-Cabang'!U$41)</f>
        <v>0</v>
      </c>
      <c r="V58" s="42">
        <f>SUMIFS('CWO Bulan Ini'!$DA:$DA,'CWO Bulan Ini'!$DJ:$DJ,'Area-Cabang'!$B58,'CWO Bulan Ini'!$DH:$DH,'Area-Cabang'!$E58,'CWO Bulan Ini'!$CZ:$CZ,'Area-Cabang'!V$41)</f>
        <v>0</v>
      </c>
      <c r="W58" s="42">
        <f>SUMIFS('CWO Bulan Ini'!$DA:$DA,'CWO Bulan Ini'!$DJ:$DJ,'Area-Cabang'!$B58,'CWO Bulan Ini'!$DH:$DH,'Area-Cabang'!$E58,'CWO Bulan Ini'!$CZ:$CZ,'Area-Cabang'!W$41)</f>
        <v>0</v>
      </c>
      <c r="X58" s="42">
        <f>SUMIFS('CWO Bulan Ini'!$DA:$DA,'CWO Bulan Ini'!$DJ:$DJ,'Area-Cabang'!$B58,'CWO Bulan Ini'!$DH:$DH,'Area-Cabang'!$E58,'CWO Bulan Ini'!$CZ:$CZ,'Area-Cabang'!X$41)</f>
        <v>0</v>
      </c>
      <c r="Y58" s="42">
        <f>SUMIFS('CWO Bulan Ini'!$DA:$DA,'CWO Bulan Ini'!$DJ:$DJ,'Area-Cabang'!$B58,'CWO Bulan Ini'!$DH:$DH,'Area-Cabang'!$E58,'CWO Bulan Ini'!$CZ:$CZ,'Area-Cabang'!Y$41)</f>
        <v>0</v>
      </c>
      <c r="Z58" s="42">
        <f>SUMIFS('CWO Bulan Ini'!$DA:$DA,'CWO Bulan Ini'!$DJ:$DJ,'Area-Cabang'!$B58,'CWO Bulan Ini'!$DH:$DH,'Area-Cabang'!$E58,'CWO Bulan Ini'!$CZ:$CZ,'Area-Cabang'!Z$41)</f>
        <v>0</v>
      </c>
      <c r="AA58" s="42">
        <f>SUMIFS('CWO Bulan Ini'!$DA:$DA,'CWO Bulan Ini'!$DJ:$DJ,'Area-Cabang'!$B58,'CWO Bulan Ini'!$DH:$DH,'Area-Cabang'!$E58,'CWO Bulan Ini'!$CZ:$CZ,'Area-Cabang'!AA$41)</f>
        <v>0</v>
      </c>
      <c r="AB58" s="42">
        <f>SUMIFS('CWO Bulan Ini'!$DA:$DA,'CWO Bulan Ini'!$DJ:$DJ,'Area-Cabang'!$B58,'CWO Bulan Ini'!$DH:$DH,'Area-Cabang'!$E58,'CWO Bulan Ini'!$CZ:$CZ,'Area-Cabang'!AB$41)</f>
        <v>0</v>
      </c>
      <c r="AC58" s="42">
        <f>SUMIFS('CWO Bulan Ini'!$DA:$DA,'CWO Bulan Ini'!$DJ:$DJ,'Area-Cabang'!$B58,'CWO Bulan Ini'!$DH:$DH,'Area-Cabang'!$E58,'CWO Bulan Ini'!$CZ:$CZ,'Area-Cabang'!AC$41)</f>
        <v>0</v>
      </c>
      <c r="AD58" s="42">
        <f>SUMIFS('CWO Bulan Ini'!$DA:$DA,'CWO Bulan Ini'!$DJ:$DJ,'Area-Cabang'!$B58,'CWO Bulan Ini'!$DH:$DH,'Area-Cabang'!$E58,'CWO Bulan Ini'!$CZ:$CZ,'Area-Cabang'!AD$41)</f>
        <v>0</v>
      </c>
      <c r="AE58" s="42">
        <f>SUMIFS('CWO Bulan Ini'!$DA:$DA,'CWO Bulan Ini'!$DJ:$DJ,'Area-Cabang'!$B58,'CWO Bulan Ini'!$DH:$DH,'Area-Cabang'!$E58,'CWO Bulan Ini'!$CZ:$CZ,'Area-Cabang'!AE$41)</f>
        <v>0</v>
      </c>
      <c r="AF58" s="42">
        <f>SUMIFS('CWO Bulan Ini'!$DA:$DA,'CWO Bulan Ini'!$DJ:$DJ,'Area-Cabang'!$B58,'CWO Bulan Ini'!$DH:$DH,'Area-Cabang'!$E58,'CWO Bulan Ini'!$CZ:$CZ,'Area-Cabang'!AF$41)</f>
        <v>0</v>
      </c>
      <c r="AG58" s="42">
        <f>SUMIFS('CWO Bulan Ini'!$DA:$DA,'CWO Bulan Ini'!$DJ:$DJ,'Area-Cabang'!$B58,'CWO Bulan Ini'!$DH:$DH,'Area-Cabang'!$E58,'CWO Bulan Ini'!$CZ:$CZ,'Area-Cabang'!AG$41)</f>
        <v>0</v>
      </c>
      <c r="AH58" s="42">
        <f>SUMIFS('CWO Bulan Ini'!$DA:$DA,'CWO Bulan Ini'!$DJ:$DJ,'Area-Cabang'!$B58,'CWO Bulan Ini'!$DH:$DH,'Area-Cabang'!$E58,'CWO Bulan Ini'!$CZ:$CZ,'Area-Cabang'!AH$41)</f>
        <v>0</v>
      </c>
      <c r="AI58" s="42">
        <f>SUMIFS('CWO Bulan Ini'!$DA:$DA,'CWO Bulan Ini'!$DJ:$DJ,'Area-Cabang'!$B58,'CWO Bulan Ini'!$DH:$DH,'Area-Cabang'!$E58,'CWO Bulan Ini'!$CZ:$CZ,'Area-Cabang'!AI$41)</f>
        <v>0</v>
      </c>
      <c r="AJ58" s="42">
        <f>SUMIFS('CWO Bulan Ini'!$DA:$DA,'CWO Bulan Ini'!$DJ:$DJ,'Area-Cabang'!$B58,'CWO Bulan Ini'!$DH:$DH,'Area-Cabang'!$E58,'CWO Bulan Ini'!$CZ:$CZ,'Area-Cabang'!AJ$41)</f>
        <v>0</v>
      </c>
      <c r="AK58" s="41">
        <f>SUMIFS('CWO Bulan Ini'!$DD:$DD,'CWO Bulan Ini'!$DJ:$DJ,'Area-Cabang'!$B58,'CWO Bulan Ini'!$DH:$DH,'Area-Cabang'!$E58,'CWO Bulan Ini'!$CZ:$CZ,'Area-Cabang'!AK$41)</f>
        <v>0</v>
      </c>
      <c r="AL58" s="42">
        <f>SUMIFS('CWO Bulan Ini'!$DD:$DD,'CWO Bulan Ini'!$DJ:$DJ,'Area-Cabang'!$B58,'CWO Bulan Ini'!$DH:$DH,'Area-Cabang'!$E58,'CWO Bulan Ini'!$CZ:$CZ,'Area-Cabang'!AL$41)</f>
        <v>0</v>
      </c>
      <c r="AM58" s="42">
        <f>SUMIFS('CWO Bulan Ini'!$DD:$DD,'CWO Bulan Ini'!$DJ:$DJ,'Area-Cabang'!$B58,'CWO Bulan Ini'!$DH:$DH,'Area-Cabang'!$E58,'CWO Bulan Ini'!$CZ:$CZ,'Area-Cabang'!AM$41)</f>
        <v>0</v>
      </c>
      <c r="AN58" s="42">
        <f>SUMIFS('CWO Bulan Ini'!$DD:$DD,'CWO Bulan Ini'!$DJ:$DJ,'Area-Cabang'!$B58,'CWO Bulan Ini'!$DH:$DH,'Area-Cabang'!$E58,'CWO Bulan Ini'!$CZ:$CZ,'Area-Cabang'!AN$41)</f>
        <v>0</v>
      </c>
      <c r="AO58" s="42">
        <f>SUMIFS('CWO Bulan Ini'!$DD:$DD,'CWO Bulan Ini'!$DJ:$DJ,'Area-Cabang'!$B58,'CWO Bulan Ini'!$DH:$DH,'Area-Cabang'!$E58,'CWO Bulan Ini'!$CZ:$CZ,'Area-Cabang'!AO$41)</f>
        <v>0</v>
      </c>
      <c r="AP58" s="42">
        <f>SUMIFS('CWO Bulan Ini'!$DD:$DD,'CWO Bulan Ini'!$DJ:$DJ,'Area-Cabang'!$B58,'CWO Bulan Ini'!$DH:$DH,'Area-Cabang'!$E58,'CWO Bulan Ini'!$CZ:$CZ,'Area-Cabang'!AP$41)</f>
        <v>0</v>
      </c>
      <c r="AQ58" s="42">
        <f>SUMIFS('CWO Bulan Ini'!$DD:$DD,'CWO Bulan Ini'!$DJ:$DJ,'Area-Cabang'!$B58,'CWO Bulan Ini'!$DH:$DH,'Area-Cabang'!$E58,'CWO Bulan Ini'!$CZ:$CZ,'Area-Cabang'!AQ$41)</f>
        <v>0</v>
      </c>
      <c r="AR58" s="42">
        <f>SUMIFS('CWO Bulan Ini'!$DD:$DD,'CWO Bulan Ini'!$DJ:$DJ,'Area-Cabang'!$B58,'CWO Bulan Ini'!$DH:$DH,'Area-Cabang'!$E58,'CWO Bulan Ini'!$CZ:$CZ,'Area-Cabang'!AR$41)</f>
        <v>0</v>
      </c>
      <c r="AS58" s="42">
        <f>SUMIFS('CWO Bulan Ini'!$DD:$DD,'CWO Bulan Ini'!$DJ:$DJ,'Area-Cabang'!$B58,'CWO Bulan Ini'!$DH:$DH,'Area-Cabang'!$E58,'CWO Bulan Ini'!$CZ:$CZ,'Area-Cabang'!AS$41)</f>
        <v>0</v>
      </c>
      <c r="AT58" s="42">
        <f>SUMIFS('CWO Bulan Ini'!$DD:$DD,'CWO Bulan Ini'!$DJ:$DJ,'Area-Cabang'!$B58,'CWO Bulan Ini'!$DH:$DH,'Area-Cabang'!$E58,'CWO Bulan Ini'!$CZ:$CZ,'Area-Cabang'!AT$41)</f>
        <v>0</v>
      </c>
      <c r="AU58" s="42">
        <f>SUMIFS('CWO Bulan Ini'!$DD:$DD,'CWO Bulan Ini'!$DJ:$DJ,'Area-Cabang'!$B58,'CWO Bulan Ini'!$DH:$DH,'Area-Cabang'!$E58,'CWO Bulan Ini'!$CZ:$CZ,'Area-Cabang'!AU$41)</f>
        <v>0</v>
      </c>
      <c r="AV58" s="42">
        <f>SUMIFS('CWO Bulan Ini'!$DD:$DD,'CWO Bulan Ini'!$DJ:$DJ,'Area-Cabang'!$B58,'CWO Bulan Ini'!$DH:$DH,'Area-Cabang'!$E58,'CWO Bulan Ini'!$CZ:$CZ,'Area-Cabang'!AV$41)</f>
        <v>0</v>
      </c>
      <c r="AW58" s="42">
        <f>SUMIFS('CWO Bulan Ini'!$DD:$DD,'CWO Bulan Ini'!$DJ:$DJ,'Area-Cabang'!$B58,'CWO Bulan Ini'!$DH:$DH,'Area-Cabang'!$E58,'CWO Bulan Ini'!$CZ:$CZ,'Area-Cabang'!AW$41)</f>
        <v>0</v>
      </c>
      <c r="AX58" s="42">
        <f>SUMIFS('CWO Bulan Ini'!$DD:$DD,'CWO Bulan Ini'!$DJ:$DJ,'Area-Cabang'!$B58,'CWO Bulan Ini'!$DH:$DH,'Area-Cabang'!$E58,'CWO Bulan Ini'!$CZ:$CZ,'Area-Cabang'!AX$41)</f>
        <v>0</v>
      </c>
      <c r="AY58" s="42">
        <f>SUMIFS('CWO Bulan Ini'!$DD:$DD,'CWO Bulan Ini'!$DJ:$DJ,'Area-Cabang'!$B58,'CWO Bulan Ini'!$DH:$DH,'Area-Cabang'!$E58,'CWO Bulan Ini'!$CZ:$CZ,'Area-Cabang'!AY$41)</f>
        <v>0</v>
      </c>
      <c r="AZ58" s="42">
        <f>SUMIFS('CWO Bulan Ini'!$DD:$DD,'CWO Bulan Ini'!$DJ:$DJ,'Area-Cabang'!$B58,'CWO Bulan Ini'!$DH:$DH,'Area-Cabang'!$E58,'CWO Bulan Ini'!$CZ:$CZ,'Area-Cabang'!AZ$41)</f>
        <v>0</v>
      </c>
      <c r="BA58" s="42">
        <f>SUMIFS('CWO Bulan Ini'!$DD:$DD,'CWO Bulan Ini'!$DJ:$DJ,'Area-Cabang'!$B58,'CWO Bulan Ini'!$DH:$DH,'Area-Cabang'!$E58,'CWO Bulan Ini'!$CZ:$CZ,'Area-Cabang'!BA$41)</f>
        <v>0</v>
      </c>
      <c r="BB58" s="42">
        <f>SUMIFS('CWO Bulan Ini'!$DD:$DD,'CWO Bulan Ini'!$DJ:$DJ,'Area-Cabang'!$B58,'CWO Bulan Ini'!$DH:$DH,'Area-Cabang'!$E58,'CWO Bulan Ini'!$CZ:$CZ,'Area-Cabang'!BB$41)</f>
        <v>0</v>
      </c>
      <c r="BC58" s="42">
        <f>SUMIFS('CWO Bulan Ini'!$DD:$DD,'CWO Bulan Ini'!$DJ:$DJ,'Area-Cabang'!$B58,'CWO Bulan Ini'!$DH:$DH,'Area-Cabang'!$E58,'CWO Bulan Ini'!$CZ:$CZ,'Area-Cabang'!BC$41)</f>
        <v>0</v>
      </c>
      <c r="BD58" s="42">
        <f>SUMIFS('CWO Bulan Ini'!$DD:$DD,'CWO Bulan Ini'!$DJ:$DJ,'Area-Cabang'!$B58,'CWO Bulan Ini'!$DH:$DH,'Area-Cabang'!$E58,'CWO Bulan Ini'!$CZ:$CZ,'Area-Cabang'!BD$41)</f>
        <v>0</v>
      </c>
      <c r="BE58" s="42">
        <f>SUMIFS('CWO Bulan Ini'!$DD:$DD,'CWO Bulan Ini'!$DJ:$DJ,'Area-Cabang'!$B58,'CWO Bulan Ini'!$DH:$DH,'Area-Cabang'!$E58,'CWO Bulan Ini'!$CZ:$CZ,'Area-Cabang'!BE$41)</f>
        <v>0</v>
      </c>
      <c r="BF58" s="42">
        <f>SUMIFS('CWO Bulan Ini'!$DD:$DD,'CWO Bulan Ini'!$DJ:$DJ,'Area-Cabang'!$B58,'CWO Bulan Ini'!$DH:$DH,'Area-Cabang'!$E58,'CWO Bulan Ini'!$CZ:$CZ,'Area-Cabang'!BF$41)</f>
        <v>0</v>
      </c>
      <c r="BG58" s="42">
        <f>SUMIFS('CWO Bulan Ini'!$DD:$DD,'CWO Bulan Ini'!$DJ:$DJ,'Area-Cabang'!$B58,'CWO Bulan Ini'!$DH:$DH,'Area-Cabang'!$E58,'CWO Bulan Ini'!$CZ:$CZ,'Area-Cabang'!BG$41)</f>
        <v>0</v>
      </c>
      <c r="BH58" s="42">
        <f>SUMIFS('CWO Bulan Ini'!$DD:$DD,'CWO Bulan Ini'!$DJ:$DJ,'Area-Cabang'!$B58,'CWO Bulan Ini'!$DH:$DH,'Area-Cabang'!$E58,'CWO Bulan Ini'!$CZ:$CZ,'Area-Cabang'!BH$41)</f>
        <v>0</v>
      </c>
      <c r="BI58" s="42">
        <f>SUMIFS('CWO Bulan Ini'!$DD:$DD,'CWO Bulan Ini'!$DJ:$DJ,'Area-Cabang'!$B58,'CWO Bulan Ini'!$DH:$DH,'Area-Cabang'!$E58,'CWO Bulan Ini'!$CZ:$CZ,'Area-Cabang'!BI$41)</f>
        <v>0</v>
      </c>
      <c r="BJ58" s="42">
        <f>SUMIFS('CWO Bulan Ini'!$DD:$DD,'CWO Bulan Ini'!$DJ:$DJ,'Area-Cabang'!$B58,'CWO Bulan Ini'!$DH:$DH,'Area-Cabang'!$E58,'CWO Bulan Ini'!$CZ:$CZ,'Area-Cabang'!BJ$41)</f>
        <v>0</v>
      </c>
      <c r="BK58" s="42">
        <f>SUMIFS('CWO Bulan Ini'!$DD:$DD,'CWO Bulan Ini'!$DJ:$DJ,'Area-Cabang'!$B58,'CWO Bulan Ini'!$DH:$DH,'Area-Cabang'!$E58,'CWO Bulan Ini'!$CZ:$CZ,'Area-Cabang'!BK$41)</f>
        <v>0</v>
      </c>
      <c r="BL58" s="42">
        <f>SUMIFS('CWO Bulan Ini'!$DD:$DD,'CWO Bulan Ini'!$DJ:$DJ,'Area-Cabang'!$B58,'CWO Bulan Ini'!$DH:$DH,'Area-Cabang'!$E58,'CWO Bulan Ini'!$CZ:$CZ,'Area-Cabang'!BL$41)</f>
        <v>0</v>
      </c>
      <c r="BM58" s="42">
        <f>SUMIFS('CWO Bulan Ini'!$DD:$DD,'CWO Bulan Ini'!$DJ:$DJ,'Area-Cabang'!$B58,'CWO Bulan Ini'!$DH:$DH,'Area-Cabang'!$E58,'CWO Bulan Ini'!$CZ:$CZ,'Area-Cabang'!BM$41)</f>
        <v>0</v>
      </c>
      <c r="BN58" s="42">
        <f>SUMIFS('CWO Bulan Ini'!$DD:$DD,'CWO Bulan Ini'!$DJ:$DJ,'Area-Cabang'!$B58,'CWO Bulan Ini'!$DH:$DH,'Area-Cabang'!$E58,'CWO Bulan Ini'!$CZ:$CZ,'Area-Cabang'!BN$41)</f>
        <v>0</v>
      </c>
      <c r="BO58" s="43">
        <f>SUMIFS('CWO Bulan Ini'!$DD:$DD,'CWO Bulan Ini'!$DJ:$DJ,'Area-Cabang'!$B58,'CWO Bulan Ini'!$DH:$DH,'Area-Cabang'!$E58,'CWO Bulan Ini'!$CZ:$CZ,'Area-Cabang'!BO$41)</f>
        <v>0</v>
      </c>
      <c r="BP58" s="41">
        <f>SUMIFS('CWO Bulan Ini'!$DC:$DC,'CWO Bulan Ini'!$DJ:$DJ,'Area-Cabang'!$B58,'CWO Bulan Ini'!$DH:$DH,'Area-Cabang'!$E58,'CWO Bulan Ini'!$CZ:$CZ,'Area-Cabang'!BP$41)</f>
        <v>0</v>
      </c>
      <c r="BQ58" s="42">
        <f>SUMIFS('CWO Bulan Ini'!$DC:$DC,'CWO Bulan Ini'!$DJ:$DJ,'Area-Cabang'!$B58,'CWO Bulan Ini'!$DH:$DH,'Area-Cabang'!$E58,'CWO Bulan Ini'!$CZ:$CZ,'Area-Cabang'!BQ$41)</f>
        <v>0</v>
      </c>
      <c r="BR58" s="42">
        <f>SUMIFS('CWO Bulan Ini'!$DC:$DC,'CWO Bulan Ini'!$DJ:$DJ,'Area-Cabang'!$B58,'CWO Bulan Ini'!$DH:$DH,'Area-Cabang'!$E58,'CWO Bulan Ini'!$CZ:$CZ,'Area-Cabang'!BR$41)</f>
        <v>0</v>
      </c>
      <c r="BS58" s="42">
        <f>SUMIFS('CWO Bulan Ini'!$DC:$DC,'CWO Bulan Ini'!$DJ:$DJ,'Area-Cabang'!$B58,'CWO Bulan Ini'!$DH:$DH,'Area-Cabang'!$E58,'CWO Bulan Ini'!$CZ:$CZ,'Area-Cabang'!BS$41)</f>
        <v>0</v>
      </c>
      <c r="BT58" s="42">
        <f>SUMIFS('CWO Bulan Ini'!$DC:$DC,'CWO Bulan Ini'!$DJ:$DJ,'Area-Cabang'!$B58,'CWO Bulan Ini'!$DH:$DH,'Area-Cabang'!$E58,'CWO Bulan Ini'!$CZ:$CZ,'Area-Cabang'!BT$41)</f>
        <v>0</v>
      </c>
      <c r="BU58" s="42">
        <f>SUMIFS('CWO Bulan Ini'!$DC:$DC,'CWO Bulan Ini'!$DJ:$DJ,'Area-Cabang'!$B58,'CWO Bulan Ini'!$DH:$DH,'Area-Cabang'!$E58,'CWO Bulan Ini'!$CZ:$CZ,'Area-Cabang'!BU$41)</f>
        <v>0</v>
      </c>
      <c r="BV58" s="42">
        <f>SUMIFS('CWO Bulan Ini'!$DC:$DC,'CWO Bulan Ini'!$DJ:$DJ,'Area-Cabang'!$B58,'CWO Bulan Ini'!$DH:$DH,'Area-Cabang'!$E58,'CWO Bulan Ini'!$CZ:$CZ,'Area-Cabang'!BV$41)</f>
        <v>0</v>
      </c>
      <c r="BW58" s="42">
        <f>SUMIFS('CWO Bulan Ini'!$DC:$DC,'CWO Bulan Ini'!$DJ:$DJ,'Area-Cabang'!$B58,'CWO Bulan Ini'!$DH:$DH,'Area-Cabang'!$E58,'CWO Bulan Ini'!$CZ:$CZ,'Area-Cabang'!BW$41)</f>
        <v>0</v>
      </c>
      <c r="BX58" s="42">
        <f>SUMIFS('CWO Bulan Ini'!$DC:$DC,'CWO Bulan Ini'!$DJ:$DJ,'Area-Cabang'!$B58,'CWO Bulan Ini'!$DH:$DH,'Area-Cabang'!$E58,'CWO Bulan Ini'!$CZ:$CZ,'Area-Cabang'!BX$41)</f>
        <v>0</v>
      </c>
      <c r="BY58" s="42">
        <f>SUMIFS('CWO Bulan Ini'!$DC:$DC,'CWO Bulan Ini'!$DJ:$DJ,'Area-Cabang'!$B58,'CWO Bulan Ini'!$DH:$DH,'Area-Cabang'!$E58,'CWO Bulan Ini'!$CZ:$CZ,'Area-Cabang'!BY$41)</f>
        <v>0</v>
      </c>
      <c r="BZ58" s="42">
        <f>SUMIFS('CWO Bulan Ini'!$DC:$DC,'CWO Bulan Ini'!$DJ:$DJ,'Area-Cabang'!$B58,'CWO Bulan Ini'!$DH:$DH,'Area-Cabang'!$E58,'CWO Bulan Ini'!$CZ:$CZ,'Area-Cabang'!BZ$41)</f>
        <v>0</v>
      </c>
      <c r="CA58" s="42">
        <f>SUMIFS('CWO Bulan Ini'!$DC:$DC,'CWO Bulan Ini'!$DJ:$DJ,'Area-Cabang'!$B58,'CWO Bulan Ini'!$DH:$DH,'Area-Cabang'!$E58,'CWO Bulan Ini'!$CZ:$CZ,'Area-Cabang'!CA$41)</f>
        <v>0</v>
      </c>
      <c r="CB58" s="42">
        <f>SUMIFS('CWO Bulan Ini'!$DC:$DC,'CWO Bulan Ini'!$DJ:$DJ,'Area-Cabang'!$B58,'CWO Bulan Ini'!$DH:$DH,'Area-Cabang'!$E58,'CWO Bulan Ini'!$CZ:$CZ,'Area-Cabang'!CB$41)</f>
        <v>0</v>
      </c>
      <c r="CC58" s="42">
        <f>SUMIFS('CWO Bulan Ini'!$DC:$DC,'CWO Bulan Ini'!$DJ:$DJ,'Area-Cabang'!$B58,'CWO Bulan Ini'!$DH:$DH,'Area-Cabang'!$E58,'CWO Bulan Ini'!$CZ:$CZ,'Area-Cabang'!CC$41)</f>
        <v>0</v>
      </c>
      <c r="CD58" s="42">
        <f>SUMIFS('CWO Bulan Ini'!$DC:$DC,'CWO Bulan Ini'!$DJ:$DJ,'Area-Cabang'!$B58,'CWO Bulan Ini'!$DH:$DH,'Area-Cabang'!$E58,'CWO Bulan Ini'!$CZ:$CZ,'Area-Cabang'!CD$41)</f>
        <v>0</v>
      </c>
      <c r="CE58" s="42">
        <f>SUMIFS('CWO Bulan Ini'!$DC:$DC,'CWO Bulan Ini'!$DJ:$DJ,'Area-Cabang'!$B58,'CWO Bulan Ini'!$DH:$DH,'Area-Cabang'!$E58,'CWO Bulan Ini'!$CZ:$CZ,'Area-Cabang'!CE$41)</f>
        <v>0</v>
      </c>
      <c r="CF58" s="42">
        <f>SUMIFS('CWO Bulan Ini'!$DC:$DC,'CWO Bulan Ini'!$DJ:$DJ,'Area-Cabang'!$B58,'CWO Bulan Ini'!$DH:$DH,'Area-Cabang'!$E58,'CWO Bulan Ini'!$CZ:$CZ,'Area-Cabang'!CF$41)</f>
        <v>0</v>
      </c>
      <c r="CG58" s="42">
        <f>SUMIFS('CWO Bulan Ini'!$DC:$DC,'CWO Bulan Ini'!$DJ:$DJ,'Area-Cabang'!$B58,'CWO Bulan Ini'!$DH:$DH,'Area-Cabang'!$E58,'CWO Bulan Ini'!$CZ:$CZ,'Area-Cabang'!CG$41)</f>
        <v>0</v>
      </c>
      <c r="CH58" s="42">
        <f>SUMIFS('CWO Bulan Ini'!$DC:$DC,'CWO Bulan Ini'!$DJ:$DJ,'Area-Cabang'!$B58,'CWO Bulan Ini'!$DH:$DH,'Area-Cabang'!$E58,'CWO Bulan Ini'!$CZ:$CZ,'Area-Cabang'!CH$41)</f>
        <v>0</v>
      </c>
      <c r="CI58" s="42">
        <f>SUMIFS('CWO Bulan Ini'!$DC:$DC,'CWO Bulan Ini'!$DJ:$DJ,'Area-Cabang'!$B58,'CWO Bulan Ini'!$DH:$DH,'Area-Cabang'!$E58,'CWO Bulan Ini'!$CZ:$CZ,'Area-Cabang'!CI$41)</f>
        <v>0</v>
      </c>
      <c r="CJ58" s="42">
        <f>SUMIFS('CWO Bulan Ini'!$DC:$DC,'CWO Bulan Ini'!$DJ:$DJ,'Area-Cabang'!$B58,'CWO Bulan Ini'!$DH:$DH,'Area-Cabang'!$E58,'CWO Bulan Ini'!$CZ:$CZ,'Area-Cabang'!CJ$41)</f>
        <v>0</v>
      </c>
      <c r="CK58" s="42">
        <f>SUMIFS('CWO Bulan Ini'!$DC:$DC,'CWO Bulan Ini'!$DJ:$DJ,'Area-Cabang'!$B58,'CWO Bulan Ini'!$DH:$DH,'Area-Cabang'!$E58,'CWO Bulan Ini'!$CZ:$CZ,'Area-Cabang'!CK$41)</f>
        <v>0</v>
      </c>
      <c r="CL58" s="42">
        <f>SUMIFS('CWO Bulan Ini'!$DC:$DC,'CWO Bulan Ini'!$DJ:$DJ,'Area-Cabang'!$B58,'CWO Bulan Ini'!$DH:$DH,'Area-Cabang'!$E58,'CWO Bulan Ini'!$CZ:$CZ,'Area-Cabang'!CL$41)</f>
        <v>0</v>
      </c>
      <c r="CM58" s="42">
        <f>SUMIFS('CWO Bulan Ini'!$DC:$DC,'CWO Bulan Ini'!$DJ:$DJ,'Area-Cabang'!$B58,'CWO Bulan Ini'!$DH:$DH,'Area-Cabang'!$E58,'CWO Bulan Ini'!$CZ:$CZ,'Area-Cabang'!CM$41)</f>
        <v>0</v>
      </c>
      <c r="CN58" s="42">
        <f>SUMIFS('CWO Bulan Ini'!$DC:$DC,'CWO Bulan Ini'!$DJ:$DJ,'Area-Cabang'!$B58,'CWO Bulan Ini'!$DH:$DH,'Area-Cabang'!$E58,'CWO Bulan Ini'!$CZ:$CZ,'Area-Cabang'!CN$41)</f>
        <v>0</v>
      </c>
      <c r="CO58" s="42">
        <f>SUMIFS('CWO Bulan Ini'!$DC:$DC,'CWO Bulan Ini'!$DJ:$DJ,'Area-Cabang'!$B58,'CWO Bulan Ini'!$DH:$DH,'Area-Cabang'!$E58,'CWO Bulan Ini'!$CZ:$CZ,'Area-Cabang'!CO$41)</f>
        <v>0</v>
      </c>
      <c r="CP58" s="42">
        <f>SUMIFS('CWO Bulan Ini'!$DC:$DC,'CWO Bulan Ini'!$DJ:$DJ,'Area-Cabang'!$B58,'CWO Bulan Ini'!$DH:$DH,'Area-Cabang'!$E58,'CWO Bulan Ini'!$CZ:$CZ,'Area-Cabang'!CP$41)</f>
        <v>0</v>
      </c>
      <c r="CQ58" s="42">
        <f>SUMIFS('CWO Bulan Ini'!$DC:$DC,'CWO Bulan Ini'!$DJ:$DJ,'Area-Cabang'!$B58,'CWO Bulan Ini'!$DH:$DH,'Area-Cabang'!$E58,'CWO Bulan Ini'!$CZ:$CZ,'Area-Cabang'!CQ$41)</f>
        <v>0</v>
      </c>
      <c r="CR58" s="42">
        <f>SUMIFS('CWO Bulan Ini'!$DC:$DC,'CWO Bulan Ini'!$DJ:$DJ,'Area-Cabang'!$B58,'CWO Bulan Ini'!$DH:$DH,'Area-Cabang'!$E58,'CWO Bulan Ini'!$CZ:$CZ,'Area-Cabang'!CR$41)</f>
        <v>0</v>
      </c>
      <c r="CS58" s="42">
        <f>SUMIFS('CWO Bulan Ini'!$DC:$DC,'CWO Bulan Ini'!$DJ:$DJ,'Area-Cabang'!$B58,'CWO Bulan Ini'!$DH:$DH,'Area-Cabang'!$E58,'CWO Bulan Ini'!$CZ:$CZ,'Area-Cabang'!CS$41)</f>
        <v>0</v>
      </c>
      <c r="CT58" s="43">
        <f>SUMIFS('CWO Bulan Ini'!$DC:$DC,'CWO Bulan Ini'!$DJ:$DJ,'Area-Cabang'!$B58,'CWO Bulan Ini'!$DH:$DH,'Area-Cabang'!$E58,'CWO Bulan Ini'!$CZ:$CZ,'Area-Cabang'!CT$41)</f>
        <v>0</v>
      </c>
      <c r="CV58" s="96">
        <f t="shared" si="1496"/>
        <v>0</v>
      </c>
      <c r="CW58" s="93">
        <f t="shared" si="1497"/>
        <v>0</v>
      </c>
      <c r="CX58" s="93">
        <f t="shared" si="1498"/>
        <v>0</v>
      </c>
      <c r="CY58" s="93">
        <f t="shared" si="1499"/>
        <v>0</v>
      </c>
      <c r="CZ58" s="106">
        <f t="shared" si="1500"/>
        <v>0</v>
      </c>
    </row>
    <row r="59" spans="1:104" ht="15" customHeight="1" x14ac:dyDescent="0.25">
      <c r="A59" s="58" t="s">
        <v>465</v>
      </c>
      <c r="B59" s="53" t="s">
        <v>813</v>
      </c>
      <c r="C59" s="250"/>
      <c r="D59" s="227" t="s">
        <v>813</v>
      </c>
      <c r="E59" s="228"/>
      <c r="F59" s="219">
        <f t="shared" ref="F59" si="1501">SUM(F57:F58)</f>
        <v>0</v>
      </c>
      <c r="G59" s="220">
        <f t="shared" ref="G59" si="1502">SUM(G57:G58)</f>
        <v>0</v>
      </c>
      <c r="H59" s="220">
        <f t="shared" ref="H59" si="1503">SUM(H57:H58)</f>
        <v>0</v>
      </c>
      <c r="I59" s="220">
        <f t="shared" ref="I59" si="1504">SUM(I57:I58)</f>
        <v>15.7524991</v>
      </c>
      <c r="J59" s="220">
        <f t="shared" ref="J59" si="1505">SUM(J57:J58)</f>
        <v>0</v>
      </c>
      <c r="K59" s="220">
        <f t="shared" ref="K59" si="1506">SUM(K57:K58)</f>
        <v>0</v>
      </c>
      <c r="L59" s="220">
        <f t="shared" ref="L59" si="1507">SUM(L57:L58)</f>
        <v>0</v>
      </c>
      <c r="M59" s="220">
        <f t="shared" ref="M59" si="1508">SUM(M57:M58)</f>
        <v>0</v>
      </c>
      <c r="N59" s="220">
        <f t="shared" ref="N59" si="1509">SUM(N57:N58)</f>
        <v>0</v>
      </c>
      <c r="O59" s="220">
        <f t="shared" ref="O59" si="1510">SUM(O57:O58)</f>
        <v>0</v>
      </c>
      <c r="P59" s="220">
        <f t="shared" ref="P59" si="1511">SUM(P57:P58)</f>
        <v>0</v>
      </c>
      <c r="Q59" s="220">
        <f t="shared" ref="Q59" si="1512">SUM(Q57:Q58)</f>
        <v>0</v>
      </c>
      <c r="R59" s="220">
        <f t="shared" ref="R59" si="1513">SUM(R57:R58)</f>
        <v>0</v>
      </c>
      <c r="S59" s="220">
        <f t="shared" ref="S59" si="1514">SUM(S57:S58)</f>
        <v>0</v>
      </c>
      <c r="T59" s="220">
        <f t="shared" ref="T59" si="1515">SUM(T57:T58)</f>
        <v>0</v>
      </c>
      <c r="U59" s="220">
        <f t="shared" ref="U59" si="1516">SUM(U57:U58)</f>
        <v>0</v>
      </c>
      <c r="V59" s="220">
        <f t="shared" ref="V59" si="1517">SUM(V57:V58)</f>
        <v>0</v>
      </c>
      <c r="W59" s="220">
        <f t="shared" ref="W59" si="1518">SUM(W57:W58)</f>
        <v>0</v>
      </c>
      <c r="X59" s="220">
        <f t="shared" ref="X59" si="1519">SUM(X57:X58)</f>
        <v>0</v>
      </c>
      <c r="Y59" s="220">
        <f t="shared" ref="Y59" si="1520">SUM(Y57:Y58)</f>
        <v>0</v>
      </c>
      <c r="Z59" s="220">
        <f t="shared" ref="Z59" si="1521">SUM(Z57:Z58)</f>
        <v>0</v>
      </c>
      <c r="AA59" s="220">
        <f t="shared" ref="AA59" si="1522">SUM(AA57:AA58)</f>
        <v>0</v>
      </c>
      <c r="AB59" s="220">
        <f t="shared" ref="AB59" si="1523">SUM(AB57:AB58)</f>
        <v>0</v>
      </c>
      <c r="AC59" s="220">
        <f t="shared" ref="AC59" si="1524">SUM(AC57:AC58)</f>
        <v>0</v>
      </c>
      <c r="AD59" s="220">
        <f t="shared" ref="AD59" si="1525">SUM(AD57:AD58)</f>
        <v>0</v>
      </c>
      <c r="AE59" s="220">
        <f t="shared" ref="AE59" si="1526">SUM(AE57:AE58)</f>
        <v>0</v>
      </c>
      <c r="AF59" s="220">
        <f t="shared" ref="AF59" si="1527">SUM(AF57:AF58)</f>
        <v>0</v>
      </c>
      <c r="AG59" s="220">
        <f t="shared" ref="AG59" si="1528">SUM(AG57:AG58)</f>
        <v>0</v>
      </c>
      <c r="AH59" s="220">
        <f t="shared" ref="AH59" si="1529">SUM(AH57:AH58)</f>
        <v>0</v>
      </c>
      <c r="AI59" s="220">
        <f t="shared" ref="AI59" si="1530">SUM(AI57:AI58)</f>
        <v>0</v>
      </c>
      <c r="AJ59" s="220">
        <f t="shared" ref="AJ59" si="1531">SUM(AJ57:AJ58)</f>
        <v>0</v>
      </c>
      <c r="AK59" s="219">
        <f t="shared" ref="AK59" si="1532">SUM(AK57:AK58)</f>
        <v>0</v>
      </c>
      <c r="AL59" s="220">
        <f t="shared" ref="AL59" si="1533">SUM(AL57:AL58)</f>
        <v>0</v>
      </c>
      <c r="AM59" s="220">
        <f t="shared" ref="AM59" si="1534">SUM(AM57:AM58)</f>
        <v>0</v>
      </c>
      <c r="AN59" s="220">
        <f t="shared" ref="AN59" si="1535">SUM(AN57:AN58)</f>
        <v>15.7524991</v>
      </c>
      <c r="AO59" s="220">
        <f t="shared" ref="AO59" si="1536">SUM(AO57:AO58)</f>
        <v>0</v>
      </c>
      <c r="AP59" s="220">
        <f t="shared" ref="AP59" si="1537">SUM(AP57:AP58)</f>
        <v>0</v>
      </c>
      <c r="AQ59" s="220">
        <f t="shared" ref="AQ59" si="1538">SUM(AQ57:AQ58)</f>
        <v>0</v>
      </c>
      <c r="AR59" s="220">
        <f t="shared" ref="AR59" si="1539">SUM(AR57:AR58)</f>
        <v>0</v>
      </c>
      <c r="AS59" s="220">
        <f t="shared" ref="AS59" si="1540">SUM(AS57:AS58)</f>
        <v>0</v>
      </c>
      <c r="AT59" s="220">
        <f t="shared" ref="AT59" si="1541">SUM(AT57:AT58)</f>
        <v>0</v>
      </c>
      <c r="AU59" s="220">
        <f t="shared" ref="AU59" si="1542">SUM(AU57:AU58)</f>
        <v>0</v>
      </c>
      <c r="AV59" s="220">
        <f t="shared" ref="AV59" si="1543">SUM(AV57:AV58)</f>
        <v>0</v>
      </c>
      <c r="AW59" s="220">
        <f t="shared" ref="AW59" si="1544">SUM(AW57:AW58)</f>
        <v>0</v>
      </c>
      <c r="AX59" s="220">
        <f t="shared" ref="AX59" si="1545">SUM(AX57:AX58)</f>
        <v>0</v>
      </c>
      <c r="AY59" s="220">
        <f t="shared" ref="AY59" si="1546">SUM(AY57:AY58)</f>
        <v>0</v>
      </c>
      <c r="AZ59" s="220">
        <f t="shared" ref="AZ59" si="1547">SUM(AZ57:AZ58)</f>
        <v>0</v>
      </c>
      <c r="BA59" s="220">
        <f t="shared" ref="BA59" si="1548">SUM(BA57:BA58)</f>
        <v>0</v>
      </c>
      <c r="BB59" s="220">
        <f t="shared" ref="BB59" si="1549">SUM(BB57:BB58)</f>
        <v>0</v>
      </c>
      <c r="BC59" s="220">
        <f t="shared" ref="BC59" si="1550">SUM(BC57:BC58)</f>
        <v>0</v>
      </c>
      <c r="BD59" s="220">
        <f t="shared" ref="BD59" si="1551">SUM(BD57:BD58)</f>
        <v>0</v>
      </c>
      <c r="BE59" s="220">
        <f t="shared" ref="BE59" si="1552">SUM(BE57:BE58)</f>
        <v>0</v>
      </c>
      <c r="BF59" s="220">
        <f t="shared" ref="BF59" si="1553">SUM(BF57:BF58)</f>
        <v>0</v>
      </c>
      <c r="BG59" s="220">
        <f t="shared" ref="BG59" si="1554">SUM(BG57:BG58)</f>
        <v>0</v>
      </c>
      <c r="BH59" s="220">
        <f t="shared" ref="BH59" si="1555">SUM(BH57:BH58)</f>
        <v>0</v>
      </c>
      <c r="BI59" s="220">
        <f t="shared" ref="BI59" si="1556">SUM(BI57:BI58)</f>
        <v>0</v>
      </c>
      <c r="BJ59" s="220">
        <f t="shared" ref="BJ59" si="1557">SUM(BJ57:BJ58)</f>
        <v>0</v>
      </c>
      <c r="BK59" s="220">
        <f t="shared" ref="BK59" si="1558">SUM(BK57:BK58)</f>
        <v>0</v>
      </c>
      <c r="BL59" s="220">
        <f t="shared" ref="BL59" si="1559">SUM(BL57:BL58)</f>
        <v>0</v>
      </c>
      <c r="BM59" s="220">
        <f t="shared" ref="BM59" si="1560">SUM(BM57:BM58)</f>
        <v>0</v>
      </c>
      <c r="BN59" s="220">
        <f t="shared" ref="BN59" si="1561">SUM(BN57:BN58)</f>
        <v>0</v>
      </c>
      <c r="BO59" s="221">
        <f t="shared" ref="BO59" si="1562">SUM(BO57:BO58)</f>
        <v>0</v>
      </c>
      <c r="BP59" s="219">
        <f t="shared" ref="BP59" si="1563">SUM(BP57:BP58)</f>
        <v>0</v>
      </c>
      <c r="BQ59" s="220">
        <f t="shared" ref="BQ59" si="1564">SUM(BQ57:BQ58)</f>
        <v>0</v>
      </c>
      <c r="BR59" s="220">
        <f t="shared" ref="BR59" si="1565">SUM(BR57:BR58)</f>
        <v>0</v>
      </c>
      <c r="BS59" s="220">
        <f t="shared" ref="BS59" si="1566">SUM(BS57:BS58)</f>
        <v>0</v>
      </c>
      <c r="BT59" s="220">
        <f t="shared" ref="BT59" si="1567">SUM(BT57:BT58)</f>
        <v>0</v>
      </c>
      <c r="BU59" s="220">
        <f t="shared" ref="BU59" si="1568">SUM(BU57:BU58)</f>
        <v>0</v>
      </c>
      <c r="BV59" s="220">
        <f t="shared" ref="BV59" si="1569">SUM(BV57:BV58)</f>
        <v>0</v>
      </c>
      <c r="BW59" s="220">
        <f t="shared" ref="BW59" si="1570">SUM(BW57:BW58)</f>
        <v>0</v>
      </c>
      <c r="BX59" s="220">
        <f t="shared" ref="BX59" si="1571">SUM(BX57:BX58)</f>
        <v>0</v>
      </c>
      <c r="BY59" s="220">
        <f t="shared" ref="BY59" si="1572">SUM(BY57:BY58)</f>
        <v>0</v>
      </c>
      <c r="BZ59" s="220">
        <f t="shared" ref="BZ59" si="1573">SUM(BZ57:BZ58)</f>
        <v>0</v>
      </c>
      <c r="CA59" s="220">
        <f t="shared" ref="CA59" si="1574">SUM(CA57:CA58)</f>
        <v>0</v>
      </c>
      <c r="CB59" s="220">
        <f t="shared" ref="CB59" si="1575">SUM(CB57:CB58)</f>
        <v>0</v>
      </c>
      <c r="CC59" s="220">
        <f t="shared" ref="CC59" si="1576">SUM(CC57:CC58)</f>
        <v>0</v>
      </c>
      <c r="CD59" s="220">
        <f t="shared" ref="CD59" si="1577">SUM(CD57:CD58)</f>
        <v>0</v>
      </c>
      <c r="CE59" s="220">
        <f t="shared" ref="CE59" si="1578">SUM(CE57:CE58)</f>
        <v>0</v>
      </c>
      <c r="CF59" s="220">
        <f t="shared" ref="CF59" si="1579">SUM(CF57:CF58)</f>
        <v>0</v>
      </c>
      <c r="CG59" s="220">
        <f t="shared" ref="CG59" si="1580">SUM(CG57:CG58)</f>
        <v>0</v>
      </c>
      <c r="CH59" s="220">
        <f t="shared" ref="CH59" si="1581">SUM(CH57:CH58)</f>
        <v>0</v>
      </c>
      <c r="CI59" s="220">
        <f t="shared" ref="CI59" si="1582">SUM(CI57:CI58)</f>
        <v>0</v>
      </c>
      <c r="CJ59" s="220">
        <f t="shared" ref="CJ59" si="1583">SUM(CJ57:CJ58)</f>
        <v>0</v>
      </c>
      <c r="CK59" s="220">
        <f t="shared" ref="CK59" si="1584">SUM(CK57:CK58)</f>
        <v>0</v>
      </c>
      <c r="CL59" s="220">
        <f t="shared" ref="CL59" si="1585">SUM(CL57:CL58)</f>
        <v>0</v>
      </c>
      <c r="CM59" s="220">
        <f t="shared" ref="CM59" si="1586">SUM(CM57:CM58)</f>
        <v>0</v>
      </c>
      <c r="CN59" s="220">
        <f t="shared" ref="CN59" si="1587">SUM(CN57:CN58)</f>
        <v>0</v>
      </c>
      <c r="CO59" s="220">
        <f t="shared" ref="CO59" si="1588">SUM(CO57:CO58)</f>
        <v>0</v>
      </c>
      <c r="CP59" s="220">
        <f t="shared" ref="CP59" si="1589">SUM(CP57:CP58)</f>
        <v>0</v>
      </c>
      <c r="CQ59" s="220">
        <f t="shared" ref="CQ59" si="1590">SUM(CQ57:CQ58)</f>
        <v>0</v>
      </c>
      <c r="CR59" s="220">
        <f t="shared" ref="CR59" si="1591">SUM(CR57:CR58)</f>
        <v>0</v>
      </c>
      <c r="CS59" s="220">
        <f t="shared" ref="CS59" si="1592">SUM(CS57:CS58)</f>
        <v>0</v>
      </c>
      <c r="CT59" s="221">
        <f t="shared" ref="CT59" si="1593">SUM(CT57:CT58)</f>
        <v>0</v>
      </c>
      <c r="CU59" s="226"/>
      <c r="CV59" s="219">
        <f t="shared" ref="CV59" si="1594">SUM(CV57:CV58)</f>
        <v>15.7524991</v>
      </c>
      <c r="CW59" s="220">
        <f t="shared" ref="CW59" si="1595">SUM(CW57:CW58)</f>
        <v>15.7524991</v>
      </c>
      <c r="CX59" s="220">
        <f t="shared" ref="CX59" si="1596">SUM(CX57:CX58)</f>
        <v>0</v>
      </c>
      <c r="CY59" s="220">
        <f t="shared" ref="CY59" si="1597">SUM(CY57:CY58)</f>
        <v>0</v>
      </c>
      <c r="CZ59" s="222">
        <f t="shared" ref="CZ59" si="1598">SUM(CZ57:CZ58)</f>
        <v>15.7524991</v>
      </c>
    </row>
    <row r="60" spans="1:104" ht="15" customHeight="1" x14ac:dyDescent="0.25">
      <c r="A60" s="58" t="s">
        <v>465</v>
      </c>
      <c r="B60" s="53" t="s">
        <v>9</v>
      </c>
      <c r="C60" s="250"/>
      <c r="D60" s="245" t="s">
        <v>9</v>
      </c>
      <c r="E60" s="85" t="s">
        <v>132</v>
      </c>
      <c r="F60" s="55">
        <f>SUMIFS('CWO Bulan Ini'!$DA:$DA,'CWO Bulan Ini'!$DJ:$DJ,'Area-Cabang'!$B60,'CWO Bulan Ini'!$DH:$DH,'Area-Cabang'!$E60,'CWO Bulan Ini'!$CZ:$CZ,'Area-Cabang'!F$41)</f>
        <v>0</v>
      </c>
      <c r="G60" s="56">
        <f>SUMIFS('CWO Bulan Ini'!$DA:$DA,'CWO Bulan Ini'!$DJ:$DJ,'Area-Cabang'!$B60,'CWO Bulan Ini'!$DH:$DH,'Area-Cabang'!$E60,'CWO Bulan Ini'!$CZ:$CZ,'Area-Cabang'!G$41)</f>
        <v>0</v>
      </c>
      <c r="H60" s="56">
        <f>SUMIFS('CWO Bulan Ini'!$DA:$DA,'CWO Bulan Ini'!$DJ:$DJ,'Area-Cabang'!$B60,'CWO Bulan Ini'!$DH:$DH,'Area-Cabang'!$E60,'CWO Bulan Ini'!$CZ:$CZ,'Area-Cabang'!H$41)</f>
        <v>0</v>
      </c>
      <c r="I60" s="56">
        <f>SUMIFS('CWO Bulan Ini'!$DA:$DA,'CWO Bulan Ini'!$DJ:$DJ,'Area-Cabang'!$B60,'CWO Bulan Ini'!$DH:$DH,'Area-Cabang'!$E60,'CWO Bulan Ini'!$CZ:$CZ,'Area-Cabang'!I$41)</f>
        <v>92.005081439999998</v>
      </c>
      <c r="J60" s="56">
        <f>SUMIFS('CWO Bulan Ini'!$DA:$DA,'CWO Bulan Ini'!$DJ:$DJ,'Area-Cabang'!$B60,'CWO Bulan Ini'!$DH:$DH,'Area-Cabang'!$E60,'CWO Bulan Ini'!$CZ:$CZ,'Area-Cabang'!J$41)</f>
        <v>0</v>
      </c>
      <c r="K60" s="56">
        <f>SUMIFS('CWO Bulan Ini'!$DA:$DA,'CWO Bulan Ini'!$DJ:$DJ,'Area-Cabang'!$B60,'CWO Bulan Ini'!$DH:$DH,'Area-Cabang'!$E60,'CWO Bulan Ini'!$CZ:$CZ,'Area-Cabang'!K$41)</f>
        <v>0</v>
      </c>
      <c r="L60" s="56">
        <f>SUMIFS('CWO Bulan Ini'!$DA:$DA,'CWO Bulan Ini'!$DJ:$DJ,'Area-Cabang'!$B60,'CWO Bulan Ini'!$DH:$DH,'Area-Cabang'!$E60,'CWO Bulan Ini'!$CZ:$CZ,'Area-Cabang'!L$41)</f>
        <v>0</v>
      </c>
      <c r="M60" s="56">
        <f>SUMIFS('CWO Bulan Ini'!$DA:$DA,'CWO Bulan Ini'!$DJ:$DJ,'Area-Cabang'!$B60,'CWO Bulan Ini'!$DH:$DH,'Area-Cabang'!$E60,'CWO Bulan Ini'!$CZ:$CZ,'Area-Cabang'!M$41)</f>
        <v>0</v>
      </c>
      <c r="N60" s="56">
        <f>SUMIFS('CWO Bulan Ini'!$DA:$DA,'CWO Bulan Ini'!$DJ:$DJ,'Area-Cabang'!$B60,'CWO Bulan Ini'!$DH:$DH,'Area-Cabang'!$E60,'CWO Bulan Ini'!$CZ:$CZ,'Area-Cabang'!N$41)</f>
        <v>0</v>
      </c>
      <c r="O60" s="56">
        <f>SUMIFS('CWO Bulan Ini'!$DA:$DA,'CWO Bulan Ini'!$DJ:$DJ,'Area-Cabang'!$B60,'CWO Bulan Ini'!$DH:$DH,'Area-Cabang'!$E60,'CWO Bulan Ini'!$CZ:$CZ,'Area-Cabang'!O$41)</f>
        <v>0</v>
      </c>
      <c r="P60" s="56">
        <f>SUMIFS('CWO Bulan Ini'!$DA:$DA,'CWO Bulan Ini'!$DJ:$DJ,'Area-Cabang'!$B60,'CWO Bulan Ini'!$DH:$DH,'Area-Cabang'!$E60,'CWO Bulan Ini'!$CZ:$CZ,'Area-Cabang'!P$41)</f>
        <v>0</v>
      </c>
      <c r="Q60" s="56">
        <f>SUMIFS('CWO Bulan Ini'!$DA:$DA,'CWO Bulan Ini'!$DJ:$DJ,'Area-Cabang'!$B60,'CWO Bulan Ini'!$DH:$DH,'Area-Cabang'!$E60,'CWO Bulan Ini'!$CZ:$CZ,'Area-Cabang'!Q$41)</f>
        <v>0</v>
      </c>
      <c r="R60" s="56">
        <f>SUMIFS('CWO Bulan Ini'!$DA:$DA,'CWO Bulan Ini'!$DJ:$DJ,'Area-Cabang'!$B60,'CWO Bulan Ini'!$DH:$DH,'Area-Cabang'!$E60,'CWO Bulan Ini'!$CZ:$CZ,'Area-Cabang'!R$41)</f>
        <v>0</v>
      </c>
      <c r="S60" s="56">
        <f>SUMIFS('CWO Bulan Ini'!$DA:$DA,'CWO Bulan Ini'!$DJ:$DJ,'Area-Cabang'!$B60,'CWO Bulan Ini'!$DH:$DH,'Area-Cabang'!$E60,'CWO Bulan Ini'!$CZ:$CZ,'Area-Cabang'!S$41)</f>
        <v>0</v>
      </c>
      <c r="T60" s="56">
        <f>SUMIFS('CWO Bulan Ini'!$DA:$DA,'CWO Bulan Ini'!$DJ:$DJ,'Area-Cabang'!$B60,'CWO Bulan Ini'!$DH:$DH,'Area-Cabang'!$E60,'CWO Bulan Ini'!$CZ:$CZ,'Area-Cabang'!T$41)</f>
        <v>0</v>
      </c>
      <c r="U60" s="56">
        <f>SUMIFS('CWO Bulan Ini'!$DA:$DA,'CWO Bulan Ini'!$DJ:$DJ,'Area-Cabang'!$B60,'CWO Bulan Ini'!$DH:$DH,'Area-Cabang'!$E60,'CWO Bulan Ini'!$CZ:$CZ,'Area-Cabang'!U$41)</f>
        <v>0</v>
      </c>
      <c r="V60" s="56">
        <f>SUMIFS('CWO Bulan Ini'!$DA:$DA,'CWO Bulan Ini'!$DJ:$DJ,'Area-Cabang'!$B60,'CWO Bulan Ini'!$DH:$DH,'Area-Cabang'!$E60,'CWO Bulan Ini'!$CZ:$CZ,'Area-Cabang'!V$41)</f>
        <v>0</v>
      </c>
      <c r="W60" s="56">
        <f>SUMIFS('CWO Bulan Ini'!$DA:$DA,'CWO Bulan Ini'!$DJ:$DJ,'Area-Cabang'!$B60,'CWO Bulan Ini'!$DH:$DH,'Area-Cabang'!$E60,'CWO Bulan Ini'!$CZ:$CZ,'Area-Cabang'!W$41)</f>
        <v>0</v>
      </c>
      <c r="X60" s="56">
        <f>SUMIFS('CWO Bulan Ini'!$DA:$DA,'CWO Bulan Ini'!$DJ:$DJ,'Area-Cabang'!$B60,'CWO Bulan Ini'!$DH:$DH,'Area-Cabang'!$E60,'CWO Bulan Ini'!$CZ:$CZ,'Area-Cabang'!X$41)</f>
        <v>0</v>
      </c>
      <c r="Y60" s="56">
        <f>SUMIFS('CWO Bulan Ini'!$DA:$DA,'CWO Bulan Ini'!$DJ:$DJ,'Area-Cabang'!$B60,'CWO Bulan Ini'!$DH:$DH,'Area-Cabang'!$E60,'CWO Bulan Ini'!$CZ:$CZ,'Area-Cabang'!Y$41)</f>
        <v>0</v>
      </c>
      <c r="Z60" s="56">
        <f>SUMIFS('CWO Bulan Ini'!$DA:$DA,'CWO Bulan Ini'!$DJ:$DJ,'Area-Cabang'!$B60,'CWO Bulan Ini'!$DH:$DH,'Area-Cabang'!$E60,'CWO Bulan Ini'!$CZ:$CZ,'Area-Cabang'!Z$41)</f>
        <v>0</v>
      </c>
      <c r="AA60" s="56">
        <f>SUMIFS('CWO Bulan Ini'!$DA:$DA,'CWO Bulan Ini'!$DJ:$DJ,'Area-Cabang'!$B60,'CWO Bulan Ini'!$DH:$DH,'Area-Cabang'!$E60,'CWO Bulan Ini'!$CZ:$CZ,'Area-Cabang'!AA$41)</f>
        <v>0</v>
      </c>
      <c r="AB60" s="56">
        <f>SUMIFS('CWO Bulan Ini'!$DA:$DA,'CWO Bulan Ini'!$DJ:$DJ,'Area-Cabang'!$B60,'CWO Bulan Ini'!$DH:$DH,'Area-Cabang'!$E60,'CWO Bulan Ini'!$CZ:$CZ,'Area-Cabang'!AB$41)</f>
        <v>0</v>
      </c>
      <c r="AC60" s="56">
        <f>SUMIFS('CWO Bulan Ini'!$DA:$DA,'CWO Bulan Ini'!$DJ:$DJ,'Area-Cabang'!$B60,'CWO Bulan Ini'!$DH:$DH,'Area-Cabang'!$E60,'CWO Bulan Ini'!$CZ:$CZ,'Area-Cabang'!AC$41)</f>
        <v>0</v>
      </c>
      <c r="AD60" s="56">
        <f>SUMIFS('CWO Bulan Ini'!$DA:$DA,'CWO Bulan Ini'!$DJ:$DJ,'Area-Cabang'!$B60,'CWO Bulan Ini'!$DH:$DH,'Area-Cabang'!$E60,'CWO Bulan Ini'!$CZ:$CZ,'Area-Cabang'!AD$41)</f>
        <v>0</v>
      </c>
      <c r="AE60" s="56">
        <f>SUMIFS('CWO Bulan Ini'!$DA:$DA,'CWO Bulan Ini'!$DJ:$DJ,'Area-Cabang'!$B60,'CWO Bulan Ini'!$DH:$DH,'Area-Cabang'!$E60,'CWO Bulan Ini'!$CZ:$CZ,'Area-Cabang'!AE$41)</f>
        <v>0</v>
      </c>
      <c r="AF60" s="56">
        <f>SUMIFS('CWO Bulan Ini'!$DA:$DA,'CWO Bulan Ini'!$DJ:$DJ,'Area-Cabang'!$B60,'CWO Bulan Ini'!$DH:$DH,'Area-Cabang'!$E60,'CWO Bulan Ini'!$CZ:$CZ,'Area-Cabang'!AF$41)</f>
        <v>0</v>
      </c>
      <c r="AG60" s="56">
        <f>SUMIFS('CWO Bulan Ini'!$DA:$DA,'CWO Bulan Ini'!$DJ:$DJ,'Area-Cabang'!$B60,'CWO Bulan Ini'!$DH:$DH,'Area-Cabang'!$E60,'CWO Bulan Ini'!$CZ:$CZ,'Area-Cabang'!AG$41)</f>
        <v>0</v>
      </c>
      <c r="AH60" s="56">
        <f>SUMIFS('CWO Bulan Ini'!$DA:$DA,'CWO Bulan Ini'!$DJ:$DJ,'Area-Cabang'!$B60,'CWO Bulan Ini'!$DH:$DH,'Area-Cabang'!$E60,'CWO Bulan Ini'!$CZ:$CZ,'Area-Cabang'!AH$41)</f>
        <v>0</v>
      </c>
      <c r="AI60" s="56">
        <f>SUMIFS('CWO Bulan Ini'!$DA:$DA,'CWO Bulan Ini'!$DJ:$DJ,'Area-Cabang'!$B60,'CWO Bulan Ini'!$DH:$DH,'Area-Cabang'!$E60,'CWO Bulan Ini'!$CZ:$CZ,'Area-Cabang'!AI$41)</f>
        <v>0</v>
      </c>
      <c r="AJ60" s="56">
        <f>SUMIFS('CWO Bulan Ini'!$DA:$DA,'CWO Bulan Ini'!$DJ:$DJ,'Area-Cabang'!$B60,'CWO Bulan Ini'!$DH:$DH,'Area-Cabang'!$E60,'CWO Bulan Ini'!$CZ:$CZ,'Area-Cabang'!AJ$41)</f>
        <v>0</v>
      </c>
      <c r="AK60" s="55">
        <f>SUMIFS('CWO Bulan Ini'!$DD:$DD,'CWO Bulan Ini'!$DJ:$DJ,'Area-Cabang'!$B60,'CWO Bulan Ini'!$DH:$DH,'Area-Cabang'!$E60,'CWO Bulan Ini'!$CZ:$CZ,'Area-Cabang'!AK$41)</f>
        <v>0</v>
      </c>
      <c r="AL60" s="56">
        <f>SUMIFS('CWO Bulan Ini'!$DD:$DD,'CWO Bulan Ini'!$DJ:$DJ,'Area-Cabang'!$B60,'CWO Bulan Ini'!$DH:$DH,'Area-Cabang'!$E60,'CWO Bulan Ini'!$CZ:$CZ,'Area-Cabang'!AL$41)</f>
        <v>0</v>
      </c>
      <c r="AM60" s="56">
        <f>SUMIFS('CWO Bulan Ini'!$DD:$DD,'CWO Bulan Ini'!$DJ:$DJ,'Area-Cabang'!$B60,'CWO Bulan Ini'!$DH:$DH,'Area-Cabang'!$E60,'CWO Bulan Ini'!$CZ:$CZ,'Area-Cabang'!AM$41)</f>
        <v>0</v>
      </c>
      <c r="AN60" s="56">
        <f>SUMIFS('CWO Bulan Ini'!$DD:$DD,'CWO Bulan Ini'!$DJ:$DJ,'Area-Cabang'!$B60,'CWO Bulan Ini'!$DH:$DH,'Area-Cabang'!$E60,'CWO Bulan Ini'!$CZ:$CZ,'Area-Cabang'!AN$41)</f>
        <v>92.005081439999998</v>
      </c>
      <c r="AO60" s="56">
        <f>SUMIFS('CWO Bulan Ini'!$DD:$DD,'CWO Bulan Ini'!$DJ:$DJ,'Area-Cabang'!$B60,'CWO Bulan Ini'!$DH:$DH,'Area-Cabang'!$E60,'CWO Bulan Ini'!$CZ:$CZ,'Area-Cabang'!AO$41)</f>
        <v>0</v>
      </c>
      <c r="AP60" s="56">
        <f>SUMIFS('CWO Bulan Ini'!$DD:$DD,'CWO Bulan Ini'!$DJ:$DJ,'Area-Cabang'!$B60,'CWO Bulan Ini'!$DH:$DH,'Area-Cabang'!$E60,'CWO Bulan Ini'!$CZ:$CZ,'Area-Cabang'!AP$41)</f>
        <v>0</v>
      </c>
      <c r="AQ60" s="56">
        <f>SUMIFS('CWO Bulan Ini'!$DD:$DD,'CWO Bulan Ini'!$DJ:$DJ,'Area-Cabang'!$B60,'CWO Bulan Ini'!$DH:$DH,'Area-Cabang'!$E60,'CWO Bulan Ini'!$CZ:$CZ,'Area-Cabang'!AQ$41)</f>
        <v>0</v>
      </c>
      <c r="AR60" s="56">
        <f>SUMIFS('CWO Bulan Ini'!$DD:$DD,'CWO Bulan Ini'!$DJ:$DJ,'Area-Cabang'!$B60,'CWO Bulan Ini'!$DH:$DH,'Area-Cabang'!$E60,'CWO Bulan Ini'!$CZ:$CZ,'Area-Cabang'!AR$41)</f>
        <v>0</v>
      </c>
      <c r="AS60" s="56">
        <f>SUMIFS('CWO Bulan Ini'!$DD:$DD,'CWO Bulan Ini'!$DJ:$DJ,'Area-Cabang'!$B60,'CWO Bulan Ini'!$DH:$DH,'Area-Cabang'!$E60,'CWO Bulan Ini'!$CZ:$CZ,'Area-Cabang'!AS$41)</f>
        <v>0</v>
      </c>
      <c r="AT60" s="56">
        <f>SUMIFS('CWO Bulan Ini'!$DD:$DD,'CWO Bulan Ini'!$DJ:$DJ,'Area-Cabang'!$B60,'CWO Bulan Ini'!$DH:$DH,'Area-Cabang'!$E60,'CWO Bulan Ini'!$CZ:$CZ,'Area-Cabang'!AT$41)</f>
        <v>0</v>
      </c>
      <c r="AU60" s="56">
        <f>SUMIFS('CWO Bulan Ini'!$DD:$DD,'CWO Bulan Ini'!$DJ:$DJ,'Area-Cabang'!$B60,'CWO Bulan Ini'!$DH:$DH,'Area-Cabang'!$E60,'CWO Bulan Ini'!$CZ:$CZ,'Area-Cabang'!AU$41)</f>
        <v>0</v>
      </c>
      <c r="AV60" s="56">
        <f>SUMIFS('CWO Bulan Ini'!$DD:$DD,'CWO Bulan Ini'!$DJ:$DJ,'Area-Cabang'!$B60,'CWO Bulan Ini'!$DH:$DH,'Area-Cabang'!$E60,'CWO Bulan Ini'!$CZ:$CZ,'Area-Cabang'!AV$41)</f>
        <v>0</v>
      </c>
      <c r="AW60" s="56">
        <f>SUMIFS('CWO Bulan Ini'!$DD:$DD,'CWO Bulan Ini'!$DJ:$DJ,'Area-Cabang'!$B60,'CWO Bulan Ini'!$DH:$DH,'Area-Cabang'!$E60,'CWO Bulan Ini'!$CZ:$CZ,'Area-Cabang'!AW$41)</f>
        <v>0</v>
      </c>
      <c r="AX60" s="56">
        <f>SUMIFS('CWO Bulan Ini'!$DD:$DD,'CWO Bulan Ini'!$DJ:$DJ,'Area-Cabang'!$B60,'CWO Bulan Ini'!$DH:$DH,'Area-Cabang'!$E60,'CWO Bulan Ini'!$CZ:$CZ,'Area-Cabang'!AX$41)</f>
        <v>0</v>
      </c>
      <c r="AY60" s="56">
        <f>SUMIFS('CWO Bulan Ini'!$DD:$DD,'CWO Bulan Ini'!$DJ:$DJ,'Area-Cabang'!$B60,'CWO Bulan Ini'!$DH:$DH,'Area-Cabang'!$E60,'CWO Bulan Ini'!$CZ:$CZ,'Area-Cabang'!AY$41)</f>
        <v>0</v>
      </c>
      <c r="AZ60" s="56">
        <f>SUMIFS('CWO Bulan Ini'!$DD:$DD,'CWO Bulan Ini'!$DJ:$DJ,'Area-Cabang'!$B60,'CWO Bulan Ini'!$DH:$DH,'Area-Cabang'!$E60,'CWO Bulan Ini'!$CZ:$CZ,'Area-Cabang'!AZ$41)</f>
        <v>0</v>
      </c>
      <c r="BA60" s="56">
        <f>SUMIFS('CWO Bulan Ini'!$DD:$DD,'CWO Bulan Ini'!$DJ:$DJ,'Area-Cabang'!$B60,'CWO Bulan Ini'!$DH:$DH,'Area-Cabang'!$E60,'CWO Bulan Ini'!$CZ:$CZ,'Area-Cabang'!BA$41)</f>
        <v>0</v>
      </c>
      <c r="BB60" s="56">
        <f>SUMIFS('CWO Bulan Ini'!$DD:$DD,'CWO Bulan Ini'!$DJ:$DJ,'Area-Cabang'!$B60,'CWO Bulan Ini'!$DH:$DH,'Area-Cabang'!$E60,'CWO Bulan Ini'!$CZ:$CZ,'Area-Cabang'!BB$41)</f>
        <v>0</v>
      </c>
      <c r="BC60" s="56">
        <f>SUMIFS('CWO Bulan Ini'!$DD:$DD,'CWO Bulan Ini'!$DJ:$DJ,'Area-Cabang'!$B60,'CWO Bulan Ini'!$DH:$DH,'Area-Cabang'!$E60,'CWO Bulan Ini'!$CZ:$CZ,'Area-Cabang'!BC$41)</f>
        <v>0</v>
      </c>
      <c r="BD60" s="56">
        <f>SUMIFS('CWO Bulan Ini'!$DD:$DD,'CWO Bulan Ini'!$DJ:$DJ,'Area-Cabang'!$B60,'CWO Bulan Ini'!$DH:$DH,'Area-Cabang'!$E60,'CWO Bulan Ini'!$CZ:$CZ,'Area-Cabang'!BD$41)</f>
        <v>0</v>
      </c>
      <c r="BE60" s="56">
        <f>SUMIFS('CWO Bulan Ini'!$DD:$DD,'CWO Bulan Ini'!$DJ:$DJ,'Area-Cabang'!$B60,'CWO Bulan Ini'!$DH:$DH,'Area-Cabang'!$E60,'CWO Bulan Ini'!$CZ:$CZ,'Area-Cabang'!BE$41)</f>
        <v>0</v>
      </c>
      <c r="BF60" s="56">
        <f>SUMIFS('CWO Bulan Ini'!$DD:$DD,'CWO Bulan Ini'!$DJ:$DJ,'Area-Cabang'!$B60,'CWO Bulan Ini'!$DH:$DH,'Area-Cabang'!$E60,'CWO Bulan Ini'!$CZ:$CZ,'Area-Cabang'!BF$41)</f>
        <v>0</v>
      </c>
      <c r="BG60" s="56">
        <f>SUMIFS('CWO Bulan Ini'!$DD:$DD,'CWO Bulan Ini'!$DJ:$DJ,'Area-Cabang'!$B60,'CWO Bulan Ini'!$DH:$DH,'Area-Cabang'!$E60,'CWO Bulan Ini'!$CZ:$CZ,'Area-Cabang'!BG$41)</f>
        <v>0</v>
      </c>
      <c r="BH60" s="56">
        <f>SUMIFS('CWO Bulan Ini'!$DD:$DD,'CWO Bulan Ini'!$DJ:$DJ,'Area-Cabang'!$B60,'CWO Bulan Ini'!$DH:$DH,'Area-Cabang'!$E60,'CWO Bulan Ini'!$CZ:$CZ,'Area-Cabang'!BH$41)</f>
        <v>0</v>
      </c>
      <c r="BI60" s="56">
        <f>SUMIFS('CWO Bulan Ini'!$DD:$DD,'CWO Bulan Ini'!$DJ:$DJ,'Area-Cabang'!$B60,'CWO Bulan Ini'!$DH:$DH,'Area-Cabang'!$E60,'CWO Bulan Ini'!$CZ:$CZ,'Area-Cabang'!BI$41)</f>
        <v>0</v>
      </c>
      <c r="BJ60" s="56">
        <f>SUMIFS('CWO Bulan Ini'!$DD:$DD,'CWO Bulan Ini'!$DJ:$DJ,'Area-Cabang'!$B60,'CWO Bulan Ini'!$DH:$DH,'Area-Cabang'!$E60,'CWO Bulan Ini'!$CZ:$CZ,'Area-Cabang'!BJ$41)</f>
        <v>0</v>
      </c>
      <c r="BK60" s="56">
        <f>SUMIFS('CWO Bulan Ini'!$DD:$DD,'CWO Bulan Ini'!$DJ:$DJ,'Area-Cabang'!$B60,'CWO Bulan Ini'!$DH:$DH,'Area-Cabang'!$E60,'CWO Bulan Ini'!$CZ:$CZ,'Area-Cabang'!BK$41)</f>
        <v>0</v>
      </c>
      <c r="BL60" s="56">
        <f>SUMIFS('CWO Bulan Ini'!$DD:$DD,'CWO Bulan Ini'!$DJ:$DJ,'Area-Cabang'!$B60,'CWO Bulan Ini'!$DH:$DH,'Area-Cabang'!$E60,'CWO Bulan Ini'!$CZ:$CZ,'Area-Cabang'!BL$41)</f>
        <v>0</v>
      </c>
      <c r="BM60" s="56">
        <f>SUMIFS('CWO Bulan Ini'!$DD:$DD,'CWO Bulan Ini'!$DJ:$DJ,'Area-Cabang'!$B60,'CWO Bulan Ini'!$DH:$DH,'Area-Cabang'!$E60,'CWO Bulan Ini'!$CZ:$CZ,'Area-Cabang'!BM$41)</f>
        <v>0</v>
      </c>
      <c r="BN60" s="56">
        <f>SUMIFS('CWO Bulan Ini'!$DD:$DD,'CWO Bulan Ini'!$DJ:$DJ,'Area-Cabang'!$B60,'CWO Bulan Ini'!$DH:$DH,'Area-Cabang'!$E60,'CWO Bulan Ini'!$CZ:$CZ,'Area-Cabang'!BN$41)</f>
        <v>0</v>
      </c>
      <c r="BO60" s="57">
        <f>SUMIFS('CWO Bulan Ini'!$DD:$DD,'CWO Bulan Ini'!$DJ:$DJ,'Area-Cabang'!$B60,'CWO Bulan Ini'!$DH:$DH,'Area-Cabang'!$E60,'CWO Bulan Ini'!$CZ:$CZ,'Area-Cabang'!BO$41)</f>
        <v>0</v>
      </c>
      <c r="BP60" s="55">
        <f>SUMIFS('CWO Bulan Ini'!$DC:$DC,'CWO Bulan Ini'!$DJ:$DJ,'Area-Cabang'!$B60,'CWO Bulan Ini'!$DH:$DH,'Area-Cabang'!$E60,'CWO Bulan Ini'!$CZ:$CZ,'Area-Cabang'!BP$41)</f>
        <v>0</v>
      </c>
      <c r="BQ60" s="56">
        <f>SUMIFS('CWO Bulan Ini'!$DC:$DC,'CWO Bulan Ini'!$DJ:$DJ,'Area-Cabang'!$B60,'CWO Bulan Ini'!$DH:$DH,'Area-Cabang'!$E60,'CWO Bulan Ini'!$CZ:$CZ,'Area-Cabang'!BQ$41)</f>
        <v>0</v>
      </c>
      <c r="BR60" s="56">
        <f>SUMIFS('CWO Bulan Ini'!$DC:$DC,'CWO Bulan Ini'!$DJ:$DJ,'Area-Cabang'!$B60,'CWO Bulan Ini'!$DH:$DH,'Area-Cabang'!$E60,'CWO Bulan Ini'!$CZ:$CZ,'Area-Cabang'!BR$41)</f>
        <v>0</v>
      </c>
      <c r="BS60" s="56">
        <f>SUMIFS('CWO Bulan Ini'!$DC:$DC,'CWO Bulan Ini'!$DJ:$DJ,'Area-Cabang'!$B60,'CWO Bulan Ini'!$DH:$DH,'Area-Cabang'!$E60,'CWO Bulan Ini'!$CZ:$CZ,'Area-Cabang'!BS$41)</f>
        <v>0</v>
      </c>
      <c r="BT60" s="56">
        <f>SUMIFS('CWO Bulan Ini'!$DC:$DC,'CWO Bulan Ini'!$DJ:$DJ,'Area-Cabang'!$B60,'CWO Bulan Ini'!$DH:$DH,'Area-Cabang'!$E60,'CWO Bulan Ini'!$CZ:$CZ,'Area-Cabang'!BT$41)</f>
        <v>0</v>
      </c>
      <c r="BU60" s="56">
        <f>SUMIFS('CWO Bulan Ini'!$DC:$DC,'CWO Bulan Ini'!$DJ:$DJ,'Area-Cabang'!$B60,'CWO Bulan Ini'!$DH:$DH,'Area-Cabang'!$E60,'CWO Bulan Ini'!$CZ:$CZ,'Area-Cabang'!BU$41)</f>
        <v>0</v>
      </c>
      <c r="BV60" s="56">
        <f>SUMIFS('CWO Bulan Ini'!$DC:$DC,'CWO Bulan Ini'!$DJ:$DJ,'Area-Cabang'!$B60,'CWO Bulan Ini'!$DH:$DH,'Area-Cabang'!$E60,'CWO Bulan Ini'!$CZ:$CZ,'Area-Cabang'!BV$41)</f>
        <v>0</v>
      </c>
      <c r="BW60" s="56">
        <f>SUMIFS('CWO Bulan Ini'!$DC:$DC,'CWO Bulan Ini'!$DJ:$DJ,'Area-Cabang'!$B60,'CWO Bulan Ini'!$DH:$DH,'Area-Cabang'!$E60,'CWO Bulan Ini'!$CZ:$CZ,'Area-Cabang'!BW$41)</f>
        <v>0</v>
      </c>
      <c r="BX60" s="56">
        <f>SUMIFS('CWO Bulan Ini'!$DC:$DC,'CWO Bulan Ini'!$DJ:$DJ,'Area-Cabang'!$B60,'CWO Bulan Ini'!$DH:$DH,'Area-Cabang'!$E60,'CWO Bulan Ini'!$CZ:$CZ,'Area-Cabang'!BX$41)</f>
        <v>0</v>
      </c>
      <c r="BY60" s="56">
        <f>SUMIFS('CWO Bulan Ini'!$DC:$DC,'CWO Bulan Ini'!$DJ:$DJ,'Area-Cabang'!$B60,'CWO Bulan Ini'!$DH:$DH,'Area-Cabang'!$E60,'CWO Bulan Ini'!$CZ:$CZ,'Area-Cabang'!BY$41)</f>
        <v>0</v>
      </c>
      <c r="BZ60" s="56">
        <f>SUMIFS('CWO Bulan Ini'!$DC:$DC,'CWO Bulan Ini'!$DJ:$DJ,'Area-Cabang'!$B60,'CWO Bulan Ini'!$DH:$DH,'Area-Cabang'!$E60,'CWO Bulan Ini'!$CZ:$CZ,'Area-Cabang'!BZ$41)</f>
        <v>0</v>
      </c>
      <c r="CA60" s="56">
        <f>SUMIFS('CWO Bulan Ini'!$DC:$DC,'CWO Bulan Ini'!$DJ:$DJ,'Area-Cabang'!$B60,'CWO Bulan Ini'!$DH:$DH,'Area-Cabang'!$E60,'CWO Bulan Ini'!$CZ:$CZ,'Area-Cabang'!CA$41)</f>
        <v>0</v>
      </c>
      <c r="CB60" s="56">
        <f>SUMIFS('CWO Bulan Ini'!$DC:$DC,'CWO Bulan Ini'!$DJ:$DJ,'Area-Cabang'!$B60,'CWO Bulan Ini'!$DH:$DH,'Area-Cabang'!$E60,'CWO Bulan Ini'!$CZ:$CZ,'Area-Cabang'!CB$41)</f>
        <v>0</v>
      </c>
      <c r="CC60" s="56">
        <f>SUMIFS('CWO Bulan Ini'!$DC:$DC,'CWO Bulan Ini'!$DJ:$DJ,'Area-Cabang'!$B60,'CWO Bulan Ini'!$DH:$DH,'Area-Cabang'!$E60,'CWO Bulan Ini'!$CZ:$CZ,'Area-Cabang'!CC$41)</f>
        <v>0</v>
      </c>
      <c r="CD60" s="56">
        <f>SUMIFS('CWO Bulan Ini'!$DC:$DC,'CWO Bulan Ini'!$DJ:$DJ,'Area-Cabang'!$B60,'CWO Bulan Ini'!$DH:$DH,'Area-Cabang'!$E60,'CWO Bulan Ini'!$CZ:$CZ,'Area-Cabang'!CD$41)</f>
        <v>0</v>
      </c>
      <c r="CE60" s="56">
        <f>SUMIFS('CWO Bulan Ini'!$DC:$DC,'CWO Bulan Ini'!$DJ:$DJ,'Area-Cabang'!$B60,'CWO Bulan Ini'!$DH:$DH,'Area-Cabang'!$E60,'CWO Bulan Ini'!$CZ:$CZ,'Area-Cabang'!CE$41)</f>
        <v>0</v>
      </c>
      <c r="CF60" s="56">
        <f>SUMIFS('CWO Bulan Ini'!$DC:$DC,'CWO Bulan Ini'!$DJ:$DJ,'Area-Cabang'!$B60,'CWO Bulan Ini'!$DH:$DH,'Area-Cabang'!$E60,'CWO Bulan Ini'!$CZ:$CZ,'Area-Cabang'!CF$41)</f>
        <v>0</v>
      </c>
      <c r="CG60" s="56">
        <f>SUMIFS('CWO Bulan Ini'!$DC:$DC,'CWO Bulan Ini'!$DJ:$DJ,'Area-Cabang'!$B60,'CWO Bulan Ini'!$DH:$DH,'Area-Cabang'!$E60,'CWO Bulan Ini'!$CZ:$CZ,'Area-Cabang'!CG$41)</f>
        <v>0</v>
      </c>
      <c r="CH60" s="56">
        <f>SUMIFS('CWO Bulan Ini'!$DC:$DC,'CWO Bulan Ini'!$DJ:$DJ,'Area-Cabang'!$B60,'CWO Bulan Ini'!$DH:$DH,'Area-Cabang'!$E60,'CWO Bulan Ini'!$CZ:$CZ,'Area-Cabang'!CH$41)</f>
        <v>0</v>
      </c>
      <c r="CI60" s="56">
        <f>SUMIFS('CWO Bulan Ini'!$DC:$DC,'CWO Bulan Ini'!$DJ:$DJ,'Area-Cabang'!$B60,'CWO Bulan Ini'!$DH:$DH,'Area-Cabang'!$E60,'CWO Bulan Ini'!$CZ:$CZ,'Area-Cabang'!CI$41)</f>
        <v>0</v>
      </c>
      <c r="CJ60" s="56">
        <f>SUMIFS('CWO Bulan Ini'!$DC:$DC,'CWO Bulan Ini'!$DJ:$DJ,'Area-Cabang'!$B60,'CWO Bulan Ini'!$DH:$DH,'Area-Cabang'!$E60,'CWO Bulan Ini'!$CZ:$CZ,'Area-Cabang'!CJ$41)</f>
        <v>0</v>
      </c>
      <c r="CK60" s="56">
        <f>SUMIFS('CWO Bulan Ini'!$DC:$DC,'CWO Bulan Ini'!$DJ:$DJ,'Area-Cabang'!$B60,'CWO Bulan Ini'!$DH:$DH,'Area-Cabang'!$E60,'CWO Bulan Ini'!$CZ:$CZ,'Area-Cabang'!CK$41)</f>
        <v>0</v>
      </c>
      <c r="CL60" s="56">
        <f>SUMIFS('CWO Bulan Ini'!$DC:$DC,'CWO Bulan Ini'!$DJ:$DJ,'Area-Cabang'!$B60,'CWO Bulan Ini'!$DH:$DH,'Area-Cabang'!$E60,'CWO Bulan Ini'!$CZ:$CZ,'Area-Cabang'!CL$41)</f>
        <v>0</v>
      </c>
      <c r="CM60" s="56">
        <f>SUMIFS('CWO Bulan Ini'!$DC:$DC,'CWO Bulan Ini'!$DJ:$DJ,'Area-Cabang'!$B60,'CWO Bulan Ini'!$DH:$DH,'Area-Cabang'!$E60,'CWO Bulan Ini'!$CZ:$CZ,'Area-Cabang'!CM$41)</f>
        <v>0</v>
      </c>
      <c r="CN60" s="56">
        <f>SUMIFS('CWO Bulan Ini'!$DC:$DC,'CWO Bulan Ini'!$DJ:$DJ,'Area-Cabang'!$B60,'CWO Bulan Ini'!$DH:$DH,'Area-Cabang'!$E60,'CWO Bulan Ini'!$CZ:$CZ,'Area-Cabang'!CN$41)</f>
        <v>0</v>
      </c>
      <c r="CO60" s="56">
        <f>SUMIFS('CWO Bulan Ini'!$DC:$DC,'CWO Bulan Ini'!$DJ:$DJ,'Area-Cabang'!$B60,'CWO Bulan Ini'!$DH:$DH,'Area-Cabang'!$E60,'CWO Bulan Ini'!$CZ:$CZ,'Area-Cabang'!CO$41)</f>
        <v>0</v>
      </c>
      <c r="CP60" s="56">
        <f>SUMIFS('CWO Bulan Ini'!$DC:$DC,'CWO Bulan Ini'!$DJ:$DJ,'Area-Cabang'!$B60,'CWO Bulan Ini'!$DH:$DH,'Area-Cabang'!$E60,'CWO Bulan Ini'!$CZ:$CZ,'Area-Cabang'!CP$41)</f>
        <v>0</v>
      </c>
      <c r="CQ60" s="56">
        <f>SUMIFS('CWO Bulan Ini'!$DC:$DC,'CWO Bulan Ini'!$DJ:$DJ,'Area-Cabang'!$B60,'CWO Bulan Ini'!$DH:$DH,'Area-Cabang'!$E60,'CWO Bulan Ini'!$CZ:$CZ,'Area-Cabang'!CQ$41)</f>
        <v>0</v>
      </c>
      <c r="CR60" s="56">
        <f>SUMIFS('CWO Bulan Ini'!$DC:$DC,'CWO Bulan Ini'!$DJ:$DJ,'Area-Cabang'!$B60,'CWO Bulan Ini'!$DH:$DH,'Area-Cabang'!$E60,'CWO Bulan Ini'!$CZ:$CZ,'Area-Cabang'!CR$41)</f>
        <v>0</v>
      </c>
      <c r="CS60" s="56">
        <f>SUMIFS('CWO Bulan Ini'!$DC:$DC,'CWO Bulan Ini'!$DJ:$DJ,'Area-Cabang'!$B60,'CWO Bulan Ini'!$DH:$DH,'Area-Cabang'!$E60,'CWO Bulan Ini'!$CZ:$CZ,'Area-Cabang'!CS$41)</f>
        <v>0</v>
      </c>
      <c r="CT60" s="57">
        <f>SUMIFS('CWO Bulan Ini'!$DC:$DC,'CWO Bulan Ini'!$DJ:$DJ,'Area-Cabang'!$B60,'CWO Bulan Ini'!$DH:$DH,'Area-Cabang'!$E60,'CWO Bulan Ini'!$CZ:$CZ,'Area-Cabang'!CT$41)</f>
        <v>0</v>
      </c>
      <c r="CV60" s="97">
        <f t="shared" ref="CV60:CV61" si="1599">SUM(F60:AJ60)</f>
        <v>92.005081439999998</v>
      </c>
      <c r="CW60" s="98">
        <f t="shared" ref="CW60:CW61" si="1600">SUM(AK60:BO60)</f>
        <v>92.005081439999998</v>
      </c>
      <c r="CX60" s="98">
        <f t="shared" ref="CX60:CX61" si="1601">SUM(BP60:CT60)</f>
        <v>0</v>
      </c>
      <c r="CY60" s="98">
        <f t="shared" ref="CY60:CY61" si="1602">CV60-CW60-CX60</f>
        <v>0</v>
      </c>
      <c r="CZ60" s="105">
        <f t="shared" ref="CZ60:CZ61" si="1603">CY60+CW60</f>
        <v>92.005081439999998</v>
      </c>
    </row>
    <row r="61" spans="1:104" ht="15" customHeight="1" x14ac:dyDescent="0.25">
      <c r="A61" s="58" t="s">
        <v>465</v>
      </c>
      <c r="B61" s="58" t="s">
        <v>9</v>
      </c>
      <c r="C61" s="250"/>
      <c r="D61" s="244"/>
      <c r="E61" s="40" t="s">
        <v>349</v>
      </c>
      <c r="F61" s="41">
        <f>SUMIFS('CWO Bulan Ini'!$DA:$DA,'CWO Bulan Ini'!$DJ:$DJ,'Area-Cabang'!$B61,'CWO Bulan Ini'!$DH:$DH,'Area-Cabang'!$E61,'CWO Bulan Ini'!$CZ:$CZ,'Area-Cabang'!F$41)</f>
        <v>0</v>
      </c>
      <c r="G61" s="42">
        <f>SUMIFS('CWO Bulan Ini'!$DA:$DA,'CWO Bulan Ini'!$DJ:$DJ,'Area-Cabang'!$B61,'CWO Bulan Ini'!$DH:$DH,'Area-Cabang'!$E61,'CWO Bulan Ini'!$CZ:$CZ,'Area-Cabang'!G$41)</f>
        <v>0</v>
      </c>
      <c r="H61" s="42">
        <f>SUMIFS('CWO Bulan Ini'!$DA:$DA,'CWO Bulan Ini'!$DJ:$DJ,'Area-Cabang'!$B61,'CWO Bulan Ini'!$DH:$DH,'Area-Cabang'!$E61,'CWO Bulan Ini'!$CZ:$CZ,'Area-Cabang'!H$41)</f>
        <v>0</v>
      </c>
      <c r="I61" s="42">
        <f>SUMIFS('CWO Bulan Ini'!$DA:$DA,'CWO Bulan Ini'!$DJ:$DJ,'Area-Cabang'!$B61,'CWO Bulan Ini'!$DH:$DH,'Area-Cabang'!$E61,'CWO Bulan Ini'!$CZ:$CZ,'Area-Cabang'!I$41)</f>
        <v>0</v>
      </c>
      <c r="J61" s="42">
        <f>SUMIFS('CWO Bulan Ini'!$DA:$DA,'CWO Bulan Ini'!$DJ:$DJ,'Area-Cabang'!$B61,'CWO Bulan Ini'!$DH:$DH,'Area-Cabang'!$E61,'CWO Bulan Ini'!$CZ:$CZ,'Area-Cabang'!J$41)</f>
        <v>0</v>
      </c>
      <c r="K61" s="42">
        <f>SUMIFS('CWO Bulan Ini'!$DA:$DA,'CWO Bulan Ini'!$DJ:$DJ,'Area-Cabang'!$B61,'CWO Bulan Ini'!$DH:$DH,'Area-Cabang'!$E61,'CWO Bulan Ini'!$CZ:$CZ,'Area-Cabang'!K$41)</f>
        <v>0</v>
      </c>
      <c r="L61" s="42">
        <f>SUMIFS('CWO Bulan Ini'!$DA:$DA,'CWO Bulan Ini'!$DJ:$DJ,'Area-Cabang'!$B61,'CWO Bulan Ini'!$DH:$DH,'Area-Cabang'!$E61,'CWO Bulan Ini'!$CZ:$CZ,'Area-Cabang'!L$41)</f>
        <v>0</v>
      </c>
      <c r="M61" s="42">
        <f>SUMIFS('CWO Bulan Ini'!$DA:$DA,'CWO Bulan Ini'!$DJ:$DJ,'Area-Cabang'!$B61,'CWO Bulan Ini'!$DH:$DH,'Area-Cabang'!$E61,'CWO Bulan Ini'!$CZ:$CZ,'Area-Cabang'!M$41)</f>
        <v>0</v>
      </c>
      <c r="N61" s="42">
        <f>SUMIFS('CWO Bulan Ini'!$DA:$DA,'CWO Bulan Ini'!$DJ:$DJ,'Area-Cabang'!$B61,'CWO Bulan Ini'!$DH:$DH,'Area-Cabang'!$E61,'CWO Bulan Ini'!$CZ:$CZ,'Area-Cabang'!N$41)</f>
        <v>0</v>
      </c>
      <c r="O61" s="42">
        <f>SUMIFS('CWO Bulan Ini'!$DA:$DA,'CWO Bulan Ini'!$DJ:$DJ,'Area-Cabang'!$B61,'CWO Bulan Ini'!$DH:$DH,'Area-Cabang'!$E61,'CWO Bulan Ini'!$CZ:$CZ,'Area-Cabang'!O$41)</f>
        <v>0</v>
      </c>
      <c r="P61" s="42">
        <f>SUMIFS('CWO Bulan Ini'!$DA:$DA,'CWO Bulan Ini'!$DJ:$DJ,'Area-Cabang'!$B61,'CWO Bulan Ini'!$DH:$DH,'Area-Cabang'!$E61,'CWO Bulan Ini'!$CZ:$CZ,'Area-Cabang'!P$41)</f>
        <v>0</v>
      </c>
      <c r="Q61" s="42">
        <f>SUMIFS('CWO Bulan Ini'!$DA:$DA,'CWO Bulan Ini'!$DJ:$DJ,'Area-Cabang'!$B61,'CWO Bulan Ini'!$DH:$DH,'Area-Cabang'!$E61,'CWO Bulan Ini'!$CZ:$CZ,'Area-Cabang'!Q$41)</f>
        <v>0</v>
      </c>
      <c r="R61" s="42">
        <f>SUMIFS('CWO Bulan Ini'!$DA:$DA,'CWO Bulan Ini'!$DJ:$DJ,'Area-Cabang'!$B61,'CWO Bulan Ini'!$DH:$DH,'Area-Cabang'!$E61,'CWO Bulan Ini'!$CZ:$CZ,'Area-Cabang'!R$41)</f>
        <v>0</v>
      </c>
      <c r="S61" s="42">
        <f>SUMIFS('CWO Bulan Ini'!$DA:$DA,'CWO Bulan Ini'!$DJ:$DJ,'Area-Cabang'!$B61,'CWO Bulan Ini'!$DH:$DH,'Area-Cabang'!$E61,'CWO Bulan Ini'!$CZ:$CZ,'Area-Cabang'!S$41)</f>
        <v>0</v>
      </c>
      <c r="T61" s="42">
        <f>SUMIFS('CWO Bulan Ini'!$DA:$DA,'CWO Bulan Ini'!$DJ:$DJ,'Area-Cabang'!$B61,'CWO Bulan Ini'!$DH:$DH,'Area-Cabang'!$E61,'CWO Bulan Ini'!$CZ:$CZ,'Area-Cabang'!T$41)</f>
        <v>0</v>
      </c>
      <c r="U61" s="42">
        <f>SUMIFS('CWO Bulan Ini'!$DA:$DA,'CWO Bulan Ini'!$DJ:$DJ,'Area-Cabang'!$B61,'CWO Bulan Ini'!$DH:$DH,'Area-Cabang'!$E61,'CWO Bulan Ini'!$CZ:$CZ,'Area-Cabang'!U$41)</f>
        <v>0</v>
      </c>
      <c r="V61" s="42">
        <f>SUMIFS('CWO Bulan Ini'!$DA:$DA,'CWO Bulan Ini'!$DJ:$DJ,'Area-Cabang'!$B61,'CWO Bulan Ini'!$DH:$DH,'Area-Cabang'!$E61,'CWO Bulan Ini'!$CZ:$CZ,'Area-Cabang'!V$41)</f>
        <v>0</v>
      </c>
      <c r="W61" s="42">
        <f>SUMIFS('CWO Bulan Ini'!$DA:$DA,'CWO Bulan Ini'!$DJ:$DJ,'Area-Cabang'!$B61,'CWO Bulan Ini'!$DH:$DH,'Area-Cabang'!$E61,'CWO Bulan Ini'!$CZ:$CZ,'Area-Cabang'!W$41)</f>
        <v>0</v>
      </c>
      <c r="X61" s="42">
        <f>SUMIFS('CWO Bulan Ini'!$DA:$DA,'CWO Bulan Ini'!$DJ:$DJ,'Area-Cabang'!$B61,'CWO Bulan Ini'!$DH:$DH,'Area-Cabang'!$E61,'CWO Bulan Ini'!$CZ:$CZ,'Area-Cabang'!X$41)</f>
        <v>0</v>
      </c>
      <c r="Y61" s="42">
        <f>SUMIFS('CWO Bulan Ini'!$DA:$DA,'CWO Bulan Ini'!$DJ:$DJ,'Area-Cabang'!$B61,'CWO Bulan Ini'!$DH:$DH,'Area-Cabang'!$E61,'CWO Bulan Ini'!$CZ:$CZ,'Area-Cabang'!Y$41)</f>
        <v>0</v>
      </c>
      <c r="Z61" s="42">
        <f>SUMIFS('CWO Bulan Ini'!$DA:$DA,'CWO Bulan Ini'!$DJ:$DJ,'Area-Cabang'!$B61,'CWO Bulan Ini'!$DH:$DH,'Area-Cabang'!$E61,'CWO Bulan Ini'!$CZ:$CZ,'Area-Cabang'!Z$41)</f>
        <v>0</v>
      </c>
      <c r="AA61" s="42">
        <f>SUMIFS('CWO Bulan Ini'!$DA:$DA,'CWO Bulan Ini'!$DJ:$DJ,'Area-Cabang'!$B61,'CWO Bulan Ini'!$DH:$DH,'Area-Cabang'!$E61,'CWO Bulan Ini'!$CZ:$CZ,'Area-Cabang'!AA$41)</f>
        <v>0</v>
      </c>
      <c r="AB61" s="42">
        <f>SUMIFS('CWO Bulan Ini'!$DA:$DA,'CWO Bulan Ini'!$DJ:$DJ,'Area-Cabang'!$B61,'CWO Bulan Ini'!$DH:$DH,'Area-Cabang'!$E61,'CWO Bulan Ini'!$CZ:$CZ,'Area-Cabang'!AB$41)</f>
        <v>0</v>
      </c>
      <c r="AC61" s="42">
        <f>SUMIFS('CWO Bulan Ini'!$DA:$DA,'CWO Bulan Ini'!$DJ:$DJ,'Area-Cabang'!$B61,'CWO Bulan Ini'!$DH:$DH,'Area-Cabang'!$E61,'CWO Bulan Ini'!$CZ:$CZ,'Area-Cabang'!AC$41)</f>
        <v>0</v>
      </c>
      <c r="AD61" s="42">
        <f>SUMIFS('CWO Bulan Ini'!$DA:$DA,'CWO Bulan Ini'!$DJ:$DJ,'Area-Cabang'!$B61,'CWO Bulan Ini'!$DH:$DH,'Area-Cabang'!$E61,'CWO Bulan Ini'!$CZ:$CZ,'Area-Cabang'!AD$41)</f>
        <v>0</v>
      </c>
      <c r="AE61" s="42">
        <f>SUMIFS('CWO Bulan Ini'!$DA:$DA,'CWO Bulan Ini'!$DJ:$DJ,'Area-Cabang'!$B61,'CWO Bulan Ini'!$DH:$DH,'Area-Cabang'!$E61,'CWO Bulan Ini'!$CZ:$CZ,'Area-Cabang'!AE$41)</f>
        <v>0</v>
      </c>
      <c r="AF61" s="42">
        <f>SUMIFS('CWO Bulan Ini'!$DA:$DA,'CWO Bulan Ini'!$DJ:$DJ,'Area-Cabang'!$B61,'CWO Bulan Ini'!$DH:$DH,'Area-Cabang'!$E61,'CWO Bulan Ini'!$CZ:$CZ,'Area-Cabang'!AF$41)</f>
        <v>0</v>
      </c>
      <c r="AG61" s="42">
        <f>SUMIFS('CWO Bulan Ini'!$DA:$DA,'CWO Bulan Ini'!$DJ:$DJ,'Area-Cabang'!$B61,'CWO Bulan Ini'!$DH:$DH,'Area-Cabang'!$E61,'CWO Bulan Ini'!$CZ:$CZ,'Area-Cabang'!AG$41)</f>
        <v>0</v>
      </c>
      <c r="AH61" s="42">
        <f>SUMIFS('CWO Bulan Ini'!$DA:$DA,'CWO Bulan Ini'!$DJ:$DJ,'Area-Cabang'!$B61,'CWO Bulan Ini'!$DH:$DH,'Area-Cabang'!$E61,'CWO Bulan Ini'!$CZ:$CZ,'Area-Cabang'!AH$41)</f>
        <v>0</v>
      </c>
      <c r="AI61" s="42">
        <f>SUMIFS('CWO Bulan Ini'!$DA:$DA,'CWO Bulan Ini'!$DJ:$DJ,'Area-Cabang'!$B61,'CWO Bulan Ini'!$DH:$DH,'Area-Cabang'!$E61,'CWO Bulan Ini'!$CZ:$CZ,'Area-Cabang'!AI$41)</f>
        <v>0</v>
      </c>
      <c r="AJ61" s="42">
        <f>SUMIFS('CWO Bulan Ini'!$DA:$DA,'CWO Bulan Ini'!$DJ:$DJ,'Area-Cabang'!$B61,'CWO Bulan Ini'!$DH:$DH,'Area-Cabang'!$E61,'CWO Bulan Ini'!$CZ:$CZ,'Area-Cabang'!AJ$41)</f>
        <v>0</v>
      </c>
      <c r="AK61" s="41">
        <f>SUMIFS('CWO Bulan Ini'!$DD:$DD,'CWO Bulan Ini'!$DJ:$DJ,'Area-Cabang'!$B61,'CWO Bulan Ini'!$DH:$DH,'Area-Cabang'!$E61,'CWO Bulan Ini'!$CZ:$CZ,'Area-Cabang'!AK$41)</f>
        <v>0</v>
      </c>
      <c r="AL61" s="42">
        <f>SUMIFS('CWO Bulan Ini'!$DD:$DD,'CWO Bulan Ini'!$DJ:$DJ,'Area-Cabang'!$B61,'CWO Bulan Ini'!$DH:$DH,'Area-Cabang'!$E61,'CWO Bulan Ini'!$CZ:$CZ,'Area-Cabang'!AL$41)</f>
        <v>0</v>
      </c>
      <c r="AM61" s="42">
        <f>SUMIFS('CWO Bulan Ini'!$DD:$DD,'CWO Bulan Ini'!$DJ:$DJ,'Area-Cabang'!$B61,'CWO Bulan Ini'!$DH:$DH,'Area-Cabang'!$E61,'CWO Bulan Ini'!$CZ:$CZ,'Area-Cabang'!AM$41)</f>
        <v>0</v>
      </c>
      <c r="AN61" s="42">
        <f>SUMIFS('CWO Bulan Ini'!$DD:$DD,'CWO Bulan Ini'!$DJ:$DJ,'Area-Cabang'!$B61,'CWO Bulan Ini'!$DH:$DH,'Area-Cabang'!$E61,'CWO Bulan Ini'!$CZ:$CZ,'Area-Cabang'!AN$41)</f>
        <v>0</v>
      </c>
      <c r="AO61" s="42">
        <f>SUMIFS('CWO Bulan Ini'!$DD:$DD,'CWO Bulan Ini'!$DJ:$DJ,'Area-Cabang'!$B61,'CWO Bulan Ini'!$DH:$DH,'Area-Cabang'!$E61,'CWO Bulan Ini'!$CZ:$CZ,'Area-Cabang'!AO$41)</f>
        <v>0</v>
      </c>
      <c r="AP61" s="42">
        <f>SUMIFS('CWO Bulan Ini'!$DD:$DD,'CWO Bulan Ini'!$DJ:$DJ,'Area-Cabang'!$B61,'CWO Bulan Ini'!$DH:$DH,'Area-Cabang'!$E61,'CWO Bulan Ini'!$CZ:$CZ,'Area-Cabang'!AP$41)</f>
        <v>0</v>
      </c>
      <c r="AQ61" s="42">
        <f>SUMIFS('CWO Bulan Ini'!$DD:$DD,'CWO Bulan Ini'!$DJ:$DJ,'Area-Cabang'!$B61,'CWO Bulan Ini'!$DH:$DH,'Area-Cabang'!$E61,'CWO Bulan Ini'!$CZ:$CZ,'Area-Cabang'!AQ$41)</f>
        <v>0</v>
      </c>
      <c r="AR61" s="42">
        <f>SUMIFS('CWO Bulan Ini'!$DD:$DD,'CWO Bulan Ini'!$DJ:$DJ,'Area-Cabang'!$B61,'CWO Bulan Ini'!$DH:$DH,'Area-Cabang'!$E61,'CWO Bulan Ini'!$CZ:$CZ,'Area-Cabang'!AR$41)</f>
        <v>0</v>
      </c>
      <c r="AS61" s="42">
        <f>SUMIFS('CWO Bulan Ini'!$DD:$DD,'CWO Bulan Ini'!$DJ:$DJ,'Area-Cabang'!$B61,'CWO Bulan Ini'!$DH:$DH,'Area-Cabang'!$E61,'CWO Bulan Ini'!$CZ:$CZ,'Area-Cabang'!AS$41)</f>
        <v>0</v>
      </c>
      <c r="AT61" s="42">
        <f>SUMIFS('CWO Bulan Ini'!$DD:$DD,'CWO Bulan Ini'!$DJ:$DJ,'Area-Cabang'!$B61,'CWO Bulan Ini'!$DH:$DH,'Area-Cabang'!$E61,'CWO Bulan Ini'!$CZ:$CZ,'Area-Cabang'!AT$41)</f>
        <v>0</v>
      </c>
      <c r="AU61" s="42">
        <f>SUMIFS('CWO Bulan Ini'!$DD:$DD,'CWO Bulan Ini'!$DJ:$DJ,'Area-Cabang'!$B61,'CWO Bulan Ini'!$DH:$DH,'Area-Cabang'!$E61,'CWO Bulan Ini'!$CZ:$CZ,'Area-Cabang'!AU$41)</f>
        <v>0</v>
      </c>
      <c r="AV61" s="42">
        <f>SUMIFS('CWO Bulan Ini'!$DD:$DD,'CWO Bulan Ini'!$DJ:$DJ,'Area-Cabang'!$B61,'CWO Bulan Ini'!$DH:$DH,'Area-Cabang'!$E61,'CWO Bulan Ini'!$CZ:$CZ,'Area-Cabang'!AV$41)</f>
        <v>0</v>
      </c>
      <c r="AW61" s="42">
        <f>SUMIFS('CWO Bulan Ini'!$DD:$DD,'CWO Bulan Ini'!$DJ:$DJ,'Area-Cabang'!$B61,'CWO Bulan Ini'!$DH:$DH,'Area-Cabang'!$E61,'CWO Bulan Ini'!$CZ:$CZ,'Area-Cabang'!AW$41)</f>
        <v>0</v>
      </c>
      <c r="AX61" s="42">
        <f>SUMIFS('CWO Bulan Ini'!$DD:$DD,'CWO Bulan Ini'!$DJ:$DJ,'Area-Cabang'!$B61,'CWO Bulan Ini'!$DH:$DH,'Area-Cabang'!$E61,'CWO Bulan Ini'!$CZ:$CZ,'Area-Cabang'!AX$41)</f>
        <v>0</v>
      </c>
      <c r="AY61" s="42">
        <f>SUMIFS('CWO Bulan Ini'!$DD:$DD,'CWO Bulan Ini'!$DJ:$DJ,'Area-Cabang'!$B61,'CWO Bulan Ini'!$DH:$DH,'Area-Cabang'!$E61,'CWO Bulan Ini'!$CZ:$CZ,'Area-Cabang'!AY$41)</f>
        <v>0</v>
      </c>
      <c r="AZ61" s="42">
        <f>SUMIFS('CWO Bulan Ini'!$DD:$DD,'CWO Bulan Ini'!$DJ:$DJ,'Area-Cabang'!$B61,'CWO Bulan Ini'!$DH:$DH,'Area-Cabang'!$E61,'CWO Bulan Ini'!$CZ:$CZ,'Area-Cabang'!AZ$41)</f>
        <v>0</v>
      </c>
      <c r="BA61" s="42">
        <f>SUMIFS('CWO Bulan Ini'!$DD:$DD,'CWO Bulan Ini'!$DJ:$DJ,'Area-Cabang'!$B61,'CWO Bulan Ini'!$DH:$DH,'Area-Cabang'!$E61,'CWO Bulan Ini'!$CZ:$CZ,'Area-Cabang'!BA$41)</f>
        <v>0</v>
      </c>
      <c r="BB61" s="42">
        <f>SUMIFS('CWO Bulan Ini'!$DD:$DD,'CWO Bulan Ini'!$DJ:$DJ,'Area-Cabang'!$B61,'CWO Bulan Ini'!$DH:$DH,'Area-Cabang'!$E61,'CWO Bulan Ini'!$CZ:$CZ,'Area-Cabang'!BB$41)</f>
        <v>0</v>
      </c>
      <c r="BC61" s="42">
        <f>SUMIFS('CWO Bulan Ini'!$DD:$DD,'CWO Bulan Ini'!$DJ:$DJ,'Area-Cabang'!$B61,'CWO Bulan Ini'!$DH:$DH,'Area-Cabang'!$E61,'CWO Bulan Ini'!$CZ:$CZ,'Area-Cabang'!BC$41)</f>
        <v>0</v>
      </c>
      <c r="BD61" s="42">
        <f>SUMIFS('CWO Bulan Ini'!$DD:$DD,'CWO Bulan Ini'!$DJ:$DJ,'Area-Cabang'!$B61,'CWO Bulan Ini'!$DH:$DH,'Area-Cabang'!$E61,'CWO Bulan Ini'!$CZ:$CZ,'Area-Cabang'!BD$41)</f>
        <v>0</v>
      </c>
      <c r="BE61" s="42">
        <f>SUMIFS('CWO Bulan Ini'!$DD:$DD,'CWO Bulan Ini'!$DJ:$DJ,'Area-Cabang'!$B61,'CWO Bulan Ini'!$DH:$DH,'Area-Cabang'!$E61,'CWO Bulan Ini'!$CZ:$CZ,'Area-Cabang'!BE$41)</f>
        <v>0</v>
      </c>
      <c r="BF61" s="42">
        <f>SUMIFS('CWO Bulan Ini'!$DD:$DD,'CWO Bulan Ini'!$DJ:$DJ,'Area-Cabang'!$B61,'CWO Bulan Ini'!$DH:$DH,'Area-Cabang'!$E61,'CWO Bulan Ini'!$CZ:$CZ,'Area-Cabang'!BF$41)</f>
        <v>0</v>
      </c>
      <c r="BG61" s="42">
        <f>SUMIFS('CWO Bulan Ini'!$DD:$DD,'CWO Bulan Ini'!$DJ:$DJ,'Area-Cabang'!$B61,'CWO Bulan Ini'!$DH:$DH,'Area-Cabang'!$E61,'CWO Bulan Ini'!$CZ:$CZ,'Area-Cabang'!BG$41)</f>
        <v>0</v>
      </c>
      <c r="BH61" s="42">
        <f>SUMIFS('CWO Bulan Ini'!$DD:$DD,'CWO Bulan Ini'!$DJ:$DJ,'Area-Cabang'!$B61,'CWO Bulan Ini'!$DH:$DH,'Area-Cabang'!$E61,'CWO Bulan Ini'!$CZ:$CZ,'Area-Cabang'!BH$41)</f>
        <v>0</v>
      </c>
      <c r="BI61" s="42">
        <f>SUMIFS('CWO Bulan Ini'!$DD:$DD,'CWO Bulan Ini'!$DJ:$DJ,'Area-Cabang'!$B61,'CWO Bulan Ini'!$DH:$DH,'Area-Cabang'!$E61,'CWO Bulan Ini'!$CZ:$CZ,'Area-Cabang'!BI$41)</f>
        <v>0</v>
      </c>
      <c r="BJ61" s="42">
        <f>SUMIFS('CWO Bulan Ini'!$DD:$DD,'CWO Bulan Ini'!$DJ:$DJ,'Area-Cabang'!$B61,'CWO Bulan Ini'!$DH:$DH,'Area-Cabang'!$E61,'CWO Bulan Ini'!$CZ:$CZ,'Area-Cabang'!BJ$41)</f>
        <v>0</v>
      </c>
      <c r="BK61" s="42">
        <f>SUMIFS('CWO Bulan Ini'!$DD:$DD,'CWO Bulan Ini'!$DJ:$DJ,'Area-Cabang'!$B61,'CWO Bulan Ini'!$DH:$DH,'Area-Cabang'!$E61,'CWO Bulan Ini'!$CZ:$CZ,'Area-Cabang'!BK$41)</f>
        <v>0</v>
      </c>
      <c r="BL61" s="42">
        <f>SUMIFS('CWO Bulan Ini'!$DD:$DD,'CWO Bulan Ini'!$DJ:$DJ,'Area-Cabang'!$B61,'CWO Bulan Ini'!$DH:$DH,'Area-Cabang'!$E61,'CWO Bulan Ini'!$CZ:$CZ,'Area-Cabang'!BL$41)</f>
        <v>0</v>
      </c>
      <c r="BM61" s="42">
        <f>SUMIFS('CWO Bulan Ini'!$DD:$DD,'CWO Bulan Ini'!$DJ:$DJ,'Area-Cabang'!$B61,'CWO Bulan Ini'!$DH:$DH,'Area-Cabang'!$E61,'CWO Bulan Ini'!$CZ:$CZ,'Area-Cabang'!BM$41)</f>
        <v>0</v>
      </c>
      <c r="BN61" s="42">
        <f>SUMIFS('CWO Bulan Ini'!$DD:$DD,'CWO Bulan Ini'!$DJ:$DJ,'Area-Cabang'!$B61,'CWO Bulan Ini'!$DH:$DH,'Area-Cabang'!$E61,'CWO Bulan Ini'!$CZ:$CZ,'Area-Cabang'!BN$41)</f>
        <v>0</v>
      </c>
      <c r="BO61" s="43">
        <f>SUMIFS('CWO Bulan Ini'!$DD:$DD,'CWO Bulan Ini'!$DJ:$DJ,'Area-Cabang'!$B61,'CWO Bulan Ini'!$DH:$DH,'Area-Cabang'!$E61,'CWO Bulan Ini'!$CZ:$CZ,'Area-Cabang'!BO$41)</f>
        <v>0</v>
      </c>
      <c r="BP61" s="41">
        <f>SUMIFS('CWO Bulan Ini'!$DC:$DC,'CWO Bulan Ini'!$DJ:$DJ,'Area-Cabang'!$B61,'CWO Bulan Ini'!$DH:$DH,'Area-Cabang'!$E61,'CWO Bulan Ini'!$CZ:$CZ,'Area-Cabang'!BP$41)</f>
        <v>0</v>
      </c>
      <c r="BQ61" s="42">
        <f>SUMIFS('CWO Bulan Ini'!$DC:$DC,'CWO Bulan Ini'!$DJ:$DJ,'Area-Cabang'!$B61,'CWO Bulan Ini'!$DH:$DH,'Area-Cabang'!$E61,'CWO Bulan Ini'!$CZ:$CZ,'Area-Cabang'!BQ$41)</f>
        <v>0</v>
      </c>
      <c r="BR61" s="42">
        <f>SUMIFS('CWO Bulan Ini'!$DC:$DC,'CWO Bulan Ini'!$DJ:$DJ,'Area-Cabang'!$B61,'CWO Bulan Ini'!$DH:$DH,'Area-Cabang'!$E61,'CWO Bulan Ini'!$CZ:$CZ,'Area-Cabang'!BR$41)</f>
        <v>0</v>
      </c>
      <c r="BS61" s="42">
        <f>SUMIFS('CWO Bulan Ini'!$DC:$DC,'CWO Bulan Ini'!$DJ:$DJ,'Area-Cabang'!$B61,'CWO Bulan Ini'!$DH:$DH,'Area-Cabang'!$E61,'CWO Bulan Ini'!$CZ:$CZ,'Area-Cabang'!BS$41)</f>
        <v>0</v>
      </c>
      <c r="BT61" s="42">
        <f>SUMIFS('CWO Bulan Ini'!$DC:$DC,'CWO Bulan Ini'!$DJ:$DJ,'Area-Cabang'!$B61,'CWO Bulan Ini'!$DH:$DH,'Area-Cabang'!$E61,'CWO Bulan Ini'!$CZ:$CZ,'Area-Cabang'!BT$41)</f>
        <v>0</v>
      </c>
      <c r="BU61" s="42">
        <f>SUMIFS('CWO Bulan Ini'!$DC:$DC,'CWO Bulan Ini'!$DJ:$DJ,'Area-Cabang'!$B61,'CWO Bulan Ini'!$DH:$DH,'Area-Cabang'!$E61,'CWO Bulan Ini'!$CZ:$CZ,'Area-Cabang'!BU$41)</f>
        <v>0</v>
      </c>
      <c r="BV61" s="42">
        <f>SUMIFS('CWO Bulan Ini'!$DC:$DC,'CWO Bulan Ini'!$DJ:$DJ,'Area-Cabang'!$B61,'CWO Bulan Ini'!$DH:$DH,'Area-Cabang'!$E61,'CWO Bulan Ini'!$CZ:$CZ,'Area-Cabang'!BV$41)</f>
        <v>0</v>
      </c>
      <c r="BW61" s="42">
        <f>SUMIFS('CWO Bulan Ini'!$DC:$DC,'CWO Bulan Ini'!$DJ:$DJ,'Area-Cabang'!$B61,'CWO Bulan Ini'!$DH:$DH,'Area-Cabang'!$E61,'CWO Bulan Ini'!$CZ:$CZ,'Area-Cabang'!BW$41)</f>
        <v>0</v>
      </c>
      <c r="BX61" s="42">
        <f>SUMIFS('CWO Bulan Ini'!$DC:$DC,'CWO Bulan Ini'!$DJ:$DJ,'Area-Cabang'!$B61,'CWO Bulan Ini'!$DH:$DH,'Area-Cabang'!$E61,'CWO Bulan Ini'!$CZ:$CZ,'Area-Cabang'!BX$41)</f>
        <v>0</v>
      </c>
      <c r="BY61" s="42">
        <f>SUMIFS('CWO Bulan Ini'!$DC:$DC,'CWO Bulan Ini'!$DJ:$DJ,'Area-Cabang'!$B61,'CWO Bulan Ini'!$DH:$DH,'Area-Cabang'!$E61,'CWO Bulan Ini'!$CZ:$CZ,'Area-Cabang'!BY$41)</f>
        <v>0</v>
      </c>
      <c r="BZ61" s="42">
        <f>SUMIFS('CWO Bulan Ini'!$DC:$DC,'CWO Bulan Ini'!$DJ:$DJ,'Area-Cabang'!$B61,'CWO Bulan Ini'!$DH:$DH,'Area-Cabang'!$E61,'CWO Bulan Ini'!$CZ:$CZ,'Area-Cabang'!BZ$41)</f>
        <v>0</v>
      </c>
      <c r="CA61" s="42">
        <f>SUMIFS('CWO Bulan Ini'!$DC:$DC,'CWO Bulan Ini'!$DJ:$DJ,'Area-Cabang'!$B61,'CWO Bulan Ini'!$DH:$DH,'Area-Cabang'!$E61,'CWO Bulan Ini'!$CZ:$CZ,'Area-Cabang'!CA$41)</f>
        <v>0</v>
      </c>
      <c r="CB61" s="42">
        <f>SUMIFS('CWO Bulan Ini'!$DC:$DC,'CWO Bulan Ini'!$DJ:$DJ,'Area-Cabang'!$B61,'CWO Bulan Ini'!$DH:$DH,'Area-Cabang'!$E61,'CWO Bulan Ini'!$CZ:$CZ,'Area-Cabang'!CB$41)</f>
        <v>0</v>
      </c>
      <c r="CC61" s="42">
        <f>SUMIFS('CWO Bulan Ini'!$DC:$DC,'CWO Bulan Ini'!$DJ:$DJ,'Area-Cabang'!$B61,'CWO Bulan Ini'!$DH:$DH,'Area-Cabang'!$E61,'CWO Bulan Ini'!$CZ:$CZ,'Area-Cabang'!CC$41)</f>
        <v>0</v>
      </c>
      <c r="CD61" s="42">
        <f>SUMIFS('CWO Bulan Ini'!$DC:$DC,'CWO Bulan Ini'!$DJ:$DJ,'Area-Cabang'!$B61,'CWO Bulan Ini'!$DH:$DH,'Area-Cabang'!$E61,'CWO Bulan Ini'!$CZ:$CZ,'Area-Cabang'!CD$41)</f>
        <v>0</v>
      </c>
      <c r="CE61" s="42">
        <f>SUMIFS('CWO Bulan Ini'!$DC:$DC,'CWO Bulan Ini'!$DJ:$DJ,'Area-Cabang'!$B61,'CWO Bulan Ini'!$DH:$DH,'Area-Cabang'!$E61,'CWO Bulan Ini'!$CZ:$CZ,'Area-Cabang'!CE$41)</f>
        <v>0</v>
      </c>
      <c r="CF61" s="42">
        <f>SUMIFS('CWO Bulan Ini'!$DC:$DC,'CWO Bulan Ini'!$DJ:$DJ,'Area-Cabang'!$B61,'CWO Bulan Ini'!$DH:$DH,'Area-Cabang'!$E61,'CWO Bulan Ini'!$CZ:$CZ,'Area-Cabang'!CF$41)</f>
        <v>0</v>
      </c>
      <c r="CG61" s="42">
        <f>SUMIFS('CWO Bulan Ini'!$DC:$DC,'CWO Bulan Ini'!$DJ:$DJ,'Area-Cabang'!$B61,'CWO Bulan Ini'!$DH:$DH,'Area-Cabang'!$E61,'CWO Bulan Ini'!$CZ:$CZ,'Area-Cabang'!CG$41)</f>
        <v>0</v>
      </c>
      <c r="CH61" s="42">
        <f>SUMIFS('CWO Bulan Ini'!$DC:$DC,'CWO Bulan Ini'!$DJ:$DJ,'Area-Cabang'!$B61,'CWO Bulan Ini'!$DH:$DH,'Area-Cabang'!$E61,'CWO Bulan Ini'!$CZ:$CZ,'Area-Cabang'!CH$41)</f>
        <v>0</v>
      </c>
      <c r="CI61" s="42">
        <f>SUMIFS('CWO Bulan Ini'!$DC:$DC,'CWO Bulan Ini'!$DJ:$DJ,'Area-Cabang'!$B61,'CWO Bulan Ini'!$DH:$DH,'Area-Cabang'!$E61,'CWO Bulan Ini'!$CZ:$CZ,'Area-Cabang'!CI$41)</f>
        <v>0</v>
      </c>
      <c r="CJ61" s="42">
        <f>SUMIFS('CWO Bulan Ini'!$DC:$DC,'CWO Bulan Ini'!$DJ:$DJ,'Area-Cabang'!$B61,'CWO Bulan Ini'!$DH:$DH,'Area-Cabang'!$E61,'CWO Bulan Ini'!$CZ:$CZ,'Area-Cabang'!CJ$41)</f>
        <v>0</v>
      </c>
      <c r="CK61" s="42">
        <f>SUMIFS('CWO Bulan Ini'!$DC:$DC,'CWO Bulan Ini'!$DJ:$DJ,'Area-Cabang'!$B61,'CWO Bulan Ini'!$DH:$DH,'Area-Cabang'!$E61,'CWO Bulan Ini'!$CZ:$CZ,'Area-Cabang'!CK$41)</f>
        <v>0</v>
      </c>
      <c r="CL61" s="42">
        <f>SUMIFS('CWO Bulan Ini'!$DC:$DC,'CWO Bulan Ini'!$DJ:$DJ,'Area-Cabang'!$B61,'CWO Bulan Ini'!$DH:$DH,'Area-Cabang'!$E61,'CWO Bulan Ini'!$CZ:$CZ,'Area-Cabang'!CL$41)</f>
        <v>0</v>
      </c>
      <c r="CM61" s="42">
        <f>SUMIFS('CWO Bulan Ini'!$DC:$DC,'CWO Bulan Ini'!$DJ:$DJ,'Area-Cabang'!$B61,'CWO Bulan Ini'!$DH:$DH,'Area-Cabang'!$E61,'CWO Bulan Ini'!$CZ:$CZ,'Area-Cabang'!CM$41)</f>
        <v>0</v>
      </c>
      <c r="CN61" s="42">
        <f>SUMIFS('CWO Bulan Ini'!$DC:$DC,'CWO Bulan Ini'!$DJ:$DJ,'Area-Cabang'!$B61,'CWO Bulan Ini'!$DH:$DH,'Area-Cabang'!$E61,'CWO Bulan Ini'!$CZ:$CZ,'Area-Cabang'!CN$41)</f>
        <v>0</v>
      </c>
      <c r="CO61" s="42">
        <f>SUMIFS('CWO Bulan Ini'!$DC:$DC,'CWO Bulan Ini'!$DJ:$DJ,'Area-Cabang'!$B61,'CWO Bulan Ini'!$DH:$DH,'Area-Cabang'!$E61,'CWO Bulan Ini'!$CZ:$CZ,'Area-Cabang'!CO$41)</f>
        <v>0</v>
      </c>
      <c r="CP61" s="42">
        <f>SUMIFS('CWO Bulan Ini'!$DC:$DC,'CWO Bulan Ini'!$DJ:$DJ,'Area-Cabang'!$B61,'CWO Bulan Ini'!$DH:$DH,'Area-Cabang'!$E61,'CWO Bulan Ini'!$CZ:$CZ,'Area-Cabang'!CP$41)</f>
        <v>0</v>
      </c>
      <c r="CQ61" s="42">
        <f>SUMIFS('CWO Bulan Ini'!$DC:$DC,'CWO Bulan Ini'!$DJ:$DJ,'Area-Cabang'!$B61,'CWO Bulan Ini'!$DH:$DH,'Area-Cabang'!$E61,'CWO Bulan Ini'!$CZ:$CZ,'Area-Cabang'!CQ$41)</f>
        <v>0</v>
      </c>
      <c r="CR61" s="42">
        <f>SUMIFS('CWO Bulan Ini'!$DC:$DC,'CWO Bulan Ini'!$DJ:$DJ,'Area-Cabang'!$B61,'CWO Bulan Ini'!$DH:$DH,'Area-Cabang'!$E61,'CWO Bulan Ini'!$CZ:$CZ,'Area-Cabang'!CR$41)</f>
        <v>0</v>
      </c>
      <c r="CS61" s="42">
        <f>SUMIFS('CWO Bulan Ini'!$DC:$DC,'CWO Bulan Ini'!$DJ:$DJ,'Area-Cabang'!$B61,'CWO Bulan Ini'!$DH:$DH,'Area-Cabang'!$E61,'CWO Bulan Ini'!$CZ:$CZ,'Area-Cabang'!CS$41)</f>
        <v>0</v>
      </c>
      <c r="CT61" s="43">
        <f>SUMIFS('CWO Bulan Ini'!$DC:$DC,'CWO Bulan Ini'!$DJ:$DJ,'Area-Cabang'!$B61,'CWO Bulan Ini'!$DH:$DH,'Area-Cabang'!$E61,'CWO Bulan Ini'!$CZ:$CZ,'Area-Cabang'!CT$41)</f>
        <v>0</v>
      </c>
      <c r="CV61" s="96">
        <f t="shared" si="1599"/>
        <v>0</v>
      </c>
      <c r="CW61" s="93">
        <f t="shared" si="1600"/>
        <v>0</v>
      </c>
      <c r="CX61" s="93">
        <f t="shared" si="1601"/>
        <v>0</v>
      </c>
      <c r="CY61" s="93">
        <f t="shared" si="1602"/>
        <v>0</v>
      </c>
      <c r="CZ61" s="106">
        <f t="shared" si="1603"/>
        <v>0</v>
      </c>
    </row>
    <row r="62" spans="1:104" ht="15" customHeight="1" x14ac:dyDescent="0.25">
      <c r="A62" s="58" t="s">
        <v>465</v>
      </c>
      <c r="B62" s="53" t="s">
        <v>850</v>
      </c>
      <c r="C62" s="250"/>
      <c r="D62" s="227" t="s">
        <v>850</v>
      </c>
      <c r="E62" s="228"/>
      <c r="F62" s="219">
        <f t="shared" ref="F62" si="1604">SUM(F60:F61)</f>
        <v>0</v>
      </c>
      <c r="G62" s="220">
        <f t="shared" ref="G62" si="1605">SUM(G60:G61)</f>
        <v>0</v>
      </c>
      <c r="H62" s="220">
        <f t="shared" ref="H62" si="1606">SUM(H60:H61)</f>
        <v>0</v>
      </c>
      <c r="I62" s="220">
        <f t="shared" ref="I62" si="1607">SUM(I60:I61)</f>
        <v>92.005081439999998</v>
      </c>
      <c r="J62" s="220">
        <f t="shared" ref="J62" si="1608">SUM(J60:J61)</f>
        <v>0</v>
      </c>
      <c r="K62" s="220">
        <f t="shared" ref="K62" si="1609">SUM(K60:K61)</f>
        <v>0</v>
      </c>
      <c r="L62" s="220">
        <f t="shared" ref="L62" si="1610">SUM(L60:L61)</f>
        <v>0</v>
      </c>
      <c r="M62" s="220">
        <f t="shared" ref="M62" si="1611">SUM(M60:M61)</f>
        <v>0</v>
      </c>
      <c r="N62" s="220">
        <f t="shared" ref="N62" si="1612">SUM(N60:N61)</f>
        <v>0</v>
      </c>
      <c r="O62" s="220">
        <f t="shared" ref="O62" si="1613">SUM(O60:O61)</f>
        <v>0</v>
      </c>
      <c r="P62" s="220">
        <f t="shared" ref="P62" si="1614">SUM(P60:P61)</f>
        <v>0</v>
      </c>
      <c r="Q62" s="220">
        <f t="shared" ref="Q62" si="1615">SUM(Q60:Q61)</f>
        <v>0</v>
      </c>
      <c r="R62" s="220">
        <f t="shared" ref="R62" si="1616">SUM(R60:R61)</f>
        <v>0</v>
      </c>
      <c r="S62" s="220">
        <f t="shared" ref="S62" si="1617">SUM(S60:S61)</f>
        <v>0</v>
      </c>
      <c r="T62" s="220">
        <f t="shared" ref="T62" si="1618">SUM(T60:T61)</f>
        <v>0</v>
      </c>
      <c r="U62" s="220">
        <f t="shared" ref="U62" si="1619">SUM(U60:U61)</f>
        <v>0</v>
      </c>
      <c r="V62" s="220">
        <f t="shared" ref="V62" si="1620">SUM(V60:V61)</f>
        <v>0</v>
      </c>
      <c r="W62" s="220">
        <f t="shared" ref="W62" si="1621">SUM(W60:W61)</f>
        <v>0</v>
      </c>
      <c r="X62" s="220">
        <f t="shared" ref="X62" si="1622">SUM(X60:X61)</f>
        <v>0</v>
      </c>
      <c r="Y62" s="220">
        <f t="shared" ref="Y62" si="1623">SUM(Y60:Y61)</f>
        <v>0</v>
      </c>
      <c r="Z62" s="220">
        <f t="shared" ref="Z62" si="1624">SUM(Z60:Z61)</f>
        <v>0</v>
      </c>
      <c r="AA62" s="220">
        <f t="shared" ref="AA62" si="1625">SUM(AA60:AA61)</f>
        <v>0</v>
      </c>
      <c r="AB62" s="220">
        <f t="shared" ref="AB62" si="1626">SUM(AB60:AB61)</f>
        <v>0</v>
      </c>
      <c r="AC62" s="220">
        <f t="shared" ref="AC62" si="1627">SUM(AC60:AC61)</f>
        <v>0</v>
      </c>
      <c r="AD62" s="220">
        <f t="shared" ref="AD62" si="1628">SUM(AD60:AD61)</f>
        <v>0</v>
      </c>
      <c r="AE62" s="220">
        <f t="shared" ref="AE62" si="1629">SUM(AE60:AE61)</f>
        <v>0</v>
      </c>
      <c r="AF62" s="220">
        <f t="shared" ref="AF62" si="1630">SUM(AF60:AF61)</f>
        <v>0</v>
      </c>
      <c r="AG62" s="220">
        <f t="shared" ref="AG62" si="1631">SUM(AG60:AG61)</f>
        <v>0</v>
      </c>
      <c r="AH62" s="220">
        <f t="shared" ref="AH62" si="1632">SUM(AH60:AH61)</f>
        <v>0</v>
      </c>
      <c r="AI62" s="220">
        <f t="shared" ref="AI62" si="1633">SUM(AI60:AI61)</f>
        <v>0</v>
      </c>
      <c r="AJ62" s="220">
        <f t="shared" ref="AJ62" si="1634">SUM(AJ60:AJ61)</f>
        <v>0</v>
      </c>
      <c r="AK62" s="219">
        <f t="shared" ref="AK62" si="1635">SUM(AK60:AK61)</f>
        <v>0</v>
      </c>
      <c r="AL62" s="220">
        <f t="shared" ref="AL62" si="1636">SUM(AL60:AL61)</f>
        <v>0</v>
      </c>
      <c r="AM62" s="220">
        <f t="shared" ref="AM62" si="1637">SUM(AM60:AM61)</f>
        <v>0</v>
      </c>
      <c r="AN62" s="220">
        <f t="shared" ref="AN62" si="1638">SUM(AN60:AN61)</f>
        <v>92.005081439999998</v>
      </c>
      <c r="AO62" s="220">
        <f t="shared" ref="AO62" si="1639">SUM(AO60:AO61)</f>
        <v>0</v>
      </c>
      <c r="AP62" s="220">
        <f t="shared" ref="AP62" si="1640">SUM(AP60:AP61)</f>
        <v>0</v>
      </c>
      <c r="AQ62" s="220">
        <f t="shared" ref="AQ62" si="1641">SUM(AQ60:AQ61)</f>
        <v>0</v>
      </c>
      <c r="AR62" s="220">
        <f t="shared" ref="AR62" si="1642">SUM(AR60:AR61)</f>
        <v>0</v>
      </c>
      <c r="AS62" s="220">
        <f t="shared" ref="AS62" si="1643">SUM(AS60:AS61)</f>
        <v>0</v>
      </c>
      <c r="AT62" s="220">
        <f t="shared" ref="AT62" si="1644">SUM(AT60:AT61)</f>
        <v>0</v>
      </c>
      <c r="AU62" s="220">
        <f t="shared" ref="AU62" si="1645">SUM(AU60:AU61)</f>
        <v>0</v>
      </c>
      <c r="AV62" s="220">
        <f t="shared" ref="AV62" si="1646">SUM(AV60:AV61)</f>
        <v>0</v>
      </c>
      <c r="AW62" s="220">
        <f t="shared" ref="AW62" si="1647">SUM(AW60:AW61)</f>
        <v>0</v>
      </c>
      <c r="AX62" s="220">
        <f t="shared" ref="AX62" si="1648">SUM(AX60:AX61)</f>
        <v>0</v>
      </c>
      <c r="AY62" s="220">
        <f t="shared" ref="AY62" si="1649">SUM(AY60:AY61)</f>
        <v>0</v>
      </c>
      <c r="AZ62" s="220">
        <f t="shared" ref="AZ62" si="1650">SUM(AZ60:AZ61)</f>
        <v>0</v>
      </c>
      <c r="BA62" s="220">
        <f t="shared" ref="BA62" si="1651">SUM(BA60:BA61)</f>
        <v>0</v>
      </c>
      <c r="BB62" s="220">
        <f t="shared" ref="BB62" si="1652">SUM(BB60:BB61)</f>
        <v>0</v>
      </c>
      <c r="BC62" s="220">
        <f t="shared" ref="BC62" si="1653">SUM(BC60:BC61)</f>
        <v>0</v>
      </c>
      <c r="BD62" s="220">
        <f t="shared" ref="BD62" si="1654">SUM(BD60:BD61)</f>
        <v>0</v>
      </c>
      <c r="BE62" s="220">
        <f t="shared" ref="BE62" si="1655">SUM(BE60:BE61)</f>
        <v>0</v>
      </c>
      <c r="BF62" s="220">
        <f t="shared" ref="BF62" si="1656">SUM(BF60:BF61)</f>
        <v>0</v>
      </c>
      <c r="BG62" s="220">
        <f t="shared" ref="BG62" si="1657">SUM(BG60:BG61)</f>
        <v>0</v>
      </c>
      <c r="BH62" s="220">
        <f t="shared" ref="BH62" si="1658">SUM(BH60:BH61)</f>
        <v>0</v>
      </c>
      <c r="BI62" s="220">
        <f t="shared" ref="BI62" si="1659">SUM(BI60:BI61)</f>
        <v>0</v>
      </c>
      <c r="BJ62" s="220">
        <f t="shared" ref="BJ62" si="1660">SUM(BJ60:BJ61)</f>
        <v>0</v>
      </c>
      <c r="BK62" s="220">
        <f t="shared" ref="BK62" si="1661">SUM(BK60:BK61)</f>
        <v>0</v>
      </c>
      <c r="BL62" s="220">
        <f t="shared" ref="BL62" si="1662">SUM(BL60:BL61)</f>
        <v>0</v>
      </c>
      <c r="BM62" s="220">
        <f t="shared" ref="BM62" si="1663">SUM(BM60:BM61)</f>
        <v>0</v>
      </c>
      <c r="BN62" s="220">
        <f t="shared" ref="BN62" si="1664">SUM(BN60:BN61)</f>
        <v>0</v>
      </c>
      <c r="BO62" s="221">
        <f t="shared" ref="BO62" si="1665">SUM(BO60:BO61)</f>
        <v>0</v>
      </c>
      <c r="BP62" s="219">
        <f t="shared" ref="BP62" si="1666">SUM(BP60:BP61)</f>
        <v>0</v>
      </c>
      <c r="BQ62" s="220">
        <f t="shared" ref="BQ62" si="1667">SUM(BQ60:BQ61)</f>
        <v>0</v>
      </c>
      <c r="BR62" s="220">
        <f t="shared" ref="BR62" si="1668">SUM(BR60:BR61)</f>
        <v>0</v>
      </c>
      <c r="BS62" s="220">
        <f t="shared" ref="BS62" si="1669">SUM(BS60:BS61)</f>
        <v>0</v>
      </c>
      <c r="BT62" s="220">
        <f t="shared" ref="BT62" si="1670">SUM(BT60:BT61)</f>
        <v>0</v>
      </c>
      <c r="BU62" s="220">
        <f t="shared" ref="BU62" si="1671">SUM(BU60:BU61)</f>
        <v>0</v>
      </c>
      <c r="BV62" s="220">
        <f t="shared" ref="BV62" si="1672">SUM(BV60:BV61)</f>
        <v>0</v>
      </c>
      <c r="BW62" s="220">
        <f t="shared" ref="BW62" si="1673">SUM(BW60:BW61)</f>
        <v>0</v>
      </c>
      <c r="BX62" s="220">
        <f t="shared" ref="BX62" si="1674">SUM(BX60:BX61)</f>
        <v>0</v>
      </c>
      <c r="BY62" s="220">
        <f t="shared" ref="BY62" si="1675">SUM(BY60:BY61)</f>
        <v>0</v>
      </c>
      <c r="BZ62" s="220">
        <f t="shared" ref="BZ62" si="1676">SUM(BZ60:BZ61)</f>
        <v>0</v>
      </c>
      <c r="CA62" s="220">
        <f t="shared" ref="CA62" si="1677">SUM(CA60:CA61)</f>
        <v>0</v>
      </c>
      <c r="CB62" s="220">
        <f t="shared" ref="CB62" si="1678">SUM(CB60:CB61)</f>
        <v>0</v>
      </c>
      <c r="CC62" s="220">
        <f t="shared" ref="CC62" si="1679">SUM(CC60:CC61)</f>
        <v>0</v>
      </c>
      <c r="CD62" s="220">
        <f t="shared" ref="CD62" si="1680">SUM(CD60:CD61)</f>
        <v>0</v>
      </c>
      <c r="CE62" s="220">
        <f t="shared" ref="CE62" si="1681">SUM(CE60:CE61)</f>
        <v>0</v>
      </c>
      <c r="CF62" s="220">
        <f t="shared" ref="CF62" si="1682">SUM(CF60:CF61)</f>
        <v>0</v>
      </c>
      <c r="CG62" s="220">
        <f t="shared" ref="CG62" si="1683">SUM(CG60:CG61)</f>
        <v>0</v>
      </c>
      <c r="CH62" s="220">
        <f t="shared" ref="CH62" si="1684">SUM(CH60:CH61)</f>
        <v>0</v>
      </c>
      <c r="CI62" s="220">
        <f t="shared" ref="CI62" si="1685">SUM(CI60:CI61)</f>
        <v>0</v>
      </c>
      <c r="CJ62" s="220">
        <f t="shared" ref="CJ62" si="1686">SUM(CJ60:CJ61)</f>
        <v>0</v>
      </c>
      <c r="CK62" s="220">
        <f t="shared" ref="CK62" si="1687">SUM(CK60:CK61)</f>
        <v>0</v>
      </c>
      <c r="CL62" s="220">
        <f t="shared" ref="CL62" si="1688">SUM(CL60:CL61)</f>
        <v>0</v>
      </c>
      <c r="CM62" s="220">
        <f t="shared" ref="CM62" si="1689">SUM(CM60:CM61)</f>
        <v>0</v>
      </c>
      <c r="CN62" s="220">
        <f t="shared" ref="CN62" si="1690">SUM(CN60:CN61)</f>
        <v>0</v>
      </c>
      <c r="CO62" s="220">
        <f t="shared" ref="CO62" si="1691">SUM(CO60:CO61)</f>
        <v>0</v>
      </c>
      <c r="CP62" s="220">
        <f t="shared" ref="CP62" si="1692">SUM(CP60:CP61)</f>
        <v>0</v>
      </c>
      <c r="CQ62" s="220">
        <f t="shared" ref="CQ62" si="1693">SUM(CQ60:CQ61)</f>
        <v>0</v>
      </c>
      <c r="CR62" s="220">
        <f t="shared" ref="CR62" si="1694">SUM(CR60:CR61)</f>
        <v>0</v>
      </c>
      <c r="CS62" s="220">
        <f t="shared" ref="CS62" si="1695">SUM(CS60:CS61)</f>
        <v>0</v>
      </c>
      <c r="CT62" s="221">
        <f t="shared" ref="CT62" si="1696">SUM(CT60:CT61)</f>
        <v>0</v>
      </c>
      <c r="CU62" s="226"/>
      <c r="CV62" s="219">
        <f t="shared" ref="CV62" si="1697">SUM(CV60:CV61)</f>
        <v>92.005081439999998</v>
      </c>
      <c r="CW62" s="220">
        <f t="shared" ref="CW62" si="1698">SUM(CW60:CW61)</f>
        <v>92.005081439999998</v>
      </c>
      <c r="CX62" s="220">
        <f t="shared" ref="CX62" si="1699">SUM(CX60:CX61)</f>
        <v>0</v>
      </c>
      <c r="CY62" s="220">
        <f t="shared" ref="CY62" si="1700">SUM(CY60:CY61)</f>
        <v>0</v>
      </c>
      <c r="CZ62" s="222">
        <f t="shared" ref="CZ62" si="1701">SUM(CZ60:CZ61)</f>
        <v>92.005081439999998</v>
      </c>
    </row>
    <row r="63" spans="1:104" ht="15" customHeight="1" x14ac:dyDescent="0.25">
      <c r="A63" s="58" t="s">
        <v>465</v>
      </c>
      <c r="B63" s="53" t="s">
        <v>15</v>
      </c>
      <c r="C63" s="250"/>
      <c r="D63" s="245" t="s">
        <v>15</v>
      </c>
      <c r="E63" s="85" t="s">
        <v>132</v>
      </c>
      <c r="F63" s="55">
        <f>SUMIFS('CWO Bulan Ini'!$DA:$DA,'CWO Bulan Ini'!$DJ:$DJ,'Area-Cabang'!$B63,'CWO Bulan Ini'!$DH:$DH,'Area-Cabang'!$E63,'CWO Bulan Ini'!$CZ:$CZ,'Area-Cabang'!F$41)</f>
        <v>0</v>
      </c>
      <c r="G63" s="56">
        <f>SUMIFS('CWO Bulan Ini'!$DA:$DA,'CWO Bulan Ini'!$DJ:$DJ,'Area-Cabang'!$B63,'CWO Bulan Ini'!$DH:$DH,'Area-Cabang'!$E63,'CWO Bulan Ini'!$CZ:$CZ,'Area-Cabang'!G$41)</f>
        <v>0</v>
      </c>
      <c r="H63" s="56">
        <f>SUMIFS('CWO Bulan Ini'!$DA:$DA,'CWO Bulan Ini'!$DJ:$DJ,'Area-Cabang'!$B63,'CWO Bulan Ini'!$DH:$DH,'Area-Cabang'!$E63,'CWO Bulan Ini'!$CZ:$CZ,'Area-Cabang'!H$41)</f>
        <v>0</v>
      </c>
      <c r="I63" s="56">
        <f>SUMIFS('CWO Bulan Ini'!$DA:$DA,'CWO Bulan Ini'!$DJ:$DJ,'Area-Cabang'!$B63,'CWO Bulan Ini'!$DH:$DH,'Area-Cabang'!$E63,'CWO Bulan Ini'!$CZ:$CZ,'Area-Cabang'!I$41)</f>
        <v>94.908200690000001</v>
      </c>
      <c r="J63" s="56">
        <f>SUMIFS('CWO Bulan Ini'!$DA:$DA,'CWO Bulan Ini'!$DJ:$DJ,'Area-Cabang'!$B63,'CWO Bulan Ini'!$DH:$DH,'Area-Cabang'!$E63,'CWO Bulan Ini'!$CZ:$CZ,'Area-Cabang'!J$41)</f>
        <v>0</v>
      </c>
      <c r="K63" s="56">
        <f>SUMIFS('CWO Bulan Ini'!$DA:$DA,'CWO Bulan Ini'!$DJ:$DJ,'Area-Cabang'!$B63,'CWO Bulan Ini'!$DH:$DH,'Area-Cabang'!$E63,'CWO Bulan Ini'!$CZ:$CZ,'Area-Cabang'!K$41)</f>
        <v>0</v>
      </c>
      <c r="L63" s="56">
        <f>SUMIFS('CWO Bulan Ini'!$DA:$DA,'CWO Bulan Ini'!$DJ:$DJ,'Area-Cabang'!$B63,'CWO Bulan Ini'!$DH:$DH,'Area-Cabang'!$E63,'CWO Bulan Ini'!$CZ:$CZ,'Area-Cabang'!L$41)</f>
        <v>0</v>
      </c>
      <c r="M63" s="56">
        <f>SUMIFS('CWO Bulan Ini'!$DA:$DA,'CWO Bulan Ini'!$DJ:$DJ,'Area-Cabang'!$B63,'CWO Bulan Ini'!$DH:$DH,'Area-Cabang'!$E63,'CWO Bulan Ini'!$CZ:$CZ,'Area-Cabang'!M$41)</f>
        <v>3.4766043900000003</v>
      </c>
      <c r="N63" s="56">
        <f>SUMIFS('CWO Bulan Ini'!$DA:$DA,'CWO Bulan Ini'!$DJ:$DJ,'Area-Cabang'!$B63,'CWO Bulan Ini'!$DH:$DH,'Area-Cabang'!$E63,'CWO Bulan Ini'!$CZ:$CZ,'Area-Cabang'!N$41)</f>
        <v>3.8406207299999999</v>
      </c>
      <c r="O63" s="56">
        <f>SUMIFS('CWO Bulan Ini'!$DA:$DA,'CWO Bulan Ini'!$DJ:$DJ,'Area-Cabang'!$B63,'CWO Bulan Ini'!$DH:$DH,'Area-Cabang'!$E63,'CWO Bulan Ini'!$CZ:$CZ,'Area-Cabang'!O$41)</f>
        <v>0</v>
      </c>
      <c r="P63" s="56">
        <f>SUMIFS('CWO Bulan Ini'!$DA:$DA,'CWO Bulan Ini'!$DJ:$DJ,'Area-Cabang'!$B63,'CWO Bulan Ini'!$DH:$DH,'Area-Cabang'!$E63,'CWO Bulan Ini'!$CZ:$CZ,'Area-Cabang'!P$41)</f>
        <v>0</v>
      </c>
      <c r="Q63" s="56">
        <f>SUMIFS('CWO Bulan Ini'!$DA:$DA,'CWO Bulan Ini'!$DJ:$DJ,'Area-Cabang'!$B63,'CWO Bulan Ini'!$DH:$DH,'Area-Cabang'!$E63,'CWO Bulan Ini'!$CZ:$CZ,'Area-Cabang'!Q$41)</f>
        <v>7.5072124499999999</v>
      </c>
      <c r="R63" s="56">
        <f>SUMIFS('CWO Bulan Ini'!$DA:$DA,'CWO Bulan Ini'!$DJ:$DJ,'Area-Cabang'!$B63,'CWO Bulan Ini'!$DH:$DH,'Area-Cabang'!$E63,'CWO Bulan Ini'!$CZ:$CZ,'Area-Cabang'!R$41)</f>
        <v>0</v>
      </c>
      <c r="S63" s="56">
        <f>SUMIFS('CWO Bulan Ini'!$DA:$DA,'CWO Bulan Ini'!$DJ:$DJ,'Area-Cabang'!$B63,'CWO Bulan Ini'!$DH:$DH,'Area-Cabang'!$E63,'CWO Bulan Ini'!$CZ:$CZ,'Area-Cabang'!S$41)</f>
        <v>0</v>
      </c>
      <c r="T63" s="56">
        <f>SUMIFS('CWO Bulan Ini'!$DA:$DA,'CWO Bulan Ini'!$DJ:$DJ,'Area-Cabang'!$B63,'CWO Bulan Ini'!$DH:$DH,'Area-Cabang'!$E63,'CWO Bulan Ini'!$CZ:$CZ,'Area-Cabang'!T$41)</f>
        <v>0</v>
      </c>
      <c r="U63" s="56">
        <f>SUMIFS('CWO Bulan Ini'!$DA:$DA,'CWO Bulan Ini'!$DJ:$DJ,'Area-Cabang'!$B63,'CWO Bulan Ini'!$DH:$DH,'Area-Cabang'!$E63,'CWO Bulan Ini'!$CZ:$CZ,'Area-Cabang'!U$41)</f>
        <v>0</v>
      </c>
      <c r="V63" s="56">
        <f>SUMIFS('CWO Bulan Ini'!$DA:$DA,'CWO Bulan Ini'!$DJ:$DJ,'Area-Cabang'!$B63,'CWO Bulan Ini'!$DH:$DH,'Area-Cabang'!$E63,'CWO Bulan Ini'!$CZ:$CZ,'Area-Cabang'!V$41)</f>
        <v>0</v>
      </c>
      <c r="W63" s="56">
        <f>SUMIFS('CWO Bulan Ini'!$DA:$DA,'CWO Bulan Ini'!$DJ:$DJ,'Area-Cabang'!$B63,'CWO Bulan Ini'!$DH:$DH,'Area-Cabang'!$E63,'CWO Bulan Ini'!$CZ:$CZ,'Area-Cabang'!W$41)</f>
        <v>0</v>
      </c>
      <c r="X63" s="56">
        <f>SUMIFS('CWO Bulan Ini'!$DA:$DA,'CWO Bulan Ini'!$DJ:$DJ,'Area-Cabang'!$B63,'CWO Bulan Ini'!$DH:$DH,'Area-Cabang'!$E63,'CWO Bulan Ini'!$CZ:$CZ,'Area-Cabang'!X$41)</f>
        <v>0</v>
      </c>
      <c r="Y63" s="56">
        <f>SUMIFS('CWO Bulan Ini'!$DA:$DA,'CWO Bulan Ini'!$DJ:$DJ,'Area-Cabang'!$B63,'CWO Bulan Ini'!$DH:$DH,'Area-Cabang'!$E63,'CWO Bulan Ini'!$CZ:$CZ,'Area-Cabang'!Y$41)</f>
        <v>89.726350920000002</v>
      </c>
      <c r="Z63" s="56">
        <f>SUMIFS('CWO Bulan Ini'!$DA:$DA,'CWO Bulan Ini'!$DJ:$DJ,'Area-Cabang'!$B63,'CWO Bulan Ini'!$DH:$DH,'Area-Cabang'!$E63,'CWO Bulan Ini'!$CZ:$CZ,'Area-Cabang'!Z$41)</f>
        <v>0</v>
      </c>
      <c r="AA63" s="56">
        <f>SUMIFS('CWO Bulan Ini'!$DA:$DA,'CWO Bulan Ini'!$DJ:$DJ,'Area-Cabang'!$B63,'CWO Bulan Ini'!$DH:$DH,'Area-Cabang'!$E63,'CWO Bulan Ini'!$CZ:$CZ,'Area-Cabang'!AA$41)</f>
        <v>0</v>
      </c>
      <c r="AB63" s="56">
        <f>SUMIFS('CWO Bulan Ini'!$DA:$DA,'CWO Bulan Ini'!$DJ:$DJ,'Area-Cabang'!$B63,'CWO Bulan Ini'!$DH:$DH,'Area-Cabang'!$E63,'CWO Bulan Ini'!$CZ:$CZ,'Area-Cabang'!AB$41)</f>
        <v>0</v>
      </c>
      <c r="AC63" s="56">
        <f>SUMIFS('CWO Bulan Ini'!$DA:$DA,'CWO Bulan Ini'!$DJ:$DJ,'Area-Cabang'!$B63,'CWO Bulan Ini'!$DH:$DH,'Area-Cabang'!$E63,'CWO Bulan Ini'!$CZ:$CZ,'Area-Cabang'!AC$41)</f>
        <v>0</v>
      </c>
      <c r="AD63" s="56">
        <f>SUMIFS('CWO Bulan Ini'!$DA:$DA,'CWO Bulan Ini'!$DJ:$DJ,'Area-Cabang'!$B63,'CWO Bulan Ini'!$DH:$DH,'Area-Cabang'!$E63,'CWO Bulan Ini'!$CZ:$CZ,'Area-Cabang'!AD$41)</f>
        <v>0</v>
      </c>
      <c r="AE63" s="56">
        <f>SUMIFS('CWO Bulan Ini'!$DA:$DA,'CWO Bulan Ini'!$DJ:$DJ,'Area-Cabang'!$B63,'CWO Bulan Ini'!$DH:$DH,'Area-Cabang'!$E63,'CWO Bulan Ini'!$CZ:$CZ,'Area-Cabang'!AE$41)</f>
        <v>0</v>
      </c>
      <c r="AF63" s="56">
        <f>SUMIFS('CWO Bulan Ini'!$DA:$DA,'CWO Bulan Ini'!$DJ:$DJ,'Area-Cabang'!$B63,'CWO Bulan Ini'!$DH:$DH,'Area-Cabang'!$E63,'CWO Bulan Ini'!$CZ:$CZ,'Area-Cabang'!AF$41)</f>
        <v>0</v>
      </c>
      <c r="AG63" s="56">
        <f>SUMIFS('CWO Bulan Ini'!$DA:$DA,'CWO Bulan Ini'!$DJ:$DJ,'Area-Cabang'!$B63,'CWO Bulan Ini'!$DH:$DH,'Area-Cabang'!$E63,'CWO Bulan Ini'!$CZ:$CZ,'Area-Cabang'!AG$41)</f>
        <v>0</v>
      </c>
      <c r="AH63" s="56">
        <f>SUMIFS('CWO Bulan Ini'!$DA:$DA,'CWO Bulan Ini'!$DJ:$DJ,'Area-Cabang'!$B63,'CWO Bulan Ini'!$DH:$DH,'Area-Cabang'!$E63,'CWO Bulan Ini'!$CZ:$CZ,'Area-Cabang'!AH$41)</f>
        <v>0</v>
      </c>
      <c r="AI63" s="56">
        <f>SUMIFS('CWO Bulan Ini'!$DA:$DA,'CWO Bulan Ini'!$DJ:$DJ,'Area-Cabang'!$B63,'CWO Bulan Ini'!$DH:$DH,'Area-Cabang'!$E63,'CWO Bulan Ini'!$CZ:$CZ,'Area-Cabang'!AI$41)</f>
        <v>0</v>
      </c>
      <c r="AJ63" s="56">
        <f>SUMIFS('CWO Bulan Ini'!$DA:$DA,'CWO Bulan Ini'!$DJ:$DJ,'Area-Cabang'!$B63,'CWO Bulan Ini'!$DH:$DH,'Area-Cabang'!$E63,'CWO Bulan Ini'!$CZ:$CZ,'Area-Cabang'!AJ$41)</f>
        <v>0</v>
      </c>
      <c r="AK63" s="55">
        <f>SUMIFS('CWO Bulan Ini'!$DD:$DD,'CWO Bulan Ini'!$DJ:$DJ,'Area-Cabang'!$B63,'CWO Bulan Ini'!$DH:$DH,'Area-Cabang'!$E63,'CWO Bulan Ini'!$CZ:$CZ,'Area-Cabang'!AK$41)</f>
        <v>0</v>
      </c>
      <c r="AL63" s="56">
        <f>SUMIFS('CWO Bulan Ini'!$DD:$DD,'CWO Bulan Ini'!$DJ:$DJ,'Area-Cabang'!$B63,'CWO Bulan Ini'!$DH:$DH,'Area-Cabang'!$E63,'CWO Bulan Ini'!$CZ:$CZ,'Area-Cabang'!AL$41)</f>
        <v>0</v>
      </c>
      <c r="AM63" s="56">
        <f>SUMIFS('CWO Bulan Ini'!$DD:$DD,'CWO Bulan Ini'!$DJ:$DJ,'Area-Cabang'!$B63,'CWO Bulan Ini'!$DH:$DH,'Area-Cabang'!$E63,'CWO Bulan Ini'!$CZ:$CZ,'Area-Cabang'!AM$41)</f>
        <v>0</v>
      </c>
      <c r="AN63" s="56">
        <f>SUMIFS('CWO Bulan Ini'!$DD:$DD,'CWO Bulan Ini'!$DJ:$DJ,'Area-Cabang'!$B63,'CWO Bulan Ini'!$DH:$DH,'Area-Cabang'!$E63,'CWO Bulan Ini'!$CZ:$CZ,'Area-Cabang'!AN$41)</f>
        <v>94.908200690000001</v>
      </c>
      <c r="AO63" s="56">
        <f>SUMIFS('CWO Bulan Ini'!$DD:$DD,'CWO Bulan Ini'!$DJ:$DJ,'Area-Cabang'!$B63,'CWO Bulan Ini'!$DH:$DH,'Area-Cabang'!$E63,'CWO Bulan Ini'!$CZ:$CZ,'Area-Cabang'!AO$41)</f>
        <v>0</v>
      </c>
      <c r="AP63" s="56">
        <f>SUMIFS('CWO Bulan Ini'!$DD:$DD,'CWO Bulan Ini'!$DJ:$DJ,'Area-Cabang'!$B63,'CWO Bulan Ini'!$DH:$DH,'Area-Cabang'!$E63,'CWO Bulan Ini'!$CZ:$CZ,'Area-Cabang'!AP$41)</f>
        <v>0</v>
      </c>
      <c r="AQ63" s="56">
        <f>SUMIFS('CWO Bulan Ini'!$DD:$DD,'CWO Bulan Ini'!$DJ:$DJ,'Area-Cabang'!$B63,'CWO Bulan Ini'!$DH:$DH,'Area-Cabang'!$E63,'CWO Bulan Ini'!$CZ:$CZ,'Area-Cabang'!AQ$41)</f>
        <v>0</v>
      </c>
      <c r="AR63" s="56">
        <f>SUMIFS('CWO Bulan Ini'!$DD:$DD,'CWO Bulan Ini'!$DJ:$DJ,'Area-Cabang'!$B63,'CWO Bulan Ini'!$DH:$DH,'Area-Cabang'!$E63,'CWO Bulan Ini'!$CZ:$CZ,'Area-Cabang'!AR$41)</f>
        <v>0</v>
      </c>
      <c r="AS63" s="56">
        <f>SUMIFS('CWO Bulan Ini'!$DD:$DD,'CWO Bulan Ini'!$DJ:$DJ,'Area-Cabang'!$B63,'CWO Bulan Ini'!$DH:$DH,'Area-Cabang'!$E63,'CWO Bulan Ini'!$CZ:$CZ,'Area-Cabang'!AS$41)</f>
        <v>0</v>
      </c>
      <c r="AT63" s="56">
        <f>SUMIFS('CWO Bulan Ini'!$DD:$DD,'CWO Bulan Ini'!$DJ:$DJ,'Area-Cabang'!$B63,'CWO Bulan Ini'!$DH:$DH,'Area-Cabang'!$E63,'CWO Bulan Ini'!$CZ:$CZ,'Area-Cabang'!AT$41)</f>
        <v>0</v>
      </c>
      <c r="AU63" s="56">
        <f>SUMIFS('CWO Bulan Ini'!$DD:$DD,'CWO Bulan Ini'!$DJ:$DJ,'Area-Cabang'!$B63,'CWO Bulan Ini'!$DH:$DH,'Area-Cabang'!$E63,'CWO Bulan Ini'!$CZ:$CZ,'Area-Cabang'!AU$41)</f>
        <v>0</v>
      </c>
      <c r="AV63" s="56">
        <f>SUMIFS('CWO Bulan Ini'!$DD:$DD,'CWO Bulan Ini'!$DJ:$DJ,'Area-Cabang'!$B63,'CWO Bulan Ini'!$DH:$DH,'Area-Cabang'!$E63,'CWO Bulan Ini'!$CZ:$CZ,'Area-Cabang'!AV$41)</f>
        <v>0</v>
      </c>
      <c r="AW63" s="56">
        <f>SUMIFS('CWO Bulan Ini'!$DD:$DD,'CWO Bulan Ini'!$DJ:$DJ,'Area-Cabang'!$B63,'CWO Bulan Ini'!$DH:$DH,'Area-Cabang'!$E63,'CWO Bulan Ini'!$CZ:$CZ,'Area-Cabang'!AW$41)</f>
        <v>0</v>
      </c>
      <c r="AX63" s="56">
        <f>SUMIFS('CWO Bulan Ini'!$DD:$DD,'CWO Bulan Ini'!$DJ:$DJ,'Area-Cabang'!$B63,'CWO Bulan Ini'!$DH:$DH,'Area-Cabang'!$E63,'CWO Bulan Ini'!$CZ:$CZ,'Area-Cabang'!AX$41)</f>
        <v>0</v>
      </c>
      <c r="AY63" s="56">
        <f>SUMIFS('CWO Bulan Ini'!$DD:$DD,'CWO Bulan Ini'!$DJ:$DJ,'Area-Cabang'!$B63,'CWO Bulan Ini'!$DH:$DH,'Area-Cabang'!$E63,'CWO Bulan Ini'!$CZ:$CZ,'Area-Cabang'!AY$41)</f>
        <v>0</v>
      </c>
      <c r="AZ63" s="56">
        <f>SUMIFS('CWO Bulan Ini'!$DD:$DD,'CWO Bulan Ini'!$DJ:$DJ,'Area-Cabang'!$B63,'CWO Bulan Ini'!$DH:$DH,'Area-Cabang'!$E63,'CWO Bulan Ini'!$CZ:$CZ,'Area-Cabang'!AZ$41)</f>
        <v>0</v>
      </c>
      <c r="BA63" s="56">
        <f>SUMIFS('CWO Bulan Ini'!$DD:$DD,'CWO Bulan Ini'!$DJ:$DJ,'Area-Cabang'!$B63,'CWO Bulan Ini'!$DH:$DH,'Area-Cabang'!$E63,'CWO Bulan Ini'!$CZ:$CZ,'Area-Cabang'!BA$41)</f>
        <v>0</v>
      </c>
      <c r="BB63" s="56">
        <f>SUMIFS('CWO Bulan Ini'!$DD:$DD,'CWO Bulan Ini'!$DJ:$DJ,'Area-Cabang'!$B63,'CWO Bulan Ini'!$DH:$DH,'Area-Cabang'!$E63,'CWO Bulan Ini'!$CZ:$CZ,'Area-Cabang'!BB$41)</f>
        <v>0</v>
      </c>
      <c r="BC63" s="56">
        <f>SUMIFS('CWO Bulan Ini'!$DD:$DD,'CWO Bulan Ini'!$DJ:$DJ,'Area-Cabang'!$B63,'CWO Bulan Ini'!$DH:$DH,'Area-Cabang'!$E63,'CWO Bulan Ini'!$CZ:$CZ,'Area-Cabang'!BC$41)</f>
        <v>0</v>
      </c>
      <c r="BD63" s="56">
        <f>SUMIFS('CWO Bulan Ini'!$DD:$DD,'CWO Bulan Ini'!$DJ:$DJ,'Area-Cabang'!$B63,'CWO Bulan Ini'!$DH:$DH,'Area-Cabang'!$E63,'CWO Bulan Ini'!$CZ:$CZ,'Area-Cabang'!BD$41)</f>
        <v>0</v>
      </c>
      <c r="BE63" s="56">
        <f>SUMIFS('CWO Bulan Ini'!$DD:$DD,'CWO Bulan Ini'!$DJ:$DJ,'Area-Cabang'!$B63,'CWO Bulan Ini'!$DH:$DH,'Area-Cabang'!$E63,'CWO Bulan Ini'!$CZ:$CZ,'Area-Cabang'!BE$41)</f>
        <v>0</v>
      </c>
      <c r="BF63" s="56">
        <f>SUMIFS('CWO Bulan Ini'!$DD:$DD,'CWO Bulan Ini'!$DJ:$DJ,'Area-Cabang'!$B63,'CWO Bulan Ini'!$DH:$DH,'Area-Cabang'!$E63,'CWO Bulan Ini'!$CZ:$CZ,'Area-Cabang'!BF$41)</f>
        <v>0</v>
      </c>
      <c r="BG63" s="56">
        <f>SUMIFS('CWO Bulan Ini'!$DD:$DD,'CWO Bulan Ini'!$DJ:$DJ,'Area-Cabang'!$B63,'CWO Bulan Ini'!$DH:$DH,'Area-Cabang'!$E63,'CWO Bulan Ini'!$CZ:$CZ,'Area-Cabang'!BG$41)</f>
        <v>0</v>
      </c>
      <c r="BH63" s="56">
        <f>SUMIFS('CWO Bulan Ini'!$DD:$DD,'CWO Bulan Ini'!$DJ:$DJ,'Area-Cabang'!$B63,'CWO Bulan Ini'!$DH:$DH,'Area-Cabang'!$E63,'CWO Bulan Ini'!$CZ:$CZ,'Area-Cabang'!BH$41)</f>
        <v>0</v>
      </c>
      <c r="BI63" s="56">
        <f>SUMIFS('CWO Bulan Ini'!$DD:$DD,'CWO Bulan Ini'!$DJ:$DJ,'Area-Cabang'!$B63,'CWO Bulan Ini'!$DH:$DH,'Area-Cabang'!$E63,'CWO Bulan Ini'!$CZ:$CZ,'Area-Cabang'!BI$41)</f>
        <v>0</v>
      </c>
      <c r="BJ63" s="56">
        <f>SUMIFS('CWO Bulan Ini'!$DD:$DD,'CWO Bulan Ini'!$DJ:$DJ,'Area-Cabang'!$B63,'CWO Bulan Ini'!$DH:$DH,'Area-Cabang'!$E63,'CWO Bulan Ini'!$CZ:$CZ,'Area-Cabang'!BJ$41)</f>
        <v>0</v>
      </c>
      <c r="BK63" s="56">
        <f>SUMIFS('CWO Bulan Ini'!$DD:$DD,'CWO Bulan Ini'!$DJ:$DJ,'Area-Cabang'!$B63,'CWO Bulan Ini'!$DH:$DH,'Area-Cabang'!$E63,'CWO Bulan Ini'!$CZ:$CZ,'Area-Cabang'!BK$41)</f>
        <v>0</v>
      </c>
      <c r="BL63" s="56">
        <f>SUMIFS('CWO Bulan Ini'!$DD:$DD,'CWO Bulan Ini'!$DJ:$DJ,'Area-Cabang'!$B63,'CWO Bulan Ini'!$DH:$DH,'Area-Cabang'!$E63,'CWO Bulan Ini'!$CZ:$CZ,'Area-Cabang'!BL$41)</f>
        <v>0</v>
      </c>
      <c r="BM63" s="56">
        <f>SUMIFS('CWO Bulan Ini'!$DD:$DD,'CWO Bulan Ini'!$DJ:$DJ,'Area-Cabang'!$B63,'CWO Bulan Ini'!$DH:$DH,'Area-Cabang'!$E63,'CWO Bulan Ini'!$CZ:$CZ,'Area-Cabang'!BM$41)</f>
        <v>0</v>
      </c>
      <c r="BN63" s="56">
        <f>SUMIFS('CWO Bulan Ini'!$DD:$DD,'CWO Bulan Ini'!$DJ:$DJ,'Area-Cabang'!$B63,'CWO Bulan Ini'!$DH:$DH,'Area-Cabang'!$E63,'CWO Bulan Ini'!$CZ:$CZ,'Area-Cabang'!BN$41)</f>
        <v>0</v>
      </c>
      <c r="BO63" s="57">
        <f>SUMIFS('CWO Bulan Ini'!$DD:$DD,'CWO Bulan Ini'!$DJ:$DJ,'Area-Cabang'!$B63,'CWO Bulan Ini'!$DH:$DH,'Area-Cabang'!$E63,'CWO Bulan Ini'!$CZ:$CZ,'Area-Cabang'!BO$41)</f>
        <v>0</v>
      </c>
      <c r="BP63" s="55">
        <f>SUMIFS('CWO Bulan Ini'!$DC:$DC,'CWO Bulan Ini'!$DJ:$DJ,'Area-Cabang'!$B63,'CWO Bulan Ini'!$DH:$DH,'Area-Cabang'!$E63,'CWO Bulan Ini'!$CZ:$CZ,'Area-Cabang'!BP$41)</f>
        <v>0</v>
      </c>
      <c r="BQ63" s="56">
        <f>SUMIFS('CWO Bulan Ini'!$DC:$DC,'CWO Bulan Ini'!$DJ:$DJ,'Area-Cabang'!$B63,'CWO Bulan Ini'!$DH:$DH,'Area-Cabang'!$E63,'CWO Bulan Ini'!$CZ:$CZ,'Area-Cabang'!BQ$41)</f>
        <v>0</v>
      </c>
      <c r="BR63" s="56">
        <f>SUMIFS('CWO Bulan Ini'!$DC:$DC,'CWO Bulan Ini'!$DJ:$DJ,'Area-Cabang'!$B63,'CWO Bulan Ini'!$DH:$DH,'Area-Cabang'!$E63,'CWO Bulan Ini'!$CZ:$CZ,'Area-Cabang'!BR$41)</f>
        <v>0</v>
      </c>
      <c r="BS63" s="56">
        <f>SUMIFS('CWO Bulan Ini'!$DC:$DC,'CWO Bulan Ini'!$DJ:$DJ,'Area-Cabang'!$B63,'CWO Bulan Ini'!$DH:$DH,'Area-Cabang'!$E63,'CWO Bulan Ini'!$CZ:$CZ,'Area-Cabang'!BS$41)</f>
        <v>0</v>
      </c>
      <c r="BT63" s="56">
        <f>SUMIFS('CWO Bulan Ini'!$DC:$DC,'CWO Bulan Ini'!$DJ:$DJ,'Area-Cabang'!$B63,'CWO Bulan Ini'!$DH:$DH,'Area-Cabang'!$E63,'CWO Bulan Ini'!$CZ:$CZ,'Area-Cabang'!BT$41)</f>
        <v>0</v>
      </c>
      <c r="BU63" s="56">
        <f>SUMIFS('CWO Bulan Ini'!$DC:$DC,'CWO Bulan Ini'!$DJ:$DJ,'Area-Cabang'!$B63,'CWO Bulan Ini'!$DH:$DH,'Area-Cabang'!$E63,'CWO Bulan Ini'!$CZ:$CZ,'Area-Cabang'!BU$41)</f>
        <v>0</v>
      </c>
      <c r="BV63" s="56">
        <f>SUMIFS('CWO Bulan Ini'!$DC:$DC,'CWO Bulan Ini'!$DJ:$DJ,'Area-Cabang'!$B63,'CWO Bulan Ini'!$DH:$DH,'Area-Cabang'!$E63,'CWO Bulan Ini'!$CZ:$CZ,'Area-Cabang'!BV$41)</f>
        <v>0</v>
      </c>
      <c r="BW63" s="56">
        <f>SUMIFS('CWO Bulan Ini'!$DC:$DC,'CWO Bulan Ini'!$DJ:$DJ,'Area-Cabang'!$B63,'CWO Bulan Ini'!$DH:$DH,'Area-Cabang'!$E63,'CWO Bulan Ini'!$CZ:$CZ,'Area-Cabang'!BW$41)</f>
        <v>3.4766043900000003</v>
      </c>
      <c r="BX63" s="56">
        <f>SUMIFS('CWO Bulan Ini'!$DC:$DC,'CWO Bulan Ini'!$DJ:$DJ,'Area-Cabang'!$B63,'CWO Bulan Ini'!$DH:$DH,'Area-Cabang'!$E63,'CWO Bulan Ini'!$CZ:$CZ,'Area-Cabang'!BX$41)</f>
        <v>0</v>
      </c>
      <c r="BY63" s="56">
        <f>SUMIFS('CWO Bulan Ini'!$DC:$DC,'CWO Bulan Ini'!$DJ:$DJ,'Area-Cabang'!$B63,'CWO Bulan Ini'!$DH:$DH,'Area-Cabang'!$E63,'CWO Bulan Ini'!$CZ:$CZ,'Area-Cabang'!BY$41)</f>
        <v>0</v>
      </c>
      <c r="BZ63" s="56">
        <f>SUMIFS('CWO Bulan Ini'!$DC:$DC,'CWO Bulan Ini'!$DJ:$DJ,'Area-Cabang'!$B63,'CWO Bulan Ini'!$DH:$DH,'Area-Cabang'!$E63,'CWO Bulan Ini'!$CZ:$CZ,'Area-Cabang'!BZ$41)</f>
        <v>0</v>
      </c>
      <c r="CA63" s="56">
        <f>SUMIFS('CWO Bulan Ini'!$DC:$DC,'CWO Bulan Ini'!$DJ:$DJ,'Area-Cabang'!$B63,'CWO Bulan Ini'!$DH:$DH,'Area-Cabang'!$E63,'CWO Bulan Ini'!$CZ:$CZ,'Area-Cabang'!CA$41)</f>
        <v>0</v>
      </c>
      <c r="CB63" s="56">
        <f>SUMIFS('CWO Bulan Ini'!$DC:$DC,'CWO Bulan Ini'!$DJ:$DJ,'Area-Cabang'!$B63,'CWO Bulan Ini'!$DH:$DH,'Area-Cabang'!$E63,'CWO Bulan Ini'!$CZ:$CZ,'Area-Cabang'!CB$41)</f>
        <v>0</v>
      </c>
      <c r="CC63" s="56">
        <f>SUMIFS('CWO Bulan Ini'!$DC:$DC,'CWO Bulan Ini'!$DJ:$DJ,'Area-Cabang'!$B63,'CWO Bulan Ini'!$DH:$DH,'Area-Cabang'!$E63,'CWO Bulan Ini'!$CZ:$CZ,'Area-Cabang'!CC$41)</f>
        <v>0</v>
      </c>
      <c r="CD63" s="56">
        <f>SUMIFS('CWO Bulan Ini'!$DC:$DC,'CWO Bulan Ini'!$DJ:$DJ,'Area-Cabang'!$B63,'CWO Bulan Ini'!$DH:$DH,'Area-Cabang'!$E63,'CWO Bulan Ini'!$CZ:$CZ,'Area-Cabang'!CD$41)</f>
        <v>0</v>
      </c>
      <c r="CE63" s="56">
        <f>SUMIFS('CWO Bulan Ini'!$DC:$DC,'CWO Bulan Ini'!$DJ:$DJ,'Area-Cabang'!$B63,'CWO Bulan Ini'!$DH:$DH,'Area-Cabang'!$E63,'CWO Bulan Ini'!$CZ:$CZ,'Area-Cabang'!CE$41)</f>
        <v>0</v>
      </c>
      <c r="CF63" s="56">
        <f>SUMIFS('CWO Bulan Ini'!$DC:$DC,'CWO Bulan Ini'!$DJ:$DJ,'Area-Cabang'!$B63,'CWO Bulan Ini'!$DH:$DH,'Area-Cabang'!$E63,'CWO Bulan Ini'!$CZ:$CZ,'Area-Cabang'!CF$41)</f>
        <v>0</v>
      </c>
      <c r="CG63" s="56">
        <f>SUMIFS('CWO Bulan Ini'!$DC:$DC,'CWO Bulan Ini'!$DJ:$DJ,'Area-Cabang'!$B63,'CWO Bulan Ini'!$DH:$DH,'Area-Cabang'!$E63,'CWO Bulan Ini'!$CZ:$CZ,'Area-Cabang'!CG$41)</f>
        <v>0</v>
      </c>
      <c r="CH63" s="56">
        <f>SUMIFS('CWO Bulan Ini'!$DC:$DC,'CWO Bulan Ini'!$DJ:$DJ,'Area-Cabang'!$B63,'CWO Bulan Ini'!$DH:$DH,'Area-Cabang'!$E63,'CWO Bulan Ini'!$CZ:$CZ,'Area-Cabang'!CH$41)</f>
        <v>0</v>
      </c>
      <c r="CI63" s="56">
        <f>SUMIFS('CWO Bulan Ini'!$DC:$DC,'CWO Bulan Ini'!$DJ:$DJ,'Area-Cabang'!$B63,'CWO Bulan Ini'!$DH:$DH,'Area-Cabang'!$E63,'CWO Bulan Ini'!$CZ:$CZ,'Area-Cabang'!CI$41)</f>
        <v>0</v>
      </c>
      <c r="CJ63" s="56">
        <f>SUMIFS('CWO Bulan Ini'!$DC:$DC,'CWO Bulan Ini'!$DJ:$DJ,'Area-Cabang'!$B63,'CWO Bulan Ini'!$DH:$DH,'Area-Cabang'!$E63,'CWO Bulan Ini'!$CZ:$CZ,'Area-Cabang'!CJ$41)</f>
        <v>0</v>
      </c>
      <c r="CK63" s="56">
        <f>SUMIFS('CWO Bulan Ini'!$DC:$DC,'CWO Bulan Ini'!$DJ:$DJ,'Area-Cabang'!$B63,'CWO Bulan Ini'!$DH:$DH,'Area-Cabang'!$E63,'CWO Bulan Ini'!$CZ:$CZ,'Area-Cabang'!CK$41)</f>
        <v>0</v>
      </c>
      <c r="CL63" s="56">
        <f>SUMIFS('CWO Bulan Ini'!$DC:$DC,'CWO Bulan Ini'!$DJ:$DJ,'Area-Cabang'!$B63,'CWO Bulan Ini'!$DH:$DH,'Area-Cabang'!$E63,'CWO Bulan Ini'!$CZ:$CZ,'Area-Cabang'!CL$41)</f>
        <v>0</v>
      </c>
      <c r="CM63" s="56">
        <f>SUMIFS('CWO Bulan Ini'!$DC:$DC,'CWO Bulan Ini'!$DJ:$DJ,'Area-Cabang'!$B63,'CWO Bulan Ini'!$DH:$DH,'Area-Cabang'!$E63,'CWO Bulan Ini'!$CZ:$CZ,'Area-Cabang'!CM$41)</f>
        <v>0</v>
      </c>
      <c r="CN63" s="56">
        <f>SUMIFS('CWO Bulan Ini'!$DC:$DC,'CWO Bulan Ini'!$DJ:$DJ,'Area-Cabang'!$B63,'CWO Bulan Ini'!$DH:$DH,'Area-Cabang'!$E63,'CWO Bulan Ini'!$CZ:$CZ,'Area-Cabang'!CN$41)</f>
        <v>0</v>
      </c>
      <c r="CO63" s="56">
        <f>SUMIFS('CWO Bulan Ini'!$DC:$DC,'CWO Bulan Ini'!$DJ:$DJ,'Area-Cabang'!$B63,'CWO Bulan Ini'!$DH:$DH,'Area-Cabang'!$E63,'CWO Bulan Ini'!$CZ:$CZ,'Area-Cabang'!CO$41)</f>
        <v>0</v>
      </c>
      <c r="CP63" s="56">
        <f>SUMIFS('CWO Bulan Ini'!$DC:$DC,'CWO Bulan Ini'!$DJ:$DJ,'Area-Cabang'!$B63,'CWO Bulan Ini'!$DH:$DH,'Area-Cabang'!$E63,'CWO Bulan Ini'!$CZ:$CZ,'Area-Cabang'!CP$41)</f>
        <v>0</v>
      </c>
      <c r="CQ63" s="56">
        <f>SUMIFS('CWO Bulan Ini'!$DC:$DC,'CWO Bulan Ini'!$DJ:$DJ,'Area-Cabang'!$B63,'CWO Bulan Ini'!$DH:$DH,'Area-Cabang'!$E63,'CWO Bulan Ini'!$CZ:$CZ,'Area-Cabang'!CQ$41)</f>
        <v>0</v>
      </c>
      <c r="CR63" s="56">
        <f>SUMIFS('CWO Bulan Ini'!$DC:$DC,'CWO Bulan Ini'!$DJ:$DJ,'Area-Cabang'!$B63,'CWO Bulan Ini'!$DH:$DH,'Area-Cabang'!$E63,'CWO Bulan Ini'!$CZ:$CZ,'Area-Cabang'!CR$41)</f>
        <v>0</v>
      </c>
      <c r="CS63" s="56">
        <f>SUMIFS('CWO Bulan Ini'!$DC:$DC,'CWO Bulan Ini'!$DJ:$DJ,'Area-Cabang'!$B63,'CWO Bulan Ini'!$DH:$DH,'Area-Cabang'!$E63,'CWO Bulan Ini'!$CZ:$CZ,'Area-Cabang'!CS$41)</f>
        <v>0</v>
      </c>
      <c r="CT63" s="57">
        <f>SUMIFS('CWO Bulan Ini'!$DC:$DC,'CWO Bulan Ini'!$DJ:$DJ,'Area-Cabang'!$B63,'CWO Bulan Ini'!$DH:$DH,'Area-Cabang'!$E63,'CWO Bulan Ini'!$CZ:$CZ,'Area-Cabang'!CT$41)</f>
        <v>0</v>
      </c>
      <c r="CV63" s="97">
        <f t="shared" ref="CV63:CV64" si="1702">SUM(F63:AJ63)</f>
        <v>199.45898918</v>
      </c>
      <c r="CW63" s="98">
        <f t="shared" ref="CW63:CW64" si="1703">SUM(AK63:BO63)</f>
        <v>94.908200690000001</v>
      </c>
      <c r="CX63" s="98">
        <f t="shared" ref="CX63:CX64" si="1704">SUM(BP63:CT63)</f>
        <v>3.4766043900000003</v>
      </c>
      <c r="CY63" s="98">
        <f t="shared" ref="CY63:CY64" si="1705">CV63-CW63-CX63</f>
        <v>101.0741841</v>
      </c>
      <c r="CZ63" s="105">
        <f t="shared" ref="CZ63:CZ64" si="1706">CY63+CW63</f>
        <v>195.98238479</v>
      </c>
    </row>
    <row r="64" spans="1:104" ht="15" customHeight="1" x14ac:dyDescent="0.25">
      <c r="A64" s="58" t="s">
        <v>465</v>
      </c>
      <c r="B64" s="58" t="s">
        <v>15</v>
      </c>
      <c r="C64" s="250"/>
      <c r="D64" s="244"/>
      <c r="E64" s="40" t="s">
        <v>349</v>
      </c>
      <c r="F64" s="41">
        <f>SUMIFS('CWO Bulan Ini'!$DA:$DA,'CWO Bulan Ini'!$DJ:$DJ,'Area-Cabang'!$B64,'CWO Bulan Ini'!$DH:$DH,'Area-Cabang'!$E64,'CWO Bulan Ini'!$CZ:$CZ,'Area-Cabang'!F$41)</f>
        <v>0</v>
      </c>
      <c r="G64" s="42">
        <f>SUMIFS('CWO Bulan Ini'!$DA:$DA,'CWO Bulan Ini'!$DJ:$DJ,'Area-Cabang'!$B64,'CWO Bulan Ini'!$DH:$DH,'Area-Cabang'!$E64,'CWO Bulan Ini'!$CZ:$CZ,'Area-Cabang'!G$41)</f>
        <v>0</v>
      </c>
      <c r="H64" s="42">
        <f>SUMIFS('CWO Bulan Ini'!$DA:$DA,'CWO Bulan Ini'!$DJ:$DJ,'Area-Cabang'!$B64,'CWO Bulan Ini'!$DH:$DH,'Area-Cabang'!$E64,'CWO Bulan Ini'!$CZ:$CZ,'Area-Cabang'!H$41)</f>
        <v>0</v>
      </c>
      <c r="I64" s="42">
        <f>SUMIFS('CWO Bulan Ini'!$DA:$DA,'CWO Bulan Ini'!$DJ:$DJ,'Area-Cabang'!$B64,'CWO Bulan Ini'!$DH:$DH,'Area-Cabang'!$E64,'CWO Bulan Ini'!$CZ:$CZ,'Area-Cabang'!I$41)</f>
        <v>0</v>
      </c>
      <c r="J64" s="42">
        <f>SUMIFS('CWO Bulan Ini'!$DA:$DA,'CWO Bulan Ini'!$DJ:$DJ,'Area-Cabang'!$B64,'CWO Bulan Ini'!$DH:$DH,'Area-Cabang'!$E64,'CWO Bulan Ini'!$CZ:$CZ,'Area-Cabang'!J$41)</f>
        <v>0</v>
      </c>
      <c r="K64" s="42">
        <f>SUMIFS('CWO Bulan Ini'!$DA:$DA,'CWO Bulan Ini'!$DJ:$DJ,'Area-Cabang'!$B64,'CWO Bulan Ini'!$DH:$DH,'Area-Cabang'!$E64,'CWO Bulan Ini'!$CZ:$CZ,'Area-Cabang'!K$41)</f>
        <v>0</v>
      </c>
      <c r="L64" s="42">
        <f>SUMIFS('CWO Bulan Ini'!$DA:$DA,'CWO Bulan Ini'!$DJ:$DJ,'Area-Cabang'!$B64,'CWO Bulan Ini'!$DH:$DH,'Area-Cabang'!$E64,'CWO Bulan Ini'!$CZ:$CZ,'Area-Cabang'!L$41)</f>
        <v>0</v>
      </c>
      <c r="M64" s="42">
        <f>SUMIFS('CWO Bulan Ini'!$DA:$DA,'CWO Bulan Ini'!$DJ:$DJ,'Area-Cabang'!$B64,'CWO Bulan Ini'!$DH:$DH,'Area-Cabang'!$E64,'CWO Bulan Ini'!$CZ:$CZ,'Area-Cabang'!M$41)</f>
        <v>0</v>
      </c>
      <c r="N64" s="42">
        <f>SUMIFS('CWO Bulan Ini'!$DA:$DA,'CWO Bulan Ini'!$DJ:$DJ,'Area-Cabang'!$B64,'CWO Bulan Ini'!$DH:$DH,'Area-Cabang'!$E64,'CWO Bulan Ini'!$CZ:$CZ,'Area-Cabang'!N$41)</f>
        <v>0</v>
      </c>
      <c r="O64" s="42">
        <f>SUMIFS('CWO Bulan Ini'!$DA:$DA,'CWO Bulan Ini'!$DJ:$DJ,'Area-Cabang'!$B64,'CWO Bulan Ini'!$DH:$DH,'Area-Cabang'!$E64,'CWO Bulan Ini'!$CZ:$CZ,'Area-Cabang'!O$41)</f>
        <v>0</v>
      </c>
      <c r="P64" s="42">
        <f>SUMIFS('CWO Bulan Ini'!$DA:$DA,'CWO Bulan Ini'!$DJ:$DJ,'Area-Cabang'!$B64,'CWO Bulan Ini'!$DH:$DH,'Area-Cabang'!$E64,'CWO Bulan Ini'!$CZ:$CZ,'Area-Cabang'!P$41)</f>
        <v>0</v>
      </c>
      <c r="Q64" s="42">
        <f>SUMIFS('CWO Bulan Ini'!$DA:$DA,'CWO Bulan Ini'!$DJ:$DJ,'Area-Cabang'!$B64,'CWO Bulan Ini'!$DH:$DH,'Area-Cabang'!$E64,'CWO Bulan Ini'!$CZ:$CZ,'Area-Cabang'!Q$41)</f>
        <v>0</v>
      </c>
      <c r="R64" s="42">
        <f>SUMIFS('CWO Bulan Ini'!$DA:$DA,'CWO Bulan Ini'!$DJ:$DJ,'Area-Cabang'!$B64,'CWO Bulan Ini'!$DH:$DH,'Area-Cabang'!$E64,'CWO Bulan Ini'!$CZ:$CZ,'Area-Cabang'!R$41)</f>
        <v>0</v>
      </c>
      <c r="S64" s="42">
        <f>SUMIFS('CWO Bulan Ini'!$DA:$DA,'CWO Bulan Ini'!$DJ:$DJ,'Area-Cabang'!$B64,'CWO Bulan Ini'!$DH:$DH,'Area-Cabang'!$E64,'CWO Bulan Ini'!$CZ:$CZ,'Area-Cabang'!S$41)</f>
        <v>0</v>
      </c>
      <c r="T64" s="42">
        <f>SUMIFS('CWO Bulan Ini'!$DA:$DA,'CWO Bulan Ini'!$DJ:$DJ,'Area-Cabang'!$B64,'CWO Bulan Ini'!$DH:$DH,'Area-Cabang'!$E64,'CWO Bulan Ini'!$CZ:$CZ,'Area-Cabang'!T$41)</f>
        <v>0</v>
      </c>
      <c r="U64" s="42">
        <f>SUMIFS('CWO Bulan Ini'!$DA:$DA,'CWO Bulan Ini'!$DJ:$DJ,'Area-Cabang'!$B64,'CWO Bulan Ini'!$DH:$DH,'Area-Cabang'!$E64,'CWO Bulan Ini'!$CZ:$CZ,'Area-Cabang'!U$41)</f>
        <v>0</v>
      </c>
      <c r="V64" s="42">
        <f>SUMIFS('CWO Bulan Ini'!$DA:$DA,'CWO Bulan Ini'!$DJ:$DJ,'Area-Cabang'!$B64,'CWO Bulan Ini'!$DH:$DH,'Area-Cabang'!$E64,'CWO Bulan Ini'!$CZ:$CZ,'Area-Cabang'!V$41)</f>
        <v>0</v>
      </c>
      <c r="W64" s="42">
        <f>SUMIFS('CWO Bulan Ini'!$DA:$DA,'CWO Bulan Ini'!$DJ:$DJ,'Area-Cabang'!$B64,'CWO Bulan Ini'!$DH:$DH,'Area-Cabang'!$E64,'CWO Bulan Ini'!$CZ:$CZ,'Area-Cabang'!W$41)</f>
        <v>0</v>
      </c>
      <c r="X64" s="42">
        <f>SUMIFS('CWO Bulan Ini'!$DA:$DA,'CWO Bulan Ini'!$DJ:$DJ,'Area-Cabang'!$B64,'CWO Bulan Ini'!$DH:$DH,'Area-Cabang'!$E64,'CWO Bulan Ini'!$CZ:$CZ,'Area-Cabang'!X$41)</f>
        <v>0</v>
      </c>
      <c r="Y64" s="42">
        <f>SUMIFS('CWO Bulan Ini'!$DA:$DA,'CWO Bulan Ini'!$DJ:$DJ,'Area-Cabang'!$B64,'CWO Bulan Ini'!$DH:$DH,'Area-Cabang'!$E64,'CWO Bulan Ini'!$CZ:$CZ,'Area-Cabang'!Y$41)</f>
        <v>0</v>
      </c>
      <c r="Z64" s="42">
        <f>SUMIFS('CWO Bulan Ini'!$DA:$DA,'CWO Bulan Ini'!$DJ:$DJ,'Area-Cabang'!$B64,'CWO Bulan Ini'!$DH:$DH,'Area-Cabang'!$E64,'CWO Bulan Ini'!$CZ:$CZ,'Area-Cabang'!Z$41)</f>
        <v>0</v>
      </c>
      <c r="AA64" s="42">
        <f>SUMIFS('CWO Bulan Ini'!$DA:$DA,'CWO Bulan Ini'!$DJ:$DJ,'Area-Cabang'!$B64,'CWO Bulan Ini'!$DH:$DH,'Area-Cabang'!$E64,'CWO Bulan Ini'!$CZ:$CZ,'Area-Cabang'!AA$41)</f>
        <v>0</v>
      </c>
      <c r="AB64" s="42">
        <f>SUMIFS('CWO Bulan Ini'!$DA:$DA,'CWO Bulan Ini'!$DJ:$DJ,'Area-Cabang'!$B64,'CWO Bulan Ini'!$DH:$DH,'Area-Cabang'!$E64,'CWO Bulan Ini'!$CZ:$CZ,'Area-Cabang'!AB$41)</f>
        <v>0</v>
      </c>
      <c r="AC64" s="42">
        <f>SUMIFS('CWO Bulan Ini'!$DA:$DA,'CWO Bulan Ini'!$DJ:$DJ,'Area-Cabang'!$B64,'CWO Bulan Ini'!$DH:$DH,'Area-Cabang'!$E64,'CWO Bulan Ini'!$CZ:$CZ,'Area-Cabang'!AC$41)</f>
        <v>0</v>
      </c>
      <c r="AD64" s="42">
        <f>SUMIFS('CWO Bulan Ini'!$DA:$DA,'CWO Bulan Ini'!$DJ:$DJ,'Area-Cabang'!$B64,'CWO Bulan Ini'!$DH:$DH,'Area-Cabang'!$E64,'CWO Bulan Ini'!$CZ:$CZ,'Area-Cabang'!AD$41)</f>
        <v>0</v>
      </c>
      <c r="AE64" s="42">
        <f>SUMIFS('CWO Bulan Ini'!$DA:$DA,'CWO Bulan Ini'!$DJ:$DJ,'Area-Cabang'!$B64,'CWO Bulan Ini'!$DH:$DH,'Area-Cabang'!$E64,'CWO Bulan Ini'!$CZ:$CZ,'Area-Cabang'!AE$41)</f>
        <v>0</v>
      </c>
      <c r="AF64" s="42">
        <f>SUMIFS('CWO Bulan Ini'!$DA:$DA,'CWO Bulan Ini'!$DJ:$DJ,'Area-Cabang'!$B64,'CWO Bulan Ini'!$DH:$DH,'Area-Cabang'!$E64,'CWO Bulan Ini'!$CZ:$CZ,'Area-Cabang'!AF$41)</f>
        <v>0</v>
      </c>
      <c r="AG64" s="42">
        <f>SUMIFS('CWO Bulan Ini'!$DA:$DA,'CWO Bulan Ini'!$DJ:$DJ,'Area-Cabang'!$B64,'CWO Bulan Ini'!$DH:$DH,'Area-Cabang'!$E64,'CWO Bulan Ini'!$CZ:$CZ,'Area-Cabang'!AG$41)</f>
        <v>0</v>
      </c>
      <c r="AH64" s="42">
        <f>SUMIFS('CWO Bulan Ini'!$DA:$DA,'CWO Bulan Ini'!$DJ:$DJ,'Area-Cabang'!$B64,'CWO Bulan Ini'!$DH:$DH,'Area-Cabang'!$E64,'CWO Bulan Ini'!$CZ:$CZ,'Area-Cabang'!AH$41)</f>
        <v>0</v>
      </c>
      <c r="AI64" s="42">
        <f>SUMIFS('CWO Bulan Ini'!$DA:$DA,'CWO Bulan Ini'!$DJ:$DJ,'Area-Cabang'!$B64,'CWO Bulan Ini'!$DH:$DH,'Area-Cabang'!$E64,'CWO Bulan Ini'!$CZ:$CZ,'Area-Cabang'!AI$41)</f>
        <v>0</v>
      </c>
      <c r="AJ64" s="42">
        <f>SUMIFS('CWO Bulan Ini'!$DA:$DA,'CWO Bulan Ini'!$DJ:$DJ,'Area-Cabang'!$B64,'CWO Bulan Ini'!$DH:$DH,'Area-Cabang'!$E64,'CWO Bulan Ini'!$CZ:$CZ,'Area-Cabang'!AJ$41)</f>
        <v>0</v>
      </c>
      <c r="AK64" s="41">
        <f>SUMIFS('CWO Bulan Ini'!$DD:$DD,'CWO Bulan Ini'!$DJ:$DJ,'Area-Cabang'!$B64,'CWO Bulan Ini'!$DH:$DH,'Area-Cabang'!$E64,'CWO Bulan Ini'!$CZ:$CZ,'Area-Cabang'!AK$41)</f>
        <v>0</v>
      </c>
      <c r="AL64" s="42">
        <f>SUMIFS('CWO Bulan Ini'!$DD:$DD,'CWO Bulan Ini'!$DJ:$DJ,'Area-Cabang'!$B64,'CWO Bulan Ini'!$DH:$DH,'Area-Cabang'!$E64,'CWO Bulan Ini'!$CZ:$CZ,'Area-Cabang'!AL$41)</f>
        <v>0</v>
      </c>
      <c r="AM64" s="42">
        <f>SUMIFS('CWO Bulan Ini'!$DD:$DD,'CWO Bulan Ini'!$DJ:$DJ,'Area-Cabang'!$B64,'CWO Bulan Ini'!$DH:$DH,'Area-Cabang'!$E64,'CWO Bulan Ini'!$CZ:$CZ,'Area-Cabang'!AM$41)</f>
        <v>0</v>
      </c>
      <c r="AN64" s="42">
        <f>SUMIFS('CWO Bulan Ini'!$DD:$DD,'CWO Bulan Ini'!$DJ:$DJ,'Area-Cabang'!$B64,'CWO Bulan Ini'!$DH:$DH,'Area-Cabang'!$E64,'CWO Bulan Ini'!$CZ:$CZ,'Area-Cabang'!AN$41)</f>
        <v>0</v>
      </c>
      <c r="AO64" s="42">
        <f>SUMIFS('CWO Bulan Ini'!$DD:$DD,'CWO Bulan Ini'!$DJ:$DJ,'Area-Cabang'!$B64,'CWO Bulan Ini'!$DH:$DH,'Area-Cabang'!$E64,'CWO Bulan Ini'!$CZ:$CZ,'Area-Cabang'!AO$41)</f>
        <v>0</v>
      </c>
      <c r="AP64" s="42">
        <f>SUMIFS('CWO Bulan Ini'!$DD:$DD,'CWO Bulan Ini'!$DJ:$DJ,'Area-Cabang'!$B64,'CWO Bulan Ini'!$DH:$DH,'Area-Cabang'!$E64,'CWO Bulan Ini'!$CZ:$CZ,'Area-Cabang'!AP$41)</f>
        <v>0</v>
      </c>
      <c r="AQ64" s="42">
        <f>SUMIFS('CWO Bulan Ini'!$DD:$DD,'CWO Bulan Ini'!$DJ:$DJ,'Area-Cabang'!$B64,'CWO Bulan Ini'!$DH:$DH,'Area-Cabang'!$E64,'CWO Bulan Ini'!$CZ:$CZ,'Area-Cabang'!AQ$41)</f>
        <v>0</v>
      </c>
      <c r="AR64" s="42">
        <f>SUMIFS('CWO Bulan Ini'!$DD:$DD,'CWO Bulan Ini'!$DJ:$DJ,'Area-Cabang'!$B64,'CWO Bulan Ini'!$DH:$DH,'Area-Cabang'!$E64,'CWO Bulan Ini'!$CZ:$CZ,'Area-Cabang'!AR$41)</f>
        <v>0</v>
      </c>
      <c r="AS64" s="42">
        <f>SUMIFS('CWO Bulan Ini'!$DD:$DD,'CWO Bulan Ini'!$DJ:$DJ,'Area-Cabang'!$B64,'CWO Bulan Ini'!$DH:$DH,'Area-Cabang'!$E64,'CWO Bulan Ini'!$CZ:$CZ,'Area-Cabang'!AS$41)</f>
        <v>0</v>
      </c>
      <c r="AT64" s="42">
        <f>SUMIFS('CWO Bulan Ini'!$DD:$DD,'CWO Bulan Ini'!$DJ:$DJ,'Area-Cabang'!$B64,'CWO Bulan Ini'!$DH:$DH,'Area-Cabang'!$E64,'CWO Bulan Ini'!$CZ:$CZ,'Area-Cabang'!AT$41)</f>
        <v>0</v>
      </c>
      <c r="AU64" s="42">
        <f>SUMIFS('CWO Bulan Ini'!$DD:$DD,'CWO Bulan Ini'!$DJ:$DJ,'Area-Cabang'!$B64,'CWO Bulan Ini'!$DH:$DH,'Area-Cabang'!$E64,'CWO Bulan Ini'!$CZ:$CZ,'Area-Cabang'!AU$41)</f>
        <v>0</v>
      </c>
      <c r="AV64" s="42">
        <f>SUMIFS('CWO Bulan Ini'!$DD:$DD,'CWO Bulan Ini'!$DJ:$DJ,'Area-Cabang'!$B64,'CWO Bulan Ini'!$DH:$DH,'Area-Cabang'!$E64,'CWO Bulan Ini'!$CZ:$CZ,'Area-Cabang'!AV$41)</f>
        <v>0</v>
      </c>
      <c r="AW64" s="42">
        <f>SUMIFS('CWO Bulan Ini'!$DD:$DD,'CWO Bulan Ini'!$DJ:$DJ,'Area-Cabang'!$B64,'CWO Bulan Ini'!$DH:$DH,'Area-Cabang'!$E64,'CWO Bulan Ini'!$CZ:$CZ,'Area-Cabang'!AW$41)</f>
        <v>0</v>
      </c>
      <c r="AX64" s="42">
        <f>SUMIFS('CWO Bulan Ini'!$DD:$DD,'CWO Bulan Ini'!$DJ:$DJ,'Area-Cabang'!$B64,'CWO Bulan Ini'!$DH:$DH,'Area-Cabang'!$E64,'CWO Bulan Ini'!$CZ:$CZ,'Area-Cabang'!AX$41)</f>
        <v>0</v>
      </c>
      <c r="AY64" s="42">
        <f>SUMIFS('CWO Bulan Ini'!$DD:$DD,'CWO Bulan Ini'!$DJ:$DJ,'Area-Cabang'!$B64,'CWO Bulan Ini'!$DH:$DH,'Area-Cabang'!$E64,'CWO Bulan Ini'!$CZ:$CZ,'Area-Cabang'!AY$41)</f>
        <v>0</v>
      </c>
      <c r="AZ64" s="42">
        <f>SUMIFS('CWO Bulan Ini'!$DD:$DD,'CWO Bulan Ini'!$DJ:$DJ,'Area-Cabang'!$B64,'CWO Bulan Ini'!$DH:$DH,'Area-Cabang'!$E64,'CWO Bulan Ini'!$CZ:$CZ,'Area-Cabang'!AZ$41)</f>
        <v>0</v>
      </c>
      <c r="BA64" s="42">
        <f>SUMIFS('CWO Bulan Ini'!$DD:$DD,'CWO Bulan Ini'!$DJ:$DJ,'Area-Cabang'!$B64,'CWO Bulan Ini'!$DH:$DH,'Area-Cabang'!$E64,'CWO Bulan Ini'!$CZ:$CZ,'Area-Cabang'!BA$41)</f>
        <v>0</v>
      </c>
      <c r="BB64" s="42">
        <f>SUMIFS('CWO Bulan Ini'!$DD:$DD,'CWO Bulan Ini'!$DJ:$DJ,'Area-Cabang'!$B64,'CWO Bulan Ini'!$DH:$DH,'Area-Cabang'!$E64,'CWO Bulan Ini'!$CZ:$CZ,'Area-Cabang'!BB$41)</f>
        <v>0</v>
      </c>
      <c r="BC64" s="42">
        <f>SUMIFS('CWO Bulan Ini'!$DD:$DD,'CWO Bulan Ini'!$DJ:$DJ,'Area-Cabang'!$B64,'CWO Bulan Ini'!$DH:$DH,'Area-Cabang'!$E64,'CWO Bulan Ini'!$CZ:$CZ,'Area-Cabang'!BC$41)</f>
        <v>0</v>
      </c>
      <c r="BD64" s="42">
        <f>SUMIFS('CWO Bulan Ini'!$DD:$DD,'CWO Bulan Ini'!$DJ:$DJ,'Area-Cabang'!$B64,'CWO Bulan Ini'!$DH:$DH,'Area-Cabang'!$E64,'CWO Bulan Ini'!$CZ:$CZ,'Area-Cabang'!BD$41)</f>
        <v>0</v>
      </c>
      <c r="BE64" s="42">
        <f>SUMIFS('CWO Bulan Ini'!$DD:$DD,'CWO Bulan Ini'!$DJ:$DJ,'Area-Cabang'!$B64,'CWO Bulan Ini'!$DH:$DH,'Area-Cabang'!$E64,'CWO Bulan Ini'!$CZ:$CZ,'Area-Cabang'!BE$41)</f>
        <v>0</v>
      </c>
      <c r="BF64" s="42">
        <f>SUMIFS('CWO Bulan Ini'!$DD:$DD,'CWO Bulan Ini'!$DJ:$DJ,'Area-Cabang'!$B64,'CWO Bulan Ini'!$DH:$DH,'Area-Cabang'!$E64,'CWO Bulan Ini'!$CZ:$CZ,'Area-Cabang'!BF$41)</f>
        <v>0</v>
      </c>
      <c r="BG64" s="42">
        <f>SUMIFS('CWO Bulan Ini'!$DD:$DD,'CWO Bulan Ini'!$DJ:$DJ,'Area-Cabang'!$B64,'CWO Bulan Ini'!$DH:$DH,'Area-Cabang'!$E64,'CWO Bulan Ini'!$CZ:$CZ,'Area-Cabang'!BG$41)</f>
        <v>0</v>
      </c>
      <c r="BH64" s="42">
        <f>SUMIFS('CWO Bulan Ini'!$DD:$DD,'CWO Bulan Ini'!$DJ:$DJ,'Area-Cabang'!$B64,'CWO Bulan Ini'!$DH:$DH,'Area-Cabang'!$E64,'CWO Bulan Ini'!$CZ:$CZ,'Area-Cabang'!BH$41)</f>
        <v>0</v>
      </c>
      <c r="BI64" s="42">
        <f>SUMIFS('CWO Bulan Ini'!$DD:$DD,'CWO Bulan Ini'!$DJ:$DJ,'Area-Cabang'!$B64,'CWO Bulan Ini'!$DH:$DH,'Area-Cabang'!$E64,'CWO Bulan Ini'!$CZ:$CZ,'Area-Cabang'!BI$41)</f>
        <v>0</v>
      </c>
      <c r="BJ64" s="42">
        <f>SUMIFS('CWO Bulan Ini'!$DD:$DD,'CWO Bulan Ini'!$DJ:$DJ,'Area-Cabang'!$B64,'CWO Bulan Ini'!$DH:$DH,'Area-Cabang'!$E64,'CWO Bulan Ini'!$CZ:$CZ,'Area-Cabang'!BJ$41)</f>
        <v>0</v>
      </c>
      <c r="BK64" s="42">
        <f>SUMIFS('CWO Bulan Ini'!$DD:$DD,'CWO Bulan Ini'!$DJ:$DJ,'Area-Cabang'!$B64,'CWO Bulan Ini'!$DH:$DH,'Area-Cabang'!$E64,'CWO Bulan Ini'!$CZ:$CZ,'Area-Cabang'!BK$41)</f>
        <v>0</v>
      </c>
      <c r="BL64" s="42">
        <f>SUMIFS('CWO Bulan Ini'!$DD:$DD,'CWO Bulan Ini'!$DJ:$DJ,'Area-Cabang'!$B64,'CWO Bulan Ini'!$DH:$DH,'Area-Cabang'!$E64,'CWO Bulan Ini'!$CZ:$CZ,'Area-Cabang'!BL$41)</f>
        <v>0</v>
      </c>
      <c r="BM64" s="42">
        <f>SUMIFS('CWO Bulan Ini'!$DD:$DD,'CWO Bulan Ini'!$DJ:$DJ,'Area-Cabang'!$B64,'CWO Bulan Ini'!$DH:$DH,'Area-Cabang'!$E64,'CWO Bulan Ini'!$CZ:$CZ,'Area-Cabang'!BM$41)</f>
        <v>0</v>
      </c>
      <c r="BN64" s="42">
        <f>SUMIFS('CWO Bulan Ini'!$DD:$DD,'CWO Bulan Ini'!$DJ:$DJ,'Area-Cabang'!$B64,'CWO Bulan Ini'!$DH:$DH,'Area-Cabang'!$E64,'CWO Bulan Ini'!$CZ:$CZ,'Area-Cabang'!BN$41)</f>
        <v>0</v>
      </c>
      <c r="BO64" s="43">
        <f>SUMIFS('CWO Bulan Ini'!$DD:$DD,'CWO Bulan Ini'!$DJ:$DJ,'Area-Cabang'!$B64,'CWO Bulan Ini'!$DH:$DH,'Area-Cabang'!$E64,'CWO Bulan Ini'!$CZ:$CZ,'Area-Cabang'!BO$41)</f>
        <v>0</v>
      </c>
      <c r="BP64" s="41">
        <f>SUMIFS('CWO Bulan Ini'!$DC:$DC,'CWO Bulan Ini'!$DJ:$DJ,'Area-Cabang'!$B64,'CWO Bulan Ini'!$DH:$DH,'Area-Cabang'!$E64,'CWO Bulan Ini'!$CZ:$CZ,'Area-Cabang'!BP$41)</f>
        <v>0</v>
      </c>
      <c r="BQ64" s="42">
        <f>SUMIFS('CWO Bulan Ini'!$DC:$DC,'CWO Bulan Ini'!$DJ:$DJ,'Area-Cabang'!$B64,'CWO Bulan Ini'!$DH:$DH,'Area-Cabang'!$E64,'CWO Bulan Ini'!$CZ:$CZ,'Area-Cabang'!BQ$41)</f>
        <v>0</v>
      </c>
      <c r="BR64" s="42">
        <f>SUMIFS('CWO Bulan Ini'!$DC:$DC,'CWO Bulan Ini'!$DJ:$DJ,'Area-Cabang'!$B64,'CWO Bulan Ini'!$DH:$DH,'Area-Cabang'!$E64,'CWO Bulan Ini'!$CZ:$CZ,'Area-Cabang'!BR$41)</f>
        <v>0</v>
      </c>
      <c r="BS64" s="42">
        <f>SUMIFS('CWO Bulan Ini'!$DC:$DC,'CWO Bulan Ini'!$DJ:$DJ,'Area-Cabang'!$B64,'CWO Bulan Ini'!$DH:$DH,'Area-Cabang'!$E64,'CWO Bulan Ini'!$CZ:$CZ,'Area-Cabang'!BS$41)</f>
        <v>0</v>
      </c>
      <c r="BT64" s="42">
        <f>SUMIFS('CWO Bulan Ini'!$DC:$DC,'CWO Bulan Ini'!$DJ:$DJ,'Area-Cabang'!$B64,'CWO Bulan Ini'!$DH:$DH,'Area-Cabang'!$E64,'CWO Bulan Ini'!$CZ:$CZ,'Area-Cabang'!BT$41)</f>
        <v>0</v>
      </c>
      <c r="BU64" s="42">
        <f>SUMIFS('CWO Bulan Ini'!$DC:$DC,'CWO Bulan Ini'!$DJ:$DJ,'Area-Cabang'!$B64,'CWO Bulan Ini'!$DH:$DH,'Area-Cabang'!$E64,'CWO Bulan Ini'!$CZ:$CZ,'Area-Cabang'!BU$41)</f>
        <v>0</v>
      </c>
      <c r="BV64" s="42">
        <f>SUMIFS('CWO Bulan Ini'!$DC:$DC,'CWO Bulan Ini'!$DJ:$DJ,'Area-Cabang'!$B64,'CWO Bulan Ini'!$DH:$DH,'Area-Cabang'!$E64,'CWO Bulan Ini'!$CZ:$CZ,'Area-Cabang'!BV$41)</f>
        <v>0</v>
      </c>
      <c r="BW64" s="42">
        <f>SUMIFS('CWO Bulan Ini'!$DC:$DC,'CWO Bulan Ini'!$DJ:$DJ,'Area-Cabang'!$B64,'CWO Bulan Ini'!$DH:$DH,'Area-Cabang'!$E64,'CWO Bulan Ini'!$CZ:$CZ,'Area-Cabang'!BW$41)</f>
        <v>0</v>
      </c>
      <c r="BX64" s="42">
        <f>SUMIFS('CWO Bulan Ini'!$DC:$DC,'CWO Bulan Ini'!$DJ:$DJ,'Area-Cabang'!$B64,'CWO Bulan Ini'!$DH:$DH,'Area-Cabang'!$E64,'CWO Bulan Ini'!$CZ:$CZ,'Area-Cabang'!BX$41)</f>
        <v>0</v>
      </c>
      <c r="BY64" s="42">
        <f>SUMIFS('CWO Bulan Ini'!$DC:$DC,'CWO Bulan Ini'!$DJ:$DJ,'Area-Cabang'!$B64,'CWO Bulan Ini'!$DH:$DH,'Area-Cabang'!$E64,'CWO Bulan Ini'!$CZ:$CZ,'Area-Cabang'!BY$41)</f>
        <v>0</v>
      </c>
      <c r="BZ64" s="42">
        <f>SUMIFS('CWO Bulan Ini'!$DC:$DC,'CWO Bulan Ini'!$DJ:$DJ,'Area-Cabang'!$B64,'CWO Bulan Ini'!$DH:$DH,'Area-Cabang'!$E64,'CWO Bulan Ini'!$CZ:$CZ,'Area-Cabang'!BZ$41)</f>
        <v>0</v>
      </c>
      <c r="CA64" s="42">
        <f>SUMIFS('CWO Bulan Ini'!$DC:$DC,'CWO Bulan Ini'!$DJ:$DJ,'Area-Cabang'!$B64,'CWO Bulan Ini'!$DH:$DH,'Area-Cabang'!$E64,'CWO Bulan Ini'!$CZ:$CZ,'Area-Cabang'!CA$41)</f>
        <v>0</v>
      </c>
      <c r="CB64" s="42">
        <f>SUMIFS('CWO Bulan Ini'!$DC:$DC,'CWO Bulan Ini'!$DJ:$DJ,'Area-Cabang'!$B64,'CWO Bulan Ini'!$DH:$DH,'Area-Cabang'!$E64,'CWO Bulan Ini'!$CZ:$CZ,'Area-Cabang'!CB$41)</f>
        <v>0</v>
      </c>
      <c r="CC64" s="42">
        <f>SUMIFS('CWO Bulan Ini'!$DC:$DC,'CWO Bulan Ini'!$DJ:$DJ,'Area-Cabang'!$B64,'CWO Bulan Ini'!$DH:$DH,'Area-Cabang'!$E64,'CWO Bulan Ini'!$CZ:$CZ,'Area-Cabang'!CC$41)</f>
        <v>0</v>
      </c>
      <c r="CD64" s="42">
        <f>SUMIFS('CWO Bulan Ini'!$DC:$DC,'CWO Bulan Ini'!$DJ:$DJ,'Area-Cabang'!$B64,'CWO Bulan Ini'!$DH:$DH,'Area-Cabang'!$E64,'CWO Bulan Ini'!$CZ:$CZ,'Area-Cabang'!CD$41)</f>
        <v>0</v>
      </c>
      <c r="CE64" s="42">
        <f>SUMIFS('CWO Bulan Ini'!$DC:$DC,'CWO Bulan Ini'!$DJ:$DJ,'Area-Cabang'!$B64,'CWO Bulan Ini'!$DH:$DH,'Area-Cabang'!$E64,'CWO Bulan Ini'!$CZ:$CZ,'Area-Cabang'!CE$41)</f>
        <v>0</v>
      </c>
      <c r="CF64" s="42">
        <f>SUMIFS('CWO Bulan Ini'!$DC:$DC,'CWO Bulan Ini'!$DJ:$DJ,'Area-Cabang'!$B64,'CWO Bulan Ini'!$DH:$DH,'Area-Cabang'!$E64,'CWO Bulan Ini'!$CZ:$CZ,'Area-Cabang'!CF$41)</f>
        <v>0</v>
      </c>
      <c r="CG64" s="42">
        <f>SUMIFS('CWO Bulan Ini'!$DC:$DC,'CWO Bulan Ini'!$DJ:$DJ,'Area-Cabang'!$B64,'CWO Bulan Ini'!$DH:$DH,'Area-Cabang'!$E64,'CWO Bulan Ini'!$CZ:$CZ,'Area-Cabang'!CG$41)</f>
        <v>0</v>
      </c>
      <c r="CH64" s="42">
        <f>SUMIFS('CWO Bulan Ini'!$DC:$DC,'CWO Bulan Ini'!$DJ:$DJ,'Area-Cabang'!$B64,'CWO Bulan Ini'!$DH:$DH,'Area-Cabang'!$E64,'CWO Bulan Ini'!$CZ:$CZ,'Area-Cabang'!CH$41)</f>
        <v>0</v>
      </c>
      <c r="CI64" s="42">
        <f>SUMIFS('CWO Bulan Ini'!$DC:$DC,'CWO Bulan Ini'!$DJ:$DJ,'Area-Cabang'!$B64,'CWO Bulan Ini'!$DH:$DH,'Area-Cabang'!$E64,'CWO Bulan Ini'!$CZ:$CZ,'Area-Cabang'!CI$41)</f>
        <v>0</v>
      </c>
      <c r="CJ64" s="42">
        <f>SUMIFS('CWO Bulan Ini'!$DC:$DC,'CWO Bulan Ini'!$DJ:$DJ,'Area-Cabang'!$B64,'CWO Bulan Ini'!$DH:$DH,'Area-Cabang'!$E64,'CWO Bulan Ini'!$CZ:$CZ,'Area-Cabang'!CJ$41)</f>
        <v>0</v>
      </c>
      <c r="CK64" s="42">
        <f>SUMIFS('CWO Bulan Ini'!$DC:$DC,'CWO Bulan Ini'!$DJ:$DJ,'Area-Cabang'!$B64,'CWO Bulan Ini'!$DH:$DH,'Area-Cabang'!$E64,'CWO Bulan Ini'!$CZ:$CZ,'Area-Cabang'!CK$41)</f>
        <v>0</v>
      </c>
      <c r="CL64" s="42">
        <f>SUMIFS('CWO Bulan Ini'!$DC:$DC,'CWO Bulan Ini'!$DJ:$DJ,'Area-Cabang'!$B64,'CWO Bulan Ini'!$DH:$DH,'Area-Cabang'!$E64,'CWO Bulan Ini'!$CZ:$CZ,'Area-Cabang'!CL$41)</f>
        <v>0</v>
      </c>
      <c r="CM64" s="42">
        <f>SUMIFS('CWO Bulan Ini'!$DC:$DC,'CWO Bulan Ini'!$DJ:$DJ,'Area-Cabang'!$B64,'CWO Bulan Ini'!$DH:$DH,'Area-Cabang'!$E64,'CWO Bulan Ini'!$CZ:$CZ,'Area-Cabang'!CM$41)</f>
        <v>0</v>
      </c>
      <c r="CN64" s="42">
        <f>SUMIFS('CWO Bulan Ini'!$DC:$DC,'CWO Bulan Ini'!$DJ:$DJ,'Area-Cabang'!$B64,'CWO Bulan Ini'!$DH:$DH,'Area-Cabang'!$E64,'CWO Bulan Ini'!$CZ:$CZ,'Area-Cabang'!CN$41)</f>
        <v>0</v>
      </c>
      <c r="CO64" s="42">
        <f>SUMIFS('CWO Bulan Ini'!$DC:$DC,'CWO Bulan Ini'!$DJ:$DJ,'Area-Cabang'!$B64,'CWO Bulan Ini'!$DH:$DH,'Area-Cabang'!$E64,'CWO Bulan Ini'!$CZ:$CZ,'Area-Cabang'!CO$41)</f>
        <v>0</v>
      </c>
      <c r="CP64" s="42">
        <f>SUMIFS('CWO Bulan Ini'!$DC:$DC,'CWO Bulan Ini'!$DJ:$DJ,'Area-Cabang'!$B64,'CWO Bulan Ini'!$DH:$DH,'Area-Cabang'!$E64,'CWO Bulan Ini'!$CZ:$CZ,'Area-Cabang'!CP$41)</f>
        <v>0</v>
      </c>
      <c r="CQ64" s="42">
        <f>SUMIFS('CWO Bulan Ini'!$DC:$DC,'CWO Bulan Ini'!$DJ:$DJ,'Area-Cabang'!$B64,'CWO Bulan Ini'!$DH:$DH,'Area-Cabang'!$E64,'CWO Bulan Ini'!$CZ:$CZ,'Area-Cabang'!CQ$41)</f>
        <v>0</v>
      </c>
      <c r="CR64" s="42">
        <f>SUMIFS('CWO Bulan Ini'!$DC:$DC,'CWO Bulan Ini'!$DJ:$DJ,'Area-Cabang'!$B64,'CWO Bulan Ini'!$DH:$DH,'Area-Cabang'!$E64,'CWO Bulan Ini'!$CZ:$CZ,'Area-Cabang'!CR$41)</f>
        <v>0</v>
      </c>
      <c r="CS64" s="42">
        <f>SUMIFS('CWO Bulan Ini'!$DC:$DC,'CWO Bulan Ini'!$DJ:$DJ,'Area-Cabang'!$B64,'CWO Bulan Ini'!$DH:$DH,'Area-Cabang'!$E64,'CWO Bulan Ini'!$CZ:$CZ,'Area-Cabang'!CS$41)</f>
        <v>0</v>
      </c>
      <c r="CT64" s="43">
        <f>SUMIFS('CWO Bulan Ini'!$DC:$DC,'CWO Bulan Ini'!$DJ:$DJ,'Area-Cabang'!$B64,'CWO Bulan Ini'!$DH:$DH,'Area-Cabang'!$E64,'CWO Bulan Ini'!$CZ:$CZ,'Area-Cabang'!CT$41)</f>
        <v>0</v>
      </c>
      <c r="CV64" s="96">
        <f t="shared" si="1702"/>
        <v>0</v>
      </c>
      <c r="CW64" s="93">
        <f t="shared" si="1703"/>
        <v>0</v>
      </c>
      <c r="CX64" s="93">
        <f t="shared" si="1704"/>
        <v>0</v>
      </c>
      <c r="CY64" s="93">
        <f t="shared" si="1705"/>
        <v>0</v>
      </c>
      <c r="CZ64" s="106">
        <f t="shared" si="1706"/>
        <v>0</v>
      </c>
    </row>
    <row r="65" spans="1:104" ht="15" customHeight="1" x14ac:dyDescent="0.25">
      <c r="A65" s="58" t="s">
        <v>465</v>
      </c>
      <c r="B65" s="53" t="s">
        <v>814</v>
      </c>
      <c r="C65" s="252"/>
      <c r="D65" s="227" t="s">
        <v>814</v>
      </c>
      <c r="E65" s="228"/>
      <c r="F65" s="219">
        <f t="shared" ref="F65" si="1707">SUM(F63:F64)</f>
        <v>0</v>
      </c>
      <c r="G65" s="220">
        <f t="shared" ref="G65" si="1708">SUM(G63:G64)</f>
        <v>0</v>
      </c>
      <c r="H65" s="220">
        <f t="shared" ref="H65" si="1709">SUM(H63:H64)</f>
        <v>0</v>
      </c>
      <c r="I65" s="220">
        <f t="shared" ref="I65" si="1710">SUM(I63:I64)</f>
        <v>94.908200690000001</v>
      </c>
      <c r="J65" s="220">
        <f t="shared" ref="J65" si="1711">SUM(J63:J64)</f>
        <v>0</v>
      </c>
      <c r="K65" s="220">
        <f t="shared" ref="K65" si="1712">SUM(K63:K64)</f>
        <v>0</v>
      </c>
      <c r="L65" s="220">
        <f t="shared" ref="L65" si="1713">SUM(L63:L64)</f>
        <v>0</v>
      </c>
      <c r="M65" s="220">
        <f t="shared" ref="M65" si="1714">SUM(M63:M64)</f>
        <v>3.4766043900000003</v>
      </c>
      <c r="N65" s="220">
        <f t="shared" ref="N65" si="1715">SUM(N63:N64)</f>
        <v>3.8406207299999999</v>
      </c>
      <c r="O65" s="220">
        <f t="shared" ref="O65" si="1716">SUM(O63:O64)</f>
        <v>0</v>
      </c>
      <c r="P65" s="220">
        <f t="shared" ref="P65" si="1717">SUM(P63:P64)</f>
        <v>0</v>
      </c>
      <c r="Q65" s="220">
        <f t="shared" ref="Q65" si="1718">SUM(Q63:Q64)</f>
        <v>7.5072124499999999</v>
      </c>
      <c r="R65" s="220">
        <f t="shared" ref="R65" si="1719">SUM(R63:R64)</f>
        <v>0</v>
      </c>
      <c r="S65" s="220">
        <f t="shared" ref="S65" si="1720">SUM(S63:S64)</f>
        <v>0</v>
      </c>
      <c r="T65" s="220">
        <f t="shared" ref="T65" si="1721">SUM(T63:T64)</f>
        <v>0</v>
      </c>
      <c r="U65" s="220">
        <f t="shared" ref="U65" si="1722">SUM(U63:U64)</f>
        <v>0</v>
      </c>
      <c r="V65" s="220">
        <f t="shared" ref="V65" si="1723">SUM(V63:V64)</f>
        <v>0</v>
      </c>
      <c r="W65" s="220">
        <f t="shared" ref="W65" si="1724">SUM(W63:W64)</f>
        <v>0</v>
      </c>
      <c r="X65" s="220">
        <f t="shared" ref="X65" si="1725">SUM(X63:X64)</f>
        <v>0</v>
      </c>
      <c r="Y65" s="220">
        <f t="shared" ref="Y65" si="1726">SUM(Y63:Y64)</f>
        <v>89.726350920000002</v>
      </c>
      <c r="Z65" s="220">
        <f t="shared" ref="Z65" si="1727">SUM(Z63:Z64)</f>
        <v>0</v>
      </c>
      <c r="AA65" s="220">
        <f t="shared" ref="AA65" si="1728">SUM(AA63:AA64)</f>
        <v>0</v>
      </c>
      <c r="AB65" s="220">
        <f t="shared" ref="AB65" si="1729">SUM(AB63:AB64)</f>
        <v>0</v>
      </c>
      <c r="AC65" s="220">
        <f t="shared" ref="AC65" si="1730">SUM(AC63:AC64)</f>
        <v>0</v>
      </c>
      <c r="AD65" s="220">
        <f t="shared" ref="AD65" si="1731">SUM(AD63:AD64)</f>
        <v>0</v>
      </c>
      <c r="AE65" s="220">
        <f t="shared" ref="AE65" si="1732">SUM(AE63:AE64)</f>
        <v>0</v>
      </c>
      <c r="AF65" s="220">
        <f t="shared" ref="AF65" si="1733">SUM(AF63:AF64)</f>
        <v>0</v>
      </c>
      <c r="AG65" s="220">
        <f t="shared" ref="AG65" si="1734">SUM(AG63:AG64)</f>
        <v>0</v>
      </c>
      <c r="AH65" s="220">
        <f t="shared" ref="AH65" si="1735">SUM(AH63:AH64)</f>
        <v>0</v>
      </c>
      <c r="AI65" s="220">
        <f t="shared" ref="AI65" si="1736">SUM(AI63:AI64)</f>
        <v>0</v>
      </c>
      <c r="AJ65" s="220">
        <f t="shared" ref="AJ65" si="1737">SUM(AJ63:AJ64)</f>
        <v>0</v>
      </c>
      <c r="AK65" s="219">
        <f t="shared" ref="AK65" si="1738">SUM(AK63:AK64)</f>
        <v>0</v>
      </c>
      <c r="AL65" s="220">
        <f t="shared" ref="AL65" si="1739">SUM(AL63:AL64)</f>
        <v>0</v>
      </c>
      <c r="AM65" s="220">
        <f t="shared" ref="AM65" si="1740">SUM(AM63:AM64)</f>
        <v>0</v>
      </c>
      <c r="AN65" s="220">
        <f t="shared" ref="AN65" si="1741">SUM(AN63:AN64)</f>
        <v>94.908200690000001</v>
      </c>
      <c r="AO65" s="220">
        <f t="shared" ref="AO65" si="1742">SUM(AO63:AO64)</f>
        <v>0</v>
      </c>
      <c r="AP65" s="220">
        <f t="shared" ref="AP65" si="1743">SUM(AP63:AP64)</f>
        <v>0</v>
      </c>
      <c r="AQ65" s="220">
        <f t="shared" ref="AQ65" si="1744">SUM(AQ63:AQ64)</f>
        <v>0</v>
      </c>
      <c r="AR65" s="220">
        <f t="shared" ref="AR65" si="1745">SUM(AR63:AR64)</f>
        <v>0</v>
      </c>
      <c r="AS65" s="220">
        <f t="shared" ref="AS65" si="1746">SUM(AS63:AS64)</f>
        <v>0</v>
      </c>
      <c r="AT65" s="220">
        <f t="shared" ref="AT65" si="1747">SUM(AT63:AT64)</f>
        <v>0</v>
      </c>
      <c r="AU65" s="220">
        <f t="shared" ref="AU65" si="1748">SUM(AU63:AU64)</f>
        <v>0</v>
      </c>
      <c r="AV65" s="220">
        <f t="shared" ref="AV65" si="1749">SUM(AV63:AV64)</f>
        <v>0</v>
      </c>
      <c r="AW65" s="220">
        <f t="shared" ref="AW65" si="1750">SUM(AW63:AW64)</f>
        <v>0</v>
      </c>
      <c r="AX65" s="220">
        <f t="shared" ref="AX65" si="1751">SUM(AX63:AX64)</f>
        <v>0</v>
      </c>
      <c r="AY65" s="220">
        <f t="shared" ref="AY65" si="1752">SUM(AY63:AY64)</f>
        <v>0</v>
      </c>
      <c r="AZ65" s="220">
        <f t="shared" ref="AZ65" si="1753">SUM(AZ63:AZ64)</f>
        <v>0</v>
      </c>
      <c r="BA65" s="220">
        <f t="shared" ref="BA65" si="1754">SUM(BA63:BA64)</f>
        <v>0</v>
      </c>
      <c r="BB65" s="220">
        <f t="shared" ref="BB65" si="1755">SUM(BB63:BB64)</f>
        <v>0</v>
      </c>
      <c r="BC65" s="220">
        <f t="shared" ref="BC65" si="1756">SUM(BC63:BC64)</f>
        <v>0</v>
      </c>
      <c r="BD65" s="220">
        <f t="shared" ref="BD65" si="1757">SUM(BD63:BD64)</f>
        <v>0</v>
      </c>
      <c r="BE65" s="220">
        <f t="shared" ref="BE65" si="1758">SUM(BE63:BE64)</f>
        <v>0</v>
      </c>
      <c r="BF65" s="220">
        <f t="shared" ref="BF65" si="1759">SUM(BF63:BF64)</f>
        <v>0</v>
      </c>
      <c r="BG65" s="220">
        <f t="shared" ref="BG65" si="1760">SUM(BG63:BG64)</f>
        <v>0</v>
      </c>
      <c r="BH65" s="220">
        <f t="shared" ref="BH65" si="1761">SUM(BH63:BH64)</f>
        <v>0</v>
      </c>
      <c r="BI65" s="220">
        <f t="shared" ref="BI65" si="1762">SUM(BI63:BI64)</f>
        <v>0</v>
      </c>
      <c r="BJ65" s="220">
        <f t="shared" ref="BJ65" si="1763">SUM(BJ63:BJ64)</f>
        <v>0</v>
      </c>
      <c r="BK65" s="220">
        <f t="shared" ref="BK65" si="1764">SUM(BK63:BK64)</f>
        <v>0</v>
      </c>
      <c r="BL65" s="220">
        <f t="shared" ref="BL65" si="1765">SUM(BL63:BL64)</f>
        <v>0</v>
      </c>
      <c r="BM65" s="220">
        <f t="shared" ref="BM65" si="1766">SUM(BM63:BM64)</f>
        <v>0</v>
      </c>
      <c r="BN65" s="220">
        <f t="shared" ref="BN65" si="1767">SUM(BN63:BN64)</f>
        <v>0</v>
      </c>
      <c r="BO65" s="221">
        <f t="shared" ref="BO65" si="1768">SUM(BO63:BO64)</f>
        <v>0</v>
      </c>
      <c r="BP65" s="219">
        <f t="shared" ref="BP65" si="1769">SUM(BP63:BP64)</f>
        <v>0</v>
      </c>
      <c r="BQ65" s="220">
        <f t="shared" ref="BQ65" si="1770">SUM(BQ63:BQ64)</f>
        <v>0</v>
      </c>
      <c r="BR65" s="220">
        <f t="shared" ref="BR65" si="1771">SUM(BR63:BR64)</f>
        <v>0</v>
      </c>
      <c r="BS65" s="220">
        <f t="shared" ref="BS65" si="1772">SUM(BS63:BS64)</f>
        <v>0</v>
      </c>
      <c r="BT65" s="220">
        <f t="shared" ref="BT65" si="1773">SUM(BT63:BT64)</f>
        <v>0</v>
      </c>
      <c r="BU65" s="220">
        <f t="shared" ref="BU65" si="1774">SUM(BU63:BU64)</f>
        <v>0</v>
      </c>
      <c r="BV65" s="220">
        <f t="shared" ref="BV65" si="1775">SUM(BV63:BV64)</f>
        <v>0</v>
      </c>
      <c r="BW65" s="220">
        <f t="shared" ref="BW65" si="1776">SUM(BW63:BW64)</f>
        <v>3.4766043900000003</v>
      </c>
      <c r="BX65" s="220">
        <f t="shared" ref="BX65" si="1777">SUM(BX63:BX64)</f>
        <v>0</v>
      </c>
      <c r="BY65" s="220">
        <f t="shared" ref="BY65" si="1778">SUM(BY63:BY64)</f>
        <v>0</v>
      </c>
      <c r="BZ65" s="220">
        <f t="shared" ref="BZ65" si="1779">SUM(BZ63:BZ64)</f>
        <v>0</v>
      </c>
      <c r="CA65" s="220">
        <f t="shared" ref="CA65" si="1780">SUM(CA63:CA64)</f>
        <v>0</v>
      </c>
      <c r="CB65" s="220">
        <f t="shared" ref="CB65" si="1781">SUM(CB63:CB64)</f>
        <v>0</v>
      </c>
      <c r="CC65" s="220">
        <f t="shared" ref="CC65" si="1782">SUM(CC63:CC64)</f>
        <v>0</v>
      </c>
      <c r="CD65" s="220">
        <f t="shared" ref="CD65" si="1783">SUM(CD63:CD64)</f>
        <v>0</v>
      </c>
      <c r="CE65" s="220">
        <f t="shared" ref="CE65" si="1784">SUM(CE63:CE64)</f>
        <v>0</v>
      </c>
      <c r="CF65" s="220">
        <f t="shared" ref="CF65" si="1785">SUM(CF63:CF64)</f>
        <v>0</v>
      </c>
      <c r="CG65" s="220">
        <f t="shared" ref="CG65" si="1786">SUM(CG63:CG64)</f>
        <v>0</v>
      </c>
      <c r="CH65" s="220">
        <f t="shared" ref="CH65" si="1787">SUM(CH63:CH64)</f>
        <v>0</v>
      </c>
      <c r="CI65" s="220">
        <f t="shared" ref="CI65" si="1788">SUM(CI63:CI64)</f>
        <v>0</v>
      </c>
      <c r="CJ65" s="220">
        <f t="shared" ref="CJ65" si="1789">SUM(CJ63:CJ64)</f>
        <v>0</v>
      </c>
      <c r="CK65" s="220">
        <f t="shared" ref="CK65" si="1790">SUM(CK63:CK64)</f>
        <v>0</v>
      </c>
      <c r="CL65" s="220">
        <f t="shared" ref="CL65" si="1791">SUM(CL63:CL64)</f>
        <v>0</v>
      </c>
      <c r="CM65" s="220">
        <f t="shared" ref="CM65" si="1792">SUM(CM63:CM64)</f>
        <v>0</v>
      </c>
      <c r="CN65" s="220">
        <f t="shared" ref="CN65" si="1793">SUM(CN63:CN64)</f>
        <v>0</v>
      </c>
      <c r="CO65" s="220">
        <f t="shared" ref="CO65" si="1794">SUM(CO63:CO64)</f>
        <v>0</v>
      </c>
      <c r="CP65" s="220">
        <f t="shared" ref="CP65" si="1795">SUM(CP63:CP64)</f>
        <v>0</v>
      </c>
      <c r="CQ65" s="220">
        <f t="shared" ref="CQ65" si="1796">SUM(CQ63:CQ64)</f>
        <v>0</v>
      </c>
      <c r="CR65" s="220">
        <f t="shared" ref="CR65" si="1797">SUM(CR63:CR64)</f>
        <v>0</v>
      </c>
      <c r="CS65" s="220">
        <f t="shared" ref="CS65" si="1798">SUM(CS63:CS64)</f>
        <v>0</v>
      </c>
      <c r="CT65" s="221">
        <f t="shared" ref="CT65" si="1799">SUM(CT63:CT64)</f>
        <v>0</v>
      </c>
      <c r="CU65" s="226"/>
      <c r="CV65" s="219">
        <f t="shared" ref="CV65" si="1800">SUM(CV63:CV64)</f>
        <v>199.45898918</v>
      </c>
      <c r="CW65" s="220">
        <f t="shared" ref="CW65" si="1801">SUM(CW63:CW64)</f>
        <v>94.908200690000001</v>
      </c>
      <c r="CX65" s="220">
        <f t="shared" ref="CX65" si="1802">SUM(CX63:CX64)</f>
        <v>3.4766043900000003</v>
      </c>
      <c r="CY65" s="220">
        <f t="shared" ref="CY65" si="1803">SUM(CY63:CY64)</f>
        <v>101.0741841</v>
      </c>
      <c r="CZ65" s="222">
        <f t="shared" ref="CZ65" si="1804">SUM(CZ63:CZ64)</f>
        <v>195.98238479</v>
      </c>
    </row>
    <row r="66" spans="1:104" ht="15" customHeight="1" x14ac:dyDescent="0.25">
      <c r="A66" s="53" t="s">
        <v>474</v>
      </c>
      <c r="B66" s="53" t="s">
        <v>158</v>
      </c>
      <c r="C66" s="249" t="s">
        <v>474</v>
      </c>
      <c r="D66" s="245" t="s">
        <v>158</v>
      </c>
      <c r="E66" s="85" t="s">
        <v>132</v>
      </c>
      <c r="F66" s="55">
        <f>SUMIFS('CWO Bulan Ini'!$DA:$DA,'CWO Bulan Ini'!$DJ:$DJ,'Area-Cabang'!$B66,'CWO Bulan Ini'!$DH:$DH,'Area-Cabang'!$E66,'CWO Bulan Ini'!$CZ:$CZ,'Area-Cabang'!F$41)</f>
        <v>0</v>
      </c>
      <c r="G66" s="56">
        <f>SUMIFS('CWO Bulan Ini'!$DA:$DA,'CWO Bulan Ini'!$DJ:$DJ,'Area-Cabang'!$B66,'CWO Bulan Ini'!$DH:$DH,'Area-Cabang'!$E66,'CWO Bulan Ini'!$CZ:$CZ,'Area-Cabang'!G$41)</f>
        <v>0</v>
      </c>
      <c r="H66" s="56">
        <f>SUMIFS('CWO Bulan Ini'!$DA:$DA,'CWO Bulan Ini'!$DJ:$DJ,'Area-Cabang'!$B66,'CWO Bulan Ini'!$DH:$DH,'Area-Cabang'!$E66,'CWO Bulan Ini'!$CZ:$CZ,'Area-Cabang'!H$41)</f>
        <v>0</v>
      </c>
      <c r="I66" s="56">
        <f>SUMIFS('CWO Bulan Ini'!$DA:$DA,'CWO Bulan Ini'!$DJ:$DJ,'Area-Cabang'!$B66,'CWO Bulan Ini'!$DH:$DH,'Area-Cabang'!$E66,'CWO Bulan Ini'!$CZ:$CZ,'Area-Cabang'!I$41)</f>
        <v>184.42906199999999</v>
      </c>
      <c r="J66" s="56">
        <f>SUMIFS('CWO Bulan Ini'!$DA:$DA,'CWO Bulan Ini'!$DJ:$DJ,'Area-Cabang'!$B66,'CWO Bulan Ini'!$DH:$DH,'Area-Cabang'!$E66,'CWO Bulan Ini'!$CZ:$CZ,'Area-Cabang'!J$41)</f>
        <v>0</v>
      </c>
      <c r="K66" s="56">
        <f>SUMIFS('CWO Bulan Ini'!$DA:$DA,'CWO Bulan Ini'!$DJ:$DJ,'Area-Cabang'!$B66,'CWO Bulan Ini'!$DH:$DH,'Area-Cabang'!$E66,'CWO Bulan Ini'!$CZ:$CZ,'Area-Cabang'!K$41)</f>
        <v>0</v>
      </c>
      <c r="L66" s="56">
        <f>SUMIFS('CWO Bulan Ini'!$DA:$DA,'CWO Bulan Ini'!$DJ:$DJ,'Area-Cabang'!$B66,'CWO Bulan Ini'!$DH:$DH,'Area-Cabang'!$E66,'CWO Bulan Ini'!$CZ:$CZ,'Area-Cabang'!L$41)</f>
        <v>0</v>
      </c>
      <c r="M66" s="56">
        <f>SUMIFS('CWO Bulan Ini'!$DA:$DA,'CWO Bulan Ini'!$DJ:$DJ,'Area-Cabang'!$B66,'CWO Bulan Ini'!$DH:$DH,'Area-Cabang'!$E66,'CWO Bulan Ini'!$CZ:$CZ,'Area-Cabang'!M$41)</f>
        <v>0</v>
      </c>
      <c r="N66" s="56">
        <f>SUMIFS('CWO Bulan Ini'!$DA:$DA,'CWO Bulan Ini'!$DJ:$DJ,'Area-Cabang'!$B66,'CWO Bulan Ini'!$DH:$DH,'Area-Cabang'!$E66,'CWO Bulan Ini'!$CZ:$CZ,'Area-Cabang'!N$41)</f>
        <v>0</v>
      </c>
      <c r="O66" s="56">
        <f>SUMIFS('CWO Bulan Ini'!$DA:$DA,'CWO Bulan Ini'!$DJ:$DJ,'Area-Cabang'!$B66,'CWO Bulan Ini'!$DH:$DH,'Area-Cabang'!$E66,'CWO Bulan Ini'!$CZ:$CZ,'Area-Cabang'!O$41)</f>
        <v>0</v>
      </c>
      <c r="P66" s="56">
        <f>SUMIFS('CWO Bulan Ini'!$DA:$DA,'CWO Bulan Ini'!$DJ:$DJ,'Area-Cabang'!$B66,'CWO Bulan Ini'!$DH:$DH,'Area-Cabang'!$E66,'CWO Bulan Ini'!$CZ:$CZ,'Area-Cabang'!P$41)</f>
        <v>0</v>
      </c>
      <c r="Q66" s="56">
        <f>SUMIFS('CWO Bulan Ini'!$DA:$DA,'CWO Bulan Ini'!$DJ:$DJ,'Area-Cabang'!$B66,'CWO Bulan Ini'!$DH:$DH,'Area-Cabang'!$E66,'CWO Bulan Ini'!$CZ:$CZ,'Area-Cabang'!Q$41)</f>
        <v>0</v>
      </c>
      <c r="R66" s="56">
        <f>SUMIFS('CWO Bulan Ini'!$DA:$DA,'CWO Bulan Ini'!$DJ:$DJ,'Area-Cabang'!$B66,'CWO Bulan Ini'!$DH:$DH,'Area-Cabang'!$E66,'CWO Bulan Ini'!$CZ:$CZ,'Area-Cabang'!R$41)</f>
        <v>0</v>
      </c>
      <c r="S66" s="56">
        <f>SUMIFS('CWO Bulan Ini'!$DA:$DA,'CWO Bulan Ini'!$DJ:$DJ,'Area-Cabang'!$B66,'CWO Bulan Ini'!$DH:$DH,'Area-Cabang'!$E66,'CWO Bulan Ini'!$CZ:$CZ,'Area-Cabang'!S$41)</f>
        <v>0</v>
      </c>
      <c r="T66" s="56">
        <f>SUMIFS('CWO Bulan Ini'!$DA:$DA,'CWO Bulan Ini'!$DJ:$DJ,'Area-Cabang'!$B66,'CWO Bulan Ini'!$DH:$DH,'Area-Cabang'!$E66,'CWO Bulan Ini'!$CZ:$CZ,'Area-Cabang'!T$41)</f>
        <v>0</v>
      </c>
      <c r="U66" s="56">
        <f>SUMIFS('CWO Bulan Ini'!$DA:$DA,'CWO Bulan Ini'!$DJ:$DJ,'Area-Cabang'!$B66,'CWO Bulan Ini'!$DH:$DH,'Area-Cabang'!$E66,'CWO Bulan Ini'!$CZ:$CZ,'Area-Cabang'!U$41)</f>
        <v>0</v>
      </c>
      <c r="V66" s="56">
        <f>SUMIFS('CWO Bulan Ini'!$DA:$DA,'CWO Bulan Ini'!$DJ:$DJ,'Area-Cabang'!$B66,'CWO Bulan Ini'!$DH:$DH,'Area-Cabang'!$E66,'CWO Bulan Ini'!$CZ:$CZ,'Area-Cabang'!V$41)</f>
        <v>0</v>
      </c>
      <c r="W66" s="56">
        <f>SUMIFS('CWO Bulan Ini'!$DA:$DA,'CWO Bulan Ini'!$DJ:$DJ,'Area-Cabang'!$B66,'CWO Bulan Ini'!$DH:$DH,'Area-Cabang'!$E66,'CWO Bulan Ini'!$CZ:$CZ,'Area-Cabang'!W$41)</f>
        <v>0</v>
      </c>
      <c r="X66" s="56">
        <f>SUMIFS('CWO Bulan Ini'!$DA:$DA,'CWO Bulan Ini'!$DJ:$DJ,'Area-Cabang'!$B66,'CWO Bulan Ini'!$DH:$DH,'Area-Cabang'!$E66,'CWO Bulan Ini'!$CZ:$CZ,'Area-Cabang'!X$41)</f>
        <v>0</v>
      </c>
      <c r="Y66" s="56">
        <f>SUMIFS('CWO Bulan Ini'!$DA:$DA,'CWO Bulan Ini'!$DJ:$DJ,'Area-Cabang'!$B66,'CWO Bulan Ini'!$DH:$DH,'Area-Cabang'!$E66,'CWO Bulan Ini'!$CZ:$CZ,'Area-Cabang'!Y$41)</f>
        <v>0</v>
      </c>
      <c r="Z66" s="56">
        <f>SUMIFS('CWO Bulan Ini'!$DA:$DA,'CWO Bulan Ini'!$DJ:$DJ,'Area-Cabang'!$B66,'CWO Bulan Ini'!$DH:$DH,'Area-Cabang'!$E66,'CWO Bulan Ini'!$CZ:$CZ,'Area-Cabang'!Z$41)</f>
        <v>0</v>
      </c>
      <c r="AA66" s="56">
        <f>SUMIFS('CWO Bulan Ini'!$DA:$DA,'CWO Bulan Ini'!$DJ:$DJ,'Area-Cabang'!$B66,'CWO Bulan Ini'!$DH:$DH,'Area-Cabang'!$E66,'CWO Bulan Ini'!$CZ:$CZ,'Area-Cabang'!AA$41)</f>
        <v>0</v>
      </c>
      <c r="AB66" s="56">
        <f>SUMIFS('CWO Bulan Ini'!$DA:$DA,'CWO Bulan Ini'!$DJ:$DJ,'Area-Cabang'!$B66,'CWO Bulan Ini'!$DH:$DH,'Area-Cabang'!$E66,'CWO Bulan Ini'!$CZ:$CZ,'Area-Cabang'!AB$41)</f>
        <v>0</v>
      </c>
      <c r="AC66" s="56">
        <f>SUMIFS('CWO Bulan Ini'!$DA:$DA,'CWO Bulan Ini'!$DJ:$DJ,'Area-Cabang'!$B66,'CWO Bulan Ini'!$DH:$DH,'Area-Cabang'!$E66,'CWO Bulan Ini'!$CZ:$CZ,'Area-Cabang'!AC$41)</f>
        <v>0</v>
      </c>
      <c r="AD66" s="56">
        <f>SUMIFS('CWO Bulan Ini'!$DA:$DA,'CWO Bulan Ini'!$DJ:$DJ,'Area-Cabang'!$B66,'CWO Bulan Ini'!$DH:$DH,'Area-Cabang'!$E66,'CWO Bulan Ini'!$CZ:$CZ,'Area-Cabang'!AD$41)</f>
        <v>0</v>
      </c>
      <c r="AE66" s="56">
        <f>SUMIFS('CWO Bulan Ini'!$DA:$DA,'CWO Bulan Ini'!$DJ:$DJ,'Area-Cabang'!$B66,'CWO Bulan Ini'!$DH:$DH,'Area-Cabang'!$E66,'CWO Bulan Ini'!$CZ:$CZ,'Area-Cabang'!AE$41)</f>
        <v>0</v>
      </c>
      <c r="AF66" s="56">
        <f>SUMIFS('CWO Bulan Ini'!$DA:$DA,'CWO Bulan Ini'!$DJ:$DJ,'Area-Cabang'!$B66,'CWO Bulan Ini'!$DH:$DH,'Area-Cabang'!$E66,'CWO Bulan Ini'!$CZ:$CZ,'Area-Cabang'!AF$41)</f>
        <v>0</v>
      </c>
      <c r="AG66" s="56">
        <f>SUMIFS('CWO Bulan Ini'!$DA:$DA,'CWO Bulan Ini'!$DJ:$DJ,'Area-Cabang'!$B66,'CWO Bulan Ini'!$DH:$DH,'Area-Cabang'!$E66,'CWO Bulan Ini'!$CZ:$CZ,'Area-Cabang'!AG$41)</f>
        <v>0</v>
      </c>
      <c r="AH66" s="56">
        <f>SUMIFS('CWO Bulan Ini'!$DA:$DA,'CWO Bulan Ini'!$DJ:$DJ,'Area-Cabang'!$B66,'CWO Bulan Ini'!$DH:$DH,'Area-Cabang'!$E66,'CWO Bulan Ini'!$CZ:$CZ,'Area-Cabang'!AH$41)</f>
        <v>0</v>
      </c>
      <c r="AI66" s="56">
        <f>SUMIFS('CWO Bulan Ini'!$DA:$DA,'CWO Bulan Ini'!$DJ:$DJ,'Area-Cabang'!$B66,'CWO Bulan Ini'!$DH:$DH,'Area-Cabang'!$E66,'CWO Bulan Ini'!$CZ:$CZ,'Area-Cabang'!AI$41)</f>
        <v>0</v>
      </c>
      <c r="AJ66" s="56">
        <f>SUMIFS('CWO Bulan Ini'!$DA:$DA,'CWO Bulan Ini'!$DJ:$DJ,'Area-Cabang'!$B66,'CWO Bulan Ini'!$DH:$DH,'Area-Cabang'!$E66,'CWO Bulan Ini'!$CZ:$CZ,'Area-Cabang'!AJ$41)</f>
        <v>0</v>
      </c>
      <c r="AK66" s="55">
        <f>SUMIFS('CWO Bulan Ini'!$DD:$DD,'CWO Bulan Ini'!$DJ:$DJ,'Area-Cabang'!$B66,'CWO Bulan Ini'!$DH:$DH,'Area-Cabang'!$E66,'CWO Bulan Ini'!$CZ:$CZ,'Area-Cabang'!AK$41)</f>
        <v>0</v>
      </c>
      <c r="AL66" s="56">
        <f>SUMIFS('CWO Bulan Ini'!$DD:$DD,'CWO Bulan Ini'!$DJ:$DJ,'Area-Cabang'!$B66,'CWO Bulan Ini'!$DH:$DH,'Area-Cabang'!$E66,'CWO Bulan Ini'!$CZ:$CZ,'Area-Cabang'!AL$41)</f>
        <v>0</v>
      </c>
      <c r="AM66" s="56">
        <f>SUMIFS('CWO Bulan Ini'!$DD:$DD,'CWO Bulan Ini'!$DJ:$DJ,'Area-Cabang'!$B66,'CWO Bulan Ini'!$DH:$DH,'Area-Cabang'!$E66,'CWO Bulan Ini'!$CZ:$CZ,'Area-Cabang'!AM$41)</f>
        <v>0</v>
      </c>
      <c r="AN66" s="56">
        <f>SUMIFS('CWO Bulan Ini'!$DD:$DD,'CWO Bulan Ini'!$DJ:$DJ,'Area-Cabang'!$B66,'CWO Bulan Ini'!$DH:$DH,'Area-Cabang'!$E66,'CWO Bulan Ini'!$CZ:$CZ,'Area-Cabang'!AN$41)</f>
        <v>184.42906199999999</v>
      </c>
      <c r="AO66" s="56">
        <f>SUMIFS('CWO Bulan Ini'!$DD:$DD,'CWO Bulan Ini'!$DJ:$DJ,'Area-Cabang'!$B66,'CWO Bulan Ini'!$DH:$DH,'Area-Cabang'!$E66,'CWO Bulan Ini'!$CZ:$CZ,'Area-Cabang'!AO$41)</f>
        <v>0</v>
      </c>
      <c r="AP66" s="56">
        <f>SUMIFS('CWO Bulan Ini'!$DD:$DD,'CWO Bulan Ini'!$DJ:$DJ,'Area-Cabang'!$B66,'CWO Bulan Ini'!$DH:$DH,'Area-Cabang'!$E66,'CWO Bulan Ini'!$CZ:$CZ,'Area-Cabang'!AP$41)</f>
        <v>0</v>
      </c>
      <c r="AQ66" s="56">
        <f>SUMIFS('CWO Bulan Ini'!$DD:$DD,'CWO Bulan Ini'!$DJ:$DJ,'Area-Cabang'!$B66,'CWO Bulan Ini'!$DH:$DH,'Area-Cabang'!$E66,'CWO Bulan Ini'!$CZ:$CZ,'Area-Cabang'!AQ$41)</f>
        <v>0</v>
      </c>
      <c r="AR66" s="56">
        <f>SUMIFS('CWO Bulan Ini'!$DD:$DD,'CWO Bulan Ini'!$DJ:$DJ,'Area-Cabang'!$B66,'CWO Bulan Ini'!$DH:$DH,'Area-Cabang'!$E66,'CWO Bulan Ini'!$CZ:$CZ,'Area-Cabang'!AR$41)</f>
        <v>0</v>
      </c>
      <c r="AS66" s="56">
        <f>SUMIFS('CWO Bulan Ini'!$DD:$DD,'CWO Bulan Ini'!$DJ:$DJ,'Area-Cabang'!$B66,'CWO Bulan Ini'!$DH:$DH,'Area-Cabang'!$E66,'CWO Bulan Ini'!$CZ:$CZ,'Area-Cabang'!AS$41)</f>
        <v>0</v>
      </c>
      <c r="AT66" s="56">
        <f>SUMIFS('CWO Bulan Ini'!$DD:$DD,'CWO Bulan Ini'!$DJ:$DJ,'Area-Cabang'!$B66,'CWO Bulan Ini'!$DH:$DH,'Area-Cabang'!$E66,'CWO Bulan Ini'!$CZ:$CZ,'Area-Cabang'!AT$41)</f>
        <v>0</v>
      </c>
      <c r="AU66" s="56">
        <f>SUMIFS('CWO Bulan Ini'!$DD:$DD,'CWO Bulan Ini'!$DJ:$DJ,'Area-Cabang'!$B66,'CWO Bulan Ini'!$DH:$DH,'Area-Cabang'!$E66,'CWO Bulan Ini'!$CZ:$CZ,'Area-Cabang'!AU$41)</f>
        <v>0</v>
      </c>
      <c r="AV66" s="56">
        <f>SUMIFS('CWO Bulan Ini'!$DD:$DD,'CWO Bulan Ini'!$DJ:$DJ,'Area-Cabang'!$B66,'CWO Bulan Ini'!$DH:$DH,'Area-Cabang'!$E66,'CWO Bulan Ini'!$CZ:$CZ,'Area-Cabang'!AV$41)</f>
        <v>0</v>
      </c>
      <c r="AW66" s="56">
        <f>SUMIFS('CWO Bulan Ini'!$DD:$DD,'CWO Bulan Ini'!$DJ:$DJ,'Area-Cabang'!$B66,'CWO Bulan Ini'!$DH:$DH,'Area-Cabang'!$E66,'CWO Bulan Ini'!$CZ:$CZ,'Area-Cabang'!AW$41)</f>
        <v>0</v>
      </c>
      <c r="AX66" s="56">
        <f>SUMIFS('CWO Bulan Ini'!$DD:$DD,'CWO Bulan Ini'!$DJ:$DJ,'Area-Cabang'!$B66,'CWO Bulan Ini'!$DH:$DH,'Area-Cabang'!$E66,'CWO Bulan Ini'!$CZ:$CZ,'Area-Cabang'!AX$41)</f>
        <v>0</v>
      </c>
      <c r="AY66" s="56">
        <f>SUMIFS('CWO Bulan Ini'!$DD:$DD,'CWO Bulan Ini'!$DJ:$DJ,'Area-Cabang'!$B66,'CWO Bulan Ini'!$DH:$DH,'Area-Cabang'!$E66,'CWO Bulan Ini'!$CZ:$CZ,'Area-Cabang'!AY$41)</f>
        <v>0</v>
      </c>
      <c r="AZ66" s="56">
        <f>SUMIFS('CWO Bulan Ini'!$DD:$DD,'CWO Bulan Ini'!$DJ:$DJ,'Area-Cabang'!$B66,'CWO Bulan Ini'!$DH:$DH,'Area-Cabang'!$E66,'CWO Bulan Ini'!$CZ:$CZ,'Area-Cabang'!AZ$41)</f>
        <v>0</v>
      </c>
      <c r="BA66" s="56">
        <f>SUMIFS('CWO Bulan Ini'!$DD:$DD,'CWO Bulan Ini'!$DJ:$DJ,'Area-Cabang'!$B66,'CWO Bulan Ini'!$DH:$DH,'Area-Cabang'!$E66,'CWO Bulan Ini'!$CZ:$CZ,'Area-Cabang'!BA$41)</f>
        <v>0</v>
      </c>
      <c r="BB66" s="56">
        <f>SUMIFS('CWO Bulan Ini'!$DD:$DD,'CWO Bulan Ini'!$DJ:$DJ,'Area-Cabang'!$B66,'CWO Bulan Ini'!$DH:$DH,'Area-Cabang'!$E66,'CWO Bulan Ini'!$CZ:$CZ,'Area-Cabang'!BB$41)</f>
        <v>0</v>
      </c>
      <c r="BC66" s="56">
        <f>SUMIFS('CWO Bulan Ini'!$DD:$DD,'CWO Bulan Ini'!$DJ:$DJ,'Area-Cabang'!$B66,'CWO Bulan Ini'!$DH:$DH,'Area-Cabang'!$E66,'CWO Bulan Ini'!$CZ:$CZ,'Area-Cabang'!BC$41)</f>
        <v>0</v>
      </c>
      <c r="BD66" s="56">
        <f>SUMIFS('CWO Bulan Ini'!$DD:$DD,'CWO Bulan Ini'!$DJ:$DJ,'Area-Cabang'!$B66,'CWO Bulan Ini'!$DH:$DH,'Area-Cabang'!$E66,'CWO Bulan Ini'!$CZ:$CZ,'Area-Cabang'!BD$41)</f>
        <v>0</v>
      </c>
      <c r="BE66" s="56">
        <f>SUMIFS('CWO Bulan Ini'!$DD:$DD,'CWO Bulan Ini'!$DJ:$DJ,'Area-Cabang'!$B66,'CWO Bulan Ini'!$DH:$DH,'Area-Cabang'!$E66,'CWO Bulan Ini'!$CZ:$CZ,'Area-Cabang'!BE$41)</f>
        <v>0</v>
      </c>
      <c r="BF66" s="56">
        <f>SUMIFS('CWO Bulan Ini'!$DD:$DD,'CWO Bulan Ini'!$DJ:$DJ,'Area-Cabang'!$B66,'CWO Bulan Ini'!$DH:$DH,'Area-Cabang'!$E66,'CWO Bulan Ini'!$CZ:$CZ,'Area-Cabang'!BF$41)</f>
        <v>0</v>
      </c>
      <c r="BG66" s="56">
        <f>SUMIFS('CWO Bulan Ini'!$DD:$DD,'CWO Bulan Ini'!$DJ:$DJ,'Area-Cabang'!$B66,'CWO Bulan Ini'!$DH:$DH,'Area-Cabang'!$E66,'CWO Bulan Ini'!$CZ:$CZ,'Area-Cabang'!BG$41)</f>
        <v>0</v>
      </c>
      <c r="BH66" s="56">
        <f>SUMIFS('CWO Bulan Ini'!$DD:$DD,'CWO Bulan Ini'!$DJ:$DJ,'Area-Cabang'!$B66,'CWO Bulan Ini'!$DH:$DH,'Area-Cabang'!$E66,'CWO Bulan Ini'!$CZ:$CZ,'Area-Cabang'!BH$41)</f>
        <v>0</v>
      </c>
      <c r="BI66" s="56">
        <f>SUMIFS('CWO Bulan Ini'!$DD:$DD,'CWO Bulan Ini'!$DJ:$DJ,'Area-Cabang'!$B66,'CWO Bulan Ini'!$DH:$DH,'Area-Cabang'!$E66,'CWO Bulan Ini'!$CZ:$CZ,'Area-Cabang'!BI$41)</f>
        <v>0</v>
      </c>
      <c r="BJ66" s="56">
        <f>SUMIFS('CWO Bulan Ini'!$DD:$DD,'CWO Bulan Ini'!$DJ:$DJ,'Area-Cabang'!$B66,'CWO Bulan Ini'!$DH:$DH,'Area-Cabang'!$E66,'CWO Bulan Ini'!$CZ:$CZ,'Area-Cabang'!BJ$41)</f>
        <v>0</v>
      </c>
      <c r="BK66" s="56">
        <f>SUMIFS('CWO Bulan Ini'!$DD:$DD,'CWO Bulan Ini'!$DJ:$DJ,'Area-Cabang'!$B66,'CWO Bulan Ini'!$DH:$DH,'Area-Cabang'!$E66,'CWO Bulan Ini'!$CZ:$CZ,'Area-Cabang'!BK$41)</f>
        <v>0</v>
      </c>
      <c r="BL66" s="56">
        <f>SUMIFS('CWO Bulan Ini'!$DD:$DD,'CWO Bulan Ini'!$DJ:$DJ,'Area-Cabang'!$B66,'CWO Bulan Ini'!$DH:$DH,'Area-Cabang'!$E66,'CWO Bulan Ini'!$CZ:$CZ,'Area-Cabang'!BL$41)</f>
        <v>0</v>
      </c>
      <c r="BM66" s="56">
        <f>SUMIFS('CWO Bulan Ini'!$DD:$DD,'CWO Bulan Ini'!$DJ:$DJ,'Area-Cabang'!$B66,'CWO Bulan Ini'!$DH:$DH,'Area-Cabang'!$E66,'CWO Bulan Ini'!$CZ:$CZ,'Area-Cabang'!BM$41)</f>
        <v>0</v>
      </c>
      <c r="BN66" s="56">
        <f>SUMIFS('CWO Bulan Ini'!$DD:$DD,'CWO Bulan Ini'!$DJ:$DJ,'Area-Cabang'!$B66,'CWO Bulan Ini'!$DH:$DH,'Area-Cabang'!$E66,'CWO Bulan Ini'!$CZ:$CZ,'Area-Cabang'!BN$41)</f>
        <v>0</v>
      </c>
      <c r="BO66" s="57">
        <f>SUMIFS('CWO Bulan Ini'!$DD:$DD,'CWO Bulan Ini'!$DJ:$DJ,'Area-Cabang'!$B66,'CWO Bulan Ini'!$DH:$DH,'Area-Cabang'!$E66,'CWO Bulan Ini'!$CZ:$CZ,'Area-Cabang'!BO$41)</f>
        <v>0</v>
      </c>
      <c r="BP66" s="55">
        <f>SUMIFS('CWO Bulan Ini'!$DC:$DC,'CWO Bulan Ini'!$DJ:$DJ,'Area-Cabang'!$B66,'CWO Bulan Ini'!$DH:$DH,'Area-Cabang'!$E66,'CWO Bulan Ini'!$CZ:$CZ,'Area-Cabang'!BP$41)</f>
        <v>0</v>
      </c>
      <c r="BQ66" s="56">
        <f>SUMIFS('CWO Bulan Ini'!$DC:$DC,'CWO Bulan Ini'!$DJ:$DJ,'Area-Cabang'!$B66,'CWO Bulan Ini'!$DH:$DH,'Area-Cabang'!$E66,'CWO Bulan Ini'!$CZ:$CZ,'Area-Cabang'!BQ$41)</f>
        <v>0</v>
      </c>
      <c r="BR66" s="56">
        <f>SUMIFS('CWO Bulan Ini'!$DC:$DC,'CWO Bulan Ini'!$DJ:$DJ,'Area-Cabang'!$B66,'CWO Bulan Ini'!$DH:$DH,'Area-Cabang'!$E66,'CWO Bulan Ini'!$CZ:$CZ,'Area-Cabang'!BR$41)</f>
        <v>0</v>
      </c>
      <c r="BS66" s="56">
        <f>SUMIFS('CWO Bulan Ini'!$DC:$DC,'CWO Bulan Ini'!$DJ:$DJ,'Area-Cabang'!$B66,'CWO Bulan Ini'!$DH:$DH,'Area-Cabang'!$E66,'CWO Bulan Ini'!$CZ:$CZ,'Area-Cabang'!BS$41)</f>
        <v>0</v>
      </c>
      <c r="BT66" s="56">
        <f>SUMIFS('CWO Bulan Ini'!$DC:$DC,'CWO Bulan Ini'!$DJ:$DJ,'Area-Cabang'!$B66,'CWO Bulan Ini'!$DH:$DH,'Area-Cabang'!$E66,'CWO Bulan Ini'!$CZ:$CZ,'Area-Cabang'!BT$41)</f>
        <v>0</v>
      </c>
      <c r="BU66" s="56">
        <f>SUMIFS('CWO Bulan Ini'!$DC:$DC,'CWO Bulan Ini'!$DJ:$DJ,'Area-Cabang'!$B66,'CWO Bulan Ini'!$DH:$DH,'Area-Cabang'!$E66,'CWO Bulan Ini'!$CZ:$CZ,'Area-Cabang'!BU$41)</f>
        <v>0</v>
      </c>
      <c r="BV66" s="56">
        <f>SUMIFS('CWO Bulan Ini'!$DC:$DC,'CWO Bulan Ini'!$DJ:$DJ,'Area-Cabang'!$B66,'CWO Bulan Ini'!$DH:$DH,'Area-Cabang'!$E66,'CWO Bulan Ini'!$CZ:$CZ,'Area-Cabang'!BV$41)</f>
        <v>0</v>
      </c>
      <c r="BW66" s="56">
        <f>SUMIFS('CWO Bulan Ini'!$DC:$DC,'CWO Bulan Ini'!$DJ:$DJ,'Area-Cabang'!$B66,'CWO Bulan Ini'!$DH:$DH,'Area-Cabang'!$E66,'CWO Bulan Ini'!$CZ:$CZ,'Area-Cabang'!BW$41)</f>
        <v>0</v>
      </c>
      <c r="BX66" s="56">
        <f>SUMIFS('CWO Bulan Ini'!$DC:$DC,'CWO Bulan Ini'!$DJ:$DJ,'Area-Cabang'!$B66,'CWO Bulan Ini'!$DH:$DH,'Area-Cabang'!$E66,'CWO Bulan Ini'!$CZ:$CZ,'Area-Cabang'!BX$41)</f>
        <v>0</v>
      </c>
      <c r="BY66" s="56">
        <f>SUMIFS('CWO Bulan Ini'!$DC:$DC,'CWO Bulan Ini'!$DJ:$DJ,'Area-Cabang'!$B66,'CWO Bulan Ini'!$DH:$DH,'Area-Cabang'!$E66,'CWO Bulan Ini'!$CZ:$CZ,'Area-Cabang'!BY$41)</f>
        <v>0</v>
      </c>
      <c r="BZ66" s="56">
        <f>SUMIFS('CWO Bulan Ini'!$DC:$DC,'CWO Bulan Ini'!$DJ:$DJ,'Area-Cabang'!$B66,'CWO Bulan Ini'!$DH:$DH,'Area-Cabang'!$E66,'CWO Bulan Ini'!$CZ:$CZ,'Area-Cabang'!BZ$41)</f>
        <v>0</v>
      </c>
      <c r="CA66" s="56">
        <f>SUMIFS('CWO Bulan Ini'!$DC:$DC,'CWO Bulan Ini'!$DJ:$DJ,'Area-Cabang'!$B66,'CWO Bulan Ini'!$DH:$DH,'Area-Cabang'!$E66,'CWO Bulan Ini'!$CZ:$CZ,'Area-Cabang'!CA$41)</f>
        <v>0</v>
      </c>
      <c r="CB66" s="56">
        <f>SUMIFS('CWO Bulan Ini'!$DC:$DC,'CWO Bulan Ini'!$DJ:$DJ,'Area-Cabang'!$B66,'CWO Bulan Ini'!$DH:$DH,'Area-Cabang'!$E66,'CWO Bulan Ini'!$CZ:$CZ,'Area-Cabang'!CB$41)</f>
        <v>0</v>
      </c>
      <c r="CC66" s="56">
        <f>SUMIFS('CWO Bulan Ini'!$DC:$DC,'CWO Bulan Ini'!$DJ:$DJ,'Area-Cabang'!$B66,'CWO Bulan Ini'!$DH:$DH,'Area-Cabang'!$E66,'CWO Bulan Ini'!$CZ:$CZ,'Area-Cabang'!CC$41)</f>
        <v>0</v>
      </c>
      <c r="CD66" s="56">
        <f>SUMIFS('CWO Bulan Ini'!$DC:$DC,'CWO Bulan Ini'!$DJ:$DJ,'Area-Cabang'!$B66,'CWO Bulan Ini'!$DH:$DH,'Area-Cabang'!$E66,'CWO Bulan Ini'!$CZ:$CZ,'Area-Cabang'!CD$41)</f>
        <v>0</v>
      </c>
      <c r="CE66" s="56">
        <f>SUMIFS('CWO Bulan Ini'!$DC:$DC,'CWO Bulan Ini'!$DJ:$DJ,'Area-Cabang'!$B66,'CWO Bulan Ini'!$DH:$DH,'Area-Cabang'!$E66,'CWO Bulan Ini'!$CZ:$CZ,'Area-Cabang'!CE$41)</f>
        <v>0</v>
      </c>
      <c r="CF66" s="56">
        <f>SUMIFS('CWO Bulan Ini'!$DC:$DC,'CWO Bulan Ini'!$DJ:$DJ,'Area-Cabang'!$B66,'CWO Bulan Ini'!$DH:$DH,'Area-Cabang'!$E66,'CWO Bulan Ini'!$CZ:$CZ,'Area-Cabang'!CF$41)</f>
        <v>0</v>
      </c>
      <c r="CG66" s="56">
        <f>SUMIFS('CWO Bulan Ini'!$DC:$DC,'CWO Bulan Ini'!$DJ:$DJ,'Area-Cabang'!$B66,'CWO Bulan Ini'!$DH:$DH,'Area-Cabang'!$E66,'CWO Bulan Ini'!$CZ:$CZ,'Area-Cabang'!CG$41)</f>
        <v>0</v>
      </c>
      <c r="CH66" s="56">
        <f>SUMIFS('CWO Bulan Ini'!$DC:$DC,'CWO Bulan Ini'!$DJ:$DJ,'Area-Cabang'!$B66,'CWO Bulan Ini'!$DH:$DH,'Area-Cabang'!$E66,'CWO Bulan Ini'!$CZ:$CZ,'Area-Cabang'!CH$41)</f>
        <v>0</v>
      </c>
      <c r="CI66" s="56">
        <f>SUMIFS('CWO Bulan Ini'!$DC:$DC,'CWO Bulan Ini'!$DJ:$DJ,'Area-Cabang'!$B66,'CWO Bulan Ini'!$DH:$DH,'Area-Cabang'!$E66,'CWO Bulan Ini'!$CZ:$CZ,'Area-Cabang'!CI$41)</f>
        <v>0</v>
      </c>
      <c r="CJ66" s="56">
        <f>SUMIFS('CWO Bulan Ini'!$DC:$DC,'CWO Bulan Ini'!$DJ:$DJ,'Area-Cabang'!$B66,'CWO Bulan Ini'!$DH:$DH,'Area-Cabang'!$E66,'CWO Bulan Ini'!$CZ:$CZ,'Area-Cabang'!CJ$41)</f>
        <v>0</v>
      </c>
      <c r="CK66" s="56">
        <f>SUMIFS('CWO Bulan Ini'!$DC:$DC,'CWO Bulan Ini'!$DJ:$DJ,'Area-Cabang'!$B66,'CWO Bulan Ini'!$DH:$DH,'Area-Cabang'!$E66,'CWO Bulan Ini'!$CZ:$CZ,'Area-Cabang'!CK$41)</f>
        <v>0</v>
      </c>
      <c r="CL66" s="56">
        <f>SUMIFS('CWO Bulan Ini'!$DC:$DC,'CWO Bulan Ini'!$DJ:$DJ,'Area-Cabang'!$B66,'CWO Bulan Ini'!$DH:$DH,'Area-Cabang'!$E66,'CWO Bulan Ini'!$CZ:$CZ,'Area-Cabang'!CL$41)</f>
        <v>0</v>
      </c>
      <c r="CM66" s="56">
        <f>SUMIFS('CWO Bulan Ini'!$DC:$DC,'CWO Bulan Ini'!$DJ:$DJ,'Area-Cabang'!$B66,'CWO Bulan Ini'!$DH:$DH,'Area-Cabang'!$E66,'CWO Bulan Ini'!$CZ:$CZ,'Area-Cabang'!CM$41)</f>
        <v>0</v>
      </c>
      <c r="CN66" s="56">
        <f>SUMIFS('CWO Bulan Ini'!$DC:$DC,'CWO Bulan Ini'!$DJ:$DJ,'Area-Cabang'!$B66,'CWO Bulan Ini'!$DH:$DH,'Area-Cabang'!$E66,'CWO Bulan Ini'!$CZ:$CZ,'Area-Cabang'!CN$41)</f>
        <v>0</v>
      </c>
      <c r="CO66" s="56">
        <f>SUMIFS('CWO Bulan Ini'!$DC:$DC,'CWO Bulan Ini'!$DJ:$DJ,'Area-Cabang'!$B66,'CWO Bulan Ini'!$DH:$DH,'Area-Cabang'!$E66,'CWO Bulan Ini'!$CZ:$CZ,'Area-Cabang'!CO$41)</f>
        <v>0</v>
      </c>
      <c r="CP66" s="56">
        <f>SUMIFS('CWO Bulan Ini'!$DC:$DC,'CWO Bulan Ini'!$DJ:$DJ,'Area-Cabang'!$B66,'CWO Bulan Ini'!$DH:$DH,'Area-Cabang'!$E66,'CWO Bulan Ini'!$CZ:$CZ,'Area-Cabang'!CP$41)</f>
        <v>0</v>
      </c>
      <c r="CQ66" s="56">
        <f>SUMIFS('CWO Bulan Ini'!$DC:$DC,'CWO Bulan Ini'!$DJ:$DJ,'Area-Cabang'!$B66,'CWO Bulan Ini'!$DH:$DH,'Area-Cabang'!$E66,'CWO Bulan Ini'!$CZ:$CZ,'Area-Cabang'!CQ$41)</f>
        <v>0</v>
      </c>
      <c r="CR66" s="56">
        <f>SUMIFS('CWO Bulan Ini'!$DC:$DC,'CWO Bulan Ini'!$DJ:$DJ,'Area-Cabang'!$B66,'CWO Bulan Ini'!$DH:$DH,'Area-Cabang'!$E66,'CWO Bulan Ini'!$CZ:$CZ,'Area-Cabang'!CR$41)</f>
        <v>0</v>
      </c>
      <c r="CS66" s="56">
        <f>SUMIFS('CWO Bulan Ini'!$DC:$DC,'CWO Bulan Ini'!$DJ:$DJ,'Area-Cabang'!$B66,'CWO Bulan Ini'!$DH:$DH,'Area-Cabang'!$E66,'CWO Bulan Ini'!$CZ:$CZ,'Area-Cabang'!CS$41)</f>
        <v>0</v>
      </c>
      <c r="CT66" s="57">
        <f>SUMIFS('CWO Bulan Ini'!$DC:$DC,'CWO Bulan Ini'!$DJ:$DJ,'Area-Cabang'!$B66,'CWO Bulan Ini'!$DH:$DH,'Area-Cabang'!$E66,'CWO Bulan Ini'!$CZ:$CZ,'Area-Cabang'!CT$41)</f>
        <v>0</v>
      </c>
      <c r="CV66" s="97">
        <f t="shared" ref="CV66:CV67" si="1805">SUM(F66:AJ66)</f>
        <v>184.42906199999999</v>
      </c>
      <c r="CW66" s="98">
        <f t="shared" ref="CW66:CW67" si="1806">SUM(AK66:BO66)</f>
        <v>184.42906199999999</v>
      </c>
      <c r="CX66" s="98">
        <f t="shared" ref="CX66:CX67" si="1807">SUM(BP66:CT66)</f>
        <v>0</v>
      </c>
      <c r="CY66" s="98">
        <f t="shared" ref="CY66:CY67" si="1808">CV66-CW66-CX66</f>
        <v>0</v>
      </c>
      <c r="CZ66" s="105">
        <f t="shared" ref="CZ66:CZ67" si="1809">CY66+CW66</f>
        <v>184.42906199999999</v>
      </c>
    </row>
    <row r="67" spans="1:104" ht="15" customHeight="1" x14ac:dyDescent="0.25">
      <c r="A67" s="58" t="s">
        <v>474</v>
      </c>
      <c r="B67" s="58" t="s">
        <v>158</v>
      </c>
      <c r="C67" s="250"/>
      <c r="D67" s="244"/>
      <c r="E67" s="40" t="s">
        <v>349</v>
      </c>
      <c r="F67" s="41">
        <f>SUMIFS('CWO Bulan Ini'!$DA:$DA,'CWO Bulan Ini'!$DJ:$DJ,'Area-Cabang'!$B67,'CWO Bulan Ini'!$DH:$DH,'Area-Cabang'!$E67,'CWO Bulan Ini'!$CZ:$CZ,'Area-Cabang'!F$41)</f>
        <v>0</v>
      </c>
      <c r="G67" s="42">
        <f>SUMIFS('CWO Bulan Ini'!$DA:$DA,'CWO Bulan Ini'!$DJ:$DJ,'Area-Cabang'!$B67,'CWO Bulan Ini'!$DH:$DH,'Area-Cabang'!$E67,'CWO Bulan Ini'!$CZ:$CZ,'Area-Cabang'!G$41)</f>
        <v>0</v>
      </c>
      <c r="H67" s="42">
        <f>SUMIFS('CWO Bulan Ini'!$DA:$DA,'CWO Bulan Ini'!$DJ:$DJ,'Area-Cabang'!$B67,'CWO Bulan Ini'!$DH:$DH,'Area-Cabang'!$E67,'CWO Bulan Ini'!$CZ:$CZ,'Area-Cabang'!H$41)</f>
        <v>0</v>
      </c>
      <c r="I67" s="42">
        <f>SUMIFS('CWO Bulan Ini'!$DA:$DA,'CWO Bulan Ini'!$DJ:$DJ,'Area-Cabang'!$B67,'CWO Bulan Ini'!$DH:$DH,'Area-Cabang'!$E67,'CWO Bulan Ini'!$CZ:$CZ,'Area-Cabang'!I$41)</f>
        <v>0</v>
      </c>
      <c r="J67" s="42">
        <f>SUMIFS('CWO Bulan Ini'!$DA:$DA,'CWO Bulan Ini'!$DJ:$DJ,'Area-Cabang'!$B67,'CWO Bulan Ini'!$DH:$DH,'Area-Cabang'!$E67,'CWO Bulan Ini'!$CZ:$CZ,'Area-Cabang'!J$41)</f>
        <v>0</v>
      </c>
      <c r="K67" s="42">
        <f>SUMIFS('CWO Bulan Ini'!$DA:$DA,'CWO Bulan Ini'!$DJ:$DJ,'Area-Cabang'!$B67,'CWO Bulan Ini'!$DH:$DH,'Area-Cabang'!$E67,'CWO Bulan Ini'!$CZ:$CZ,'Area-Cabang'!K$41)</f>
        <v>0</v>
      </c>
      <c r="L67" s="42">
        <f>SUMIFS('CWO Bulan Ini'!$DA:$DA,'CWO Bulan Ini'!$DJ:$DJ,'Area-Cabang'!$B67,'CWO Bulan Ini'!$DH:$DH,'Area-Cabang'!$E67,'CWO Bulan Ini'!$CZ:$CZ,'Area-Cabang'!L$41)</f>
        <v>0</v>
      </c>
      <c r="M67" s="42">
        <f>SUMIFS('CWO Bulan Ini'!$DA:$DA,'CWO Bulan Ini'!$DJ:$DJ,'Area-Cabang'!$B67,'CWO Bulan Ini'!$DH:$DH,'Area-Cabang'!$E67,'CWO Bulan Ini'!$CZ:$CZ,'Area-Cabang'!M$41)</f>
        <v>0</v>
      </c>
      <c r="N67" s="42">
        <f>SUMIFS('CWO Bulan Ini'!$DA:$DA,'CWO Bulan Ini'!$DJ:$DJ,'Area-Cabang'!$B67,'CWO Bulan Ini'!$DH:$DH,'Area-Cabang'!$E67,'CWO Bulan Ini'!$CZ:$CZ,'Area-Cabang'!N$41)</f>
        <v>0</v>
      </c>
      <c r="O67" s="42">
        <f>SUMIFS('CWO Bulan Ini'!$DA:$DA,'CWO Bulan Ini'!$DJ:$DJ,'Area-Cabang'!$B67,'CWO Bulan Ini'!$DH:$DH,'Area-Cabang'!$E67,'CWO Bulan Ini'!$CZ:$CZ,'Area-Cabang'!O$41)</f>
        <v>0</v>
      </c>
      <c r="P67" s="42">
        <f>SUMIFS('CWO Bulan Ini'!$DA:$DA,'CWO Bulan Ini'!$DJ:$DJ,'Area-Cabang'!$B67,'CWO Bulan Ini'!$DH:$DH,'Area-Cabang'!$E67,'CWO Bulan Ini'!$CZ:$CZ,'Area-Cabang'!P$41)</f>
        <v>0</v>
      </c>
      <c r="Q67" s="42">
        <f>SUMIFS('CWO Bulan Ini'!$DA:$DA,'CWO Bulan Ini'!$DJ:$DJ,'Area-Cabang'!$B67,'CWO Bulan Ini'!$DH:$DH,'Area-Cabang'!$E67,'CWO Bulan Ini'!$CZ:$CZ,'Area-Cabang'!Q$41)</f>
        <v>0</v>
      </c>
      <c r="R67" s="42">
        <f>SUMIFS('CWO Bulan Ini'!$DA:$DA,'CWO Bulan Ini'!$DJ:$DJ,'Area-Cabang'!$B67,'CWO Bulan Ini'!$DH:$DH,'Area-Cabang'!$E67,'CWO Bulan Ini'!$CZ:$CZ,'Area-Cabang'!R$41)</f>
        <v>0</v>
      </c>
      <c r="S67" s="42">
        <f>SUMIFS('CWO Bulan Ini'!$DA:$DA,'CWO Bulan Ini'!$DJ:$DJ,'Area-Cabang'!$B67,'CWO Bulan Ini'!$DH:$DH,'Area-Cabang'!$E67,'CWO Bulan Ini'!$CZ:$CZ,'Area-Cabang'!S$41)</f>
        <v>0</v>
      </c>
      <c r="T67" s="42">
        <f>SUMIFS('CWO Bulan Ini'!$DA:$DA,'CWO Bulan Ini'!$DJ:$DJ,'Area-Cabang'!$B67,'CWO Bulan Ini'!$DH:$DH,'Area-Cabang'!$E67,'CWO Bulan Ini'!$CZ:$CZ,'Area-Cabang'!T$41)</f>
        <v>0</v>
      </c>
      <c r="U67" s="42">
        <f>SUMIFS('CWO Bulan Ini'!$DA:$DA,'CWO Bulan Ini'!$DJ:$DJ,'Area-Cabang'!$B67,'CWO Bulan Ini'!$DH:$DH,'Area-Cabang'!$E67,'CWO Bulan Ini'!$CZ:$CZ,'Area-Cabang'!U$41)</f>
        <v>0</v>
      </c>
      <c r="V67" s="42">
        <f>SUMIFS('CWO Bulan Ini'!$DA:$DA,'CWO Bulan Ini'!$DJ:$DJ,'Area-Cabang'!$B67,'CWO Bulan Ini'!$DH:$DH,'Area-Cabang'!$E67,'CWO Bulan Ini'!$CZ:$CZ,'Area-Cabang'!V$41)</f>
        <v>0</v>
      </c>
      <c r="W67" s="42">
        <f>SUMIFS('CWO Bulan Ini'!$DA:$DA,'CWO Bulan Ini'!$DJ:$DJ,'Area-Cabang'!$B67,'CWO Bulan Ini'!$DH:$DH,'Area-Cabang'!$E67,'CWO Bulan Ini'!$CZ:$CZ,'Area-Cabang'!W$41)</f>
        <v>0</v>
      </c>
      <c r="X67" s="42">
        <f>SUMIFS('CWO Bulan Ini'!$DA:$DA,'CWO Bulan Ini'!$DJ:$DJ,'Area-Cabang'!$B67,'CWO Bulan Ini'!$DH:$DH,'Area-Cabang'!$E67,'CWO Bulan Ini'!$CZ:$CZ,'Area-Cabang'!X$41)</f>
        <v>0</v>
      </c>
      <c r="Y67" s="42">
        <f>SUMIFS('CWO Bulan Ini'!$DA:$DA,'CWO Bulan Ini'!$DJ:$DJ,'Area-Cabang'!$B67,'CWO Bulan Ini'!$DH:$DH,'Area-Cabang'!$E67,'CWO Bulan Ini'!$CZ:$CZ,'Area-Cabang'!Y$41)</f>
        <v>0</v>
      </c>
      <c r="Z67" s="42">
        <f>SUMIFS('CWO Bulan Ini'!$DA:$DA,'CWO Bulan Ini'!$DJ:$DJ,'Area-Cabang'!$B67,'CWO Bulan Ini'!$DH:$DH,'Area-Cabang'!$E67,'CWO Bulan Ini'!$CZ:$CZ,'Area-Cabang'!Z$41)</f>
        <v>0</v>
      </c>
      <c r="AA67" s="42">
        <f>SUMIFS('CWO Bulan Ini'!$DA:$DA,'CWO Bulan Ini'!$DJ:$DJ,'Area-Cabang'!$B67,'CWO Bulan Ini'!$DH:$DH,'Area-Cabang'!$E67,'CWO Bulan Ini'!$CZ:$CZ,'Area-Cabang'!AA$41)</f>
        <v>0</v>
      </c>
      <c r="AB67" s="42">
        <f>SUMIFS('CWO Bulan Ini'!$DA:$DA,'CWO Bulan Ini'!$DJ:$DJ,'Area-Cabang'!$B67,'CWO Bulan Ini'!$DH:$DH,'Area-Cabang'!$E67,'CWO Bulan Ini'!$CZ:$CZ,'Area-Cabang'!AB$41)</f>
        <v>0</v>
      </c>
      <c r="AC67" s="42">
        <f>SUMIFS('CWO Bulan Ini'!$DA:$DA,'CWO Bulan Ini'!$DJ:$DJ,'Area-Cabang'!$B67,'CWO Bulan Ini'!$DH:$DH,'Area-Cabang'!$E67,'CWO Bulan Ini'!$CZ:$CZ,'Area-Cabang'!AC$41)</f>
        <v>0</v>
      </c>
      <c r="AD67" s="42">
        <f>SUMIFS('CWO Bulan Ini'!$DA:$DA,'CWO Bulan Ini'!$DJ:$DJ,'Area-Cabang'!$B67,'CWO Bulan Ini'!$DH:$DH,'Area-Cabang'!$E67,'CWO Bulan Ini'!$CZ:$CZ,'Area-Cabang'!AD$41)</f>
        <v>0</v>
      </c>
      <c r="AE67" s="42">
        <f>SUMIFS('CWO Bulan Ini'!$DA:$DA,'CWO Bulan Ini'!$DJ:$DJ,'Area-Cabang'!$B67,'CWO Bulan Ini'!$DH:$DH,'Area-Cabang'!$E67,'CWO Bulan Ini'!$CZ:$CZ,'Area-Cabang'!AE$41)</f>
        <v>0</v>
      </c>
      <c r="AF67" s="42">
        <f>SUMIFS('CWO Bulan Ini'!$DA:$DA,'CWO Bulan Ini'!$DJ:$DJ,'Area-Cabang'!$B67,'CWO Bulan Ini'!$DH:$DH,'Area-Cabang'!$E67,'CWO Bulan Ini'!$CZ:$CZ,'Area-Cabang'!AF$41)</f>
        <v>0</v>
      </c>
      <c r="AG67" s="42">
        <f>SUMIFS('CWO Bulan Ini'!$DA:$DA,'CWO Bulan Ini'!$DJ:$DJ,'Area-Cabang'!$B67,'CWO Bulan Ini'!$DH:$DH,'Area-Cabang'!$E67,'CWO Bulan Ini'!$CZ:$CZ,'Area-Cabang'!AG$41)</f>
        <v>0</v>
      </c>
      <c r="AH67" s="42">
        <f>SUMIFS('CWO Bulan Ini'!$DA:$DA,'CWO Bulan Ini'!$DJ:$DJ,'Area-Cabang'!$B67,'CWO Bulan Ini'!$DH:$DH,'Area-Cabang'!$E67,'CWO Bulan Ini'!$CZ:$CZ,'Area-Cabang'!AH$41)</f>
        <v>0</v>
      </c>
      <c r="AI67" s="42">
        <f>SUMIFS('CWO Bulan Ini'!$DA:$DA,'CWO Bulan Ini'!$DJ:$DJ,'Area-Cabang'!$B67,'CWO Bulan Ini'!$DH:$DH,'Area-Cabang'!$E67,'CWO Bulan Ini'!$CZ:$CZ,'Area-Cabang'!AI$41)</f>
        <v>0</v>
      </c>
      <c r="AJ67" s="42">
        <f>SUMIFS('CWO Bulan Ini'!$DA:$DA,'CWO Bulan Ini'!$DJ:$DJ,'Area-Cabang'!$B67,'CWO Bulan Ini'!$DH:$DH,'Area-Cabang'!$E67,'CWO Bulan Ini'!$CZ:$CZ,'Area-Cabang'!AJ$41)</f>
        <v>0</v>
      </c>
      <c r="AK67" s="41">
        <f>SUMIFS('CWO Bulan Ini'!$DD:$DD,'CWO Bulan Ini'!$DJ:$DJ,'Area-Cabang'!$B67,'CWO Bulan Ini'!$DH:$DH,'Area-Cabang'!$E67,'CWO Bulan Ini'!$CZ:$CZ,'Area-Cabang'!AK$41)</f>
        <v>0</v>
      </c>
      <c r="AL67" s="42">
        <f>SUMIFS('CWO Bulan Ini'!$DD:$DD,'CWO Bulan Ini'!$DJ:$DJ,'Area-Cabang'!$B67,'CWO Bulan Ini'!$DH:$DH,'Area-Cabang'!$E67,'CWO Bulan Ini'!$CZ:$CZ,'Area-Cabang'!AL$41)</f>
        <v>0</v>
      </c>
      <c r="AM67" s="42">
        <f>SUMIFS('CWO Bulan Ini'!$DD:$DD,'CWO Bulan Ini'!$DJ:$DJ,'Area-Cabang'!$B67,'CWO Bulan Ini'!$DH:$DH,'Area-Cabang'!$E67,'CWO Bulan Ini'!$CZ:$CZ,'Area-Cabang'!AM$41)</f>
        <v>0</v>
      </c>
      <c r="AN67" s="42">
        <f>SUMIFS('CWO Bulan Ini'!$DD:$DD,'CWO Bulan Ini'!$DJ:$DJ,'Area-Cabang'!$B67,'CWO Bulan Ini'!$DH:$DH,'Area-Cabang'!$E67,'CWO Bulan Ini'!$CZ:$CZ,'Area-Cabang'!AN$41)</f>
        <v>0</v>
      </c>
      <c r="AO67" s="42">
        <f>SUMIFS('CWO Bulan Ini'!$DD:$DD,'CWO Bulan Ini'!$DJ:$DJ,'Area-Cabang'!$B67,'CWO Bulan Ini'!$DH:$DH,'Area-Cabang'!$E67,'CWO Bulan Ini'!$CZ:$CZ,'Area-Cabang'!AO$41)</f>
        <v>0</v>
      </c>
      <c r="AP67" s="42">
        <f>SUMIFS('CWO Bulan Ini'!$DD:$DD,'CWO Bulan Ini'!$DJ:$DJ,'Area-Cabang'!$B67,'CWO Bulan Ini'!$DH:$DH,'Area-Cabang'!$E67,'CWO Bulan Ini'!$CZ:$CZ,'Area-Cabang'!AP$41)</f>
        <v>0</v>
      </c>
      <c r="AQ67" s="42">
        <f>SUMIFS('CWO Bulan Ini'!$DD:$DD,'CWO Bulan Ini'!$DJ:$DJ,'Area-Cabang'!$B67,'CWO Bulan Ini'!$DH:$DH,'Area-Cabang'!$E67,'CWO Bulan Ini'!$CZ:$CZ,'Area-Cabang'!AQ$41)</f>
        <v>0</v>
      </c>
      <c r="AR67" s="42">
        <f>SUMIFS('CWO Bulan Ini'!$DD:$DD,'CWO Bulan Ini'!$DJ:$DJ,'Area-Cabang'!$B67,'CWO Bulan Ini'!$DH:$DH,'Area-Cabang'!$E67,'CWO Bulan Ini'!$CZ:$CZ,'Area-Cabang'!AR$41)</f>
        <v>0</v>
      </c>
      <c r="AS67" s="42">
        <f>SUMIFS('CWO Bulan Ini'!$DD:$DD,'CWO Bulan Ini'!$DJ:$DJ,'Area-Cabang'!$B67,'CWO Bulan Ini'!$DH:$DH,'Area-Cabang'!$E67,'CWO Bulan Ini'!$CZ:$CZ,'Area-Cabang'!AS$41)</f>
        <v>0</v>
      </c>
      <c r="AT67" s="42">
        <f>SUMIFS('CWO Bulan Ini'!$DD:$DD,'CWO Bulan Ini'!$DJ:$DJ,'Area-Cabang'!$B67,'CWO Bulan Ini'!$DH:$DH,'Area-Cabang'!$E67,'CWO Bulan Ini'!$CZ:$CZ,'Area-Cabang'!AT$41)</f>
        <v>0</v>
      </c>
      <c r="AU67" s="42">
        <f>SUMIFS('CWO Bulan Ini'!$DD:$DD,'CWO Bulan Ini'!$DJ:$DJ,'Area-Cabang'!$B67,'CWO Bulan Ini'!$DH:$DH,'Area-Cabang'!$E67,'CWO Bulan Ini'!$CZ:$CZ,'Area-Cabang'!AU$41)</f>
        <v>0</v>
      </c>
      <c r="AV67" s="42">
        <f>SUMIFS('CWO Bulan Ini'!$DD:$DD,'CWO Bulan Ini'!$DJ:$DJ,'Area-Cabang'!$B67,'CWO Bulan Ini'!$DH:$DH,'Area-Cabang'!$E67,'CWO Bulan Ini'!$CZ:$CZ,'Area-Cabang'!AV$41)</f>
        <v>0</v>
      </c>
      <c r="AW67" s="42">
        <f>SUMIFS('CWO Bulan Ini'!$DD:$DD,'CWO Bulan Ini'!$DJ:$DJ,'Area-Cabang'!$B67,'CWO Bulan Ini'!$DH:$DH,'Area-Cabang'!$E67,'CWO Bulan Ini'!$CZ:$CZ,'Area-Cabang'!AW$41)</f>
        <v>0</v>
      </c>
      <c r="AX67" s="42">
        <f>SUMIFS('CWO Bulan Ini'!$DD:$DD,'CWO Bulan Ini'!$DJ:$DJ,'Area-Cabang'!$B67,'CWO Bulan Ini'!$DH:$DH,'Area-Cabang'!$E67,'CWO Bulan Ini'!$CZ:$CZ,'Area-Cabang'!AX$41)</f>
        <v>0</v>
      </c>
      <c r="AY67" s="42">
        <f>SUMIFS('CWO Bulan Ini'!$DD:$DD,'CWO Bulan Ini'!$DJ:$DJ,'Area-Cabang'!$B67,'CWO Bulan Ini'!$DH:$DH,'Area-Cabang'!$E67,'CWO Bulan Ini'!$CZ:$CZ,'Area-Cabang'!AY$41)</f>
        <v>0</v>
      </c>
      <c r="AZ67" s="42">
        <f>SUMIFS('CWO Bulan Ini'!$DD:$DD,'CWO Bulan Ini'!$DJ:$DJ,'Area-Cabang'!$B67,'CWO Bulan Ini'!$DH:$DH,'Area-Cabang'!$E67,'CWO Bulan Ini'!$CZ:$CZ,'Area-Cabang'!AZ$41)</f>
        <v>0</v>
      </c>
      <c r="BA67" s="42">
        <f>SUMIFS('CWO Bulan Ini'!$DD:$DD,'CWO Bulan Ini'!$DJ:$DJ,'Area-Cabang'!$B67,'CWO Bulan Ini'!$DH:$DH,'Area-Cabang'!$E67,'CWO Bulan Ini'!$CZ:$CZ,'Area-Cabang'!BA$41)</f>
        <v>0</v>
      </c>
      <c r="BB67" s="42">
        <f>SUMIFS('CWO Bulan Ini'!$DD:$DD,'CWO Bulan Ini'!$DJ:$DJ,'Area-Cabang'!$B67,'CWO Bulan Ini'!$DH:$DH,'Area-Cabang'!$E67,'CWO Bulan Ini'!$CZ:$CZ,'Area-Cabang'!BB$41)</f>
        <v>0</v>
      </c>
      <c r="BC67" s="42">
        <f>SUMIFS('CWO Bulan Ini'!$DD:$DD,'CWO Bulan Ini'!$DJ:$DJ,'Area-Cabang'!$B67,'CWO Bulan Ini'!$DH:$DH,'Area-Cabang'!$E67,'CWO Bulan Ini'!$CZ:$CZ,'Area-Cabang'!BC$41)</f>
        <v>0</v>
      </c>
      <c r="BD67" s="42">
        <f>SUMIFS('CWO Bulan Ini'!$DD:$DD,'CWO Bulan Ini'!$DJ:$DJ,'Area-Cabang'!$B67,'CWO Bulan Ini'!$DH:$DH,'Area-Cabang'!$E67,'CWO Bulan Ini'!$CZ:$CZ,'Area-Cabang'!BD$41)</f>
        <v>0</v>
      </c>
      <c r="BE67" s="42">
        <f>SUMIFS('CWO Bulan Ini'!$DD:$DD,'CWO Bulan Ini'!$DJ:$DJ,'Area-Cabang'!$B67,'CWO Bulan Ini'!$DH:$DH,'Area-Cabang'!$E67,'CWO Bulan Ini'!$CZ:$CZ,'Area-Cabang'!BE$41)</f>
        <v>0</v>
      </c>
      <c r="BF67" s="42">
        <f>SUMIFS('CWO Bulan Ini'!$DD:$DD,'CWO Bulan Ini'!$DJ:$DJ,'Area-Cabang'!$B67,'CWO Bulan Ini'!$DH:$DH,'Area-Cabang'!$E67,'CWO Bulan Ini'!$CZ:$CZ,'Area-Cabang'!BF$41)</f>
        <v>0</v>
      </c>
      <c r="BG67" s="42">
        <f>SUMIFS('CWO Bulan Ini'!$DD:$DD,'CWO Bulan Ini'!$DJ:$DJ,'Area-Cabang'!$B67,'CWO Bulan Ini'!$DH:$DH,'Area-Cabang'!$E67,'CWO Bulan Ini'!$CZ:$CZ,'Area-Cabang'!BG$41)</f>
        <v>0</v>
      </c>
      <c r="BH67" s="42">
        <f>SUMIFS('CWO Bulan Ini'!$DD:$DD,'CWO Bulan Ini'!$DJ:$DJ,'Area-Cabang'!$B67,'CWO Bulan Ini'!$DH:$DH,'Area-Cabang'!$E67,'CWO Bulan Ini'!$CZ:$CZ,'Area-Cabang'!BH$41)</f>
        <v>0</v>
      </c>
      <c r="BI67" s="42">
        <f>SUMIFS('CWO Bulan Ini'!$DD:$DD,'CWO Bulan Ini'!$DJ:$DJ,'Area-Cabang'!$B67,'CWO Bulan Ini'!$DH:$DH,'Area-Cabang'!$E67,'CWO Bulan Ini'!$CZ:$CZ,'Area-Cabang'!BI$41)</f>
        <v>0</v>
      </c>
      <c r="BJ67" s="42">
        <f>SUMIFS('CWO Bulan Ini'!$DD:$DD,'CWO Bulan Ini'!$DJ:$DJ,'Area-Cabang'!$B67,'CWO Bulan Ini'!$DH:$DH,'Area-Cabang'!$E67,'CWO Bulan Ini'!$CZ:$CZ,'Area-Cabang'!BJ$41)</f>
        <v>0</v>
      </c>
      <c r="BK67" s="42">
        <f>SUMIFS('CWO Bulan Ini'!$DD:$DD,'CWO Bulan Ini'!$DJ:$DJ,'Area-Cabang'!$B67,'CWO Bulan Ini'!$DH:$DH,'Area-Cabang'!$E67,'CWO Bulan Ini'!$CZ:$CZ,'Area-Cabang'!BK$41)</f>
        <v>0</v>
      </c>
      <c r="BL67" s="42">
        <f>SUMIFS('CWO Bulan Ini'!$DD:$DD,'CWO Bulan Ini'!$DJ:$DJ,'Area-Cabang'!$B67,'CWO Bulan Ini'!$DH:$DH,'Area-Cabang'!$E67,'CWO Bulan Ini'!$CZ:$CZ,'Area-Cabang'!BL$41)</f>
        <v>0</v>
      </c>
      <c r="BM67" s="42">
        <f>SUMIFS('CWO Bulan Ini'!$DD:$DD,'CWO Bulan Ini'!$DJ:$DJ,'Area-Cabang'!$B67,'CWO Bulan Ini'!$DH:$DH,'Area-Cabang'!$E67,'CWO Bulan Ini'!$CZ:$CZ,'Area-Cabang'!BM$41)</f>
        <v>0</v>
      </c>
      <c r="BN67" s="42">
        <f>SUMIFS('CWO Bulan Ini'!$DD:$DD,'CWO Bulan Ini'!$DJ:$DJ,'Area-Cabang'!$B67,'CWO Bulan Ini'!$DH:$DH,'Area-Cabang'!$E67,'CWO Bulan Ini'!$CZ:$CZ,'Area-Cabang'!BN$41)</f>
        <v>0</v>
      </c>
      <c r="BO67" s="43">
        <f>SUMIFS('CWO Bulan Ini'!$DD:$DD,'CWO Bulan Ini'!$DJ:$DJ,'Area-Cabang'!$B67,'CWO Bulan Ini'!$DH:$DH,'Area-Cabang'!$E67,'CWO Bulan Ini'!$CZ:$CZ,'Area-Cabang'!BO$41)</f>
        <v>0</v>
      </c>
      <c r="BP67" s="41">
        <f>SUMIFS('CWO Bulan Ini'!$DC:$DC,'CWO Bulan Ini'!$DJ:$DJ,'Area-Cabang'!$B67,'CWO Bulan Ini'!$DH:$DH,'Area-Cabang'!$E67,'CWO Bulan Ini'!$CZ:$CZ,'Area-Cabang'!BP$41)</f>
        <v>0</v>
      </c>
      <c r="BQ67" s="42">
        <f>SUMIFS('CWO Bulan Ini'!$DC:$DC,'CWO Bulan Ini'!$DJ:$DJ,'Area-Cabang'!$B67,'CWO Bulan Ini'!$DH:$DH,'Area-Cabang'!$E67,'CWO Bulan Ini'!$CZ:$CZ,'Area-Cabang'!BQ$41)</f>
        <v>0</v>
      </c>
      <c r="BR67" s="42">
        <f>SUMIFS('CWO Bulan Ini'!$DC:$DC,'CWO Bulan Ini'!$DJ:$DJ,'Area-Cabang'!$B67,'CWO Bulan Ini'!$DH:$DH,'Area-Cabang'!$E67,'CWO Bulan Ini'!$CZ:$CZ,'Area-Cabang'!BR$41)</f>
        <v>0</v>
      </c>
      <c r="BS67" s="42">
        <f>SUMIFS('CWO Bulan Ini'!$DC:$DC,'CWO Bulan Ini'!$DJ:$DJ,'Area-Cabang'!$B67,'CWO Bulan Ini'!$DH:$DH,'Area-Cabang'!$E67,'CWO Bulan Ini'!$CZ:$CZ,'Area-Cabang'!BS$41)</f>
        <v>0</v>
      </c>
      <c r="BT67" s="42">
        <f>SUMIFS('CWO Bulan Ini'!$DC:$DC,'CWO Bulan Ini'!$DJ:$DJ,'Area-Cabang'!$B67,'CWO Bulan Ini'!$DH:$DH,'Area-Cabang'!$E67,'CWO Bulan Ini'!$CZ:$CZ,'Area-Cabang'!BT$41)</f>
        <v>0</v>
      </c>
      <c r="BU67" s="42">
        <f>SUMIFS('CWO Bulan Ini'!$DC:$DC,'CWO Bulan Ini'!$DJ:$DJ,'Area-Cabang'!$B67,'CWO Bulan Ini'!$DH:$DH,'Area-Cabang'!$E67,'CWO Bulan Ini'!$CZ:$CZ,'Area-Cabang'!BU$41)</f>
        <v>0</v>
      </c>
      <c r="BV67" s="42">
        <f>SUMIFS('CWO Bulan Ini'!$DC:$DC,'CWO Bulan Ini'!$DJ:$DJ,'Area-Cabang'!$B67,'CWO Bulan Ini'!$DH:$DH,'Area-Cabang'!$E67,'CWO Bulan Ini'!$CZ:$CZ,'Area-Cabang'!BV$41)</f>
        <v>0</v>
      </c>
      <c r="BW67" s="42">
        <f>SUMIFS('CWO Bulan Ini'!$DC:$DC,'CWO Bulan Ini'!$DJ:$DJ,'Area-Cabang'!$B67,'CWO Bulan Ini'!$DH:$DH,'Area-Cabang'!$E67,'CWO Bulan Ini'!$CZ:$CZ,'Area-Cabang'!BW$41)</f>
        <v>0</v>
      </c>
      <c r="BX67" s="42">
        <f>SUMIFS('CWO Bulan Ini'!$DC:$DC,'CWO Bulan Ini'!$DJ:$DJ,'Area-Cabang'!$B67,'CWO Bulan Ini'!$DH:$DH,'Area-Cabang'!$E67,'CWO Bulan Ini'!$CZ:$CZ,'Area-Cabang'!BX$41)</f>
        <v>0</v>
      </c>
      <c r="BY67" s="42">
        <f>SUMIFS('CWO Bulan Ini'!$DC:$DC,'CWO Bulan Ini'!$DJ:$DJ,'Area-Cabang'!$B67,'CWO Bulan Ini'!$DH:$DH,'Area-Cabang'!$E67,'CWO Bulan Ini'!$CZ:$CZ,'Area-Cabang'!BY$41)</f>
        <v>0</v>
      </c>
      <c r="BZ67" s="42">
        <f>SUMIFS('CWO Bulan Ini'!$DC:$DC,'CWO Bulan Ini'!$DJ:$DJ,'Area-Cabang'!$B67,'CWO Bulan Ini'!$DH:$DH,'Area-Cabang'!$E67,'CWO Bulan Ini'!$CZ:$CZ,'Area-Cabang'!BZ$41)</f>
        <v>0</v>
      </c>
      <c r="CA67" s="42">
        <f>SUMIFS('CWO Bulan Ini'!$DC:$DC,'CWO Bulan Ini'!$DJ:$DJ,'Area-Cabang'!$B67,'CWO Bulan Ini'!$DH:$DH,'Area-Cabang'!$E67,'CWO Bulan Ini'!$CZ:$CZ,'Area-Cabang'!CA$41)</f>
        <v>0</v>
      </c>
      <c r="CB67" s="42">
        <f>SUMIFS('CWO Bulan Ini'!$DC:$DC,'CWO Bulan Ini'!$DJ:$DJ,'Area-Cabang'!$B67,'CWO Bulan Ini'!$DH:$DH,'Area-Cabang'!$E67,'CWO Bulan Ini'!$CZ:$CZ,'Area-Cabang'!CB$41)</f>
        <v>0</v>
      </c>
      <c r="CC67" s="42">
        <f>SUMIFS('CWO Bulan Ini'!$DC:$DC,'CWO Bulan Ini'!$DJ:$DJ,'Area-Cabang'!$B67,'CWO Bulan Ini'!$DH:$DH,'Area-Cabang'!$E67,'CWO Bulan Ini'!$CZ:$CZ,'Area-Cabang'!CC$41)</f>
        <v>0</v>
      </c>
      <c r="CD67" s="42">
        <f>SUMIFS('CWO Bulan Ini'!$DC:$DC,'CWO Bulan Ini'!$DJ:$DJ,'Area-Cabang'!$B67,'CWO Bulan Ini'!$DH:$DH,'Area-Cabang'!$E67,'CWO Bulan Ini'!$CZ:$CZ,'Area-Cabang'!CD$41)</f>
        <v>0</v>
      </c>
      <c r="CE67" s="42">
        <f>SUMIFS('CWO Bulan Ini'!$DC:$DC,'CWO Bulan Ini'!$DJ:$DJ,'Area-Cabang'!$B67,'CWO Bulan Ini'!$DH:$DH,'Area-Cabang'!$E67,'CWO Bulan Ini'!$CZ:$CZ,'Area-Cabang'!CE$41)</f>
        <v>0</v>
      </c>
      <c r="CF67" s="42">
        <f>SUMIFS('CWO Bulan Ini'!$DC:$DC,'CWO Bulan Ini'!$DJ:$DJ,'Area-Cabang'!$B67,'CWO Bulan Ini'!$DH:$DH,'Area-Cabang'!$E67,'CWO Bulan Ini'!$CZ:$CZ,'Area-Cabang'!CF$41)</f>
        <v>0</v>
      </c>
      <c r="CG67" s="42">
        <f>SUMIFS('CWO Bulan Ini'!$DC:$DC,'CWO Bulan Ini'!$DJ:$DJ,'Area-Cabang'!$B67,'CWO Bulan Ini'!$DH:$DH,'Area-Cabang'!$E67,'CWO Bulan Ini'!$CZ:$CZ,'Area-Cabang'!CG$41)</f>
        <v>0</v>
      </c>
      <c r="CH67" s="42">
        <f>SUMIFS('CWO Bulan Ini'!$DC:$DC,'CWO Bulan Ini'!$DJ:$DJ,'Area-Cabang'!$B67,'CWO Bulan Ini'!$DH:$DH,'Area-Cabang'!$E67,'CWO Bulan Ini'!$CZ:$CZ,'Area-Cabang'!CH$41)</f>
        <v>0</v>
      </c>
      <c r="CI67" s="42">
        <f>SUMIFS('CWO Bulan Ini'!$DC:$DC,'CWO Bulan Ini'!$DJ:$DJ,'Area-Cabang'!$B67,'CWO Bulan Ini'!$DH:$DH,'Area-Cabang'!$E67,'CWO Bulan Ini'!$CZ:$CZ,'Area-Cabang'!CI$41)</f>
        <v>0</v>
      </c>
      <c r="CJ67" s="42">
        <f>SUMIFS('CWO Bulan Ini'!$DC:$DC,'CWO Bulan Ini'!$DJ:$DJ,'Area-Cabang'!$B67,'CWO Bulan Ini'!$DH:$DH,'Area-Cabang'!$E67,'CWO Bulan Ini'!$CZ:$CZ,'Area-Cabang'!CJ$41)</f>
        <v>0</v>
      </c>
      <c r="CK67" s="42">
        <f>SUMIFS('CWO Bulan Ini'!$DC:$DC,'CWO Bulan Ini'!$DJ:$DJ,'Area-Cabang'!$B67,'CWO Bulan Ini'!$DH:$DH,'Area-Cabang'!$E67,'CWO Bulan Ini'!$CZ:$CZ,'Area-Cabang'!CK$41)</f>
        <v>0</v>
      </c>
      <c r="CL67" s="42">
        <f>SUMIFS('CWO Bulan Ini'!$DC:$DC,'CWO Bulan Ini'!$DJ:$DJ,'Area-Cabang'!$B67,'CWO Bulan Ini'!$DH:$DH,'Area-Cabang'!$E67,'CWO Bulan Ini'!$CZ:$CZ,'Area-Cabang'!CL$41)</f>
        <v>0</v>
      </c>
      <c r="CM67" s="42">
        <f>SUMIFS('CWO Bulan Ini'!$DC:$DC,'CWO Bulan Ini'!$DJ:$DJ,'Area-Cabang'!$B67,'CWO Bulan Ini'!$DH:$DH,'Area-Cabang'!$E67,'CWO Bulan Ini'!$CZ:$CZ,'Area-Cabang'!CM$41)</f>
        <v>0</v>
      </c>
      <c r="CN67" s="42">
        <f>SUMIFS('CWO Bulan Ini'!$DC:$DC,'CWO Bulan Ini'!$DJ:$DJ,'Area-Cabang'!$B67,'CWO Bulan Ini'!$DH:$DH,'Area-Cabang'!$E67,'CWO Bulan Ini'!$CZ:$CZ,'Area-Cabang'!CN$41)</f>
        <v>0</v>
      </c>
      <c r="CO67" s="42">
        <f>SUMIFS('CWO Bulan Ini'!$DC:$DC,'CWO Bulan Ini'!$DJ:$DJ,'Area-Cabang'!$B67,'CWO Bulan Ini'!$DH:$DH,'Area-Cabang'!$E67,'CWO Bulan Ini'!$CZ:$CZ,'Area-Cabang'!CO$41)</f>
        <v>0</v>
      </c>
      <c r="CP67" s="42">
        <f>SUMIFS('CWO Bulan Ini'!$DC:$DC,'CWO Bulan Ini'!$DJ:$DJ,'Area-Cabang'!$B67,'CWO Bulan Ini'!$DH:$DH,'Area-Cabang'!$E67,'CWO Bulan Ini'!$CZ:$CZ,'Area-Cabang'!CP$41)</f>
        <v>0</v>
      </c>
      <c r="CQ67" s="42">
        <f>SUMIFS('CWO Bulan Ini'!$DC:$DC,'CWO Bulan Ini'!$DJ:$DJ,'Area-Cabang'!$B67,'CWO Bulan Ini'!$DH:$DH,'Area-Cabang'!$E67,'CWO Bulan Ini'!$CZ:$CZ,'Area-Cabang'!CQ$41)</f>
        <v>0</v>
      </c>
      <c r="CR67" s="42">
        <f>SUMIFS('CWO Bulan Ini'!$DC:$DC,'CWO Bulan Ini'!$DJ:$DJ,'Area-Cabang'!$B67,'CWO Bulan Ini'!$DH:$DH,'Area-Cabang'!$E67,'CWO Bulan Ini'!$CZ:$CZ,'Area-Cabang'!CR$41)</f>
        <v>0</v>
      </c>
      <c r="CS67" s="42">
        <f>SUMIFS('CWO Bulan Ini'!$DC:$DC,'CWO Bulan Ini'!$DJ:$DJ,'Area-Cabang'!$B67,'CWO Bulan Ini'!$DH:$DH,'Area-Cabang'!$E67,'CWO Bulan Ini'!$CZ:$CZ,'Area-Cabang'!CS$41)</f>
        <v>0</v>
      </c>
      <c r="CT67" s="43">
        <f>SUMIFS('CWO Bulan Ini'!$DC:$DC,'CWO Bulan Ini'!$DJ:$DJ,'Area-Cabang'!$B67,'CWO Bulan Ini'!$DH:$DH,'Area-Cabang'!$E67,'CWO Bulan Ini'!$CZ:$CZ,'Area-Cabang'!CT$41)</f>
        <v>0</v>
      </c>
      <c r="CV67" s="96">
        <f t="shared" si="1805"/>
        <v>0</v>
      </c>
      <c r="CW67" s="93">
        <f t="shared" si="1806"/>
        <v>0</v>
      </c>
      <c r="CX67" s="93">
        <f t="shared" si="1807"/>
        <v>0</v>
      </c>
      <c r="CY67" s="93">
        <f t="shared" si="1808"/>
        <v>0</v>
      </c>
      <c r="CZ67" s="106">
        <f t="shared" si="1809"/>
        <v>0</v>
      </c>
    </row>
    <row r="68" spans="1:104" ht="15" customHeight="1" x14ac:dyDescent="0.25">
      <c r="A68" s="58" t="s">
        <v>474</v>
      </c>
      <c r="B68" s="53" t="s">
        <v>815</v>
      </c>
      <c r="C68" s="250"/>
      <c r="D68" s="227" t="s">
        <v>815</v>
      </c>
      <c r="E68" s="228"/>
      <c r="F68" s="219">
        <f t="shared" ref="F68" si="1810">SUM(F66:F67)</f>
        <v>0</v>
      </c>
      <c r="G68" s="220">
        <f t="shared" ref="G68" si="1811">SUM(G66:G67)</f>
        <v>0</v>
      </c>
      <c r="H68" s="220">
        <f t="shared" ref="H68" si="1812">SUM(H66:H67)</f>
        <v>0</v>
      </c>
      <c r="I68" s="220">
        <f t="shared" ref="I68" si="1813">SUM(I66:I67)</f>
        <v>184.42906199999999</v>
      </c>
      <c r="J68" s="220">
        <f t="shared" ref="J68" si="1814">SUM(J66:J67)</f>
        <v>0</v>
      </c>
      <c r="K68" s="220">
        <f t="shared" ref="K68" si="1815">SUM(K66:K67)</f>
        <v>0</v>
      </c>
      <c r="L68" s="220">
        <f t="shared" ref="L68" si="1816">SUM(L66:L67)</f>
        <v>0</v>
      </c>
      <c r="M68" s="220">
        <f t="shared" ref="M68" si="1817">SUM(M66:M67)</f>
        <v>0</v>
      </c>
      <c r="N68" s="220">
        <f t="shared" ref="N68" si="1818">SUM(N66:N67)</f>
        <v>0</v>
      </c>
      <c r="O68" s="220">
        <f t="shared" ref="O68" si="1819">SUM(O66:O67)</f>
        <v>0</v>
      </c>
      <c r="P68" s="220">
        <f t="shared" ref="P68" si="1820">SUM(P66:P67)</f>
        <v>0</v>
      </c>
      <c r="Q68" s="220">
        <f t="shared" ref="Q68" si="1821">SUM(Q66:Q67)</f>
        <v>0</v>
      </c>
      <c r="R68" s="220">
        <f t="shared" ref="R68" si="1822">SUM(R66:R67)</f>
        <v>0</v>
      </c>
      <c r="S68" s="220">
        <f t="shared" ref="S68" si="1823">SUM(S66:S67)</f>
        <v>0</v>
      </c>
      <c r="T68" s="220">
        <f t="shared" ref="T68" si="1824">SUM(T66:T67)</f>
        <v>0</v>
      </c>
      <c r="U68" s="220">
        <f t="shared" ref="U68" si="1825">SUM(U66:U67)</f>
        <v>0</v>
      </c>
      <c r="V68" s="220">
        <f t="shared" ref="V68" si="1826">SUM(V66:V67)</f>
        <v>0</v>
      </c>
      <c r="W68" s="220">
        <f t="shared" ref="W68" si="1827">SUM(W66:W67)</f>
        <v>0</v>
      </c>
      <c r="X68" s="220">
        <f t="shared" ref="X68" si="1828">SUM(X66:X67)</f>
        <v>0</v>
      </c>
      <c r="Y68" s="220">
        <f t="shared" ref="Y68" si="1829">SUM(Y66:Y67)</f>
        <v>0</v>
      </c>
      <c r="Z68" s="220">
        <f t="shared" ref="Z68" si="1830">SUM(Z66:Z67)</f>
        <v>0</v>
      </c>
      <c r="AA68" s="220">
        <f t="shared" ref="AA68" si="1831">SUM(AA66:AA67)</f>
        <v>0</v>
      </c>
      <c r="AB68" s="220">
        <f t="shared" ref="AB68" si="1832">SUM(AB66:AB67)</f>
        <v>0</v>
      </c>
      <c r="AC68" s="220">
        <f t="shared" ref="AC68" si="1833">SUM(AC66:AC67)</f>
        <v>0</v>
      </c>
      <c r="AD68" s="220">
        <f t="shared" ref="AD68" si="1834">SUM(AD66:AD67)</f>
        <v>0</v>
      </c>
      <c r="AE68" s="220">
        <f t="shared" ref="AE68" si="1835">SUM(AE66:AE67)</f>
        <v>0</v>
      </c>
      <c r="AF68" s="220">
        <f t="shared" ref="AF68" si="1836">SUM(AF66:AF67)</f>
        <v>0</v>
      </c>
      <c r="AG68" s="220">
        <f t="shared" ref="AG68" si="1837">SUM(AG66:AG67)</f>
        <v>0</v>
      </c>
      <c r="AH68" s="220">
        <f t="shared" ref="AH68" si="1838">SUM(AH66:AH67)</f>
        <v>0</v>
      </c>
      <c r="AI68" s="220">
        <f t="shared" ref="AI68" si="1839">SUM(AI66:AI67)</f>
        <v>0</v>
      </c>
      <c r="AJ68" s="220">
        <f t="shared" ref="AJ68" si="1840">SUM(AJ66:AJ67)</f>
        <v>0</v>
      </c>
      <c r="AK68" s="219">
        <f t="shared" ref="AK68" si="1841">SUM(AK66:AK67)</f>
        <v>0</v>
      </c>
      <c r="AL68" s="220">
        <f t="shared" ref="AL68" si="1842">SUM(AL66:AL67)</f>
        <v>0</v>
      </c>
      <c r="AM68" s="220">
        <f t="shared" ref="AM68" si="1843">SUM(AM66:AM67)</f>
        <v>0</v>
      </c>
      <c r="AN68" s="220">
        <f t="shared" ref="AN68" si="1844">SUM(AN66:AN67)</f>
        <v>184.42906199999999</v>
      </c>
      <c r="AO68" s="220">
        <f t="shared" ref="AO68" si="1845">SUM(AO66:AO67)</f>
        <v>0</v>
      </c>
      <c r="AP68" s="220">
        <f t="shared" ref="AP68" si="1846">SUM(AP66:AP67)</f>
        <v>0</v>
      </c>
      <c r="AQ68" s="220">
        <f t="shared" ref="AQ68" si="1847">SUM(AQ66:AQ67)</f>
        <v>0</v>
      </c>
      <c r="AR68" s="220">
        <f t="shared" ref="AR68" si="1848">SUM(AR66:AR67)</f>
        <v>0</v>
      </c>
      <c r="AS68" s="220">
        <f t="shared" ref="AS68" si="1849">SUM(AS66:AS67)</f>
        <v>0</v>
      </c>
      <c r="AT68" s="220">
        <f t="shared" ref="AT68" si="1850">SUM(AT66:AT67)</f>
        <v>0</v>
      </c>
      <c r="AU68" s="220">
        <f t="shared" ref="AU68" si="1851">SUM(AU66:AU67)</f>
        <v>0</v>
      </c>
      <c r="AV68" s="220">
        <f t="shared" ref="AV68" si="1852">SUM(AV66:AV67)</f>
        <v>0</v>
      </c>
      <c r="AW68" s="220">
        <f t="shared" ref="AW68" si="1853">SUM(AW66:AW67)</f>
        <v>0</v>
      </c>
      <c r="AX68" s="220">
        <f t="shared" ref="AX68" si="1854">SUM(AX66:AX67)</f>
        <v>0</v>
      </c>
      <c r="AY68" s="220">
        <f t="shared" ref="AY68" si="1855">SUM(AY66:AY67)</f>
        <v>0</v>
      </c>
      <c r="AZ68" s="220">
        <f t="shared" ref="AZ68" si="1856">SUM(AZ66:AZ67)</f>
        <v>0</v>
      </c>
      <c r="BA68" s="220">
        <f t="shared" ref="BA68" si="1857">SUM(BA66:BA67)</f>
        <v>0</v>
      </c>
      <c r="BB68" s="220">
        <f t="shared" ref="BB68" si="1858">SUM(BB66:BB67)</f>
        <v>0</v>
      </c>
      <c r="BC68" s="220">
        <f t="shared" ref="BC68" si="1859">SUM(BC66:BC67)</f>
        <v>0</v>
      </c>
      <c r="BD68" s="220">
        <f t="shared" ref="BD68" si="1860">SUM(BD66:BD67)</f>
        <v>0</v>
      </c>
      <c r="BE68" s="220">
        <f t="shared" ref="BE68" si="1861">SUM(BE66:BE67)</f>
        <v>0</v>
      </c>
      <c r="BF68" s="220">
        <f t="shared" ref="BF68" si="1862">SUM(BF66:BF67)</f>
        <v>0</v>
      </c>
      <c r="BG68" s="220">
        <f t="shared" ref="BG68" si="1863">SUM(BG66:BG67)</f>
        <v>0</v>
      </c>
      <c r="BH68" s="220">
        <f t="shared" ref="BH68" si="1864">SUM(BH66:BH67)</f>
        <v>0</v>
      </c>
      <c r="BI68" s="220">
        <f t="shared" ref="BI68" si="1865">SUM(BI66:BI67)</f>
        <v>0</v>
      </c>
      <c r="BJ68" s="220">
        <f t="shared" ref="BJ68" si="1866">SUM(BJ66:BJ67)</f>
        <v>0</v>
      </c>
      <c r="BK68" s="220">
        <f t="shared" ref="BK68" si="1867">SUM(BK66:BK67)</f>
        <v>0</v>
      </c>
      <c r="BL68" s="220">
        <f t="shared" ref="BL68" si="1868">SUM(BL66:BL67)</f>
        <v>0</v>
      </c>
      <c r="BM68" s="220">
        <f t="shared" ref="BM68" si="1869">SUM(BM66:BM67)</f>
        <v>0</v>
      </c>
      <c r="BN68" s="220">
        <f t="shared" ref="BN68" si="1870">SUM(BN66:BN67)</f>
        <v>0</v>
      </c>
      <c r="BO68" s="221">
        <f t="shared" ref="BO68" si="1871">SUM(BO66:BO67)</f>
        <v>0</v>
      </c>
      <c r="BP68" s="219">
        <f t="shared" ref="BP68" si="1872">SUM(BP66:BP67)</f>
        <v>0</v>
      </c>
      <c r="BQ68" s="220">
        <f t="shared" ref="BQ68" si="1873">SUM(BQ66:BQ67)</f>
        <v>0</v>
      </c>
      <c r="BR68" s="220">
        <f t="shared" ref="BR68" si="1874">SUM(BR66:BR67)</f>
        <v>0</v>
      </c>
      <c r="BS68" s="220">
        <f t="shared" ref="BS68" si="1875">SUM(BS66:BS67)</f>
        <v>0</v>
      </c>
      <c r="BT68" s="220">
        <f t="shared" ref="BT68" si="1876">SUM(BT66:BT67)</f>
        <v>0</v>
      </c>
      <c r="BU68" s="220">
        <f t="shared" ref="BU68" si="1877">SUM(BU66:BU67)</f>
        <v>0</v>
      </c>
      <c r="BV68" s="220">
        <f t="shared" ref="BV68" si="1878">SUM(BV66:BV67)</f>
        <v>0</v>
      </c>
      <c r="BW68" s="220">
        <f t="shared" ref="BW68" si="1879">SUM(BW66:BW67)</f>
        <v>0</v>
      </c>
      <c r="BX68" s="220">
        <f t="shared" ref="BX68" si="1880">SUM(BX66:BX67)</f>
        <v>0</v>
      </c>
      <c r="BY68" s="220">
        <f t="shared" ref="BY68" si="1881">SUM(BY66:BY67)</f>
        <v>0</v>
      </c>
      <c r="BZ68" s="220">
        <f t="shared" ref="BZ68" si="1882">SUM(BZ66:BZ67)</f>
        <v>0</v>
      </c>
      <c r="CA68" s="220">
        <f t="shared" ref="CA68" si="1883">SUM(CA66:CA67)</f>
        <v>0</v>
      </c>
      <c r="CB68" s="220">
        <f t="shared" ref="CB68" si="1884">SUM(CB66:CB67)</f>
        <v>0</v>
      </c>
      <c r="CC68" s="220">
        <f t="shared" ref="CC68" si="1885">SUM(CC66:CC67)</f>
        <v>0</v>
      </c>
      <c r="CD68" s="220">
        <f t="shared" ref="CD68" si="1886">SUM(CD66:CD67)</f>
        <v>0</v>
      </c>
      <c r="CE68" s="220">
        <f t="shared" ref="CE68" si="1887">SUM(CE66:CE67)</f>
        <v>0</v>
      </c>
      <c r="CF68" s="220">
        <f t="shared" ref="CF68" si="1888">SUM(CF66:CF67)</f>
        <v>0</v>
      </c>
      <c r="CG68" s="220">
        <f t="shared" ref="CG68" si="1889">SUM(CG66:CG67)</f>
        <v>0</v>
      </c>
      <c r="CH68" s="220">
        <f t="shared" ref="CH68" si="1890">SUM(CH66:CH67)</f>
        <v>0</v>
      </c>
      <c r="CI68" s="220">
        <f t="shared" ref="CI68" si="1891">SUM(CI66:CI67)</f>
        <v>0</v>
      </c>
      <c r="CJ68" s="220">
        <f t="shared" ref="CJ68" si="1892">SUM(CJ66:CJ67)</f>
        <v>0</v>
      </c>
      <c r="CK68" s="220">
        <f t="shared" ref="CK68" si="1893">SUM(CK66:CK67)</f>
        <v>0</v>
      </c>
      <c r="CL68" s="220">
        <f t="shared" ref="CL68" si="1894">SUM(CL66:CL67)</f>
        <v>0</v>
      </c>
      <c r="CM68" s="220">
        <f t="shared" ref="CM68" si="1895">SUM(CM66:CM67)</f>
        <v>0</v>
      </c>
      <c r="CN68" s="220">
        <f t="shared" ref="CN68" si="1896">SUM(CN66:CN67)</f>
        <v>0</v>
      </c>
      <c r="CO68" s="220">
        <f t="shared" ref="CO68" si="1897">SUM(CO66:CO67)</f>
        <v>0</v>
      </c>
      <c r="CP68" s="220">
        <f t="shared" ref="CP68" si="1898">SUM(CP66:CP67)</f>
        <v>0</v>
      </c>
      <c r="CQ68" s="220">
        <f t="shared" ref="CQ68" si="1899">SUM(CQ66:CQ67)</f>
        <v>0</v>
      </c>
      <c r="CR68" s="220">
        <f t="shared" ref="CR68" si="1900">SUM(CR66:CR67)</f>
        <v>0</v>
      </c>
      <c r="CS68" s="220">
        <f t="shared" ref="CS68" si="1901">SUM(CS66:CS67)</f>
        <v>0</v>
      </c>
      <c r="CT68" s="221">
        <f t="shared" ref="CT68" si="1902">SUM(CT66:CT67)</f>
        <v>0</v>
      </c>
      <c r="CU68" s="226"/>
      <c r="CV68" s="219">
        <f t="shared" ref="CV68" si="1903">SUM(CV66:CV67)</f>
        <v>184.42906199999999</v>
      </c>
      <c r="CW68" s="220">
        <f t="shared" ref="CW68" si="1904">SUM(CW66:CW67)</f>
        <v>184.42906199999999</v>
      </c>
      <c r="CX68" s="220">
        <f t="shared" ref="CX68" si="1905">SUM(CX66:CX67)</f>
        <v>0</v>
      </c>
      <c r="CY68" s="220">
        <f t="shared" ref="CY68" si="1906">SUM(CY66:CY67)</f>
        <v>0</v>
      </c>
      <c r="CZ68" s="222">
        <f t="shared" ref="CZ68" si="1907">SUM(CZ66:CZ67)</f>
        <v>184.42906199999999</v>
      </c>
    </row>
    <row r="69" spans="1:104" ht="15" customHeight="1" x14ac:dyDescent="0.25">
      <c r="A69" s="58" t="s">
        <v>474</v>
      </c>
      <c r="B69" s="53" t="s">
        <v>299</v>
      </c>
      <c r="C69" s="250"/>
      <c r="D69" s="245" t="s">
        <v>299</v>
      </c>
      <c r="E69" s="85" t="s">
        <v>132</v>
      </c>
      <c r="F69" s="55">
        <f>SUMIFS('CWO Bulan Ini'!$DA:$DA,'CWO Bulan Ini'!$DJ:$DJ,'Area-Cabang'!$B69,'CWO Bulan Ini'!$DH:$DH,'Area-Cabang'!$E69,'CWO Bulan Ini'!$CZ:$CZ,'Area-Cabang'!F$41)</f>
        <v>0</v>
      </c>
      <c r="G69" s="56">
        <f>SUMIFS('CWO Bulan Ini'!$DA:$DA,'CWO Bulan Ini'!$DJ:$DJ,'Area-Cabang'!$B69,'CWO Bulan Ini'!$DH:$DH,'Area-Cabang'!$E69,'CWO Bulan Ini'!$CZ:$CZ,'Area-Cabang'!G$41)</f>
        <v>0</v>
      </c>
      <c r="H69" s="56">
        <f>SUMIFS('CWO Bulan Ini'!$DA:$DA,'CWO Bulan Ini'!$DJ:$DJ,'Area-Cabang'!$B69,'CWO Bulan Ini'!$DH:$DH,'Area-Cabang'!$E69,'CWO Bulan Ini'!$CZ:$CZ,'Area-Cabang'!H$41)</f>
        <v>0</v>
      </c>
      <c r="I69" s="56">
        <f>SUMIFS('CWO Bulan Ini'!$DA:$DA,'CWO Bulan Ini'!$DJ:$DJ,'Area-Cabang'!$B69,'CWO Bulan Ini'!$DH:$DH,'Area-Cabang'!$E69,'CWO Bulan Ini'!$CZ:$CZ,'Area-Cabang'!I$41)</f>
        <v>0</v>
      </c>
      <c r="J69" s="56">
        <f>SUMIFS('CWO Bulan Ini'!$DA:$DA,'CWO Bulan Ini'!$DJ:$DJ,'Area-Cabang'!$B69,'CWO Bulan Ini'!$DH:$DH,'Area-Cabang'!$E69,'CWO Bulan Ini'!$CZ:$CZ,'Area-Cabang'!J$41)</f>
        <v>0</v>
      </c>
      <c r="K69" s="56">
        <f>SUMIFS('CWO Bulan Ini'!$DA:$DA,'CWO Bulan Ini'!$DJ:$DJ,'Area-Cabang'!$B69,'CWO Bulan Ini'!$DH:$DH,'Area-Cabang'!$E69,'CWO Bulan Ini'!$CZ:$CZ,'Area-Cabang'!K$41)</f>
        <v>0</v>
      </c>
      <c r="L69" s="56">
        <f>SUMIFS('CWO Bulan Ini'!$DA:$DA,'CWO Bulan Ini'!$DJ:$DJ,'Area-Cabang'!$B69,'CWO Bulan Ini'!$DH:$DH,'Area-Cabang'!$E69,'CWO Bulan Ini'!$CZ:$CZ,'Area-Cabang'!L$41)</f>
        <v>0</v>
      </c>
      <c r="M69" s="56">
        <f>SUMIFS('CWO Bulan Ini'!$DA:$DA,'CWO Bulan Ini'!$DJ:$DJ,'Area-Cabang'!$B69,'CWO Bulan Ini'!$DH:$DH,'Area-Cabang'!$E69,'CWO Bulan Ini'!$CZ:$CZ,'Area-Cabang'!M$41)</f>
        <v>0</v>
      </c>
      <c r="N69" s="56">
        <f>SUMIFS('CWO Bulan Ini'!$DA:$DA,'CWO Bulan Ini'!$DJ:$DJ,'Area-Cabang'!$B69,'CWO Bulan Ini'!$DH:$DH,'Area-Cabang'!$E69,'CWO Bulan Ini'!$CZ:$CZ,'Area-Cabang'!N$41)</f>
        <v>0</v>
      </c>
      <c r="O69" s="56">
        <f>SUMIFS('CWO Bulan Ini'!$DA:$DA,'CWO Bulan Ini'!$DJ:$DJ,'Area-Cabang'!$B69,'CWO Bulan Ini'!$DH:$DH,'Area-Cabang'!$E69,'CWO Bulan Ini'!$CZ:$CZ,'Area-Cabang'!O$41)</f>
        <v>0</v>
      </c>
      <c r="P69" s="56">
        <f>SUMIFS('CWO Bulan Ini'!$DA:$DA,'CWO Bulan Ini'!$DJ:$DJ,'Area-Cabang'!$B69,'CWO Bulan Ini'!$DH:$DH,'Area-Cabang'!$E69,'CWO Bulan Ini'!$CZ:$CZ,'Area-Cabang'!P$41)</f>
        <v>0</v>
      </c>
      <c r="Q69" s="56">
        <f>SUMIFS('CWO Bulan Ini'!$DA:$DA,'CWO Bulan Ini'!$DJ:$DJ,'Area-Cabang'!$B69,'CWO Bulan Ini'!$DH:$DH,'Area-Cabang'!$E69,'CWO Bulan Ini'!$CZ:$CZ,'Area-Cabang'!Q$41)</f>
        <v>0</v>
      </c>
      <c r="R69" s="56">
        <f>SUMIFS('CWO Bulan Ini'!$DA:$DA,'CWO Bulan Ini'!$DJ:$DJ,'Area-Cabang'!$B69,'CWO Bulan Ini'!$DH:$DH,'Area-Cabang'!$E69,'CWO Bulan Ini'!$CZ:$CZ,'Area-Cabang'!R$41)</f>
        <v>0</v>
      </c>
      <c r="S69" s="56">
        <f>SUMIFS('CWO Bulan Ini'!$DA:$DA,'CWO Bulan Ini'!$DJ:$DJ,'Area-Cabang'!$B69,'CWO Bulan Ini'!$DH:$DH,'Area-Cabang'!$E69,'CWO Bulan Ini'!$CZ:$CZ,'Area-Cabang'!S$41)</f>
        <v>0</v>
      </c>
      <c r="T69" s="56">
        <f>SUMIFS('CWO Bulan Ini'!$DA:$DA,'CWO Bulan Ini'!$DJ:$DJ,'Area-Cabang'!$B69,'CWO Bulan Ini'!$DH:$DH,'Area-Cabang'!$E69,'CWO Bulan Ini'!$CZ:$CZ,'Area-Cabang'!T$41)</f>
        <v>0</v>
      </c>
      <c r="U69" s="56">
        <f>SUMIFS('CWO Bulan Ini'!$DA:$DA,'CWO Bulan Ini'!$DJ:$DJ,'Area-Cabang'!$B69,'CWO Bulan Ini'!$DH:$DH,'Area-Cabang'!$E69,'CWO Bulan Ini'!$CZ:$CZ,'Area-Cabang'!U$41)</f>
        <v>0</v>
      </c>
      <c r="V69" s="56">
        <f>SUMIFS('CWO Bulan Ini'!$DA:$DA,'CWO Bulan Ini'!$DJ:$DJ,'Area-Cabang'!$B69,'CWO Bulan Ini'!$DH:$DH,'Area-Cabang'!$E69,'CWO Bulan Ini'!$CZ:$CZ,'Area-Cabang'!V$41)</f>
        <v>0</v>
      </c>
      <c r="W69" s="56">
        <f>SUMIFS('CWO Bulan Ini'!$DA:$DA,'CWO Bulan Ini'!$DJ:$DJ,'Area-Cabang'!$B69,'CWO Bulan Ini'!$DH:$DH,'Area-Cabang'!$E69,'CWO Bulan Ini'!$CZ:$CZ,'Area-Cabang'!W$41)</f>
        <v>0</v>
      </c>
      <c r="X69" s="56">
        <f>SUMIFS('CWO Bulan Ini'!$DA:$DA,'CWO Bulan Ini'!$DJ:$DJ,'Area-Cabang'!$B69,'CWO Bulan Ini'!$DH:$DH,'Area-Cabang'!$E69,'CWO Bulan Ini'!$CZ:$CZ,'Area-Cabang'!X$41)</f>
        <v>0</v>
      </c>
      <c r="Y69" s="56">
        <f>SUMIFS('CWO Bulan Ini'!$DA:$DA,'CWO Bulan Ini'!$DJ:$DJ,'Area-Cabang'!$B69,'CWO Bulan Ini'!$DH:$DH,'Area-Cabang'!$E69,'CWO Bulan Ini'!$CZ:$CZ,'Area-Cabang'!Y$41)</f>
        <v>0</v>
      </c>
      <c r="Z69" s="56">
        <f>SUMIFS('CWO Bulan Ini'!$DA:$DA,'CWO Bulan Ini'!$DJ:$DJ,'Area-Cabang'!$B69,'CWO Bulan Ini'!$DH:$DH,'Area-Cabang'!$E69,'CWO Bulan Ini'!$CZ:$CZ,'Area-Cabang'!Z$41)</f>
        <v>0</v>
      </c>
      <c r="AA69" s="56">
        <f>SUMIFS('CWO Bulan Ini'!$DA:$DA,'CWO Bulan Ini'!$DJ:$DJ,'Area-Cabang'!$B69,'CWO Bulan Ini'!$DH:$DH,'Area-Cabang'!$E69,'CWO Bulan Ini'!$CZ:$CZ,'Area-Cabang'!AA$41)</f>
        <v>0</v>
      </c>
      <c r="AB69" s="56">
        <f>SUMIFS('CWO Bulan Ini'!$DA:$DA,'CWO Bulan Ini'!$DJ:$DJ,'Area-Cabang'!$B69,'CWO Bulan Ini'!$DH:$DH,'Area-Cabang'!$E69,'CWO Bulan Ini'!$CZ:$CZ,'Area-Cabang'!AB$41)</f>
        <v>0</v>
      </c>
      <c r="AC69" s="56">
        <f>SUMIFS('CWO Bulan Ini'!$DA:$DA,'CWO Bulan Ini'!$DJ:$DJ,'Area-Cabang'!$B69,'CWO Bulan Ini'!$DH:$DH,'Area-Cabang'!$E69,'CWO Bulan Ini'!$CZ:$CZ,'Area-Cabang'!AC$41)</f>
        <v>0</v>
      </c>
      <c r="AD69" s="56">
        <f>SUMIFS('CWO Bulan Ini'!$DA:$DA,'CWO Bulan Ini'!$DJ:$DJ,'Area-Cabang'!$B69,'CWO Bulan Ini'!$DH:$DH,'Area-Cabang'!$E69,'CWO Bulan Ini'!$CZ:$CZ,'Area-Cabang'!AD$41)</f>
        <v>0</v>
      </c>
      <c r="AE69" s="56">
        <f>SUMIFS('CWO Bulan Ini'!$DA:$DA,'CWO Bulan Ini'!$DJ:$DJ,'Area-Cabang'!$B69,'CWO Bulan Ini'!$DH:$DH,'Area-Cabang'!$E69,'CWO Bulan Ini'!$CZ:$CZ,'Area-Cabang'!AE$41)</f>
        <v>0</v>
      </c>
      <c r="AF69" s="56">
        <f>SUMIFS('CWO Bulan Ini'!$DA:$DA,'CWO Bulan Ini'!$DJ:$DJ,'Area-Cabang'!$B69,'CWO Bulan Ini'!$DH:$DH,'Area-Cabang'!$E69,'CWO Bulan Ini'!$CZ:$CZ,'Area-Cabang'!AF$41)</f>
        <v>0</v>
      </c>
      <c r="AG69" s="56">
        <f>SUMIFS('CWO Bulan Ini'!$DA:$DA,'CWO Bulan Ini'!$DJ:$DJ,'Area-Cabang'!$B69,'CWO Bulan Ini'!$DH:$DH,'Area-Cabang'!$E69,'CWO Bulan Ini'!$CZ:$CZ,'Area-Cabang'!AG$41)</f>
        <v>0</v>
      </c>
      <c r="AH69" s="56">
        <f>SUMIFS('CWO Bulan Ini'!$DA:$DA,'CWO Bulan Ini'!$DJ:$DJ,'Area-Cabang'!$B69,'CWO Bulan Ini'!$DH:$DH,'Area-Cabang'!$E69,'CWO Bulan Ini'!$CZ:$CZ,'Area-Cabang'!AH$41)</f>
        <v>0</v>
      </c>
      <c r="AI69" s="56">
        <f>SUMIFS('CWO Bulan Ini'!$DA:$DA,'CWO Bulan Ini'!$DJ:$DJ,'Area-Cabang'!$B69,'CWO Bulan Ini'!$DH:$DH,'Area-Cabang'!$E69,'CWO Bulan Ini'!$CZ:$CZ,'Area-Cabang'!AI$41)</f>
        <v>0</v>
      </c>
      <c r="AJ69" s="56">
        <f>SUMIFS('CWO Bulan Ini'!$DA:$DA,'CWO Bulan Ini'!$DJ:$DJ,'Area-Cabang'!$B69,'CWO Bulan Ini'!$DH:$DH,'Area-Cabang'!$E69,'CWO Bulan Ini'!$CZ:$CZ,'Area-Cabang'!AJ$41)</f>
        <v>0</v>
      </c>
      <c r="AK69" s="55">
        <f>SUMIFS('CWO Bulan Ini'!$DD:$DD,'CWO Bulan Ini'!$DJ:$DJ,'Area-Cabang'!$B69,'CWO Bulan Ini'!$DH:$DH,'Area-Cabang'!$E69,'CWO Bulan Ini'!$CZ:$CZ,'Area-Cabang'!AK$41)</f>
        <v>0</v>
      </c>
      <c r="AL69" s="56">
        <f>SUMIFS('CWO Bulan Ini'!$DD:$DD,'CWO Bulan Ini'!$DJ:$DJ,'Area-Cabang'!$B69,'CWO Bulan Ini'!$DH:$DH,'Area-Cabang'!$E69,'CWO Bulan Ini'!$CZ:$CZ,'Area-Cabang'!AL$41)</f>
        <v>0</v>
      </c>
      <c r="AM69" s="56">
        <f>SUMIFS('CWO Bulan Ini'!$DD:$DD,'CWO Bulan Ini'!$DJ:$DJ,'Area-Cabang'!$B69,'CWO Bulan Ini'!$DH:$DH,'Area-Cabang'!$E69,'CWO Bulan Ini'!$CZ:$CZ,'Area-Cabang'!AM$41)</f>
        <v>0</v>
      </c>
      <c r="AN69" s="56">
        <f>SUMIFS('CWO Bulan Ini'!$DD:$DD,'CWO Bulan Ini'!$DJ:$DJ,'Area-Cabang'!$B69,'CWO Bulan Ini'!$DH:$DH,'Area-Cabang'!$E69,'CWO Bulan Ini'!$CZ:$CZ,'Area-Cabang'!AN$41)</f>
        <v>0</v>
      </c>
      <c r="AO69" s="56">
        <f>SUMIFS('CWO Bulan Ini'!$DD:$DD,'CWO Bulan Ini'!$DJ:$DJ,'Area-Cabang'!$B69,'CWO Bulan Ini'!$DH:$DH,'Area-Cabang'!$E69,'CWO Bulan Ini'!$CZ:$CZ,'Area-Cabang'!AO$41)</f>
        <v>0</v>
      </c>
      <c r="AP69" s="56">
        <f>SUMIFS('CWO Bulan Ini'!$DD:$DD,'CWO Bulan Ini'!$DJ:$DJ,'Area-Cabang'!$B69,'CWO Bulan Ini'!$DH:$DH,'Area-Cabang'!$E69,'CWO Bulan Ini'!$CZ:$CZ,'Area-Cabang'!AP$41)</f>
        <v>0</v>
      </c>
      <c r="AQ69" s="56">
        <f>SUMIFS('CWO Bulan Ini'!$DD:$DD,'CWO Bulan Ini'!$DJ:$DJ,'Area-Cabang'!$B69,'CWO Bulan Ini'!$DH:$DH,'Area-Cabang'!$E69,'CWO Bulan Ini'!$CZ:$CZ,'Area-Cabang'!AQ$41)</f>
        <v>0</v>
      </c>
      <c r="AR69" s="56">
        <f>SUMIFS('CWO Bulan Ini'!$DD:$DD,'CWO Bulan Ini'!$DJ:$DJ,'Area-Cabang'!$B69,'CWO Bulan Ini'!$DH:$DH,'Area-Cabang'!$E69,'CWO Bulan Ini'!$CZ:$CZ,'Area-Cabang'!AR$41)</f>
        <v>0</v>
      </c>
      <c r="AS69" s="56">
        <f>SUMIFS('CWO Bulan Ini'!$DD:$DD,'CWO Bulan Ini'!$DJ:$DJ,'Area-Cabang'!$B69,'CWO Bulan Ini'!$DH:$DH,'Area-Cabang'!$E69,'CWO Bulan Ini'!$CZ:$CZ,'Area-Cabang'!AS$41)</f>
        <v>0</v>
      </c>
      <c r="AT69" s="56">
        <f>SUMIFS('CWO Bulan Ini'!$DD:$DD,'CWO Bulan Ini'!$DJ:$DJ,'Area-Cabang'!$B69,'CWO Bulan Ini'!$DH:$DH,'Area-Cabang'!$E69,'CWO Bulan Ini'!$CZ:$CZ,'Area-Cabang'!AT$41)</f>
        <v>0</v>
      </c>
      <c r="AU69" s="56">
        <f>SUMIFS('CWO Bulan Ini'!$DD:$DD,'CWO Bulan Ini'!$DJ:$DJ,'Area-Cabang'!$B69,'CWO Bulan Ini'!$DH:$DH,'Area-Cabang'!$E69,'CWO Bulan Ini'!$CZ:$CZ,'Area-Cabang'!AU$41)</f>
        <v>0</v>
      </c>
      <c r="AV69" s="56">
        <f>SUMIFS('CWO Bulan Ini'!$DD:$DD,'CWO Bulan Ini'!$DJ:$DJ,'Area-Cabang'!$B69,'CWO Bulan Ini'!$DH:$DH,'Area-Cabang'!$E69,'CWO Bulan Ini'!$CZ:$CZ,'Area-Cabang'!AV$41)</f>
        <v>0</v>
      </c>
      <c r="AW69" s="56">
        <f>SUMIFS('CWO Bulan Ini'!$DD:$DD,'CWO Bulan Ini'!$DJ:$DJ,'Area-Cabang'!$B69,'CWO Bulan Ini'!$DH:$DH,'Area-Cabang'!$E69,'CWO Bulan Ini'!$CZ:$CZ,'Area-Cabang'!AW$41)</f>
        <v>0</v>
      </c>
      <c r="AX69" s="56">
        <f>SUMIFS('CWO Bulan Ini'!$DD:$DD,'CWO Bulan Ini'!$DJ:$DJ,'Area-Cabang'!$B69,'CWO Bulan Ini'!$DH:$DH,'Area-Cabang'!$E69,'CWO Bulan Ini'!$CZ:$CZ,'Area-Cabang'!AX$41)</f>
        <v>0</v>
      </c>
      <c r="AY69" s="56">
        <f>SUMIFS('CWO Bulan Ini'!$DD:$DD,'CWO Bulan Ini'!$DJ:$DJ,'Area-Cabang'!$B69,'CWO Bulan Ini'!$DH:$DH,'Area-Cabang'!$E69,'CWO Bulan Ini'!$CZ:$CZ,'Area-Cabang'!AY$41)</f>
        <v>0</v>
      </c>
      <c r="AZ69" s="56">
        <f>SUMIFS('CWO Bulan Ini'!$DD:$DD,'CWO Bulan Ini'!$DJ:$DJ,'Area-Cabang'!$B69,'CWO Bulan Ini'!$DH:$DH,'Area-Cabang'!$E69,'CWO Bulan Ini'!$CZ:$CZ,'Area-Cabang'!AZ$41)</f>
        <v>0</v>
      </c>
      <c r="BA69" s="56">
        <f>SUMIFS('CWO Bulan Ini'!$DD:$DD,'CWO Bulan Ini'!$DJ:$DJ,'Area-Cabang'!$B69,'CWO Bulan Ini'!$DH:$DH,'Area-Cabang'!$E69,'CWO Bulan Ini'!$CZ:$CZ,'Area-Cabang'!BA$41)</f>
        <v>0</v>
      </c>
      <c r="BB69" s="56">
        <f>SUMIFS('CWO Bulan Ini'!$DD:$DD,'CWO Bulan Ini'!$DJ:$DJ,'Area-Cabang'!$B69,'CWO Bulan Ini'!$DH:$DH,'Area-Cabang'!$E69,'CWO Bulan Ini'!$CZ:$CZ,'Area-Cabang'!BB$41)</f>
        <v>0</v>
      </c>
      <c r="BC69" s="56">
        <f>SUMIFS('CWO Bulan Ini'!$DD:$DD,'CWO Bulan Ini'!$DJ:$DJ,'Area-Cabang'!$B69,'CWO Bulan Ini'!$DH:$DH,'Area-Cabang'!$E69,'CWO Bulan Ini'!$CZ:$CZ,'Area-Cabang'!BC$41)</f>
        <v>0</v>
      </c>
      <c r="BD69" s="56">
        <f>SUMIFS('CWO Bulan Ini'!$DD:$DD,'CWO Bulan Ini'!$DJ:$DJ,'Area-Cabang'!$B69,'CWO Bulan Ini'!$DH:$DH,'Area-Cabang'!$E69,'CWO Bulan Ini'!$CZ:$CZ,'Area-Cabang'!BD$41)</f>
        <v>0</v>
      </c>
      <c r="BE69" s="56">
        <f>SUMIFS('CWO Bulan Ini'!$DD:$DD,'CWO Bulan Ini'!$DJ:$DJ,'Area-Cabang'!$B69,'CWO Bulan Ini'!$DH:$DH,'Area-Cabang'!$E69,'CWO Bulan Ini'!$CZ:$CZ,'Area-Cabang'!BE$41)</f>
        <v>0</v>
      </c>
      <c r="BF69" s="56">
        <f>SUMIFS('CWO Bulan Ini'!$DD:$DD,'CWO Bulan Ini'!$DJ:$DJ,'Area-Cabang'!$B69,'CWO Bulan Ini'!$DH:$DH,'Area-Cabang'!$E69,'CWO Bulan Ini'!$CZ:$CZ,'Area-Cabang'!BF$41)</f>
        <v>0</v>
      </c>
      <c r="BG69" s="56">
        <f>SUMIFS('CWO Bulan Ini'!$DD:$DD,'CWO Bulan Ini'!$DJ:$DJ,'Area-Cabang'!$B69,'CWO Bulan Ini'!$DH:$DH,'Area-Cabang'!$E69,'CWO Bulan Ini'!$CZ:$CZ,'Area-Cabang'!BG$41)</f>
        <v>0</v>
      </c>
      <c r="BH69" s="56">
        <f>SUMIFS('CWO Bulan Ini'!$DD:$DD,'CWO Bulan Ini'!$DJ:$DJ,'Area-Cabang'!$B69,'CWO Bulan Ini'!$DH:$DH,'Area-Cabang'!$E69,'CWO Bulan Ini'!$CZ:$CZ,'Area-Cabang'!BH$41)</f>
        <v>0</v>
      </c>
      <c r="BI69" s="56">
        <f>SUMIFS('CWO Bulan Ini'!$DD:$DD,'CWO Bulan Ini'!$DJ:$DJ,'Area-Cabang'!$B69,'CWO Bulan Ini'!$DH:$DH,'Area-Cabang'!$E69,'CWO Bulan Ini'!$CZ:$CZ,'Area-Cabang'!BI$41)</f>
        <v>0</v>
      </c>
      <c r="BJ69" s="56">
        <f>SUMIFS('CWO Bulan Ini'!$DD:$DD,'CWO Bulan Ini'!$DJ:$DJ,'Area-Cabang'!$B69,'CWO Bulan Ini'!$DH:$DH,'Area-Cabang'!$E69,'CWO Bulan Ini'!$CZ:$CZ,'Area-Cabang'!BJ$41)</f>
        <v>0</v>
      </c>
      <c r="BK69" s="56">
        <f>SUMIFS('CWO Bulan Ini'!$DD:$DD,'CWO Bulan Ini'!$DJ:$DJ,'Area-Cabang'!$B69,'CWO Bulan Ini'!$DH:$DH,'Area-Cabang'!$E69,'CWO Bulan Ini'!$CZ:$CZ,'Area-Cabang'!BK$41)</f>
        <v>0</v>
      </c>
      <c r="BL69" s="56">
        <f>SUMIFS('CWO Bulan Ini'!$DD:$DD,'CWO Bulan Ini'!$DJ:$DJ,'Area-Cabang'!$B69,'CWO Bulan Ini'!$DH:$DH,'Area-Cabang'!$E69,'CWO Bulan Ini'!$CZ:$CZ,'Area-Cabang'!BL$41)</f>
        <v>0</v>
      </c>
      <c r="BM69" s="56">
        <f>SUMIFS('CWO Bulan Ini'!$DD:$DD,'CWO Bulan Ini'!$DJ:$DJ,'Area-Cabang'!$B69,'CWO Bulan Ini'!$DH:$DH,'Area-Cabang'!$E69,'CWO Bulan Ini'!$CZ:$CZ,'Area-Cabang'!BM$41)</f>
        <v>0</v>
      </c>
      <c r="BN69" s="56">
        <f>SUMIFS('CWO Bulan Ini'!$DD:$DD,'CWO Bulan Ini'!$DJ:$DJ,'Area-Cabang'!$B69,'CWO Bulan Ini'!$DH:$DH,'Area-Cabang'!$E69,'CWO Bulan Ini'!$CZ:$CZ,'Area-Cabang'!BN$41)</f>
        <v>0</v>
      </c>
      <c r="BO69" s="57">
        <f>SUMIFS('CWO Bulan Ini'!$DD:$DD,'CWO Bulan Ini'!$DJ:$DJ,'Area-Cabang'!$B69,'CWO Bulan Ini'!$DH:$DH,'Area-Cabang'!$E69,'CWO Bulan Ini'!$CZ:$CZ,'Area-Cabang'!BO$41)</f>
        <v>0</v>
      </c>
      <c r="BP69" s="55">
        <f>SUMIFS('CWO Bulan Ini'!$DC:$DC,'CWO Bulan Ini'!$DJ:$DJ,'Area-Cabang'!$B69,'CWO Bulan Ini'!$DH:$DH,'Area-Cabang'!$E69,'CWO Bulan Ini'!$CZ:$CZ,'Area-Cabang'!BP$41)</f>
        <v>0</v>
      </c>
      <c r="BQ69" s="56">
        <f>SUMIFS('CWO Bulan Ini'!$DC:$DC,'CWO Bulan Ini'!$DJ:$DJ,'Area-Cabang'!$B69,'CWO Bulan Ini'!$DH:$DH,'Area-Cabang'!$E69,'CWO Bulan Ini'!$CZ:$CZ,'Area-Cabang'!BQ$41)</f>
        <v>0</v>
      </c>
      <c r="BR69" s="56">
        <f>SUMIFS('CWO Bulan Ini'!$DC:$DC,'CWO Bulan Ini'!$DJ:$DJ,'Area-Cabang'!$B69,'CWO Bulan Ini'!$DH:$DH,'Area-Cabang'!$E69,'CWO Bulan Ini'!$CZ:$CZ,'Area-Cabang'!BR$41)</f>
        <v>0</v>
      </c>
      <c r="BS69" s="56">
        <f>SUMIFS('CWO Bulan Ini'!$DC:$DC,'CWO Bulan Ini'!$DJ:$DJ,'Area-Cabang'!$B69,'CWO Bulan Ini'!$DH:$DH,'Area-Cabang'!$E69,'CWO Bulan Ini'!$CZ:$CZ,'Area-Cabang'!BS$41)</f>
        <v>0</v>
      </c>
      <c r="BT69" s="56">
        <f>SUMIFS('CWO Bulan Ini'!$DC:$DC,'CWO Bulan Ini'!$DJ:$DJ,'Area-Cabang'!$B69,'CWO Bulan Ini'!$DH:$DH,'Area-Cabang'!$E69,'CWO Bulan Ini'!$CZ:$CZ,'Area-Cabang'!BT$41)</f>
        <v>0</v>
      </c>
      <c r="BU69" s="56">
        <f>SUMIFS('CWO Bulan Ini'!$DC:$DC,'CWO Bulan Ini'!$DJ:$DJ,'Area-Cabang'!$B69,'CWO Bulan Ini'!$DH:$DH,'Area-Cabang'!$E69,'CWO Bulan Ini'!$CZ:$CZ,'Area-Cabang'!BU$41)</f>
        <v>0</v>
      </c>
      <c r="BV69" s="56">
        <f>SUMIFS('CWO Bulan Ini'!$DC:$DC,'CWO Bulan Ini'!$DJ:$DJ,'Area-Cabang'!$B69,'CWO Bulan Ini'!$DH:$DH,'Area-Cabang'!$E69,'CWO Bulan Ini'!$CZ:$CZ,'Area-Cabang'!BV$41)</f>
        <v>0</v>
      </c>
      <c r="BW69" s="56">
        <f>SUMIFS('CWO Bulan Ini'!$DC:$DC,'CWO Bulan Ini'!$DJ:$DJ,'Area-Cabang'!$B69,'CWO Bulan Ini'!$DH:$DH,'Area-Cabang'!$E69,'CWO Bulan Ini'!$CZ:$CZ,'Area-Cabang'!BW$41)</f>
        <v>0</v>
      </c>
      <c r="BX69" s="56">
        <f>SUMIFS('CWO Bulan Ini'!$DC:$DC,'CWO Bulan Ini'!$DJ:$DJ,'Area-Cabang'!$B69,'CWO Bulan Ini'!$DH:$DH,'Area-Cabang'!$E69,'CWO Bulan Ini'!$CZ:$CZ,'Area-Cabang'!BX$41)</f>
        <v>0</v>
      </c>
      <c r="BY69" s="56">
        <f>SUMIFS('CWO Bulan Ini'!$DC:$DC,'CWO Bulan Ini'!$DJ:$DJ,'Area-Cabang'!$B69,'CWO Bulan Ini'!$DH:$DH,'Area-Cabang'!$E69,'CWO Bulan Ini'!$CZ:$CZ,'Area-Cabang'!BY$41)</f>
        <v>0</v>
      </c>
      <c r="BZ69" s="56">
        <f>SUMIFS('CWO Bulan Ini'!$DC:$DC,'CWO Bulan Ini'!$DJ:$DJ,'Area-Cabang'!$B69,'CWO Bulan Ini'!$DH:$DH,'Area-Cabang'!$E69,'CWO Bulan Ini'!$CZ:$CZ,'Area-Cabang'!BZ$41)</f>
        <v>0</v>
      </c>
      <c r="CA69" s="56">
        <f>SUMIFS('CWO Bulan Ini'!$DC:$DC,'CWO Bulan Ini'!$DJ:$DJ,'Area-Cabang'!$B69,'CWO Bulan Ini'!$DH:$DH,'Area-Cabang'!$E69,'CWO Bulan Ini'!$CZ:$CZ,'Area-Cabang'!CA$41)</f>
        <v>0</v>
      </c>
      <c r="CB69" s="56">
        <f>SUMIFS('CWO Bulan Ini'!$DC:$DC,'CWO Bulan Ini'!$DJ:$DJ,'Area-Cabang'!$B69,'CWO Bulan Ini'!$DH:$DH,'Area-Cabang'!$E69,'CWO Bulan Ini'!$CZ:$CZ,'Area-Cabang'!CB$41)</f>
        <v>0</v>
      </c>
      <c r="CC69" s="56">
        <f>SUMIFS('CWO Bulan Ini'!$DC:$DC,'CWO Bulan Ini'!$DJ:$DJ,'Area-Cabang'!$B69,'CWO Bulan Ini'!$DH:$DH,'Area-Cabang'!$E69,'CWO Bulan Ini'!$CZ:$CZ,'Area-Cabang'!CC$41)</f>
        <v>0</v>
      </c>
      <c r="CD69" s="56">
        <f>SUMIFS('CWO Bulan Ini'!$DC:$DC,'CWO Bulan Ini'!$DJ:$DJ,'Area-Cabang'!$B69,'CWO Bulan Ini'!$DH:$DH,'Area-Cabang'!$E69,'CWO Bulan Ini'!$CZ:$CZ,'Area-Cabang'!CD$41)</f>
        <v>0</v>
      </c>
      <c r="CE69" s="56">
        <f>SUMIFS('CWO Bulan Ini'!$DC:$DC,'CWO Bulan Ini'!$DJ:$DJ,'Area-Cabang'!$B69,'CWO Bulan Ini'!$DH:$DH,'Area-Cabang'!$E69,'CWO Bulan Ini'!$CZ:$CZ,'Area-Cabang'!CE$41)</f>
        <v>0</v>
      </c>
      <c r="CF69" s="56">
        <f>SUMIFS('CWO Bulan Ini'!$DC:$DC,'CWO Bulan Ini'!$DJ:$DJ,'Area-Cabang'!$B69,'CWO Bulan Ini'!$DH:$DH,'Area-Cabang'!$E69,'CWO Bulan Ini'!$CZ:$CZ,'Area-Cabang'!CF$41)</f>
        <v>0</v>
      </c>
      <c r="CG69" s="56">
        <f>SUMIFS('CWO Bulan Ini'!$DC:$DC,'CWO Bulan Ini'!$DJ:$DJ,'Area-Cabang'!$B69,'CWO Bulan Ini'!$DH:$DH,'Area-Cabang'!$E69,'CWO Bulan Ini'!$CZ:$CZ,'Area-Cabang'!CG$41)</f>
        <v>0</v>
      </c>
      <c r="CH69" s="56">
        <f>SUMIFS('CWO Bulan Ini'!$DC:$DC,'CWO Bulan Ini'!$DJ:$DJ,'Area-Cabang'!$B69,'CWO Bulan Ini'!$DH:$DH,'Area-Cabang'!$E69,'CWO Bulan Ini'!$CZ:$CZ,'Area-Cabang'!CH$41)</f>
        <v>0</v>
      </c>
      <c r="CI69" s="56">
        <f>SUMIFS('CWO Bulan Ini'!$DC:$DC,'CWO Bulan Ini'!$DJ:$DJ,'Area-Cabang'!$B69,'CWO Bulan Ini'!$DH:$DH,'Area-Cabang'!$E69,'CWO Bulan Ini'!$CZ:$CZ,'Area-Cabang'!CI$41)</f>
        <v>0</v>
      </c>
      <c r="CJ69" s="56">
        <f>SUMIFS('CWO Bulan Ini'!$DC:$DC,'CWO Bulan Ini'!$DJ:$DJ,'Area-Cabang'!$B69,'CWO Bulan Ini'!$DH:$DH,'Area-Cabang'!$E69,'CWO Bulan Ini'!$CZ:$CZ,'Area-Cabang'!CJ$41)</f>
        <v>0</v>
      </c>
      <c r="CK69" s="56">
        <f>SUMIFS('CWO Bulan Ini'!$DC:$DC,'CWO Bulan Ini'!$DJ:$DJ,'Area-Cabang'!$B69,'CWO Bulan Ini'!$DH:$DH,'Area-Cabang'!$E69,'CWO Bulan Ini'!$CZ:$CZ,'Area-Cabang'!CK$41)</f>
        <v>0</v>
      </c>
      <c r="CL69" s="56">
        <f>SUMIFS('CWO Bulan Ini'!$DC:$DC,'CWO Bulan Ini'!$DJ:$DJ,'Area-Cabang'!$B69,'CWO Bulan Ini'!$DH:$DH,'Area-Cabang'!$E69,'CWO Bulan Ini'!$CZ:$CZ,'Area-Cabang'!CL$41)</f>
        <v>0</v>
      </c>
      <c r="CM69" s="56">
        <f>SUMIFS('CWO Bulan Ini'!$DC:$DC,'CWO Bulan Ini'!$DJ:$DJ,'Area-Cabang'!$B69,'CWO Bulan Ini'!$DH:$DH,'Area-Cabang'!$E69,'CWO Bulan Ini'!$CZ:$CZ,'Area-Cabang'!CM$41)</f>
        <v>0</v>
      </c>
      <c r="CN69" s="56">
        <f>SUMIFS('CWO Bulan Ini'!$DC:$DC,'CWO Bulan Ini'!$DJ:$DJ,'Area-Cabang'!$B69,'CWO Bulan Ini'!$DH:$DH,'Area-Cabang'!$E69,'CWO Bulan Ini'!$CZ:$CZ,'Area-Cabang'!CN$41)</f>
        <v>0</v>
      </c>
      <c r="CO69" s="56">
        <f>SUMIFS('CWO Bulan Ini'!$DC:$DC,'CWO Bulan Ini'!$DJ:$DJ,'Area-Cabang'!$B69,'CWO Bulan Ini'!$DH:$DH,'Area-Cabang'!$E69,'CWO Bulan Ini'!$CZ:$CZ,'Area-Cabang'!CO$41)</f>
        <v>0</v>
      </c>
      <c r="CP69" s="56">
        <f>SUMIFS('CWO Bulan Ini'!$DC:$DC,'CWO Bulan Ini'!$DJ:$DJ,'Area-Cabang'!$B69,'CWO Bulan Ini'!$DH:$DH,'Area-Cabang'!$E69,'CWO Bulan Ini'!$CZ:$CZ,'Area-Cabang'!CP$41)</f>
        <v>0</v>
      </c>
      <c r="CQ69" s="56">
        <f>SUMIFS('CWO Bulan Ini'!$DC:$DC,'CWO Bulan Ini'!$DJ:$DJ,'Area-Cabang'!$B69,'CWO Bulan Ini'!$DH:$DH,'Area-Cabang'!$E69,'CWO Bulan Ini'!$CZ:$CZ,'Area-Cabang'!CQ$41)</f>
        <v>0</v>
      </c>
      <c r="CR69" s="56">
        <f>SUMIFS('CWO Bulan Ini'!$DC:$DC,'CWO Bulan Ini'!$DJ:$DJ,'Area-Cabang'!$B69,'CWO Bulan Ini'!$DH:$DH,'Area-Cabang'!$E69,'CWO Bulan Ini'!$CZ:$CZ,'Area-Cabang'!CR$41)</f>
        <v>0</v>
      </c>
      <c r="CS69" s="56">
        <f>SUMIFS('CWO Bulan Ini'!$DC:$DC,'CWO Bulan Ini'!$DJ:$DJ,'Area-Cabang'!$B69,'CWO Bulan Ini'!$DH:$DH,'Area-Cabang'!$E69,'CWO Bulan Ini'!$CZ:$CZ,'Area-Cabang'!CS$41)</f>
        <v>0</v>
      </c>
      <c r="CT69" s="57">
        <f>SUMIFS('CWO Bulan Ini'!$DC:$DC,'CWO Bulan Ini'!$DJ:$DJ,'Area-Cabang'!$B69,'CWO Bulan Ini'!$DH:$DH,'Area-Cabang'!$E69,'CWO Bulan Ini'!$CZ:$CZ,'Area-Cabang'!CT$41)</f>
        <v>0</v>
      </c>
      <c r="CV69" s="97">
        <f t="shared" ref="CV69:CV70" si="1908">SUM(F69:AJ69)</f>
        <v>0</v>
      </c>
      <c r="CW69" s="98">
        <f t="shared" ref="CW69:CW70" si="1909">SUM(AK69:BO69)</f>
        <v>0</v>
      </c>
      <c r="CX69" s="98">
        <f t="shared" ref="CX69:CX70" si="1910">SUM(BP69:CT69)</f>
        <v>0</v>
      </c>
      <c r="CY69" s="98">
        <f t="shared" ref="CY69:CY70" si="1911">CV69-CW69-CX69</f>
        <v>0</v>
      </c>
      <c r="CZ69" s="105">
        <f t="shared" ref="CZ69:CZ70" si="1912">CY69+CW69</f>
        <v>0</v>
      </c>
    </row>
    <row r="70" spans="1:104" ht="15" customHeight="1" x14ac:dyDescent="0.25">
      <c r="A70" s="58" t="s">
        <v>474</v>
      </c>
      <c r="B70" s="58" t="s">
        <v>299</v>
      </c>
      <c r="C70" s="250"/>
      <c r="D70" s="244"/>
      <c r="E70" s="40" t="s">
        <v>349</v>
      </c>
      <c r="F70" s="41">
        <f>SUMIFS('CWO Bulan Ini'!$DA:$DA,'CWO Bulan Ini'!$DJ:$DJ,'Area-Cabang'!$B70,'CWO Bulan Ini'!$DH:$DH,'Area-Cabang'!$E70,'CWO Bulan Ini'!$CZ:$CZ,'Area-Cabang'!F$41)</f>
        <v>0</v>
      </c>
      <c r="G70" s="42">
        <f>SUMIFS('CWO Bulan Ini'!$DA:$DA,'CWO Bulan Ini'!$DJ:$DJ,'Area-Cabang'!$B70,'CWO Bulan Ini'!$DH:$DH,'Area-Cabang'!$E70,'CWO Bulan Ini'!$CZ:$CZ,'Area-Cabang'!G$41)</f>
        <v>0</v>
      </c>
      <c r="H70" s="42">
        <f>SUMIFS('CWO Bulan Ini'!$DA:$DA,'CWO Bulan Ini'!$DJ:$DJ,'Area-Cabang'!$B70,'CWO Bulan Ini'!$DH:$DH,'Area-Cabang'!$E70,'CWO Bulan Ini'!$CZ:$CZ,'Area-Cabang'!H$41)</f>
        <v>0</v>
      </c>
      <c r="I70" s="42">
        <f>SUMIFS('CWO Bulan Ini'!$DA:$DA,'CWO Bulan Ini'!$DJ:$DJ,'Area-Cabang'!$B70,'CWO Bulan Ini'!$DH:$DH,'Area-Cabang'!$E70,'CWO Bulan Ini'!$CZ:$CZ,'Area-Cabang'!I$41)</f>
        <v>0</v>
      </c>
      <c r="J70" s="42">
        <f>SUMIFS('CWO Bulan Ini'!$DA:$DA,'CWO Bulan Ini'!$DJ:$DJ,'Area-Cabang'!$B70,'CWO Bulan Ini'!$DH:$DH,'Area-Cabang'!$E70,'CWO Bulan Ini'!$CZ:$CZ,'Area-Cabang'!J$41)</f>
        <v>0</v>
      </c>
      <c r="K70" s="42">
        <f>SUMIFS('CWO Bulan Ini'!$DA:$DA,'CWO Bulan Ini'!$DJ:$DJ,'Area-Cabang'!$B70,'CWO Bulan Ini'!$DH:$DH,'Area-Cabang'!$E70,'CWO Bulan Ini'!$CZ:$CZ,'Area-Cabang'!K$41)</f>
        <v>0</v>
      </c>
      <c r="L70" s="42">
        <f>SUMIFS('CWO Bulan Ini'!$DA:$DA,'CWO Bulan Ini'!$DJ:$DJ,'Area-Cabang'!$B70,'CWO Bulan Ini'!$DH:$DH,'Area-Cabang'!$E70,'CWO Bulan Ini'!$CZ:$CZ,'Area-Cabang'!L$41)</f>
        <v>0</v>
      </c>
      <c r="M70" s="42">
        <f>SUMIFS('CWO Bulan Ini'!$DA:$DA,'CWO Bulan Ini'!$DJ:$DJ,'Area-Cabang'!$B70,'CWO Bulan Ini'!$DH:$DH,'Area-Cabang'!$E70,'CWO Bulan Ini'!$CZ:$CZ,'Area-Cabang'!M$41)</f>
        <v>0</v>
      </c>
      <c r="N70" s="42">
        <f>SUMIFS('CWO Bulan Ini'!$DA:$DA,'CWO Bulan Ini'!$DJ:$DJ,'Area-Cabang'!$B70,'CWO Bulan Ini'!$DH:$DH,'Area-Cabang'!$E70,'CWO Bulan Ini'!$CZ:$CZ,'Area-Cabang'!N$41)</f>
        <v>0</v>
      </c>
      <c r="O70" s="42">
        <f>SUMIFS('CWO Bulan Ini'!$DA:$DA,'CWO Bulan Ini'!$DJ:$DJ,'Area-Cabang'!$B70,'CWO Bulan Ini'!$DH:$DH,'Area-Cabang'!$E70,'CWO Bulan Ini'!$CZ:$CZ,'Area-Cabang'!O$41)</f>
        <v>0</v>
      </c>
      <c r="P70" s="42">
        <f>SUMIFS('CWO Bulan Ini'!$DA:$DA,'CWO Bulan Ini'!$DJ:$DJ,'Area-Cabang'!$B70,'CWO Bulan Ini'!$DH:$DH,'Area-Cabang'!$E70,'CWO Bulan Ini'!$CZ:$CZ,'Area-Cabang'!P$41)</f>
        <v>0</v>
      </c>
      <c r="Q70" s="42">
        <f>SUMIFS('CWO Bulan Ini'!$DA:$DA,'CWO Bulan Ini'!$DJ:$DJ,'Area-Cabang'!$B70,'CWO Bulan Ini'!$DH:$DH,'Area-Cabang'!$E70,'CWO Bulan Ini'!$CZ:$CZ,'Area-Cabang'!Q$41)</f>
        <v>0</v>
      </c>
      <c r="R70" s="42">
        <f>SUMIFS('CWO Bulan Ini'!$DA:$DA,'CWO Bulan Ini'!$DJ:$DJ,'Area-Cabang'!$B70,'CWO Bulan Ini'!$DH:$DH,'Area-Cabang'!$E70,'CWO Bulan Ini'!$CZ:$CZ,'Area-Cabang'!R$41)</f>
        <v>0</v>
      </c>
      <c r="S70" s="42">
        <f>SUMIFS('CWO Bulan Ini'!$DA:$DA,'CWO Bulan Ini'!$DJ:$DJ,'Area-Cabang'!$B70,'CWO Bulan Ini'!$DH:$DH,'Area-Cabang'!$E70,'CWO Bulan Ini'!$CZ:$CZ,'Area-Cabang'!S$41)</f>
        <v>0</v>
      </c>
      <c r="T70" s="42">
        <f>SUMIFS('CWO Bulan Ini'!$DA:$DA,'CWO Bulan Ini'!$DJ:$DJ,'Area-Cabang'!$B70,'CWO Bulan Ini'!$DH:$DH,'Area-Cabang'!$E70,'CWO Bulan Ini'!$CZ:$CZ,'Area-Cabang'!T$41)</f>
        <v>0</v>
      </c>
      <c r="U70" s="42">
        <f>SUMIFS('CWO Bulan Ini'!$DA:$DA,'CWO Bulan Ini'!$DJ:$DJ,'Area-Cabang'!$B70,'CWO Bulan Ini'!$DH:$DH,'Area-Cabang'!$E70,'CWO Bulan Ini'!$CZ:$CZ,'Area-Cabang'!U$41)</f>
        <v>0</v>
      </c>
      <c r="V70" s="42">
        <f>SUMIFS('CWO Bulan Ini'!$DA:$DA,'CWO Bulan Ini'!$DJ:$DJ,'Area-Cabang'!$B70,'CWO Bulan Ini'!$DH:$DH,'Area-Cabang'!$E70,'CWO Bulan Ini'!$CZ:$CZ,'Area-Cabang'!V$41)</f>
        <v>0</v>
      </c>
      <c r="W70" s="42">
        <f>SUMIFS('CWO Bulan Ini'!$DA:$DA,'CWO Bulan Ini'!$DJ:$DJ,'Area-Cabang'!$B70,'CWO Bulan Ini'!$DH:$DH,'Area-Cabang'!$E70,'CWO Bulan Ini'!$CZ:$CZ,'Area-Cabang'!W$41)</f>
        <v>0</v>
      </c>
      <c r="X70" s="42">
        <f>SUMIFS('CWO Bulan Ini'!$DA:$DA,'CWO Bulan Ini'!$DJ:$DJ,'Area-Cabang'!$B70,'CWO Bulan Ini'!$DH:$DH,'Area-Cabang'!$E70,'CWO Bulan Ini'!$CZ:$CZ,'Area-Cabang'!X$41)</f>
        <v>0</v>
      </c>
      <c r="Y70" s="42">
        <f>SUMIFS('CWO Bulan Ini'!$DA:$DA,'CWO Bulan Ini'!$DJ:$DJ,'Area-Cabang'!$B70,'CWO Bulan Ini'!$DH:$DH,'Area-Cabang'!$E70,'CWO Bulan Ini'!$CZ:$CZ,'Area-Cabang'!Y$41)</f>
        <v>0</v>
      </c>
      <c r="Z70" s="42">
        <f>SUMIFS('CWO Bulan Ini'!$DA:$DA,'CWO Bulan Ini'!$DJ:$DJ,'Area-Cabang'!$B70,'CWO Bulan Ini'!$DH:$DH,'Area-Cabang'!$E70,'CWO Bulan Ini'!$CZ:$CZ,'Area-Cabang'!Z$41)</f>
        <v>0</v>
      </c>
      <c r="AA70" s="42">
        <f>SUMIFS('CWO Bulan Ini'!$DA:$DA,'CWO Bulan Ini'!$DJ:$DJ,'Area-Cabang'!$B70,'CWO Bulan Ini'!$DH:$DH,'Area-Cabang'!$E70,'CWO Bulan Ini'!$CZ:$CZ,'Area-Cabang'!AA$41)</f>
        <v>0</v>
      </c>
      <c r="AB70" s="42">
        <f>SUMIFS('CWO Bulan Ini'!$DA:$DA,'CWO Bulan Ini'!$DJ:$DJ,'Area-Cabang'!$B70,'CWO Bulan Ini'!$DH:$DH,'Area-Cabang'!$E70,'CWO Bulan Ini'!$CZ:$CZ,'Area-Cabang'!AB$41)</f>
        <v>0</v>
      </c>
      <c r="AC70" s="42">
        <f>SUMIFS('CWO Bulan Ini'!$DA:$DA,'CWO Bulan Ini'!$DJ:$DJ,'Area-Cabang'!$B70,'CWO Bulan Ini'!$DH:$DH,'Area-Cabang'!$E70,'CWO Bulan Ini'!$CZ:$CZ,'Area-Cabang'!AC$41)</f>
        <v>0</v>
      </c>
      <c r="AD70" s="42">
        <f>SUMIFS('CWO Bulan Ini'!$DA:$DA,'CWO Bulan Ini'!$DJ:$DJ,'Area-Cabang'!$B70,'CWO Bulan Ini'!$DH:$DH,'Area-Cabang'!$E70,'CWO Bulan Ini'!$CZ:$CZ,'Area-Cabang'!AD$41)</f>
        <v>0</v>
      </c>
      <c r="AE70" s="42">
        <f>SUMIFS('CWO Bulan Ini'!$DA:$DA,'CWO Bulan Ini'!$DJ:$DJ,'Area-Cabang'!$B70,'CWO Bulan Ini'!$DH:$DH,'Area-Cabang'!$E70,'CWO Bulan Ini'!$CZ:$CZ,'Area-Cabang'!AE$41)</f>
        <v>0</v>
      </c>
      <c r="AF70" s="42">
        <f>SUMIFS('CWO Bulan Ini'!$DA:$DA,'CWO Bulan Ini'!$DJ:$DJ,'Area-Cabang'!$B70,'CWO Bulan Ini'!$DH:$DH,'Area-Cabang'!$E70,'CWO Bulan Ini'!$CZ:$CZ,'Area-Cabang'!AF$41)</f>
        <v>0</v>
      </c>
      <c r="AG70" s="42">
        <f>SUMIFS('CWO Bulan Ini'!$DA:$DA,'CWO Bulan Ini'!$DJ:$DJ,'Area-Cabang'!$B70,'CWO Bulan Ini'!$DH:$DH,'Area-Cabang'!$E70,'CWO Bulan Ini'!$CZ:$CZ,'Area-Cabang'!AG$41)</f>
        <v>0</v>
      </c>
      <c r="AH70" s="42">
        <f>SUMIFS('CWO Bulan Ini'!$DA:$DA,'CWO Bulan Ini'!$DJ:$DJ,'Area-Cabang'!$B70,'CWO Bulan Ini'!$DH:$DH,'Area-Cabang'!$E70,'CWO Bulan Ini'!$CZ:$CZ,'Area-Cabang'!AH$41)</f>
        <v>0</v>
      </c>
      <c r="AI70" s="42">
        <f>SUMIFS('CWO Bulan Ini'!$DA:$DA,'CWO Bulan Ini'!$DJ:$DJ,'Area-Cabang'!$B70,'CWO Bulan Ini'!$DH:$DH,'Area-Cabang'!$E70,'CWO Bulan Ini'!$CZ:$CZ,'Area-Cabang'!AI$41)</f>
        <v>0</v>
      </c>
      <c r="AJ70" s="42">
        <f>SUMIFS('CWO Bulan Ini'!$DA:$DA,'CWO Bulan Ini'!$DJ:$DJ,'Area-Cabang'!$B70,'CWO Bulan Ini'!$DH:$DH,'Area-Cabang'!$E70,'CWO Bulan Ini'!$CZ:$CZ,'Area-Cabang'!AJ$41)</f>
        <v>0</v>
      </c>
      <c r="AK70" s="41">
        <f>SUMIFS('CWO Bulan Ini'!$DD:$DD,'CWO Bulan Ini'!$DJ:$DJ,'Area-Cabang'!$B70,'CWO Bulan Ini'!$DH:$DH,'Area-Cabang'!$E70,'CWO Bulan Ini'!$CZ:$CZ,'Area-Cabang'!AK$41)</f>
        <v>0</v>
      </c>
      <c r="AL70" s="42">
        <f>SUMIFS('CWO Bulan Ini'!$DD:$DD,'CWO Bulan Ini'!$DJ:$DJ,'Area-Cabang'!$B70,'CWO Bulan Ini'!$DH:$DH,'Area-Cabang'!$E70,'CWO Bulan Ini'!$CZ:$CZ,'Area-Cabang'!AL$41)</f>
        <v>0</v>
      </c>
      <c r="AM70" s="42">
        <f>SUMIFS('CWO Bulan Ini'!$DD:$DD,'CWO Bulan Ini'!$DJ:$DJ,'Area-Cabang'!$B70,'CWO Bulan Ini'!$DH:$DH,'Area-Cabang'!$E70,'CWO Bulan Ini'!$CZ:$CZ,'Area-Cabang'!AM$41)</f>
        <v>0</v>
      </c>
      <c r="AN70" s="42">
        <f>SUMIFS('CWO Bulan Ini'!$DD:$DD,'CWO Bulan Ini'!$DJ:$DJ,'Area-Cabang'!$B70,'CWO Bulan Ini'!$DH:$DH,'Area-Cabang'!$E70,'CWO Bulan Ini'!$CZ:$CZ,'Area-Cabang'!AN$41)</f>
        <v>0</v>
      </c>
      <c r="AO70" s="42">
        <f>SUMIFS('CWO Bulan Ini'!$DD:$DD,'CWO Bulan Ini'!$DJ:$DJ,'Area-Cabang'!$B70,'CWO Bulan Ini'!$DH:$DH,'Area-Cabang'!$E70,'CWO Bulan Ini'!$CZ:$CZ,'Area-Cabang'!AO$41)</f>
        <v>0</v>
      </c>
      <c r="AP70" s="42">
        <f>SUMIFS('CWO Bulan Ini'!$DD:$DD,'CWO Bulan Ini'!$DJ:$DJ,'Area-Cabang'!$B70,'CWO Bulan Ini'!$DH:$DH,'Area-Cabang'!$E70,'CWO Bulan Ini'!$CZ:$CZ,'Area-Cabang'!AP$41)</f>
        <v>0</v>
      </c>
      <c r="AQ70" s="42">
        <f>SUMIFS('CWO Bulan Ini'!$DD:$DD,'CWO Bulan Ini'!$DJ:$DJ,'Area-Cabang'!$B70,'CWO Bulan Ini'!$DH:$DH,'Area-Cabang'!$E70,'CWO Bulan Ini'!$CZ:$CZ,'Area-Cabang'!AQ$41)</f>
        <v>0</v>
      </c>
      <c r="AR70" s="42">
        <f>SUMIFS('CWO Bulan Ini'!$DD:$DD,'CWO Bulan Ini'!$DJ:$DJ,'Area-Cabang'!$B70,'CWO Bulan Ini'!$DH:$DH,'Area-Cabang'!$E70,'CWO Bulan Ini'!$CZ:$CZ,'Area-Cabang'!AR$41)</f>
        <v>0</v>
      </c>
      <c r="AS70" s="42">
        <f>SUMIFS('CWO Bulan Ini'!$DD:$DD,'CWO Bulan Ini'!$DJ:$DJ,'Area-Cabang'!$B70,'CWO Bulan Ini'!$DH:$DH,'Area-Cabang'!$E70,'CWO Bulan Ini'!$CZ:$CZ,'Area-Cabang'!AS$41)</f>
        <v>0</v>
      </c>
      <c r="AT70" s="42">
        <f>SUMIFS('CWO Bulan Ini'!$DD:$DD,'CWO Bulan Ini'!$DJ:$DJ,'Area-Cabang'!$B70,'CWO Bulan Ini'!$DH:$DH,'Area-Cabang'!$E70,'CWO Bulan Ini'!$CZ:$CZ,'Area-Cabang'!AT$41)</f>
        <v>0</v>
      </c>
      <c r="AU70" s="42">
        <f>SUMIFS('CWO Bulan Ini'!$DD:$DD,'CWO Bulan Ini'!$DJ:$DJ,'Area-Cabang'!$B70,'CWO Bulan Ini'!$DH:$DH,'Area-Cabang'!$E70,'CWO Bulan Ini'!$CZ:$CZ,'Area-Cabang'!AU$41)</f>
        <v>0</v>
      </c>
      <c r="AV70" s="42">
        <f>SUMIFS('CWO Bulan Ini'!$DD:$DD,'CWO Bulan Ini'!$DJ:$DJ,'Area-Cabang'!$B70,'CWO Bulan Ini'!$DH:$DH,'Area-Cabang'!$E70,'CWO Bulan Ini'!$CZ:$CZ,'Area-Cabang'!AV$41)</f>
        <v>0</v>
      </c>
      <c r="AW70" s="42">
        <f>SUMIFS('CWO Bulan Ini'!$DD:$DD,'CWO Bulan Ini'!$DJ:$DJ,'Area-Cabang'!$B70,'CWO Bulan Ini'!$DH:$DH,'Area-Cabang'!$E70,'CWO Bulan Ini'!$CZ:$CZ,'Area-Cabang'!AW$41)</f>
        <v>0</v>
      </c>
      <c r="AX70" s="42">
        <f>SUMIFS('CWO Bulan Ini'!$DD:$DD,'CWO Bulan Ini'!$DJ:$DJ,'Area-Cabang'!$B70,'CWO Bulan Ini'!$DH:$DH,'Area-Cabang'!$E70,'CWO Bulan Ini'!$CZ:$CZ,'Area-Cabang'!AX$41)</f>
        <v>0</v>
      </c>
      <c r="AY70" s="42">
        <f>SUMIFS('CWO Bulan Ini'!$DD:$DD,'CWO Bulan Ini'!$DJ:$DJ,'Area-Cabang'!$B70,'CWO Bulan Ini'!$DH:$DH,'Area-Cabang'!$E70,'CWO Bulan Ini'!$CZ:$CZ,'Area-Cabang'!AY$41)</f>
        <v>0</v>
      </c>
      <c r="AZ70" s="42">
        <f>SUMIFS('CWO Bulan Ini'!$DD:$DD,'CWO Bulan Ini'!$DJ:$DJ,'Area-Cabang'!$B70,'CWO Bulan Ini'!$DH:$DH,'Area-Cabang'!$E70,'CWO Bulan Ini'!$CZ:$CZ,'Area-Cabang'!AZ$41)</f>
        <v>0</v>
      </c>
      <c r="BA70" s="42">
        <f>SUMIFS('CWO Bulan Ini'!$DD:$DD,'CWO Bulan Ini'!$DJ:$DJ,'Area-Cabang'!$B70,'CWO Bulan Ini'!$DH:$DH,'Area-Cabang'!$E70,'CWO Bulan Ini'!$CZ:$CZ,'Area-Cabang'!BA$41)</f>
        <v>0</v>
      </c>
      <c r="BB70" s="42">
        <f>SUMIFS('CWO Bulan Ini'!$DD:$DD,'CWO Bulan Ini'!$DJ:$DJ,'Area-Cabang'!$B70,'CWO Bulan Ini'!$DH:$DH,'Area-Cabang'!$E70,'CWO Bulan Ini'!$CZ:$CZ,'Area-Cabang'!BB$41)</f>
        <v>0</v>
      </c>
      <c r="BC70" s="42">
        <f>SUMIFS('CWO Bulan Ini'!$DD:$DD,'CWO Bulan Ini'!$DJ:$DJ,'Area-Cabang'!$B70,'CWO Bulan Ini'!$DH:$DH,'Area-Cabang'!$E70,'CWO Bulan Ini'!$CZ:$CZ,'Area-Cabang'!BC$41)</f>
        <v>0</v>
      </c>
      <c r="BD70" s="42">
        <f>SUMIFS('CWO Bulan Ini'!$DD:$DD,'CWO Bulan Ini'!$DJ:$DJ,'Area-Cabang'!$B70,'CWO Bulan Ini'!$DH:$DH,'Area-Cabang'!$E70,'CWO Bulan Ini'!$CZ:$CZ,'Area-Cabang'!BD$41)</f>
        <v>0</v>
      </c>
      <c r="BE70" s="42">
        <f>SUMIFS('CWO Bulan Ini'!$DD:$DD,'CWO Bulan Ini'!$DJ:$DJ,'Area-Cabang'!$B70,'CWO Bulan Ini'!$DH:$DH,'Area-Cabang'!$E70,'CWO Bulan Ini'!$CZ:$CZ,'Area-Cabang'!BE$41)</f>
        <v>0</v>
      </c>
      <c r="BF70" s="42">
        <f>SUMIFS('CWO Bulan Ini'!$DD:$DD,'CWO Bulan Ini'!$DJ:$DJ,'Area-Cabang'!$B70,'CWO Bulan Ini'!$DH:$DH,'Area-Cabang'!$E70,'CWO Bulan Ini'!$CZ:$CZ,'Area-Cabang'!BF$41)</f>
        <v>0</v>
      </c>
      <c r="BG70" s="42">
        <f>SUMIFS('CWO Bulan Ini'!$DD:$DD,'CWO Bulan Ini'!$DJ:$DJ,'Area-Cabang'!$B70,'CWO Bulan Ini'!$DH:$DH,'Area-Cabang'!$E70,'CWO Bulan Ini'!$CZ:$CZ,'Area-Cabang'!BG$41)</f>
        <v>0</v>
      </c>
      <c r="BH70" s="42">
        <f>SUMIFS('CWO Bulan Ini'!$DD:$DD,'CWO Bulan Ini'!$DJ:$DJ,'Area-Cabang'!$B70,'CWO Bulan Ini'!$DH:$DH,'Area-Cabang'!$E70,'CWO Bulan Ini'!$CZ:$CZ,'Area-Cabang'!BH$41)</f>
        <v>0</v>
      </c>
      <c r="BI70" s="42">
        <f>SUMIFS('CWO Bulan Ini'!$DD:$DD,'CWO Bulan Ini'!$DJ:$DJ,'Area-Cabang'!$B70,'CWO Bulan Ini'!$DH:$DH,'Area-Cabang'!$E70,'CWO Bulan Ini'!$CZ:$CZ,'Area-Cabang'!BI$41)</f>
        <v>0</v>
      </c>
      <c r="BJ70" s="42">
        <f>SUMIFS('CWO Bulan Ini'!$DD:$DD,'CWO Bulan Ini'!$DJ:$DJ,'Area-Cabang'!$B70,'CWO Bulan Ini'!$DH:$DH,'Area-Cabang'!$E70,'CWO Bulan Ini'!$CZ:$CZ,'Area-Cabang'!BJ$41)</f>
        <v>0</v>
      </c>
      <c r="BK70" s="42">
        <f>SUMIFS('CWO Bulan Ini'!$DD:$DD,'CWO Bulan Ini'!$DJ:$DJ,'Area-Cabang'!$B70,'CWO Bulan Ini'!$DH:$DH,'Area-Cabang'!$E70,'CWO Bulan Ini'!$CZ:$CZ,'Area-Cabang'!BK$41)</f>
        <v>0</v>
      </c>
      <c r="BL70" s="42">
        <f>SUMIFS('CWO Bulan Ini'!$DD:$DD,'CWO Bulan Ini'!$DJ:$DJ,'Area-Cabang'!$B70,'CWO Bulan Ini'!$DH:$DH,'Area-Cabang'!$E70,'CWO Bulan Ini'!$CZ:$CZ,'Area-Cabang'!BL$41)</f>
        <v>0</v>
      </c>
      <c r="BM70" s="42">
        <f>SUMIFS('CWO Bulan Ini'!$DD:$DD,'CWO Bulan Ini'!$DJ:$DJ,'Area-Cabang'!$B70,'CWO Bulan Ini'!$DH:$DH,'Area-Cabang'!$E70,'CWO Bulan Ini'!$CZ:$CZ,'Area-Cabang'!BM$41)</f>
        <v>0</v>
      </c>
      <c r="BN70" s="42">
        <f>SUMIFS('CWO Bulan Ini'!$DD:$DD,'CWO Bulan Ini'!$DJ:$DJ,'Area-Cabang'!$B70,'CWO Bulan Ini'!$DH:$DH,'Area-Cabang'!$E70,'CWO Bulan Ini'!$CZ:$CZ,'Area-Cabang'!BN$41)</f>
        <v>0</v>
      </c>
      <c r="BO70" s="43">
        <f>SUMIFS('CWO Bulan Ini'!$DD:$DD,'CWO Bulan Ini'!$DJ:$DJ,'Area-Cabang'!$B70,'CWO Bulan Ini'!$DH:$DH,'Area-Cabang'!$E70,'CWO Bulan Ini'!$CZ:$CZ,'Area-Cabang'!BO$41)</f>
        <v>0</v>
      </c>
      <c r="BP70" s="41">
        <f>SUMIFS('CWO Bulan Ini'!$DC:$DC,'CWO Bulan Ini'!$DJ:$DJ,'Area-Cabang'!$B70,'CWO Bulan Ini'!$DH:$DH,'Area-Cabang'!$E70,'CWO Bulan Ini'!$CZ:$CZ,'Area-Cabang'!BP$41)</f>
        <v>0</v>
      </c>
      <c r="BQ70" s="42">
        <f>SUMIFS('CWO Bulan Ini'!$DC:$DC,'CWO Bulan Ini'!$DJ:$DJ,'Area-Cabang'!$B70,'CWO Bulan Ini'!$DH:$DH,'Area-Cabang'!$E70,'CWO Bulan Ini'!$CZ:$CZ,'Area-Cabang'!BQ$41)</f>
        <v>0</v>
      </c>
      <c r="BR70" s="42">
        <f>SUMIFS('CWO Bulan Ini'!$DC:$DC,'CWO Bulan Ini'!$DJ:$DJ,'Area-Cabang'!$B70,'CWO Bulan Ini'!$DH:$DH,'Area-Cabang'!$E70,'CWO Bulan Ini'!$CZ:$CZ,'Area-Cabang'!BR$41)</f>
        <v>0</v>
      </c>
      <c r="BS70" s="42">
        <f>SUMIFS('CWO Bulan Ini'!$DC:$DC,'CWO Bulan Ini'!$DJ:$DJ,'Area-Cabang'!$B70,'CWO Bulan Ini'!$DH:$DH,'Area-Cabang'!$E70,'CWO Bulan Ini'!$CZ:$CZ,'Area-Cabang'!BS$41)</f>
        <v>0</v>
      </c>
      <c r="BT70" s="42">
        <f>SUMIFS('CWO Bulan Ini'!$DC:$DC,'CWO Bulan Ini'!$DJ:$DJ,'Area-Cabang'!$B70,'CWO Bulan Ini'!$DH:$DH,'Area-Cabang'!$E70,'CWO Bulan Ini'!$CZ:$CZ,'Area-Cabang'!BT$41)</f>
        <v>0</v>
      </c>
      <c r="BU70" s="42">
        <f>SUMIFS('CWO Bulan Ini'!$DC:$DC,'CWO Bulan Ini'!$DJ:$DJ,'Area-Cabang'!$B70,'CWO Bulan Ini'!$DH:$DH,'Area-Cabang'!$E70,'CWO Bulan Ini'!$CZ:$CZ,'Area-Cabang'!BU$41)</f>
        <v>0</v>
      </c>
      <c r="BV70" s="42">
        <f>SUMIFS('CWO Bulan Ini'!$DC:$DC,'CWO Bulan Ini'!$DJ:$DJ,'Area-Cabang'!$B70,'CWO Bulan Ini'!$DH:$DH,'Area-Cabang'!$E70,'CWO Bulan Ini'!$CZ:$CZ,'Area-Cabang'!BV$41)</f>
        <v>0</v>
      </c>
      <c r="BW70" s="42">
        <f>SUMIFS('CWO Bulan Ini'!$DC:$DC,'CWO Bulan Ini'!$DJ:$DJ,'Area-Cabang'!$B70,'CWO Bulan Ini'!$DH:$DH,'Area-Cabang'!$E70,'CWO Bulan Ini'!$CZ:$CZ,'Area-Cabang'!BW$41)</f>
        <v>0</v>
      </c>
      <c r="BX70" s="42">
        <f>SUMIFS('CWO Bulan Ini'!$DC:$DC,'CWO Bulan Ini'!$DJ:$DJ,'Area-Cabang'!$B70,'CWO Bulan Ini'!$DH:$DH,'Area-Cabang'!$E70,'CWO Bulan Ini'!$CZ:$CZ,'Area-Cabang'!BX$41)</f>
        <v>0</v>
      </c>
      <c r="BY70" s="42">
        <f>SUMIFS('CWO Bulan Ini'!$DC:$DC,'CWO Bulan Ini'!$DJ:$DJ,'Area-Cabang'!$B70,'CWO Bulan Ini'!$DH:$DH,'Area-Cabang'!$E70,'CWO Bulan Ini'!$CZ:$CZ,'Area-Cabang'!BY$41)</f>
        <v>0</v>
      </c>
      <c r="BZ70" s="42">
        <f>SUMIFS('CWO Bulan Ini'!$DC:$DC,'CWO Bulan Ini'!$DJ:$DJ,'Area-Cabang'!$B70,'CWO Bulan Ini'!$DH:$DH,'Area-Cabang'!$E70,'CWO Bulan Ini'!$CZ:$CZ,'Area-Cabang'!BZ$41)</f>
        <v>0</v>
      </c>
      <c r="CA70" s="42">
        <f>SUMIFS('CWO Bulan Ini'!$DC:$DC,'CWO Bulan Ini'!$DJ:$DJ,'Area-Cabang'!$B70,'CWO Bulan Ini'!$DH:$DH,'Area-Cabang'!$E70,'CWO Bulan Ini'!$CZ:$CZ,'Area-Cabang'!CA$41)</f>
        <v>0</v>
      </c>
      <c r="CB70" s="42">
        <f>SUMIFS('CWO Bulan Ini'!$DC:$DC,'CWO Bulan Ini'!$DJ:$DJ,'Area-Cabang'!$B70,'CWO Bulan Ini'!$DH:$DH,'Area-Cabang'!$E70,'CWO Bulan Ini'!$CZ:$CZ,'Area-Cabang'!CB$41)</f>
        <v>0</v>
      </c>
      <c r="CC70" s="42">
        <f>SUMIFS('CWO Bulan Ini'!$DC:$DC,'CWO Bulan Ini'!$DJ:$DJ,'Area-Cabang'!$B70,'CWO Bulan Ini'!$DH:$DH,'Area-Cabang'!$E70,'CWO Bulan Ini'!$CZ:$CZ,'Area-Cabang'!CC$41)</f>
        <v>0</v>
      </c>
      <c r="CD70" s="42">
        <f>SUMIFS('CWO Bulan Ini'!$DC:$DC,'CWO Bulan Ini'!$DJ:$DJ,'Area-Cabang'!$B70,'CWO Bulan Ini'!$DH:$DH,'Area-Cabang'!$E70,'CWO Bulan Ini'!$CZ:$CZ,'Area-Cabang'!CD$41)</f>
        <v>0</v>
      </c>
      <c r="CE70" s="42">
        <f>SUMIFS('CWO Bulan Ini'!$DC:$DC,'CWO Bulan Ini'!$DJ:$DJ,'Area-Cabang'!$B70,'CWO Bulan Ini'!$DH:$DH,'Area-Cabang'!$E70,'CWO Bulan Ini'!$CZ:$CZ,'Area-Cabang'!CE$41)</f>
        <v>0</v>
      </c>
      <c r="CF70" s="42">
        <f>SUMIFS('CWO Bulan Ini'!$DC:$DC,'CWO Bulan Ini'!$DJ:$DJ,'Area-Cabang'!$B70,'CWO Bulan Ini'!$DH:$DH,'Area-Cabang'!$E70,'CWO Bulan Ini'!$CZ:$CZ,'Area-Cabang'!CF$41)</f>
        <v>0</v>
      </c>
      <c r="CG70" s="42">
        <f>SUMIFS('CWO Bulan Ini'!$DC:$DC,'CWO Bulan Ini'!$DJ:$DJ,'Area-Cabang'!$B70,'CWO Bulan Ini'!$DH:$DH,'Area-Cabang'!$E70,'CWO Bulan Ini'!$CZ:$CZ,'Area-Cabang'!CG$41)</f>
        <v>0</v>
      </c>
      <c r="CH70" s="42">
        <f>SUMIFS('CWO Bulan Ini'!$DC:$DC,'CWO Bulan Ini'!$DJ:$DJ,'Area-Cabang'!$B70,'CWO Bulan Ini'!$DH:$DH,'Area-Cabang'!$E70,'CWO Bulan Ini'!$CZ:$CZ,'Area-Cabang'!CH$41)</f>
        <v>0</v>
      </c>
      <c r="CI70" s="42">
        <f>SUMIFS('CWO Bulan Ini'!$DC:$DC,'CWO Bulan Ini'!$DJ:$DJ,'Area-Cabang'!$B70,'CWO Bulan Ini'!$DH:$DH,'Area-Cabang'!$E70,'CWO Bulan Ini'!$CZ:$CZ,'Area-Cabang'!CI$41)</f>
        <v>0</v>
      </c>
      <c r="CJ70" s="42">
        <f>SUMIFS('CWO Bulan Ini'!$DC:$DC,'CWO Bulan Ini'!$DJ:$DJ,'Area-Cabang'!$B70,'CWO Bulan Ini'!$DH:$DH,'Area-Cabang'!$E70,'CWO Bulan Ini'!$CZ:$CZ,'Area-Cabang'!CJ$41)</f>
        <v>0</v>
      </c>
      <c r="CK70" s="42">
        <f>SUMIFS('CWO Bulan Ini'!$DC:$DC,'CWO Bulan Ini'!$DJ:$DJ,'Area-Cabang'!$B70,'CWO Bulan Ini'!$DH:$DH,'Area-Cabang'!$E70,'CWO Bulan Ini'!$CZ:$CZ,'Area-Cabang'!CK$41)</f>
        <v>0</v>
      </c>
      <c r="CL70" s="42">
        <f>SUMIFS('CWO Bulan Ini'!$DC:$DC,'CWO Bulan Ini'!$DJ:$DJ,'Area-Cabang'!$B70,'CWO Bulan Ini'!$DH:$DH,'Area-Cabang'!$E70,'CWO Bulan Ini'!$CZ:$CZ,'Area-Cabang'!CL$41)</f>
        <v>0</v>
      </c>
      <c r="CM70" s="42">
        <f>SUMIFS('CWO Bulan Ini'!$DC:$DC,'CWO Bulan Ini'!$DJ:$DJ,'Area-Cabang'!$B70,'CWO Bulan Ini'!$DH:$DH,'Area-Cabang'!$E70,'CWO Bulan Ini'!$CZ:$CZ,'Area-Cabang'!CM$41)</f>
        <v>0</v>
      </c>
      <c r="CN70" s="42">
        <f>SUMIFS('CWO Bulan Ini'!$DC:$DC,'CWO Bulan Ini'!$DJ:$DJ,'Area-Cabang'!$B70,'CWO Bulan Ini'!$DH:$DH,'Area-Cabang'!$E70,'CWO Bulan Ini'!$CZ:$CZ,'Area-Cabang'!CN$41)</f>
        <v>0</v>
      </c>
      <c r="CO70" s="42">
        <f>SUMIFS('CWO Bulan Ini'!$DC:$DC,'CWO Bulan Ini'!$DJ:$DJ,'Area-Cabang'!$B70,'CWO Bulan Ini'!$DH:$DH,'Area-Cabang'!$E70,'CWO Bulan Ini'!$CZ:$CZ,'Area-Cabang'!CO$41)</f>
        <v>0</v>
      </c>
      <c r="CP70" s="42">
        <f>SUMIFS('CWO Bulan Ini'!$DC:$DC,'CWO Bulan Ini'!$DJ:$DJ,'Area-Cabang'!$B70,'CWO Bulan Ini'!$DH:$DH,'Area-Cabang'!$E70,'CWO Bulan Ini'!$CZ:$CZ,'Area-Cabang'!CP$41)</f>
        <v>0</v>
      </c>
      <c r="CQ70" s="42">
        <f>SUMIFS('CWO Bulan Ini'!$DC:$DC,'CWO Bulan Ini'!$DJ:$DJ,'Area-Cabang'!$B70,'CWO Bulan Ini'!$DH:$DH,'Area-Cabang'!$E70,'CWO Bulan Ini'!$CZ:$CZ,'Area-Cabang'!CQ$41)</f>
        <v>0</v>
      </c>
      <c r="CR70" s="42">
        <f>SUMIFS('CWO Bulan Ini'!$DC:$DC,'CWO Bulan Ini'!$DJ:$DJ,'Area-Cabang'!$B70,'CWO Bulan Ini'!$DH:$DH,'Area-Cabang'!$E70,'CWO Bulan Ini'!$CZ:$CZ,'Area-Cabang'!CR$41)</f>
        <v>0</v>
      </c>
      <c r="CS70" s="42">
        <f>SUMIFS('CWO Bulan Ini'!$DC:$DC,'CWO Bulan Ini'!$DJ:$DJ,'Area-Cabang'!$B70,'CWO Bulan Ini'!$DH:$DH,'Area-Cabang'!$E70,'CWO Bulan Ini'!$CZ:$CZ,'Area-Cabang'!CS$41)</f>
        <v>0</v>
      </c>
      <c r="CT70" s="43">
        <f>SUMIFS('CWO Bulan Ini'!$DC:$DC,'CWO Bulan Ini'!$DJ:$DJ,'Area-Cabang'!$B70,'CWO Bulan Ini'!$DH:$DH,'Area-Cabang'!$E70,'CWO Bulan Ini'!$CZ:$CZ,'Area-Cabang'!CT$41)</f>
        <v>0</v>
      </c>
      <c r="CV70" s="96">
        <f t="shared" si="1908"/>
        <v>0</v>
      </c>
      <c r="CW70" s="93">
        <f t="shared" si="1909"/>
        <v>0</v>
      </c>
      <c r="CX70" s="93">
        <f t="shared" si="1910"/>
        <v>0</v>
      </c>
      <c r="CY70" s="93">
        <f t="shared" si="1911"/>
        <v>0</v>
      </c>
      <c r="CZ70" s="106">
        <f t="shared" si="1912"/>
        <v>0</v>
      </c>
    </row>
    <row r="71" spans="1:104" ht="15" customHeight="1" x14ac:dyDescent="0.25">
      <c r="A71" s="58" t="s">
        <v>474</v>
      </c>
      <c r="B71" s="53" t="s">
        <v>816</v>
      </c>
      <c r="C71" s="250"/>
      <c r="D71" s="227" t="s">
        <v>816</v>
      </c>
      <c r="E71" s="228"/>
      <c r="F71" s="219">
        <f t="shared" ref="F71" si="1913">SUM(F69:F70)</f>
        <v>0</v>
      </c>
      <c r="G71" s="220">
        <f t="shared" ref="G71" si="1914">SUM(G69:G70)</f>
        <v>0</v>
      </c>
      <c r="H71" s="220">
        <f t="shared" ref="H71" si="1915">SUM(H69:H70)</f>
        <v>0</v>
      </c>
      <c r="I71" s="220">
        <f t="shared" ref="I71" si="1916">SUM(I69:I70)</f>
        <v>0</v>
      </c>
      <c r="J71" s="220">
        <f t="shared" ref="J71" si="1917">SUM(J69:J70)</f>
        <v>0</v>
      </c>
      <c r="K71" s="220">
        <f t="shared" ref="K71" si="1918">SUM(K69:K70)</f>
        <v>0</v>
      </c>
      <c r="L71" s="220">
        <f t="shared" ref="L71" si="1919">SUM(L69:L70)</f>
        <v>0</v>
      </c>
      <c r="M71" s="220">
        <f t="shared" ref="M71" si="1920">SUM(M69:M70)</f>
        <v>0</v>
      </c>
      <c r="N71" s="220">
        <f t="shared" ref="N71" si="1921">SUM(N69:N70)</f>
        <v>0</v>
      </c>
      <c r="O71" s="220">
        <f t="shared" ref="O71" si="1922">SUM(O69:O70)</f>
        <v>0</v>
      </c>
      <c r="P71" s="220">
        <f t="shared" ref="P71" si="1923">SUM(P69:P70)</f>
        <v>0</v>
      </c>
      <c r="Q71" s="220">
        <f t="shared" ref="Q71" si="1924">SUM(Q69:Q70)</f>
        <v>0</v>
      </c>
      <c r="R71" s="220">
        <f t="shared" ref="R71" si="1925">SUM(R69:R70)</f>
        <v>0</v>
      </c>
      <c r="S71" s="220">
        <f t="shared" ref="S71" si="1926">SUM(S69:S70)</f>
        <v>0</v>
      </c>
      <c r="T71" s="220">
        <f t="shared" ref="T71" si="1927">SUM(T69:T70)</f>
        <v>0</v>
      </c>
      <c r="U71" s="220">
        <f t="shared" ref="U71" si="1928">SUM(U69:U70)</f>
        <v>0</v>
      </c>
      <c r="V71" s="220">
        <f t="shared" ref="V71" si="1929">SUM(V69:V70)</f>
        <v>0</v>
      </c>
      <c r="W71" s="220">
        <f t="shared" ref="W71" si="1930">SUM(W69:W70)</f>
        <v>0</v>
      </c>
      <c r="X71" s="220">
        <f t="shared" ref="X71" si="1931">SUM(X69:X70)</f>
        <v>0</v>
      </c>
      <c r="Y71" s="220">
        <f t="shared" ref="Y71" si="1932">SUM(Y69:Y70)</f>
        <v>0</v>
      </c>
      <c r="Z71" s="220">
        <f t="shared" ref="Z71" si="1933">SUM(Z69:Z70)</f>
        <v>0</v>
      </c>
      <c r="AA71" s="220">
        <f t="shared" ref="AA71" si="1934">SUM(AA69:AA70)</f>
        <v>0</v>
      </c>
      <c r="AB71" s="220">
        <f t="shared" ref="AB71" si="1935">SUM(AB69:AB70)</f>
        <v>0</v>
      </c>
      <c r="AC71" s="220">
        <f t="shared" ref="AC71" si="1936">SUM(AC69:AC70)</f>
        <v>0</v>
      </c>
      <c r="AD71" s="220">
        <f t="shared" ref="AD71" si="1937">SUM(AD69:AD70)</f>
        <v>0</v>
      </c>
      <c r="AE71" s="220">
        <f t="shared" ref="AE71" si="1938">SUM(AE69:AE70)</f>
        <v>0</v>
      </c>
      <c r="AF71" s="220">
        <f t="shared" ref="AF71" si="1939">SUM(AF69:AF70)</f>
        <v>0</v>
      </c>
      <c r="AG71" s="220">
        <f t="shared" ref="AG71" si="1940">SUM(AG69:AG70)</f>
        <v>0</v>
      </c>
      <c r="AH71" s="220">
        <f t="shared" ref="AH71" si="1941">SUM(AH69:AH70)</f>
        <v>0</v>
      </c>
      <c r="AI71" s="220">
        <f t="shared" ref="AI71" si="1942">SUM(AI69:AI70)</f>
        <v>0</v>
      </c>
      <c r="AJ71" s="220">
        <f t="shared" ref="AJ71" si="1943">SUM(AJ69:AJ70)</f>
        <v>0</v>
      </c>
      <c r="AK71" s="219">
        <f t="shared" ref="AK71" si="1944">SUM(AK69:AK70)</f>
        <v>0</v>
      </c>
      <c r="AL71" s="220">
        <f t="shared" ref="AL71" si="1945">SUM(AL69:AL70)</f>
        <v>0</v>
      </c>
      <c r="AM71" s="220">
        <f t="shared" ref="AM71" si="1946">SUM(AM69:AM70)</f>
        <v>0</v>
      </c>
      <c r="AN71" s="220">
        <f t="shared" ref="AN71" si="1947">SUM(AN69:AN70)</f>
        <v>0</v>
      </c>
      <c r="AO71" s="220">
        <f t="shared" ref="AO71" si="1948">SUM(AO69:AO70)</f>
        <v>0</v>
      </c>
      <c r="AP71" s="220">
        <f t="shared" ref="AP71" si="1949">SUM(AP69:AP70)</f>
        <v>0</v>
      </c>
      <c r="AQ71" s="220">
        <f t="shared" ref="AQ71" si="1950">SUM(AQ69:AQ70)</f>
        <v>0</v>
      </c>
      <c r="AR71" s="220">
        <f t="shared" ref="AR71" si="1951">SUM(AR69:AR70)</f>
        <v>0</v>
      </c>
      <c r="AS71" s="220">
        <f t="shared" ref="AS71" si="1952">SUM(AS69:AS70)</f>
        <v>0</v>
      </c>
      <c r="AT71" s="220">
        <f t="shared" ref="AT71" si="1953">SUM(AT69:AT70)</f>
        <v>0</v>
      </c>
      <c r="AU71" s="220">
        <f t="shared" ref="AU71" si="1954">SUM(AU69:AU70)</f>
        <v>0</v>
      </c>
      <c r="AV71" s="220">
        <f t="shared" ref="AV71" si="1955">SUM(AV69:AV70)</f>
        <v>0</v>
      </c>
      <c r="AW71" s="220">
        <f t="shared" ref="AW71" si="1956">SUM(AW69:AW70)</f>
        <v>0</v>
      </c>
      <c r="AX71" s="220">
        <f t="shared" ref="AX71" si="1957">SUM(AX69:AX70)</f>
        <v>0</v>
      </c>
      <c r="AY71" s="220">
        <f t="shared" ref="AY71" si="1958">SUM(AY69:AY70)</f>
        <v>0</v>
      </c>
      <c r="AZ71" s="220">
        <f t="shared" ref="AZ71" si="1959">SUM(AZ69:AZ70)</f>
        <v>0</v>
      </c>
      <c r="BA71" s="220">
        <f t="shared" ref="BA71" si="1960">SUM(BA69:BA70)</f>
        <v>0</v>
      </c>
      <c r="BB71" s="220">
        <f t="shared" ref="BB71" si="1961">SUM(BB69:BB70)</f>
        <v>0</v>
      </c>
      <c r="BC71" s="220">
        <f t="shared" ref="BC71" si="1962">SUM(BC69:BC70)</f>
        <v>0</v>
      </c>
      <c r="BD71" s="220">
        <f t="shared" ref="BD71" si="1963">SUM(BD69:BD70)</f>
        <v>0</v>
      </c>
      <c r="BE71" s="220">
        <f t="shared" ref="BE71" si="1964">SUM(BE69:BE70)</f>
        <v>0</v>
      </c>
      <c r="BF71" s="220">
        <f t="shared" ref="BF71" si="1965">SUM(BF69:BF70)</f>
        <v>0</v>
      </c>
      <c r="BG71" s="220">
        <f t="shared" ref="BG71" si="1966">SUM(BG69:BG70)</f>
        <v>0</v>
      </c>
      <c r="BH71" s="220">
        <f t="shared" ref="BH71" si="1967">SUM(BH69:BH70)</f>
        <v>0</v>
      </c>
      <c r="BI71" s="220">
        <f t="shared" ref="BI71" si="1968">SUM(BI69:BI70)</f>
        <v>0</v>
      </c>
      <c r="BJ71" s="220">
        <f t="shared" ref="BJ71" si="1969">SUM(BJ69:BJ70)</f>
        <v>0</v>
      </c>
      <c r="BK71" s="220">
        <f t="shared" ref="BK71" si="1970">SUM(BK69:BK70)</f>
        <v>0</v>
      </c>
      <c r="BL71" s="220">
        <f t="shared" ref="BL71" si="1971">SUM(BL69:BL70)</f>
        <v>0</v>
      </c>
      <c r="BM71" s="220">
        <f t="shared" ref="BM71" si="1972">SUM(BM69:BM70)</f>
        <v>0</v>
      </c>
      <c r="BN71" s="220">
        <f t="shared" ref="BN71" si="1973">SUM(BN69:BN70)</f>
        <v>0</v>
      </c>
      <c r="BO71" s="221">
        <f t="shared" ref="BO71" si="1974">SUM(BO69:BO70)</f>
        <v>0</v>
      </c>
      <c r="BP71" s="219">
        <f t="shared" ref="BP71" si="1975">SUM(BP69:BP70)</f>
        <v>0</v>
      </c>
      <c r="BQ71" s="220">
        <f t="shared" ref="BQ71" si="1976">SUM(BQ69:BQ70)</f>
        <v>0</v>
      </c>
      <c r="BR71" s="220">
        <f t="shared" ref="BR71" si="1977">SUM(BR69:BR70)</f>
        <v>0</v>
      </c>
      <c r="BS71" s="220">
        <f t="shared" ref="BS71" si="1978">SUM(BS69:BS70)</f>
        <v>0</v>
      </c>
      <c r="BT71" s="220">
        <f t="shared" ref="BT71" si="1979">SUM(BT69:BT70)</f>
        <v>0</v>
      </c>
      <c r="BU71" s="220">
        <f t="shared" ref="BU71" si="1980">SUM(BU69:BU70)</f>
        <v>0</v>
      </c>
      <c r="BV71" s="220">
        <f t="shared" ref="BV71" si="1981">SUM(BV69:BV70)</f>
        <v>0</v>
      </c>
      <c r="BW71" s="220">
        <f t="shared" ref="BW71" si="1982">SUM(BW69:BW70)</f>
        <v>0</v>
      </c>
      <c r="BX71" s="220">
        <f t="shared" ref="BX71" si="1983">SUM(BX69:BX70)</f>
        <v>0</v>
      </c>
      <c r="BY71" s="220">
        <f t="shared" ref="BY71" si="1984">SUM(BY69:BY70)</f>
        <v>0</v>
      </c>
      <c r="BZ71" s="220">
        <f t="shared" ref="BZ71" si="1985">SUM(BZ69:BZ70)</f>
        <v>0</v>
      </c>
      <c r="CA71" s="220">
        <f t="shared" ref="CA71" si="1986">SUM(CA69:CA70)</f>
        <v>0</v>
      </c>
      <c r="CB71" s="220">
        <f t="shared" ref="CB71" si="1987">SUM(CB69:CB70)</f>
        <v>0</v>
      </c>
      <c r="CC71" s="220">
        <f t="shared" ref="CC71" si="1988">SUM(CC69:CC70)</f>
        <v>0</v>
      </c>
      <c r="CD71" s="220">
        <f t="shared" ref="CD71" si="1989">SUM(CD69:CD70)</f>
        <v>0</v>
      </c>
      <c r="CE71" s="220">
        <f t="shared" ref="CE71" si="1990">SUM(CE69:CE70)</f>
        <v>0</v>
      </c>
      <c r="CF71" s="220">
        <f t="shared" ref="CF71" si="1991">SUM(CF69:CF70)</f>
        <v>0</v>
      </c>
      <c r="CG71" s="220">
        <f t="shared" ref="CG71" si="1992">SUM(CG69:CG70)</f>
        <v>0</v>
      </c>
      <c r="CH71" s="220">
        <f t="shared" ref="CH71" si="1993">SUM(CH69:CH70)</f>
        <v>0</v>
      </c>
      <c r="CI71" s="220">
        <f t="shared" ref="CI71" si="1994">SUM(CI69:CI70)</f>
        <v>0</v>
      </c>
      <c r="CJ71" s="220">
        <f t="shared" ref="CJ71" si="1995">SUM(CJ69:CJ70)</f>
        <v>0</v>
      </c>
      <c r="CK71" s="220">
        <f t="shared" ref="CK71" si="1996">SUM(CK69:CK70)</f>
        <v>0</v>
      </c>
      <c r="CL71" s="220">
        <f t="shared" ref="CL71" si="1997">SUM(CL69:CL70)</f>
        <v>0</v>
      </c>
      <c r="CM71" s="220">
        <f t="shared" ref="CM71" si="1998">SUM(CM69:CM70)</f>
        <v>0</v>
      </c>
      <c r="CN71" s="220">
        <f t="shared" ref="CN71" si="1999">SUM(CN69:CN70)</f>
        <v>0</v>
      </c>
      <c r="CO71" s="220">
        <f t="shared" ref="CO71" si="2000">SUM(CO69:CO70)</f>
        <v>0</v>
      </c>
      <c r="CP71" s="220">
        <f t="shared" ref="CP71" si="2001">SUM(CP69:CP70)</f>
        <v>0</v>
      </c>
      <c r="CQ71" s="220">
        <f t="shared" ref="CQ71" si="2002">SUM(CQ69:CQ70)</f>
        <v>0</v>
      </c>
      <c r="CR71" s="220">
        <f t="shared" ref="CR71" si="2003">SUM(CR69:CR70)</f>
        <v>0</v>
      </c>
      <c r="CS71" s="220">
        <f t="shared" ref="CS71" si="2004">SUM(CS69:CS70)</f>
        <v>0</v>
      </c>
      <c r="CT71" s="221">
        <f t="shared" ref="CT71" si="2005">SUM(CT69:CT70)</f>
        <v>0</v>
      </c>
      <c r="CU71" s="226"/>
      <c r="CV71" s="219">
        <f t="shared" ref="CV71" si="2006">SUM(CV69:CV70)</f>
        <v>0</v>
      </c>
      <c r="CW71" s="220">
        <f t="shared" ref="CW71" si="2007">SUM(CW69:CW70)</f>
        <v>0</v>
      </c>
      <c r="CX71" s="220">
        <f t="shared" ref="CX71" si="2008">SUM(CX69:CX70)</f>
        <v>0</v>
      </c>
      <c r="CY71" s="220">
        <f t="shared" ref="CY71" si="2009">SUM(CY69:CY70)</f>
        <v>0</v>
      </c>
      <c r="CZ71" s="222">
        <f t="shared" ref="CZ71" si="2010">SUM(CZ69:CZ70)</f>
        <v>0</v>
      </c>
    </row>
    <row r="72" spans="1:104" ht="15" customHeight="1" x14ac:dyDescent="0.25">
      <c r="A72" s="58" t="s">
        <v>474</v>
      </c>
      <c r="B72" s="53" t="s">
        <v>173</v>
      </c>
      <c r="C72" s="250"/>
      <c r="D72" s="245" t="s">
        <v>173</v>
      </c>
      <c r="E72" s="85" t="s">
        <v>132</v>
      </c>
      <c r="F72" s="55">
        <f>SUMIFS('CWO Bulan Ini'!$DA:$DA,'CWO Bulan Ini'!$DJ:$DJ,'Area-Cabang'!$B72,'CWO Bulan Ini'!$DH:$DH,'Area-Cabang'!$E72,'CWO Bulan Ini'!$CZ:$CZ,'Area-Cabang'!F$41)</f>
        <v>0</v>
      </c>
      <c r="G72" s="56">
        <f>SUMIFS('CWO Bulan Ini'!$DA:$DA,'CWO Bulan Ini'!$DJ:$DJ,'Area-Cabang'!$B72,'CWO Bulan Ini'!$DH:$DH,'Area-Cabang'!$E72,'CWO Bulan Ini'!$CZ:$CZ,'Area-Cabang'!G$41)</f>
        <v>0</v>
      </c>
      <c r="H72" s="56">
        <f>SUMIFS('CWO Bulan Ini'!$DA:$DA,'CWO Bulan Ini'!$DJ:$DJ,'Area-Cabang'!$B72,'CWO Bulan Ini'!$DH:$DH,'Area-Cabang'!$E72,'CWO Bulan Ini'!$CZ:$CZ,'Area-Cabang'!H$41)</f>
        <v>0</v>
      </c>
      <c r="I72" s="56">
        <f>SUMIFS('CWO Bulan Ini'!$DA:$DA,'CWO Bulan Ini'!$DJ:$DJ,'Area-Cabang'!$B72,'CWO Bulan Ini'!$DH:$DH,'Area-Cabang'!$E72,'CWO Bulan Ini'!$CZ:$CZ,'Area-Cabang'!I$41)</f>
        <v>0</v>
      </c>
      <c r="J72" s="56">
        <f>SUMIFS('CWO Bulan Ini'!$DA:$DA,'CWO Bulan Ini'!$DJ:$DJ,'Area-Cabang'!$B72,'CWO Bulan Ini'!$DH:$DH,'Area-Cabang'!$E72,'CWO Bulan Ini'!$CZ:$CZ,'Area-Cabang'!J$41)</f>
        <v>0</v>
      </c>
      <c r="K72" s="56">
        <f>SUMIFS('CWO Bulan Ini'!$DA:$DA,'CWO Bulan Ini'!$DJ:$DJ,'Area-Cabang'!$B72,'CWO Bulan Ini'!$DH:$DH,'Area-Cabang'!$E72,'CWO Bulan Ini'!$CZ:$CZ,'Area-Cabang'!K$41)</f>
        <v>0</v>
      </c>
      <c r="L72" s="56">
        <f>SUMIFS('CWO Bulan Ini'!$DA:$DA,'CWO Bulan Ini'!$DJ:$DJ,'Area-Cabang'!$B72,'CWO Bulan Ini'!$DH:$DH,'Area-Cabang'!$E72,'CWO Bulan Ini'!$CZ:$CZ,'Area-Cabang'!L$41)</f>
        <v>0</v>
      </c>
      <c r="M72" s="56">
        <f>SUMIFS('CWO Bulan Ini'!$DA:$DA,'CWO Bulan Ini'!$DJ:$DJ,'Area-Cabang'!$B72,'CWO Bulan Ini'!$DH:$DH,'Area-Cabang'!$E72,'CWO Bulan Ini'!$CZ:$CZ,'Area-Cabang'!M$41)</f>
        <v>0</v>
      </c>
      <c r="N72" s="56">
        <f>SUMIFS('CWO Bulan Ini'!$DA:$DA,'CWO Bulan Ini'!$DJ:$DJ,'Area-Cabang'!$B72,'CWO Bulan Ini'!$DH:$DH,'Area-Cabang'!$E72,'CWO Bulan Ini'!$CZ:$CZ,'Area-Cabang'!N$41)</f>
        <v>0</v>
      </c>
      <c r="O72" s="56">
        <f>SUMIFS('CWO Bulan Ini'!$DA:$DA,'CWO Bulan Ini'!$DJ:$DJ,'Area-Cabang'!$B72,'CWO Bulan Ini'!$DH:$DH,'Area-Cabang'!$E72,'CWO Bulan Ini'!$CZ:$CZ,'Area-Cabang'!O$41)</f>
        <v>0</v>
      </c>
      <c r="P72" s="56">
        <f>SUMIFS('CWO Bulan Ini'!$DA:$DA,'CWO Bulan Ini'!$DJ:$DJ,'Area-Cabang'!$B72,'CWO Bulan Ini'!$DH:$DH,'Area-Cabang'!$E72,'CWO Bulan Ini'!$CZ:$CZ,'Area-Cabang'!P$41)</f>
        <v>0</v>
      </c>
      <c r="Q72" s="56">
        <f>SUMIFS('CWO Bulan Ini'!$DA:$DA,'CWO Bulan Ini'!$DJ:$DJ,'Area-Cabang'!$B72,'CWO Bulan Ini'!$DH:$DH,'Area-Cabang'!$E72,'CWO Bulan Ini'!$CZ:$CZ,'Area-Cabang'!Q$41)</f>
        <v>0</v>
      </c>
      <c r="R72" s="56">
        <f>SUMIFS('CWO Bulan Ini'!$DA:$DA,'CWO Bulan Ini'!$DJ:$DJ,'Area-Cabang'!$B72,'CWO Bulan Ini'!$DH:$DH,'Area-Cabang'!$E72,'CWO Bulan Ini'!$CZ:$CZ,'Area-Cabang'!R$41)</f>
        <v>0</v>
      </c>
      <c r="S72" s="56">
        <f>SUMIFS('CWO Bulan Ini'!$DA:$DA,'CWO Bulan Ini'!$DJ:$DJ,'Area-Cabang'!$B72,'CWO Bulan Ini'!$DH:$DH,'Area-Cabang'!$E72,'CWO Bulan Ini'!$CZ:$CZ,'Area-Cabang'!S$41)</f>
        <v>0</v>
      </c>
      <c r="T72" s="56">
        <f>SUMIFS('CWO Bulan Ini'!$DA:$DA,'CWO Bulan Ini'!$DJ:$DJ,'Area-Cabang'!$B72,'CWO Bulan Ini'!$DH:$DH,'Area-Cabang'!$E72,'CWO Bulan Ini'!$CZ:$CZ,'Area-Cabang'!T$41)</f>
        <v>0</v>
      </c>
      <c r="U72" s="56">
        <f>SUMIFS('CWO Bulan Ini'!$DA:$DA,'CWO Bulan Ini'!$DJ:$DJ,'Area-Cabang'!$B72,'CWO Bulan Ini'!$DH:$DH,'Area-Cabang'!$E72,'CWO Bulan Ini'!$CZ:$CZ,'Area-Cabang'!U$41)</f>
        <v>0</v>
      </c>
      <c r="V72" s="56">
        <f>SUMIFS('CWO Bulan Ini'!$DA:$DA,'CWO Bulan Ini'!$DJ:$DJ,'Area-Cabang'!$B72,'CWO Bulan Ini'!$DH:$DH,'Area-Cabang'!$E72,'CWO Bulan Ini'!$CZ:$CZ,'Area-Cabang'!V$41)</f>
        <v>0</v>
      </c>
      <c r="W72" s="56">
        <f>SUMIFS('CWO Bulan Ini'!$DA:$DA,'CWO Bulan Ini'!$DJ:$DJ,'Area-Cabang'!$B72,'CWO Bulan Ini'!$DH:$DH,'Area-Cabang'!$E72,'CWO Bulan Ini'!$CZ:$CZ,'Area-Cabang'!W$41)</f>
        <v>0</v>
      </c>
      <c r="X72" s="56">
        <f>SUMIFS('CWO Bulan Ini'!$DA:$DA,'CWO Bulan Ini'!$DJ:$DJ,'Area-Cabang'!$B72,'CWO Bulan Ini'!$DH:$DH,'Area-Cabang'!$E72,'CWO Bulan Ini'!$CZ:$CZ,'Area-Cabang'!X$41)</f>
        <v>0</v>
      </c>
      <c r="Y72" s="56">
        <f>SUMIFS('CWO Bulan Ini'!$DA:$DA,'CWO Bulan Ini'!$DJ:$DJ,'Area-Cabang'!$B72,'CWO Bulan Ini'!$DH:$DH,'Area-Cabang'!$E72,'CWO Bulan Ini'!$CZ:$CZ,'Area-Cabang'!Y$41)</f>
        <v>0</v>
      </c>
      <c r="Z72" s="56">
        <f>SUMIFS('CWO Bulan Ini'!$DA:$DA,'CWO Bulan Ini'!$DJ:$DJ,'Area-Cabang'!$B72,'CWO Bulan Ini'!$DH:$DH,'Area-Cabang'!$E72,'CWO Bulan Ini'!$CZ:$CZ,'Area-Cabang'!Z$41)</f>
        <v>0</v>
      </c>
      <c r="AA72" s="56">
        <f>SUMIFS('CWO Bulan Ini'!$DA:$DA,'CWO Bulan Ini'!$DJ:$DJ,'Area-Cabang'!$B72,'CWO Bulan Ini'!$DH:$DH,'Area-Cabang'!$E72,'CWO Bulan Ini'!$CZ:$CZ,'Area-Cabang'!AA$41)</f>
        <v>0</v>
      </c>
      <c r="AB72" s="56">
        <f>SUMIFS('CWO Bulan Ini'!$DA:$DA,'CWO Bulan Ini'!$DJ:$DJ,'Area-Cabang'!$B72,'CWO Bulan Ini'!$DH:$DH,'Area-Cabang'!$E72,'CWO Bulan Ini'!$CZ:$CZ,'Area-Cabang'!AB$41)</f>
        <v>0</v>
      </c>
      <c r="AC72" s="56">
        <f>SUMIFS('CWO Bulan Ini'!$DA:$DA,'CWO Bulan Ini'!$DJ:$DJ,'Area-Cabang'!$B72,'CWO Bulan Ini'!$DH:$DH,'Area-Cabang'!$E72,'CWO Bulan Ini'!$CZ:$CZ,'Area-Cabang'!AC$41)</f>
        <v>0</v>
      </c>
      <c r="AD72" s="56">
        <f>SUMIFS('CWO Bulan Ini'!$DA:$DA,'CWO Bulan Ini'!$DJ:$DJ,'Area-Cabang'!$B72,'CWO Bulan Ini'!$DH:$DH,'Area-Cabang'!$E72,'CWO Bulan Ini'!$CZ:$CZ,'Area-Cabang'!AD$41)</f>
        <v>0</v>
      </c>
      <c r="AE72" s="56">
        <f>SUMIFS('CWO Bulan Ini'!$DA:$DA,'CWO Bulan Ini'!$DJ:$DJ,'Area-Cabang'!$B72,'CWO Bulan Ini'!$DH:$DH,'Area-Cabang'!$E72,'CWO Bulan Ini'!$CZ:$CZ,'Area-Cabang'!AE$41)</f>
        <v>0</v>
      </c>
      <c r="AF72" s="56">
        <f>SUMIFS('CWO Bulan Ini'!$DA:$DA,'CWO Bulan Ini'!$DJ:$DJ,'Area-Cabang'!$B72,'CWO Bulan Ini'!$DH:$DH,'Area-Cabang'!$E72,'CWO Bulan Ini'!$CZ:$CZ,'Area-Cabang'!AF$41)</f>
        <v>0</v>
      </c>
      <c r="AG72" s="56">
        <f>SUMIFS('CWO Bulan Ini'!$DA:$DA,'CWO Bulan Ini'!$DJ:$DJ,'Area-Cabang'!$B72,'CWO Bulan Ini'!$DH:$DH,'Area-Cabang'!$E72,'CWO Bulan Ini'!$CZ:$CZ,'Area-Cabang'!AG$41)</f>
        <v>0</v>
      </c>
      <c r="AH72" s="56">
        <f>SUMIFS('CWO Bulan Ini'!$DA:$DA,'CWO Bulan Ini'!$DJ:$DJ,'Area-Cabang'!$B72,'CWO Bulan Ini'!$DH:$DH,'Area-Cabang'!$E72,'CWO Bulan Ini'!$CZ:$CZ,'Area-Cabang'!AH$41)</f>
        <v>0</v>
      </c>
      <c r="AI72" s="56">
        <f>SUMIFS('CWO Bulan Ini'!$DA:$DA,'CWO Bulan Ini'!$DJ:$DJ,'Area-Cabang'!$B72,'CWO Bulan Ini'!$DH:$DH,'Area-Cabang'!$E72,'CWO Bulan Ini'!$CZ:$CZ,'Area-Cabang'!AI$41)</f>
        <v>0</v>
      </c>
      <c r="AJ72" s="56">
        <f>SUMIFS('CWO Bulan Ini'!$DA:$DA,'CWO Bulan Ini'!$DJ:$DJ,'Area-Cabang'!$B72,'CWO Bulan Ini'!$DH:$DH,'Area-Cabang'!$E72,'CWO Bulan Ini'!$CZ:$CZ,'Area-Cabang'!AJ$41)</f>
        <v>0</v>
      </c>
      <c r="AK72" s="55">
        <f>SUMIFS('CWO Bulan Ini'!$DD:$DD,'CWO Bulan Ini'!$DJ:$DJ,'Area-Cabang'!$B72,'CWO Bulan Ini'!$DH:$DH,'Area-Cabang'!$E72,'CWO Bulan Ini'!$CZ:$CZ,'Area-Cabang'!AK$41)</f>
        <v>0</v>
      </c>
      <c r="AL72" s="56">
        <f>SUMIFS('CWO Bulan Ini'!$DD:$DD,'CWO Bulan Ini'!$DJ:$DJ,'Area-Cabang'!$B72,'CWO Bulan Ini'!$DH:$DH,'Area-Cabang'!$E72,'CWO Bulan Ini'!$CZ:$CZ,'Area-Cabang'!AL$41)</f>
        <v>0</v>
      </c>
      <c r="AM72" s="56">
        <f>SUMIFS('CWO Bulan Ini'!$DD:$DD,'CWO Bulan Ini'!$DJ:$DJ,'Area-Cabang'!$B72,'CWO Bulan Ini'!$DH:$DH,'Area-Cabang'!$E72,'CWO Bulan Ini'!$CZ:$CZ,'Area-Cabang'!AM$41)</f>
        <v>0</v>
      </c>
      <c r="AN72" s="56">
        <f>SUMIFS('CWO Bulan Ini'!$DD:$DD,'CWO Bulan Ini'!$DJ:$DJ,'Area-Cabang'!$B72,'CWO Bulan Ini'!$DH:$DH,'Area-Cabang'!$E72,'CWO Bulan Ini'!$CZ:$CZ,'Area-Cabang'!AN$41)</f>
        <v>0</v>
      </c>
      <c r="AO72" s="56">
        <f>SUMIFS('CWO Bulan Ini'!$DD:$DD,'CWO Bulan Ini'!$DJ:$DJ,'Area-Cabang'!$B72,'CWO Bulan Ini'!$DH:$DH,'Area-Cabang'!$E72,'CWO Bulan Ini'!$CZ:$CZ,'Area-Cabang'!AO$41)</f>
        <v>0</v>
      </c>
      <c r="AP72" s="56">
        <f>SUMIFS('CWO Bulan Ini'!$DD:$DD,'CWO Bulan Ini'!$DJ:$DJ,'Area-Cabang'!$B72,'CWO Bulan Ini'!$DH:$DH,'Area-Cabang'!$E72,'CWO Bulan Ini'!$CZ:$CZ,'Area-Cabang'!AP$41)</f>
        <v>0</v>
      </c>
      <c r="AQ72" s="56">
        <f>SUMIFS('CWO Bulan Ini'!$DD:$DD,'CWO Bulan Ini'!$DJ:$DJ,'Area-Cabang'!$B72,'CWO Bulan Ini'!$DH:$DH,'Area-Cabang'!$E72,'CWO Bulan Ini'!$CZ:$CZ,'Area-Cabang'!AQ$41)</f>
        <v>0</v>
      </c>
      <c r="AR72" s="56">
        <f>SUMIFS('CWO Bulan Ini'!$DD:$DD,'CWO Bulan Ini'!$DJ:$DJ,'Area-Cabang'!$B72,'CWO Bulan Ini'!$DH:$DH,'Area-Cabang'!$E72,'CWO Bulan Ini'!$CZ:$CZ,'Area-Cabang'!AR$41)</f>
        <v>0</v>
      </c>
      <c r="AS72" s="56">
        <f>SUMIFS('CWO Bulan Ini'!$DD:$DD,'CWO Bulan Ini'!$DJ:$DJ,'Area-Cabang'!$B72,'CWO Bulan Ini'!$DH:$DH,'Area-Cabang'!$E72,'CWO Bulan Ini'!$CZ:$CZ,'Area-Cabang'!AS$41)</f>
        <v>0</v>
      </c>
      <c r="AT72" s="56">
        <f>SUMIFS('CWO Bulan Ini'!$DD:$DD,'CWO Bulan Ini'!$DJ:$DJ,'Area-Cabang'!$B72,'CWO Bulan Ini'!$DH:$DH,'Area-Cabang'!$E72,'CWO Bulan Ini'!$CZ:$CZ,'Area-Cabang'!AT$41)</f>
        <v>0</v>
      </c>
      <c r="AU72" s="56">
        <f>SUMIFS('CWO Bulan Ini'!$DD:$DD,'CWO Bulan Ini'!$DJ:$DJ,'Area-Cabang'!$B72,'CWO Bulan Ini'!$DH:$DH,'Area-Cabang'!$E72,'CWO Bulan Ini'!$CZ:$CZ,'Area-Cabang'!AU$41)</f>
        <v>0</v>
      </c>
      <c r="AV72" s="56">
        <f>SUMIFS('CWO Bulan Ini'!$DD:$DD,'CWO Bulan Ini'!$DJ:$DJ,'Area-Cabang'!$B72,'CWO Bulan Ini'!$DH:$DH,'Area-Cabang'!$E72,'CWO Bulan Ini'!$CZ:$CZ,'Area-Cabang'!AV$41)</f>
        <v>0</v>
      </c>
      <c r="AW72" s="56">
        <f>SUMIFS('CWO Bulan Ini'!$DD:$DD,'CWO Bulan Ini'!$DJ:$DJ,'Area-Cabang'!$B72,'CWO Bulan Ini'!$DH:$DH,'Area-Cabang'!$E72,'CWO Bulan Ini'!$CZ:$CZ,'Area-Cabang'!AW$41)</f>
        <v>0</v>
      </c>
      <c r="AX72" s="56">
        <f>SUMIFS('CWO Bulan Ini'!$DD:$DD,'CWO Bulan Ini'!$DJ:$DJ,'Area-Cabang'!$B72,'CWO Bulan Ini'!$DH:$DH,'Area-Cabang'!$E72,'CWO Bulan Ini'!$CZ:$CZ,'Area-Cabang'!AX$41)</f>
        <v>0</v>
      </c>
      <c r="AY72" s="56">
        <f>SUMIFS('CWO Bulan Ini'!$DD:$DD,'CWO Bulan Ini'!$DJ:$DJ,'Area-Cabang'!$B72,'CWO Bulan Ini'!$DH:$DH,'Area-Cabang'!$E72,'CWO Bulan Ini'!$CZ:$CZ,'Area-Cabang'!AY$41)</f>
        <v>0</v>
      </c>
      <c r="AZ72" s="56">
        <f>SUMIFS('CWO Bulan Ini'!$DD:$DD,'CWO Bulan Ini'!$DJ:$DJ,'Area-Cabang'!$B72,'CWO Bulan Ini'!$DH:$DH,'Area-Cabang'!$E72,'CWO Bulan Ini'!$CZ:$CZ,'Area-Cabang'!AZ$41)</f>
        <v>0</v>
      </c>
      <c r="BA72" s="56">
        <f>SUMIFS('CWO Bulan Ini'!$DD:$DD,'CWO Bulan Ini'!$DJ:$DJ,'Area-Cabang'!$B72,'CWO Bulan Ini'!$DH:$DH,'Area-Cabang'!$E72,'CWO Bulan Ini'!$CZ:$CZ,'Area-Cabang'!BA$41)</f>
        <v>0</v>
      </c>
      <c r="BB72" s="56">
        <f>SUMIFS('CWO Bulan Ini'!$DD:$DD,'CWO Bulan Ini'!$DJ:$DJ,'Area-Cabang'!$B72,'CWO Bulan Ini'!$DH:$DH,'Area-Cabang'!$E72,'CWO Bulan Ini'!$CZ:$CZ,'Area-Cabang'!BB$41)</f>
        <v>0</v>
      </c>
      <c r="BC72" s="56">
        <f>SUMIFS('CWO Bulan Ini'!$DD:$DD,'CWO Bulan Ini'!$DJ:$DJ,'Area-Cabang'!$B72,'CWO Bulan Ini'!$DH:$DH,'Area-Cabang'!$E72,'CWO Bulan Ini'!$CZ:$CZ,'Area-Cabang'!BC$41)</f>
        <v>0</v>
      </c>
      <c r="BD72" s="56">
        <f>SUMIFS('CWO Bulan Ini'!$DD:$DD,'CWO Bulan Ini'!$DJ:$DJ,'Area-Cabang'!$B72,'CWO Bulan Ini'!$DH:$DH,'Area-Cabang'!$E72,'CWO Bulan Ini'!$CZ:$CZ,'Area-Cabang'!BD$41)</f>
        <v>0</v>
      </c>
      <c r="BE72" s="56">
        <f>SUMIFS('CWO Bulan Ini'!$DD:$DD,'CWO Bulan Ini'!$DJ:$DJ,'Area-Cabang'!$B72,'CWO Bulan Ini'!$DH:$DH,'Area-Cabang'!$E72,'CWO Bulan Ini'!$CZ:$CZ,'Area-Cabang'!BE$41)</f>
        <v>0</v>
      </c>
      <c r="BF72" s="56">
        <f>SUMIFS('CWO Bulan Ini'!$DD:$DD,'CWO Bulan Ini'!$DJ:$DJ,'Area-Cabang'!$B72,'CWO Bulan Ini'!$DH:$DH,'Area-Cabang'!$E72,'CWO Bulan Ini'!$CZ:$CZ,'Area-Cabang'!BF$41)</f>
        <v>0</v>
      </c>
      <c r="BG72" s="56">
        <f>SUMIFS('CWO Bulan Ini'!$DD:$DD,'CWO Bulan Ini'!$DJ:$DJ,'Area-Cabang'!$B72,'CWO Bulan Ini'!$DH:$DH,'Area-Cabang'!$E72,'CWO Bulan Ini'!$CZ:$CZ,'Area-Cabang'!BG$41)</f>
        <v>0</v>
      </c>
      <c r="BH72" s="56">
        <f>SUMIFS('CWO Bulan Ini'!$DD:$DD,'CWO Bulan Ini'!$DJ:$DJ,'Area-Cabang'!$B72,'CWO Bulan Ini'!$DH:$DH,'Area-Cabang'!$E72,'CWO Bulan Ini'!$CZ:$CZ,'Area-Cabang'!BH$41)</f>
        <v>0</v>
      </c>
      <c r="BI72" s="56">
        <f>SUMIFS('CWO Bulan Ini'!$DD:$DD,'CWO Bulan Ini'!$DJ:$DJ,'Area-Cabang'!$B72,'CWO Bulan Ini'!$DH:$DH,'Area-Cabang'!$E72,'CWO Bulan Ini'!$CZ:$CZ,'Area-Cabang'!BI$41)</f>
        <v>0</v>
      </c>
      <c r="BJ72" s="56">
        <f>SUMIFS('CWO Bulan Ini'!$DD:$DD,'CWO Bulan Ini'!$DJ:$DJ,'Area-Cabang'!$B72,'CWO Bulan Ini'!$DH:$DH,'Area-Cabang'!$E72,'CWO Bulan Ini'!$CZ:$CZ,'Area-Cabang'!BJ$41)</f>
        <v>0</v>
      </c>
      <c r="BK72" s="56">
        <f>SUMIFS('CWO Bulan Ini'!$DD:$DD,'CWO Bulan Ini'!$DJ:$DJ,'Area-Cabang'!$B72,'CWO Bulan Ini'!$DH:$DH,'Area-Cabang'!$E72,'CWO Bulan Ini'!$CZ:$CZ,'Area-Cabang'!BK$41)</f>
        <v>0</v>
      </c>
      <c r="BL72" s="56">
        <f>SUMIFS('CWO Bulan Ini'!$DD:$DD,'CWO Bulan Ini'!$DJ:$DJ,'Area-Cabang'!$B72,'CWO Bulan Ini'!$DH:$DH,'Area-Cabang'!$E72,'CWO Bulan Ini'!$CZ:$CZ,'Area-Cabang'!BL$41)</f>
        <v>0</v>
      </c>
      <c r="BM72" s="56">
        <f>SUMIFS('CWO Bulan Ini'!$DD:$DD,'CWO Bulan Ini'!$DJ:$DJ,'Area-Cabang'!$B72,'CWO Bulan Ini'!$DH:$DH,'Area-Cabang'!$E72,'CWO Bulan Ini'!$CZ:$CZ,'Area-Cabang'!BM$41)</f>
        <v>0</v>
      </c>
      <c r="BN72" s="56">
        <f>SUMIFS('CWO Bulan Ini'!$DD:$DD,'CWO Bulan Ini'!$DJ:$DJ,'Area-Cabang'!$B72,'CWO Bulan Ini'!$DH:$DH,'Area-Cabang'!$E72,'CWO Bulan Ini'!$CZ:$CZ,'Area-Cabang'!BN$41)</f>
        <v>0</v>
      </c>
      <c r="BO72" s="57">
        <f>SUMIFS('CWO Bulan Ini'!$DD:$DD,'CWO Bulan Ini'!$DJ:$DJ,'Area-Cabang'!$B72,'CWO Bulan Ini'!$DH:$DH,'Area-Cabang'!$E72,'CWO Bulan Ini'!$CZ:$CZ,'Area-Cabang'!BO$41)</f>
        <v>0</v>
      </c>
      <c r="BP72" s="55">
        <f>SUMIFS('CWO Bulan Ini'!$DC:$DC,'CWO Bulan Ini'!$DJ:$DJ,'Area-Cabang'!$B72,'CWO Bulan Ini'!$DH:$DH,'Area-Cabang'!$E72,'CWO Bulan Ini'!$CZ:$CZ,'Area-Cabang'!BP$41)</f>
        <v>0</v>
      </c>
      <c r="BQ72" s="56">
        <f>SUMIFS('CWO Bulan Ini'!$DC:$DC,'CWO Bulan Ini'!$DJ:$DJ,'Area-Cabang'!$B72,'CWO Bulan Ini'!$DH:$DH,'Area-Cabang'!$E72,'CWO Bulan Ini'!$CZ:$CZ,'Area-Cabang'!BQ$41)</f>
        <v>0</v>
      </c>
      <c r="BR72" s="56">
        <f>SUMIFS('CWO Bulan Ini'!$DC:$DC,'CWO Bulan Ini'!$DJ:$DJ,'Area-Cabang'!$B72,'CWO Bulan Ini'!$DH:$DH,'Area-Cabang'!$E72,'CWO Bulan Ini'!$CZ:$CZ,'Area-Cabang'!BR$41)</f>
        <v>0</v>
      </c>
      <c r="BS72" s="56">
        <f>SUMIFS('CWO Bulan Ini'!$DC:$DC,'CWO Bulan Ini'!$DJ:$DJ,'Area-Cabang'!$B72,'CWO Bulan Ini'!$DH:$DH,'Area-Cabang'!$E72,'CWO Bulan Ini'!$CZ:$CZ,'Area-Cabang'!BS$41)</f>
        <v>0</v>
      </c>
      <c r="BT72" s="56">
        <f>SUMIFS('CWO Bulan Ini'!$DC:$DC,'CWO Bulan Ini'!$DJ:$DJ,'Area-Cabang'!$B72,'CWO Bulan Ini'!$DH:$DH,'Area-Cabang'!$E72,'CWO Bulan Ini'!$CZ:$CZ,'Area-Cabang'!BT$41)</f>
        <v>0</v>
      </c>
      <c r="BU72" s="56">
        <f>SUMIFS('CWO Bulan Ini'!$DC:$DC,'CWO Bulan Ini'!$DJ:$DJ,'Area-Cabang'!$B72,'CWO Bulan Ini'!$DH:$DH,'Area-Cabang'!$E72,'CWO Bulan Ini'!$CZ:$CZ,'Area-Cabang'!BU$41)</f>
        <v>0</v>
      </c>
      <c r="BV72" s="56">
        <f>SUMIFS('CWO Bulan Ini'!$DC:$DC,'CWO Bulan Ini'!$DJ:$DJ,'Area-Cabang'!$B72,'CWO Bulan Ini'!$DH:$DH,'Area-Cabang'!$E72,'CWO Bulan Ini'!$CZ:$CZ,'Area-Cabang'!BV$41)</f>
        <v>0</v>
      </c>
      <c r="BW72" s="56">
        <f>SUMIFS('CWO Bulan Ini'!$DC:$DC,'CWO Bulan Ini'!$DJ:$DJ,'Area-Cabang'!$B72,'CWO Bulan Ini'!$DH:$DH,'Area-Cabang'!$E72,'CWO Bulan Ini'!$CZ:$CZ,'Area-Cabang'!BW$41)</f>
        <v>0</v>
      </c>
      <c r="BX72" s="56">
        <f>SUMIFS('CWO Bulan Ini'!$DC:$DC,'CWO Bulan Ini'!$DJ:$DJ,'Area-Cabang'!$B72,'CWO Bulan Ini'!$DH:$DH,'Area-Cabang'!$E72,'CWO Bulan Ini'!$CZ:$CZ,'Area-Cabang'!BX$41)</f>
        <v>0</v>
      </c>
      <c r="BY72" s="56">
        <f>SUMIFS('CWO Bulan Ini'!$DC:$DC,'CWO Bulan Ini'!$DJ:$DJ,'Area-Cabang'!$B72,'CWO Bulan Ini'!$DH:$DH,'Area-Cabang'!$E72,'CWO Bulan Ini'!$CZ:$CZ,'Area-Cabang'!BY$41)</f>
        <v>0</v>
      </c>
      <c r="BZ72" s="56">
        <f>SUMIFS('CWO Bulan Ini'!$DC:$DC,'CWO Bulan Ini'!$DJ:$DJ,'Area-Cabang'!$B72,'CWO Bulan Ini'!$DH:$DH,'Area-Cabang'!$E72,'CWO Bulan Ini'!$CZ:$CZ,'Area-Cabang'!BZ$41)</f>
        <v>0</v>
      </c>
      <c r="CA72" s="56">
        <f>SUMIFS('CWO Bulan Ini'!$DC:$DC,'CWO Bulan Ini'!$DJ:$DJ,'Area-Cabang'!$B72,'CWO Bulan Ini'!$DH:$DH,'Area-Cabang'!$E72,'CWO Bulan Ini'!$CZ:$CZ,'Area-Cabang'!CA$41)</f>
        <v>0</v>
      </c>
      <c r="CB72" s="56">
        <f>SUMIFS('CWO Bulan Ini'!$DC:$DC,'CWO Bulan Ini'!$DJ:$DJ,'Area-Cabang'!$B72,'CWO Bulan Ini'!$DH:$DH,'Area-Cabang'!$E72,'CWO Bulan Ini'!$CZ:$CZ,'Area-Cabang'!CB$41)</f>
        <v>0</v>
      </c>
      <c r="CC72" s="56">
        <f>SUMIFS('CWO Bulan Ini'!$DC:$DC,'CWO Bulan Ini'!$DJ:$DJ,'Area-Cabang'!$B72,'CWO Bulan Ini'!$DH:$DH,'Area-Cabang'!$E72,'CWO Bulan Ini'!$CZ:$CZ,'Area-Cabang'!CC$41)</f>
        <v>0</v>
      </c>
      <c r="CD72" s="56">
        <f>SUMIFS('CWO Bulan Ini'!$DC:$DC,'CWO Bulan Ini'!$DJ:$DJ,'Area-Cabang'!$B72,'CWO Bulan Ini'!$DH:$DH,'Area-Cabang'!$E72,'CWO Bulan Ini'!$CZ:$CZ,'Area-Cabang'!CD$41)</f>
        <v>0</v>
      </c>
      <c r="CE72" s="56">
        <f>SUMIFS('CWO Bulan Ini'!$DC:$DC,'CWO Bulan Ini'!$DJ:$DJ,'Area-Cabang'!$B72,'CWO Bulan Ini'!$DH:$DH,'Area-Cabang'!$E72,'CWO Bulan Ini'!$CZ:$CZ,'Area-Cabang'!CE$41)</f>
        <v>0</v>
      </c>
      <c r="CF72" s="56">
        <f>SUMIFS('CWO Bulan Ini'!$DC:$DC,'CWO Bulan Ini'!$DJ:$DJ,'Area-Cabang'!$B72,'CWO Bulan Ini'!$DH:$DH,'Area-Cabang'!$E72,'CWO Bulan Ini'!$CZ:$CZ,'Area-Cabang'!CF$41)</f>
        <v>0</v>
      </c>
      <c r="CG72" s="56">
        <f>SUMIFS('CWO Bulan Ini'!$DC:$DC,'CWO Bulan Ini'!$DJ:$DJ,'Area-Cabang'!$B72,'CWO Bulan Ini'!$DH:$DH,'Area-Cabang'!$E72,'CWO Bulan Ini'!$CZ:$CZ,'Area-Cabang'!CG$41)</f>
        <v>0</v>
      </c>
      <c r="CH72" s="56">
        <f>SUMIFS('CWO Bulan Ini'!$DC:$DC,'CWO Bulan Ini'!$DJ:$DJ,'Area-Cabang'!$B72,'CWO Bulan Ini'!$DH:$DH,'Area-Cabang'!$E72,'CWO Bulan Ini'!$CZ:$CZ,'Area-Cabang'!CH$41)</f>
        <v>0</v>
      </c>
      <c r="CI72" s="56">
        <f>SUMIFS('CWO Bulan Ini'!$DC:$DC,'CWO Bulan Ini'!$DJ:$DJ,'Area-Cabang'!$B72,'CWO Bulan Ini'!$DH:$DH,'Area-Cabang'!$E72,'CWO Bulan Ini'!$CZ:$CZ,'Area-Cabang'!CI$41)</f>
        <v>0</v>
      </c>
      <c r="CJ72" s="56">
        <f>SUMIFS('CWO Bulan Ini'!$DC:$DC,'CWO Bulan Ini'!$DJ:$DJ,'Area-Cabang'!$B72,'CWO Bulan Ini'!$DH:$DH,'Area-Cabang'!$E72,'CWO Bulan Ini'!$CZ:$CZ,'Area-Cabang'!CJ$41)</f>
        <v>0</v>
      </c>
      <c r="CK72" s="56">
        <f>SUMIFS('CWO Bulan Ini'!$DC:$DC,'CWO Bulan Ini'!$DJ:$DJ,'Area-Cabang'!$B72,'CWO Bulan Ini'!$DH:$DH,'Area-Cabang'!$E72,'CWO Bulan Ini'!$CZ:$CZ,'Area-Cabang'!CK$41)</f>
        <v>0</v>
      </c>
      <c r="CL72" s="56">
        <f>SUMIFS('CWO Bulan Ini'!$DC:$DC,'CWO Bulan Ini'!$DJ:$DJ,'Area-Cabang'!$B72,'CWO Bulan Ini'!$DH:$DH,'Area-Cabang'!$E72,'CWO Bulan Ini'!$CZ:$CZ,'Area-Cabang'!CL$41)</f>
        <v>0</v>
      </c>
      <c r="CM72" s="56">
        <f>SUMIFS('CWO Bulan Ini'!$DC:$DC,'CWO Bulan Ini'!$DJ:$DJ,'Area-Cabang'!$B72,'CWO Bulan Ini'!$DH:$DH,'Area-Cabang'!$E72,'CWO Bulan Ini'!$CZ:$CZ,'Area-Cabang'!CM$41)</f>
        <v>0</v>
      </c>
      <c r="CN72" s="56">
        <f>SUMIFS('CWO Bulan Ini'!$DC:$DC,'CWO Bulan Ini'!$DJ:$DJ,'Area-Cabang'!$B72,'CWO Bulan Ini'!$DH:$DH,'Area-Cabang'!$E72,'CWO Bulan Ini'!$CZ:$CZ,'Area-Cabang'!CN$41)</f>
        <v>0</v>
      </c>
      <c r="CO72" s="56">
        <f>SUMIFS('CWO Bulan Ini'!$DC:$DC,'CWO Bulan Ini'!$DJ:$DJ,'Area-Cabang'!$B72,'CWO Bulan Ini'!$DH:$DH,'Area-Cabang'!$E72,'CWO Bulan Ini'!$CZ:$CZ,'Area-Cabang'!CO$41)</f>
        <v>0</v>
      </c>
      <c r="CP72" s="56">
        <f>SUMIFS('CWO Bulan Ini'!$DC:$DC,'CWO Bulan Ini'!$DJ:$DJ,'Area-Cabang'!$B72,'CWO Bulan Ini'!$DH:$DH,'Area-Cabang'!$E72,'CWO Bulan Ini'!$CZ:$CZ,'Area-Cabang'!CP$41)</f>
        <v>0</v>
      </c>
      <c r="CQ72" s="56">
        <f>SUMIFS('CWO Bulan Ini'!$DC:$DC,'CWO Bulan Ini'!$DJ:$DJ,'Area-Cabang'!$B72,'CWO Bulan Ini'!$DH:$DH,'Area-Cabang'!$E72,'CWO Bulan Ini'!$CZ:$CZ,'Area-Cabang'!CQ$41)</f>
        <v>0</v>
      </c>
      <c r="CR72" s="56">
        <f>SUMIFS('CWO Bulan Ini'!$DC:$DC,'CWO Bulan Ini'!$DJ:$DJ,'Area-Cabang'!$B72,'CWO Bulan Ini'!$DH:$DH,'Area-Cabang'!$E72,'CWO Bulan Ini'!$CZ:$CZ,'Area-Cabang'!CR$41)</f>
        <v>0</v>
      </c>
      <c r="CS72" s="56">
        <f>SUMIFS('CWO Bulan Ini'!$DC:$DC,'CWO Bulan Ini'!$DJ:$DJ,'Area-Cabang'!$B72,'CWO Bulan Ini'!$DH:$DH,'Area-Cabang'!$E72,'CWO Bulan Ini'!$CZ:$CZ,'Area-Cabang'!CS$41)</f>
        <v>0</v>
      </c>
      <c r="CT72" s="57">
        <f>SUMIFS('CWO Bulan Ini'!$DC:$DC,'CWO Bulan Ini'!$DJ:$DJ,'Area-Cabang'!$B72,'CWO Bulan Ini'!$DH:$DH,'Area-Cabang'!$E72,'CWO Bulan Ini'!$CZ:$CZ,'Area-Cabang'!CT$41)</f>
        <v>0</v>
      </c>
      <c r="CV72" s="97">
        <f t="shared" ref="CV72:CV73" si="2011">SUM(F72:AJ72)</f>
        <v>0</v>
      </c>
      <c r="CW72" s="98">
        <f t="shared" ref="CW72:CW73" si="2012">SUM(AK72:BO72)</f>
        <v>0</v>
      </c>
      <c r="CX72" s="98">
        <f t="shared" ref="CX72:CX73" si="2013">SUM(BP72:CT72)</f>
        <v>0</v>
      </c>
      <c r="CY72" s="98">
        <f t="shared" ref="CY72:CY73" si="2014">CV72-CW72-CX72</f>
        <v>0</v>
      </c>
      <c r="CZ72" s="105">
        <f t="shared" ref="CZ72:CZ73" si="2015">CY72+CW72</f>
        <v>0</v>
      </c>
    </row>
    <row r="73" spans="1:104" ht="15" customHeight="1" x14ac:dyDescent="0.25">
      <c r="A73" s="58" t="s">
        <v>474</v>
      </c>
      <c r="B73" s="58" t="s">
        <v>173</v>
      </c>
      <c r="C73" s="250"/>
      <c r="D73" s="244"/>
      <c r="E73" s="40" t="s">
        <v>349</v>
      </c>
      <c r="F73" s="41">
        <f>SUMIFS('CWO Bulan Ini'!$DA:$DA,'CWO Bulan Ini'!$DJ:$DJ,'Area-Cabang'!$B73,'CWO Bulan Ini'!$DH:$DH,'Area-Cabang'!$E73,'CWO Bulan Ini'!$CZ:$CZ,'Area-Cabang'!F$41)</f>
        <v>0</v>
      </c>
      <c r="G73" s="42">
        <f>SUMIFS('CWO Bulan Ini'!$DA:$DA,'CWO Bulan Ini'!$DJ:$DJ,'Area-Cabang'!$B73,'CWO Bulan Ini'!$DH:$DH,'Area-Cabang'!$E73,'CWO Bulan Ini'!$CZ:$CZ,'Area-Cabang'!G$41)</f>
        <v>0</v>
      </c>
      <c r="H73" s="42">
        <f>SUMIFS('CWO Bulan Ini'!$DA:$DA,'CWO Bulan Ini'!$DJ:$DJ,'Area-Cabang'!$B73,'CWO Bulan Ini'!$DH:$DH,'Area-Cabang'!$E73,'CWO Bulan Ini'!$CZ:$CZ,'Area-Cabang'!H$41)</f>
        <v>0</v>
      </c>
      <c r="I73" s="42">
        <f>SUMIFS('CWO Bulan Ini'!$DA:$DA,'CWO Bulan Ini'!$DJ:$DJ,'Area-Cabang'!$B73,'CWO Bulan Ini'!$DH:$DH,'Area-Cabang'!$E73,'CWO Bulan Ini'!$CZ:$CZ,'Area-Cabang'!I$41)</f>
        <v>0</v>
      </c>
      <c r="J73" s="42">
        <f>SUMIFS('CWO Bulan Ini'!$DA:$DA,'CWO Bulan Ini'!$DJ:$DJ,'Area-Cabang'!$B73,'CWO Bulan Ini'!$DH:$DH,'Area-Cabang'!$E73,'CWO Bulan Ini'!$CZ:$CZ,'Area-Cabang'!J$41)</f>
        <v>0</v>
      </c>
      <c r="K73" s="42">
        <f>SUMIFS('CWO Bulan Ini'!$DA:$DA,'CWO Bulan Ini'!$DJ:$DJ,'Area-Cabang'!$B73,'CWO Bulan Ini'!$DH:$DH,'Area-Cabang'!$E73,'CWO Bulan Ini'!$CZ:$CZ,'Area-Cabang'!K$41)</f>
        <v>0</v>
      </c>
      <c r="L73" s="42">
        <f>SUMIFS('CWO Bulan Ini'!$DA:$DA,'CWO Bulan Ini'!$DJ:$DJ,'Area-Cabang'!$B73,'CWO Bulan Ini'!$DH:$DH,'Area-Cabang'!$E73,'CWO Bulan Ini'!$CZ:$CZ,'Area-Cabang'!L$41)</f>
        <v>0</v>
      </c>
      <c r="M73" s="42">
        <f>SUMIFS('CWO Bulan Ini'!$DA:$DA,'CWO Bulan Ini'!$DJ:$DJ,'Area-Cabang'!$B73,'CWO Bulan Ini'!$DH:$DH,'Area-Cabang'!$E73,'CWO Bulan Ini'!$CZ:$CZ,'Area-Cabang'!M$41)</f>
        <v>0</v>
      </c>
      <c r="N73" s="42">
        <f>SUMIFS('CWO Bulan Ini'!$DA:$DA,'CWO Bulan Ini'!$DJ:$DJ,'Area-Cabang'!$B73,'CWO Bulan Ini'!$DH:$DH,'Area-Cabang'!$E73,'CWO Bulan Ini'!$CZ:$CZ,'Area-Cabang'!N$41)</f>
        <v>0</v>
      </c>
      <c r="O73" s="42">
        <f>SUMIFS('CWO Bulan Ini'!$DA:$DA,'CWO Bulan Ini'!$DJ:$DJ,'Area-Cabang'!$B73,'CWO Bulan Ini'!$DH:$DH,'Area-Cabang'!$E73,'CWO Bulan Ini'!$CZ:$CZ,'Area-Cabang'!O$41)</f>
        <v>0</v>
      </c>
      <c r="P73" s="42">
        <f>SUMIFS('CWO Bulan Ini'!$DA:$DA,'CWO Bulan Ini'!$DJ:$DJ,'Area-Cabang'!$B73,'CWO Bulan Ini'!$DH:$DH,'Area-Cabang'!$E73,'CWO Bulan Ini'!$CZ:$CZ,'Area-Cabang'!P$41)</f>
        <v>0</v>
      </c>
      <c r="Q73" s="42">
        <f>SUMIFS('CWO Bulan Ini'!$DA:$DA,'CWO Bulan Ini'!$DJ:$DJ,'Area-Cabang'!$B73,'CWO Bulan Ini'!$DH:$DH,'Area-Cabang'!$E73,'CWO Bulan Ini'!$CZ:$CZ,'Area-Cabang'!Q$41)</f>
        <v>0</v>
      </c>
      <c r="R73" s="42">
        <f>SUMIFS('CWO Bulan Ini'!$DA:$DA,'CWO Bulan Ini'!$DJ:$DJ,'Area-Cabang'!$B73,'CWO Bulan Ini'!$DH:$DH,'Area-Cabang'!$E73,'CWO Bulan Ini'!$CZ:$CZ,'Area-Cabang'!R$41)</f>
        <v>0</v>
      </c>
      <c r="S73" s="42">
        <f>SUMIFS('CWO Bulan Ini'!$DA:$DA,'CWO Bulan Ini'!$DJ:$DJ,'Area-Cabang'!$B73,'CWO Bulan Ini'!$DH:$DH,'Area-Cabang'!$E73,'CWO Bulan Ini'!$CZ:$CZ,'Area-Cabang'!S$41)</f>
        <v>0</v>
      </c>
      <c r="T73" s="42">
        <f>SUMIFS('CWO Bulan Ini'!$DA:$DA,'CWO Bulan Ini'!$DJ:$DJ,'Area-Cabang'!$B73,'CWO Bulan Ini'!$DH:$DH,'Area-Cabang'!$E73,'CWO Bulan Ini'!$CZ:$CZ,'Area-Cabang'!T$41)</f>
        <v>0</v>
      </c>
      <c r="U73" s="42">
        <f>SUMIFS('CWO Bulan Ini'!$DA:$DA,'CWO Bulan Ini'!$DJ:$DJ,'Area-Cabang'!$B73,'CWO Bulan Ini'!$DH:$DH,'Area-Cabang'!$E73,'CWO Bulan Ini'!$CZ:$CZ,'Area-Cabang'!U$41)</f>
        <v>0</v>
      </c>
      <c r="V73" s="42">
        <f>SUMIFS('CWO Bulan Ini'!$DA:$DA,'CWO Bulan Ini'!$DJ:$DJ,'Area-Cabang'!$B73,'CWO Bulan Ini'!$DH:$DH,'Area-Cabang'!$E73,'CWO Bulan Ini'!$CZ:$CZ,'Area-Cabang'!V$41)</f>
        <v>0</v>
      </c>
      <c r="W73" s="42">
        <f>SUMIFS('CWO Bulan Ini'!$DA:$DA,'CWO Bulan Ini'!$DJ:$DJ,'Area-Cabang'!$B73,'CWO Bulan Ini'!$DH:$DH,'Area-Cabang'!$E73,'CWO Bulan Ini'!$CZ:$CZ,'Area-Cabang'!W$41)</f>
        <v>0</v>
      </c>
      <c r="X73" s="42">
        <f>SUMIFS('CWO Bulan Ini'!$DA:$DA,'CWO Bulan Ini'!$DJ:$DJ,'Area-Cabang'!$B73,'CWO Bulan Ini'!$DH:$DH,'Area-Cabang'!$E73,'CWO Bulan Ini'!$CZ:$CZ,'Area-Cabang'!X$41)</f>
        <v>0</v>
      </c>
      <c r="Y73" s="42">
        <f>SUMIFS('CWO Bulan Ini'!$DA:$DA,'CWO Bulan Ini'!$DJ:$DJ,'Area-Cabang'!$B73,'CWO Bulan Ini'!$DH:$DH,'Area-Cabang'!$E73,'CWO Bulan Ini'!$CZ:$CZ,'Area-Cabang'!Y$41)</f>
        <v>0</v>
      </c>
      <c r="Z73" s="42">
        <f>SUMIFS('CWO Bulan Ini'!$DA:$DA,'CWO Bulan Ini'!$DJ:$DJ,'Area-Cabang'!$B73,'CWO Bulan Ini'!$DH:$DH,'Area-Cabang'!$E73,'CWO Bulan Ini'!$CZ:$CZ,'Area-Cabang'!Z$41)</f>
        <v>0</v>
      </c>
      <c r="AA73" s="42">
        <f>SUMIFS('CWO Bulan Ini'!$DA:$DA,'CWO Bulan Ini'!$DJ:$DJ,'Area-Cabang'!$B73,'CWO Bulan Ini'!$DH:$DH,'Area-Cabang'!$E73,'CWO Bulan Ini'!$CZ:$CZ,'Area-Cabang'!AA$41)</f>
        <v>0</v>
      </c>
      <c r="AB73" s="42">
        <f>SUMIFS('CWO Bulan Ini'!$DA:$DA,'CWO Bulan Ini'!$DJ:$DJ,'Area-Cabang'!$B73,'CWO Bulan Ini'!$DH:$DH,'Area-Cabang'!$E73,'CWO Bulan Ini'!$CZ:$CZ,'Area-Cabang'!AB$41)</f>
        <v>0</v>
      </c>
      <c r="AC73" s="42">
        <f>SUMIFS('CWO Bulan Ini'!$DA:$DA,'CWO Bulan Ini'!$DJ:$DJ,'Area-Cabang'!$B73,'CWO Bulan Ini'!$DH:$DH,'Area-Cabang'!$E73,'CWO Bulan Ini'!$CZ:$CZ,'Area-Cabang'!AC$41)</f>
        <v>0</v>
      </c>
      <c r="AD73" s="42">
        <f>SUMIFS('CWO Bulan Ini'!$DA:$DA,'CWO Bulan Ini'!$DJ:$DJ,'Area-Cabang'!$B73,'CWO Bulan Ini'!$DH:$DH,'Area-Cabang'!$E73,'CWO Bulan Ini'!$CZ:$CZ,'Area-Cabang'!AD$41)</f>
        <v>0</v>
      </c>
      <c r="AE73" s="42">
        <f>SUMIFS('CWO Bulan Ini'!$DA:$DA,'CWO Bulan Ini'!$DJ:$DJ,'Area-Cabang'!$B73,'CWO Bulan Ini'!$DH:$DH,'Area-Cabang'!$E73,'CWO Bulan Ini'!$CZ:$CZ,'Area-Cabang'!AE$41)</f>
        <v>0</v>
      </c>
      <c r="AF73" s="42">
        <f>SUMIFS('CWO Bulan Ini'!$DA:$DA,'CWO Bulan Ini'!$DJ:$DJ,'Area-Cabang'!$B73,'CWO Bulan Ini'!$DH:$DH,'Area-Cabang'!$E73,'CWO Bulan Ini'!$CZ:$CZ,'Area-Cabang'!AF$41)</f>
        <v>0</v>
      </c>
      <c r="AG73" s="42">
        <f>SUMIFS('CWO Bulan Ini'!$DA:$DA,'CWO Bulan Ini'!$DJ:$DJ,'Area-Cabang'!$B73,'CWO Bulan Ini'!$DH:$DH,'Area-Cabang'!$E73,'CWO Bulan Ini'!$CZ:$CZ,'Area-Cabang'!AG$41)</f>
        <v>0</v>
      </c>
      <c r="AH73" s="42">
        <f>SUMIFS('CWO Bulan Ini'!$DA:$DA,'CWO Bulan Ini'!$DJ:$DJ,'Area-Cabang'!$B73,'CWO Bulan Ini'!$DH:$DH,'Area-Cabang'!$E73,'CWO Bulan Ini'!$CZ:$CZ,'Area-Cabang'!AH$41)</f>
        <v>0</v>
      </c>
      <c r="AI73" s="42">
        <f>SUMIFS('CWO Bulan Ini'!$DA:$DA,'CWO Bulan Ini'!$DJ:$DJ,'Area-Cabang'!$B73,'CWO Bulan Ini'!$DH:$DH,'Area-Cabang'!$E73,'CWO Bulan Ini'!$CZ:$CZ,'Area-Cabang'!AI$41)</f>
        <v>0</v>
      </c>
      <c r="AJ73" s="42">
        <f>SUMIFS('CWO Bulan Ini'!$DA:$DA,'CWO Bulan Ini'!$DJ:$DJ,'Area-Cabang'!$B73,'CWO Bulan Ini'!$DH:$DH,'Area-Cabang'!$E73,'CWO Bulan Ini'!$CZ:$CZ,'Area-Cabang'!AJ$41)</f>
        <v>0</v>
      </c>
      <c r="AK73" s="41">
        <f>SUMIFS('CWO Bulan Ini'!$DD:$DD,'CWO Bulan Ini'!$DJ:$DJ,'Area-Cabang'!$B73,'CWO Bulan Ini'!$DH:$DH,'Area-Cabang'!$E73,'CWO Bulan Ini'!$CZ:$CZ,'Area-Cabang'!AK$41)</f>
        <v>0</v>
      </c>
      <c r="AL73" s="42">
        <f>SUMIFS('CWO Bulan Ini'!$DD:$DD,'CWO Bulan Ini'!$DJ:$DJ,'Area-Cabang'!$B73,'CWO Bulan Ini'!$DH:$DH,'Area-Cabang'!$E73,'CWO Bulan Ini'!$CZ:$CZ,'Area-Cabang'!AL$41)</f>
        <v>0</v>
      </c>
      <c r="AM73" s="42">
        <f>SUMIFS('CWO Bulan Ini'!$DD:$DD,'CWO Bulan Ini'!$DJ:$DJ,'Area-Cabang'!$B73,'CWO Bulan Ini'!$DH:$DH,'Area-Cabang'!$E73,'CWO Bulan Ini'!$CZ:$CZ,'Area-Cabang'!AM$41)</f>
        <v>0</v>
      </c>
      <c r="AN73" s="42">
        <f>SUMIFS('CWO Bulan Ini'!$DD:$DD,'CWO Bulan Ini'!$DJ:$DJ,'Area-Cabang'!$B73,'CWO Bulan Ini'!$DH:$DH,'Area-Cabang'!$E73,'CWO Bulan Ini'!$CZ:$CZ,'Area-Cabang'!AN$41)</f>
        <v>0</v>
      </c>
      <c r="AO73" s="42">
        <f>SUMIFS('CWO Bulan Ini'!$DD:$DD,'CWO Bulan Ini'!$DJ:$DJ,'Area-Cabang'!$B73,'CWO Bulan Ini'!$DH:$DH,'Area-Cabang'!$E73,'CWO Bulan Ini'!$CZ:$CZ,'Area-Cabang'!AO$41)</f>
        <v>0</v>
      </c>
      <c r="AP73" s="42">
        <f>SUMIFS('CWO Bulan Ini'!$DD:$DD,'CWO Bulan Ini'!$DJ:$DJ,'Area-Cabang'!$B73,'CWO Bulan Ini'!$DH:$DH,'Area-Cabang'!$E73,'CWO Bulan Ini'!$CZ:$CZ,'Area-Cabang'!AP$41)</f>
        <v>0</v>
      </c>
      <c r="AQ73" s="42">
        <f>SUMIFS('CWO Bulan Ini'!$DD:$DD,'CWO Bulan Ini'!$DJ:$DJ,'Area-Cabang'!$B73,'CWO Bulan Ini'!$DH:$DH,'Area-Cabang'!$E73,'CWO Bulan Ini'!$CZ:$CZ,'Area-Cabang'!AQ$41)</f>
        <v>0</v>
      </c>
      <c r="AR73" s="42">
        <f>SUMIFS('CWO Bulan Ini'!$DD:$DD,'CWO Bulan Ini'!$DJ:$DJ,'Area-Cabang'!$B73,'CWO Bulan Ini'!$DH:$DH,'Area-Cabang'!$E73,'CWO Bulan Ini'!$CZ:$CZ,'Area-Cabang'!AR$41)</f>
        <v>0</v>
      </c>
      <c r="AS73" s="42">
        <f>SUMIFS('CWO Bulan Ini'!$DD:$DD,'CWO Bulan Ini'!$DJ:$DJ,'Area-Cabang'!$B73,'CWO Bulan Ini'!$DH:$DH,'Area-Cabang'!$E73,'CWO Bulan Ini'!$CZ:$CZ,'Area-Cabang'!AS$41)</f>
        <v>0</v>
      </c>
      <c r="AT73" s="42">
        <f>SUMIFS('CWO Bulan Ini'!$DD:$DD,'CWO Bulan Ini'!$DJ:$DJ,'Area-Cabang'!$B73,'CWO Bulan Ini'!$DH:$DH,'Area-Cabang'!$E73,'CWO Bulan Ini'!$CZ:$CZ,'Area-Cabang'!AT$41)</f>
        <v>0</v>
      </c>
      <c r="AU73" s="42">
        <f>SUMIFS('CWO Bulan Ini'!$DD:$DD,'CWO Bulan Ini'!$DJ:$DJ,'Area-Cabang'!$B73,'CWO Bulan Ini'!$DH:$DH,'Area-Cabang'!$E73,'CWO Bulan Ini'!$CZ:$CZ,'Area-Cabang'!AU$41)</f>
        <v>0</v>
      </c>
      <c r="AV73" s="42">
        <f>SUMIFS('CWO Bulan Ini'!$DD:$DD,'CWO Bulan Ini'!$DJ:$DJ,'Area-Cabang'!$B73,'CWO Bulan Ini'!$DH:$DH,'Area-Cabang'!$E73,'CWO Bulan Ini'!$CZ:$CZ,'Area-Cabang'!AV$41)</f>
        <v>0</v>
      </c>
      <c r="AW73" s="42">
        <f>SUMIFS('CWO Bulan Ini'!$DD:$DD,'CWO Bulan Ini'!$DJ:$DJ,'Area-Cabang'!$B73,'CWO Bulan Ini'!$DH:$DH,'Area-Cabang'!$E73,'CWO Bulan Ini'!$CZ:$CZ,'Area-Cabang'!AW$41)</f>
        <v>0</v>
      </c>
      <c r="AX73" s="42">
        <f>SUMIFS('CWO Bulan Ini'!$DD:$DD,'CWO Bulan Ini'!$DJ:$DJ,'Area-Cabang'!$B73,'CWO Bulan Ini'!$DH:$DH,'Area-Cabang'!$E73,'CWO Bulan Ini'!$CZ:$CZ,'Area-Cabang'!AX$41)</f>
        <v>0</v>
      </c>
      <c r="AY73" s="42">
        <f>SUMIFS('CWO Bulan Ini'!$DD:$DD,'CWO Bulan Ini'!$DJ:$DJ,'Area-Cabang'!$B73,'CWO Bulan Ini'!$DH:$DH,'Area-Cabang'!$E73,'CWO Bulan Ini'!$CZ:$CZ,'Area-Cabang'!AY$41)</f>
        <v>0</v>
      </c>
      <c r="AZ73" s="42">
        <f>SUMIFS('CWO Bulan Ini'!$DD:$DD,'CWO Bulan Ini'!$DJ:$DJ,'Area-Cabang'!$B73,'CWO Bulan Ini'!$DH:$DH,'Area-Cabang'!$E73,'CWO Bulan Ini'!$CZ:$CZ,'Area-Cabang'!AZ$41)</f>
        <v>0</v>
      </c>
      <c r="BA73" s="42">
        <f>SUMIFS('CWO Bulan Ini'!$DD:$DD,'CWO Bulan Ini'!$DJ:$DJ,'Area-Cabang'!$B73,'CWO Bulan Ini'!$DH:$DH,'Area-Cabang'!$E73,'CWO Bulan Ini'!$CZ:$CZ,'Area-Cabang'!BA$41)</f>
        <v>0</v>
      </c>
      <c r="BB73" s="42">
        <f>SUMIFS('CWO Bulan Ini'!$DD:$DD,'CWO Bulan Ini'!$DJ:$DJ,'Area-Cabang'!$B73,'CWO Bulan Ini'!$DH:$DH,'Area-Cabang'!$E73,'CWO Bulan Ini'!$CZ:$CZ,'Area-Cabang'!BB$41)</f>
        <v>0</v>
      </c>
      <c r="BC73" s="42">
        <f>SUMIFS('CWO Bulan Ini'!$DD:$DD,'CWO Bulan Ini'!$DJ:$DJ,'Area-Cabang'!$B73,'CWO Bulan Ini'!$DH:$DH,'Area-Cabang'!$E73,'CWO Bulan Ini'!$CZ:$CZ,'Area-Cabang'!BC$41)</f>
        <v>0</v>
      </c>
      <c r="BD73" s="42">
        <f>SUMIFS('CWO Bulan Ini'!$DD:$DD,'CWO Bulan Ini'!$DJ:$DJ,'Area-Cabang'!$B73,'CWO Bulan Ini'!$DH:$DH,'Area-Cabang'!$E73,'CWO Bulan Ini'!$CZ:$CZ,'Area-Cabang'!BD$41)</f>
        <v>0</v>
      </c>
      <c r="BE73" s="42">
        <f>SUMIFS('CWO Bulan Ini'!$DD:$DD,'CWO Bulan Ini'!$DJ:$DJ,'Area-Cabang'!$B73,'CWO Bulan Ini'!$DH:$DH,'Area-Cabang'!$E73,'CWO Bulan Ini'!$CZ:$CZ,'Area-Cabang'!BE$41)</f>
        <v>0</v>
      </c>
      <c r="BF73" s="42">
        <f>SUMIFS('CWO Bulan Ini'!$DD:$DD,'CWO Bulan Ini'!$DJ:$DJ,'Area-Cabang'!$B73,'CWO Bulan Ini'!$DH:$DH,'Area-Cabang'!$E73,'CWO Bulan Ini'!$CZ:$CZ,'Area-Cabang'!BF$41)</f>
        <v>0</v>
      </c>
      <c r="BG73" s="42">
        <f>SUMIFS('CWO Bulan Ini'!$DD:$DD,'CWO Bulan Ini'!$DJ:$DJ,'Area-Cabang'!$B73,'CWO Bulan Ini'!$DH:$DH,'Area-Cabang'!$E73,'CWO Bulan Ini'!$CZ:$CZ,'Area-Cabang'!BG$41)</f>
        <v>0</v>
      </c>
      <c r="BH73" s="42">
        <f>SUMIFS('CWO Bulan Ini'!$DD:$DD,'CWO Bulan Ini'!$DJ:$DJ,'Area-Cabang'!$B73,'CWO Bulan Ini'!$DH:$DH,'Area-Cabang'!$E73,'CWO Bulan Ini'!$CZ:$CZ,'Area-Cabang'!BH$41)</f>
        <v>0</v>
      </c>
      <c r="BI73" s="42">
        <f>SUMIFS('CWO Bulan Ini'!$DD:$DD,'CWO Bulan Ini'!$DJ:$DJ,'Area-Cabang'!$B73,'CWO Bulan Ini'!$DH:$DH,'Area-Cabang'!$E73,'CWO Bulan Ini'!$CZ:$CZ,'Area-Cabang'!BI$41)</f>
        <v>0</v>
      </c>
      <c r="BJ73" s="42">
        <f>SUMIFS('CWO Bulan Ini'!$DD:$DD,'CWO Bulan Ini'!$DJ:$DJ,'Area-Cabang'!$B73,'CWO Bulan Ini'!$DH:$DH,'Area-Cabang'!$E73,'CWO Bulan Ini'!$CZ:$CZ,'Area-Cabang'!BJ$41)</f>
        <v>0</v>
      </c>
      <c r="BK73" s="42">
        <f>SUMIFS('CWO Bulan Ini'!$DD:$DD,'CWO Bulan Ini'!$DJ:$DJ,'Area-Cabang'!$B73,'CWO Bulan Ini'!$DH:$DH,'Area-Cabang'!$E73,'CWO Bulan Ini'!$CZ:$CZ,'Area-Cabang'!BK$41)</f>
        <v>0</v>
      </c>
      <c r="BL73" s="42">
        <f>SUMIFS('CWO Bulan Ini'!$DD:$DD,'CWO Bulan Ini'!$DJ:$DJ,'Area-Cabang'!$B73,'CWO Bulan Ini'!$DH:$DH,'Area-Cabang'!$E73,'CWO Bulan Ini'!$CZ:$CZ,'Area-Cabang'!BL$41)</f>
        <v>0</v>
      </c>
      <c r="BM73" s="42">
        <f>SUMIFS('CWO Bulan Ini'!$DD:$DD,'CWO Bulan Ini'!$DJ:$DJ,'Area-Cabang'!$B73,'CWO Bulan Ini'!$DH:$DH,'Area-Cabang'!$E73,'CWO Bulan Ini'!$CZ:$CZ,'Area-Cabang'!BM$41)</f>
        <v>0</v>
      </c>
      <c r="BN73" s="42">
        <f>SUMIFS('CWO Bulan Ini'!$DD:$DD,'CWO Bulan Ini'!$DJ:$DJ,'Area-Cabang'!$B73,'CWO Bulan Ini'!$DH:$DH,'Area-Cabang'!$E73,'CWO Bulan Ini'!$CZ:$CZ,'Area-Cabang'!BN$41)</f>
        <v>0</v>
      </c>
      <c r="BO73" s="43">
        <f>SUMIFS('CWO Bulan Ini'!$DD:$DD,'CWO Bulan Ini'!$DJ:$DJ,'Area-Cabang'!$B73,'CWO Bulan Ini'!$DH:$DH,'Area-Cabang'!$E73,'CWO Bulan Ini'!$CZ:$CZ,'Area-Cabang'!BO$41)</f>
        <v>0</v>
      </c>
      <c r="BP73" s="41">
        <f>SUMIFS('CWO Bulan Ini'!$DC:$DC,'CWO Bulan Ini'!$DJ:$DJ,'Area-Cabang'!$B73,'CWO Bulan Ini'!$DH:$DH,'Area-Cabang'!$E73,'CWO Bulan Ini'!$CZ:$CZ,'Area-Cabang'!BP$41)</f>
        <v>0</v>
      </c>
      <c r="BQ73" s="42">
        <f>SUMIFS('CWO Bulan Ini'!$DC:$DC,'CWO Bulan Ini'!$DJ:$DJ,'Area-Cabang'!$B73,'CWO Bulan Ini'!$DH:$DH,'Area-Cabang'!$E73,'CWO Bulan Ini'!$CZ:$CZ,'Area-Cabang'!BQ$41)</f>
        <v>0</v>
      </c>
      <c r="BR73" s="42">
        <f>SUMIFS('CWO Bulan Ini'!$DC:$DC,'CWO Bulan Ini'!$DJ:$DJ,'Area-Cabang'!$B73,'CWO Bulan Ini'!$DH:$DH,'Area-Cabang'!$E73,'CWO Bulan Ini'!$CZ:$CZ,'Area-Cabang'!BR$41)</f>
        <v>0</v>
      </c>
      <c r="BS73" s="42">
        <f>SUMIFS('CWO Bulan Ini'!$DC:$DC,'CWO Bulan Ini'!$DJ:$DJ,'Area-Cabang'!$B73,'CWO Bulan Ini'!$DH:$DH,'Area-Cabang'!$E73,'CWO Bulan Ini'!$CZ:$CZ,'Area-Cabang'!BS$41)</f>
        <v>0</v>
      </c>
      <c r="BT73" s="42">
        <f>SUMIFS('CWO Bulan Ini'!$DC:$DC,'CWO Bulan Ini'!$DJ:$DJ,'Area-Cabang'!$B73,'CWO Bulan Ini'!$DH:$DH,'Area-Cabang'!$E73,'CWO Bulan Ini'!$CZ:$CZ,'Area-Cabang'!BT$41)</f>
        <v>0</v>
      </c>
      <c r="BU73" s="42">
        <f>SUMIFS('CWO Bulan Ini'!$DC:$DC,'CWO Bulan Ini'!$DJ:$DJ,'Area-Cabang'!$B73,'CWO Bulan Ini'!$DH:$DH,'Area-Cabang'!$E73,'CWO Bulan Ini'!$CZ:$CZ,'Area-Cabang'!BU$41)</f>
        <v>0</v>
      </c>
      <c r="BV73" s="42">
        <f>SUMIFS('CWO Bulan Ini'!$DC:$DC,'CWO Bulan Ini'!$DJ:$DJ,'Area-Cabang'!$B73,'CWO Bulan Ini'!$DH:$DH,'Area-Cabang'!$E73,'CWO Bulan Ini'!$CZ:$CZ,'Area-Cabang'!BV$41)</f>
        <v>0</v>
      </c>
      <c r="BW73" s="42">
        <f>SUMIFS('CWO Bulan Ini'!$DC:$DC,'CWO Bulan Ini'!$DJ:$DJ,'Area-Cabang'!$B73,'CWO Bulan Ini'!$DH:$DH,'Area-Cabang'!$E73,'CWO Bulan Ini'!$CZ:$CZ,'Area-Cabang'!BW$41)</f>
        <v>0</v>
      </c>
      <c r="BX73" s="42">
        <f>SUMIFS('CWO Bulan Ini'!$DC:$DC,'CWO Bulan Ini'!$DJ:$DJ,'Area-Cabang'!$B73,'CWO Bulan Ini'!$DH:$DH,'Area-Cabang'!$E73,'CWO Bulan Ini'!$CZ:$CZ,'Area-Cabang'!BX$41)</f>
        <v>0</v>
      </c>
      <c r="BY73" s="42">
        <f>SUMIFS('CWO Bulan Ini'!$DC:$DC,'CWO Bulan Ini'!$DJ:$DJ,'Area-Cabang'!$B73,'CWO Bulan Ini'!$DH:$DH,'Area-Cabang'!$E73,'CWO Bulan Ini'!$CZ:$CZ,'Area-Cabang'!BY$41)</f>
        <v>0</v>
      </c>
      <c r="BZ73" s="42">
        <f>SUMIFS('CWO Bulan Ini'!$DC:$DC,'CWO Bulan Ini'!$DJ:$DJ,'Area-Cabang'!$B73,'CWO Bulan Ini'!$DH:$DH,'Area-Cabang'!$E73,'CWO Bulan Ini'!$CZ:$CZ,'Area-Cabang'!BZ$41)</f>
        <v>0</v>
      </c>
      <c r="CA73" s="42">
        <f>SUMIFS('CWO Bulan Ini'!$DC:$DC,'CWO Bulan Ini'!$DJ:$DJ,'Area-Cabang'!$B73,'CWO Bulan Ini'!$DH:$DH,'Area-Cabang'!$E73,'CWO Bulan Ini'!$CZ:$CZ,'Area-Cabang'!CA$41)</f>
        <v>0</v>
      </c>
      <c r="CB73" s="42">
        <f>SUMIFS('CWO Bulan Ini'!$DC:$DC,'CWO Bulan Ini'!$DJ:$DJ,'Area-Cabang'!$B73,'CWO Bulan Ini'!$DH:$DH,'Area-Cabang'!$E73,'CWO Bulan Ini'!$CZ:$CZ,'Area-Cabang'!CB$41)</f>
        <v>0</v>
      </c>
      <c r="CC73" s="42">
        <f>SUMIFS('CWO Bulan Ini'!$DC:$DC,'CWO Bulan Ini'!$DJ:$DJ,'Area-Cabang'!$B73,'CWO Bulan Ini'!$DH:$DH,'Area-Cabang'!$E73,'CWO Bulan Ini'!$CZ:$CZ,'Area-Cabang'!CC$41)</f>
        <v>0</v>
      </c>
      <c r="CD73" s="42">
        <f>SUMIFS('CWO Bulan Ini'!$DC:$DC,'CWO Bulan Ini'!$DJ:$DJ,'Area-Cabang'!$B73,'CWO Bulan Ini'!$DH:$DH,'Area-Cabang'!$E73,'CWO Bulan Ini'!$CZ:$CZ,'Area-Cabang'!CD$41)</f>
        <v>0</v>
      </c>
      <c r="CE73" s="42">
        <f>SUMIFS('CWO Bulan Ini'!$DC:$DC,'CWO Bulan Ini'!$DJ:$DJ,'Area-Cabang'!$B73,'CWO Bulan Ini'!$DH:$DH,'Area-Cabang'!$E73,'CWO Bulan Ini'!$CZ:$CZ,'Area-Cabang'!CE$41)</f>
        <v>0</v>
      </c>
      <c r="CF73" s="42">
        <f>SUMIFS('CWO Bulan Ini'!$DC:$DC,'CWO Bulan Ini'!$DJ:$DJ,'Area-Cabang'!$B73,'CWO Bulan Ini'!$DH:$DH,'Area-Cabang'!$E73,'CWO Bulan Ini'!$CZ:$CZ,'Area-Cabang'!CF$41)</f>
        <v>0</v>
      </c>
      <c r="CG73" s="42">
        <f>SUMIFS('CWO Bulan Ini'!$DC:$DC,'CWO Bulan Ini'!$DJ:$DJ,'Area-Cabang'!$B73,'CWO Bulan Ini'!$DH:$DH,'Area-Cabang'!$E73,'CWO Bulan Ini'!$CZ:$CZ,'Area-Cabang'!CG$41)</f>
        <v>0</v>
      </c>
      <c r="CH73" s="42">
        <f>SUMIFS('CWO Bulan Ini'!$DC:$DC,'CWO Bulan Ini'!$DJ:$DJ,'Area-Cabang'!$B73,'CWO Bulan Ini'!$DH:$DH,'Area-Cabang'!$E73,'CWO Bulan Ini'!$CZ:$CZ,'Area-Cabang'!CH$41)</f>
        <v>0</v>
      </c>
      <c r="CI73" s="42">
        <f>SUMIFS('CWO Bulan Ini'!$DC:$DC,'CWO Bulan Ini'!$DJ:$DJ,'Area-Cabang'!$B73,'CWO Bulan Ini'!$DH:$DH,'Area-Cabang'!$E73,'CWO Bulan Ini'!$CZ:$CZ,'Area-Cabang'!CI$41)</f>
        <v>0</v>
      </c>
      <c r="CJ73" s="42">
        <f>SUMIFS('CWO Bulan Ini'!$DC:$DC,'CWO Bulan Ini'!$DJ:$DJ,'Area-Cabang'!$B73,'CWO Bulan Ini'!$DH:$DH,'Area-Cabang'!$E73,'CWO Bulan Ini'!$CZ:$CZ,'Area-Cabang'!CJ$41)</f>
        <v>0</v>
      </c>
      <c r="CK73" s="42">
        <f>SUMIFS('CWO Bulan Ini'!$DC:$DC,'CWO Bulan Ini'!$DJ:$DJ,'Area-Cabang'!$B73,'CWO Bulan Ini'!$DH:$DH,'Area-Cabang'!$E73,'CWO Bulan Ini'!$CZ:$CZ,'Area-Cabang'!CK$41)</f>
        <v>0</v>
      </c>
      <c r="CL73" s="42">
        <f>SUMIFS('CWO Bulan Ini'!$DC:$DC,'CWO Bulan Ini'!$DJ:$DJ,'Area-Cabang'!$B73,'CWO Bulan Ini'!$DH:$DH,'Area-Cabang'!$E73,'CWO Bulan Ini'!$CZ:$CZ,'Area-Cabang'!CL$41)</f>
        <v>0</v>
      </c>
      <c r="CM73" s="42">
        <f>SUMIFS('CWO Bulan Ini'!$DC:$DC,'CWO Bulan Ini'!$DJ:$DJ,'Area-Cabang'!$B73,'CWO Bulan Ini'!$DH:$DH,'Area-Cabang'!$E73,'CWO Bulan Ini'!$CZ:$CZ,'Area-Cabang'!CM$41)</f>
        <v>0</v>
      </c>
      <c r="CN73" s="42">
        <f>SUMIFS('CWO Bulan Ini'!$DC:$DC,'CWO Bulan Ini'!$DJ:$DJ,'Area-Cabang'!$B73,'CWO Bulan Ini'!$DH:$DH,'Area-Cabang'!$E73,'CWO Bulan Ini'!$CZ:$CZ,'Area-Cabang'!CN$41)</f>
        <v>0</v>
      </c>
      <c r="CO73" s="42">
        <f>SUMIFS('CWO Bulan Ini'!$DC:$DC,'CWO Bulan Ini'!$DJ:$DJ,'Area-Cabang'!$B73,'CWO Bulan Ini'!$DH:$DH,'Area-Cabang'!$E73,'CWO Bulan Ini'!$CZ:$CZ,'Area-Cabang'!CO$41)</f>
        <v>0</v>
      </c>
      <c r="CP73" s="42">
        <f>SUMIFS('CWO Bulan Ini'!$DC:$DC,'CWO Bulan Ini'!$DJ:$DJ,'Area-Cabang'!$B73,'CWO Bulan Ini'!$DH:$DH,'Area-Cabang'!$E73,'CWO Bulan Ini'!$CZ:$CZ,'Area-Cabang'!CP$41)</f>
        <v>0</v>
      </c>
      <c r="CQ73" s="42">
        <f>SUMIFS('CWO Bulan Ini'!$DC:$DC,'CWO Bulan Ini'!$DJ:$DJ,'Area-Cabang'!$B73,'CWO Bulan Ini'!$DH:$DH,'Area-Cabang'!$E73,'CWO Bulan Ini'!$CZ:$CZ,'Area-Cabang'!CQ$41)</f>
        <v>0</v>
      </c>
      <c r="CR73" s="42">
        <f>SUMIFS('CWO Bulan Ini'!$DC:$DC,'CWO Bulan Ini'!$DJ:$DJ,'Area-Cabang'!$B73,'CWO Bulan Ini'!$DH:$DH,'Area-Cabang'!$E73,'CWO Bulan Ini'!$CZ:$CZ,'Area-Cabang'!CR$41)</f>
        <v>0</v>
      </c>
      <c r="CS73" s="42">
        <f>SUMIFS('CWO Bulan Ini'!$DC:$DC,'CWO Bulan Ini'!$DJ:$DJ,'Area-Cabang'!$B73,'CWO Bulan Ini'!$DH:$DH,'Area-Cabang'!$E73,'CWO Bulan Ini'!$CZ:$CZ,'Area-Cabang'!CS$41)</f>
        <v>0</v>
      </c>
      <c r="CT73" s="43">
        <f>SUMIFS('CWO Bulan Ini'!$DC:$DC,'CWO Bulan Ini'!$DJ:$DJ,'Area-Cabang'!$B73,'CWO Bulan Ini'!$DH:$DH,'Area-Cabang'!$E73,'CWO Bulan Ini'!$CZ:$CZ,'Area-Cabang'!CT$41)</f>
        <v>0</v>
      </c>
      <c r="CV73" s="96">
        <f t="shared" si="2011"/>
        <v>0</v>
      </c>
      <c r="CW73" s="93">
        <f t="shared" si="2012"/>
        <v>0</v>
      </c>
      <c r="CX73" s="93">
        <f t="shared" si="2013"/>
        <v>0</v>
      </c>
      <c r="CY73" s="93">
        <f t="shared" si="2014"/>
        <v>0</v>
      </c>
      <c r="CZ73" s="106">
        <f t="shared" si="2015"/>
        <v>0</v>
      </c>
    </row>
    <row r="74" spans="1:104" ht="15" customHeight="1" x14ac:dyDescent="0.25">
      <c r="A74" s="58" t="s">
        <v>474</v>
      </c>
      <c r="B74" s="53" t="s">
        <v>817</v>
      </c>
      <c r="C74" s="250"/>
      <c r="D74" s="227" t="s">
        <v>817</v>
      </c>
      <c r="E74" s="228"/>
      <c r="F74" s="219">
        <f t="shared" ref="F74" si="2016">SUM(F72:F73)</f>
        <v>0</v>
      </c>
      <c r="G74" s="220">
        <f t="shared" ref="G74" si="2017">SUM(G72:G73)</f>
        <v>0</v>
      </c>
      <c r="H74" s="220">
        <f t="shared" ref="H74" si="2018">SUM(H72:H73)</f>
        <v>0</v>
      </c>
      <c r="I74" s="220">
        <f t="shared" ref="I74" si="2019">SUM(I72:I73)</f>
        <v>0</v>
      </c>
      <c r="J74" s="220">
        <f t="shared" ref="J74" si="2020">SUM(J72:J73)</f>
        <v>0</v>
      </c>
      <c r="K74" s="220">
        <f t="shared" ref="K74" si="2021">SUM(K72:K73)</f>
        <v>0</v>
      </c>
      <c r="L74" s="220">
        <f t="shared" ref="L74" si="2022">SUM(L72:L73)</f>
        <v>0</v>
      </c>
      <c r="M74" s="220">
        <f t="shared" ref="M74" si="2023">SUM(M72:M73)</f>
        <v>0</v>
      </c>
      <c r="N74" s="220">
        <f t="shared" ref="N74" si="2024">SUM(N72:N73)</f>
        <v>0</v>
      </c>
      <c r="O74" s="220">
        <f t="shared" ref="O74" si="2025">SUM(O72:O73)</f>
        <v>0</v>
      </c>
      <c r="P74" s="220">
        <f t="shared" ref="P74" si="2026">SUM(P72:P73)</f>
        <v>0</v>
      </c>
      <c r="Q74" s="220">
        <f t="shared" ref="Q74" si="2027">SUM(Q72:Q73)</f>
        <v>0</v>
      </c>
      <c r="R74" s="220">
        <f t="shared" ref="R74" si="2028">SUM(R72:R73)</f>
        <v>0</v>
      </c>
      <c r="S74" s="220">
        <f t="shared" ref="S74" si="2029">SUM(S72:S73)</f>
        <v>0</v>
      </c>
      <c r="T74" s="220">
        <f t="shared" ref="T74" si="2030">SUM(T72:T73)</f>
        <v>0</v>
      </c>
      <c r="U74" s="220">
        <f t="shared" ref="U74" si="2031">SUM(U72:U73)</f>
        <v>0</v>
      </c>
      <c r="V74" s="220">
        <f t="shared" ref="V74" si="2032">SUM(V72:V73)</f>
        <v>0</v>
      </c>
      <c r="W74" s="220">
        <f t="shared" ref="W74" si="2033">SUM(W72:W73)</f>
        <v>0</v>
      </c>
      <c r="X74" s="220">
        <f t="shared" ref="X74" si="2034">SUM(X72:X73)</f>
        <v>0</v>
      </c>
      <c r="Y74" s="220">
        <f t="shared" ref="Y74" si="2035">SUM(Y72:Y73)</f>
        <v>0</v>
      </c>
      <c r="Z74" s="220">
        <f t="shared" ref="Z74" si="2036">SUM(Z72:Z73)</f>
        <v>0</v>
      </c>
      <c r="AA74" s="220">
        <f t="shared" ref="AA74" si="2037">SUM(AA72:AA73)</f>
        <v>0</v>
      </c>
      <c r="AB74" s="220">
        <f t="shared" ref="AB74" si="2038">SUM(AB72:AB73)</f>
        <v>0</v>
      </c>
      <c r="AC74" s="220">
        <f t="shared" ref="AC74" si="2039">SUM(AC72:AC73)</f>
        <v>0</v>
      </c>
      <c r="AD74" s="220">
        <f t="shared" ref="AD74" si="2040">SUM(AD72:AD73)</f>
        <v>0</v>
      </c>
      <c r="AE74" s="220">
        <f t="shared" ref="AE74" si="2041">SUM(AE72:AE73)</f>
        <v>0</v>
      </c>
      <c r="AF74" s="220">
        <f t="shared" ref="AF74" si="2042">SUM(AF72:AF73)</f>
        <v>0</v>
      </c>
      <c r="AG74" s="220">
        <f t="shared" ref="AG74" si="2043">SUM(AG72:AG73)</f>
        <v>0</v>
      </c>
      <c r="AH74" s="220">
        <f t="shared" ref="AH74" si="2044">SUM(AH72:AH73)</f>
        <v>0</v>
      </c>
      <c r="AI74" s="220">
        <f t="shared" ref="AI74" si="2045">SUM(AI72:AI73)</f>
        <v>0</v>
      </c>
      <c r="AJ74" s="220">
        <f t="shared" ref="AJ74" si="2046">SUM(AJ72:AJ73)</f>
        <v>0</v>
      </c>
      <c r="AK74" s="219">
        <f t="shared" ref="AK74" si="2047">SUM(AK72:AK73)</f>
        <v>0</v>
      </c>
      <c r="AL74" s="220">
        <f t="shared" ref="AL74" si="2048">SUM(AL72:AL73)</f>
        <v>0</v>
      </c>
      <c r="AM74" s="220">
        <f t="shared" ref="AM74" si="2049">SUM(AM72:AM73)</f>
        <v>0</v>
      </c>
      <c r="AN74" s="220">
        <f t="shared" ref="AN74" si="2050">SUM(AN72:AN73)</f>
        <v>0</v>
      </c>
      <c r="AO74" s="220">
        <f t="shared" ref="AO74" si="2051">SUM(AO72:AO73)</f>
        <v>0</v>
      </c>
      <c r="AP74" s="220">
        <f t="shared" ref="AP74" si="2052">SUM(AP72:AP73)</f>
        <v>0</v>
      </c>
      <c r="AQ74" s="220">
        <f t="shared" ref="AQ74" si="2053">SUM(AQ72:AQ73)</f>
        <v>0</v>
      </c>
      <c r="AR74" s="220">
        <f t="shared" ref="AR74" si="2054">SUM(AR72:AR73)</f>
        <v>0</v>
      </c>
      <c r="AS74" s="220">
        <f t="shared" ref="AS74" si="2055">SUM(AS72:AS73)</f>
        <v>0</v>
      </c>
      <c r="AT74" s="220">
        <f t="shared" ref="AT74" si="2056">SUM(AT72:AT73)</f>
        <v>0</v>
      </c>
      <c r="AU74" s="220">
        <f t="shared" ref="AU74" si="2057">SUM(AU72:AU73)</f>
        <v>0</v>
      </c>
      <c r="AV74" s="220">
        <f t="shared" ref="AV74" si="2058">SUM(AV72:AV73)</f>
        <v>0</v>
      </c>
      <c r="AW74" s="220">
        <f t="shared" ref="AW74" si="2059">SUM(AW72:AW73)</f>
        <v>0</v>
      </c>
      <c r="AX74" s="220">
        <f t="shared" ref="AX74" si="2060">SUM(AX72:AX73)</f>
        <v>0</v>
      </c>
      <c r="AY74" s="220">
        <f t="shared" ref="AY74" si="2061">SUM(AY72:AY73)</f>
        <v>0</v>
      </c>
      <c r="AZ74" s="220">
        <f t="shared" ref="AZ74" si="2062">SUM(AZ72:AZ73)</f>
        <v>0</v>
      </c>
      <c r="BA74" s="220">
        <f t="shared" ref="BA74" si="2063">SUM(BA72:BA73)</f>
        <v>0</v>
      </c>
      <c r="BB74" s="220">
        <f t="shared" ref="BB74" si="2064">SUM(BB72:BB73)</f>
        <v>0</v>
      </c>
      <c r="BC74" s="220">
        <f t="shared" ref="BC74" si="2065">SUM(BC72:BC73)</f>
        <v>0</v>
      </c>
      <c r="BD74" s="220">
        <f t="shared" ref="BD74" si="2066">SUM(BD72:BD73)</f>
        <v>0</v>
      </c>
      <c r="BE74" s="220">
        <f t="shared" ref="BE74" si="2067">SUM(BE72:BE73)</f>
        <v>0</v>
      </c>
      <c r="BF74" s="220">
        <f t="shared" ref="BF74" si="2068">SUM(BF72:BF73)</f>
        <v>0</v>
      </c>
      <c r="BG74" s="220">
        <f t="shared" ref="BG74" si="2069">SUM(BG72:BG73)</f>
        <v>0</v>
      </c>
      <c r="BH74" s="220">
        <f t="shared" ref="BH74" si="2070">SUM(BH72:BH73)</f>
        <v>0</v>
      </c>
      <c r="BI74" s="220">
        <f t="shared" ref="BI74" si="2071">SUM(BI72:BI73)</f>
        <v>0</v>
      </c>
      <c r="BJ74" s="220">
        <f t="shared" ref="BJ74" si="2072">SUM(BJ72:BJ73)</f>
        <v>0</v>
      </c>
      <c r="BK74" s="220">
        <f t="shared" ref="BK74" si="2073">SUM(BK72:BK73)</f>
        <v>0</v>
      </c>
      <c r="BL74" s="220">
        <f t="shared" ref="BL74" si="2074">SUM(BL72:BL73)</f>
        <v>0</v>
      </c>
      <c r="BM74" s="220">
        <f t="shared" ref="BM74" si="2075">SUM(BM72:BM73)</f>
        <v>0</v>
      </c>
      <c r="BN74" s="220">
        <f t="shared" ref="BN74" si="2076">SUM(BN72:BN73)</f>
        <v>0</v>
      </c>
      <c r="BO74" s="221">
        <f t="shared" ref="BO74" si="2077">SUM(BO72:BO73)</f>
        <v>0</v>
      </c>
      <c r="BP74" s="219">
        <f t="shared" ref="BP74" si="2078">SUM(BP72:BP73)</f>
        <v>0</v>
      </c>
      <c r="BQ74" s="220">
        <f t="shared" ref="BQ74" si="2079">SUM(BQ72:BQ73)</f>
        <v>0</v>
      </c>
      <c r="BR74" s="220">
        <f t="shared" ref="BR74" si="2080">SUM(BR72:BR73)</f>
        <v>0</v>
      </c>
      <c r="BS74" s="220">
        <f t="shared" ref="BS74" si="2081">SUM(BS72:BS73)</f>
        <v>0</v>
      </c>
      <c r="BT74" s="220">
        <f t="shared" ref="BT74" si="2082">SUM(BT72:BT73)</f>
        <v>0</v>
      </c>
      <c r="BU74" s="220">
        <f t="shared" ref="BU74" si="2083">SUM(BU72:BU73)</f>
        <v>0</v>
      </c>
      <c r="BV74" s="220">
        <f t="shared" ref="BV74" si="2084">SUM(BV72:BV73)</f>
        <v>0</v>
      </c>
      <c r="BW74" s="220">
        <f t="shared" ref="BW74" si="2085">SUM(BW72:BW73)</f>
        <v>0</v>
      </c>
      <c r="BX74" s="220">
        <f t="shared" ref="BX74" si="2086">SUM(BX72:BX73)</f>
        <v>0</v>
      </c>
      <c r="BY74" s="220">
        <f t="shared" ref="BY74" si="2087">SUM(BY72:BY73)</f>
        <v>0</v>
      </c>
      <c r="BZ74" s="220">
        <f t="shared" ref="BZ74" si="2088">SUM(BZ72:BZ73)</f>
        <v>0</v>
      </c>
      <c r="CA74" s="220">
        <f t="shared" ref="CA74" si="2089">SUM(CA72:CA73)</f>
        <v>0</v>
      </c>
      <c r="CB74" s="220">
        <f t="shared" ref="CB74" si="2090">SUM(CB72:CB73)</f>
        <v>0</v>
      </c>
      <c r="CC74" s="220">
        <f t="shared" ref="CC74" si="2091">SUM(CC72:CC73)</f>
        <v>0</v>
      </c>
      <c r="CD74" s="220">
        <f t="shared" ref="CD74" si="2092">SUM(CD72:CD73)</f>
        <v>0</v>
      </c>
      <c r="CE74" s="220">
        <f t="shared" ref="CE74" si="2093">SUM(CE72:CE73)</f>
        <v>0</v>
      </c>
      <c r="CF74" s="220">
        <f t="shared" ref="CF74" si="2094">SUM(CF72:CF73)</f>
        <v>0</v>
      </c>
      <c r="CG74" s="220">
        <f t="shared" ref="CG74" si="2095">SUM(CG72:CG73)</f>
        <v>0</v>
      </c>
      <c r="CH74" s="220">
        <f t="shared" ref="CH74" si="2096">SUM(CH72:CH73)</f>
        <v>0</v>
      </c>
      <c r="CI74" s="220">
        <f t="shared" ref="CI74" si="2097">SUM(CI72:CI73)</f>
        <v>0</v>
      </c>
      <c r="CJ74" s="220">
        <f t="shared" ref="CJ74" si="2098">SUM(CJ72:CJ73)</f>
        <v>0</v>
      </c>
      <c r="CK74" s="220">
        <f t="shared" ref="CK74" si="2099">SUM(CK72:CK73)</f>
        <v>0</v>
      </c>
      <c r="CL74" s="220">
        <f t="shared" ref="CL74" si="2100">SUM(CL72:CL73)</f>
        <v>0</v>
      </c>
      <c r="CM74" s="220">
        <f t="shared" ref="CM74" si="2101">SUM(CM72:CM73)</f>
        <v>0</v>
      </c>
      <c r="CN74" s="220">
        <f t="shared" ref="CN74" si="2102">SUM(CN72:CN73)</f>
        <v>0</v>
      </c>
      <c r="CO74" s="220">
        <f t="shared" ref="CO74" si="2103">SUM(CO72:CO73)</f>
        <v>0</v>
      </c>
      <c r="CP74" s="220">
        <f t="shared" ref="CP74" si="2104">SUM(CP72:CP73)</f>
        <v>0</v>
      </c>
      <c r="CQ74" s="220">
        <f t="shared" ref="CQ74" si="2105">SUM(CQ72:CQ73)</f>
        <v>0</v>
      </c>
      <c r="CR74" s="220">
        <f t="shared" ref="CR74" si="2106">SUM(CR72:CR73)</f>
        <v>0</v>
      </c>
      <c r="CS74" s="220">
        <f t="shared" ref="CS74" si="2107">SUM(CS72:CS73)</f>
        <v>0</v>
      </c>
      <c r="CT74" s="221">
        <f t="shared" ref="CT74" si="2108">SUM(CT72:CT73)</f>
        <v>0</v>
      </c>
      <c r="CU74" s="226"/>
      <c r="CV74" s="219">
        <f t="shared" ref="CV74" si="2109">SUM(CV72:CV73)</f>
        <v>0</v>
      </c>
      <c r="CW74" s="220">
        <f t="shared" ref="CW74" si="2110">SUM(CW72:CW73)</f>
        <v>0</v>
      </c>
      <c r="CX74" s="220">
        <f t="shared" ref="CX74" si="2111">SUM(CX72:CX73)</f>
        <v>0</v>
      </c>
      <c r="CY74" s="220">
        <f t="shared" ref="CY74" si="2112">SUM(CY72:CY73)</f>
        <v>0</v>
      </c>
      <c r="CZ74" s="222">
        <f t="shared" ref="CZ74" si="2113">SUM(CZ72:CZ73)</f>
        <v>0</v>
      </c>
    </row>
    <row r="75" spans="1:104" ht="15" customHeight="1" x14ac:dyDescent="0.25">
      <c r="A75" s="53" t="s">
        <v>487</v>
      </c>
      <c r="B75" s="53" t="s">
        <v>212</v>
      </c>
      <c r="C75" s="249" t="s">
        <v>487</v>
      </c>
      <c r="D75" s="245" t="s">
        <v>212</v>
      </c>
      <c r="E75" s="85" t="s">
        <v>132</v>
      </c>
      <c r="F75" s="55">
        <f>SUMIFS('CWO Bulan Ini'!$DA:$DA,'CWO Bulan Ini'!$DJ:$DJ,'Area-Cabang'!$B75,'CWO Bulan Ini'!$DH:$DH,'Area-Cabang'!$E75,'CWO Bulan Ini'!$CZ:$CZ,'Area-Cabang'!F$41)</f>
        <v>0</v>
      </c>
      <c r="G75" s="56">
        <f>SUMIFS('CWO Bulan Ini'!$DA:$DA,'CWO Bulan Ini'!$DJ:$DJ,'Area-Cabang'!$B75,'CWO Bulan Ini'!$DH:$DH,'Area-Cabang'!$E75,'CWO Bulan Ini'!$CZ:$CZ,'Area-Cabang'!G$41)</f>
        <v>0</v>
      </c>
      <c r="H75" s="56">
        <f>SUMIFS('CWO Bulan Ini'!$DA:$DA,'CWO Bulan Ini'!$DJ:$DJ,'Area-Cabang'!$B75,'CWO Bulan Ini'!$DH:$DH,'Area-Cabang'!$E75,'CWO Bulan Ini'!$CZ:$CZ,'Area-Cabang'!H$41)</f>
        <v>0</v>
      </c>
      <c r="I75" s="56">
        <f>SUMIFS('CWO Bulan Ini'!$DA:$DA,'CWO Bulan Ini'!$DJ:$DJ,'Area-Cabang'!$B75,'CWO Bulan Ini'!$DH:$DH,'Area-Cabang'!$E75,'CWO Bulan Ini'!$CZ:$CZ,'Area-Cabang'!I$41)</f>
        <v>0</v>
      </c>
      <c r="J75" s="56">
        <f>SUMIFS('CWO Bulan Ini'!$DA:$DA,'CWO Bulan Ini'!$DJ:$DJ,'Area-Cabang'!$B75,'CWO Bulan Ini'!$DH:$DH,'Area-Cabang'!$E75,'CWO Bulan Ini'!$CZ:$CZ,'Area-Cabang'!J$41)</f>
        <v>0</v>
      </c>
      <c r="K75" s="56">
        <f>SUMIFS('CWO Bulan Ini'!$DA:$DA,'CWO Bulan Ini'!$DJ:$DJ,'Area-Cabang'!$B75,'CWO Bulan Ini'!$DH:$DH,'Area-Cabang'!$E75,'CWO Bulan Ini'!$CZ:$CZ,'Area-Cabang'!K$41)</f>
        <v>0</v>
      </c>
      <c r="L75" s="56">
        <f>SUMIFS('CWO Bulan Ini'!$DA:$DA,'CWO Bulan Ini'!$DJ:$DJ,'Area-Cabang'!$B75,'CWO Bulan Ini'!$DH:$DH,'Area-Cabang'!$E75,'CWO Bulan Ini'!$CZ:$CZ,'Area-Cabang'!L$41)</f>
        <v>0</v>
      </c>
      <c r="M75" s="56">
        <f>SUMIFS('CWO Bulan Ini'!$DA:$DA,'CWO Bulan Ini'!$DJ:$DJ,'Area-Cabang'!$B75,'CWO Bulan Ini'!$DH:$DH,'Area-Cabang'!$E75,'CWO Bulan Ini'!$CZ:$CZ,'Area-Cabang'!M$41)</f>
        <v>0</v>
      </c>
      <c r="N75" s="56">
        <f>SUMIFS('CWO Bulan Ini'!$DA:$DA,'CWO Bulan Ini'!$DJ:$DJ,'Area-Cabang'!$B75,'CWO Bulan Ini'!$DH:$DH,'Area-Cabang'!$E75,'CWO Bulan Ini'!$CZ:$CZ,'Area-Cabang'!N$41)</f>
        <v>0</v>
      </c>
      <c r="O75" s="56">
        <f>SUMIFS('CWO Bulan Ini'!$DA:$DA,'CWO Bulan Ini'!$DJ:$DJ,'Area-Cabang'!$B75,'CWO Bulan Ini'!$DH:$DH,'Area-Cabang'!$E75,'CWO Bulan Ini'!$CZ:$CZ,'Area-Cabang'!O$41)</f>
        <v>0</v>
      </c>
      <c r="P75" s="56">
        <f>SUMIFS('CWO Bulan Ini'!$DA:$DA,'CWO Bulan Ini'!$DJ:$DJ,'Area-Cabang'!$B75,'CWO Bulan Ini'!$DH:$DH,'Area-Cabang'!$E75,'CWO Bulan Ini'!$CZ:$CZ,'Area-Cabang'!P$41)</f>
        <v>0</v>
      </c>
      <c r="Q75" s="56">
        <f>SUMIFS('CWO Bulan Ini'!$DA:$DA,'CWO Bulan Ini'!$DJ:$DJ,'Area-Cabang'!$B75,'CWO Bulan Ini'!$DH:$DH,'Area-Cabang'!$E75,'CWO Bulan Ini'!$CZ:$CZ,'Area-Cabang'!Q$41)</f>
        <v>0</v>
      </c>
      <c r="R75" s="56">
        <f>SUMIFS('CWO Bulan Ini'!$DA:$DA,'CWO Bulan Ini'!$DJ:$DJ,'Area-Cabang'!$B75,'CWO Bulan Ini'!$DH:$DH,'Area-Cabang'!$E75,'CWO Bulan Ini'!$CZ:$CZ,'Area-Cabang'!R$41)</f>
        <v>0</v>
      </c>
      <c r="S75" s="56">
        <f>SUMIFS('CWO Bulan Ini'!$DA:$DA,'CWO Bulan Ini'!$DJ:$DJ,'Area-Cabang'!$B75,'CWO Bulan Ini'!$DH:$DH,'Area-Cabang'!$E75,'CWO Bulan Ini'!$CZ:$CZ,'Area-Cabang'!S$41)</f>
        <v>0</v>
      </c>
      <c r="T75" s="56">
        <f>SUMIFS('CWO Bulan Ini'!$DA:$DA,'CWO Bulan Ini'!$DJ:$DJ,'Area-Cabang'!$B75,'CWO Bulan Ini'!$DH:$DH,'Area-Cabang'!$E75,'CWO Bulan Ini'!$CZ:$CZ,'Area-Cabang'!T$41)</f>
        <v>0</v>
      </c>
      <c r="U75" s="56">
        <f>SUMIFS('CWO Bulan Ini'!$DA:$DA,'CWO Bulan Ini'!$DJ:$DJ,'Area-Cabang'!$B75,'CWO Bulan Ini'!$DH:$DH,'Area-Cabang'!$E75,'CWO Bulan Ini'!$CZ:$CZ,'Area-Cabang'!U$41)</f>
        <v>0</v>
      </c>
      <c r="V75" s="56">
        <f>SUMIFS('CWO Bulan Ini'!$DA:$DA,'CWO Bulan Ini'!$DJ:$DJ,'Area-Cabang'!$B75,'CWO Bulan Ini'!$DH:$DH,'Area-Cabang'!$E75,'CWO Bulan Ini'!$CZ:$CZ,'Area-Cabang'!V$41)</f>
        <v>0</v>
      </c>
      <c r="W75" s="56">
        <f>SUMIFS('CWO Bulan Ini'!$DA:$DA,'CWO Bulan Ini'!$DJ:$DJ,'Area-Cabang'!$B75,'CWO Bulan Ini'!$DH:$DH,'Area-Cabang'!$E75,'CWO Bulan Ini'!$CZ:$CZ,'Area-Cabang'!W$41)</f>
        <v>0</v>
      </c>
      <c r="X75" s="56">
        <f>SUMIFS('CWO Bulan Ini'!$DA:$DA,'CWO Bulan Ini'!$DJ:$DJ,'Area-Cabang'!$B75,'CWO Bulan Ini'!$DH:$DH,'Area-Cabang'!$E75,'CWO Bulan Ini'!$CZ:$CZ,'Area-Cabang'!X$41)</f>
        <v>0</v>
      </c>
      <c r="Y75" s="56">
        <f>SUMIFS('CWO Bulan Ini'!$DA:$DA,'CWO Bulan Ini'!$DJ:$DJ,'Area-Cabang'!$B75,'CWO Bulan Ini'!$DH:$DH,'Area-Cabang'!$E75,'CWO Bulan Ini'!$CZ:$CZ,'Area-Cabang'!Y$41)</f>
        <v>0</v>
      </c>
      <c r="Z75" s="56">
        <f>SUMIFS('CWO Bulan Ini'!$DA:$DA,'CWO Bulan Ini'!$DJ:$DJ,'Area-Cabang'!$B75,'CWO Bulan Ini'!$DH:$DH,'Area-Cabang'!$E75,'CWO Bulan Ini'!$CZ:$CZ,'Area-Cabang'!Z$41)</f>
        <v>0</v>
      </c>
      <c r="AA75" s="56">
        <f>SUMIFS('CWO Bulan Ini'!$DA:$DA,'CWO Bulan Ini'!$DJ:$DJ,'Area-Cabang'!$B75,'CWO Bulan Ini'!$DH:$DH,'Area-Cabang'!$E75,'CWO Bulan Ini'!$CZ:$CZ,'Area-Cabang'!AA$41)</f>
        <v>0</v>
      </c>
      <c r="AB75" s="56">
        <f>SUMIFS('CWO Bulan Ini'!$DA:$DA,'CWO Bulan Ini'!$DJ:$DJ,'Area-Cabang'!$B75,'CWO Bulan Ini'!$DH:$DH,'Area-Cabang'!$E75,'CWO Bulan Ini'!$CZ:$CZ,'Area-Cabang'!AB$41)</f>
        <v>0</v>
      </c>
      <c r="AC75" s="56">
        <f>SUMIFS('CWO Bulan Ini'!$DA:$DA,'CWO Bulan Ini'!$DJ:$DJ,'Area-Cabang'!$B75,'CWO Bulan Ini'!$DH:$DH,'Area-Cabang'!$E75,'CWO Bulan Ini'!$CZ:$CZ,'Area-Cabang'!AC$41)</f>
        <v>0</v>
      </c>
      <c r="AD75" s="56">
        <f>SUMIFS('CWO Bulan Ini'!$DA:$DA,'CWO Bulan Ini'!$DJ:$DJ,'Area-Cabang'!$B75,'CWO Bulan Ini'!$DH:$DH,'Area-Cabang'!$E75,'CWO Bulan Ini'!$CZ:$CZ,'Area-Cabang'!AD$41)</f>
        <v>0</v>
      </c>
      <c r="AE75" s="56">
        <f>SUMIFS('CWO Bulan Ini'!$DA:$DA,'CWO Bulan Ini'!$DJ:$DJ,'Area-Cabang'!$B75,'CWO Bulan Ini'!$DH:$DH,'Area-Cabang'!$E75,'CWO Bulan Ini'!$CZ:$CZ,'Area-Cabang'!AE$41)</f>
        <v>0</v>
      </c>
      <c r="AF75" s="56">
        <f>SUMIFS('CWO Bulan Ini'!$DA:$DA,'CWO Bulan Ini'!$DJ:$DJ,'Area-Cabang'!$B75,'CWO Bulan Ini'!$DH:$DH,'Area-Cabang'!$E75,'CWO Bulan Ini'!$CZ:$CZ,'Area-Cabang'!AF$41)</f>
        <v>0</v>
      </c>
      <c r="AG75" s="56">
        <f>SUMIFS('CWO Bulan Ini'!$DA:$DA,'CWO Bulan Ini'!$DJ:$DJ,'Area-Cabang'!$B75,'CWO Bulan Ini'!$DH:$DH,'Area-Cabang'!$E75,'CWO Bulan Ini'!$CZ:$CZ,'Area-Cabang'!AG$41)</f>
        <v>0</v>
      </c>
      <c r="AH75" s="56">
        <f>SUMIFS('CWO Bulan Ini'!$DA:$DA,'CWO Bulan Ini'!$DJ:$DJ,'Area-Cabang'!$B75,'CWO Bulan Ini'!$DH:$DH,'Area-Cabang'!$E75,'CWO Bulan Ini'!$CZ:$CZ,'Area-Cabang'!AH$41)</f>
        <v>0</v>
      </c>
      <c r="AI75" s="56">
        <f>SUMIFS('CWO Bulan Ini'!$DA:$DA,'CWO Bulan Ini'!$DJ:$DJ,'Area-Cabang'!$B75,'CWO Bulan Ini'!$DH:$DH,'Area-Cabang'!$E75,'CWO Bulan Ini'!$CZ:$CZ,'Area-Cabang'!AI$41)</f>
        <v>0</v>
      </c>
      <c r="AJ75" s="56">
        <f>SUMIFS('CWO Bulan Ini'!$DA:$DA,'CWO Bulan Ini'!$DJ:$DJ,'Area-Cabang'!$B75,'CWO Bulan Ini'!$DH:$DH,'Area-Cabang'!$E75,'CWO Bulan Ini'!$CZ:$CZ,'Area-Cabang'!AJ$41)</f>
        <v>0</v>
      </c>
      <c r="AK75" s="55">
        <f>SUMIFS('CWO Bulan Ini'!$DD:$DD,'CWO Bulan Ini'!$DJ:$DJ,'Area-Cabang'!$B75,'CWO Bulan Ini'!$DH:$DH,'Area-Cabang'!$E75,'CWO Bulan Ini'!$CZ:$CZ,'Area-Cabang'!AK$41)</f>
        <v>0</v>
      </c>
      <c r="AL75" s="56">
        <f>SUMIFS('CWO Bulan Ini'!$DD:$DD,'CWO Bulan Ini'!$DJ:$DJ,'Area-Cabang'!$B75,'CWO Bulan Ini'!$DH:$DH,'Area-Cabang'!$E75,'CWO Bulan Ini'!$CZ:$CZ,'Area-Cabang'!AL$41)</f>
        <v>0</v>
      </c>
      <c r="AM75" s="56">
        <f>SUMIFS('CWO Bulan Ini'!$DD:$DD,'CWO Bulan Ini'!$DJ:$DJ,'Area-Cabang'!$B75,'CWO Bulan Ini'!$DH:$DH,'Area-Cabang'!$E75,'CWO Bulan Ini'!$CZ:$CZ,'Area-Cabang'!AM$41)</f>
        <v>0</v>
      </c>
      <c r="AN75" s="56">
        <f>SUMIFS('CWO Bulan Ini'!$DD:$DD,'CWO Bulan Ini'!$DJ:$DJ,'Area-Cabang'!$B75,'CWO Bulan Ini'!$DH:$DH,'Area-Cabang'!$E75,'CWO Bulan Ini'!$CZ:$CZ,'Area-Cabang'!AN$41)</f>
        <v>0</v>
      </c>
      <c r="AO75" s="56">
        <f>SUMIFS('CWO Bulan Ini'!$DD:$DD,'CWO Bulan Ini'!$DJ:$DJ,'Area-Cabang'!$B75,'CWO Bulan Ini'!$DH:$DH,'Area-Cabang'!$E75,'CWO Bulan Ini'!$CZ:$CZ,'Area-Cabang'!AO$41)</f>
        <v>0</v>
      </c>
      <c r="AP75" s="56">
        <f>SUMIFS('CWO Bulan Ini'!$DD:$DD,'CWO Bulan Ini'!$DJ:$DJ,'Area-Cabang'!$B75,'CWO Bulan Ini'!$DH:$DH,'Area-Cabang'!$E75,'CWO Bulan Ini'!$CZ:$CZ,'Area-Cabang'!AP$41)</f>
        <v>0</v>
      </c>
      <c r="AQ75" s="56">
        <f>SUMIFS('CWO Bulan Ini'!$DD:$DD,'CWO Bulan Ini'!$DJ:$DJ,'Area-Cabang'!$B75,'CWO Bulan Ini'!$DH:$DH,'Area-Cabang'!$E75,'CWO Bulan Ini'!$CZ:$CZ,'Area-Cabang'!AQ$41)</f>
        <v>0</v>
      </c>
      <c r="AR75" s="56">
        <f>SUMIFS('CWO Bulan Ini'!$DD:$DD,'CWO Bulan Ini'!$DJ:$DJ,'Area-Cabang'!$B75,'CWO Bulan Ini'!$DH:$DH,'Area-Cabang'!$E75,'CWO Bulan Ini'!$CZ:$CZ,'Area-Cabang'!AR$41)</f>
        <v>0</v>
      </c>
      <c r="AS75" s="56">
        <f>SUMIFS('CWO Bulan Ini'!$DD:$DD,'CWO Bulan Ini'!$DJ:$DJ,'Area-Cabang'!$B75,'CWO Bulan Ini'!$DH:$DH,'Area-Cabang'!$E75,'CWO Bulan Ini'!$CZ:$CZ,'Area-Cabang'!AS$41)</f>
        <v>0</v>
      </c>
      <c r="AT75" s="56">
        <f>SUMIFS('CWO Bulan Ini'!$DD:$DD,'CWO Bulan Ini'!$DJ:$DJ,'Area-Cabang'!$B75,'CWO Bulan Ini'!$DH:$DH,'Area-Cabang'!$E75,'CWO Bulan Ini'!$CZ:$CZ,'Area-Cabang'!AT$41)</f>
        <v>0</v>
      </c>
      <c r="AU75" s="56">
        <f>SUMIFS('CWO Bulan Ini'!$DD:$DD,'CWO Bulan Ini'!$DJ:$DJ,'Area-Cabang'!$B75,'CWO Bulan Ini'!$DH:$DH,'Area-Cabang'!$E75,'CWO Bulan Ini'!$CZ:$CZ,'Area-Cabang'!AU$41)</f>
        <v>0</v>
      </c>
      <c r="AV75" s="56">
        <f>SUMIFS('CWO Bulan Ini'!$DD:$DD,'CWO Bulan Ini'!$DJ:$DJ,'Area-Cabang'!$B75,'CWO Bulan Ini'!$DH:$DH,'Area-Cabang'!$E75,'CWO Bulan Ini'!$CZ:$CZ,'Area-Cabang'!AV$41)</f>
        <v>0</v>
      </c>
      <c r="AW75" s="56">
        <f>SUMIFS('CWO Bulan Ini'!$DD:$DD,'CWO Bulan Ini'!$DJ:$DJ,'Area-Cabang'!$B75,'CWO Bulan Ini'!$DH:$DH,'Area-Cabang'!$E75,'CWO Bulan Ini'!$CZ:$CZ,'Area-Cabang'!AW$41)</f>
        <v>0</v>
      </c>
      <c r="AX75" s="56">
        <f>SUMIFS('CWO Bulan Ini'!$DD:$DD,'CWO Bulan Ini'!$DJ:$DJ,'Area-Cabang'!$B75,'CWO Bulan Ini'!$DH:$DH,'Area-Cabang'!$E75,'CWO Bulan Ini'!$CZ:$CZ,'Area-Cabang'!AX$41)</f>
        <v>0</v>
      </c>
      <c r="AY75" s="56">
        <f>SUMIFS('CWO Bulan Ini'!$DD:$DD,'CWO Bulan Ini'!$DJ:$DJ,'Area-Cabang'!$B75,'CWO Bulan Ini'!$DH:$DH,'Area-Cabang'!$E75,'CWO Bulan Ini'!$CZ:$CZ,'Area-Cabang'!AY$41)</f>
        <v>0</v>
      </c>
      <c r="AZ75" s="56">
        <f>SUMIFS('CWO Bulan Ini'!$DD:$DD,'CWO Bulan Ini'!$DJ:$DJ,'Area-Cabang'!$B75,'CWO Bulan Ini'!$DH:$DH,'Area-Cabang'!$E75,'CWO Bulan Ini'!$CZ:$CZ,'Area-Cabang'!AZ$41)</f>
        <v>0</v>
      </c>
      <c r="BA75" s="56">
        <f>SUMIFS('CWO Bulan Ini'!$DD:$DD,'CWO Bulan Ini'!$DJ:$DJ,'Area-Cabang'!$B75,'CWO Bulan Ini'!$DH:$DH,'Area-Cabang'!$E75,'CWO Bulan Ini'!$CZ:$CZ,'Area-Cabang'!BA$41)</f>
        <v>0</v>
      </c>
      <c r="BB75" s="56">
        <f>SUMIFS('CWO Bulan Ini'!$DD:$DD,'CWO Bulan Ini'!$DJ:$DJ,'Area-Cabang'!$B75,'CWO Bulan Ini'!$DH:$DH,'Area-Cabang'!$E75,'CWO Bulan Ini'!$CZ:$CZ,'Area-Cabang'!BB$41)</f>
        <v>0</v>
      </c>
      <c r="BC75" s="56">
        <f>SUMIFS('CWO Bulan Ini'!$DD:$DD,'CWO Bulan Ini'!$DJ:$DJ,'Area-Cabang'!$B75,'CWO Bulan Ini'!$DH:$DH,'Area-Cabang'!$E75,'CWO Bulan Ini'!$CZ:$CZ,'Area-Cabang'!BC$41)</f>
        <v>0</v>
      </c>
      <c r="BD75" s="56">
        <f>SUMIFS('CWO Bulan Ini'!$DD:$DD,'CWO Bulan Ini'!$DJ:$DJ,'Area-Cabang'!$B75,'CWO Bulan Ini'!$DH:$DH,'Area-Cabang'!$E75,'CWO Bulan Ini'!$CZ:$CZ,'Area-Cabang'!BD$41)</f>
        <v>0</v>
      </c>
      <c r="BE75" s="56">
        <f>SUMIFS('CWO Bulan Ini'!$DD:$DD,'CWO Bulan Ini'!$DJ:$DJ,'Area-Cabang'!$B75,'CWO Bulan Ini'!$DH:$DH,'Area-Cabang'!$E75,'CWO Bulan Ini'!$CZ:$CZ,'Area-Cabang'!BE$41)</f>
        <v>0</v>
      </c>
      <c r="BF75" s="56">
        <f>SUMIFS('CWO Bulan Ini'!$DD:$DD,'CWO Bulan Ini'!$DJ:$DJ,'Area-Cabang'!$B75,'CWO Bulan Ini'!$DH:$DH,'Area-Cabang'!$E75,'CWO Bulan Ini'!$CZ:$CZ,'Area-Cabang'!BF$41)</f>
        <v>0</v>
      </c>
      <c r="BG75" s="56">
        <f>SUMIFS('CWO Bulan Ini'!$DD:$DD,'CWO Bulan Ini'!$DJ:$DJ,'Area-Cabang'!$B75,'CWO Bulan Ini'!$DH:$DH,'Area-Cabang'!$E75,'CWO Bulan Ini'!$CZ:$CZ,'Area-Cabang'!BG$41)</f>
        <v>0</v>
      </c>
      <c r="BH75" s="56">
        <f>SUMIFS('CWO Bulan Ini'!$DD:$DD,'CWO Bulan Ini'!$DJ:$DJ,'Area-Cabang'!$B75,'CWO Bulan Ini'!$DH:$DH,'Area-Cabang'!$E75,'CWO Bulan Ini'!$CZ:$CZ,'Area-Cabang'!BH$41)</f>
        <v>0</v>
      </c>
      <c r="BI75" s="56">
        <f>SUMIFS('CWO Bulan Ini'!$DD:$DD,'CWO Bulan Ini'!$DJ:$DJ,'Area-Cabang'!$B75,'CWO Bulan Ini'!$DH:$DH,'Area-Cabang'!$E75,'CWO Bulan Ini'!$CZ:$CZ,'Area-Cabang'!BI$41)</f>
        <v>0</v>
      </c>
      <c r="BJ75" s="56">
        <f>SUMIFS('CWO Bulan Ini'!$DD:$DD,'CWO Bulan Ini'!$DJ:$DJ,'Area-Cabang'!$B75,'CWO Bulan Ini'!$DH:$DH,'Area-Cabang'!$E75,'CWO Bulan Ini'!$CZ:$CZ,'Area-Cabang'!BJ$41)</f>
        <v>0</v>
      </c>
      <c r="BK75" s="56">
        <f>SUMIFS('CWO Bulan Ini'!$DD:$DD,'CWO Bulan Ini'!$DJ:$DJ,'Area-Cabang'!$B75,'CWO Bulan Ini'!$DH:$DH,'Area-Cabang'!$E75,'CWO Bulan Ini'!$CZ:$CZ,'Area-Cabang'!BK$41)</f>
        <v>0</v>
      </c>
      <c r="BL75" s="56">
        <f>SUMIFS('CWO Bulan Ini'!$DD:$DD,'CWO Bulan Ini'!$DJ:$DJ,'Area-Cabang'!$B75,'CWO Bulan Ini'!$DH:$DH,'Area-Cabang'!$E75,'CWO Bulan Ini'!$CZ:$CZ,'Area-Cabang'!BL$41)</f>
        <v>0</v>
      </c>
      <c r="BM75" s="56">
        <f>SUMIFS('CWO Bulan Ini'!$DD:$DD,'CWO Bulan Ini'!$DJ:$DJ,'Area-Cabang'!$B75,'CWO Bulan Ini'!$DH:$DH,'Area-Cabang'!$E75,'CWO Bulan Ini'!$CZ:$CZ,'Area-Cabang'!BM$41)</f>
        <v>0</v>
      </c>
      <c r="BN75" s="56">
        <f>SUMIFS('CWO Bulan Ini'!$DD:$DD,'CWO Bulan Ini'!$DJ:$DJ,'Area-Cabang'!$B75,'CWO Bulan Ini'!$DH:$DH,'Area-Cabang'!$E75,'CWO Bulan Ini'!$CZ:$CZ,'Area-Cabang'!BN$41)</f>
        <v>0</v>
      </c>
      <c r="BO75" s="57">
        <f>SUMIFS('CWO Bulan Ini'!$DD:$DD,'CWO Bulan Ini'!$DJ:$DJ,'Area-Cabang'!$B75,'CWO Bulan Ini'!$DH:$DH,'Area-Cabang'!$E75,'CWO Bulan Ini'!$CZ:$CZ,'Area-Cabang'!BO$41)</f>
        <v>0</v>
      </c>
      <c r="BP75" s="55">
        <f>SUMIFS('CWO Bulan Ini'!$DC:$DC,'CWO Bulan Ini'!$DJ:$DJ,'Area-Cabang'!$B75,'CWO Bulan Ini'!$DH:$DH,'Area-Cabang'!$E75,'CWO Bulan Ini'!$CZ:$CZ,'Area-Cabang'!BP$41)</f>
        <v>0</v>
      </c>
      <c r="BQ75" s="56">
        <f>SUMIFS('CWO Bulan Ini'!$DC:$DC,'CWO Bulan Ini'!$DJ:$DJ,'Area-Cabang'!$B75,'CWO Bulan Ini'!$DH:$DH,'Area-Cabang'!$E75,'CWO Bulan Ini'!$CZ:$CZ,'Area-Cabang'!BQ$41)</f>
        <v>0</v>
      </c>
      <c r="BR75" s="56">
        <f>SUMIFS('CWO Bulan Ini'!$DC:$DC,'CWO Bulan Ini'!$DJ:$DJ,'Area-Cabang'!$B75,'CWO Bulan Ini'!$DH:$DH,'Area-Cabang'!$E75,'CWO Bulan Ini'!$CZ:$CZ,'Area-Cabang'!BR$41)</f>
        <v>0</v>
      </c>
      <c r="BS75" s="56">
        <f>SUMIFS('CWO Bulan Ini'!$DC:$DC,'CWO Bulan Ini'!$DJ:$DJ,'Area-Cabang'!$B75,'CWO Bulan Ini'!$DH:$DH,'Area-Cabang'!$E75,'CWO Bulan Ini'!$CZ:$CZ,'Area-Cabang'!BS$41)</f>
        <v>0</v>
      </c>
      <c r="BT75" s="56">
        <f>SUMIFS('CWO Bulan Ini'!$DC:$DC,'CWO Bulan Ini'!$DJ:$DJ,'Area-Cabang'!$B75,'CWO Bulan Ini'!$DH:$DH,'Area-Cabang'!$E75,'CWO Bulan Ini'!$CZ:$CZ,'Area-Cabang'!BT$41)</f>
        <v>0</v>
      </c>
      <c r="BU75" s="56">
        <f>SUMIFS('CWO Bulan Ini'!$DC:$DC,'CWO Bulan Ini'!$DJ:$DJ,'Area-Cabang'!$B75,'CWO Bulan Ini'!$DH:$DH,'Area-Cabang'!$E75,'CWO Bulan Ini'!$CZ:$CZ,'Area-Cabang'!BU$41)</f>
        <v>0</v>
      </c>
      <c r="BV75" s="56">
        <f>SUMIFS('CWO Bulan Ini'!$DC:$DC,'CWO Bulan Ini'!$DJ:$DJ,'Area-Cabang'!$B75,'CWO Bulan Ini'!$DH:$DH,'Area-Cabang'!$E75,'CWO Bulan Ini'!$CZ:$CZ,'Area-Cabang'!BV$41)</f>
        <v>0</v>
      </c>
      <c r="BW75" s="56">
        <f>SUMIFS('CWO Bulan Ini'!$DC:$DC,'CWO Bulan Ini'!$DJ:$DJ,'Area-Cabang'!$B75,'CWO Bulan Ini'!$DH:$DH,'Area-Cabang'!$E75,'CWO Bulan Ini'!$CZ:$CZ,'Area-Cabang'!BW$41)</f>
        <v>0</v>
      </c>
      <c r="BX75" s="56">
        <f>SUMIFS('CWO Bulan Ini'!$DC:$DC,'CWO Bulan Ini'!$DJ:$DJ,'Area-Cabang'!$B75,'CWO Bulan Ini'!$DH:$DH,'Area-Cabang'!$E75,'CWO Bulan Ini'!$CZ:$CZ,'Area-Cabang'!BX$41)</f>
        <v>0</v>
      </c>
      <c r="BY75" s="56">
        <f>SUMIFS('CWO Bulan Ini'!$DC:$DC,'CWO Bulan Ini'!$DJ:$DJ,'Area-Cabang'!$B75,'CWO Bulan Ini'!$DH:$DH,'Area-Cabang'!$E75,'CWO Bulan Ini'!$CZ:$CZ,'Area-Cabang'!BY$41)</f>
        <v>0</v>
      </c>
      <c r="BZ75" s="56">
        <f>SUMIFS('CWO Bulan Ini'!$DC:$DC,'CWO Bulan Ini'!$DJ:$DJ,'Area-Cabang'!$B75,'CWO Bulan Ini'!$DH:$DH,'Area-Cabang'!$E75,'CWO Bulan Ini'!$CZ:$CZ,'Area-Cabang'!BZ$41)</f>
        <v>0</v>
      </c>
      <c r="CA75" s="56">
        <f>SUMIFS('CWO Bulan Ini'!$DC:$DC,'CWO Bulan Ini'!$DJ:$DJ,'Area-Cabang'!$B75,'CWO Bulan Ini'!$DH:$DH,'Area-Cabang'!$E75,'CWO Bulan Ini'!$CZ:$CZ,'Area-Cabang'!CA$41)</f>
        <v>0</v>
      </c>
      <c r="CB75" s="56">
        <f>SUMIFS('CWO Bulan Ini'!$DC:$DC,'CWO Bulan Ini'!$DJ:$DJ,'Area-Cabang'!$B75,'CWO Bulan Ini'!$DH:$DH,'Area-Cabang'!$E75,'CWO Bulan Ini'!$CZ:$CZ,'Area-Cabang'!CB$41)</f>
        <v>0</v>
      </c>
      <c r="CC75" s="56">
        <f>SUMIFS('CWO Bulan Ini'!$DC:$DC,'CWO Bulan Ini'!$DJ:$DJ,'Area-Cabang'!$B75,'CWO Bulan Ini'!$DH:$DH,'Area-Cabang'!$E75,'CWO Bulan Ini'!$CZ:$CZ,'Area-Cabang'!CC$41)</f>
        <v>0</v>
      </c>
      <c r="CD75" s="56">
        <f>SUMIFS('CWO Bulan Ini'!$DC:$DC,'CWO Bulan Ini'!$DJ:$DJ,'Area-Cabang'!$B75,'CWO Bulan Ini'!$DH:$DH,'Area-Cabang'!$E75,'CWO Bulan Ini'!$CZ:$CZ,'Area-Cabang'!CD$41)</f>
        <v>0</v>
      </c>
      <c r="CE75" s="56">
        <f>SUMIFS('CWO Bulan Ini'!$DC:$DC,'CWO Bulan Ini'!$DJ:$DJ,'Area-Cabang'!$B75,'CWO Bulan Ini'!$DH:$DH,'Area-Cabang'!$E75,'CWO Bulan Ini'!$CZ:$CZ,'Area-Cabang'!CE$41)</f>
        <v>0</v>
      </c>
      <c r="CF75" s="56">
        <f>SUMIFS('CWO Bulan Ini'!$DC:$DC,'CWO Bulan Ini'!$DJ:$DJ,'Area-Cabang'!$B75,'CWO Bulan Ini'!$DH:$DH,'Area-Cabang'!$E75,'CWO Bulan Ini'!$CZ:$CZ,'Area-Cabang'!CF$41)</f>
        <v>0</v>
      </c>
      <c r="CG75" s="56">
        <f>SUMIFS('CWO Bulan Ini'!$DC:$DC,'CWO Bulan Ini'!$DJ:$DJ,'Area-Cabang'!$B75,'CWO Bulan Ini'!$DH:$DH,'Area-Cabang'!$E75,'CWO Bulan Ini'!$CZ:$CZ,'Area-Cabang'!CG$41)</f>
        <v>0</v>
      </c>
      <c r="CH75" s="56">
        <f>SUMIFS('CWO Bulan Ini'!$DC:$DC,'CWO Bulan Ini'!$DJ:$DJ,'Area-Cabang'!$B75,'CWO Bulan Ini'!$DH:$DH,'Area-Cabang'!$E75,'CWO Bulan Ini'!$CZ:$CZ,'Area-Cabang'!CH$41)</f>
        <v>0</v>
      </c>
      <c r="CI75" s="56">
        <f>SUMIFS('CWO Bulan Ini'!$DC:$DC,'CWO Bulan Ini'!$DJ:$DJ,'Area-Cabang'!$B75,'CWO Bulan Ini'!$DH:$DH,'Area-Cabang'!$E75,'CWO Bulan Ini'!$CZ:$CZ,'Area-Cabang'!CI$41)</f>
        <v>0</v>
      </c>
      <c r="CJ75" s="56">
        <f>SUMIFS('CWO Bulan Ini'!$DC:$DC,'CWO Bulan Ini'!$DJ:$DJ,'Area-Cabang'!$B75,'CWO Bulan Ini'!$DH:$DH,'Area-Cabang'!$E75,'CWO Bulan Ini'!$CZ:$CZ,'Area-Cabang'!CJ$41)</f>
        <v>0</v>
      </c>
      <c r="CK75" s="56">
        <f>SUMIFS('CWO Bulan Ini'!$DC:$DC,'CWO Bulan Ini'!$DJ:$DJ,'Area-Cabang'!$B75,'CWO Bulan Ini'!$DH:$DH,'Area-Cabang'!$E75,'CWO Bulan Ini'!$CZ:$CZ,'Area-Cabang'!CK$41)</f>
        <v>0</v>
      </c>
      <c r="CL75" s="56">
        <f>SUMIFS('CWO Bulan Ini'!$DC:$DC,'CWO Bulan Ini'!$DJ:$DJ,'Area-Cabang'!$B75,'CWO Bulan Ini'!$DH:$DH,'Area-Cabang'!$E75,'CWO Bulan Ini'!$CZ:$CZ,'Area-Cabang'!CL$41)</f>
        <v>0</v>
      </c>
      <c r="CM75" s="56">
        <f>SUMIFS('CWO Bulan Ini'!$DC:$DC,'CWO Bulan Ini'!$DJ:$DJ,'Area-Cabang'!$B75,'CWO Bulan Ini'!$DH:$DH,'Area-Cabang'!$E75,'CWO Bulan Ini'!$CZ:$CZ,'Area-Cabang'!CM$41)</f>
        <v>0</v>
      </c>
      <c r="CN75" s="56">
        <f>SUMIFS('CWO Bulan Ini'!$DC:$DC,'CWO Bulan Ini'!$DJ:$DJ,'Area-Cabang'!$B75,'CWO Bulan Ini'!$DH:$DH,'Area-Cabang'!$E75,'CWO Bulan Ini'!$CZ:$CZ,'Area-Cabang'!CN$41)</f>
        <v>0</v>
      </c>
      <c r="CO75" s="56">
        <f>SUMIFS('CWO Bulan Ini'!$DC:$DC,'CWO Bulan Ini'!$DJ:$DJ,'Area-Cabang'!$B75,'CWO Bulan Ini'!$DH:$DH,'Area-Cabang'!$E75,'CWO Bulan Ini'!$CZ:$CZ,'Area-Cabang'!CO$41)</f>
        <v>0</v>
      </c>
      <c r="CP75" s="56">
        <f>SUMIFS('CWO Bulan Ini'!$DC:$DC,'CWO Bulan Ini'!$DJ:$DJ,'Area-Cabang'!$B75,'CWO Bulan Ini'!$DH:$DH,'Area-Cabang'!$E75,'CWO Bulan Ini'!$CZ:$CZ,'Area-Cabang'!CP$41)</f>
        <v>0</v>
      </c>
      <c r="CQ75" s="56">
        <f>SUMIFS('CWO Bulan Ini'!$DC:$DC,'CWO Bulan Ini'!$DJ:$DJ,'Area-Cabang'!$B75,'CWO Bulan Ini'!$DH:$DH,'Area-Cabang'!$E75,'CWO Bulan Ini'!$CZ:$CZ,'Area-Cabang'!CQ$41)</f>
        <v>0</v>
      </c>
      <c r="CR75" s="56">
        <f>SUMIFS('CWO Bulan Ini'!$DC:$DC,'CWO Bulan Ini'!$DJ:$DJ,'Area-Cabang'!$B75,'CWO Bulan Ini'!$DH:$DH,'Area-Cabang'!$E75,'CWO Bulan Ini'!$CZ:$CZ,'Area-Cabang'!CR$41)</f>
        <v>0</v>
      </c>
      <c r="CS75" s="56">
        <f>SUMIFS('CWO Bulan Ini'!$DC:$DC,'CWO Bulan Ini'!$DJ:$DJ,'Area-Cabang'!$B75,'CWO Bulan Ini'!$DH:$DH,'Area-Cabang'!$E75,'CWO Bulan Ini'!$CZ:$CZ,'Area-Cabang'!CS$41)</f>
        <v>0</v>
      </c>
      <c r="CT75" s="57">
        <f>SUMIFS('CWO Bulan Ini'!$DC:$DC,'CWO Bulan Ini'!$DJ:$DJ,'Area-Cabang'!$B75,'CWO Bulan Ini'!$DH:$DH,'Area-Cabang'!$E75,'CWO Bulan Ini'!$CZ:$CZ,'Area-Cabang'!CT$41)</f>
        <v>0</v>
      </c>
      <c r="CV75" s="97">
        <f t="shared" ref="CV75:CV76" si="2114">SUM(F75:AJ75)</f>
        <v>0</v>
      </c>
      <c r="CW75" s="98">
        <f t="shared" ref="CW75:CW76" si="2115">SUM(AK75:BO75)</f>
        <v>0</v>
      </c>
      <c r="CX75" s="98">
        <f t="shared" ref="CX75:CX76" si="2116">SUM(BP75:CT75)</f>
        <v>0</v>
      </c>
      <c r="CY75" s="98">
        <f t="shared" ref="CY75:CY76" si="2117">CV75-CW75-CX75</f>
        <v>0</v>
      </c>
      <c r="CZ75" s="105">
        <f t="shared" ref="CZ75:CZ76" si="2118">CY75+CW75</f>
        <v>0</v>
      </c>
    </row>
    <row r="76" spans="1:104" ht="15" customHeight="1" x14ac:dyDescent="0.25">
      <c r="A76" s="58" t="s">
        <v>487</v>
      </c>
      <c r="B76" s="58" t="s">
        <v>212</v>
      </c>
      <c r="C76" s="250"/>
      <c r="D76" s="244"/>
      <c r="E76" s="40" t="s">
        <v>349</v>
      </c>
      <c r="F76" s="41">
        <f>SUMIFS('CWO Bulan Ini'!$DA:$DA,'CWO Bulan Ini'!$DJ:$DJ,'Area-Cabang'!$B76,'CWO Bulan Ini'!$DH:$DH,'Area-Cabang'!$E76,'CWO Bulan Ini'!$CZ:$CZ,'Area-Cabang'!F$41)</f>
        <v>0</v>
      </c>
      <c r="G76" s="42">
        <f>SUMIFS('CWO Bulan Ini'!$DA:$DA,'CWO Bulan Ini'!$DJ:$DJ,'Area-Cabang'!$B76,'CWO Bulan Ini'!$DH:$DH,'Area-Cabang'!$E76,'CWO Bulan Ini'!$CZ:$CZ,'Area-Cabang'!G$41)</f>
        <v>0</v>
      </c>
      <c r="H76" s="42">
        <f>SUMIFS('CWO Bulan Ini'!$DA:$DA,'CWO Bulan Ini'!$DJ:$DJ,'Area-Cabang'!$B76,'CWO Bulan Ini'!$DH:$DH,'Area-Cabang'!$E76,'CWO Bulan Ini'!$CZ:$CZ,'Area-Cabang'!H$41)</f>
        <v>0</v>
      </c>
      <c r="I76" s="42">
        <f>SUMIFS('CWO Bulan Ini'!$DA:$DA,'CWO Bulan Ini'!$DJ:$DJ,'Area-Cabang'!$B76,'CWO Bulan Ini'!$DH:$DH,'Area-Cabang'!$E76,'CWO Bulan Ini'!$CZ:$CZ,'Area-Cabang'!I$41)</f>
        <v>0</v>
      </c>
      <c r="J76" s="42">
        <f>SUMIFS('CWO Bulan Ini'!$DA:$DA,'CWO Bulan Ini'!$DJ:$DJ,'Area-Cabang'!$B76,'CWO Bulan Ini'!$DH:$DH,'Area-Cabang'!$E76,'CWO Bulan Ini'!$CZ:$CZ,'Area-Cabang'!J$41)</f>
        <v>0</v>
      </c>
      <c r="K76" s="42">
        <f>SUMIFS('CWO Bulan Ini'!$DA:$DA,'CWO Bulan Ini'!$DJ:$DJ,'Area-Cabang'!$B76,'CWO Bulan Ini'!$DH:$DH,'Area-Cabang'!$E76,'CWO Bulan Ini'!$CZ:$CZ,'Area-Cabang'!K$41)</f>
        <v>0</v>
      </c>
      <c r="L76" s="42">
        <f>SUMIFS('CWO Bulan Ini'!$DA:$DA,'CWO Bulan Ini'!$DJ:$DJ,'Area-Cabang'!$B76,'CWO Bulan Ini'!$DH:$DH,'Area-Cabang'!$E76,'CWO Bulan Ini'!$CZ:$CZ,'Area-Cabang'!L$41)</f>
        <v>0</v>
      </c>
      <c r="M76" s="42">
        <f>SUMIFS('CWO Bulan Ini'!$DA:$DA,'CWO Bulan Ini'!$DJ:$DJ,'Area-Cabang'!$B76,'CWO Bulan Ini'!$DH:$DH,'Area-Cabang'!$E76,'CWO Bulan Ini'!$CZ:$CZ,'Area-Cabang'!M$41)</f>
        <v>0</v>
      </c>
      <c r="N76" s="42">
        <f>SUMIFS('CWO Bulan Ini'!$DA:$DA,'CWO Bulan Ini'!$DJ:$DJ,'Area-Cabang'!$B76,'CWO Bulan Ini'!$DH:$DH,'Area-Cabang'!$E76,'CWO Bulan Ini'!$CZ:$CZ,'Area-Cabang'!N$41)</f>
        <v>0</v>
      </c>
      <c r="O76" s="42">
        <f>SUMIFS('CWO Bulan Ini'!$DA:$DA,'CWO Bulan Ini'!$DJ:$DJ,'Area-Cabang'!$B76,'CWO Bulan Ini'!$DH:$DH,'Area-Cabang'!$E76,'CWO Bulan Ini'!$CZ:$CZ,'Area-Cabang'!O$41)</f>
        <v>0</v>
      </c>
      <c r="P76" s="42">
        <f>SUMIFS('CWO Bulan Ini'!$DA:$DA,'CWO Bulan Ini'!$DJ:$DJ,'Area-Cabang'!$B76,'CWO Bulan Ini'!$DH:$DH,'Area-Cabang'!$E76,'CWO Bulan Ini'!$CZ:$CZ,'Area-Cabang'!P$41)</f>
        <v>0</v>
      </c>
      <c r="Q76" s="42">
        <f>SUMIFS('CWO Bulan Ini'!$DA:$DA,'CWO Bulan Ini'!$DJ:$DJ,'Area-Cabang'!$B76,'CWO Bulan Ini'!$DH:$DH,'Area-Cabang'!$E76,'CWO Bulan Ini'!$CZ:$CZ,'Area-Cabang'!Q$41)</f>
        <v>0</v>
      </c>
      <c r="R76" s="42">
        <f>SUMIFS('CWO Bulan Ini'!$DA:$DA,'CWO Bulan Ini'!$DJ:$DJ,'Area-Cabang'!$B76,'CWO Bulan Ini'!$DH:$DH,'Area-Cabang'!$E76,'CWO Bulan Ini'!$CZ:$CZ,'Area-Cabang'!R$41)</f>
        <v>0</v>
      </c>
      <c r="S76" s="42">
        <f>SUMIFS('CWO Bulan Ini'!$DA:$DA,'CWO Bulan Ini'!$DJ:$DJ,'Area-Cabang'!$B76,'CWO Bulan Ini'!$DH:$DH,'Area-Cabang'!$E76,'CWO Bulan Ini'!$CZ:$CZ,'Area-Cabang'!S$41)</f>
        <v>0</v>
      </c>
      <c r="T76" s="42">
        <f>SUMIFS('CWO Bulan Ini'!$DA:$DA,'CWO Bulan Ini'!$DJ:$DJ,'Area-Cabang'!$B76,'CWO Bulan Ini'!$DH:$DH,'Area-Cabang'!$E76,'CWO Bulan Ini'!$CZ:$CZ,'Area-Cabang'!T$41)</f>
        <v>0</v>
      </c>
      <c r="U76" s="42">
        <f>SUMIFS('CWO Bulan Ini'!$DA:$DA,'CWO Bulan Ini'!$DJ:$DJ,'Area-Cabang'!$B76,'CWO Bulan Ini'!$DH:$DH,'Area-Cabang'!$E76,'CWO Bulan Ini'!$CZ:$CZ,'Area-Cabang'!U$41)</f>
        <v>0</v>
      </c>
      <c r="V76" s="42">
        <f>SUMIFS('CWO Bulan Ini'!$DA:$DA,'CWO Bulan Ini'!$DJ:$DJ,'Area-Cabang'!$B76,'CWO Bulan Ini'!$DH:$DH,'Area-Cabang'!$E76,'CWO Bulan Ini'!$CZ:$CZ,'Area-Cabang'!V$41)</f>
        <v>0</v>
      </c>
      <c r="W76" s="42">
        <f>SUMIFS('CWO Bulan Ini'!$DA:$DA,'CWO Bulan Ini'!$DJ:$DJ,'Area-Cabang'!$B76,'CWO Bulan Ini'!$DH:$DH,'Area-Cabang'!$E76,'CWO Bulan Ini'!$CZ:$CZ,'Area-Cabang'!W$41)</f>
        <v>0</v>
      </c>
      <c r="X76" s="42">
        <f>SUMIFS('CWO Bulan Ini'!$DA:$DA,'CWO Bulan Ini'!$DJ:$DJ,'Area-Cabang'!$B76,'CWO Bulan Ini'!$DH:$DH,'Area-Cabang'!$E76,'CWO Bulan Ini'!$CZ:$CZ,'Area-Cabang'!X$41)</f>
        <v>0</v>
      </c>
      <c r="Y76" s="42">
        <f>SUMIFS('CWO Bulan Ini'!$DA:$DA,'CWO Bulan Ini'!$DJ:$DJ,'Area-Cabang'!$B76,'CWO Bulan Ini'!$DH:$DH,'Area-Cabang'!$E76,'CWO Bulan Ini'!$CZ:$CZ,'Area-Cabang'!Y$41)</f>
        <v>0</v>
      </c>
      <c r="Z76" s="42">
        <f>SUMIFS('CWO Bulan Ini'!$DA:$DA,'CWO Bulan Ini'!$DJ:$DJ,'Area-Cabang'!$B76,'CWO Bulan Ini'!$DH:$DH,'Area-Cabang'!$E76,'CWO Bulan Ini'!$CZ:$CZ,'Area-Cabang'!Z$41)</f>
        <v>0</v>
      </c>
      <c r="AA76" s="42">
        <f>SUMIFS('CWO Bulan Ini'!$DA:$DA,'CWO Bulan Ini'!$DJ:$DJ,'Area-Cabang'!$B76,'CWO Bulan Ini'!$DH:$DH,'Area-Cabang'!$E76,'CWO Bulan Ini'!$CZ:$CZ,'Area-Cabang'!AA$41)</f>
        <v>0</v>
      </c>
      <c r="AB76" s="42">
        <f>SUMIFS('CWO Bulan Ini'!$DA:$DA,'CWO Bulan Ini'!$DJ:$DJ,'Area-Cabang'!$B76,'CWO Bulan Ini'!$DH:$DH,'Area-Cabang'!$E76,'CWO Bulan Ini'!$CZ:$CZ,'Area-Cabang'!AB$41)</f>
        <v>0</v>
      </c>
      <c r="AC76" s="42">
        <f>SUMIFS('CWO Bulan Ini'!$DA:$DA,'CWO Bulan Ini'!$DJ:$DJ,'Area-Cabang'!$B76,'CWO Bulan Ini'!$DH:$DH,'Area-Cabang'!$E76,'CWO Bulan Ini'!$CZ:$CZ,'Area-Cabang'!AC$41)</f>
        <v>0</v>
      </c>
      <c r="AD76" s="42">
        <f>SUMIFS('CWO Bulan Ini'!$DA:$DA,'CWO Bulan Ini'!$DJ:$DJ,'Area-Cabang'!$B76,'CWO Bulan Ini'!$DH:$DH,'Area-Cabang'!$E76,'CWO Bulan Ini'!$CZ:$CZ,'Area-Cabang'!AD$41)</f>
        <v>0</v>
      </c>
      <c r="AE76" s="42">
        <f>SUMIFS('CWO Bulan Ini'!$DA:$DA,'CWO Bulan Ini'!$DJ:$DJ,'Area-Cabang'!$B76,'CWO Bulan Ini'!$DH:$DH,'Area-Cabang'!$E76,'CWO Bulan Ini'!$CZ:$CZ,'Area-Cabang'!AE$41)</f>
        <v>0</v>
      </c>
      <c r="AF76" s="42">
        <f>SUMIFS('CWO Bulan Ini'!$DA:$DA,'CWO Bulan Ini'!$DJ:$DJ,'Area-Cabang'!$B76,'CWO Bulan Ini'!$DH:$DH,'Area-Cabang'!$E76,'CWO Bulan Ini'!$CZ:$CZ,'Area-Cabang'!AF$41)</f>
        <v>0</v>
      </c>
      <c r="AG76" s="42">
        <f>SUMIFS('CWO Bulan Ini'!$DA:$DA,'CWO Bulan Ini'!$DJ:$DJ,'Area-Cabang'!$B76,'CWO Bulan Ini'!$DH:$DH,'Area-Cabang'!$E76,'CWO Bulan Ini'!$CZ:$CZ,'Area-Cabang'!AG$41)</f>
        <v>0</v>
      </c>
      <c r="AH76" s="42">
        <f>SUMIFS('CWO Bulan Ini'!$DA:$DA,'CWO Bulan Ini'!$DJ:$DJ,'Area-Cabang'!$B76,'CWO Bulan Ini'!$DH:$DH,'Area-Cabang'!$E76,'CWO Bulan Ini'!$CZ:$CZ,'Area-Cabang'!AH$41)</f>
        <v>0</v>
      </c>
      <c r="AI76" s="42">
        <f>SUMIFS('CWO Bulan Ini'!$DA:$DA,'CWO Bulan Ini'!$DJ:$DJ,'Area-Cabang'!$B76,'CWO Bulan Ini'!$DH:$DH,'Area-Cabang'!$E76,'CWO Bulan Ini'!$CZ:$CZ,'Area-Cabang'!AI$41)</f>
        <v>0</v>
      </c>
      <c r="AJ76" s="42">
        <f>SUMIFS('CWO Bulan Ini'!$DA:$DA,'CWO Bulan Ini'!$DJ:$DJ,'Area-Cabang'!$B76,'CWO Bulan Ini'!$DH:$DH,'Area-Cabang'!$E76,'CWO Bulan Ini'!$CZ:$CZ,'Area-Cabang'!AJ$41)</f>
        <v>0</v>
      </c>
      <c r="AK76" s="41">
        <f>SUMIFS('CWO Bulan Ini'!$DD:$DD,'CWO Bulan Ini'!$DJ:$DJ,'Area-Cabang'!$B76,'CWO Bulan Ini'!$DH:$DH,'Area-Cabang'!$E76,'CWO Bulan Ini'!$CZ:$CZ,'Area-Cabang'!AK$41)</f>
        <v>0</v>
      </c>
      <c r="AL76" s="42">
        <f>SUMIFS('CWO Bulan Ini'!$DD:$DD,'CWO Bulan Ini'!$DJ:$DJ,'Area-Cabang'!$B76,'CWO Bulan Ini'!$DH:$DH,'Area-Cabang'!$E76,'CWO Bulan Ini'!$CZ:$CZ,'Area-Cabang'!AL$41)</f>
        <v>0</v>
      </c>
      <c r="AM76" s="42">
        <f>SUMIFS('CWO Bulan Ini'!$DD:$DD,'CWO Bulan Ini'!$DJ:$DJ,'Area-Cabang'!$B76,'CWO Bulan Ini'!$DH:$DH,'Area-Cabang'!$E76,'CWO Bulan Ini'!$CZ:$CZ,'Area-Cabang'!AM$41)</f>
        <v>0</v>
      </c>
      <c r="AN76" s="42">
        <f>SUMIFS('CWO Bulan Ini'!$DD:$DD,'CWO Bulan Ini'!$DJ:$DJ,'Area-Cabang'!$B76,'CWO Bulan Ini'!$DH:$DH,'Area-Cabang'!$E76,'CWO Bulan Ini'!$CZ:$CZ,'Area-Cabang'!AN$41)</f>
        <v>0</v>
      </c>
      <c r="AO76" s="42">
        <f>SUMIFS('CWO Bulan Ini'!$DD:$DD,'CWO Bulan Ini'!$DJ:$DJ,'Area-Cabang'!$B76,'CWO Bulan Ini'!$DH:$DH,'Area-Cabang'!$E76,'CWO Bulan Ini'!$CZ:$CZ,'Area-Cabang'!AO$41)</f>
        <v>0</v>
      </c>
      <c r="AP76" s="42">
        <f>SUMIFS('CWO Bulan Ini'!$DD:$DD,'CWO Bulan Ini'!$DJ:$DJ,'Area-Cabang'!$B76,'CWO Bulan Ini'!$DH:$DH,'Area-Cabang'!$E76,'CWO Bulan Ini'!$CZ:$CZ,'Area-Cabang'!AP$41)</f>
        <v>0</v>
      </c>
      <c r="AQ76" s="42">
        <f>SUMIFS('CWO Bulan Ini'!$DD:$DD,'CWO Bulan Ini'!$DJ:$DJ,'Area-Cabang'!$B76,'CWO Bulan Ini'!$DH:$DH,'Area-Cabang'!$E76,'CWO Bulan Ini'!$CZ:$CZ,'Area-Cabang'!AQ$41)</f>
        <v>0</v>
      </c>
      <c r="AR76" s="42">
        <f>SUMIFS('CWO Bulan Ini'!$DD:$DD,'CWO Bulan Ini'!$DJ:$DJ,'Area-Cabang'!$B76,'CWO Bulan Ini'!$DH:$DH,'Area-Cabang'!$E76,'CWO Bulan Ini'!$CZ:$CZ,'Area-Cabang'!AR$41)</f>
        <v>0</v>
      </c>
      <c r="AS76" s="42">
        <f>SUMIFS('CWO Bulan Ini'!$DD:$DD,'CWO Bulan Ini'!$DJ:$DJ,'Area-Cabang'!$B76,'CWO Bulan Ini'!$DH:$DH,'Area-Cabang'!$E76,'CWO Bulan Ini'!$CZ:$CZ,'Area-Cabang'!AS$41)</f>
        <v>0</v>
      </c>
      <c r="AT76" s="42">
        <f>SUMIFS('CWO Bulan Ini'!$DD:$DD,'CWO Bulan Ini'!$DJ:$DJ,'Area-Cabang'!$B76,'CWO Bulan Ini'!$DH:$DH,'Area-Cabang'!$E76,'CWO Bulan Ini'!$CZ:$CZ,'Area-Cabang'!AT$41)</f>
        <v>0</v>
      </c>
      <c r="AU76" s="42">
        <f>SUMIFS('CWO Bulan Ini'!$DD:$DD,'CWO Bulan Ini'!$DJ:$DJ,'Area-Cabang'!$B76,'CWO Bulan Ini'!$DH:$DH,'Area-Cabang'!$E76,'CWO Bulan Ini'!$CZ:$CZ,'Area-Cabang'!AU$41)</f>
        <v>0</v>
      </c>
      <c r="AV76" s="42">
        <f>SUMIFS('CWO Bulan Ini'!$DD:$DD,'CWO Bulan Ini'!$DJ:$DJ,'Area-Cabang'!$B76,'CWO Bulan Ini'!$DH:$DH,'Area-Cabang'!$E76,'CWO Bulan Ini'!$CZ:$CZ,'Area-Cabang'!AV$41)</f>
        <v>0</v>
      </c>
      <c r="AW76" s="42">
        <f>SUMIFS('CWO Bulan Ini'!$DD:$DD,'CWO Bulan Ini'!$DJ:$DJ,'Area-Cabang'!$B76,'CWO Bulan Ini'!$DH:$DH,'Area-Cabang'!$E76,'CWO Bulan Ini'!$CZ:$CZ,'Area-Cabang'!AW$41)</f>
        <v>0</v>
      </c>
      <c r="AX76" s="42">
        <f>SUMIFS('CWO Bulan Ini'!$DD:$DD,'CWO Bulan Ini'!$DJ:$DJ,'Area-Cabang'!$B76,'CWO Bulan Ini'!$DH:$DH,'Area-Cabang'!$E76,'CWO Bulan Ini'!$CZ:$CZ,'Area-Cabang'!AX$41)</f>
        <v>0</v>
      </c>
      <c r="AY76" s="42">
        <f>SUMIFS('CWO Bulan Ini'!$DD:$DD,'CWO Bulan Ini'!$DJ:$DJ,'Area-Cabang'!$B76,'CWO Bulan Ini'!$DH:$DH,'Area-Cabang'!$E76,'CWO Bulan Ini'!$CZ:$CZ,'Area-Cabang'!AY$41)</f>
        <v>0</v>
      </c>
      <c r="AZ76" s="42">
        <f>SUMIFS('CWO Bulan Ini'!$DD:$DD,'CWO Bulan Ini'!$DJ:$DJ,'Area-Cabang'!$B76,'CWO Bulan Ini'!$DH:$DH,'Area-Cabang'!$E76,'CWO Bulan Ini'!$CZ:$CZ,'Area-Cabang'!AZ$41)</f>
        <v>0</v>
      </c>
      <c r="BA76" s="42">
        <f>SUMIFS('CWO Bulan Ini'!$DD:$DD,'CWO Bulan Ini'!$DJ:$DJ,'Area-Cabang'!$B76,'CWO Bulan Ini'!$DH:$DH,'Area-Cabang'!$E76,'CWO Bulan Ini'!$CZ:$CZ,'Area-Cabang'!BA$41)</f>
        <v>0</v>
      </c>
      <c r="BB76" s="42">
        <f>SUMIFS('CWO Bulan Ini'!$DD:$DD,'CWO Bulan Ini'!$DJ:$DJ,'Area-Cabang'!$B76,'CWO Bulan Ini'!$DH:$DH,'Area-Cabang'!$E76,'CWO Bulan Ini'!$CZ:$CZ,'Area-Cabang'!BB$41)</f>
        <v>0</v>
      </c>
      <c r="BC76" s="42">
        <f>SUMIFS('CWO Bulan Ini'!$DD:$DD,'CWO Bulan Ini'!$DJ:$DJ,'Area-Cabang'!$B76,'CWO Bulan Ini'!$DH:$DH,'Area-Cabang'!$E76,'CWO Bulan Ini'!$CZ:$CZ,'Area-Cabang'!BC$41)</f>
        <v>0</v>
      </c>
      <c r="BD76" s="42">
        <f>SUMIFS('CWO Bulan Ini'!$DD:$DD,'CWO Bulan Ini'!$DJ:$DJ,'Area-Cabang'!$B76,'CWO Bulan Ini'!$DH:$DH,'Area-Cabang'!$E76,'CWO Bulan Ini'!$CZ:$CZ,'Area-Cabang'!BD$41)</f>
        <v>0</v>
      </c>
      <c r="BE76" s="42">
        <f>SUMIFS('CWO Bulan Ini'!$DD:$DD,'CWO Bulan Ini'!$DJ:$DJ,'Area-Cabang'!$B76,'CWO Bulan Ini'!$DH:$DH,'Area-Cabang'!$E76,'CWO Bulan Ini'!$CZ:$CZ,'Area-Cabang'!BE$41)</f>
        <v>0</v>
      </c>
      <c r="BF76" s="42">
        <f>SUMIFS('CWO Bulan Ini'!$DD:$DD,'CWO Bulan Ini'!$DJ:$DJ,'Area-Cabang'!$B76,'CWO Bulan Ini'!$DH:$DH,'Area-Cabang'!$E76,'CWO Bulan Ini'!$CZ:$CZ,'Area-Cabang'!BF$41)</f>
        <v>0</v>
      </c>
      <c r="BG76" s="42">
        <f>SUMIFS('CWO Bulan Ini'!$DD:$DD,'CWO Bulan Ini'!$DJ:$DJ,'Area-Cabang'!$B76,'CWO Bulan Ini'!$DH:$DH,'Area-Cabang'!$E76,'CWO Bulan Ini'!$CZ:$CZ,'Area-Cabang'!BG$41)</f>
        <v>0</v>
      </c>
      <c r="BH76" s="42">
        <f>SUMIFS('CWO Bulan Ini'!$DD:$DD,'CWO Bulan Ini'!$DJ:$DJ,'Area-Cabang'!$B76,'CWO Bulan Ini'!$DH:$DH,'Area-Cabang'!$E76,'CWO Bulan Ini'!$CZ:$CZ,'Area-Cabang'!BH$41)</f>
        <v>0</v>
      </c>
      <c r="BI76" s="42">
        <f>SUMIFS('CWO Bulan Ini'!$DD:$DD,'CWO Bulan Ini'!$DJ:$DJ,'Area-Cabang'!$B76,'CWO Bulan Ini'!$DH:$DH,'Area-Cabang'!$E76,'CWO Bulan Ini'!$CZ:$CZ,'Area-Cabang'!BI$41)</f>
        <v>0</v>
      </c>
      <c r="BJ76" s="42">
        <f>SUMIFS('CWO Bulan Ini'!$DD:$DD,'CWO Bulan Ini'!$DJ:$DJ,'Area-Cabang'!$B76,'CWO Bulan Ini'!$DH:$DH,'Area-Cabang'!$E76,'CWO Bulan Ini'!$CZ:$CZ,'Area-Cabang'!BJ$41)</f>
        <v>0</v>
      </c>
      <c r="BK76" s="42">
        <f>SUMIFS('CWO Bulan Ini'!$DD:$DD,'CWO Bulan Ini'!$DJ:$DJ,'Area-Cabang'!$B76,'CWO Bulan Ini'!$DH:$DH,'Area-Cabang'!$E76,'CWO Bulan Ini'!$CZ:$CZ,'Area-Cabang'!BK$41)</f>
        <v>0</v>
      </c>
      <c r="BL76" s="42">
        <f>SUMIFS('CWO Bulan Ini'!$DD:$DD,'CWO Bulan Ini'!$DJ:$DJ,'Area-Cabang'!$B76,'CWO Bulan Ini'!$DH:$DH,'Area-Cabang'!$E76,'CWO Bulan Ini'!$CZ:$CZ,'Area-Cabang'!BL$41)</f>
        <v>0</v>
      </c>
      <c r="BM76" s="42">
        <f>SUMIFS('CWO Bulan Ini'!$DD:$DD,'CWO Bulan Ini'!$DJ:$DJ,'Area-Cabang'!$B76,'CWO Bulan Ini'!$DH:$DH,'Area-Cabang'!$E76,'CWO Bulan Ini'!$CZ:$CZ,'Area-Cabang'!BM$41)</f>
        <v>0</v>
      </c>
      <c r="BN76" s="42">
        <f>SUMIFS('CWO Bulan Ini'!$DD:$DD,'CWO Bulan Ini'!$DJ:$DJ,'Area-Cabang'!$B76,'CWO Bulan Ini'!$DH:$DH,'Area-Cabang'!$E76,'CWO Bulan Ini'!$CZ:$CZ,'Area-Cabang'!BN$41)</f>
        <v>0</v>
      </c>
      <c r="BO76" s="43">
        <f>SUMIFS('CWO Bulan Ini'!$DD:$DD,'CWO Bulan Ini'!$DJ:$DJ,'Area-Cabang'!$B76,'CWO Bulan Ini'!$DH:$DH,'Area-Cabang'!$E76,'CWO Bulan Ini'!$CZ:$CZ,'Area-Cabang'!BO$41)</f>
        <v>0</v>
      </c>
      <c r="BP76" s="41">
        <f>SUMIFS('CWO Bulan Ini'!$DC:$DC,'CWO Bulan Ini'!$DJ:$DJ,'Area-Cabang'!$B76,'CWO Bulan Ini'!$DH:$DH,'Area-Cabang'!$E76,'CWO Bulan Ini'!$CZ:$CZ,'Area-Cabang'!BP$41)</f>
        <v>0</v>
      </c>
      <c r="BQ76" s="42">
        <f>SUMIFS('CWO Bulan Ini'!$DC:$DC,'CWO Bulan Ini'!$DJ:$DJ,'Area-Cabang'!$B76,'CWO Bulan Ini'!$DH:$DH,'Area-Cabang'!$E76,'CWO Bulan Ini'!$CZ:$CZ,'Area-Cabang'!BQ$41)</f>
        <v>0</v>
      </c>
      <c r="BR76" s="42">
        <f>SUMIFS('CWO Bulan Ini'!$DC:$DC,'CWO Bulan Ini'!$DJ:$DJ,'Area-Cabang'!$B76,'CWO Bulan Ini'!$DH:$DH,'Area-Cabang'!$E76,'CWO Bulan Ini'!$CZ:$CZ,'Area-Cabang'!BR$41)</f>
        <v>0</v>
      </c>
      <c r="BS76" s="42">
        <f>SUMIFS('CWO Bulan Ini'!$DC:$DC,'CWO Bulan Ini'!$DJ:$DJ,'Area-Cabang'!$B76,'CWO Bulan Ini'!$DH:$DH,'Area-Cabang'!$E76,'CWO Bulan Ini'!$CZ:$CZ,'Area-Cabang'!BS$41)</f>
        <v>0</v>
      </c>
      <c r="BT76" s="42">
        <f>SUMIFS('CWO Bulan Ini'!$DC:$DC,'CWO Bulan Ini'!$DJ:$DJ,'Area-Cabang'!$B76,'CWO Bulan Ini'!$DH:$DH,'Area-Cabang'!$E76,'CWO Bulan Ini'!$CZ:$CZ,'Area-Cabang'!BT$41)</f>
        <v>0</v>
      </c>
      <c r="BU76" s="42">
        <f>SUMIFS('CWO Bulan Ini'!$DC:$DC,'CWO Bulan Ini'!$DJ:$DJ,'Area-Cabang'!$B76,'CWO Bulan Ini'!$DH:$DH,'Area-Cabang'!$E76,'CWO Bulan Ini'!$CZ:$CZ,'Area-Cabang'!BU$41)</f>
        <v>0</v>
      </c>
      <c r="BV76" s="42">
        <f>SUMIFS('CWO Bulan Ini'!$DC:$DC,'CWO Bulan Ini'!$DJ:$DJ,'Area-Cabang'!$B76,'CWO Bulan Ini'!$DH:$DH,'Area-Cabang'!$E76,'CWO Bulan Ini'!$CZ:$CZ,'Area-Cabang'!BV$41)</f>
        <v>0</v>
      </c>
      <c r="BW76" s="42">
        <f>SUMIFS('CWO Bulan Ini'!$DC:$DC,'CWO Bulan Ini'!$DJ:$DJ,'Area-Cabang'!$B76,'CWO Bulan Ini'!$DH:$DH,'Area-Cabang'!$E76,'CWO Bulan Ini'!$CZ:$CZ,'Area-Cabang'!BW$41)</f>
        <v>0</v>
      </c>
      <c r="BX76" s="42">
        <f>SUMIFS('CWO Bulan Ini'!$DC:$DC,'CWO Bulan Ini'!$DJ:$DJ,'Area-Cabang'!$B76,'CWO Bulan Ini'!$DH:$DH,'Area-Cabang'!$E76,'CWO Bulan Ini'!$CZ:$CZ,'Area-Cabang'!BX$41)</f>
        <v>0</v>
      </c>
      <c r="BY76" s="42">
        <f>SUMIFS('CWO Bulan Ini'!$DC:$DC,'CWO Bulan Ini'!$DJ:$DJ,'Area-Cabang'!$B76,'CWO Bulan Ini'!$DH:$DH,'Area-Cabang'!$E76,'CWO Bulan Ini'!$CZ:$CZ,'Area-Cabang'!BY$41)</f>
        <v>0</v>
      </c>
      <c r="BZ76" s="42">
        <f>SUMIFS('CWO Bulan Ini'!$DC:$DC,'CWO Bulan Ini'!$DJ:$DJ,'Area-Cabang'!$B76,'CWO Bulan Ini'!$DH:$DH,'Area-Cabang'!$E76,'CWO Bulan Ini'!$CZ:$CZ,'Area-Cabang'!BZ$41)</f>
        <v>0</v>
      </c>
      <c r="CA76" s="42">
        <f>SUMIFS('CWO Bulan Ini'!$DC:$DC,'CWO Bulan Ini'!$DJ:$DJ,'Area-Cabang'!$B76,'CWO Bulan Ini'!$DH:$DH,'Area-Cabang'!$E76,'CWO Bulan Ini'!$CZ:$CZ,'Area-Cabang'!CA$41)</f>
        <v>0</v>
      </c>
      <c r="CB76" s="42">
        <f>SUMIFS('CWO Bulan Ini'!$DC:$DC,'CWO Bulan Ini'!$DJ:$DJ,'Area-Cabang'!$B76,'CWO Bulan Ini'!$DH:$DH,'Area-Cabang'!$E76,'CWO Bulan Ini'!$CZ:$CZ,'Area-Cabang'!CB$41)</f>
        <v>0</v>
      </c>
      <c r="CC76" s="42">
        <f>SUMIFS('CWO Bulan Ini'!$DC:$DC,'CWO Bulan Ini'!$DJ:$DJ,'Area-Cabang'!$B76,'CWO Bulan Ini'!$DH:$DH,'Area-Cabang'!$E76,'CWO Bulan Ini'!$CZ:$CZ,'Area-Cabang'!CC$41)</f>
        <v>0</v>
      </c>
      <c r="CD76" s="42">
        <f>SUMIFS('CWO Bulan Ini'!$DC:$DC,'CWO Bulan Ini'!$DJ:$DJ,'Area-Cabang'!$B76,'CWO Bulan Ini'!$DH:$DH,'Area-Cabang'!$E76,'CWO Bulan Ini'!$CZ:$CZ,'Area-Cabang'!CD$41)</f>
        <v>0</v>
      </c>
      <c r="CE76" s="42">
        <f>SUMIFS('CWO Bulan Ini'!$DC:$DC,'CWO Bulan Ini'!$DJ:$DJ,'Area-Cabang'!$B76,'CWO Bulan Ini'!$DH:$DH,'Area-Cabang'!$E76,'CWO Bulan Ini'!$CZ:$CZ,'Area-Cabang'!CE$41)</f>
        <v>0</v>
      </c>
      <c r="CF76" s="42">
        <f>SUMIFS('CWO Bulan Ini'!$DC:$DC,'CWO Bulan Ini'!$DJ:$DJ,'Area-Cabang'!$B76,'CWO Bulan Ini'!$DH:$DH,'Area-Cabang'!$E76,'CWO Bulan Ini'!$CZ:$CZ,'Area-Cabang'!CF$41)</f>
        <v>0</v>
      </c>
      <c r="CG76" s="42">
        <f>SUMIFS('CWO Bulan Ini'!$DC:$DC,'CWO Bulan Ini'!$DJ:$DJ,'Area-Cabang'!$B76,'CWO Bulan Ini'!$DH:$DH,'Area-Cabang'!$E76,'CWO Bulan Ini'!$CZ:$CZ,'Area-Cabang'!CG$41)</f>
        <v>0</v>
      </c>
      <c r="CH76" s="42">
        <f>SUMIFS('CWO Bulan Ini'!$DC:$DC,'CWO Bulan Ini'!$DJ:$DJ,'Area-Cabang'!$B76,'CWO Bulan Ini'!$DH:$DH,'Area-Cabang'!$E76,'CWO Bulan Ini'!$CZ:$CZ,'Area-Cabang'!CH$41)</f>
        <v>0</v>
      </c>
      <c r="CI76" s="42">
        <f>SUMIFS('CWO Bulan Ini'!$DC:$DC,'CWO Bulan Ini'!$DJ:$DJ,'Area-Cabang'!$B76,'CWO Bulan Ini'!$DH:$DH,'Area-Cabang'!$E76,'CWO Bulan Ini'!$CZ:$CZ,'Area-Cabang'!CI$41)</f>
        <v>0</v>
      </c>
      <c r="CJ76" s="42">
        <f>SUMIFS('CWO Bulan Ini'!$DC:$DC,'CWO Bulan Ini'!$DJ:$DJ,'Area-Cabang'!$B76,'CWO Bulan Ini'!$DH:$DH,'Area-Cabang'!$E76,'CWO Bulan Ini'!$CZ:$CZ,'Area-Cabang'!CJ$41)</f>
        <v>0</v>
      </c>
      <c r="CK76" s="42">
        <f>SUMIFS('CWO Bulan Ini'!$DC:$DC,'CWO Bulan Ini'!$DJ:$DJ,'Area-Cabang'!$B76,'CWO Bulan Ini'!$DH:$DH,'Area-Cabang'!$E76,'CWO Bulan Ini'!$CZ:$CZ,'Area-Cabang'!CK$41)</f>
        <v>0</v>
      </c>
      <c r="CL76" s="42">
        <f>SUMIFS('CWO Bulan Ini'!$DC:$DC,'CWO Bulan Ini'!$DJ:$DJ,'Area-Cabang'!$B76,'CWO Bulan Ini'!$DH:$DH,'Area-Cabang'!$E76,'CWO Bulan Ini'!$CZ:$CZ,'Area-Cabang'!CL$41)</f>
        <v>0</v>
      </c>
      <c r="CM76" s="42">
        <f>SUMIFS('CWO Bulan Ini'!$DC:$DC,'CWO Bulan Ini'!$DJ:$DJ,'Area-Cabang'!$B76,'CWO Bulan Ini'!$DH:$DH,'Area-Cabang'!$E76,'CWO Bulan Ini'!$CZ:$CZ,'Area-Cabang'!CM$41)</f>
        <v>0</v>
      </c>
      <c r="CN76" s="42">
        <f>SUMIFS('CWO Bulan Ini'!$DC:$DC,'CWO Bulan Ini'!$DJ:$DJ,'Area-Cabang'!$B76,'CWO Bulan Ini'!$DH:$DH,'Area-Cabang'!$E76,'CWO Bulan Ini'!$CZ:$CZ,'Area-Cabang'!CN$41)</f>
        <v>0</v>
      </c>
      <c r="CO76" s="42">
        <f>SUMIFS('CWO Bulan Ini'!$DC:$DC,'CWO Bulan Ini'!$DJ:$DJ,'Area-Cabang'!$B76,'CWO Bulan Ini'!$DH:$DH,'Area-Cabang'!$E76,'CWO Bulan Ini'!$CZ:$CZ,'Area-Cabang'!CO$41)</f>
        <v>0</v>
      </c>
      <c r="CP76" s="42">
        <f>SUMIFS('CWO Bulan Ini'!$DC:$DC,'CWO Bulan Ini'!$DJ:$DJ,'Area-Cabang'!$B76,'CWO Bulan Ini'!$DH:$DH,'Area-Cabang'!$E76,'CWO Bulan Ini'!$CZ:$CZ,'Area-Cabang'!CP$41)</f>
        <v>0</v>
      </c>
      <c r="CQ76" s="42">
        <f>SUMIFS('CWO Bulan Ini'!$DC:$DC,'CWO Bulan Ini'!$DJ:$DJ,'Area-Cabang'!$B76,'CWO Bulan Ini'!$DH:$DH,'Area-Cabang'!$E76,'CWO Bulan Ini'!$CZ:$CZ,'Area-Cabang'!CQ$41)</f>
        <v>0</v>
      </c>
      <c r="CR76" s="42">
        <f>SUMIFS('CWO Bulan Ini'!$DC:$DC,'CWO Bulan Ini'!$DJ:$DJ,'Area-Cabang'!$B76,'CWO Bulan Ini'!$DH:$DH,'Area-Cabang'!$E76,'CWO Bulan Ini'!$CZ:$CZ,'Area-Cabang'!CR$41)</f>
        <v>0</v>
      </c>
      <c r="CS76" s="42">
        <f>SUMIFS('CWO Bulan Ini'!$DC:$DC,'CWO Bulan Ini'!$DJ:$DJ,'Area-Cabang'!$B76,'CWO Bulan Ini'!$DH:$DH,'Area-Cabang'!$E76,'CWO Bulan Ini'!$CZ:$CZ,'Area-Cabang'!CS$41)</f>
        <v>0</v>
      </c>
      <c r="CT76" s="43">
        <f>SUMIFS('CWO Bulan Ini'!$DC:$DC,'CWO Bulan Ini'!$DJ:$DJ,'Area-Cabang'!$B76,'CWO Bulan Ini'!$DH:$DH,'Area-Cabang'!$E76,'CWO Bulan Ini'!$CZ:$CZ,'Area-Cabang'!CT$41)</f>
        <v>0</v>
      </c>
      <c r="CV76" s="96">
        <f t="shared" si="2114"/>
        <v>0</v>
      </c>
      <c r="CW76" s="93">
        <f t="shared" si="2115"/>
        <v>0</v>
      </c>
      <c r="CX76" s="93">
        <f t="shared" si="2116"/>
        <v>0</v>
      </c>
      <c r="CY76" s="93">
        <f t="shared" si="2117"/>
        <v>0</v>
      </c>
      <c r="CZ76" s="106">
        <f t="shared" si="2118"/>
        <v>0</v>
      </c>
    </row>
    <row r="77" spans="1:104" ht="15" customHeight="1" x14ac:dyDescent="0.25">
      <c r="A77" s="58" t="s">
        <v>487</v>
      </c>
      <c r="B77" s="53" t="s">
        <v>818</v>
      </c>
      <c r="C77" s="250"/>
      <c r="D77" s="227" t="s">
        <v>818</v>
      </c>
      <c r="E77" s="228"/>
      <c r="F77" s="219">
        <f t="shared" ref="F77" si="2119">SUM(F75:F76)</f>
        <v>0</v>
      </c>
      <c r="G77" s="220">
        <f t="shared" ref="G77" si="2120">SUM(G75:G76)</f>
        <v>0</v>
      </c>
      <c r="H77" s="220">
        <f t="shared" ref="H77" si="2121">SUM(H75:H76)</f>
        <v>0</v>
      </c>
      <c r="I77" s="220">
        <f t="shared" ref="I77" si="2122">SUM(I75:I76)</f>
        <v>0</v>
      </c>
      <c r="J77" s="220">
        <f t="shared" ref="J77" si="2123">SUM(J75:J76)</f>
        <v>0</v>
      </c>
      <c r="K77" s="220">
        <f t="shared" ref="K77" si="2124">SUM(K75:K76)</f>
        <v>0</v>
      </c>
      <c r="L77" s="220">
        <f t="shared" ref="L77" si="2125">SUM(L75:L76)</f>
        <v>0</v>
      </c>
      <c r="M77" s="220">
        <f t="shared" ref="M77" si="2126">SUM(M75:M76)</f>
        <v>0</v>
      </c>
      <c r="N77" s="220">
        <f t="shared" ref="N77" si="2127">SUM(N75:N76)</f>
        <v>0</v>
      </c>
      <c r="O77" s="220">
        <f t="shared" ref="O77" si="2128">SUM(O75:O76)</f>
        <v>0</v>
      </c>
      <c r="P77" s="220">
        <f t="shared" ref="P77" si="2129">SUM(P75:P76)</f>
        <v>0</v>
      </c>
      <c r="Q77" s="220">
        <f t="shared" ref="Q77" si="2130">SUM(Q75:Q76)</f>
        <v>0</v>
      </c>
      <c r="R77" s="220">
        <f t="shared" ref="R77" si="2131">SUM(R75:R76)</f>
        <v>0</v>
      </c>
      <c r="S77" s="220">
        <f t="shared" ref="S77" si="2132">SUM(S75:S76)</f>
        <v>0</v>
      </c>
      <c r="T77" s="220">
        <f t="shared" ref="T77" si="2133">SUM(T75:T76)</f>
        <v>0</v>
      </c>
      <c r="U77" s="220">
        <f t="shared" ref="U77" si="2134">SUM(U75:U76)</f>
        <v>0</v>
      </c>
      <c r="V77" s="220">
        <f t="shared" ref="V77" si="2135">SUM(V75:V76)</f>
        <v>0</v>
      </c>
      <c r="W77" s="220">
        <f t="shared" ref="W77" si="2136">SUM(W75:W76)</f>
        <v>0</v>
      </c>
      <c r="X77" s="220">
        <f t="shared" ref="X77" si="2137">SUM(X75:X76)</f>
        <v>0</v>
      </c>
      <c r="Y77" s="220">
        <f t="shared" ref="Y77" si="2138">SUM(Y75:Y76)</f>
        <v>0</v>
      </c>
      <c r="Z77" s="220">
        <f t="shared" ref="Z77" si="2139">SUM(Z75:Z76)</f>
        <v>0</v>
      </c>
      <c r="AA77" s="220">
        <f t="shared" ref="AA77" si="2140">SUM(AA75:AA76)</f>
        <v>0</v>
      </c>
      <c r="AB77" s="220">
        <f t="shared" ref="AB77" si="2141">SUM(AB75:AB76)</f>
        <v>0</v>
      </c>
      <c r="AC77" s="220">
        <f t="shared" ref="AC77" si="2142">SUM(AC75:AC76)</f>
        <v>0</v>
      </c>
      <c r="AD77" s="220">
        <f t="shared" ref="AD77" si="2143">SUM(AD75:AD76)</f>
        <v>0</v>
      </c>
      <c r="AE77" s="220">
        <f t="shared" ref="AE77" si="2144">SUM(AE75:AE76)</f>
        <v>0</v>
      </c>
      <c r="AF77" s="220">
        <f t="shared" ref="AF77" si="2145">SUM(AF75:AF76)</f>
        <v>0</v>
      </c>
      <c r="AG77" s="220">
        <f t="shared" ref="AG77" si="2146">SUM(AG75:AG76)</f>
        <v>0</v>
      </c>
      <c r="AH77" s="220">
        <f t="shared" ref="AH77" si="2147">SUM(AH75:AH76)</f>
        <v>0</v>
      </c>
      <c r="AI77" s="220">
        <f t="shared" ref="AI77" si="2148">SUM(AI75:AI76)</f>
        <v>0</v>
      </c>
      <c r="AJ77" s="220">
        <f t="shared" ref="AJ77" si="2149">SUM(AJ75:AJ76)</f>
        <v>0</v>
      </c>
      <c r="AK77" s="219">
        <f t="shared" ref="AK77" si="2150">SUM(AK75:AK76)</f>
        <v>0</v>
      </c>
      <c r="AL77" s="220">
        <f t="shared" ref="AL77" si="2151">SUM(AL75:AL76)</f>
        <v>0</v>
      </c>
      <c r="AM77" s="220">
        <f t="shared" ref="AM77" si="2152">SUM(AM75:AM76)</f>
        <v>0</v>
      </c>
      <c r="AN77" s="220">
        <f t="shared" ref="AN77" si="2153">SUM(AN75:AN76)</f>
        <v>0</v>
      </c>
      <c r="AO77" s="220">
        <f t="shared" ref="AO77" si="2154">SUM(AO75:AO76)</f>
        <v>0</v>
      </c>
      <c r="AP77" s="220">
        <f t="shared" ref="AP77" si="2155">SUM(AP75:AP76)</f>
        <v>0</v>
      </c>
      <c r="AQ77" s="220">
        <f t="shared" ref="AQ77" si="2156">SUM(AQ75:AQ76)</f>
        <v>0</v>
      </c>
      <c r="AR77" s="220">
        <f t="shared" ref="AR77" si="2157">SUM(AR75:AR76)</f>
        <v>0</v>
      </c>
      <c r="AS77" s="220">
        <f t="shared" ref="AS77" si="2158">SUM(AS75:AS76)</f>
        <v>0</v>
      </c>
      <c r="AT77" s="220">
        <f t="shared" ref="AT77" si="2159">SUM(AT75:AT76)</f>
        <v>0</v>
      </c>
      <c r="AU77" s="220">
        <f t="shared" ref="AU77" si="2160">SUM(AU75:AU76)</f>
        <v>0</v>
      </c>
      <c r="AV77" s="220">
        <f t="shared" ref="AV77" si="2161">SUM(AV75:AV76)</f>
        <v>0</v>
      </c>
      <c r="AW77" s="220">
        <f t="shared" ref="AW77" si="2162">SUM(AW75:AW76)</f>
        <v>0</v>
      </c>
      <c r="AX77" s="220">
        <f t="shared" ref="AX77" si="2163">SUM(AX75:AX76)</f>
        <v>0</v>
      </c>
      <c r="AY77" s="220">
        <f t="shared" ref="AY77" si="2164">SUM(AY75:AY76)</f>
        <v>0</v>
      </c>
      <c r="AZ77" s="220">
        <f t="shared" ref="AZ77" si="2165">SUM(AZ75:AZ76)</f>
        <v>0</v>
      </c>
      <c r="BA77" s="220">
        <f t="shared" ref="BA77" si="2166">SUM(BA75:BA76)</f>
        <v>0</v>
      </c>
      <c r="BB77" s="220">
        <f t="shared" ref="BB77" si="2167">SUM(BB75:BB76)</f>
        <v>0</v>
      </c>
      <c r="BC77" s="220">
        <f t="shared" ref="BC77" si="2168">SUM(BC75:BC76)</f>
        <v>0</v>
      </c>
      <c r="BD77" s="220">
        <f t="shared" ref="BD77" si="2169">SUM(BD75:BD76)</f>
        <v>0</v>
      </c>
      <c r="BE77" s="220">
        <f t="shared" ref="BE77" si="2170">SUM(BE75:BE76)</f>
        <v>0</v>
      </c>
      <c r="BF77" s="220">
        <f t="shared" ref="BF77" si="2171">SUM(BF75:BF76)</f>
        <v>0</v>
      </c>
      <c r="BG77" s="220">
        <f t="shared" ref="BG77" si="2172">SUM(BG75:BG76)</f>
        <v>0</v>
      </c>
      <c r="BH77" s="220">
        <f t="shared" ref="BH77" si="2173">SUM(BH75:BH76)</f>
        <v>0</v>
      </c>
      <c r="BI77" s="220">
        <f t="shared" ref="BI77" si="2174">SUM(BI75:BI76)</f>
        <v>0</v>
      </c>
      <c r="BJ77" s="220">
        <f t="shared" ref="BJ77" si="2175">SUM(BJ75:BJ76)</f>
        <v>0</v>
      </c>
      <c r="BK77" s="220">
        <f t="shared" ref="BK77" si="2176">SUM(BK75:BK76)</f>
        <v>0</v>
      </c>
      <c r="BL77" s="220">
        <f t="shared" ref="BL77" si="2177">SUM(BL75:BL76)</f>
        <v>0</v>
      </c>
      <c r="BM77" s="220">
        <f t="shared" ref="BM77" si="2178">SUM(BM75:BM76)</f>
        <v>0</v>
      </c>
      <c r="BN77" s="220">
        <f t="shared" ref="BN77" si="2179">SUM(BN75:BN76)</f>
        <v>0</v>
      </c>
      <c r="BO77" s="221">
        <f t="shared" ref="BO77" si="2180">SUM(BO75:BO76)</f>
        <v>0</v>
      </c>
      <c r="BP77" s="219">
        <f t="shared" ref="BP77" si="2181">SUM(BP75:BP76)</f>
        <v>0</v>
      </c>
      <c r="BQ77" s="220">
        <f t="shared" ref="BQ77" si="2182">SUM(BQ75:BQ76)</f>
        <v>0</v>
      </c>
      <c r="BR77" s="220">
        <f t="shared" ref="BR77" si="2183">SUM(BR75:BR76)</f>
        <v>0</v>
      </c>
      <c r="BS77" s="220">
        <f t="shared" ref="BS77" si="2184">SUM(BS75:BS76)</f>
        <v>0</v>
      </c>
      <c r="BT77" s="220">
        <f t="shared" ref="BT77" si="2185">SUM(BT75:BT76)</f>
        <v>0</v>
      </c>
      <c r="BU77" s="220">
        <f t="shared" ref="BU77" si="2186">SUM(BU75:BU76)</f>
        <v>0</v>
      </c>
      <c r="BV77" s="220">
        <f t="shared" ref="BV77" si="2187">SUM(BV75:BV76)</f>
        <v>0</v>
      </c>
      <c r="BW77" s="220">
        <f t="shared" ref="BW77" si="2188">SUM(BW75:BW76)</f>
        <v>0</v>
      </c>
      <c r="BX77" s="220">
        <f t="shared" ref="BX77" si="2189">SUM(BX75:BX76)</f>
        <v>0</v>
      </c>
      <c r="BY77" s="220">
        <f t="shared" ref="BY77" si="2190">SUM(BY75:BY76)</f>
        <v>0</v>
      </c>
      <c r="BZ77" s="220">
        <f t="shared" ref="BZ77" si="2191">SUM(BZ75:BZ76)</f>
        <v>0</v>
      </c>
      <c r="CA77" s="220">
        <f t="shared" ref="CA77" si="2192">SUM(CA75:CA76)</f>
        <v>0</v>
      </c>
      <c r="CB77" s="220">
        <f t="shared" ref="CB77" si="2193">SUM(CB75:CB76)</f>
        <v>0</v>
      </c>
      <c r="CC77" s="220">
        <f t="shared" ref="CC77" si="2194">SUM(CC75:CC76)</f>
        <v>0</v>
      </c>
      <c r="CD77" s="220">
        <f t="shared" ref="CD77" si="2195">SUM(CD75:CD76)</f>
        <v>0</v>
      </c>
      <c r="CE77" s="220">
        <f t="shared" ref="CE77" si="2196">SUM(CE75:CE76)</f>
        <v>0</v>
      </c>
      <c r="CF77" s="220">
        <f t="shared" ref="CF77" si="2197">SUM(CF75:CF76)</f>
        <v>0</v>
      </c>
      <c r="CG77" s="220">
        <f t="shared" ref="CG77" si="2198">SUM(CG75:CG76)</f>
        <v>0</v>
      </c>
      <c r="CH77" s="220">
        <f t="shared" ref="CH77" si="2199">SUM(CH75:CH76)</f>
        <v>0</v>
      </c>
      <c r="CI77" s="220">
        <f t="shared" ref="CI77" si="2200">SUM(CI75:CI76)</f>
        <v>0</v>
      </c>
      <c r="CJ77" s="220">
        <f t="shared" ref="CJ77" si="2201">SUM(CJ75:CJ76)</f>
        <v>0</v>
      </c>
      <c r="CK77" s="220">
        <f t="shared" ref="CK77" si="2202">SUM(CK75:CK76)</f>
        <v>0</v>
      </c>
      <c r="CL77" s="220">
        <f t="shared" ref="CL77" si="2203">SUM(CL75:CL76)</f>
        <v>0</v>
      </c>
      <c r="CM77" s="220">
        <f t="shared" ref="CM77" si="2204">SUM(CM75:CM76)</f>
        <v>0</v>
      </c>
      <c r="CN77" s="220">
        <f t="shared" ref="CN77" si="2205">SUM(CN75:CN76)</f>
        <v>0</v>
      </c>
      <c r="CO77" s="220">
        <f t="shared" ref="CO77" si="2206">SUM(CO75:CO76)</f>
        <v>0</v>
      </c>
      <c r="CP77" s="220">
        <f t="shared" ref="CP77" si="2207">SUM(CP75:CP76)</f>
        <v>0</v>
      </c>
      <c r="CQ77" s="220">
        <f t="shared" ref="CQ77" si="2208">SUM(CQ75:CQ76)</f>
        <v>0</v>
      </c>
      <c r="CR77" s="220">
        <f t="shared" ref="CR77" si="2209">SUM(CR75:CR76)</f>
        <v>0</v>
      </c>
      <c r="CS77" s="220">
        <f t="shared" ref="CS77" si="2210">SUM(CS75:CS76)</f>
        <v>0</v>
      </c>
      <c r="CT77" s="221">
        <f t="shared" ref="CT77" si="2211">SUM(CT75:CT76)</f>
        <v>0</v>
      </c>
      <c r="CU77" s="226"/>
      <c r="CV77" s="219">
        <f t="shared" ref="CV77" si="2212">SUM(CV75:CV76)</f>
        <v>0</v>
      </c>
      <c r="CW77" s="220">
        <f t="shared" ref="CW77" si="2213">SUM(CW75:CW76)</f>
        <v>0</v>
      </c>
      <c r="CX77" s="220">
        <f t="shared" ref="CX77" si="2214">SUM(CX75:CX76)</f>
        <v>0</v>
      </c>
      <c r="CY77" s="220">
        <f t="shared" ref="CY77" si="2215">SUM(CY75:CY76)</f>
        <v>0</v>
      </c>
      <c r="CZ77" s="222">
        <f t="shared" ref="CZ77" si="2216">SUM(CZ75:CZ76)</f>
        <v>0</v>
      </c>
    </row>
    <row r="78" spans="1:104" ht="15" customHeight="1" x14ac:dyDescent="0.25">
      <c r="A78" s="58" t="s">
        <v>487</v>
      </c>
      <c r="B78" s="53" t="s">
        <v>220</v>
      </c>
      <c r="C78" s="250"/>
      <c r="D78" s="245" t="s">
        <v>220</v>
      </c>
      <c r="E78" s="85" t="s">
        <v>132</v>
      </c>
      <c r="F78" s="55">
        <f>SUMIFS('CWO Bulan Ini'!$DA:$DA,'CWO Bulan Ini'!$DJ:$DJ,'Area-Cabang'!$B78,'CWO Bulan Ini'!$DH:$DH,'Area-Cabang'!$E78,'CWO Bulan Ini'!$CZ:$CZ,'Area-Cabang'!F$41)</f>
        <v>0</v>
      </c>
      <c r="G78" s="56">
        <f>SUMIFS('CWO Bulan Ini'!$DA:$DA,'CWO Bulan Ini'!$DJ:$DJ,'Area-Cabang'!$B78,'CWO Bulan Ini'!$DH:$DH,'Area-Cabang'!$E78,'CWO Bulan Ini'!$CZ:$CZ,'Area-Cabang'!G$41)</f>
        <v>0</v>
      </c>
      <c r="H78" s="56">
        <f>SUMIFS('CWO Bulan Ini'!$DA:$DA,'CWO Bulan Ini'!$DJ:$DJ,'Area-Cabang'!$B78,'CWO Bulan Ini'!$DH:$DH,'Area-Cabang'!$E78,'CWO Bulan Ini'!$CZ:$CZ,'Area-Cabang'!H$41)</f>
        <v>0</v>
      </c>
      <c r="I78" s="56">
        <f>SUMIFS('CWO Bulan Ini'!$DA:$DA,'CWO Bulan Ini'!$DJ:$DJ,'Area-Cabang'!$B78,'CWO Bulan Ini'!$DH:$DH,'Area-Cabang'!$E78,'CWO Bulan Ini'!$CZ:$CZ,'Area-Cabang'!I$41)</f>
        <v>0</v>
      </c>
      <c r="J78" s="56">
        <f>SUMIFS('CWO Bulan Ini'!$DA:$DA,'CWO Bulan Ini'!$DJ:$DJ,'Area-Cabang'!$B78,'CWO Bulan Ini'!$DH:$DH,'Area-Cabang'!$E78,'CWO Bulan Ini'!$CZ:$CZ,'Area-Cabang'!J$41)</f>
        <v>0</v>
      </c>
      <c r="K78" s="56">
        <f>SUMIFS('CWO Bulan Ini'!$DA:$DA,'CWO Bulan Ini'!$DJ:$DJ,'Area-Cabang'!$B78,'CWO Bulan Ini'!$DH:$DH,'Area-Cabang'!$E78,'CWO Bulan Ini'!$CZ:$CZ,'Area-Cabang'!K$41)</f>
        <v>0</v>
      </c>
      <c r="L78" s="56">
        <f>SUMIFS('CWO Bulan Ini'!$DA:$DA,'CWO Bulan Ini'!$DJ:$DJ,'Area-Cabang'!$B78,'CWO Bulan Ini'!$DH:$DH,'Area-Cabang'!$E78,'CWO Bulan Ini'!$CZ:$CZ,'Area-Cabang'!L$41)</f>
        <v>0</v>
      </c>
      <c r="M78" s="56">
        <f>SUMIFS('CWO Bulan Ini'!$DA:$DA,'CWO Bulan Ini'!$DJ:$DJ,'Area-Cabang'!$B78,'CWO Bulan Ini'!$DH:$DH,'Area-Cabang'!$E78,'CWO Bulan Ini'!$CZ:$CZ,'Area-Cabang'!M$41)</f>
        <v>0</v>
      </c>
      <c r="N78" s="56">
        <f>SUMIFS('CWO Bulan Ini'!$DA:$DA,'CWO Bulan Ini'!$DJ:$DJ,'Area-Cabang'!$B78,'CWO Bulan Ini'!$DH:$DH,'Area-Cabang'!$E78,'CWO Bulan Ini'!$CZ:$CZ,'Area-Cabang'!N$41)</f>
        <v>0</v>
      </c>
      <c r="O78" s="56">
        <f>SUMIFS('CWO Bulan Ini'!$DA:$DA,'CWO Bulan Ini'!$DJ:$DJ,'Area-Cabang'!$B78,'CWO Bulan Ini'!$DH:$DH,'Area-Cabang'!$E78,'CWO Bulan Ini'!$CZ:$CZ,'Area-Cabang'!O$41)</f>
        <v>0</v>
      </c>
      <c r="P78" s="56">
        <f>SUMIFS('CWO Bulan Ini'!$DA:$DA,'CWO Bulan Ini'!$DJ:$DJ,'Area-Cabang'!$B78,'CWO Bulan Ini'!$DH:$DH,'Area-Cabang'!$E78,'CWO Bulan Ini'!$CZ:$CZ,'Area-Cabang'!P$41)</f>
        <v>0</v>
      </c>
      <c r="Q78" s="56">
        <f>SUMIFS('CWO Bulan Ini'!$DA:$DA,'CWO Bulan Ini'!$DJ:$DJ,'Area-Cabang'!$B78,'CWO Bulan Ini'!$DH:$DH,'Area-Cabang'!$E78,'CWO Bulan Ini'!$CZ:$CZ,'Area-Cabang'!Q$41)</f>
        <v>0</v>
      </c>
      <c r="R78" s="56">
        <f>SUMIFS('CWO Bulan Ini'!$DA:$DA,'CWO Bulan Ini'!$DJ:$DJ,'Area-Cabang'!$B78,'CWO Bulan Ini'!$DH:$DH,'Area-Cabang'!$E78,'CWO Bulan Ini'!$CZ:$CZ,'Area-Cabang'!R$41)</f>
        <v>0</v>
      </c>
      <c r="S78" s="56">
        <f>SUMIFS('CWO Bulan Ini'!$DA:$DA,'CWO Bulan Ini'!$DJ:$DJ,'Area-Cabang'!$B78,'CWO Bulan Ini'!$DH:$DH,'Area-Cabang'!$E78,'CWO Bulan Ini'!$CZ:$CZ,'Area-Cabang'!S$41)</f>
        <v>0</v>
      </c>
      <c r="T78" s="56">
        <f>SUMIFS('CWO Bulan Ini'!$DA:$DA,'CWO Bulan Ini'!$DJ:$DJ,'Area-Cabang'!$B78,'CWO Bulan Ini'!$DH:$DH,'Area-Cabang'!$E78,'CWO Bulan Ini'!$CZ:$CZ,'Area-Cabang'!T$41)</f>
        <v>0</v>
      </c>
      <c r="U78" s="56">
        <f>SUMIFS('CWO Bulan Ini'!$DA:$DA,'CWO Bulan Ini'!$DJ:$DJ,'Area-Cabang'!$B78,'CWO Bulan Ini'!$DH:$DH,'Area-Cabang'!$E78,'CWO Bulan Ini'!$CZ:$CZ,'Area-Cabang'!U$41)</f>
        <v>0</v>
      </c>
      <c r="V78" s="56">
        <f>SUMIFS('CWO Bulan Ini'!$DA:$DA,'CWO Bulan Ini'!$DJ:$DJ,'Area-Cabang'!$B78,'CWO Bulan Ini'!$DH:$DH,'Area-Cabang'!$E78,'CWO Bulan Ini'!$CZ:$CZ,'Area-Cabang'!V$41)</f>
        <v>0</v>
      </c>
      <c r="W78" s="56">
        <f>SUMIFS('CWO Bulan Ini'!$DA:$DA,'CWO Bulan Ini'!$DJ:$DJ,'Area-Cabang'!$B78,'CWO Bulan Ini'!$DH:$DH,'Area-Cabang'!$E78,'CWO Bulan Ini'!$CZ:$CZ,'Area-Cabang'!W$41)</f>
        <v>0</v>
      </c>
      <c r="X78" s="56">
        <f>SUMIFS('CWO Bulan Ini'!$DA:$DA,'CWO Bulan Ini'!$DJ:$DJ,'Area-Cabang'!$B78,'CWO Bulan Ini'!$DH:$DH,'Area-Cabang'!$E78,'CWO Bulan Ini'!$CZ:$CZ,'Area-Cabang'!X$41)</f>
        <v>0</v>
      </c>
      <c r="Y78" s="56">
        <f>SUMIFS('CWO Bulan Ini'!$DA:$DA,'CWO Bulan Ini'!$DJ:$DJ,'Area-Cabang'!$B78,'CWO Bulan Ini'!$DH:$DH,'Area-Cabang'!$E78,'CWO Bulan Ini'!$CZ:$CZ,'Area-Cabang'!Y$41)</f>
        <v>0</v>
      </c>
      <c r="Z78" s="56">
        <f>SUMIFS('CWO Bulan Ini'!$DA:$DA,'CWO Bulan Ini'!$DJ:$DJ,'Area-Cabang'!$B78,'CWO Bulan Ini'!$DH:$DH,'Area-Cabang'!$E78,'CWO Bulan Ini'!$CZ:$CZ,'Area-Cabang'!Z$41)</f>
        <v>0</v>
      </c>
      <c r="AA78" s="56">
        <f>SUMIFS('CWO Bulan Ini'!$DA:$DA,'CWO Bulan Ini'!$DJ:$DJ,'Area-Cabang'!$B78,'CWO Bulan Ini'!$DH:$DH,'Area-Cabang'!$E78,'CWO Bulan Ini'!$CZ:$CZ,'Area-Cabang'!AA$41)</f>
        <v>0</v>
      </c>
      <c r="AB78" s="56">
        <f>SUMIFS('CWO Bulan Ini'!$DA:$DA,'CWO Bulan Ini'!$DJ:$DJ,'Area-Cabang'!$B78,'CWO Bulan Ini'!$DH:$DH,'Area-Cabang'!$E78,'CWO Bulan Ini'!$CZ:$CZ,'Area-Cabang'!AB$41)</f>
        <v>0</v>
      </c>
      <c r="AC78" s="56">
        <f>SUMIFS('CWO Bulan Ini'!$DA:$DA,'CWO Bulan Ini'!$DJ:$DJ,'Area-Cabang'!$B78,'CWO Bulan Ini'!$DH:$DH,'Area-Cabang'!$E78,'CWO Bulan Ini'!$CZ:$CZ,'Area-Cabang'!AC$41)</f>
        <v>0</v>
      </c>
      <c r="AD78" s="56">
        <f>SUMIFS('CWO Bulan Ini'!$DA:$DA,'CWO Bulan Ini'!$DJ:$DJ,'Area-Cabang'!$B78,'CWO Bulan Ini'!$DH:$DH,'Area-Cabang'!$E78,'CWO Bulan Ini'!$CZ:$CZ,'Area-Cabang'!AD$41)</f>
        <v>0</v>
      </c>
      <c r="AE78" s="56">
        <f>SUMIFS('CWO Bulan Ini'!$DA:$DA,'CWO Bulan Ini'!$DJ:$DJ,'Area-Cabang'!$B78,'CWO Bulan Ini'!$DH:$DH,'Area-Cabang'!$E78,'CWO Bulan Ini'!$CZ:$CZ,'Area-Cabang'!AE$41)</f>
        <v>0</v>
      </c>
      <c r="AF78" s="56">
        <f>SUMIFS('CWO Bulan Ini'!$DA:$DA,'CWO Bulan Ini'!$DJ:$DJ,'Area-Cabang'!$B78,'CWO Bulan Ini'!$DH:$DH,'Area-Cabang'!$E78,'CWO Bulan Ini'!$CZ:$CZ,'Area-Cabang'!AF$41)</f>
        <v>0</v>
      </c>
      <c r="AG78" s="56">
        <f>SUMIFS('CWO Bulan Ini'!$DA:$DA,'CWO Bulan Ini'!$DJ:$DJ,'Area-Cabang'!$B78,'CWO Bulan Ini'!$DH:$DH,'Area-Cabang'!$E78,'CWO Bulan Ini'!$CZ:$CZ,'Area-Cabang'!AG$41)</f>
        <v>0</v>
      </c>
      <c r="AH78" s="56">
        <f>SUMIFS('CWO Bulan Ini'!$DA:$DA,'CWO Bulan Ini'!$DJ:$DJ,'Area-Cabang'!$B78,'CWO Bulan Ini'!$DH:$DH,'Area-Cabang'!$E78,'CWO Bulan Ini'!$CZ:$CZ,'Area-Cabang'!AH$41)</f>
        <v>0</v>
      </c>
      <c r="AI78" s="56">
        <f>SUMIFS('CWO Bulan Ini'!$DA:$DA,'CWO Bulan Ini'!$DJ:$DJ,'Area-Cabang'!$B78,'CWO Bulan Ini'!$DH:$DH,'Area-Cabang'!$E78,'CWO Bulan Ini'!$CZ:$CZ,'Area-Cabang'!AI$41)</f>
        <v>0</v>
      </c>
      <c r="AJ78" s="56">
        <f>SUMIFS('CWO Bulan Ini'!$DA:$DA,'CWO Bulan Ini'!$DJ:$DJ,'Area-Cabang'!$B78,'CWO Bulan Ini'!$DH:$DH,'Area-Cabang'!$E78,'CWO Bulan Ini'!$CZ:$CZ,'Area-Cabang'!AJ$41)</f>
        <v>0</v>
      </c>
      <c r="AK78" s="55">
        <f>SUMIFS('CWO Bulan Ini'!$DD:$DD,'CWO Bulan Ini'!$DJ:$DJ,'Area-Cabang'!$B78,'CWO Bulan Ini'!$DH:$DH,'Area-Cabang'!$E78,'CWO Bulan Ini'!$CZ:$CZ,'Area-Cabang'!AK$41)</f>
        <v>0</v>
      </c>
      <c r="AL78" s="56">
        <f>SUMIFS('CWO Bulan Ini'!$DD:$DD,'CWO Bulan Ini'!$DJ:$DJ,'Area-Cabang'!$B78,'CWO Bulan Ini'!$DH:$DH,'Area-Cabang'!$E78,'CWO Bulan Ini'!$CZ:$CZ,'Area-Cabang'!AL$41)</f>
        <v>0</v>
      </c>
      <c r="AM78" s="56">
        <f>SUMIFS('CWO Bulan Ini'!$DD:$DD,'CWO Bulan Ini'!$DJ:$DJ,'Area-Cabang'!$B78,'CWO Bulan Ini'!$DH:$DH,'Area-Cabang'!$E78,'CWO Bulan Ini'!$CZ:$CZ,'Area-Cabang'!AM$41)</f>
        <v>0</v>
      </c>
      <c r="AN78" s="56">
        <f>SUMIFS('CWO Bulan Ini'!$DD:$DD,'CWO Bulan Ini'!$DJ:$DJ,'Area-Cabang'!$B78,'CWO Bulan Ini'!$DH:$DH,'Area-Cabang'!$E78,'CWO Bulan Ini'!$CZ:$CZ,'Area-Cabang'!AN$41)</f>
        <v>0</v>
      </c>
      <c r="AO78" s="56">
        <f>SUMIFS('CWO Bulan Ini'!$DD:$DD,'CWO Bulan Ini'!$DJ:$DJ,'Area-Cabang'!$B78,'CWO Bulan Ini'!$DH:$DH,'Area-Cabang'!$E78,'CWO Bulan Ini'!$CZ:$CZ,'Area-Cabang'!AO$41)</f>
        <v>0</v>
      </c>
      <c r="AP78" s="56">
        <f>SUMIFS('CWO Bulan Ini'!$DD:$DD,'CWO Bulan Ini'!$DJ:$DJ,'Area-Cabang'!$B78,'CWO Bulan Ini'!$DH:$DH,'Area-Cabang'!$E78,'CWO Bulan Ini'!$CZ:$CZ,'Area-Cabang'!AP$41)</f>
        <v>0</v>
      </c>
      <c r="AQ78" s="56">
        <f>SUMIFS('CWO Bulan Ini'!$DD:$DD,'CWO Bulan Ini'!$DJ:$DJ,'Area-Cabang'!$B78,'CWO Bulan Ini'!$DH:$DH,'Area-Cabang'!$E78,'CWO Bulan Ini'!$CZ:$CZ,'Area-Cabang'!AQ$41)</f>
        <v>0</v>
      </c>
      <c r="AR78" s="56">
        <f>SUMIFS('CWO Bulan Ini'!$DD:$DD,'CWO Bulan Ini'!$DJ:$DJ,'Area-Cabang'!$B78,'CWO Bulan Ini'!$DH:$DH,'Area-Cabang'!$E78,'CWO Bulan Ini'!$CZ:$CZ,'Area-Cabang'!AR$41)</f>
        <v>0</v>
      </c>
      <c r="AS78" s="56">
        <f>SUMIFS('CWO Bulan Ini'!$DD:$DD,'CWO Bulan Ini'!$DJ:$DJ,'Area-Cabang'!$B78,'CWO Bulan Ini'!$DH:$DH,'Area-Cabang'!$E78,'CWO Bulan Ini'!$CZ:$CZ,'Area-Cabang'!AS$41)</f>
        <v>0</v>
      </c>
      <c r="AT78" s="56">
        <f>SUMIFS('CWO Bulan Ini'!$DD:$DD,'CWO Bulan Ini'!$DJ:$DJ,'Area-Cabang'!$B78,'CWO Bulan Ini'!$DH:$DH,'Area-Cabang'!$E78,'CWO Bulan Ini'!$CZ:$CZ,'Area-Cabang'!AT$41)</f>
        <v>0</v>
      </c>
      <c r="AU78" s="56">
        <f>SUMIFS('CWO Bulan Ini'!$DD:$DD,'CWO Bulan Ini'!$DJ:$DJ,'Area-Cabang'!$B78,'CWO Bulan Ini'!$DH:$DH,'Area-Cabang'!$E78,'CWO Bulan Ini'!$CZ:$CZ,'Area-Cabang'!AU$41)</f>
        <v>0</v>
      </c>
      <c r="AV78" s="56">
        <f>SUMIFS('CWO Bulan Ini'!$DD:$DD,'CWO Bulan Ini'!$DJ:$DJ,'Area-Cabang'!$B78,'CWO Bulan Ini'!$DH:$DH,'Area-Cabang'!$E78,'CWO Bulan Ini'!$CZ:$CZ,'Area-Cabang'!AV$41)</f>
        <v>0</v>
      </c>
      <c r="AW78" s="56">
        <f>SUMIFS('CWO Bulan Ini'!$DD:$DD,'CWO Bulan Ini'!$DJ:$DJ,'Area-Cabang'!$B78,'CWO Bulan Ini'!$DH:$DH,'Area-Cabang'!$E78,'CWO Bulan Ini'!$CZ:$CZ,'Area-Cabang'!AW$41)</f>
        <v>0</v>
      </c>
      <c r="AX78" s="56">
        <f>SUMIFS('CWO Bulan Ini'!$DD:$DD,'CWO Bulan Ini'!$DJ:$DJ,'Area-Cabang'!$B78,'CWO Bulan Ini'!$DH:$DH,'Area-Cabang'!$E78,'CWO Bulan Ini'!$CZ:$CZ,'Area-Cabang'!AX$41)</f>
        <v>0</v>
      </c>
      <c r="AY78" s="56">
        <f>SUMIFS('CWO Bulan Ini'!$DD:$DD,'CWO Bulan Ini'!$DJ:$DJ,'Area-Cabang'!$B78,'CWO Bulan Ini'!$DH:$DH,'Area-Cabang'!$E78,'CWO Bulan Ini'!$CZ:$CZ,'Area-Cabang'!AY$41)</f>
        <v>0</v>
      </c>
      <c r="AZ78" s="56">
        <f>SUMIFS('CWO Bulan Ini'!$DD:$DD,'CWO Bulan Ini'!$DJ:$DJ,'Area-Cabang'!$B78,'CWO Bulan Ini'!$DH:$DH,'Area-Cabang'!$E78,'CWO Bulan Ini'!$CZ:$CZ,'Area-Cabang'!AZ$41)</f>
        <v>0</v>
      </c>
      <c r="BA78" s="56">
        <f>SUMIFS('CWO Bulan Ini'!$DD:$DD,'CWO Bulan Ini'!$DJ:$DJ,'Area-Cabang'!$B78,'CWO Bulan Ini'!$DH:$DH,'Area-Cabang'!$E78,'CWO Bulan Ini'!$CZ:$CZ,'Area-Cabang'!BA$41)</f>
        <v>0</v>
      </c>
      <c r="BB78" s="56">
        <f>SUMIFS('CWO Bulan Ini'!$DD:$DD,'CWO Bulan Ini'!$DJ:$DJ,'Area-Cabang'!$B78,'CWO Bulan Ini'!$DH:$DH,'Area-Cabang'!$E78,'CWO Bulan Ini'!$CZ:$CZ,'Area-Cabang'!BB$41)</f>
        <v>0</v>
      </c>
      <c r="BC78" s="56">
        <f>SUMIFS('CWO Bulan Ini'!$DD:$DD,'CWO Bulan Ini'!$DJ:$DJ,'Area-Cabang'!$B78,'CWO Bulan Ini'!$DH:$DH,'Area-Cabang'!$E78,'CWO Bulan Ini'!$CZ:$CZ,'Area-Cabang'!BC$41)</f>
        <v>0</v>
      </c>
      <c r="BD78" s="56">
        <f>SUMIFS('CWO Bulan Ini'!$DD:$DD,'CWO Bulan Ini'!$DJ:$DJ,'Area-Cabang'!$B78,'CWO Bulan Ini'!$DH:$DH,'Area-Cabang'!$E78,'CWO Bulan Ini'!$CZ:$CZ,'Area-Cabang'!BD$41)</f>
        <v>0</v>
      </c>
      <c r="BE78" s="56">
        <f>SUMIFS('CWO Bulan Ini'!$DD:$DD,'CWO Bulan Ini'!$DJ:$DJ,'Area-Cabang'!$B78,'CWO Bulan Ini'!$DH:$DH,'Area-Cabang'!$E78,'CWO Bulan Ini'!$CZ:$CZ,'Area-Cabang'!BE$41)</f>
        <v>0</v>
      </c>
      <c r="BF78" s="56">
        <f>SUMIFS('CWO Bulan Ini'!$DD:$DD,'CWO Bulan Ini'!$DJ:$DJ,'Area-Cabang'!$B78,'CWO Bulan Ini'!$DH:$DH,'Area-Cabang'!$E78,'CWO Bulan Ini'!$CZ:$CZ,'Area-Cabang'!BF$41)</f>
        <v>0</v>
      </c>
      <c r="BG78" s="56">
        <f>SUMIFS('CWO Bulan Ini'!$DD:$DD,'CWO Bulan Ini'!$DJ:$DJ,'Area-Cabang'!$B78,'CWO Bulan Ini'!$DH:$DH,'Area-Cabang'!$E78,'CWO Bulan Ini'!$CZ:$CZ,'Area-Cabang'!BG$41)</f>
        <v>0</v>
      </c>
      <c r="BH78" s="56">
        <f>SUMIFS('CWO Bulan Ini'!$DD:$DD,'CWO Bulan Ini'!$DJ:$DJ,'Area-Cabang'!$B78,'CWO Bulan Ini'!$DH:$DH,'Area-Cabang'!$E78,'CWO Bulan Ini'!$CZ:$CZ,'Area-Cabang'!BH$41)</f>
        <v>0</v>
      </c>
      <c r="BI78" s="56">
        <f>SUMIFS('CWO Bulan Ini'!$DD:$DD,'CWO Bulan Ini'!$DJ:$DJ,'Area-Cabang'!$B78,'CWO Bulan Ini'!$DH:$DH,'Area-Cabang'!$E78,'CWO Bulan Ini'!$CZ:$CZ,'Area-Cabang'!BI$41)</f>
        <v>0</v>
      </c>
      <c r="BJ78" s="56">
        <f>SUMIFS('CWO Bulan Ini'!$DD:$DD,'CWO Bulan Ini'!$DJ:$DJ,'Area-Cabang'!$B78,'CWO Bulan Ini'!$DH:$DH,'Area-Cabang'!$E78,'CWO Bulan Ini'!$CZ:$CZ,'Area-Cabang'!BJ$41)</f>
        <v>0</v>
      </c>
      <c r="BK78" s="56">
        <f>SUMIFS('CWO Bulan Ini'!$DD:$DD,'CWO Bulan Ini'!$DJ:$DJ,'Area-Cabang'!$B78,'CWO Bulan Ini'!$DH:$DH,'Area-Cabang'!$E78,'CWO Bulan Ini'!$CZ:$CZ,'Area-Cabang'!BK$41)</f>
        <v>0</v>
      </c>
      <c r="BL78" s="56">
        <f>SUMIFS('CWO Bulan Ini'!$DD:$DD,'CWO Bulan Ini'!$DJ:$DJ,'Area-Cabang'!$B78,'CWO Bulan Ini'!$DH:$DH,'Area-Cabang'!$E78,'CWO Bulan Ini'!$CZ:$CZ,'Area-Cabang'!BL$41)</f>
        <v>0</v>
      </c>
      <c r="BM78" s="56">
        <f>SUMIFS('CWO Bulan Ini'!$DD:$DD,'CWO Bulan Ini'!$DJ:$DJ,'Area-Cabang'!$B78,'CWO Bulan Ini'!$DH:$DH,'Area-Cabang'!$E78,'CWO Bulan Ini'!$CZ:$CZ,'Area-Cabang'!BM$41)</f>
        <v>0</v>
      </c>
      <c r="BN78" s="56">
        <f>SUMIFS('CWO Bulan Ini'!$DD:$DD,'CWO Bulan Ini'!$DJ:$DJ,'Area-Cabang'!$B78,'CWO Bulan Ini'!$DH:$DH,'Area-Cabang'!$E78,'CWO Bulan Ini'!$CZ:$CZ,'Area-Cabang'!BN$41)</f>
        <v>0</v>
      </c>
      <c r="BO78" s="57">
        <f>SUMIFS('CWO Bulan Ini'!$DD:$DD,'CWO Bulan Ini'!$DJ:$DJ,'Area-Cabang'!$B78,'CWO Bulan Ini'!$DH:$DH,'Area-Cabang'!$E78,'CWO Bulan Ini'!$CZ:$CZ,'Area-Cabang'!BO$41)</f>
        <v>0</v>
      </c>
      <c r="BP78" s="55">
        <f>SUMIFS('CWO Bulan Ini'!$DC:$DC,'CWO Bulan Ini'!$DJ:$DJ,'Area-Cabang'!$B78,'CWO Bulan Ini'!$DH:$DH,'Area-Cabang'!$E78,'CWO Bulan Ini'!$CZ:$CZ,'Area-Cabang'!BP$41)</f>
        <v>0</v>
      </c>
      <c r="BQ78" s="56">
        <f>SUMIFS('CWO Bulan Ini'!$DC:$DC,'CWO Bulan Ini'!$DJ:$DJ,'Area-Cabang'!$B78,'CWO Bulan Ini'!$DH:$DH,'Area-Cabang'!$E78,'CWO Bulan Ini'!$CZ:$CZ,'Area-Cabang'!BQ$41)</f>
        <v>0</v>
      </c>
      <c r="BR78" s="56">
        <f>SUMIFS('CWO Bulan Ini'!$DC:$DC,'CWO Bulan Ini'!$DJ:$DJ,'Area-Cabang'!$B78,'CWO Bulan Ini'!$DH:$DH,'Area-Cabang'!$E78,'CWO Bulan Ini'!$CZ:$CZ,'Area-Cabang'!BR$41)</f>
        <v>0</v>
      </c>
      <c r="BS78" s="56">
        <f>SUMIFS('CWO Bulan Ini'!$DC:$DC,'CWO Bulan Ini'!$DJ:$DJ,'Area-Cabang'!$B78,'CWO Bulan Ini'!$DH:$DH,'Area-Cabang'!$E78,'CWO Bulan Ini'!$CZ:$CZ,'Area-Cabang'!BS$41)</f>
        <v>0</v>
      </c>
      <c r="BT78" s="56">
        <f>SUMIFS('CWO Bulan Ini'!$DC:$DC,'CWO Bulan Ini'!$DJ:$DJ,'Area-Cabang'!$B78,'CWO Bulan Ini'!$DH:$DH,'Area-Cabang'!$E78,'CWO Bulan Ini'!$CZ:$CZ,'Area-Cabang'!BT$41)</f>
        <v>0</v>
      </c>
      <c r="BU78" s="56">
        <f>SUMIFS('CWO Bulan Ini'!$DC:$DC,'CWO Bulan Ini'!$DJ:$DJ,'Area-Cabang'!$B78,'CWO Bulan Ini'!$DH:$DH,'Area-Cabang'!$E78,'CWO Bulan Ini'!$CZ:$CZ,'Area-Cabang'!BU$41)</f>
        <v>0</v>
      </c>
      <c r="BV78" s="56">
        <f>SUMIFS('CWO Bulan Ini'!$DC:$DC,'CWO Bulan Ini'!$DJ:$DJ,'Area-Cabang'!$B78,'CWO Bulan Ini'!$DH:$DH,'Area-Cabang'!$E78,'CWO Bulan Ini'!$CZ:$CZ,'Area-Cabang'!BV$41)</f>
        <v>0</v>
      </c>
      <c r="BW78" s="56">
        <f>SUMIFS('CWO Bulan Ini'!$DC:$DC,'CWO Bulan Ini'!$DJ:$DJ,'Area-Cabang'!$B78,'CWO Bulan Ini'!$DH:$DH,'Area-Cabang'!$E78,'CWO Bulan Ini'!$CZ:$CZ,'Area-Cabang'!BW$41)</f>
        <v>0</v>
      </c>
      <c r="BX78" s="56">
        <f>SUMIFS('CWO Bulan Ini'!$DC:$DC,'CWO Bulan Ini'!$DJ:$DJ,'Area-Cabang'!$B78,'CWO Bulan Ini'!$DH:$DH,'Area-Cabang'!$E78,'CWO Bulan Ini'!$CZ:$CZ,'Area-Cabang'!BX$41)</f>
        <v>0</v>
      </c>
      <c r="BY78" s="56">
        <f>SUMIFS('CWO Bulan Ini'!$DC:$DC,'CWO Bulan Ini'!$DJ:$DJ,'Area-Cabang'!$B78,'CWO Bulan Ini'!$DH:$DH,'Area-Cabang'!$E78,'CWO Bulan Ini'!$CZ:$CZ,'Area-Cabang'!BY$41)</f>
        <v>0</v>
      </c>
      <c r="BZ78" s="56">
        <f>SUMIFS('CWO Bulan Ini'!$DC:$DC,'CWO Bulan Ini'!$DJ:$DJ,'Area-Cabang'!$B78,'CWO Bulan Ini'!$DH:$DH,'Area-Cabang'!$E78,'CWO Bulan Ini'!$CZ:$CZ,'Area-Cabang'!BZ$41)</f>
        <v>0</v>
      </c>
      <c r="CA78" s="56">
        <f>SUMIFS('CWO Bulan Ini'!$DC:$DC,'CWO Bulan Ini'!$DJ:$DJ,'Area-Cabang'!$B78,'CWO Bulan Ini'!$DH:$DH,'Area-Cabang'!$E78,'CWO Bulan Ini'!$CZ:$CZ,'Area-Cabang'!CA$41)</f>
        <v>0</v>
      </c>
      <c r="CB78" s="56">
        <f>SUMIFS('CWO Bulan Ini'!$DC:$DC,'CWO Bulan Ini'!$DJ:$DJ,'Area-Cabang'!$B78,'CWO Bulan Ini'!$DH:$DH,'Area-Cabang'!$E78,'CWO Bulan Ini'!$CZ:$CZ,'Area-Cabang'!CB$41)</f>
        <v>0</v>
      </c>
      <c r="CC78" s="56">
        <f>SUMIFS('CWO Bulan Ini'!$DC:$DC,'CWO Bulan Ini'!$DJ:$DJ,'Area-Cabang'!$B78,'CWO Bulan Ini'!$DH:$DH,'Area-Cabang'!$E78,'CWO Bulan Ini'!$CZ:$CZ,'Area-Cabang'!CC$41)</f>
        <v>0</v>
      </c>
      <c r="CD78" s="56">
        <f>SUMIFS('CWO Bulan Ini'!$DC:$DC,'CWO Bulan Ini'!$DJ:$DJ,'Area-Cabang'!$B78,'CWO Bulan Ini'!$DH:$DH,'Area-Cabang'!$E78,'CWO Bulan Ini'!$CZ:$CZ,'Area-Cabang'!CD$41)</f>
        <v>0</v>
      </c>
      <c r="CE78" s="56">
        <f>SUMIFS('CWO Bulan Ini'!$DC:$DC,'CWO Bulan Ini'!$DJ:$DJ,'Area-Cabang'!$B78,'CWO Bulan Ini'!$DH:$DH,'Area-Cabang'!$E78,'CWO Bulan Ini'!$CZ:$CZ,'Area-Cabang'!CE$41)</f>
        <v>0</v>
      </c>
      <c r="CF78" s="56">
        <f>SUMIFS('CWO Bulan Ini'!$DC:$DC,'CWO Bulan Ini'!$DJ:$DJ,'Area-Cabang'!$B78,'CWO Bulan Ini'!$DH:$DH,'Area-Cabang'!$E78,'CWO Bulan Ini'!$CZ:$CZ,'Area-Cabang'!CF$41)</f>
        <v>0</v>
      </c>
      <c r="CG78" s="56">
        <f>SUMIFS('CWO Bulan Ini'!$DC:$DC,'CWO Bulan Ini'!$DJ:$DJ,'Area-Cabang'!$B78,'CWO Bulan Ini'!$DH:$DH,'Area-Cabang'!$E78,'CWO Bulan Ini'!$CZ:$CZ,'Area-Cabang'!CG$41)</f>
        <v>0</v>
      </c>
      <c r="CH78" s="56">
        <f>SUMIFS('CWO Bulan Ini'!$DC:$DC,'CWO Bulan Ini'!$DJ:$DJ,'Area-Cabang'!$B78,'CWO Bulan Ini'!$DH:$DH,'Area-Cabang'!$E78,'CWO Bulan Ini'!$CZ:$CZ,'Area-Cabang'!CH$41)</f>
        <v>0</v>
      </c>
      <c r="CI78" s="56">
        <f>SUMIFS('CWO Bulan Ini'!$DC:$DC,'CWO Bulan Ini'!$DJ:$DJ,'Area-Cabang'!$B78,'CWO Bulan Ini'!$DH:$DH,'Area-Cabang'!$E78,'CWO Bulan Ini'!$CZ:$CZ,'Area-Cabang'!CI$41)</f>
        <v>0</v>
      </c>
      <c r="CJ78" s="56">
        <f>SUMIFS('CWO Bulan Ini'!$DC:$DC,'CWO Bulan Ini'!$DJ:$DJ,'Area-Cabang'!$B78,'CWO Bulan Ini'!$DH:$DH,'Area-Cabang'!$E78,'CWO Bulan Ini'!$CZ:$CZ,'Area-Cabang'!CJ$41)</f>
        <v>0</v>
      </c>
      <c r="CK78" s="56">
        <f>SUMIFS('CWO Bulan Ini'!$DC:$DC,'CWO Bulan Ini'!$DJ:$DJ,'Area-Cabang'!$B78,'CWO Bulan Ini'!$DH:$DH,'Area-Cabang'!$E78,'CWO Bulan Ini'!$CZ:$CZ,'Area-Cabang'!CK$41)</f>
        <v>0</v>
      </c>
      <c r="CL78" s="56">
        <f>SUMIFS('CWO Bulan Ini'!$DC:$DC,'CWO Bulan Ini'!$DJ:$DJ,'Area-Cabang'!$B78,'CWO Bulan Ini'!$DH:$DH,'Area-Cabang'!$E78,'CWO Bulan Ini'!$CZ:$CZ,'Area-Cabang'!CL$41)</f>
        <v>0</v>
      </c>
      <c r="CM78" s="56">
        <f>SUMIFS('CWO Bulan Ini'!$DC:$DC,'CWO Bulan Ini'!$DJ:$DJ,'Area-Cabang'!$B78,'CWO Bulan Ini'!$DH:$DH,'Area-Cabang'!$E78,'CWO Bulan Ini'!$CZ:$CZ,'Area-Cabang'!CM$41)</f>
        <v>0</v>
      </c>
      <c r="CN78" s="56">
        <f>SUMIFS('CWO Bulan Ini'!$DC:$DC,'CWO Bulan Ini'!$DJ:$DJ,'Area-Cabang'!$B78,'CWO Bulan Ini'!$DH:$DH,'Area-Cabang'!$E78,'CWO Bulan Ini'!$CZ:$CZ,'Area-Cabang'!CN$41)</f>
        <v>0</v>
      </c>
      <c r="CO78" s="56">
        <f>SUMIFS('CWO Bulan Ini'!$DC:$DC,'CWO Bulan Ini'!$DJ:$DJ,'Area-Cabang'!$B78,'CWO Bulan Ini'!$DH:$DH,'Area-Cabang'!$E78,'CWO Bulan Ini'!$CZ:$CZ,'Area-Cabang'!CO$41)</f>
        <v>0</v>
      </c>
      <c r="CP78" s="56">
        <f>SUMIFS('CWO Bulan Ini'!$DC:$DC,'CWO Bulan Ini'!$DJ:$DJ,'Area-Cabang'!$B78,'CWO Bulan Ini'!$DH:$DH,'Area-Cabang'!$E78,'CWO Bulan Ini'!$CZ:$CZ,'Area-Cabang'!CP$41)</f>
        <v>0</v>
      </c>
      <c r="CQ78" s="56">
        <f>SUMIFS('CWO Bulan Ini'!$DC:$DC,'CWO Bulan Ini'!$DJ:$DJ,'Area-Cabang'!$B78,'CWO Bulan Ini'!$DH:$DH,'Area-Cabang'!$E78,'CWO Bulan Ini'!$CZ:$CZ,'Area-Cabang'!CQ$41)</f>
        <v>0</v>
      </c>
      <c r="CR78" s="56">
        <f>SUMIFS('CWO Bulan Ini'!$DC:$DC,'CWO Bulan Ini'!$DJ:$DJ,'Area-Cabang'!$B78,'CWO Bulan Ini'!$DH:$DH,'Area-Cabang'!$E78,'CWO Bulan Ini'!$CZ:$CZ,'Area-Cabang'!CR$41)</f>
        <v>0</v>
      </c>
      <c r="CS78" s="56">
        <f>SUMIFS('CWO Bulan Ini'!$DC:$DC,'CWO Bulan Ini'!$DJ:$DJ,'Area-Cabang'!$B78,'CWO Bulan Ini'!$DH:$DH,'Area-Cabang'!$E78,'CWO Bulan Ini'!$CZ:$CZ,'Area-Cabang'!CS$41)</f>
        <v>0</v>
      </c>
      <c r="CT78" s="57">
        <f>SUMIFS('CWO Bulan Ini'!$DC:$DC,'CWO Bulan Ini'!$DJ:$DJ,'Area-Cabang'!$B78,'CWO Bulan Ini'!$DH:$DH,'Area-Cabang'!$E78,'CWO Bulan Ini'!$CZ:$CZ,'Area-Cabang'!CT$41)</f>
        <v>0</v>
      </c>
      <c r="CV78" s="97">
        <f t="shared" ref="CV78:CV79" si="2217">SUM(F78:AJ78)</f>
        <v>0</v>
      </c>
      <c r="CW78" s="98">
        <f t="shared" ref="CW78:CW79" si="2218">SUM(AK78:BO78)</f>
        <v>0</v>
      </c>
      <c r="CX78" s="98">
        <f t="shared" ref="CX78:CX79" si="2219">SUM(BP78:CT78)</f>
        <v>0</v>
      </c>
      <c r="CY78" s="98">
        <f t="shared" ref="CY78:CY79" si="2220">CV78-CW78-CX78</f>
        <v>0</v>
      </c>
      <c r="CZ78" s="105">
        <f t="shared" ref="CZ78:CZ79" si="2221">CY78+CW78</f>
        <v>0</v>
      </c>
    </row>
    <row r="79" spans="1:104" ht="15" customHeight="1" x14ac:dyDescent="0.25">
      <c r="A79" s="58" t="s">
        <v>487</v>
      </c>
      <c r="B79" s="58" t="s">
        <v>220</v>
      </c>
      <c r="C79" s="250"/>
      <c r="D79" s="244"/>
      <c r="E79" s="40" t="s">
        <v>349</v>
      </c>
      <c r="F79" s="41">
        <f>SUMIFS('CWO Bulan Ini'!$DA:$DA,'CWO Bulan Ini'!$DJ:$DJ,'Area-Cabang'!$B79,'CWO Bulan Ini'!$DH:$DH,'Area-Cabang'!$E79,'CWO Bulan Ini'!$CZ:$CZ,'Area-Cabang'!F$41)</f>
        <v>0</v>
      </c>
      <c r="G79" s="42">
        <f>SUMIFS('CWO Bulan Ini'!$DA:$DA,'CWO Bulan Ini'!$DJ:$DJ,'Area-Cabang'!$B79,'CWO Bulan Ini'!$DH:$DH,'Area-Cabang'!$E79,'CWO Bulan Ini'!$CZ:$CZ,'Area-Cabang'!G$41)</f>
        <v>0</v>
      </c>
      <c r="H79" s="42">
        <f>SUMIFS('CWO Bulan Ini'!$DA:$DA,'CWO Bulan Ini'!$DJ:$DJ,'Area-Cabang'!$B79,'CWO Bulan Ini'!$DH:$DH,'Area-Cabang'!$E79,'CWO Bulan Ini'!$CZ:$CZ,'Area-Cabang'!H$41)</f>
        <v>0</v>
      </c>
      <c r="I79" s="42">
        <f>SUMIFS('CWO Bulan Ini'!$DA:$DA,'CWO Bulan Ini'!$DJ:$DJ,'Area-Cabang'!$B79,'CWO Bulan Ini'!$DH:$DH,'Area-Cabang'!$E79,'CWO Bulan Ini'!$CZ:$CZ,'Area-Cabang'!I$41)</f>
        <v>0</v>
      </c>
      <c r="J79" s="42">
        <f>SUMIFS('CWO Bulan Ini'!$DA:$DA,'CWO Bulan Ini'!$DJ:$DJ,'Area-Cabang'!$B79,'CWO Bulan Ini'!$DH:$DH,'Area-Cabang'!$E79,'CWO Bulan Ini'!$CZ:$CZ,'Area-Cabang'!J$41)</f>
        <v>0</v>
      </c>
      <c r="K79" s="42">
        <f>SUMIFS('CWO Bulan Ini'!$DA:$DA,'CWO Bulan Ini'!$DJ:$DJ,'Area-Cabang'!$B79,'CWO Bulan Ini'!$DH:$DH,'Area-Cabang'!$E79,'CWO Bulan Ini'!$CZ:$CZ,'Area-Cabang'!K$41)</f>
        <v>0</v>
      </c>
      <c r="L79" s="42">
        <f>SUMIFS('CWO Bulan Ini'!$DA:$DA,'CWO Bulan Ini'!$DJ:$DJ,'Area-Cabang'!$B79,'CWO Bulan Ini'!$DH:$DH,'Area-Cabang'!$E79,'CWO Bulan Ini'!$CZ:$CZ,'Area-Cabang'!L$41)</f>
        <v>0</v>
      </c>
      <c r="M79" s="42">
        <f>SUMIFS('CWO Bulan Ini'!$DA:$DA,'CWO Bulan Ini'!$DJ:$DJ,'Area-Cabang'!$B79,'CWO Bulan Ini'!$DH:$DH,'Area-Cabang'!$E79,'CWO Bulan Ini'!$CZ:$CZ,'Area-Cabang'!M$41)</f>
        <v>0</v>
      </c>
      <c r="N79" s="42">
        <f>SUMIFS('CWO Bulan Ini'!$DA:$DA,'CWO Bulan Ini'!$DJ:$DJ,'Area-Cabang'!$B79,'CWO Bulan Ini'!$DH:$DH,'Area-Cabang'!$E79,'CWO Bulan Ini'!$CZ:$CZ,'Area-Cabang'!N$41)</f>
        <v>0</v>
      </c>
      <c r="O79" s="42">
        <f>SUMIFS('CWO Bulan Ini'!$DA:$DA,'CWO Bulan Ini'!$DJ:$DJ,'Area-Cabang'!$B79,'CWO Bulan Ini'!$DH:$DH,'Area-Cabang'!$E79,'CWO Bulan Ini'!$CZ:$CZ,'Area-Cabang'!O$41)</f>
        <v>0</v>
      </c>
      <c r="P79" s="42">
        <f>SUMIFS('CWO Bulan Ini'!$DA:$DA,'CWO Bulan Ini'!$DJ:$DJ,'Area-Cabang'!$B79,'CWO Bulan Ini'!$DH:$DH,'Area-Cabang'!$E79,'CWO Bulan Ini'!$CZ:$CZ,'Area-Cabang'!P$41)</f>
        <v>0</v>
      </c>
      <c r="Q79" s="42">
        <f>SUMIFS('CWO Bulan Ini'!$DA:$DA,'CWO Bulan Ini'!$DJ:$DJ,'Area-Cabang'!$B79,'CWO Bulan Ini'!$DH:$DH,'Area-Cabang'!$E79,'CWO Bulan Ini'!$CZ:$CZ,'Area-Cabang'!Q$41)</f>
        <v>0</v>
      </c>
      <c r="R79" s="42">
        <f>SUMIFS('CWO Bulan Ini'!$DA:$DA,'CWO Bulan Ini'!$DJ:$DJ,'Area-Cabang'!$B79,'CWO Bulan Ini'!$DH:$DH,'Area-Cabang'!$E79,'CWO Bulan Ini'!$CZ:$CZ,'Area-Cabang'!R$41)</f>
        <v>0</v>
      </c>
      <c r="S79" s="42">
        <f>SUMIFS('CWO Bulan Ini'!$DA:$DA,'CWO Bulan Ini'!$DJ:$DJ,'Area-Cabang'!$B79,'CWO Bulan Ini'!$DH:$DH,'Area-Cabang'!$E79,'CWO Bulan Ini'!$CZ:$CZ,'Area-Cabang'!S$41)</f>
        <v>0</v>
      </c>
      <c r="T79" s="42">
        <f>SUMIFS('CWO Bulan Ini'!$DA:$DA,'CWO Bulan Ini'!$DJ:$DJ,'Area-Cabang'!$B79,'CWO Bulan Ini'!$DH:$DH,'Area-Cabang'!$E79,'CWO Bulan Ini'!$CZ:$CZ,'Area-Cabang'!T$41)</f>
        <v>0</v>
      </c>
      <c r="U79" s="42">
        <f>SUMIFS('CWO Bulan Ini'!$DA:$DA,'CWO Bulan Ini'!$DJ:$DJ,'Area-Cabang'!$B79,'CWO Bulan Ini'!$DH:$DH,'Area-Cabang'!$E79,'CWO Bulan Ini'!$CZ:$CZ,'Area-Cabang'!U$41)</f>
        <v>0</v>
      </c>
      <c r="V79" s="42">
        <f>SUMIFS('CWO Bulan Ini'!$DA:$DA,'CWO Bulan Ini'!$DJ:$DJ,'Area-Cabang'!$B79,'CWO Bulan Ini'!$DH:$DH,'Area-Cabang'!$E79,'CWO Bulan Ini'!$CZ:$CZ,'Area-Cabang'!V$41)</f>
        <v>0</v>
      </c>
      <c r="W79" s="42">
        <f>SUMIFS('CWO Bulan Ini'!$DA:$DA,'CWO Bulan Ini'!$DJ:$DJ,'Area-Cabang'!$B79,'CWO Bulan Ini'!$DH:$DH,'Area-Cabang'!$E79,'CWO Bulan Ini'!$CZ:$CZ,'Area-Cabang'!W$41)</f>
        <v>0</v>
      </c>
      <c r="X79" s="42">
        <f>SUMIFS('CWO Bulan Ini'!$DA:$DA,'CWO Bulan Ini'!$DJ:$DJ,'Area-Cabang'!$B79,'CWO Bulan Ini'!$DH:$DH,'Area-Cabang'!$E79,'CWO Bulan Ini'!$CZ:$CZ,'Area-Cabang'!X$41)</f>
        <v>0</v>
      </c>
      <c r="Y79" s="42">
        <f>SUMIFS('CWO Bulan Ini'!$DA:$DA,'CWO Bulan Ini'!$DJ:$DJ,'Area-Cabang'!$B79,'CWO Bulan Ini'!$DH:$DH,'Area-Cabang'!$E79,'CWO Bulan Ini'!$CZ:$CZ,'Area-Cabang'!Y$41)</f>
        <v>0</v>
      </c>
      <c r="Z79" s="42">
        <f>SUMIFS('CWO Bulan Ini'!$DA:$DA,'CWO Bulan Ini'!$DJ:$DJ,'Area-Cabang'!$B79,'CWO Bulan Ini'!$DH:$DH,'Area-Cabang'!$E79,'CWO Bulan Ini'!$CZ:$CZ,'Area-Cabang'!Z$41)</f>
        <v>0</v>
      </c>
      <c r="AA79" s="42">
        <f>SUMIFS('CWO Bulan Ini'!$DA:$DA,'CWO Bulan Ini'!$DJ:$DJ,'Area-Cabang'!$B79,'CWO Bulan Ini'!$DH:$DH,'Area-Cabang'!$E79,'CWO Bulan Ini'!$CZ:$CZ,'Area-Cabang'!AA$41)</f>
        <v>0</v>
      </c>
      <c r="AB79" s="42">
        <f>SUMIFS('CWO Bulan Ini'!$DA:$DA,'CWO Bulan Ini'!$DJ:$DJ,'Area-Cabang'!$B79,'CWO Bulan Ini'!$DH:$DH,'Area-Cabang'!$E79,'CWO Bulan Ini'!$CZ:$CZ,'Area-Cabang'!AB$41)</f>
        <v>0</v>
      </c>
      <c r="AC79" s="42">
        <f>SUMIFS('CWO Bulan Ini'!$DA:$DA,'CWO Bulan Ini'!$DJ:$DJ,'Area-Cabang'!$B79,'CWO Bulan Ini'!$DH:$DH,'Area-Cabang'!$E79,'CWO Bulan Ini'!$CZ:$CZ,'Area-Cabang'!AC$41)</f>
        <v>0</v>
      </c>
      <c r="AD79" s="42">
        <f>SUMIFS('CWO Bulan Ini'!$DA:$DA,'CWO Bulan Ini'!$DJ:$DJ,'Area-Cabang'!$B79,'CWO Bulan Ini'!$DH:$DH,'Area-Cabang'!$E79,'CWO Bulan Ini'!$CZ:$CZ,'Area-Cabang'!AD$41)</f>
        <v>0</v>
      </c>
      <c r="AE79" s="42">
        <f>SUMIFS('CWO Bulan Ini'!$DA:$DA,'CWO Bulan Ini'!$DJ:$DJ,'Area-Cabang'!$B79,'CWO Bulan Ini'!$DH:$DH,'Area-Cabang'!$E79,'CWO Bulan Ini'!$CZ:$CZ,'Area-Cabang'!AE$41)</f>
        <v>0</v>
      </c>
      <c r="AF79" s="42">
        <f>SUMIFS('CWO Bulan Ini'!$DA:$DA,'CWO Bulan Ini'!$DJ:$DJ,'Area-Cabang'!$B79,'CWO Bulan Ini'!$DH:$DH,'Area-Cabang'!$E79,'CWO Bulan Ini'!$CZ:$CZ,'Area-Cabang'!AF$41)</f>
        <v>0</v>
      </c>
      <c r="AG79" s="42">
        <f>SUMIFS('CWO Bulan Ini'!$DA:$DA,'CWO Bulan Ini'!$DJ:$DJ,'Area-Cabang'!$B79,'CWO Bulan Ini'!$DH:$DH,'Area-Cabang'!$E79,'CWO Bulan Ini'!$CZ:$CZ,'Area-Cabang'!AG$41)</f>
        <v>0</v>
      </c>
      <c r="AH79" s="42">
        <f>SUMIFS('CWO Bulan Ini'!$DA:$DA,'CWO Bulan Ini'!$DJ:$DJ,'Area-Cabang'!$B79,'CWO Bulan Ini'!$DH:$DH,'Area-Cabang'!$E79,'CWO Bulan Ini'!$CZ:$CZ,'Area-Cabang'!AH$41)</f>
        <v>0</v>
      </c>
      <c r="AI79" s="42">
        <f>SUMIFS('CWO Bulan Ini'!$DA:$DA,'CWO Bulan Ini'!$DJ:$DJ,'Area-Cabang'!$B79,'CWO Bulan Ini'!$DH:$DH,'Area-Cabang'!$E79,'CWO Bulan Ini'!$CZ:$CZ,'Area-Cabang'!AI$41)</f>
        <v>0</v>
      </c>
      <c r="AJ79" s="42">
        <f>SUMIFS('CWO Bulan Ini'!$DA:$DA,'CWO Bulan Ini'!$DJ:$DJ,'Area-Cabang'!$B79,'CWO Bulan Ini'!$DH:$DH,'Area-Cabang'!$E79,'CWO Bulan Ini'!$CZ:$CZ,'Area-Cabang'!AJ$41)</f>
        <v>0</v>
      </c>
      <c r="AK79" s="41">
        <f>SUMIFS('CWO Bulan Ini'!$DD:$DD,'CWO Bulan Ini'!$DJ:$DJ,'Area-Cabang'!$B79,'CWO Bulan Ini'!$DH:$DH,'Area-Cabang'!$E79,'CWO Bulan Ini'!$CZ:$CZ,'Area-Cabang'!AK$41)</f>
        <v>0</v>
      </c>
      <c r="AL79" s="42">
        <f>SUMIFS('CWO Bulan Ini'!$DD:$DD,'CWO Bulan Ini'!$DJ:$DJ,'Area-Cabang'!$B79,'CWO Bulan Ini'!$DH:$DH,'Area-Cabang'!$E79,'CWO Bulan Ini'!$CZ:$CZ,'Area-Cabang'!AL$41)</f>
        <v>0</v>
      </c>
      <c r="AM79" s="42">
        <f>SUMIFS('CWO Bulan Ini'!$DD:$DD,'CWO Bulan Ini'!$DJ:$DJ,'Area-Cabang'!$B79,'CWO Bulan Ini'!$DH:$DH,'Area-Cabang'!$E79,'CWO Bulan Ini'!$CZ:$CZ,'Area-Cabang'!AM$41)</f>
        <v>0</v>
      </c>
      <c r="AN79" s="42">
        <f>SUMIFS('CWO Bulan Ini'!$DD:$DD,'CWO Bulan Ini'!$DJ:$DJ,'Area-Cabang'!$B79,'CWO Bulan Ini'!$DH:$DH,'Area-Cabang'!$E79,'CWO Bulan Ini'!$CZ:$CZ,'Area-Cabang'!AN$41)</f>
        <v>0</v>
      </c>
      <c r="AO79" s="42">
        <f>SUMIFS('CWO Bulan Ini'!$DD:$DD,'CWO Bulan Ini'!$DJ:$DJ,'Area-Cabang'!$B79,'CWO Bulan Ini'!$DH:$DH,'Area-Cabang'!$E79,'CWO Bulan Ini'!$CZ:$CZ,'Area-Cabang'!AO$41)</f>
        <v>0</v>
      </c>
      <c r="AP79" s="42">
        <f>SUMIFS('CWO Bulan Ini'!$DD:$DD,'CWO Bulan Ini'!$DJ:$DJ,'Area-Cabang'!$B79,'CWO Bulan Ini'!$DH:$DH,'Area-Cabang'!$E79,'CWO Bulan Ini'!$CZ:$CZ,'Area-Cabang'!AP$41)</f>
        <v>0</v>
      </c>
      <c r="AQ79" s="42">
        <f>SUMIFS('CWO Bulan Ini'!$DD:$DD,'CWO Bulan Ini'!$DJ:$DJ,'Area-Cabang'!$B79,'CWO Bulan Ini'!$DH:$DH,'Area-Cabang'!$E79,'CWO Bulan Ini'!$CZ:$CZ,'Area-Cabang'!AQ$41)</f>
        <v>0</v>
      </c>
      <c r="AR79" s="42">
        <f>SUMIFS('CWO Bulan Ini'!$DD:$DD,'CWO Bulan Ini'!$DJ:$DJ,'Area-Cabang'!$B79,'CWO Bulan Ini'!$DH:$DH,'Area-Cabang'!$E79,'CWO Bulan Ini'!$CZ:$CZ,'Area-Cabang'!AR$41)</f>
        <v>0</v>
      </c>
      <c r="AS79" s="42">
        <f>SUMIFS('CWO Bulan Ini'!$DD:$DD,'CWO Bulan Ini'!$DJ:$DJ,'Area-Cabang'!$B79,'CWO Bulan Ini'!$DH:$DH,'Area-Cabang'!$E79,'CWO Bulan Ini'!$CZ:$CZ,'Area-Cabang'!AS$41)</f>
        <v>0</v>
      </c>
      <c r="AT79" s="42">
        <f>SUMIFS('CWO Bulan Ini'!$DD:$DD,'CWO Bulan Ini'!$DJ:$DJ,'Area-Cabang'!$B79,'CWO Bulan Ini'!$DH:$DH,'Area-Cabang'!$E79,'CWO Bulan Ini'!$CZ:$CZ,'Area-Cabang'!AT$41)</f>
        <v>0</v>
      </c>
      <c r="AU79" s="42">
        <f>SUMIFS('CWO Bulan Ini'!$DD:$DD,'CWO Bulan Ini'!$DJ:$DJ,'Area-Cabang'!$B79,'CWO Bulan Ini'!$DH:$DH,'Area-Cabang'!$E79,'CWO Bulan Ini'!$CZ:$CZ,'Area-Cabang'!AU$41)</f>
        <v>0</v>
      </c>
      <c r="AV79" s="42">
        <f>SUMIFS('CWO Bulan Ini'!$DD:$DD,'CWO Bulan Ini'!$DJ:$DJ,'Area-Cabang'!$B79,'CWO Bulan Ini'!$DH:$DH,'Area-Cabang'!$E79,'CWO Bulan Ini'!$CZ:$CZ,'Area-Cabang'!AV$41)</f>
        <v>0</v>
      </c>
      <c r="AW79" s="42">
        <f>SUMIFS('CWO Bulan Ini'!$DD:$DD,'CWO Bulan Ini'!$DJ:$DJ,'Area-Cabang'!$B79,'CWO Bulan Ini'!$DH:$DH,'Area-Cabang'!$E79,'CWO Bulan Ini'!$CZ:$CZ,'Area-Cabang'!AW$41)</f>
        <v>0</v>
      </c>
      <c r="AX79" s="42">
        <f>SUMIFS('CWO Bulan Ini'!$DD:$DD,'CWO Bulan Ini'!$DJ:$DJ,'Area-Cabang'!$B79,'CWO Bulan Ini'!$DH:$DH,'Area-Cabang'!$E79,'CWO Bulan Ini'!$CZ:$CZ,'Area-Cabang'!AX$41)</f>
        <v>0</v>
      </c>
      <c r="AY79" s="42">
        <f>SUMIFS('CWO Bulan Ini'!$DD:$DD,'CWO Bulan Ini'!$DJ:$DJ,'Area-Cabang'!$B79,'CWO Bulan Ini'!$DH:$DH,'Area-Cabang'!$E79,'CWO Bulan Ini'!$CZ:$CZ,'Area-Cabang'!AY$41)</f>
        <v>0</v>
      </c>
      <c r="AZ79" s="42">
        <f>SUMIFS('CWO Bulan Ini'!$DD:$DD,'CWO Bulan Ini'!$DJ:$DJ,'Area-Cabang'!$B79,'CWO Bulan Ini'!$DH:$DH,'Area-Cabang'!$E79,'CWO Bulan Ini'!$CZ:$CZ,'Area-Cabang'!AZ$41)</f>
        <v>0</v>
      </c>
      <c r="BA79" s="42">
        <f>SUMIFS('CWO Bulan Ini'!$DD:$DD,'CWO Bulan Ini'!$DJ:$DJ,'Area-Cabang'!$B79,'CWO Bulan Ini'!$DH:$DH,'Area-Cabang'!$E79,'CWO Bulan Ini'!$CZ:$CZ,'Area-Cabang'!BA$41)</f>
        <v>0</v>
      </c>
      <c r="BB79" s="42">
        <f>SUMIFS('CWO Bulan Ini'!$DD:$DD,'CWO Bulan Ini'!$DJ:$DJ,'Area-Cabang'!$B79,'CWO Bulan Ini'!$DH:$DH,'Area-Cabang'!$E79,'CWO Bulan Ini'!$CZ:$CZ,'Area-Cabang'!BB$41)</f>
        <v>0</v>
      </c>
      <c r="BC79" s="42">
        <f>SUMIFS('CWO Bulan Ini'!$DD:$DD,'CWO Bulan Ini'!$DJ:$DJ,'Area-Cabang'!$B79,'CWO Bulan Ini'!$DH:$DH,'Area-Cabang'!$E79,'CWO Bulan Ini'!$CZ:$CZ,'Area-Cabang'!BC$41)</f>
        <v>0</v>
      </c>
      <c r="BD79" s="42">
        <f>SUMIFS('CWO Bulan Ini'!$DD:$DD,'CWO Bulan Ini'!$DJ:$DJ,'Area-Cabang'!$B79,'CWO Bulan Ini'!$DH:$DH,'Area-Cabang'!$E79,'CWO Bulan Ini'!$CZ:$CZ,'Area-Cabang'!BD$41)</f>
        <v>0</v>
      </c>
      <c r="BE79" s="42">
        <f>SUMIFS('CWO Bulan Ini'!$DD:$DD,'CWO Bulan Ini'!$DJ:$DJ,'Area-Cabang'!$B79,'CWO Bulan Ini'!$DH:$DH,'Area-Cabang'!$E79,'CWO Bulan Ini'!$CZ:$CZ,'Area-Cabang'!BE$41)</f>
        <v>0</v>
      </c>
      <c r="BF79" s="42">
        <f>SUMIFS('CWO Bulan Ini'!$DD:$DD,'CWO Bulan Ini'!$DJ:$DJ,'Area-Cabang'!$B79,'CWO Bulan Ini'!$DH:$DH,'Area-Cabang'!$E79,'CWO Bulan Ini'!$CZ:$CZ,'Area-Cabang'!BF$41)</f>
        <v>0</v>
      </c>
      <c r="BG79" s="42">
        <f>SUMIFS('CWO Bulan Ini'!$DD:$DD,'CWO Bulan Ini'!$DJ:$DJ,'Area-Cabang'!$B79,'CWO Bulan Ini'!$DH:$DH,'Area-Cabang'!$E79,'CWO Bulan Ini'!$CZ:$CZ,'Area-Cabang'!BG$41)</f>
        <v>0</v>
      </c>
      <c r="BH79" s="42">
        <f>SUMIFS('CWO Bulan Ini'!$DD:$DD,'CWO Bulan Ini'!$DJ:$DJ,'Area-Cabang'!$B79,'CWO Bulan Ini'!$DH:$DH,'Area-Cabang'!$E79,'CWO Bulan Ini'!$CZ:$CZ,'Area-Cabang'!BH$41)</f>
        <v>0</v>
      </c>
      <c r="BI79" s="42">
        <f>SUMIFS('CWO Bulan Ini'!$DD:$DD,'CWO Bulan Ini'!$DJ:$DJ,'Area-Cabang'!$B79,'CWO Bulan Ini'!$DH:$DH,'Area-Cabang'!$E79,'CWO Bulan Ini'!$CZ:$CZ,'Area-Cabang'!BI$41)</f>
        <v>0</v>
      </c>
      <c r="BJ79" s="42">
        <f>SUMIFS('CWO Bulan Ini'!$DD:$DD,'CWO Bulan Ini'!$DJ:$DJ,'Area-Cabang'!$B79,'CWO Bulan Ini'!$DH:$DH,'Area-Cabang'!$E79,'CWO Bulan Ini'!$CZ:$CZ,'Area-Cabang'!BJ$41)</f>
        <v>0</v>
      </c>
      <c r="BK79" s="42">
        <f>SUMIFS('CWO Bulan Ini'!$DD:$DD,'CWO Bulan Ini'!$DJ:$DJ,'Area-Cabang'!$B79,'CWO Bulan Ini'!$DH:$DH,'Area-Cabang'!$E79,'CWO Bulan Ini'!$CZ:$CZ,'Area-Cabang'!BK$41)</f>
        <v>0</v>
      </c>
      <c r="BL79" s="42">
        <f>SUMIFS('CWO Bulan Ini'!$DD:$DD,'CWO Bulan Ini'!$DJ:$DJ,'Area-Cabang'!$B79,'CWO Bulan Ini'!$DH:$DH,'Area-Cabang'!$E79,'CWO Bulan Ini'!$CZ:$CZ,'Area-Cabang'!BL$41)</f>
        <v>0</v>
      </c>
      <c r="BM79" s="42">
        <f>SUMIFS('CWO Bulan Ini'!$DD:$DD,'CWO Bulan Ini'!$DJ:$DJ,'Area-Cabang'!$B79,'CWO Bulan Ini'!$DH:$DH,'Area-Cabang'!$E79,'CWO Bulan Ini'!$CZ:$CZ,'Area-Cabang'!BM$41)</f>
        <v>0</v>
      </c>
      <c r="BN79" s="42">
        <f>SUMIFS('CWO Bulan Ini'!$DD:$DD,'CWO Bulan Ini'!$DJ:$DJ,'Area-Cabang'!$B79,'CWO Bulan Ini'!$DH:$DH,'Area-Cabang'!$E79,'CWO Bulan Ini'!$CZ:$CZ,'Area-Cabang'!BN$41)</f>
        <v>0</v>
      </c>
      <c r="BO79" s="43">
        <f>SUMIFS('CWO Bulan Ini'!$DD:$DD,'CWO Bulan Ini'!$DJ:$DJ,'Area-Cabang'!$B79,'CWO Bulan Ini'!$DH:$DH,'Area-Cabang'!$E79,'CWO Bulan Ini'!$CZ:$CZ,'Area-Cabang'!BO$41)</f>
        <v>0</v>
      </c>
      <c r="BP79" s="41">
        <f>SUMIFS('CWO Bulan Ini'!$DC:$DC,'CWO Bulan Ini'!$DJ:$DJ,'Area-Cabang'!$B79,'CWO Bulan Ini'!$DH:$DH,'Area-Cabang'!$E79,'CWO Bulan Ini'!$CZ:$CZ,'Area-Cabang'!BP$41)</f>
        <v>0</v>
      </c>
      <c r="BQ79" s="42">
        <f>SUMIFS('CWO Bulan Ini'!$DC:$DC,'CWO Bulan Ini'!$DJ:$DJ,'Area-Cabang'!$B79,'CWO Bulan Ini'!$DH:$DH,'Area-Cabang'!$E79,'CWO Bulan Ini'!$CZ:$CZ,'Area-Cabang'!BQ$41)</f>
        <v>0</v>
      </c>
      <c r="BR79" s="42">
        <f>SUMIFS('CWO Bulan Ini'!$DC:$DC,'CWO Bulan Ini'!$DJ:$DJ,'Area-Cabang'!$B79,'CWO Bulan Ini'!$DH:$DH,'Area-Cabang'!$E79,'CWO Bulan Ini'!$CZ:$CZ,'Area-Cabang'!BR$41)</f>
        <v>0</v>
      </c>
      <c r="BS79" s="42">
        <f>SUMIFS('CWO Bulan Ini'!$DC:$DC,'CWO Bulan Ini'!$DJ:$DJ,'Area-Cabang'!$B79,'CWO Bulan Ini'!$DH:$DH,'Area-Cabang'!$E79,'CWO Bulan Ini'!$CZ:$CZ,'Area-Cabang'!BS$41)</f>
        <v>0</v>
      </c>
      <c r="BT79" s="42">
        <f>SUMIFS('CWO Bulan Ini'!$DC:$DC,'CWO Bulan Ini'!$DJ:$DJ,'Area-Cabang'!$B79,'CWO Bulan Ini'!$DH:$DH,'Area-Cabang'!$E79,'CWO Bulan Ini'!$CZ:$CZ,'Area-Cabang'!BT$41)</f>
        <v>0</v>
      </c>
      <c r="BU79" s="42">
        <f>SUMIFS('CWO Bulan Ini'!$DC:$DC,'CWO Bulan Ini'!$DJ:$DJ,'Area-Cabang'!$B79,'CWO Bulan Ini'!$DH:$DH,'Area-Cabang'!$E79,'CWO Bulan Ini'!$CZ:$CZ,'Area-Cabang'!BU$41)</f>
        <v>0</v>
      </c>
      <c r="BV79" s="42">
        <f>SUMIFS('CWO Bulan Ini'!$DC:$DC,'CWO Bulan Ini'!$DJ:$DJ,'Area-Cabang'!$B79,'CWO Bulan Ini'!$DH:$DH,'Area-Cabang'!$E79,'CWO Bulan Ini'!$CZ:$CZ,'Area-Cabang'!BV$41)</f>
        <v>0</v>
      </c>
      <c r="BW79" s="42">
        <f>SUMIFS('CWO Bulan Ini'!$DC:$DC,'CWO Bulan Ini'!$DJ:$DJ,'Area-Cabang'!$B79,'CWO Bulan Ini'!$DH:$DH,'Area-Cabang'!$E79,'CWO Bulan Ini'!$CZ:$CZ,'Area-Cabang'!BW$41)</f>
        <v>0</v>
      </c>
      <c r="BX79" s="42">
        <f>SUMIFS('CWO Bulan Ini'!$DC:$DC,'CWO Bulan Ini'!$DJ:$DJ,'Area-Cabang'!$B79,'CWO Bulan Ini'!$DH:$DH,'Area-Cabang'!$E79,'CWO Bulan Ini'!$CZ:$CZ,'Area-Cabang'!BX$41)</f>
        <v>0</v>
      </c>
      <c r="BY79" s="42">
        <f>SUMIFS('CWO Bulan Ini'!$DC:$DC,'CWO Bulan Ini'!$DJ:$DJ,'Area-Cabang'!$B79,'CWO Bulan Ini'!$DH:$DH,'Area-Cabang'!$E79,'CWO Bulan Ini'!$CZ:$CZ,'Area-Cabang'!BY$41)</f>
        <v>0</v>
      </c>
      <c r="BZ79" s="42">
        <f>SUMIFS('CWO Bulan Ini'!$DC:$DC,'CWO Bulan Ini'!$DJ:$DJ,'Area-Cabang'!$B79,'CWO Bulan Ini'!$DH:$DH,'Area-Cabang'!$E79,'CWO Bulan Ini'!$CZ:$CZ,'Area-Cabang'!BZ$41)</f>
        <v>0</v>
      </c>
      <c r="CA79" s="42">
        <f>SUMIFS('CWO Bulan Ini'!$DC:$DC,'CWO Bulan Ini'!$DJ:$DJ,'Area-Cabang'!$B79,'CWO Bulan Ini'!$DH:$DH,'Area-Cabang'!$E79,'CWO Bulan Ini'!$CZ:$CZ,'Area-Cabang'!CA$41)</f>
        <v>0</v>
      </c>
      <c r="CB79" s="42">
        <f>SUMIFS('CWO Bulan Ini'!$DC:$DC,'CWO Bulan Ini'!$DJ:$DJ,'Area-Cabang'!$B79,'CWO Bulan Ini'!$DH:$DH,'Area-Cabang'!$E79,'CWO Bulan Ini'!$CZ:$CZ,'Area-Cabang'!CB$41)</f>
        <v>0</v>
      </c>
      <c r="CC79" s="42">
        <f>SUMIFS('CWO Bulan Ini'!$DC:$DC,'CWO Bulan Ini'!$DJ:$DJ,'Area-Cabang'!$B79,'CWO Bulan Ini'!$DH:$DH,'Area-Cabang'!$E79,'CWO Bulan Ini'!$CZ:$CZ,'Area-Cabang'!CC$41)</f>
        <v>0</v>
      </c>
      <c r="CD79" s="42">
        <f>SUMIFS('CWO Bulan Ini'!$DC:$DC,'CWO Bulan Ini'!$DJ:$DJ,'Area-Cabang'!$B79,'CWO Bulan Ini'!$DH:$DH,'Area-Cabang'!$E79,'CWO Bulan Ini'!$CZ:$CZ,'Area-Cabang'!CD$41)</f>
        <v>0</v>
      </c>
      <c r="CE79" s="42">
        <f>SUMIFS('CWO Bulan Ini'!$DC:$DC,'CWO Bulan Ini'!$DJ:$DJ,'Area-Cabang'!$B79,'CWO Bulan Ini'!$DH:$DH,'Area-Cabang'!$E79,'CWO Bulan Ini'!$CZ:$CZ,'Area-Cabang'!CE$41)</f>
        <v>0</v>
      </c>
      <c r="CF79" s="42">
        <f>SUMIFS('CWO Bulan Ini'!$DC:$DC,'CWO Bulan Ini'!$DJ:$DJ,'Area-Cabang'!$B79,'CWO Bulan Ini'!$DH:$DH,'Area-Cabang'!$E79,'CWO Bulan Ini'!$CZ:$CZ,'Area-Cabang'!CF$41)</f>
        <v>0</v>
      </c>
      <c r="CG79" s="42">
        <f>SUMIFS('CWO Bulan Ini'!$DC:$DC,'CWO Bulan Ini'!$DJ:$DJ,'Area-Cabang'!$B79,'CWO Bulan Ini'!$DH:$DH,'Area-Cabang'!$E79,'CWO Bulan Ini'!$CZ:$CZ,'Area-Cabang'!CG$41)</f>
        <v>0</v>
      </c>
      <c r="CH79" s="42">
        <f>SUMIFS('CWO Bulan Ini'!$DC:$DC,'CWO Bulan Ini'!$DJ:$DJ,'Area-Cabang'!$B79,'CWO Bulan Ini'!$DH:$DH,'Area-Cabang'!$E79,'CWO Bulan Ini'!$CZ:$CZ,'Area-Cabang'!CH$41)</f>
        <v>0</v>
      </c>
      <c r="CI79" s="42">
        <f>SUMIFS('CWO Bulan Ini'!$DC:$DC,'CWO Bulan Ini'!$DJ:$DJ,'Area-Cabang'!$B79,'CWO Bulan Ini'!$DH:$DH,'Area-Cabang'!$E79,'CWO Bulan Ini'!$CZ:$CZ,'Area-Cabang'!CI$41)</f>
        <v>0</v>
      </c>
      <c r="CJ79" s="42">
        <f>SUMIFS('CWO Bulan Ini'!$DC:$DC,'CWO Bulan Ini'!$DJ:$DJ,'Area-Cabang'!$B79,'CWO Bulan Ini'!$DH:$DH,'Area-Cabang'!$E79,'CWO Bulan Ini'!$CZ:$CZ,'Area-Cabang'!CJ$41)</f>
        <v>0</v>
      </c>
      <c r="CK79" s="42">
        <f>SUMIFS('CWO Bulan Ini'!$DC:$DC,'CWO Bulan Ini'!$DJ:$DJ,'Area-Cabang'!$B79,'CWO Bulan Ini'!$DH:$DH,'Area-Cabang'!$E79,'CWO Bulan Ini'!$CZ:$CZ,'Area-Cabang'!CK$41)</f>
        <v>0</v>
      </c>
      <c r="CL79" s="42">
        <f>SUMIFS('CWO Bulan Ini'!$DC:$DC,'CWO Bulan Ini'!$DJ:$DJ,'Area-Cabang'!$B79,'CWO Bulan Ini'!$DH:$DH,'Area-Cabang'!$E79,'CWO Bulan Ini'!$CZ:$CZ,'Area-Cabang'!CL$41)</f>
        <v>0</v>
      </c>
      <c r="CM79" s="42">
        <f>SUMIFS('CWO Bulan Ini'!$DC:$DC,'CWO Bulan Ini'!$DJ:$DJ,'Area-Cabang'!$B79,'CWO Bulan Ini'!$DH:$DH,'Area-Cabang'!$E79,'CWO Bulan Ini'!$CZ:$CZ,'Area-Cabang'!CM$41)</f>
        <v>0</v>
      </c>
      <c r="CN79" s="42">
        <f>SUMIFS('CWO Bulan Ini'!$DC:$DC,'CWO Bulan Ini'!$DJ:$DJ,'Area-Cabang'!$B79,'CWO Bulan Ini'!$DH:$DH,'Area-Cabang'!$E79,'CWO Bulan Ini'!$CZ:$CZ,'Area-Cabang'!CN$41)</f>
        <v>0</v>
      </c>
      <c r="CO79" s="42">
        <f>SUMIFS('CWO Bulan Ini'!$DC:$DC,'CWO Bulan Ini'!$DJ:$DJ,'Area-Cabang'!$B79,'CWO Bulan Ini'!$DH:$DH,'Area-Cabang'!$E79,'CWO Bulan Ini'!$CZ:$CZ,'Area-Cabang'!CO$41)</f>
        <v>0</v>
      </c>
      <c r="CP79" s="42">
        <f>SUMIFS('CWO Bulan Ini'!$DC:$DC,'CWO Bulan Ini'!$DJ:$DJ,'Area-Cabang'!$B79,'CWO Bulan Ini'!$DH:$DH,'Area-Cabang'!$E79,'CWO Bulan Ini'!$CZ:$CZ,'Area-Cabang'!CP$41)</f>
        <v>0</v>
      </c>
      <c r="CQ79" s="42">
        <f>SUMIFS('CWO Bulan Ini'!$DC:$DC,'CWO Bulan Ini'!$DJ:$DJ,'Area-Cabang'!$B79,'CWO Bulan Ini'!$DH:$DH,'Area-Cabang'!$E79,'CWO Bulan Ini'!$CZ:$CZ,'Area-Cabang'!CQ$41)</f>
        <v>0</v>
      </c>
      <c r="CR79" s="42">
        <f>SUMIFS('CWO Bulan Ini'!$DC:$DC,'CWO Bulan Ini'!$DJ:$DJ,'Area-Cabang'!$B79,'CWO Bulan Ini'!$DH:$DH,'Area-Cabang'!$E79,'CWO Bulan Ini'!$CZ:$CZ,'Area-Cabang'!CR$41)</f>
        <v>0</v>
      </c>
      <c r="CS79" s="42">
        <f>SUMIFS('CWO Bulan Ini'!$DC:$DC,'CWO Bulan Ini'!$DJ:$DJ,'Area-Cabang'!$B79,'CWO Bulan Ini'!$DH:$DH,'Area-Cabang'!$E79,'CWO Bulan Ini'!$CZ:$CZ,'Area-Cabang'!CS$41)</f>
        <v>0</v>
      </c>
      <c r="CT79" s="43">
        <f>SUMIFS('CWO Bulan Ini'!$DC:$DC,'CWO Bulan Ini'!$DJ:$DJ,'Area-Cabang'!$B79,'CWO Bulan Ini'!$DH:$DH,'Area-Cabang'!$E79,'CWO Bulan Ini'!$CZ:$CZ,'Area-Cabang'!CT$41)</f>
        <v>0</v>
      </c>
      <c r="CV79" s="96">
        <f t="shared" si="2217"/>
        <v>0</v>
      </c>
      <c r="CW79" s="93">
        <f t="shared" si="2218"/>
        <v>0</v>
      </c>
      <c r="CX79" s="93">
        <f t="shared" si="2219"/>
        <v>0</v>
      </c>
      <c r="CY79" s="93">
        <f t="shared" si="2220"/>
        <v>0</v>
      </c>
      <c r="CZ79" s="106">
        <f t="shared" si="2221"/>
        <v>0</v>
      </c>
    </row>
    <row r="80" spans="1:104" ht="15" customHeight="1" x14ac:dyDescent="0.25">
      <c r="A80" s="58" t="s">
        <v>487</v>
      </c>
      <c r="B80" s="53" t="s">
        <v>819</v>
      </c>
      <c r="C80" s="250"/>
      <c r="D80" s="227" t="s">
        <v>819</v>
      </c>
      <c r="E80" s="228"/>
      <c r="F80" s="219">
        <f t="shared" ref="F80" si="2222">SUM(F78:F79)</f>
        <v>0</v>
      </c>
      <c r="G80" s="220">
        <f t="shared" ref="G80" si="2223">SUM(G78:G79)</f>
        <v>0</v>
      </c>
      <c r="H80" s="220">
        <f t="shared" ref="H80" si="2224">SUM(H78:H79)</f>
        <v>0</v>
      </c>
      <c r="I80" s="220">
        <f t="shared" ref="I80" si="2225">SUM(I78:I79)</f>
        <v>0</v>
      </c>
      <c r="J80" s="220">
        <f t="shared" ref="J80" si="2226">SUM(J78:J79)</f>
        <v>0</v>
      </c>
      <c r="K80" s="220">
        <f t="shared" ref="K80" si="2227">SUM(K78:K79)</f>
        <v>0</v>
      </c>
      <c r="L80" s="220">
        <f t="shared" ref="L80" si="2228">SUM(L78:L79)</f>
        <v>0</v>
      </c>
      <c r="M80" s="220">
        <f t="shared" ref="M80" si="2229">SUM(M78:M79)</f>
        <v>0</v>
      </c>
      <c r="N80" s="220">
        <f t="shared" ref="N80" si="2230">SUM(N78:N79)</f>
        <v>0</v>
      </c>
      <c r="O80" s="220">
        <f t="shared" ref="O80" si="2231">SUM(O78:O79)</f>
        <v>0</v>
      </c>
      <c r="P80" s="220">
        <f t="shared" ref="P80" si="2232">SUM(P78:P79)</f>
        <v>0</v>
      </c>
      <c r="Q80" s="220">
        <f t="shared" ref="Q80" si="2233">SUM(Q78:Q79)</f>
        <v>0</v>
      </c>
      <c r="R80" s="220">
        <f t="shared" ref="R80" si="2234">SUM(R78:R79)</f>
        <v>0</v>
      </c>
      <c r="S80" s="220">
        <f t="shared" ref="S80" si="2235">SUM(S78:S79)</f>
        <v>0</v>
      </c>
      <c r="T80" s="220">
        <f t="shared" ref="T80" si="2236">SUM(T78:T79)</f>
        <v>0</v>
      </c>
      <c r="U80" s="220">
        <f t="shared" ref="U80" si="2237">SUM(U78:U79)</f>
        <v>0</v>
      </c>
      <c r="V80" s="220">
        <f t="shared" ref="V80" si="2238">SUM(V78:V79)</f>
        <v>0</v>
      </c>
      <c r="W80" s="220">
        <f t="shared" ref="W80" si="2239">SUM(W78:W79)</f>
        <v>0</v>
      </c>
      <c r="X80" s="220">
        <f t="shared" ref="X80" si="2240">SUM(X78:X79)</f>
        <v>0</v>
      </c>
      <c r="Y80" s="220">
        <f t="shared" ref="Y80" si="2241">SUM(Y78:Y79)</f>
        <v>0</v>
      </c>
      <c r="Z80" s="220">
        <f t="shared" ref="Z80" si="2242">SUM(Z78:Z79)</f>
        <v>0</v>
      </c>
      <c r="AA80" s="220">
        <f t="shared" ref="AA80" si="2243">SUM(AA78:AA79)</f>
        <v>0</v>
      </c>
      <c r="AB80" s="220">
        <f t="shared" ref="AB80" si="2244">SUM(AB78:AB79)</f>
        <v>0</v>
      </c>
      <c r="AC80" s="220">
        <f t="shared" ref="AC80" si="2245">SUM(AC78:AC79)</f>
        <v>0</v>
      </c>
      <c r="AD80" s="220">
        <f t="shared" ref="AD80" si="2246">SUM(AD78:AD79)</f>
        <v>0</v>
      </c>
      <c r="AE80" s="220">
        <f t="shared" ref="AE80" si="2247">SUM(AE78:AE79)</f>
        <v>0</v>
      </c>
      <c r="AF80" s="220">
        <f t="shared" ref="AF80" si="2248">SUM(AF78:AF79)</f>
        <v>0</v>
      </c>
      <c r="AG80" s="220">
        <f t="shared" ref="AG80" si="2249">SUM(AG78:AG79)</f>
        <v>0</v>
      </c>
      <c r="AH80" s="220">
        <f t="shared" ref="AH80" si="2250">SUM(AH78:AH79)</f>
        <v>0</v>
      </c>
      <c r="AI80" s="220">
        <f t="shared" ref="AI80" si="2251">SUM(AI78:AI79)</f>
        <v>0</v>
      </c>
      <c r="AJ80" s="220">
        <f t="shared" ref="AJ80" si="2252">SUM(AJ78:AJ79)</f>
        <v>0</v>
      </c>
      <c r="AK80" s="219">
        <f t="shared" ref="AK80" si="2253">SUM(AK78:AK79)</f>
        <v>0</v>
      </c>
      <c r="AL80" s="220">
        <f t="shared" ref="AL80" si="2254">SUM(AL78:AL79)</f>
        <v>0</v>
      </c>
      <c r="AM80" s="220">
        <f t="shared" ref="AM80" si="2255">SUM(AM78:AM79)</f>
        <v>0</v>
      </c>
      <c r="AN80" s="220">
        <f t="shared" ref="AN80" si="2256">SUM(AN78:AN79)</f>
        <v>0</v>
      </c>
      <c r="AO80" s="220">
        <f t="shared" ref="AO80" si="2257">SUM(AO78:AO79)</f>
        <v>0</v>
      </c>
      <c r="AP80" s="220">
        <f t="shared" ref="AP80" si="2258">SUM(AP78:AP79)</f>
        <v>0</v>
      </c>
      <c r="AQ80" s="220">
        <f t="shared" ref="AQ80" si="2259">SUM(AQ78:AQ79)</f>
        <v>0</v>
      </c>
      <c r="AR80" s="220">
        <f t="shared" ref="AR80" si="2260">SUM(AR78:AR79)</f>
        <v>0</v>
      </c>
      <c r="AS80" s="220">
        <f t="shared" ref="AS80" si="2261">SUM(AS78:AS79)</f>
        <v>0</v>
      </c>
      <c r="AT80" s="220">
        <f t="shared" ref="AT80" si="2262">SUM(AT78:AT79)</f>
        <v>0</v>
      </c>
      <c r="AU80" s="220">
        <f t="shared" ref="AU80" si="2263">SUM(AU78:AU79)</f>
        <v>0</v>
      </c>
      <c r="AV80" s="220">
        <f t="shared" ref="AV80" si="2264">SUM(AV78:AV79)</f>
        <v>0</v>
      </c>
      <c r="AW80" s="220">
        <f t="shared" ref="AW80" si="2265">SUM(AW78:AW79)</f>
        <v>0</v>
      </c>
      <c r="AX80" s="220">
        <f t="shared" ref="AX80" si="2266">SUM(AX78:AX79)</f>
        <v>0</v>
      </c>
      <c r="AY80" s="220">
        <f t="shared" ref="AY80" si="2267">SUM(AY78:AY79)</f>
        <v>0</v>
      </c>
      <c r="AZ80" s="220">
        <f t="shared" ref="AZ80" si="2268">SUM(AZ78:AZ79)</f>
        <v>0</v>
      </c>
      <c r="BA80" s="220">
        <f t="shared" ref="BA80" si="2269">SUM(BA78:BA79)</f>
        <v>0</v>
      </c>
      <c r="BB80" s="220">
        <f t="shared" ref="BB80" si="2270">SUM(BB78:BB79)</f>
        <v>0</v>
      </c>
      <c r="BC80" s="220">
        <f t="shared" ref="BC80" si="2271">SUM(BC78:BC79)</f>
        <v>0</v>
      </c>
      <c r="BD80" s="220">
        <f t="shared" ref="BD80" si="2272">SUM(BD78:BD79)</f>
        <v>0</v>
      </c>
      <c r="BE80" s="220">
        <f t="shared" ref="BE80" si="2273">SUM(BE78:BE79)</f>
        <v>0</v>
      </c>
      <c r="BF80" s="220">
        <f t="shared" ref="BF80" si="2274">SUM(BF78:BF79)</f>
        <v>0</v>
      </c>
      <c r="BG80" s="220">
        <f t="shared" ref="BG80" si="2275">SUM(BG78:BG79)</f>
        <v>0</v>
      </c>
      <c r="BH80" s="220">
        <f t="shared" ref="BH80" si="2276">SUM(BH78:BH79)</f>
        <v>0</v>
      </c>
      <c r="BI80" s="220">
        <f t="shared" ref="BI80" si="2277">SUM(BI78:BI79)</f>
        <v>0</v>
      </c>
      <c r="BJ80" s="220">
        <f t="shared" ref="BJ80" si="2278">SUM(BJ78:BJ79)</f>
        <v>0</v>
      </c>
      <c r="BK80" s="220">
        <f t="shared" ref="BK80" si="2279">SUM(BK78:BK79)</f>
        <v>0</v>
      </c>
      <c r="BL80" s="220">
        <f t="shared" ref="BL80" si="2280">SUM(BL78:BL79)</f>
        <v>0</v>
      </c>
      <c r="BM80" s="220">
        <f t="shared" ref="BM80" si="2281">SUM(BM78:BM79)</f>
        <v>0</v>
      </c>
      <c r="BN80" s="220">
        <f t="shared" ref="BN80" si="2282">SUM(BN78:BN79)</f>
        <v>0</v>
      </c>
      <c r="BO80" s="221">
        <f t="shared" ref="BO80" si="2283">SUM(BO78:BO79)</f>
        <v>0</v>
      </c>
      <c r="BP80" s="219">
        <f t="shared" ref="BP80" si="2284">SUM(BP78:BP79)</f>
        <v>0</v>
      </c>
      <c r="BQ80" s="220">
        <f t="shared" ref="BQ80" si="2285">SUM(BQ78:BQ79)</f>
        <v>0</v>
      </c>
      <c r="BR80" s="220">
        <f t="shared" ref="BR80" si="2286">SUM(BR78:BR79)</f>
        <v>0</v>
      </c>
      <c r="BS80" s="220">
        <f t="shared" ref="BS80" si="2287">SUM(BS78:BS79)</f>
        <v>0</v>
      </c>
      <c r="BT80" s="220">
        <f t="shared" ref="BT80" si="2288">SUM(BT78:BT79)</f>
        <v>0</v>
      </c>
      <c r="BU80" s="220">
        <f t="shared" ref="BU80" si="2289">SUM(BU78:BU79)</f>
        <v>0</v>
      </c>
      <c r="BV80" s="220">
        <f t="shared" ref="BV80" si="2290">SUM(BV78:BV79)</f>
        <v>0</v>
      </c>
      <c r="BW80" s="220">
        <f t="shared" ref="BW80" si="2291">SUM(BW78:BW79)</f>
        <v>0</v>
      </c>
      <c r="BX80" s="220">
        <f t="shared" ref="BX80" si="2292">SUM(BX78:BX79)</f>
        <v>0</v>
      </c>
      <c r="BY80" s="220">
        <f t="shared" ref="BY80" si="2293">SUM(BY78:BY79)</f>
        <v>0</v>
      </c>
      <c r="BZ80" s="220">
        <f t="shared" ref="BZ80" si="2294">SUM(BZ78:BZ79)</f>
        <v>0</v>
      </c>
      <c r="CA80" s="220">
        <f t="shared" ref="CA80" si="2295">SUM(CA78:CA79)</f>
        <v>0</v>
      </c>
      <c r="CB80" s="220">
        <f t="shared" ref="CB80" si="2296">SUM(CB78:CB79)</f>
        <v>0</v>
      </c>
      <c r="CC80" s="220">
        <f t="shared" ref="CC80" si="2297">SUM(CC78:CC79)</f>
        <v>0</v>
      </c>
      <c r="CD80" s="220">
        <f t="shared" ref="CD80" si="2298">SUM(CD78:CD79)</f>
        <v>0</v>
      </c>
      <c r="CE80" s="220">
        <f t="shared" ref="CE80" si="2299">SUM(CE78:CE79)</f>
        <v>0</v>
      </c>
      <c r="CF80" s="220">
        <f t="shared" ref="CF80" si="2300">SUM(CF78:CF79)</f>
        <v>0</v>
      </c>
      <c r="CG80" s="220">
        <f t="shared" ref="CG80" si="2301">SUM(CG78:CG79)</f>
        <v>0</v>
      </c>
      <c r="CH80" s="220">
        <f t="shared" ref="CH80" si="2302">SUM(CH78:CH79)</f>
        <v>0</v>
      </c>
      <c r="CI80" s="220">
        <f t="shared" ref="CI80" si="2303">SUM(CI78:CI79)</f>
        <v>0</v>
      </c>
      <c r="CJ80" s="220">
        <f t="shared" ref="CJ80" si="2304">SUM(CJ78:CJ79)</f>
        <v>0</v>
      </c>
      <c r="CK80" s="220">
        <f t="shared" ref="CK80" si="2305">SUM(CK78:CK79)</f>
        <v>0</v>
      </c>
      <c r="CL80" s="220">
        <f t="shared" ref="CL80" si="2306">SUM(CL78:CL79)</f>
        <v>0</v>
      </c>
      <c r="CM80" s="220">
        <f t="shared" ref="CM80" si="2307">SUM(CM78:CM79)</f>
        <v>0</v>
      </c>
      <c r="CN80" s="220">
        <f t="shared" ref="CN80" si="2308">SUM(CN78:CN79)</f>
        <v>0</v>
      </c>
      <c r="CO80" s="220">
        <f t="shared" ref="CO80" si="2309">SUM(CO78:CO79)</f>
        <v>0</v>
      </c>
      <c r="CP80" s="220">
        <f t="shared" ref="CP80" si="2310">SUM(CP78:CP79)</f>
        <v>0</v>
      </c>
      <c r="CQ80" s="220">
        <f t="shared" ref="CQ80" si="2311">SUM(CQ78:CQ79)</f>
        <v>0</v>
      </c>
      <c r="CR80" s="220">
        <f t="shared" ref="CR80" si="2312">SUM(CR78:CR79)</f>
        <v>0</v>
      </c>
      <c r="CS80" s="220">
        <f t="shared" ref="CS80" si="2313">SUM(CS78:CS79)</f>
        <v>0</v>
      </c>
      <c r="CT80" s="221">
        <f t="shared" ref="CT80" si="2314">SUM(CT78:CT79)</f>
        <v>0</v>
      </c>
      <c r="CU80" s="226"/>
      <c r="CV80" s="219">
        <f t="shared" ref="CV80" si="2315">SUM(CV78:CV79)</f>
        <v>0</v>
      </c>
      <c r="CW80" s="220">
        <f t="shared" ref="CW80" si="2316">SUM(CW78:CW79)</f>
        <v>0</v>
      </c>
      <c r="CX80" s="220">
        <f t="shared" ref="CX80" si="2317">SUM(CX78:CX79)</f>
        <v>0</v>
      </c>
      <c r="CY80" s="220">
        <f t="shared" ref="CY80" si="2318">SUM(CY78:CY79)</f>
        <v>0</v>
      </c>
      <c r="CZ80" s="222">
        <f t="shared" ref="CZ80" si="2319">SUM(CZ78:CZ79)</f>
        <v>0</v>
      </c>
    </row>
    <row r="81" spans="1:104" ht="15" customHeight="1" x14ac:dyDescent="0.25">
      <c r="A81" s="58" t="s">
        <v>487</v>
      </c>
      <c r="B81" s="53" t="s">
        <v>183</v>
      </c>
      <c r="C81" s="250"/>
      <c r="D81" s="245" t="s">
        <v>183</v>
      </c>
      <c r="E81" s="85" t="s">
        <v>132</v>
      </c>
      <c r="F81" s="55">
        <f>SUMIFS('CWO Bulan Ini'!$DA:$DA,'CWO Bulan Ini'!$DJ:$DJ,'Area-Cabang'!$B81,'CWO Bulan Ini'!$DH:$DH,'Area-Cabang'!$E81,'CWO Bulan Ini'!$CZ:$CZ,'Area-Cabang'!F$41)</f>
        <v>0</v>
      </c>
      <c r="G81" s="56">
        <f>SUMIFS('CWO Bulan Ini'!$DA:$DA,'CWO Bulan Ini'!$DJ:$DJ,'Area-Cabang'!$B81,'CWO Bulan Ini'!$DH:$DH,'Area-Cabang'!$E81,'CWO Bulan Ini'!$CZ:$CZ,'Area-Cabang'!G$41)</f>
        <v>0</v>
      </c>
      <c r="H81" s="56">
        <f>SUMIFS('CWO Bulan Ini'!$DA:$DA,'CWO Bulan Ini'!$DJ:$DJ,'Area-Cabang'!$B81,'CWO Bulan Ini'!$DH:$DH,'Area-Cabang'!$E81,'CWO Bulan Ini'!$CZ:$CZ,'Area-Cabang'!H$41)</f>
        <v>0</v>
      </c>
      <c r="I81" s="56">
        <f>SUMIFS('CWO Bulan Ini'!$DA:$DA,'CWO Bulan Ini'!$DJ:$DJ,'Area-Cabang'!$B81,'CWO Bulan Ini'!$DH:$DH,'Area-Cabang'!$E81,'CWO Bulan Ini'!$CZ:$CZ,'Area-Cabang'!I$41)</f>
        <v>0</v>
      </c>
      <c r="J81" s="56">
        <f>SUMIFS('CWO Bulan Ini'!$DA:$DA,'CWO Bulan Ini'!$DJ:$DJ,'Area-Cabang'!$B81,'CWO Bulan Ini'!$DH:$DH,'Area-Cabang'!$E81,'CWO Bulan Ini'!$CZ:$CZ,'Area-Cabang'!J$41)</f>
        <v>0</v>
      </c>
      <c r="K81" s="56">
        <f>SUMIFS('CWO Bulan Ini'!$DA:$DA,'CWO Bulan Ini'!$DJ:$DJ,'Area-Cabang'!$B81,'CWO Bulan Ini'!$DH:$DH,'Area-Cabang'!$E81,'CWO Bulan Ini'!$CZ:$CZ,'Area-Cabang'!K$41)</f>
        <v>0</v>
      </c>
      <c r="L81" s="56">
        <f>SUMIFS('CWO Bulan Ini'!$DA:$DA,'CWO Bulan Ini'!$DJ:$DJ,'Area-Cabang'!$B81,'CWO Bulan Ini'!$DH:$DH,'Area-Cabang'!$E81,'CWO Bulan Ini'!$CZ:$CZ,'Area-Cabang'!L$41)</f>
        <v>0</v>
      </c>
      <c r="M81" s="56">
        <f>SUMIFS('CWO Bulan Ini'!$DA:$DA,'CWO Bulan Ini'!$DJ:$DJ,'Area-Cabang'!$B81,'CWO Bulan Ini'!$DH:$DH,'Area-Cabang'!$E81,'CWO Bulan Ini'!$CZ:$CZ,'Area-Cabang'!M$41)</f>
        <v>0</v>
      </c>
      <c r="N81" s="56">
        <f>SUMIFS('CWO Bulan Ini'!$DA:$DA,'CWO Bulan Ini'!$DJ:$DJ,'Area-Cabang'!$B81,'CWO Bulan Ini'!$DH:$DH,'Area-Cabang'!$E81,'CWO Bulan Ini'!$CZ:$CZ,'Area-Cabang'!N$41)</f>
        <v>0</v>
      </c>
      <c r="O81" s="56">
        <f>SUMIFS('CWO Bulan Ini'!$DA:$DA,'CWO Bulan Ini'!$DJ:$DJ,'Area-Cabang'!$B81,'CWO Bulan Ini'!$DH:$DH,'Area-Cabang'!$E81,'CWO Bulan Ini'!$CZ:$CZ,'Area-Cabang'!O$41)</f>
        <v>0</v>
      </c>
      <c r="P81" s="56">
        <f>SUMIFS('CWO Bulan Ini'!$DA:$DA,'CWO Bulan Ini'!$DJ:$DJ,'Area-Cabang'!$B81,'CWO Bulan Ini'!$DH:$DH,'Area-Cabang'!$E81,'CWO Bulan Ini'!$CZ:$CZ,'Area-Cabang'!P$41)</f>
        <v>0</v>
      </c>
      <c r="Q81" s="56">
        <f>SUMIFS('CWO Bulan Ini'!$DA:$DA,'CWO Bulan Ini'!$DJ:$DJ,'Area-Cabang'!$B81,'CWO Bulan Ini'!$DH:$DH,'Area-Cabang'!$E81,'CWO Bulan Ini'!$CZ:$CZ,'Area-Cabang'!Q$41)</f>
        <v>0</v>
      </c>
      <c r="R81" s="56">
        <f>SUMIFS('CWO Bulan Ini'!$DA:$DA,'CWO Bulan Ini'!$DJ:$DJ,'Area-Cabang'!$B81,'CWO Bulan Ini'!$DH:$DH,'Area-Cabang'!$E81,'CWO Bulan Ini'!$CZ:$CZ,'Area-Cabang'!R$41)</f>
        <v>134.80538847999998</v>
      </c>
      <c r="S81" s="56">
        <f>SUMIFS('CWO Bulan Ini'!$DA:$DA,'CWO Bulan Ini'!$DJ:$DJ,'Area-Cabang'!$B81,'CWO Bulan Ini'!$DH:$DH,'Area-Cabang'!$E81,'CWO Bulan Ini'!$CZ:$CZ,'Area-Cabang'!S$41)</f>
        <v>0</v>
      </c>
      <c r="T81" s="56">
        <f>SUMIFS('CWO Bulan Ini'!$DA:$DA,'CWO Bulan Ini'!$DJ:$DJ,'Area-Cabang'!$B81,'CWO Bulan Ini'!$DH:$DH,'Area-Cabang'!$E81,'CWO Bulan Ini'!$CZ:$CZ,'Area-Cabang'!T$41)</f>
        <v>0</v>
      </c>
      <c r="U81" s="56">
        <f>SUMIFS('CWO Bulan Ini'!$DA:$DA,'CWO Bulan Ini'!$DJ:$DJ,'Area-Cabang'!$B81,'CWO Bulan Ini'!$DH:$DH,'Area-Cabang'!$E81,'CWO Bulan Ini'!$CZ:$CZ,'Area-Cabang'!U$41)</f>
        <v>0</v>
      </c>
      <c r="V81" s="56">
        <f>SUMIFS('CWO Bulan Ini'!$DA:$DA,'CWO Bulan Ini'!$DJ:$DJ,'Area-Cabang'!$B81,'CWO Bulan Ini'!$DH:$DH,'Area-Cabang'!$E81,'CWO Bulan Ini'!$CZ:$CZ,'Area-Cabang'!V$41)</f>
        <v>0</v>
      </c>
      <c r="W81" s="56">
        <f>SUMIFS('CWO Bulan Ini'!$DA:$DA,'CWO Bulan Ini'!$DJ:$DJ,'Area-Cabang'!$B81,'CWO Bulan Ini'!$DH:$DH,'Area-Cabang'!$E81,'CWO Bulan Ini'!$CZ:$CZ,'Area-Cabang'!W$41)</f>
        <v>0</v>
      </c>
      <c r="X81" s="56">
        <f>SUMIFS('CWO Bulan Ini'!$DA:$DA,'CWO Bulan Ini'!$DJ:$DJ,'Area-Cabang'!$B81,'CWO Bulan Ini'!$DH:$DH,'Area-Cabang'!$E81,'CWO Bulan Ini'!$CZ:$CZ,'Area-Cabang'!X$41)</f>
        <v>0</v>
      </c>
      <c r="Y81" s="56">
        <f>SUMIFS('CWO Bulan Ini'!$DA:$DA,'CWO Bulan Ini'!$DJ:$DJ,'Area-Cabang'!$B81,'CWO Bulan Ini'!$DH:$DH,'Area-Cabang'!$E81,'CWO Bulan Ini'!$CZ:$CZ,'Area-Cabang'!Y$41)</f>
        <v>0</v>
      </c>
      <c r="Z81" s="56">
        <f>SUMIFS('CWO Bulan Ini'!$DA:$DA,'CWO Bulan Ini'!$DJ:$DJ,'Area-Cabang'!$B81,'CWO Bulan Ini'!$DH:$DH,'Area-Cabang'!$E81,'CWO Bulan Ini'!$CZ:$CZ,'Area-Cabang'!Z$41)</f>
        <v>0</v>
      </c>
      <c r="AA81" s="56">
        <f>SUMIFS('CWO Bulan Ini'!$DA:$DA,'CWO Bulan Ini'!$DJ:$DJ,'Area-Cabang'!$B81,'CWO Bulan Ini'!$DH:$DH,'Area-Cabang'!$E81,'CWO Bulan Ini'!$CZ:$CZ,'Area-Cabang'!AA$41)</f>
        <v>0</v>
      </c>
      <c r="AB81" s="56">
        <f>SUMIFS('CWO Bulan Ini'!$DA:$DA,'CWO Bulan Ini'!$DJ:$DJ,'Area-Cabang'!$B81,'CWO Bulan Ini'!$DH:$DH,'Area-Cabang'!$E81,'CWO Bulan Ini'!$CZ:$CZ,'Area-Cabang'!AB$41)</f>
        <v>0</v>
      </c>
      <c r="AC81" s="56">
        <f>SUMIFS('CWO Bulan Ini'!$DA:$DA,'CWO Bulan Ini'!$DJ:$DJ,'Area-Cabang'!$B81,'CWO Bulan Ini'!$DH:$DH,'Area-Cabang'!$E81,'CWO Bulan Ini'!$CZ:$CZ,'Area-Cabang'!AC$41)</f>
        <v>0</v>
      </c>
      <c r="AD81" s="56">
        <f>SUMIFS('CWO Bulan Ini'!$DA:$DA,'CWO Bulan Ini'!$DJ:$DJ,'Area-Cabang'!$B81,'CWO Bulan Ini'!$DH:$DH,'Area-Cabang'!$E81,'CWO Bulan Ini'!$CZ:$CZ,'Area-Cabang'!AD$41)</f>
        <v>0</v>
      </c>
      <c r="AE81" s="56">
        <f>SUMIFS('CWO Bulan Ini'!$DA:$DA,'CWO Bulan Ini'!$DJ:$DJ,'Area-Cabang'!$B81,'CWO Bulan Ini'!$DH:$DH,'Area-Cabang'!$E81,'CWO Bulan Ini'!$CZ:$CZ,'Area-Cabang'!AE$41)</f>
        <v>0</v>
      </c>
      <c r="AF81" s="56">
        <f>SUMIFS('CWO Bulan Ini'!$DA:$DA,'CWO Bulan Ini'!$DJ:$DJ,'Area-Cabang'!$B81,'CWO Bulan Ini'!$DH:$DH,'Area-Cabang'!$E81,'CWO Bulan Ini'!$CZ:$CZ,'Area-Cabang'!AF$41)</f>
        <v>0</v>
      </c>
      <c r="AG81" s="56">
        <f>SUMIFS('CWO Bulan Ini'!$DA:$DA,'CWO Bulan Ini'!$DJ:$DJ,'Area-Cabang'!$B81,'CWO Bulan Ini'!$DH:$DH,'Area-Cabang'!$E81,'CWO Bulan Ini'!$CZ:$CZ,'Area-Cabang'!AG$41)</f>
        <v>0</v>
      </c>
      <c r="AH81" s="56">
        <f>SUMIFS('CWO Bulan Ini'!$DA:$DA,'CWO Bulan Ini'!$DJ:$DJ,'Area-Cabang'!$B81,'CWO Bulan Ini'!$DH:$DH,'Area-Cabang'!$E81,'CWO Bulan Ini'!$CZ:$CZ,'Area-Cabang'!AH$41)</f>
        <v>0</v>
      </c>
      <c r="AI81" s="56">
        <f>SUMIFS('CWO Bulan Ini'!$DA:$DA,'CWO Bulan Ini'!$DJ:$DJ,'Area-Cabang'!$B81,'CWO Bulan Ini'!$DH:$DH,'Area-Cabang'!$E81,'CWO Bulan Ini'!$CZ:$CZ,'Area-Cabang'!AI$41)</f>
        <v>0</v>
      </c>
      <c r="AJ81" s="56">
        <f>SUMIFS('CWO Bulan Ini'!$DA:$DA,'CWO Bulan Ini'!$DJ:$DJ,'Area-Cabang'!$B81,'CWO Bulan Ini'!$DH:$DH,'Area-Cabang'!$E81,'CWO Bulan Ini'!$CZ:$CZ,'Area-Cabang'!AJ$41)</f>
        <v>0</v>
      </c>
      <c r="AK81" s="55">
        <f>SUMIFS('CWO Bulan Ini'!$DD:$DD,'CWO Bulan Ini'!$DJ:$DJ,'Area-Cabang'!$B81,'CWO Bulan Ini'!$DH:$DH,'Area-Cabang'!$E81,'CWO Bulan Ini'!$CZ:$CZ,'Area-Cabang'!AK$41)</f>
        <v>0</v>
      </c>
      <c r="AL81" s="56">
        <f>SUMIFS('CWO Bulan Ini'!$DD:$DD,'CWO Bulan Ini'!$DJ:$DJ,'Area-Cabang'!$B81,'CWO Bulan Ini'!$DH:$DH,'Area-Cabang'!$E81,'CWO Bulan Ini'!$CZ:$CZ,'Area-Cabang'!AL$41)</f>
        <v>0</v>
      </c>
      <c r="AM81" s="56">
        <f>SUMIFS('CWO Bulan Ini'!$DD:$DD,'CWO Bulan Ini'!$DJ:$DJ,'Area-Cabang'!$B81,'CWO Bulan Ini'!$DH:$DH,'Area-Cabang'!$E81,'CWO Bulan Ini'!$CZ:$CZ,'Area-Cabang'!AM$41)</f>
        <v>0</v>
      </c>
      <c r="AN81" s="56">
        <f>SUMIFS('CWO Bulan Ini'!$DD:$DD,'CWO Bulan Ini'!$DJ:$DJ,'Area-Cabang'!$B81,'CWO Bulan Ini'!$DH:$DH,'Area-Cabang'!$E81,'CWO Bulan Ini'!$CZ:$CZ,'Area-Cabang'!AN$41)</f>
        <v>0</v>
      </c>
      <c r="AO81" s="56">
        <f>SUMIFS('CWO Bulan Ini'!$DD:$DD,'CWO Bulan Ini'!$DJ:$DJ,'Area-Cabang'!$B81,'CWO Bulan Ini'!$DH:$DH,'Area-Cabang'!$E81,'CWO Bulan Ini'!$CZ:$CZ,'Area-Cabang'!AO$41)</f>
        <v>0</v>
      </c>
      <c r="AP81" s="56">
        <f>SUMIFS('CWO Bulan Ini'!$DD:$DD,'CWO Bulan Ini'!$DJ:$DJ,'Area-Cabang'!$B81,'CWO Bulan Ini'!$DH:$DH,'Area-Cabang'!$E81,'CWO Bulan Ini'!$CZ:$CZ,'Area-Cabang'!AP$41)</f>
        <v>0</v>
      </c>
      <c r="AQ81" s="56">
        <f>SUMIFS('CWO Bulan Ini'!$DD:$DD,'CWO Bulan Ini'!$DJ:$DJ,'Area-Cabang'!$B81,'CWO Bulan Ini'!$DH:$DH,'Area-Cabang'!$E81,'CWO Bulan Ini'!$CZ:$CZ,'Area-Cabang'!AQ$41)</f>
        <v>0</v>
      </c>
      <c r="AR81" s="56">
        <f>SUMIFS('CWO Bulan Ini'!$DD:$DD,'CWO Bulan Ini'!$DJ:$DJ,'Area-Cabang'!$B81,'CWO Bulan Ini'!$DH:$DH,'Area-Cabang'!$E81,'CWO Bulan Ini'!$CZ:$CZ,'Area-Cabang'!AR$41)</f>
        <v>0</v>
      </c>
      <c r="AS81" s="56">
        <f>SUMIFS('CWO Bulan Ini'!$DD:$DD,'CWO Bulan Ini'!$DJ:$DJ,'Area-Cabang'!$B81,'CWO Bulan Ini'!$DH:$DH,'Area-Cabang'!$E81,'CWO Bulan Ini'!$CZ:$CZ,'Area-Cabang'!AS$41)</f>
        <v>0</v>
      </c>
      <c r="AT81" s="56">
        <f>SUMIFS('CWO Bulan Ini'!$DD:$DD,'CWO Bulan Ini'!$DJ:$DJ,'Area-Cabang'!$B81,'CWO Bulan Ini'!$DH:$DH,'Area-Cabang'!$E81,'CWO Bulan Ini'!$CZ:$CZ,'Area-Cabang'!AT$41)</f>
        <v>0</v>
      </c>
      <c r="AU81" s="56">
        <f>SUMIFS('CWO Bulan Ini'!$DD:$DD,'CWO Bulan Ini'!$DJ:$DJ,'Area-Cabang'!$B81,'CWO Bulan Ini'!$DH:$DH,'Area-Cabang'!$E81,'CWO Bulan Ini'!$CZ:$CZ,'Area-Cabang'!AU$41)</f>
        <v>0</v>
      </c>
      <c r="AV81" s="56">
        <f>SUMIFS('CWO Bulan Ini'!$DD:$DD,'CWO Bulan Ini'!$DJ:$DJ,'Area-Cabang'!$B81,'CWO Bulan Ini'!$DH:$DH,'Area-Cabang'!$E81,'CWO Bulan Ini'!$CZ:$CZ,'Area-Cabang'!AV$41)</f>
        <v>0</v>
      </c>
      <c r="AW81" s="56">
        <f>SUMIFS('CWO Bulan Ini'!$DD:$DD,'CWO Bulan Ini'!$DJ:$DJ,'Area-Cabang'!$B81,'CWO Bulan Ini'!$DH:$DH,'Area-Cabang'!$E81,'CWO Bulan Ini'!$CZ:$CZ,'Area-Cabang'!AW$41)</f>
        <v>0</v>
      </c>
      <c r="AX81" s="56">
        <f>SUMIFS('CWO Bulan Ini'!$DD:$DD,'CWO Bulan Ini'!$DJ:$DJ,'Area-Cabang'!$B81,'CWO Bulan Ini'!$DH:$DH,'Area-Cabang'!$E81,'CWO Bulan Ini'!$CZ:$CZ,'Area-Cabang'!AX$41)</f>
        <v>0</v>
      </c>
      <c r="AY81" s="56">
        <f>SUMIFS('CWO Bulan Ini'!$DD:$DD,'CWO Bulan Ini'!$DJ:$DJ,'Area-Cabang'!$B81,'CWO Bulan Ini'!$DH:$DH,'Area-Cabang'!$E81,'CWO Bulan Ini'!$CZ:$CZ,'Area-Cabang'!AY$41)</f>
        <v>0</v>
      </c>
      <c r="AZ81" s="56">
        <f>SUMIFS('CWO Bulan Ini'!$DD:$DD,'CWO Bulan Ini'!$DJ:$DJ,'Area-Cabang'!$B81,'CWO Bulan Ini'!$DH:$DH,'Area-Cabang'!$E81,'CWO Bulan Ini'!$CZ:$CZ,'Area-Cabang'!AZ$41)</f>
        <v>0</v>
      </c>
      <c r="BA81" s="56">
        <f>SUMIFS('CWO Bulan Ini'!$DD:$DD,'CWO Bulan Ini'!$DJ:$DJ,'Area-Cabang'!$B81,'CWO Bulan Ini'!$DH:$DH,'Area-Cabang'!$E81,'CWO Bulan Ini'!$CZ:$CZ,'Area-Cabang'!BA$41)</f>
        <v>0</v>
      </c>
      <c r="BB81" s="56">
        <f>SUMIFS('CWO Bulan Ini'!$DD:$DD,'CWO Bulan Ini'!$DJ:$DJ,'Area-Cabang'!$B81,'CWO Bulan Ini'!$DH:$DH,'Area-Cabang'!$E81,'CWO Bulan Ini'!$CZ:$CZ,'Area-Cabang'!BB$41)</f>
        <v>0</v>
      </c>
      <c r="BC81" s="56">
        <f>SUMIFS('CWO Bulan Ini'!$DD:$DD,'CWO Bulan Ini'!$DJ:$DJ,'Area-Cabang'!$B81,'CWO Bulan Ini'!$DH:$DH,'Area-Cabang'!$E81,'CWO Bulan Ini'!$CZ:$CZ,'Area-Cabang'!BC$41)</f>
        <v>0</v>
      </c>
      <c r="BD81" s="56">
        <f>SUMIFS('CWO Bulan Ini'!$DD:$DD,'CWO Bulan Ini'!$DJ:$DJ,'Area-Cabang'!$B81,'CWO Bulan Ini'!$DH:$DH,'Area-Cabang'!$E81,'CWO Bulan Ini'!$CZ:$CZ,'Area-Cabang'!BD$41)</f>
        <v>0</v>
      </c>
      <c r="BE81" s="56">
        <f>SUMIFS('CWO Bulan Ini'!$DD:$DD,'CWO Bulan Ini'!$DJ:$DJ,'Area-Cabang'!$B81,'CWO Bulan Ini'!$DH:$DH,'Area-Cabang'!$E81,'CWO Bulan Ini'!$CZ:$CZ,'Area-Cabang'!BE$41)</f>
        <v>0</v>
      </c>
      <c r="BF81" s="56">
        <f>SUMIFS('CWO Bulan Ini'!$DD:$DD,'CWO Bulan Ini'!$DJ:$DJ,'Area-Cabang'!$B81,'CWO Bulan Ini'!$DH:$DH,'Area-Cabang'!$E81,'CWO Bulan Ini'!$CZ:$CZ,'Area-Cabang'!BF$41)</f>
        <v>0</v>
      </c>
      <c r="BG81" s="56">
        <f>SUMIFS('CWO Bulan Ini'!$DD:$DD,'CWO Bulan Ini'!$DJ:$DJ,'Area-Cabang'!$B81,'CWO Bulan Ini'!$DH:$DH,'Area-Cabang'!$E81,'CWO Bulan Ini'!$CZ:$CZ,'Area-Cabang'!BG$41)</f>
        <v>0</v>
      </c>
      <c r="BH81" s="56">
        <f>SUMIFS('CWO Bulan Ini'!$DD:$DD,'CWO Bulan Ini'!$DJ:$DJ,'Area-Cabang'!$B81,'CWO Bulan Ini'!$DH:$DH,'Area-Cabang'!$E81,'CWO Bulan Ini'!$CZ:$CZ,'Area-Cabang'!BH$41)</f>
        <v>0</v>
      </c>
      <c r="BI81" s="56">
        <f>SUMIFS('CWO Bulan Ini'!$DD:$DD,'CWO Bulan Ini'!$DJ:$DJ,'Area-Cabang'!$B81,'CWO Bulan Ini'!$DH:$DH,'Area-Cabang'!$E81,'CWO Bulan Ini'!$CZ:$CZ,'Area-Cabang'!BI$41)</f>
        <v>0</v>
      </c>
      <c r="BJ81" s="56">
        <f>SUMIFS('CWO Bulan Ini'!$DD:$DD,'CWO Bulan Ini'!$DJ:$DJ,'Area-Cabang'!$B81,'CWO Bulan Ini'!$DH:$DH,'Area-Cabang'!$E81,'CWO Bulan Ini'!$CZ:$CZ,'Area-Cabang'!BJ$41)</f>
        <v>0</v>
      </c>
      <c r="BK81" s="56">
        <f>SUMIFS('CWO Bulan Ini'!$DD:$DD,'CWO Bulan Ini'!$DJ:$DJ,'Area-Cabang'!$B81,'CWO Bulan Ini'!$DH:$DH,'Area-Cabang'!$E81,'CWO Bulan Ini'!$CZ:$CZ,'Area-Cabang'!BK$41)</f>
        <v>0</v>
      </c>
      <c r="BL81" s="56">
        <f>SUMIFS('CWO Bulan Ini'!$DD:$DD,'CWO Bulan Ini'!$DJ:$DJ,'Area-Cabang'!$B81,'CWO Bulan Ini'!$DH:$DH,'Area-Cabang'!$E81,'CWO Bulan Ini'!$CZ:$CZ,'Area-Cabang'!BL$41)</f>
        <v>0</v>
      </c>
      <c r="BM81" s="56">
        <f>SUMIFS('CWO Bulan Ini'!$DD:$DD,'CWO Bulan Ini'!$DJ:$DJ,'Area-Cabang'!$B81,'CWO Bulan Ini'!$DH:$DH,'Area-Cabang'!$E81,'CWO Bulan Ini'!$CZ:$CZ,'Area-Cabang'!BM$41)</f>
        <v>0</v>
      </c>
      <c r="BN81" s="56">
        <f>SUMIFS('CWO Bulan Ini'!$DD:$DD,'CWO Bulan Ini'!$DJ:$DJ,'Area-Cabang'!$B81,'CWO Bulan Ini'!$DH:$DH,'Area-Cabang'!$E81,'CWO Bulan Ini'!$CZ:$CZ,'Area-Cabang'!BN$41)</f>
        <v>0</v>
      </c>
      <c r="BO81" s="57">
        <f>SUMIFS('CWO Bulan Ini'!$DD:$DD,'CWO Bulan Ini'!$DJ:$DJ,'Area-Cabang'!$B81,'CWO Bulan Ini'!$DH:$DH,'Area-Cabang'!$E81,'CWO Bulan Ini'!$CZ:$CZ,'Area-Cabang'!BO$41)</f>
        <v>0</v>
      </c>
      <c r="BP81" s="55">
        <f>SUMIFS('CWO Bulan Ini'!$DC:$DC,'CWO Bulan Ini'!$DJ:$DJ,'Area-Cabang'!$B81,'CWO Bulan Ini'!$DH:$DH,'Area-Cabang'!$E81,'CWO Bulan Ini'!$CZ:$CZ,'Area-Cabang'!BP$41)</f>
        <v>0</v>
      </c>
      <c r="BQ81" s="56">
        <f>SUMIFS('CWO Bulan Ini'!$DC:$DC,'CWO Bulan Ini'!$DJ:$DJ,'Area-Cabang'!$B81,'CWO Bulan Ini'!$DH:$DH,'Area-Cabang'!$E81,'CWO Bulan Ini'!$CZ:$CZ,'Area-Cabang'!BQ$41)</f>
        <v>0</v>
      </c>
      <c r="BR81" s="56">
        <f>SUMIFS('CWO Bulan Ini'!$DC:$DC,'CWO Bulan Ini'!$DJ:$DJ,'Area-Cabang'!$B81,'CWO Bulan Ini'!$DH:$DH,'Area-Cabang'!$E81,'CWO Bulan Ini'!$CZ:$CZ,'Area-Cabang'!BR$41)</f>
        <v>0</v>
      </c>
      <c r="BS81" s="56">
        <f>SUMIFS('CWO Bulan Ini'!$DC:$DC,'CWO Bulan Ini'!$DJ:$DJ,'Area-Cabang'!$B81,'CWO Bulan Ini'!$DH:$DH,'Area-Cabang'!$E81,'CWO Bulan Ini'!$CZ:$CZ,'Area-Cabang'!BS$41)</f>
        <v>0</v>
      </c>
      <c r="BT81" s="56">
        <f>SUMIFS('CWO Bulan Ini'!$DC:$DC,'CWO Bulan Ini'!$DJ:$DJ,'Area-Cabang'!$B81,'CWO Bulan Ini'!$DH:$DH,'Area-Cabang'!$E81,'CWO Bulan Ini'!$CZ:$CZ,'Area-Cabang'!BT$41)</f>
        <v>0</v>
      </c>
      <c r="BU81" s="56">
        <f>SUMIFS('CWO Bulan Ini'!$DC:$DC,'CWO Bulan Ini'!$DJ:$DJ,'Area-Cabang'!$B81,'CWO Bulan Ini'!$DH:$DH,'Area-Cabang'!$E81,'CWO Bulan Ini'!$CZ:$CZ,'Area-Cabang'!BU$41)</f>
        <v>0</v>
      </c>
      <c r="BV81" s="56">
        <f>SUMIFS('CWO Bulan Ini'!$DC:$DC,'CWO Bulan Ini'!$DJ:$DJ,'Area-Cabang'!$B81,'CWO Bulan Ini'!$DH:$DH,'Area-Cabang'!$E81,'CWO Bulan Ini'!$CZ:$CZ,'Area-Cabang'!BV$41)</f>
        <v>0</v>
      </c>
      <c r="BW81" s="56">
        <f>SUMIFS('CWO Bulan Ini'!$DC:$DC,'CWO Bulan Ini'!$DJ:$DJ,'Area-Cabang'!$B81,'CWO Bulan Ini'!$DH:$DH,'Area-Cabang'!$E81,'CWO Bulan Ini'!$CZ:$CZ,'Area-Cabang'!BW$41)</f>
        <v>0</v>
      </c>
      <c r="BX81" s="56">
        <f>SUMIFS('CWO Bulan Ini'!$DC:$DC,'CWO Bulan Ini'!$DJ:$DJ,'Area-Cabang'!$B81,'CWO Bulan Ini'!$DH:$DH,'Area-Cabang'!$E81,'CWO Bulan Ini'!$CZ:$CZ,'Area-Cabang'!BX$41)</f>
        <v>0</v>
      </c>
      <c r="BY81" s="56">
        <f>SUMIFS('CWO Bulan Ini'!$DC:$DC,'CWO Bulan Ini'!$DJ:$DJ,'Area-Cabang'!$B81,'CWO Bulan Ini'!$DH:$DH,'Area-Cabang'!$E81,'CWO Bulan Ini'!$CZ:$CZ,'Area-Cabang'!BY$41)</f>
        <v>0</v>
      </c>
      <c r="BZ81" s="56">
        <f>SUMIFS('CWO Bulan Ini'!$DC:$DC,'CWO Bulan Ini'!$DJ:$DJ,'Area-Cabang'!$B81,'CWO Bulan Ini'!$DH:$DH,'Area-Cabang'!$E81,'CWO Bulan Ini'!$CZ:$CZ,'Area-Cabang'!BZ$41)</f>
        <v>0</v>
      </c>
      <c r="CA81" s="56">
        <f>SUMIFS('CWO Bulan Ini'!$DC:$DC,'CWO Bulan Ini'!$DJ:$DJ,'Area-Cabang'!$B81,'CWO Bulan Ini'!$DH:$DH,'Area-Cabang'!$E81,'CWO Bulan Ini'!$CZ:$CZ,'Area-Cabang'!CA$41)</f>
        <v>0</v>
      </c>
      <c r="CB81" s="56">
        <f>SUMIFS('CWO Bulan Ini'!$DC:$DC,'CWO Bulan Ini'!$DJ:$DJ,'Area-Cabang'!$B81,'CWO Bulan Ini'!$DH:$DH,'Area-Cabang'!$E81,'CWO Bulan Ini'!$CZ:$CZ,'Area-Cabang'!CB$41)</f>
        <v>0</v>
      </c>
      <c r="CC81" s="56">
        <f>SUMIFS('CWO Bulan Ini'!$DC:$DC,'CWO Bulan Ini'!$DJ:$DJ,'Area-Cabang'!$B81,'CWO Bulan Ini'!$DH:$DH,'Area-Cabang'!$E81,'CWO Bulan Ini'!$CZ:$CZ,'Area-Cabang'!CC$41)</f>
        <v>0</v>
      </c>
      <c r="CD81" s="56">
        <f>SUMIFS('CWO Bulan Ini'!$DC:$DC,'CWO Bulan Ini'!$DJ:$DJ,'Area-Cabang'!$B81,'CWO Bulan Ini'!$DH:$DH,'Area-Cabang'!$E81,'CWO Bulan Ini'!$CZ:$CZ,'Area-Cabang'!CD$41)</f>
        <v>0</v>
      </c>
      <c r="CE81" s="56">
        <f>SUMIFS('CWO Bulan Ini'!$DC:$DC,'CWO Bulan Ini'!$DJ:$DJ,'Area-Cabang'!$B81,'CWO Bulan Ini'!$DH:$DH,'Area-Cabang'!$E81,'CWO Bulan Ini'!$CZ:$CZ,'Area-Cabang'!CE$41)</f>
        <v>0</v>
      </c>
      <c r="CF81" s="56">
        <f>SUMIFS('CWO Bulan Ini'!$DC:$DC,'CWO Bulan Ini'!$DJ:$DJ,'Area-Cabang'!$B81,'CWO Bulan Ini'!$DH:$DH,'Area-Cabang'!$E81,'CWO Bulan Ini'!$CZ:$CZ,'Area-Cabang'!CF$41)</f>
        <v>0</v>
      </c>
      <c r="CG81" s="56">
        <f>SUMIFS('CWO Bulan Ini'!$DC:$DC,'CWO Bulan Ini'!$DJ:$DJ,'Area-Cabang'!$B81,'CWO Bulan Ini'!$DH:$DH,'Area-Cabang'!$E81,'CWO Bulan Ini'!$CZ:$CZ,'Area-Cabang'!CG$41)</f>
        <v>0</v>
      </c>
      <c r="CH81" s="56">
        <f>SUMIFS('CWO Bulan Ini'!$DC:$DC,'CWO Bulan Ini'!$DJ:$DJ,'Area-Cabang'!$B81,'CWO Bulan Ini'!$DH:$DH,'Area-Cabang'!$E81,'CWO Bulan Ini'!$CZ:$CZ,'Area-Cabang'!CH$41)</f>
        <v>0</v>
      </c>
      <c r="CI81" s="56">
        <f>SUMIFS('CWO Bulan Ini'!$DC:$DC,'CWO Bulan Ini'!$DJ:$DJ,'Area-Cabang'!$B81,'CWO Bulan Ini'!$DH:$DH,'Area-Cabang'!$E81,'CWO Bulan Ini'!$CZ:$CZ,'Area-Cabang'!CI$41)</f>
        <v>0</v>
      </c>
      <c r="CJ81" s="56">
        <f>SUMIFS('CWO Bulan Ini'!$DC:$DC,'CWO Bulan Ini'!$DJ:$DJ,'Area-Cabang'!$B81,'CWO Bulan Ini'!$DH:$DH,'Area-Cabang'!$E81,'CWO Bulan Ini'!$CZ:$CZ,'Area-Cabang'!CJ$41)</f>
        <v>0</v>
      </c>
      <c r="CK81" s="56">
        <f>SUMIFS('CWO Bulan Ini'!$DC:$DC,'CWO Bulan Ini'!$DJ:$DJ,'Area-Cabang'!$B81,'CWO Bulan Ini'!$DH:$DH,'Area-Cabang'!$E81,'CWO Bulan Ini'!$CZ:$CZ,'Area-Cabang'!CK$41)</f>
        <v>0</v>
      </c>
      <c r="CL81" s="56">
        <f>SUMIFS('CWO Bulan Ini'!$DC:$DC,'CWO Bulan Ini'!$DJ:$DJ,'Area-Cabang'!$B81,'CWO Bulan Ini'!$DH:$DH,'Area-Cabang'!$E81,'CWO Bulan Ini'!$CZ:$CZ,'Area-Cabang'!CL$41)</f>
        <v>0</v>
      </c>
      <c r="CM81" s="56">
        <f>SUMIFS('CWO Bulan Ini'!$DC:$DC,'CWO Bulan Ini'!$DJ:$DJ,'Area-Cabang'!$B81,'CWO Bulan Ini'!$DH:$DH,'Area-Cabang'!$E81,'CWO Bulan Ini'!$CZ:$CZ,'Area-Cabang'!CM$41)</f>
        <v>0</v>
      </c>
      <c r="CN81" s="56">
        <f>SUMIFS('CWO Bulan Ini'!$DC:$DC,'CWO Bulan Ini'!$DJ:$DJ,'Area-Cabang'!$B81,'CWO Bulan Ini'!$DH:$DH,'Area-Cabang'!$E81,'CWO Bulan Ini'!$CZ:$CZ,'Area-Cabang'!CN$41)</f>
        <v>0</v>
      </c>
      <c r="CO81" s="56">
        <f>SUMIFS('CWO Bulan Ini'!$DC:$DC,'CWO Bulan Ini'!$DJ:$DJ,'Area-Cabang'!$B81,'CWO Bulan Ini'!$DH:$DH,'Area-Cabang'!$E81,'CWO Bulan Ini'!$CZ:$CZ,'Area-Cabang'!CO$41)</f>
        <v>0</v>
      </c>
      <c r="CP81" s="56">
        <f>SUMIFS('CWO Bulan Ini'!$DC:$DC,'CWO Bulan Ini'!$DJ:$DJ,'Area-Cabang'!$B81,'CWO Bulan Ini'!$DH:$DH,'Area-Cabang'!$E81,'CWO Bulan Ini'!$CZ:$CZ,'Area-Cabang'!CP$41)</f>
        <v>0</v>
      </c>
      <c r="CQ81" s="56">
        <f>SUMIFS('CWO Bulan Ini'!$DC:$DC,'CWO Bulan Ini'!$DJ:$DJ,'Area-Cabang'!$B81,'CWO Bulan Ini'!$DH:$DH,'Area-Cabang'!$E81,'CWO Bulan Ini'!$CZ:$CZ,'Area-Cabang'!CQ$41)</f>
        <v>0</v>
      </c>
      <c r="CR81" s="56">
        <f>SUMIFS('CWO Bulan Ini'!$DC:$DC,'CWO Bulan Ini'!$DJ:$DJ,'Area-Cabang'!$B81,'CWO Bulan Ini'!$DH:$DH,'Area-Cabang'!$E81,'CWO Bulan Ini'!$CZ:$CZ,'Area-Cabang'!CR$41)</f>
        <v>0</v>
      </c>
      <c r="CS81" s="56">
        <f>SUMIFS('CWO Bulan Ini'!$DC:$DC,'CWO Bulan Ini'!$DJ:$DJ,'Area-Cabang'!$B81,'CWO Bulan Ini'!$DH:$DH,'Area-Cabang'!$E81,'CWO Bulan Ini'!$CZ:$CZ,'Area-Cabang'!CS$41)</f>
        <v>0</v>
      </c>
      <c r="CT81" s="57">
        <f>SUMIFS('CWO Bulan Ini'!$DC:$DC,'CWO Bulan Ini'!$DJ:$DJ,'Area-Cabang'!$B81,'CWO Bulan Ini'!$DH:$DH,'Area-Cabang'!$E81,'CWO Bulan Ini'!$CZ:$CZ,'Area-Cabang'!CT$41)</f>
        <v>0</v>
      </c>
      <c r="CV81" s="97">
        <f t="shared" ref="CV81:CV82" si="2320">SUM(F81:AJ81)</f>
        <v>134.80538847999998</v>
      </c>
      <c r="CW81" s="98">
        <f t="shared" ref="CW81:CW82" si="2321">SUM(AK81:BO81)</f>
        <v>0</v>
      </c>
      <c r="CX81" s="98">
        <f t="shared" ref="CX81:CX82" si="2322">SUM(BP81:CT81)</f>
        <v>0</v>
      </c>
      <c r="CY81" s="98">
        <f t="shared" ref="CY81:CY82" si="2323">CV81-CW81-CX81</f>
        <v>134.80538847999998</v>
      </c>
      <c r="CZ81" s="105">
        <f t="shared" ref="CZ81:CZ82" si="2324">CY81+CW81</f>
        <v>134.80538847999998</v>
      </c>
    </row>
    <row r="82" spans="1:104" ht="15" customHeight="1" x14ac:dyDescent="0.25">
      <c r="A82" s="58" t="s">
        <v>487</v>
      </c>
      <c r="B82" s="58" t="s">
        <v>183</v>
      </c>
      <c r="C82" s="250"/>
      <c r="D82" s="244"/>
      <c r="E82" s="40" t="s">
        <v>349</v>
      </c>
      <c r="F82" s="41">
        <f>SUMIFS('CWO Bulan Ini'!$DA:$DA,'CWO Bulan Ini'!$DJ:$DJ,'Area-Cabang'!$B82,'CWO Bulan Ini'!$DH:$DH,'Area-Cabang'!$E82,'CWO Bulan Ini'!$CZ:$CZ,'Area-Cabang'!F$41)</f>
        <v>0</v>
      </c>
      <c r="G82" s="42">
        <f>SUMIFS('CWO Bulan Ini'!$DA:$DA,'CWO Bulan Ini'!$DJ:$DJ,'Area-Cabang'!$B82,'CWO Bulan Ini'!$DH:$DH,'Area-Cabang'!$E82,'CWO Bulan Ini'!$CZ:$CZ,'Area-Cabang'!G$41)</f>
        <v>0</v>
      </c>
      <c r="H82" s="42">
        <f>SUMIFS('CWO Bulan Ini'!$DA:$DA,'CWO Bulan Ini'!$DJ:$DJ,'Area-Cabang'!$B82,'CWO Bulan Ini'!$DH:$DH,'Area-Cabang'!$E82,'CWO Bulan Ini'!$CZ:$CZ,'Area-Cabang'!H$41)</f>
        <v>0</v>
      </c>
      <c r="I82" s="42">
        <f>SUMIFS('CWO Bulan Ini'!$DA:$DA,'CWO Bulan Ini'!$DJ:$DJ,'Area-Cabang'!$B82,'CWO Bulan Ini'!$DH:$DH,'Area-Cabang'!$E82,'CWO Bulan Ini'!$CZ:$CZ,'Area-Cabang'!I$41)</f>
        <v>0</v>
      </c>
      <c r="J82" s="42">
        <f>SUMIFS('CWO Bulan Ini'!$DA:$DA,'CWO Bulan Ini'!$DJ:$DJ,'Area-Cabang'!$B82,'CWO Bulan Ini'!$DH:$DH,'Area-Cabang'!$E82,'CWO Bulan Ini'!$CZ:$CZ,'Area-Cabang'!J$41)</f>
        <v>0</v>
      </c>
      <c r="K82" s="42">
        <f>SUMIFS('CWO Bulan Ini'!$DA:$DA,'CWO Bulan Ini'!$DJ:$DJ,'Area-Cabang'!$B82,'CWO Bulan Ini'!$DH:$DH,'Area-Cabang'!$E82,'CWO Bulan Ini'!$CZ:$CZ,'Area-Cabang'!K$41)</f>
        <v>0</v>
      </c>
      <c r="L82" s="42">
        <f>SUMIFS('CWO Bulan Ini'!$DA:$DA,'CWO Bulan Ini'!$DJ:$DJ,'Area-Cabang'!$B82,'CWO Bulan Ini'!$DH:$DH,'Area-Cabang'!$E82,'CWO Bulan Ini'!$CZ:$CZ,'Area-Cabang'!L$41)</f>
        <v>0</v>
      </c>
      <c r="M82" s="42">
        <f>SUMIFS('CWO Bulan Ini'!$DA:$DA,'CWO Bulan Ini'!$DJ:$DJ,'Area-Cabang'!$B82,'CWO Bulan Ini'!$DH:$DH,'Area-Cabang'!$E82,'CWO Bulan Ini'!$CZ:$CZ,'Area-Cabang'!M$41)</f>
        <v>0</v>
      </c>
      <c r="N82" s="42">
        <f>SUMIFS('CWO Bulan Ini'!$DA:$DA,'CWO Bulan Ini'!$DJ:$DJ,'Area-Cabang'!$B82,'CWO Bulan Ini'!$DH:$DH,'Area-Cabang'!$E82,'CWO Bulan Ini'!$CZ:$CZ,'Area-Cabang'!N$41)</f>
        <v>0</v>
      </c>
      <c r="O82" s="42">
        <f>SUMIFS('CWO Bulan Ini'!$DA:$DA,'CWO Bulan Ini'!$DJ:$DJ,'Area-Cabang'!$B82,'CWO Bulan Ini'!$DH:$DH,'Area-Cabang'!$E82,'CWO Bulan Ini'!$CZ:$CZ,'Area-Cabang'!O$41)</f>
        <v>0</v>
      </c>
      <c r="P82" s="42">
        <f>SUMIFS('CWO Bulan Ini'!$DA:$DA,'CWO Bulan Ini'!$DJ:$DJ,'Area-Cabang'!$B82,'CWO Bulan Ini'!$DH:$DH,'Area-Cabang'!$E82,'CWO Bulan Ini'!$CZ:$CZ,'Area-Cabang'!P$41)</f>
        <v>0</v>
      </c>
      <c r="Q82" s="42">
        <f>SUMIFS('CWO Bulan Ini'!$DA:$DA,'CWO Bulan Ini'!$DJ:$DJ,'Area-Cabang'!$B82,'CWO Bulan Ini'!$DH:$DH,'Area-Cabang'!$E82,'CWO Bulan Ini'!$CZ:$CZ,'Area-Cabang'!Q$41)</f>
        <v>0</v>
      </c>
      <c r="R82" s="42">
        <f>SUMIFS('CWO Bulan Ini'!$DA:$DA,'CWO Bulan Ini'!$DJ:$DJ,'Area-Cabang'!$B82,'CWO Bulan Ini'!$DH:$DH,'Area-Cabang'!$E82,'CWO Bulan Ini'!$CZ:$CZ,'Area-Cabang'!R$41)</f>
        <v>0</v>
      </c>
      <c r="S82" s="42">
        <f>SUMIFS('CWO Bulan Ini'!$DA:$DA,'CWO Bulan Ini'!$DJ:$DJ,'Area-Cabang'!$B82,'CWO Bulan Ini'!$DH:$DH,'Area-Cabang'!$E82,'CWO Bulan Ini'!$CZ:$CZ,'Area-Cabang'!S$41)</f>
        <v>0</v>
      </c>
      <c r="T82" s="42">
        <f>SUMIFS('CWO Bulan Ini'!$DA:$DA,'CWO Bulan Ini'!$DJ:$DJ,'Area-Cabang'!$B82,'CWO Bulan Ini'!$DH:$DH,'Area-Cabang'!$E82,'CWO Bulan Ini'!$CZ:$CZ,'Area-Cabang'!T$41)</f>
        <v>0</v>
      </c>
      <c r="U82" s="42">
        <f>SUMIFS('CWO Bulan Ini'!$DA:$DA,'CWO Bulan Ini'!$DJ:$DJ,'Area-Cabang'!$B82,'CWO Bulan Ini'!$DH:$DH,'Area-Cabang'!$E82,'CWO Bulan Ini'!$CZ:$CZ,'Area-Cabang'!U$41)</f>
        <v>0</v>
      </c>
      <c r="V82" s="42">
        <f>SUMIFS('CWO Bulan Ini'!$DA:$DA,'CWO Bulan Ini'!$DJ:$DJ,'Area-Cabang'!$B82,'CWO Bulan Ini'!$DH:$DH,'Area-Cabang'!$E82,'CWO Bulan Ini'!$CZ:$CZ,'Area-Cabang'!V$41)</f>
        <v>0</v>
      </c>
      <c r="W82" s="42">
        <f>SUMIFS('CWO Bulan Ini'!$DA:$DA,'CWO Bulan Ini'!$DJ:$DJ,'Area-Cabang'!$B82,'CWO Bulan Ini'!$DH:$DH,'Area-Cabang'!$E82,'CWO Bulan Ini'!$CZ:$CZ,'Area-Cabang'!W$41)</f>
        <v>0</v>
      </c>
      <c r="X82" s="42">
        <f>SUMIFS('CWO Bulan Ini'!$DA:$DA,'CWO Bulan Ini'!$DJ:$DJ,'Area-Cabang'!$B82,'CWO Bulan Ini'!$DH:$DH,'Area-Cabang'!$E82,'CWO Bulan Ini'!$CZ:$CZ,'Area-Cabang'!X$41)</f>
        <v>0</v>
      </c>
      <c r="Y82" s="42">
        <f>SUMIFS('CWO Bulan Ini'!$DA:$DA,'CWO Bulan Ini'!$DJ:$DJ,'Area-Cabang'!$B82,'CWO Bulan Ini'!$DH:$DH,'Area-Cabang'!$E82,'CWO Bulan Ini'!$CZ:$CZ,'Area-Cabang'!Y$41)</f>
        <v>0</v>
      </c>
      <c r="Z82" s="42">
        <f>SUMIFS('CWO Bulan Ini'!$DA:$DA,'CWO Bulan Ini'!$DJ:$DJ,'Area-Cabang'!$B82,'CWO Bulan Ini'!$DH:$DH,'Area-Cabang'!$E82,'CWO Bulan Ini'!$CZ:$CZ,'Area-Cabang'!Z$41)</f>
        <v>0</v>
      </c>
      <c r="AA82" s="42">
        <f>SUMIFS('CWO Bulan Ini'!$DA:$DA,'CWO Bulan Ini'!$DJ:$DJ,'Area-Cabang'!$B82,'CWO Bulan Ini'!$DH:$DH,'Area-Cabang'!$E82,'CWO Bulan Ini'!$CZ:$CZ,'Area-Cabang'!AA$41)</f>
        <v>0</v>
      </c>
      <c r="AB82" s="42">
        <f>SUMIFS('CWO Bulan Ini'!$DA:$DA,'CWO Bulan Ini'!$DJ:$DJ,'Area-Cabang'!$B82,'CWO Bulan Ini'!$DH:$DH,'Area-Cabang'!$E82,'CWO Bulan Ini'!$CZ:$CZ,'Area-Cabang'!AB$41)</f>
        <v>0</v>
      </c>
      <c r="AC82" s="42">
        <f>SUMIFS('CWO Bulan Ini'!$DA:$DA,'CWO Bulan Ini'!$DJ:$DJ,'Area-Cabang'!$B82,'CWO Bulan Ini'!$DH:$DH,'Area-Cabang'!$E82,'CWO Bulan Ini'!$CZ:$CZ,'Area-Cabang'!AC$41)</f>
        <v>0</v>
      </c>
      <c r="AD82" s="42">
        <f>SUMIFS('CWO Bulan Ini'!$DA:$DA,'CWO Bulan Ini'!$DJ:$DJ,'Area-Cabang'!$B82,'CWO Bulan Ini'!$DH:$DH,'Area-Cabang'!$E82,'CWO Bulan Ini'!$CZ:$CZ,'Area-Cabang'!AD$41)</f>
        <v>0</v>
      </c>
      <c r="AE82" s="42">
        <f>SUMIFS('CWO Bulan Ini'!$DA:$DA,'CWO Bulan Ini'!$DJ:$DJ,'Area-Cabang'!$B82,'CWO Bulan Ini'!$DH:$DH,'Area-Cabang'!$E82,'CWO Bulan Ini'!$CZ:$CZ,'Area-Cabang'!AE$41)</f>
        <v>0</v>
      </c>
      <c r="AF82" s="42">
        <f>SUMIFS('CWO Bulan Ini'!$DA:$DA,'CWO Bulan Ini'!$DJ:$DJ,'Area-Cabang'!$B82,'CWO Bulan Ini'!$DH:$DH,'Area-Cabang'!$E82,'CWO Bulan Ini'!$CZ:$CZ,'Area-Cabang'!AF$41)</f>
        <v>0</v>
      </c>
      <c r="AG82" s="42">
        <f>SUMIFS('CWO Bulan Ini'!$DA:$DA,'CWO Bulan Ini'!$DJ:$DJ,'Area-Cabang'!$B82,'CWO Bulan Ini'!$DH:$DH,'Area-Cabang'!$E82,'CWO Bulan Ini'!$CZ:$CZ,'Area-Cabang'!AG$41)</f>
        <v>0</v>
      </c>
      <c r="AH82" s="42">
        <f>SUMIFS('CWO Bulan Ini'!$DA:$DA,'CWO Bulan Ini'!$DJ:$DJ,'Area-Cabang'!$B82,'CWO Bulan Ini'!$DH:$DH,'Area-Cabang'!$E82,'CWO Bulan Ini'!$CZ:$CZ,'Area-Cabang'!AH$41)</f>
        <v>0</v>
      </c>
      <c r="AI82" s="42">
        <f>SUMIFS('CWO Bulan Ini'!$DA:$DA,'CWO Bulan Ini'!$DJ:$DJ,'Area-Cabang'!$B82,'CWO Bulan Ini'!$DH:$DH,'Area-Cabang'!$E82,'CWO Bulan Ini'!$CZ:$CZ,'Area-Cabang'!AI$41)</f>
        <v>0</v>
      </c>
      <c r="AJ82" s="42">
        <f>SUMIFS('CWO Bulan Ini'!$DA:$DA,'CWO Bulan Ini'!$DJ:$DJ,'Area-Cabang'!$B82,'CWO Bulan Ini'!$DH:$DH,'Area-Cabang'!$E82,'CWO Bulan Ini'!$CZ:$CZ,'Area-Cabang'!AJ$41)</f>
        <v>0</v>
      </c>
      <c r="AK82" s="41">
        <f>SUMIFS('CWO Bulan Ini'!$DD:$DD,'CWO Bulan Ini'!$DJ:$DJ,'Area-Cabang'!$B82,'CWO Bulan Ini'!$DH:$DH,'Area-Cabang'!$E82,'CWO Bulan Ini'!$CZ:$CZ,'Area-Cabang'!AK$41)</f>
        <v>0</v>
      </c>
      <c r="AL82" s="42">
        <f>SUMIFS('CWO Bulan Ini'!$DD:$DD,'CWO Bulan Ini'!$DJ:$DJ,'Area-Cabang'!$B82,'CWO Bulan Ini'!$DH:$DH,'Area-Cabang'!$E82,'CWO Bulan Ini'!$CZ:$CZ,'Area-Cabang'!AL$41)</f>
        <v>0</v>
      </c>
      <c r="AM82" s="42">
        <f>SUMIFS('CWO Bulan Ini'!$DD:$DD,'CWO Bulan Ini'!$DJ:$DJ,'Area-Cabang'!$B82,'CWO Bulan Ini'!$DH:$DH,'Area-Cabang'!$E82,'CWO Bulan Ini'!$CZ:$CZ,'Area-Cabang'!AM$41)</f>
        <v>0</v>
      </c>
      <c r="AN82" s="42">
        <f>SUMIFS('CWO Bulan Ini'!$DD:$DD,'CWO Bulan Ini'!$DJ:$DJ,'Area-Cabang'!$B82,'CWO Bulan Ini'!$DH:$DH,'Area-Cabang'!$E82,'CWO Bulan Ini'!$CZ:$CZ,'Area-Cabang'!AN$41)</f>
        <v>0</v>
      </c>
      <c r="AO82" s="42">
        <f>SUMIFS('CWO Bulan Ini'!$DD:$DD,'CWO Bulan Ini'!$DJ:$DJ,'Area-Cabang'!$B82,'CWO Bulan Ini'!$DH:$DH,'Area-Cabang'!$E82,'CWO Bulan Ini'!$CZ:$CZ,'Area-Cabang'!AO$41)</f>
        <v>0</v>
      </c>
      <c r="AP82" s="42">
        <f>SUMIFS('CWO Bulan Ini'!$DD:$DD,'CWO Bulan Ini'!$DJ:$DJ,'Area-Cabang'!$B82,'CWO Bulan Ini'!$DH:$DH,'Area-Cabang'!$E82,'CWO Bulan Ini'!$CZ:$CZ,'Area-Cabang'!AP$41)</f>
        <v>0</v>
      </c>
      <c r="AQ82" s="42">
        <f>SUMIFS('CWO Bulan Ini'!$DD:$DD,'CWO Bulan Ini'!$DJ:$DJ,'Area-Cabang'!$B82,'CWO Bulan Ini'!$DH:$DH,'Area-Cabang'!$E82,'CWO Bulan Ini'!$CZ:$CZ,'Area-Cabang'!AQ$41)</f>
        <v>0</v>
      </c>
      <c r="AR82" s="42">
        <f>SUMIFS('CWO Bulan Ini'!$DD:$DD,'CWO Bulan Ini'!$DJ:$DJ,'Area-Cabang'!$B82,'CWO Bulan Ini'!$DH:$DH,'Area-Cabang'!$E82,'CWO Bulan Ini'!$CZ:$CZ,'Area-Cabang'!AR$41)</f>
        <v>0</v>
      </c>
      <c r="AS82" s="42">
        <f>SUMIFS('CWO Bulan Ini'!$DD:$DD,'CWO Bulan Ini'!$DJ:$DJ,'Area-Cabang'!$B82,'CWO Bulan Ini'!$DH:$DH,'Area-Cabang'!$E82,'CWO Bulan Ini'!$CZ:$CZ,'Area-Cabang'!AS$41)</f>
        <v>0</v>
      </c>
      <c r="AT82" s="42">
        <f>SUMIFS('CWO Bulan Ini'!$DD:$DD,'CWO Bulan Ini'!$DJ:$DJ,'Area-Cabang'!$B82,'CWO Bulan Ini'!$DH:$DH,'Area-Cabang'!$E82,'CWO Bulan Ini'!$CZ:$CZ,'Area-Cabang'!AT$41)</f>
        <v>0</v>
      </c>
      <c r="AU82" s="42">
        <f>SUMIFS('CWO Bulan Ini'!$DD:$DD,'CWO Bulan Ini'!$DJ:$DJ,'Area-Cabang'!$B82,'CWO Bulan Ini'!$DH:$DH,'Area-Cabang'!$E82,'CWO Bulan Ini'!$CZ:$CZ,'Area-Cabang'!AU$41)</f>
        <v>0</v>
      </c>
      <c r="AV82" s="42">
        <f>SUMIFS('CWO Bulan Ini'!$DD:$DD,'CWO Bulan Ini'!$DJ:$DJ,'Area-Cabang'!$B82,'CWO Bulan Ini'!$DH:$DH,'Area-Cabang'!$E82,'CWO Bulan Ini'!$CZ:$CZ,'Area-Cabang'!AV$41)</f>
        <v>0</v>
      </c>
      <c r="AW82" s="42">
        <f>SUMIFS('CWO Bulan Ini'!$DD:$DD,'CWO Bulan Ini'!$DJ:$DJ,'Area-Cabang'!$B82,'CWO Bulan Ini'!$DH:$DH,'Area-Cabang'!$E82,'CWO Bulan Ini'!$CZ:$CZ,'Area-Cabang'!AW$41)</f>
        <v>0</v>
      </c>
      <c r="AX82" s="42">
        <f>SUMIFS('CWO Bulan Ini'!$DD:$DD,'CWO Bulan Ini'!$DJ:$DJ,'Area-Cabang'!$B82,'CWO Bulan Ini'!$DH:$DH,'Area-Cabang'!$E82,'CWO Bulan Ini'!$CZ:$CZ,'Area-Cabang'!AX$41)</f>
        <v>0</v>
      </c>
      <c r="AY82" s="42">
        <f>SUMIFS('CWO Bulan Ini'!$DD:$DD,'CWO Bulan Ini'!$DJ:$DJ,'Area-Cabang'!$B82,'CWO Bulan Ini'!$DH:$DH,'Area-Cabang'!$E82,'CWO Bulan Ini'!$CZ:$CZ,'Area-Cabang'!AY$41)</f>
        <v>0</v>
      </c>
      <c r="AZ82" s="42">
        <f>SUMIFS('CWO Bulan Ini'!$DD:$DD,'CWO Bulan Ini'!$DJ:$DJ,'Area-Cabang'!$B82,'CWO Bulan Ini'!$DH:$DH,'Area-Cabang'!$E82,'CWO Bulan Ini'!$CZ:$CZ,'Area-Cabang'!AZ$41)</f>
        <v>0</v>
      </c>
      <c r="BA82" s="42">
        <f>SUMIFS('CWO Bulan Ini'!$DD:$DD,'CWO Bulan Ini'!$DJ:$DJ,'Area-Cabang'!$B82,'CWO Bulan Ini'!$DH:$DH,'Area-Cabang'!$E82,'CWO Bulan Ini'!$CZ:$CZ,'Area-Cabang'!BA$41)</f>
        <v>0</v>
      </c>
      <c r="BB82" s="42">
        <f>SUMIFS('CWO Bulan Ini'!$DD:$DD,'CWO Bulan Ini'!$DJ:$DJ,'Area-Cabang'!$B82,'CWO Bulan Ini'!$DH:$DH,'Area-Cabang'!$E82,'CWO Bulan Ini'!$CZ:$CZ,'Area-Cabang'!BB$41)</f>
        <v>0</v>
      </c>
      <c r="BC82" s="42">
        <f>SUMIFS('CWO Bulan Ini'!$DD:$DD,'CWO Bulan Ini'!$DJ:$DJ,'Area-Cabang'!$B82,'CWO Bulan Ini'!$DH:$DH,'Area-Cabang'!$E82,'CWO Bulan Ini'!$CZ:$CZ,'Area-Cabang'!BC$41)</f>
        <v>0</v>
      </c>
      <c r="BD82" s="42">
        <f>SUMIFS('CWO Bulan Ini'!$DD:$DD,'CWO Bulan Ini'!$DJ:$DJ,'Area-Cabang'!$B82,'CWO Bulan Ini'!$DH:$DH,'Area-Cabang'!$E82,'CWO Bulan Ini'!$CZ:$CZ,'Area-Cabang'!BD$41)</f>
        <v>0</v>
      </c>
      <c r="BE82" s="42">
        <f>SUMIFS('CWO Bulan Ini'!$DD:$DD,'CWO Bulan Ini'!$DJ:$DJ,'Area-Cabang'!$B82,'CWO Bulan Ini'!$DH:$DH,'Area-Cabang'!$E82,'CWO Bulan Ini'!$CZ:$CZ,'Area-Cabang'!BE$41)</f>
        <v>0</v>
      </c>
      <c r="BF82" s="42">
        <f>SUMIFS('CWO Bulan Ini'!$DD:$DD,'CWO Bulan Ini'!$DJ:$DJ,'Area-Cabang'!$B82,'CWO Bulan Ini'!$DH:$DH,'Area-Cabang'!$E82,'CWO Bulan Ini'!$CZ:$CZ,'Area-Cabang'!BF$41)</f>
        <v>0</v>
      </c>
      <c r="BG82" s="42">
        <f>SUMIFS('CWO Bulan Ini'!$DD:$DD,'CWO Bulan Ini'!$DJ:$DJ,'Area-Cabang'!$B82,'CWO Bulan Ini'!$DH:$DH,'Area-Cabang'!$E82,'CWO Bulan Ini'!$CZ:$CZ,'Area-Cabang'!BG$41)</f>
        <v>0</v>
      </c>
      <c r="BH82" s="42">
        <f>SUMIFS('CWO Bulan Ini'!$DD:$DD,'CWO Bulan Ini'!$DJ:$DJ,'Area-Cabang'!$B82,'CWO Bulan Ini'!$DH:$DH,'Area-Cabang'!$E82,'CWO Bulan Ini'!$CZ:$CZ,'Area-Cabang'!BH$41)</f>
        <v>0</v>
      </c>
      <c r="BI82" s="42">
        <f>SUMIFS('CWO Bulan Ini'!$DD:$DD,'CWO Bulan Ini'!$DJ:$DJ,'Area-Cabang'!$B82,'CWO Bulan Ini'!$DH:$DH,'Area-Cabang'!$E82,'CWO Bulan Ini'!$CZ:$CZ,'Area-Cabang'!BI$41)</f>
        <v>0</v>
      </c>
      <c r="BJ82" s="42">
        <f>SUMIFS('CWO Bulan Ini'!$DD:$DD,'CWO Bulan Ini'!$DJ:$DJ,'Area-Cabang'!$B82,'CWO Bulan Ini'!$DH:$DH,'Area-Cabang'!$E82,'CWO Bulan Ini'!$CZ:$CZ,'Area-Cabang'!BJ$41)</f>
        <v>0</v>
      </c>
      <c r="BK82" s="42">
        <f>SUMIFS('CWO Bulan Ini'!$DD:$DD,'CWO Bulan Ini'!$DJ:$DJ,'Area-Cabang'!$B82,'CWO Bulan Ini'!$DH:$DH,'Area-Cabang'!$E82,'CWO Bulan Ini'!$CZ:$CZ,'Area-Cabang'!BK$41)</f>
        <v>0</v>
      </c>
      <c r="BL82" s="42">
        <f>SUMIFS('CWO Bulan Ini'!$DD:$DD,'CWO Bulan Ini'!$DJ:$DJ,'Area-Cabang'!$B82,'CWO Bulan Ini'!$DH:$DH,'Area-Cabang'!$E82,'CWO Bulan Ini'!$CZ:$CZ,'Area-Cabang'!BL$41)</f>
        <v>0</v>
      </c>
      <c r="BM82" s="42">
        <f>SUMIFS('CWO Bulan Ini'!$DD:$DD,'CWO Bulan Ini'!$DJ:$DJ,'Area-Cabang'!$B82,'CWO Bulan Ini'!$DH:$DH,'Area-Cabang'!$E82,'CWO Bulan Ini'!$CZ:$CZ,'Area-Cabang'!BM$41)</f>
        <v>0</v>
      </c>
      <c r="BN82" s="42">
        <f>SUMIFS('CWO Bulan Ini'!$DD:$DD,'CWO Bulan Ini'!$DJ:$DJ,'Area-Cabang'!$B82,'CWO Bulan Ini'!$DH:$DH,'Area-Cabang'!$E82,'CWO Bulan Ini'!$CZ:$CZ,'Area-Cabang'!BN$41)</f>
        <v>0</v>
      </c>
      <c r="BO82" s="43">
        <f>SUMIFS('CWO Bulan Ini'!$DD:$DD,'CWO Bulan Ini'!$DJ:$DJ,'Area-Cabang'!$B82,'CWO Bulan Ini'!$DH:$DH,'Area-Cabang'!$E82,'CWO Bulan Ini'!$CZ:$CZ,'Area-Cabang'!BO$41)</f>
        <v>0</v>
      </c>
      <c r="BP82" s="41">
        <f>SUMIFS('CWO Bulan Ini'!$DC:$DC,'CWO Bulan Ini'!$DJ:$DJ,'Area-Cabang'!$B82,'CWO Bulan Ini'!$DH:$DH,'Area-Cabang'!$E82,'CWO Bulan Ini'!$CZ:$CZ,'Area-Cabang'!BP$41)</f>
        <v>0</v>
      </c>
      <c r="BQ82" s="42">
        <f>SUMIFS('CWO Bulan Ini'!$DC:$DC,'CWO Bulan Ini'!$DJ:$DJ,'Area-Cabang'!$B82,'CWO Bulan Ini'!$DH:$DH,'Area-Cabang'!$E82,'CWO Bulan Ini'!$CZ:$CZ,'Area-Cabang'!BQ$41)</f>
        <v>0</v>
      </c>
      <c r="BR82" s="42">
        <f>SUMIFS('CWO Bulan Ini'!$DC:$DC,'CWO Bulan Ini'!$DJ:$DJ,'Area-Cabang'!$B82,'CWO Bulan Ini'!$DH:$DH,'Area-Cabang'!$E82,'CWO Bulan Ini'!$CZ:$CZ,'Area-Cabang'!BR$41)</f>
        <v>0</v>
      </c>
      <c r="BS82" s="42">
        <f>SUMIFS('CWO Bulan Ini'!$DC:$DC,'CWO Bulan Ini'!$DJ:$DJ,'Area-Cabang'!$B82,'CWO Bulan Ini'!$DH:$DH,'Area-Cabang'!$E82,'CWO Bulan Ini'!$CZ:$CZ,'Area-Cabang'!BS$41)</f>
        <v>0</v>
      </c>
      <c r="BT82" s="42">
        <f>SUMIFS('CWO Bulan Ini'!$DC:$DC,'CWO Bulan Ini'!$DJ:$DJ,'Area-Cabang'!$B82,'CWO Bulan Ini'!$DH:$DH,'Area-Cabang'!$E82,'CWO Bulan Ini'!$CZ:$CZ,'Area-Cabang'!BT$41)</f>
        <v>0</v>
      </c>
      <c r="BU82" s="42">
        <f>SUMIFS('CWO Bulan Ini'!$DC:$DC,'CWO Bulan Ini'!$DJ:$DJ,'Area-Cabang'!$B82,'CWO Bulan Ini'!$DH:$DH,'Area-Cabang'!$E82,'CWO Bulan Ini'!$CZ:$CZ,'Area-Cabang'!BU$41)</f>
        <v>0</v>
      </c>
      <c r="BV82" s="42">
        <f>SUMIFS('CWO Bulan Ini'!$DC:$DC,'CWO Bulan Ini'!$DJ:$DJ,'Area-Cabang'!$B82,'CWO Bulan Ini'!$DH:$DH,'Area-Cabang'!$E82,'CWO Bulan Ini'!$CZ:$CZ,'Area-Cabang'!BV$41)</f>
        <v>0</v>
      </c>
      <c r="BW82" s="42">
        <f>SUMIFS('CWO Bulan Ini'!$DC:$DC,'CWO Bulan Ini'!$DJ:$DJ,'Area-Cabang'!$B82,'CWO Bulan Ini'!$DH:$DH,'Area-Cabang'!$E82,'CWO Bulan Ini'!$CZ:$CZ,'Area-Cabang'!BW$41)</f>
        <v>0</v>
      </c>
      <c r="BX82" s="42">
        <f>SUMIFS('CWO Bulan Ini'!$DC:$DC,'CWO Bulan Ini'!$DJ:$DJ,'Area-Cabang'!$B82,'CWO Bulan Ini'!$DH:$DH,'Area-Cabang'!$E82,'CWO Bulan Ini'!$CZ:$CZ,'Area-Cabang'!BX$41)</f>
        <v>0</v>
      </c>
      <c r="BY82" s="42">
        <f>SUMIFS('CWO Bulan Ini'!$DC:$DC,'CWO Bulan Ini'!$DJ:$DJ,'Area-Cabang'!$B82,'CWO Bulan Ini'!$DH:$DH,'Area-Cabang'!$E82,'CWO Bulan Ini'!$CZ:$CZ,'Area-Cabang'!BY$41)</f>
        <v>0</v>
      </c>
      <c r="BZ82" s="42">
        <f>SUMIFS('CWO Bulan Ini'!$DC:$DC,'CWO Bulan Ini'!$DJ:$DJ,'Area-Cabang'!$B82,'CWO Bulan Ini'!$DH:$DH,'Area-Cabang'!$E82,'CWO Bulan Ini'!$CZ:$CZ,'Area-Cabang'!BZ$41)</f>
        <v>0</v>
      </c>
      <c r="CA82" s="42">
        <f>SUMIFS('CWO Bulan Ini'!$DC:$DC,'CWO Bulan Ini'!$DJ:$DJ,'Area-Cabang'!$B82,'CWO Bulan Ini'!$DH:$DH,'Area-Cabang'!$E82,'CWO Bulan Ini'!$CZ:$CZ,'Area-Cabang'!CA$41)</f>
        <v>0</v>
      </c>
      <c r="CB82" s="42">
        <f>SUMIFS('CWO Bulan Ini'!$DC:$DC,'CWO Bulan Ini'!$DJ:$DJ,'Area-Cabang'!$B82,'CWO Bulan Ini'!$DH:$DH,'Area-Cabang'!$E82,'CWO Bulan Ini'!$CZ:$CZ,'Area-Cabang'!CB$41)</f>
        <v>0</v>
      </c>
      <c r="CC82" s="42">
        <f>SUMIFS('CWO Bulan Ini'!$DC:$DC,'CWO Bulan Ini'!$DJ:$DJ,'Area-Cabang'!$B82,'CWO Bulan Ini'!$DH:$DH,'Area-Cabang'!$E82,'CWO Bulan Ini'!$CZ:$CZ,'Area-Cabang'!CC$41)</f>
        <v>0</v>
      </c>
      <c r="CD82" s="42">
        <f>SUMIFS('CWO Bulan Ini'!$DC:$DC,'CWO Bulan Ini'!$DJ:$DJ,'Area-Cabang'!$B82,'CWO Bulan Ini'!$DH:$DH,'Area-Cabang'!$E82,'CWO Bulan Ini'!$CZ:$CZ,'Area-Cabang'!CD$41)</f>
        <v>0</v>
      </c>
      <c r="CE82" s="42">
        <f>SUMIFS('CWO Bulan Ini'!$DC:$DC,'CWO Bulan Ini'!$DJ:$DJ,'Area-Cabang'!$B82,'CWO Bulan Ini'!$DH:$DH,'Area-Cabang'!$E82,'CWO Bulan Ini'!$CZ:$CZ,'Area-Cabang'!CE$41)</f>
        <v>0</v>
      </c>
      <c r="CF82" s="42">
        <f>SUMIFS('CWO Bulan Ini'!$DC:$DC,'CWO Bulan Ini'!$DJ:$DJ,'Area-Cabang'!$B82,'CWO Bulan Ini'!$DH:$DH,'Area-Cabang'!$E82,'CWO Bulan Ini'!$CZ:$CZ,'Area-Cabang'!CF$41)</f>
        <v>0</v>
      </c>
      <c r="CG82" s="42">
        <f>SUMIFS('CWO Bulan Ini'!$DC:$DC,'CWO Bulan Ini'!$DJ:$DJ,'Area-Cabang'!$B82,'CWO Bulan Ini'!$DH:$DH,'Area-Cabang'!$E82,'CWO Bulan Ini'!$CZ:$CZ,'Area-Cabang'!CG$41)</f>
        <v>0</v>
      </c>
      <c r="CH82" s="42">
        <f>SUMIFS('CWO Bulan Ini'!$DC:$DC,'CWO Bulan Ini'!$DJ:$DJ,'Area-Cabang'!$B82,'CWO Bulan Ini'!$DH:$DH,'Area-Cabang'!$E82,'CWO Bulan Ini'!$CZ:$CZ,'Area-Cabang'!CH$41)</f>
        <v>0</v>
      </c>
      <c r="CI82" s="42">
        <f>SUMIFS('CWO Bulan Ini'!$DC:$DC,'CWO Bulan Ini'!$DJ:$DJ,'Area-Cabang'!$B82,'CWO Bulan Ini'!$DH:$DH,'Area-Cabang'!$E82,'CWO Bulan Ini'!$CZ:$CZ,'Area-Cabang'!CI$41)</f>
        <v>0</v>
      </c>
      <c r="CJ82" s="42">
        <f>SUMIFS('CWO Bulan Ini'!$DC:$DC,'CWO Bulan Ini'!$DJ:$DJ,'Area-Cabang'!$B82,'CWO Bulan Ini'!$DH:$DH,'Area-Cabang'!$E82,'CWO Bulan Ini'!$CZ:$CZ,'Area-Cabang'!CJ$41)</f>
        <v>0</v>
      </c>
      <c r="CK82" s="42">
        <f>SUMIFS('CWO Bulan Ini'!$DC:$DC,'CWO Bulan Ini'!$DJ:$DJ,'Area-Cabang'!$B82,'CWO Bulan Ini'!$DH:$DH,'Area-Cabang'!$E82,'CWO Bulan Ini'!$CZ:$CZ,'Area-Cabang'!CK$41)</f>
        <v>0</v>
      </c>
      <c r="CL82" s="42">
        <f>SUMIFS('CWO Bulan Ini'!$DC:$DC,'CWO Bulan Ini'!$DJ:$DJ,'Area-Cabang'!$B82,'CWO Bulan Ini'!$DH:$DH,'Area-Cabang'!$E82,'CWO Bulan Ini'!$CZ:$CZ,'Area-Cabang'!CL$41)</f>
        <v>0</v>
      </c>
      <c r="CM82" s="42">
        <f>SUMIFS('CWO Bulan Ini'!$DC:$DC,'CWO Bulan Ini'!$DJ:$DJ,'Area-Cabang'!$B82,'CWO Bulan Ini'!$DH:$DH,'Area-Cabang'!$E82,'CWO Bulan Ini'!$CZ:$CZ,'Area-Cabang'!CM$41)</f>
        <v>0</v>
      </c>
      <c r="CN82" s="42">
        <f>SUMIFS('CWO Bulan Ini'!$DC:$DC,'CWO Bulan Ini'!$DJ:$DJ,'Area-Cabang'!$B82,'CWO Bulan Ini'!$DH:$DH,'Area-Cabang'!$E82,'CWO Bulan Ini'!$CZ:$CZ,'Area-Cabang'!CN$41)</f>
        <v>0</v>
      </c>
      <c r="CO82" s="42">
        <f>SUMIFS('CWO Bulan Ini'!$DC:$DC,'CWO Bulan Ini'!$DJ:$DJ,'Area-Cabang'!$B82,'CWO Bulan Ini'!$DH:$DH,'Area-Cabang'!$E82,'CWO Bulan Ini'!$CZ:$CZ,'Area-Cabang'!CO$41)</f>
        <v>0</v>
      </c>
      <c r="CP82" s="42">
        <f>SUMIFS('CWO Bulan Ini'!$DC:$DC,'CWO Bulan Ini'!$DJ:$DJ,'Area-Cabang'!$B82,'CWO Bulan Ini'!$DH:$DH,'Area-Cabang'!$E82,'CWO Bulan Ini'!$CZ:$CZ,'Area-Cabang'!CP$41)</f>
        <v>0</v>
      </c>
      <c r="CQ82" s="42">
        <f>SUMIFS('CWO Bulan Ini'!$DC:$DC,'CWO Bulan Ini'!$DJ:$DJ,'Area-Cabang'!$B82,'CWO Bulan Ini'!$DH:$DH,'Area-Cabang'!$E82,'CWO Bulan Ini'!$CZ:$CZ,'Area-Cabang'!CQ$41)</f>
        <v>0</v>
      </c>
      <c r="CR82" s="42">
        <f>SUMIFS('CWO Bulan Ini'!$DC:$DC,'CWO Bulan Ini'!$DJ:$DJ,'Area-Cabang'!$B82,'CWO Bulan Ini'!$DH:$DH,'Area-Cabang'!$E82,'CWO Bulan Ini'!$CZ:$CZ,'Area-Cabang'!CR$41)</f>
        <v>0</v>
      </c>
      <c r="CS82" s="42">
        <f>SUMIFS('CWO Bulan Ini'!$DC:$DC,'CWO Bulan Ini'!$DJ:$DJ,'Area-Cabang'!$B82,'CWO Bulan Ini'!$DH:$DH,'Area-Cabang'!$E82,'CWO Bulan Ini'!$CZ:$CZ,'Area-Cabang'!CS$41)</f>
        <v>0</v>
      </c>
      <c r="CT82" s="43">
        <f>SUMIFS('CWO Bulan Ini'!$DC:$DC,'CWO Bulan Ini'!$DJ:$DJ,'Area-Cabang'!$B82,'CWO Bulan Ini'!$DH:$DH,'Area-Cabang'!$E82,'CWO Bulan Ini'!$CZ:$CZ,'Area-Cabang'!CT$41)</f>
        <v>0</v>
      </c>
      <c r="CV82" s="96">
        <f t="shared" si="2320"/>
        <v>0</v>
      </c>
      <c r="CW82" s="93">
        <f t="shared" si="2321"/>
        <v>0</v>
      </c>
      <c r="CX82" s="93">
        <f t="shared" si="2322"/>
        <v>0</v>
      </c>
      <c r="CY82" s="93">
        <f t="shared" si="2323"/>
        <v>0</v>
      </c>
      <c r="CZ82" s="106">
        <f t="shared" si="2324"/>
        <v>0</v>
      </c>
    </row>
    <row r="83" spans="1:104" ht="15" customHeight="1" x14ac:dyDescent="0.25">
      <c r="A83" s="58" t="s">
        <v>487</v>
      </c>
      <c r="B83" s="53" t="s">
        <v>820</v>
      </c>
      <c r="C83" s="250"/>
      <c r="D83" s="227" t="s">
        <v>820</v>
      </c>
      <c r="E83" s="228"/>
      <c r="F83" s="219">
        <f t="shared" ref="F83" si="2325">SUM(F81:F82)</f>
        <v>0</v>
      </c>
      <c r="G83" s="220">
        <f t="shared" ref="G83" si="2326">SUM(G81:G82)</f>
        <v>0</v>
      </c>
      <c r="H83" s="220">
        <f t="shared" ref="H83" si="2327">SUM(H81:H82)</f>
        <v>0</v>
      </c>
      <c r="I83" s="220">
        <f t="shared" ref="I83" si="2328">SUM(I81:I82)</f>
        <v>0</v>
      </c>
      <c r="J83" s="220">
        <f t="shared" ref="J83" si="2329">SUM(J81:J82)</f>
        <v>0</v>
      </c>
      <c r="K83" s="220">
        <f t="shared" ref="K83" si="2330">SUM(K81:K82)</f>
        <v>0</v>
      </c>
      <c r="L83" s="220">
        <f t="shared" ref="L83" si="2331">SUM(L81:L82)</f>
        <v>0</v>
      </c>
      <c r="M83" s="220">
        <f t="shared" ref="M83" si="2332">SUM(M81:M82)</f>
        <v>0</v>
      </c>
      <c r="N83" s="220">
        <f t="shared" ref="N83" si="2333">SUM(N81:N82)</f>
        <v>0</v>
      </c>
      <c r="O83" s="220">
        <f t="shared" ref="O83" si="2334">SUM(O81:O82)</f>
        <v>0</v>
      </c>
      <c r="P83" s="220">
        <f t="shared" ref="P83" si="2335">SUM(P81:P82)</f>
        <v>0</v>
      </c>
      <c r="Q83" s="220">
        <f t="shared" ref="Q83" si="2336">SUM(Q81:Q82)</f>
        <v>0</v>
      </c>
      <c r="R83" s="220">
        <f t="shared" ref="R83" si="2337">SUM(R81:R82)</f>
        <v>134.80538847999998</v>
      </c>
      <c r="S83" s="220">
        <f t="shared" ref="S83" si="2338">SUM(S81:S82)</f>
        <v>0</v>
      </c>
      <c r="T83" s="220">
        <f t="shared" ref="T83" si="2339">SUM(T81:T82)</f>
        <v>0</v>
      </c>
      <c r="U83" s="220">
        <f t="shared" ref="U83" si="2340">SUM(U81:U82)</f>
        <v>0</v>
      </c>
      <c r="V83" s="220">
        <f t="shared" ref="V83" si="2341">SUM(V81:V82)</f>
        <v>0</v>
      </c>
      <c r="W83" s="220">
        <f t="shared" ref="W83" si="2342">SUM(W81:W82)</f>
        <v>0</v>
      </c>
      <c r="X83" s="220">
        <f t="shared" ref="X83" si="2343">SUM(X81:X82)</f>
        <v>0</v>
      </c>
      <c r="Y83" s="220">
        <f t="shared" ref="Y83" si="2344">SUM(Y81:Y82)</f>
        <v>0</v>
      </c>
      <c r="Z83" s="220">
        <f t="shared" ref="Z83" si="2345">SUM(Z81:Z82)</f>
        <v>0</v>
      </c>
      <c r="AA83" s="220">
        <f t="shared" ref="AA83" si="2346">SUM(AA81:AA82)</f>
        <v>0</v>
      </c>
      <c r="AB83" s="220">
        <f t="shared" ref="AB83" si="2347">SUM(AB81:AB82)</f>
        <v>0</v>
      </c>
      <c r="AC83" s="220">
        <f t="shared" ref="AC83" si="2348">SUM(AC81:AC82)</f>
        <v>0</v>
      </c>
      <c r="AD83" s="220">
        <f t="shared" ref="AD83" si="2349">SUM(AD81:AD82)</f>
        <v>0</v>
      </c>
      <c r="AE83" s="220">
        <f t="shared" ref="AE83" si="2350">SUM(AE81:AE82)</f>
        <v>0</v>
      </c>
      <c r="AF83" s="220">
        <f t="shared" ref="AF83" si="2351">SUM(AF81:AF82)</f>
        <v>0</v>
      </c>
      <c r="AG83" s="220">
        <f t="shared" ref="AG83" si="2352">SUM(AG81:AG82)</f>
        <v>0</v>
      </c>
      <c r="AH83" s="220">
        <f t="shared" ref="AH83" si="2353">SUM(AH81:AH82)</f>
        <v>0</v>
      </c>
      <c r="AI83" s="220">
        <f t="shared" ref="AI83" si="2354">SUM(AI81:AI82)</f>
        <v>0</v>
      </c>
      <c r="AJ83" s="220">
        <f t="shared" ref="AJ83" si="2355">SUM(AJ81:AJ82)</f>
        <v>0</v>
      </c>
      <c r="AK83" s="219">
        <f t="shared" ref="AK83" si="2356">SUM(AK81:AK82)</f>
        <v>0</v>
      </c>
      <c r="AL83" s="220">
        <f t="shared" ref="AL83" si="2357">SUM(AL81:AL82)</f>
        <v>0</v>
      </c>
      <c r="AM83" s="220">
        <f t="shared" ref="AM83" si="2358">SUM(AM81:AM82)</f>
        <v>0</v>
      </c>
      <c r="AN83" s="220">
        <f t="shared" ref="AN83" si="2359">SUM(AN81:AN82)</f>
        <v>0</v>
      </c>
      <c r="AO83" s="220">
        <f t="shared" ref="AO83" si="2360">SUM(AO81:AO82)</f>
        <v>0</v>
      </c>
      <c r="AP83" s="220">
        <f t="shared" ref="AP83" si="2361">SUM(AP81:AP82)</f>
        <v>0</v>
      </c>
      <c r="AQ83" s="220">
        <f t="shared" ref="AQ83" si="2362">SUM(AQ81:AQ82)</f>
        <v>0</v>
      </c>
      <c r="AR83" s="220">
        <f t="shared" ref="AR83" si="2363">SUM(AR81:AR82)</f>
        <v>0</v>
      </c>
      <c r="AS83" s="220">
        <f t="shared" ref="AS83" si="2364">SUM(AS81:AS82)</f>
        <v>0</v>
      </c>
      <c r="AT83" s="220">
        <f t="shared" ref="AT83" si="2365">SUM(AT81:AT82)</f>
        <v>0</v>
      </c>
      <c r="AU83" s="220">
        <f t="shared" ref="AU83" si="2366">SUM(AU81:AU82)</f>
        <v>0</v>
      </c>
      <c r="AV83" s="220">
        <f t="shared" ref="AV83" si="2367">SUM(AV81:AV82)</f>
        <v>0</v>
      </c>
      <c r="AW83" s="220">
        <f t="shared" ref="AW83" si="2368">SUM(AW81:AW82)</f>
        <v>0</v>
      </c>
      <c r="AX83" s="220">
        <f t="shared" ref="AX83" si="2369">SUM(AX81:AX82)</f>
        <v>0</v>
      </c>
      <c r="AY83" s="220">
        <f t="shared" ref="AY83" si="2370">SUM(AY81:AY82)</f>
        <v>0</v>
      </c>
      <c r="AZ83" s="220">
        <f t="shared" ref="AZ83" si="2371">SUM(AZ81:AZ82)</f>
        <v>0</v>
      </c>
      <c r="BA83" s="220">
        <f t="shared" ref="BA83" si="2372">SUM(BA81:BA82)</f>
        <v>0</v>
      </c>
      <c r="BB83" s="220">
        <f t="shared" ref="BB83" si="2373">SUM(BB81:BB82)</f>
        <v>0</v>
      </c>
      <c r="BC83" s="220">
        <f t="shared" ref="BC83" si="2374">SUM(BC81:BC82)</f>
        <v>0</v>
      </c>
      <c r="BD83" s="220">
        <f t="shared" ref="BD83" si="2375">SUM(BD81:BD82)</f>
        <v>0</v>
      </c>
      <c r="BE83" s="220">
        <f t="shared" ref="BE83" si="2376">SUM(BE81:BE82)</f>
        <v>0</v>
      </c>
      <c r="BF83" s="220">
        <f t="shared" ref="BF83" si="2377">SUM(BF81:BF82)</f>
        <v>0</v>
      </c>
      <c r="BG83" s="220">
        <f t="shared" ref="BG83" si="2378">SUM(BG81:BG82)</f>
        <v>0</v>
      </c>
      <c r="BH83" s="220">
        <f t="shared" ref="BH83" si="2379">SUM(BH81:BH82)</f>
        <v>0</v>
      </c>
      <c r="BI83" s="220">
        <f t="shared" ref="BI83" si="2380">SUM(BI81:BI82)</f>
        <v>0</v>
      </c>
      <c r="BJ83" s="220">
        <f t="shared" ref="BJ83" si="2381">SUM(BJ81:BJ82)</f>
        <v>0</v>
      </c>
      <c r="BK83" s="220">
        <f t="shared" ref="BK83" si="2382">SUM(BK81:BK82)</f>
        <v>0</v>
      </c>
      <c r="BL83" s="220">
        <f t="shared" ref="BL83" si="2383">SUM(BL81:BL82)</f>
        <v>0</v>
      </c>
      <c r="BM83" s="220">
        <f t="shared" ref="BM83" si="2384">SUM(BM81:BM82)</f>
        <v>0</v>
      </c>
      <c r="BN83" s="220">
        <f t="shared" ref="BN83" si="2385">SUM(BN81:BN82)</f>
        <v>0</v>
      </c>
      <c r="BO83" s="221">
        <f t="shared" ref="BO83" si="2386">SUM(BO81:BO82)</f>
        <v>0</v>
      </c>
      <c r="BP83" s="219">
        <f t="shared" ref="BP83" si="2387">SUM(BP81:BP82)</f>
        <v>0</v>
      </c>
      <c r="BQ83" s="220">
        <f t="shared" ref="BQ83" si="2388">SUM(BQ81:BQ82)</f>
        <v>0</v>
      </c>
      <c r="BR83" s="220">
        <f t="shared" ref="BR83" si="2389">SUM(BR81:BR82)</f>
        <v>0</v>
      </c>
      <c r="BS83" s="220">
        <f t="shared" ref="BS83" si="2390">SUM(BS81:BS82)</f>
        <v>0</v>
      </c>
      <c r="BT83" s="220">
        <f t="shared" ref="BT83" si="2391">SUM(BT81:BT82)</f>
        <v>0</v>
      </c>
      <c r="BU83" s="220">
        <f t="shared" ref="BU83" si="2392">SUM(BU81:BU82)</f>
        <v>0</v>
      </c>
      <c r="BV83" s="220">
        <f t="shared" ref="BV83" si="2393">SUM(BV81:BV82)</f>
        <v>0</v>
      </c>
      <c r="BW83" s="220">
        <f t="shared" ref="BW83" si="2394">SUM(BW81:BW82)</f>
        <v>0</v>
      </c>
      <c r="BX83" s="220">
        <f t="shared" ref="BX83" si="2395">SUM(BX81:BX82)</f>
        <v>0</v>
      </c>
      <c r="BY83" s="220">
        <f t="shared" ref="BY83" si="2396">SUM(BY81:BY82)</f>
        <v>0</v>
      </c>
      <c r="BZ83" s="220">
        <f t="shared" ref="BZ83" si="2397">SUM(BZ81:BZ82)</f>
        <v>0</v>
      </c>
      <c r="CA83" s="220">
        <f t="shared" ref="CA83" si="2398">SUM(CA81:CA82)</f>
        <v>0</v>
      </c>
      <c r="CB83" s="220">
        <f t="shared" ref="CB83" si="2399">SUM(CB81:CB82)</f>
        <v>0</v>
      </c>
      <c r="CC83" s="220">
        <f t="shared" ref="CC83" si="2400">SUM(CC81:CC82)</f>
        <v>0</v>
      </c>
      <c r="CD83" s="220">
        <f t="shared" ref="CD83" si="2401">SUM(CD81:CD82)</f>
        <v>0</v>
      </c>
      <c r="CE83" s="220">
        <f t="shared" ref="CE83" si="2402">SUM(CE81:CE82)</f>
        <v>0</v>
      </c>
      <c r="CF83" s="220">
        <f t="shared" ref="CF83" si="2403">SUM(CF81:CF82)</f>
        <v>0</v>
      </c>
      <c r="CG83" s="220">
        <f t="shared" ref="CG83" si="2404">SUM(CG81:CG82)</f>
        <v>0</v>
      </c>
      <c r="CH83" s="220">
        <f t="shared" ref="CH83" si="2405">SUM(CH81:CH82)</f>
        <v>0</v>
      </c>
      <c r="CI83" s="220">
        <f t="shared" ref="CI83" si="2406">SUM(CI81:CI82)</f>
        <v>0</v>
      </c>
      <c r="CJ83" s="220">
        <f t="shared" ref="CJ83" si="2407">SUM(CJ81:CJ82)</f>
        <v>0</v>
      </c>
      <c r="CK83" s="220">
        <f t="shared" ref="CK83" si="2408">SUM(CK81:CK82)</f>
        <v>0</v>
      </c>
      <c r="CL83" s="220">
        <f t="shared" ref="CL83" si="2409">SUM(CL81:CL82)</f>
        <v>0</v>
      </c>
      <c r="CM83" s="220">
        <f t="shared" ref="CM83" si="2410">SUM(CM81:CM82)</f>
        <v>0</v>
      </c>
      <c r="CN83" s="220">
        <f t="shared" ref="CN83" si="2411">SUM(CN81:CN82)</f>
        <v>0</v>
      </c>
      <c r="CO83" s="220">
        <f t="shared" ref="CO83" si="2412">SUM(CO81:CO82)</f>
        <v>0</v>
      </c>
      <c r="CP83" s="220">
        <f t="shared" ref="CP83" si="2413">SUM(CP81:CP82)</f>
        <v>0</v>
      </c>
      <c r="CQ83" s="220">
        <f t="shared" ref="CQ83" si="2414">SUM(CQ81:CQ82)</f>
        <v>0</v>
      </c>
      <c r="CR83" s="220">
        <f t="shared" ref="CR83" si="2415">SUM(CR81:CR82)</f>
        <v>0</v>
      </c>
      <c r="CS83" s="220">
        <f t="shared" ref="CS83" si="2416">SUM(CS81:CS82)</f>
        <v>0</v>
      </c>
      <c r="CT83" s="221">
        <f t="shared" ref="CT83" si="2417">SUM(CT81:CT82)</f>
        <v>0</v>
      </c>
      <c r="CU83" s="226"/>
      <c r="CV83" s="219">
        <f t="shared" ref="CV83" si="2418">SUM(CV81:CV82)</f>
        <v>134.80538847999998</v>
      </c>
      <c r="CW83" s="220">
        <f t="shared" ref="CW83" si="2419">SUM(CW81:CW82)</f>
        <v>0</v>
      </c>
      <c r="CX83" s="220">
        <f t="shared" ref="CX83" si="2420">SUM(CX81:CX82)</f>
        <v>0</v>
      </c>
      <c r="CY83" s="220">
        <f t="shared" ref="CY83" si="2421">SUM(CY81:CY82)</f>
        <v>134.80538847999998</v>
      </c>
      <c r="CZ83" s="222">
        <f t="shared" ref="CZ83" si="2422">SUM(CZ81:CZ82)</f>
        <v>134.80538847999998</v>
      </c>
    </row>
    <row r="84" spans="1:104" ht="15" customHeight="1" x14ac:dyDescent="0.25">
      <c r="A84" s="58" t="s">
        <v>487</v>
      </c>
      <c r="B84" s="53" t="s">
        <v>321</v>
      </c>
      <c r="C84" s="250"/>
      <c r="D84" s="245" t="s">
        <v>321</v>
      </c>
      <c r="E84" s="85" t="s">
        <v>132</v>
      </c>
      <c r="F84" s="55">
        <f>SUMIFS('CWO Bulan Ini'!$DA:$DA,'CWO Bulan Ini'!$DJ:$DJ,'Area-Cabang'!$B84,'CWO Bulan Ini'!$DH:$DH,'Area-Cabang'!$E84,'CWO Bulan Ini'!$CZ:$CZ,'Area-Cabang'!F$41)</f>
        <v>0</v>
      </c>
      <c r="G84" s="56">
        <f>SUMIFS('CWO Bulan Ini'!$DA:$DA,'CWO Bulan Ini'!$DJ:$DJ,'Area-Cabang'!$B84,'CWO Bulan Ini'!$DH:$DH,'Area-Cabang'!$E84,'CWO Bulan Ini'!$CZ:$CZ,'Area-Cabang'!G$41)</f>
        <v>0</v>
      </c>
      <c r="H84" s="56">
        <f>SUMIFS('CWO Bulan Ini'!$DA:$DA,'CWO Bulan Ini'!$DJ:$DJ,'Area-Cabang'!$B84,'CWO Bulan Ini'!$DH:$DH,'Area-Cabang'!$E84,'CWO Bulan Ini'!$CZ:$CZ,'Area-Cabang'!H$41)</f>
        <v>0</v>
      </c>
      <c r="I84" s="56">
        <f>SUMIFS('CWO Bulan Ini'!$DA:$DA,'CWO Bulan Ini'!$DJ:$DJ,'Area-Cabang'!$B84,'CWO Bulan Ini'!$DH:$DH,'Area-Cabang'!$E84,'CWO Bulan Ini'!$CZ:$CZ,'Area-Cabang'!I$41)</f>
        <v>160.02240781</v>
      </c>
      <c r="J84" s="56">
        <f>SUMIFS('CWO Bulan Ini'!$DA:$DA,'CWO Bulan Ini'!$DJ:$DJ,'Area-Cabang'!$B84,'CWO Bulan Ini'!$DH:$DH,'Area-Cabang'!$E84,'CWO Bulan Ini'!$CZ:$CZ,'Area-Cabang'!J$41)</f>
        <v>0</v>
      </c>
      <c r="K84" s="56">
        <f>SUMIFS('CWO Bulan Ini'!$DA:$DA,'CWO Bulan Ini'!$DJ:$DJ,'Area-Cabang'!$B84,'CWO Bulan Ini'!$DH:$DH,'Area-Cabang'!$E84,'CWO Bulan Ini'!$CZ:$CZ,'Area-Cabang'!K$41)</f>
        <v>0</v>
      </c>
      <c r="L84" s="56">
        <f>SUMIFS('CWO Bulan Ini'!$DA:$DA,'CWO Bulan Ini'!$DJ:$DJ,'Area-Cabang'!$B84,'CWO Bulan Ini'!$DH:$DH,'Area-Cabang'!$E84,'CWO Bulan Ini'!$CZ:$CZ,'Area-Cabang'!L$41)</f>
        <v>0</v>
      </c>
      <c r="M84" s="56">
        <f>SUMIFS('CWO Bulan Ini'!$DA:$DA,'CWO Bulan Ini'!$DJ:$DJ,'Area-Cabang'!$B84,'CWO Bulan Ini'!$DH:$DH,'Area-Cabang'!$E84,'CWO Bulan Ini'!$CZ:$CZ,'Area-Cabang'!M$41)</f>
        <v>0</v>
      </c>
      <c r="N84" s="56">
        <f>SUMIFS('CWO Bulan Ini'!$DA:$DA,'CWO Bulan Ini'!$DJ:$DJ,'Area-Cabang'!$B84,'CWO Bulan Ini'!$DH:$DH,'Area-Cabang'!$E84,'CWO Bulan Ini'!$CZ:$CZ,'Area-Cabang'!N$41)</f>
        <v>0</v>
      </c>
      <c r="O84" s="56">
        <f>SUMIFS('CWO Bulan Ini'!$DA:$DA,'CWO Bulan Ini'!$DJ:$DJ,'Area-Cabang'!$B84,'CWO Bulan Ini'!$DH:$DH,'Area-Cabang'!$E84,'CWO Bulan Ini'!$CZ:$CZ,'Area-Cabang'!O$41)</f>
        <v>0</v>
      </c>
      <c r="P84" s="56">
        <f>SUMIFS('CWO Bulan Ini'!$DA:$DA,'CWO Bulan Ini'!$DJ:$DJ,'Area-Cabang'!$B84,'CWO Bulan Ini'!$DH:$DH,'Area-Cabang'!$E84,'CWO Bulan Ini'!$CZ:$CZ,'Area-Cabang'!P$41)</f>
        <v>0</v>
      </c>
      <c r="Q84" s="56">
        <f>SUMIFS('CWO Bulan Ini'!$DA:$DA,'CWO Bulan Ini'!$DJ:$DJ,'Area-Cabang'!$B84,'CWO Bulan Ini'!$DH:$DH,'Area-Cabang'!$E84,'CWO Bulan Ini'!$CZ:$CZ,'Area-Cabang'!Q$41)</f>
        <v>0</v>
      </c>
      <c r="R84" s="56">
        <f>SUMIFS('CWO Bulan Ini'!$DA:$DA,'CWO Bulan Ini'!$DJ:$DJ,'Area-Cabang'!$B84,'CWO Bulan Ini'!$DH:$DH,'Area-Cabang'!$E84,'CWO Bulan Ini'!$CZ:$CZ,'Area-Cabang'!R$41)</f>
        <v>0</v>
      </c>
      <c r="S84" s="56">
        <f>SUMIFS('CWO Bulan Ini'!$DA:$DA,'CWO Bulan Ini'!$DJ:$DJ,'Area-Cabang'!$B84,'CWO Bulan Ini'!$DH:$DH,'Area-Cabang'!$E84,'CWO Bulan Ini'!$CZ:$CZ,'Area-Cabang'!S$41)</f>
        <v>0</v>
      </c>
      <c r="T84" s="56">
        <f>SUMIFS('CWO Bulan Ini'!$DA:$DA,'CWO Bulan Ini'!$DJ:$DJ,'Area-Cabang'!$B84,'CWO Bulan Ini'!$DH:$DH,'Area-Cabang'!$E84,'CWO Bulan Ini'!$CZ:$CZ,'Area-Cabang'!T$41)</f>
        <v>0</v>
      </c>
      <c r="U84" s="56">
        <f>SUMIFS('CWO Bulan Ini'!$DA:$DA,'CWO Bulan Ini'!$DJ:$DJ,'Area-Cabang'!$B84,'CWO Bulan Ini'!$DH:$DH,'Area-Cabang'!$E84,'CWO Bulan Ini'!$CZ:$CZ,'Area-Cabang'!U$41)</f>
        <v>0</v>
      </c>
      <c r="V84" s="56">
        <f>SUMIFS('CWO Bulan Ini'!$DA:$DA,'CWO Bulan Ini'!$DJ:$DJ,'Area-Cabang'!$B84,'CWO Bulan Ini'!$DH:$DH,'Area-Cabang'!$E84,'CWO Bulan Ini'!$CZ:$CZ,'Area-Cabang'!V$41)</f>
        <v>0</v>
      </c>
      <c r="W84" s="56">
        <f>SUMIFS('CWO Bulan Ini'!$DA:$DA,'CWO Bulan Ini'!$DJ:$DJ,'Area-Cabang'!$B84,'CWO Bulan Ini'!$DH:$DH,'Area-Cabang'!$E84,'CWO Bulan Ini'!$CZ:$CZ,'Area-Cabang'!W$41)</f>
        <v>0</v>
      </c>
      <c r="X84" s="56">
        <f>SUMIFS('CWO Bulan Ini'!$DA:$DA,'CWO Bulan Ini'!$DJ:$DJ,'Area-Cabang'!$B84,'CWO Bulan Ini'!$DH:$DH,'Area-Cabang'!$E84,'CWO Bulan Ini'!$CZ:$CZ,'Area-Cabang'!X$41)</f>
        <v>0</v>
      </c>
      <c r="Y84" s="56">
        <f>SUMIFS('CWO Bulan Ini'!$DA:$DA,'CWO Bulan Ini'!$DJ:$DJ,'Area-Cabang'!$B84,'CWO Bulan Ini'!$DH:$DH,'Area-Cabang'!$E84,'CWO Bulan Ini'!$CZ:$CZ,'Area-Cabang'!Y$41)</f>
        <v>0</v>
      </c>
      <c r="Z84" s="56">
        <f>SUMIFS('CWO Bulan Ini'!$DA:$DA,'CWO Bulan Ini'!$DJ:$DJ,'Area-Cabang'!$B84,'CWO Bulan Ini'!$DH:$DH,'Area-Cabang'!$E84,'CWO Bulan Ini'!$CZ:$CZ,'Area-Cabang'!Z$41)</f>
        <v>0</v>
      </c>
      <c r="AA84" s="56">
        <f>SUMIFS('CWO Bulan Ini'!$DA:$DA,'CWO Bulan Ini'!$DJ:$DJ,'Area-Cabang'!$B84,'CWO Bulan Ini'!$DH:$DH,'Area-Cabang'!$E84,'CWO Bulan Ini'!$CZ:$CZ,'Area-Cabang'!AA$41)</f>
        <v>0</v>
      </c>
      <c r="AB84" s="56">
        <f>SUMIFS('CWO Bulan Ini'!$DA:$DA,'CWO Bulan Ini'!$DJ:$DJ,'Area-Cabang'!$B84,'CWO Bulan Ini'!$DH:$DH,'Area-Cabang'!$E84,'CWO Bulan Ini'!$CZ:$CZ,'Area-Cabang'!AB$41)</f>
        <v>0</v>
      </c>
      <c r="AC84" s="56">
        <f>SUMIFS('CWO Bulan Ini'!$DA:$DA,'CWO Bulan Ini'!$DJ:$DJ,'Area-Cabang'!$B84,'CWO Bulan Ini'!$DH:$DH,'Area-Cabang'!$E84,'CWO Bulan Ini'!$CZ:$CZ,'Area-Cabang'!AC$41)</f>
        <v>0</v>
      </c>
      <c r="AD84" s="56">
        <f>SUMIFS('CWO Bulan Ini'!$DA:$DA,'CWO Bulan Ini'!$DJ:$DJ,'Area-Cabang'!$B84,'CWO Bulan Ini'!$DH:$DH,'Area-Cabang'!$E84,'CWO Bulan Ini'!$CZ:$CZ,'Area-Cabang'!AD$41)</f>
        <v>0</v>
      </c>
      <c r="AE84" s="56">
        <f>SUMIFS('CWO Bulan Ini'!$DA:$DA,'CWO Bulan Ini'!$DJ:$DJ,'Area-Cabang'!$B84,'CWO Bulan Ini'!$DH:$DH,'Area-Cabang'!$E84,'CWO Bulan Ini'!$CZ:$CZ,'Area-Cabang'!AE$41)</f>
        <v>0</v>
      </c>
      <c r="AF84" s="56">
        <f>SUMIFS('CWO Bulan Ini'!$DA:$DA,'CWO Bulan Ini'!$DJ:$DJ,'Area-Cabang'!$B84,'CWO Bulan Ini'!$DH:$DH,'Area-Cabang'!$E84,'CWO Bulan Ini'!$CZ:$CZ,'Area-Cabang'!AF$41)</f>
        <v>0</v>
      </c>
      <c r="AG84" s="56">
        <f>SUMIFS('CWO Bulan Ini'!$DA:$DA,'CWO Bulan Ini'!$DJ:$DJ,'Area-Cabang'!$B84,'CWO Bulan Ini'!$DH:$DH,'Area-Cabang'!$E84,'CWO Bulan Ini'!$CZ:$CZ,'Area-Cabang'!AG$41)</f>
        <v>0</v>
      </c>
      <c r="AH84" s="56">
        <f>SUMIFS('CWO Bulan Ini'!$DA:$DA,'CWO Bulan Ini'!$DJ:$DJ,'Area-Cabang'!$B84,'CWO Bulan Ini'!$DH:$DH,'Area-Cabang'!$E84,'CWO Bulan Ini'!$CZ:$CZ,'Area-Cabang'!AH$41)</f>
        <v>0</v>
      </c>
      <c r="AI84" s="56">
        <f>SUMIFS('CWO Bulan Ini'!$DA:$DA,'CWO Bulan Ini'!$DJ:$DJ,'Area-Cabang'!$B84,'CWO Bulan Ini'!$DH:$DH,'Area-Cabang'!$E84,'CWO Bulan Ini'!$CZ:$CZ,'Area-Cabang'!AI$41)</f>
        <v>0</v>
      </c>
      <c r="AJ84" s="56">
        <f>SUMIFS('CWO Bulan Ini'!$DA:$DA,'CWO Bulan Ini'!$DJ:$DJ,'Area-Cabang'!$B84,'CWO Bulan Ini'!$DH:$DH,'Area-Cabang'!$E84,'CWO Bulan Ini'!$CZ:$CZ,'Area-Cabang'!AJ$41)</f>
        <v>0</v>
      </c>
      <c r="AK84" s="55">
        <f>SUMIFS('CWO Bulan Ini'!$DD:$DD,'CWO Bulan Ini'!$DJ:$DJ,'Area-Cabang'!$B84,'CWO Bulan Ini'!$DH:$DH,'Area-Cabang'!$E84,'CWO Bulan Ini'!$CZ:$CZ,'Area-Cabang'!AK$41)</f>
        <v>0</v>
      </c>
      <c r="AL84" s="56">
        <f>SUMIFS('CWO Bulan Ini'!$DD:$DD,'CWO Bulan Ini'!$DJ:$DJ,'Area-Cabang'!$B84,'CWO Bulan Ini'!$DH:$DH,'Area-Cabang'!$E84,'CWO Bulan Ini'!$CZ:$CZ,'Area-Cabang'!AL$41)</f>
        <v>0</v>
      </c>
      <c r="AM84" s="56">
        <f>SUMIFS('CWO Bulan Ini'!$DD:$DD,'CWO Bulan Ini'!$DJ:$DJ,'Area-Cabang'!$B84,'CWO Bulan Ini'!$DH:$DH,'Area-Cabang'!$E84,'CWO Bulan Ini'!$CZ:$CZ,'Area-Cabang'!AM$41)</f>
        <v>0</v>
      </c>
      <c r="AN84" s="56">
        <f>SUMIFS('CWO Bulan Ini'!$DD:$DD,'CWO Bulan Ini'!$DJ:$DJ,'Area-Cabang'!$B84,'CWO Bulan Ini'!$DH:$DH,'Area-Cabang'!$E84,'CWO Bulan Ini'!$CZ:$CZ,'Area-Cabang'!AN$41)</f>
        <v>160.02240781</v>
      </c>
      <c r="AO84" s="56">
        <f>SUMIFS('CWO Bulan Ini'!$DD:$DD,'CWO Bulan Ini'!$DJ:$DJ,'Area-Cabang'!$B84,'CWO Bulan Ini'!$DH:$DH,'Area-Cabang'!$E84,'CWO Bulan Ini'!$CZ:$CZ,'Area-Cabang'!AO$41)</f>
        <v>0</v>
      </c>
      <c r="AP84" s="56">
        <f>SUMIFS('CWO Bulan Ini'!$DD:$DD,'CWO Bulan Ini'!$DJ:$DJ,'Area-Cabang'!$B84,'CWO Bulan Ini'!$DH:$DH,'Area-Cabang'!$E84,'CWO Bulan Ini'!$CZ:$CZ,'Area-Cabang'!AP$41)</f>
        <v>0</v>
      </c>
      <c r="AQ84" s="56">
        <f>SUMIFS('CWO Bulan Ini'!$DD:$DD,'CWO Bulan Ini'!$DJ:$DJ,'Area-Cabang'!$B84,'CWO Bulan Ini'!$DH:$DH,'Area-Cabang'!$E84,'CWO Bulan Ini'!$CZ:$CZ,'Area-Cabang'!AQ$41)</f>
        <v>0</v>
      </c>
      <c r="AR84" s="56">
        <f>SUMIFS('CWO Bulan Ini'!$DD:$DD,'CWO Bulan Ini'!$DJ:$DJ,'Area-Cabang'!$B84,'CWO Bulan Ini'!$DH:$DH,'Area-Cabang'!$E84,'CWO Bulan Ini'!$CZ:$CZ,'Area-Cabang'!AR$41)</f>
        <v>0</v>
      </c>
      <c r="AS84" s="56">
        <f>SUMIFS('CWO Bulan Ini'!$DD:$DD,'CWO Bulan Ini'!$DJ:$DJ,'Area-Cabang'!$B84,'CWO Bulan Ini'!$DH:$DH,'Area-Cabang'!$E84,'CWO Bulan Ini'!$CZ:$CZ,'Area-Cabang'!AS$41)</f>
        <v>0</v>
      </c>
      <c r="AT84" s="56">
        <f>SUMIFS('CWO Bulan Ini'!$DD:$DD,'CWO Bulan Ini'!$DJ:$DJ,'Area-Cabang'!$B84,'CWO Bulan Ini'!$DH:$DH,'Area-Cabang'!$E84,'CWO Bulan Ini'!$CZ:$CZ,'Area-Cabang'!AT$41)</f>
        <v>0</v>
      </c>
      <c r="AU84" s="56">
        <f>SUMIFS('CWO Bulan Ini'!$DD:$DD,'CWO Bulan Ini'!$DJ:$DJ,'Area-Cabang'!$B84,'CWO Bulan Ini'!$DH:$DH,'Area-Cabang'!$E84,'CWO Bulan Ini'!$CZ:$CZ,'Area-Cabang'!AU$41)</f>
        <v>0</v>
      </c>
      <c r="AV84" s="56">
        <f>SUMIFS('CWO Bulan Ini'!$DD:$DD,'CWO Bulan Ini'!$DJ:$DJ,'Area-Cabang'!$B84,'CWO Bulan Ini'!$DH:$DH,'Area-Cabang'!$E84,'CWO Bulan Ini'!$CZ:$CZ,'Area-Cabang'!AV$41)</f>
        <v>0</v>
      </c>
      <c r="AW84" s="56">
        <f>SUMIFS('CWO Bulan Ini'!$DD:$DD,'CWO Bulan Ini'!$DJ:$DJ,'Area-Cabang'!$B84,'CWO Bulan Ini'!$DH:$DH,'Area-Cabang'!$E84,'CWO Bulan Ini'!$CZ:$CZ,'Area-Cabang'!AW$41)</f>
        <v>0</v>
      </c>
      <c r="AX84" s="56">
        <f>SUMIFS('CWO Bulan Ini'!$DD:$DD,'CWO Bulan Ini'!$DJ:$DJ,'Area-Cabang'!$B84,'CWO Bulan Ini'!$DH:$DH,'Area-Cabang'!$E84,'CWO Bulan Ini'!$CZ:$CZ,'Area-Cabang'!AX$41)</f>
        <v>0</v>
      </c>
      <c r="AY84" s="56">
        <f>SUMIFS('CWO Bulan Ini'!$DD:$DD,'CWO Bulan Ini'!$DJ:$DJ,'Area-Cabang'!$B84,'CWO Bulan Ini'!$DH:$DH,'Area-Cabang'!$E84,'CWO Bulan Ini'!$CZ:$CZ,'Area-Cabang'!AY$41)</f>
        <v>0</v>
      </c>
      <c r="AZ84" s="56">
        <f>SUMIFS('CWO Bulan Ini'!$DD:$DD,'CWO Bulan Ini'!$DJ:$DJ,'Area-Cabang'!$B84,'CWO Bulan Ini'!$DH:$DH,'Area-Cabang'!$E84,'CWO Bulan Ini'!$CZ:$CZ,'Area-Cabang'!AZ$41)</f>
        <v>0</v>
      </c>
      <c r="BA84" s="56">
        <f>SUMIFS('CWO Bulan Ini'!$DD:$DD,'CWO Bulan Ini'!$DJ:$DJ,'Area-Cabang'!$B84,'CWO Bulan Ini'!$DH:$DH,'Area-Cabang'!$E84,'CWO Bulan Ini'!$CZ:$CZ,'Area-Cabang'!BA$41)</f>
        <v>0</v>
      </c>
      <c r="BB84" s="56">
        <f>SUMIFS('CWO Bulan Ini'!$DD:$DD,'CWO Bulan Ini'!$DJ:$DJ,'Area-Cabang'!$B84,'CWO Bulan Ini'!$DH:$DH,'Area-Cabang'!$E84,'CWO Bulan Ini'!$CZ:$CZ,'Area-Cabang'!BB$41)</f>
        <v>0</v>
      </c>
      <c r="BC84" s="56">
        <f>SUMIFS('CWO Bulan Ini'!$DD:$DD,'CWO Bulan Ini'!$DJ:$DJ,'Area-Cabang'!$B84,'CWO Bulan Ini'!$DH:$DH,'Area-Cabang'!$E84,'CWO Bulan Ini'!$CZ:$CZ,'Area-Cabang'!BC$41)</f>
        <v>0</v>
      </c>
      <c r="BD84" s="56">
        <f>SUMIFS('CWO Bulan Ini'!$DD:$DD,'CWO Bulan Ini'!$DJ:$DJ,'Area-Cabang'!$B84,'CWO Bulan Ini'!$DH:$DH,'Area-Cabang'!$E84,'CWO Bulan Ini'!$CZ:$CZ,'Area-Cabang'!BD$41)</f>
        <v>0</v>
      </c>
      <c r="BE84" s="56">
        <f>SUMIFS('CWO Bulan Ini'!$DD:$DD,'CWO Bulan Ini'!$DJ:$DJ,'Area-Cabang'!$B84,'CWO Bulan Ini'!$DH:$DH,'Area-Cabang'!$E84,'CWO Bulan Ini'!$CZ:$CZ,'Area-Cabang'!BE$41)</f>
        <v>0</v>
      </c>
      <c r="BF84" s="56">
        <f>SUMIFS('CWO Bulan Ini'!$DD:$DD,'CWO Bulan Ini'!$DJ:$DJ,'Area-Cabang'!$B84,'CWO Bulan Ini'!$DH:$DH,'Area-Cabang'!$E84,'CWO Bulan Ini'!$CZ:$CZ,'Area-Cabang'!BF$41)</f>
        <v>0</v>
      </c>
      <c r="BG84" s="56">
        <f>SUMIFS('CWO Bulan Ini'!$DD:$DD,'CWO Bulan Ini'!$DJ:$DJ,'Area-Cabang'!$B84,'CWO Bulan Ini'!$DH:$DH,'Area-Cabang'!$E84,'CWO Bulan Ini'!$CZ:$CZ,'Area-Cabang'!BG$41)</f>
        <v>0</v>
      </c>
      <c r="BH84" s="56">
        <f>SUMIFS('CWO Bulan Ini'!$DD:$DD,'CWO Bulan Ini'!$DJ:$DJ,'Area-Cabang'!$B84,'CWO Bulan Ini'!$DH:$DH,'Area-Cabang'!$E84,'CWO Bulan Ini'!$CZ:$CZ,'Area-Cabang'!BH$41)</f>
        <v>0</v>
      </c>
      <c r="BI84" s="56">
        <f>SUMIFS('CWO Bulan Ini'!$DD:$DD,'CWO Bulan Ini'!$DJ:$DJ,'Area-Cabang'!$B84,'CWO Bulan Ini'!$DH:$DH,'Area-Cabang'!$E84,'CWO Bulan Ini'!$CZ:$CZ,'Area-Cabang'!BI$41)</f>
        <v>0</v>
      </c>
      <c r="BJ84" s="56">
        <f>SUMIFS('CWO Bulan Ini'!$DD:$DD,'CWO Bulan Ini'!$DJ:$DJ,'Area-Cabang'!$B84,'CWO Bulan Ini'!$DH:$DH,'Area-Cabang'!$E84,'CWO Bulan Ini'!$CZ:$CZ,'Area-Cabang'!BJ$41)</f>
        <v>0</v>
      </c>
      <c r="BK84" s="56">
        <f>SUMIFS('CWO Bulan Ini'!$DD:$DD,'CWO Bulan Ini'!$DJ:$DJ,'Area-Cabang'!$B84,'CWO Bulan Ini'!$DH:$DH,'Area-Cabang'!$E84,'CWO Bulan Ini'!$CZ:$CZ,'Area-Cabang'!BK$41)</f>
        <v>0</v>
      </c>
      <c r="BL84" s="56">
        <f>SUMIFS('CWO Bulan Ini'!$DD:$DD,'CWO Bulan Ini'!$DJ:$DJ,'Area-Cabang'!$B84,'CWO Bulan Ini'!$DH:$DH,'Area-Cabang'!$E84,'CWO Bulan Ini'!$CZ:$CZ,'Area-Cabang'!BL$41)</f>
        <v>0</v>
      </c>
      <c r="BM84" s="56">
        <f>SUMIFS('CWO Bulan Ini'!$DD:$DD,'CWO Bulan Ini'!$DJ:$DJ,'Area-Cabang'!$B84,'CWO Bulan Ini'!$DH:$DH,'Area-Cabang'!$E84,'CWO Bulan Ini'!$CZ:$CZ,'Area-Cabang'!BM$41)</f>
        <v>0</v>
      </c>
      <c r="BN84" s="56">
        <f>SUMIFS('CWO Bulan Ini'!$DD:$DD,'CWO Bulan Ini'!$DJ:$DJ,'Area-Cabang'!$B84,'CWO Bulan Ini'!$DH:$DH,'Area-Cabang'!$E84,'CWO Bulan Ini'!$CZ:$CZ,'Area-Cabang'!BN$41)</f>
        <v>0</v>
      </c>
      <c r="BO84" s="57">
        <f>SUMIFS('CWO Bulan Ini'!$DD:$DD,'CWO Bulan Ini'!$DJ:$DJ,'Area-Cabang'!$B84,'CWO Bulan Ini'!$DH:$DH,'Area-Cabang'!$E84,'CWO Bulan Ini'!$CZ:$CZ,'Area-Cabang'!BO$41)</f>
        <v>0</v>
      </c>
      <c r="BP84" s="55">
        <f>SUMIFS('CWO Bulan Ini'!$DC:$DC,'CWO Bulan Ini'!$DJ:$DJ,'Area-Cabang'!$B84,'CWO Bulan Ini'!$DH:$DH,'Area-Cabang'!$E84,'CWO Bulan Ini'!$CZ:$CZ,'Area-Cabang'!BP$41)</f>
        <v>0</v>
      </c>
      <c r="BQ84" s="56">
        <f>SUMIFS('CWO Bulan Ini'!$DC:$DC,'CWO Bulan Ini'!$DJ:$DJ,'Area-Cabang'!$B84,'CWO Bulan Ini'!$DH:$DH,'Area-Cabang'!$E84,'CWO Bulan Ini'!$CZ:$CZ,'Area-Cabang'!BQ$41)</f>
        <v>0</v>
      </c>
      <c r="BR84" s="56">
        <f>SUMIFS('CWO Bulan Ini'!$DC:$DC,'CWO Bulan Ini'!$DJ:$DJ,'Area-Cabang'!$B84,'CWO Bulan Ini'!$DH:$DH,'Area-Cabang'!$E84,'CWO Bulan Ini'!$CZ:$CZ,'Area-Cabang'!BR$41)</f>
        <v>0</v>
      </c>
      <c r="BS84" s="56">
        <f>SUMIFS('CWO Bulan Ini'!$DC:$DC,'CWO Bulan Ini'!$DJ:$DJ,'Area-Cabang'!$B84,'CWO Bulan Ini'!$DH:$DH,'Area-Cabang'!$E84,'CWO Bulan Ini'!$CZ:$CZ,'Area-Cabang'!BS$41)</f>
        <v>0</v>
      </c>
      <c r="BT84" s="56">
        <f>SUMIFS('CWO Bulan Ini'!$DC:$DC,'CWO Bulan Ini'!$DJ:$DJ,'Area-Cabang'!$B84,'CWO Bulan Ini'!$DH:$DH,'Area-Cabang'!$E84,'CWO Bulan Ini'!$CZ:$CZ,'Area-Cabang'!BT$41)</f>
        <v>0</v>
      </c>
      <c r="BU84" s="56">
        <f>SUMIFS('CWO Bulan Ini'!$DC:$DC,'CWO Bulan Ini'!$DJ:$DJ,'Area-Cabang'!$B84,'CWO Bulan Ini'!$DH:$DH,'Area-Cabang'!$E84,'CWO Bulan Ini'!$CZ:$CZ,'Area-Cabang'!BU$41)</f>
        <v>0</v>
      </c>
      <c r="BV84" s="56">
        <f>SUMIFS('CWO Bulan Ini'!$DC:$DC,'CWO Bulan Ini'!$DJ:$DJ,'Area-Cabang'!$B84,'CWO Bulan Ini'!$DH:$DH,'Area-Cabang'!$E84,'CWO Bulan Ini'!$CZ:$CZ,'Area-Cabang'!BV$41)</f>
        <v>0</v>
      </c>
      <c r="BW84" s="56">
        <f>SUMIFS('CWO Bulan Ini'!$DC:$DC,'CWO Bulan Ini'!$DJ:$DJ,'Area-Cabang'!$B84,'CWO Bulan Ini'!$DH:$DH,'Area-Cabang'!$E84,'CWO Bulan Ini'!$CZ:$CZ,'Area-Cabang'!BW$41)</f>
        <v>0</v>
      </c>
      <c r="BX84" s="56">
        <f>SUMIFS('CWO Bulan Ini'!$DC:$DC,'CWO Bulan Ini'!$DJ:$DJ,'Area-Cabang'!$B84,'CWO Bulan Ini'!$DH:$DH,'Area-Cabang'!$E84,'CWO Bulan Ini'!$CZ:$CZ,'Area-Cabang'!BX$41)</f>
        <v>0</v>
      </c>
      <c r="BY84" s="56">
        <f>SUMIFS('CWO Bulan Ini'!$DC:$DC,'CWO Bulan Ini'!$DJ:$DJ,'Area-Cabang'!$B84,'CWO Bulan Ini'!$DH:$DH,'Area-Cabang'!$E84,'CWO Bulan Ini'!$CZ:$CZ,'Area-Cabang'!BY$41)</f>
        <v>0</v>
      </c>
      <c r="BZ84" s="56">
        <f>SUMIFS('CWO Bulan Ini'!$DC:$DC,'CWO Bulan Ini'!$DJ:$DJ,'Area-Cabang'!$B84,'CWO Bulan Ini'!$DH:$DH,'Area-Cabang'!$E84,'CWO Bulan Ini'!$CZ:$CZ,'Area-Cabang'!BZ$41)</f>
        <v>0</v>
      </c>
      <c r="CA84" s="56">
        <f>SUMIFS('CWO Bulan Ini'!$DC:$DC,'CWO Bulan Ini'!$DJ:$DJ,'Area-Cabang'!$B84,'CWO Bulan Ini'!$DH:$DH,'Area-Cabang'!$E84,'CWO Bulan Ini'!$CZ:$CZ,'Area-Cabang'!CA$41)</f>
        <v>0</v>
      </c>
      <c r="CB84" s="56">
        <f>SUMIFS('CWO Bulan Ini'!$DC:$DC,'CWO Bulan Ini'!$DJ:$DJ,'Area-Cabang'!$B84,'CWO Bulan Ini'!$DH:$DH,'Area-Cabang'!$E84,'CWO Bulan Ini'!$CZ:$CZ,'Area-Cabang'!CB$41)</f>
        <v>0</v>
      </c>
      <c r="CC84" s="56">
        <f>SUMIFS('CWO Bulan Ini'!$DC:$DC,'CWO Bulan Ini'!$DJ:$DJ,'Area-Cabang'!$B84,'CWO Bulan Ini'!$DH:$DH,'Area-Cabang'!$E84,'CWO Bulan Ini'!$CZ:$CZ,'Area-Cabang'!CC$41)</f>
        <v>0</v>
      </c>
      <c r="CD84" s="56">
        <f>SUMIFS('CWO Bulan Ini'!$DC:$DC,'CWO Bulan Ini'!$DJ:$DJ,'Area-Cabang'!$B84,'CWO Bulan Ini'!$DH:$DH,'Area-Cabang'!$E84,'CWO Bulan Ini'!$CZ:$CZ,'Area-Cabang'!CD$41)</f>
        <v>0</v>
      </c>
      <c r="CE84" s="56">
        <f>SUMIFS('CWO Bulan Ini'!$DC:$DC,'CWO Bulan Ini'!$DJ:$DJ,'Area-Cabang'!$B84,'CWO Bulan Ini'!$DH:$DH,'Area-Cabang'!$E84,'CWO Bulan Ini'!$CZ:$CZ,'Area-Cabang'!CE$41)</f>
        <v>0</v>
      </c>
      <c r="CF84" s="56">
        <f>SUMIFS('CWO Bulan Ini'!$DC:$DC,'CWO Bulan Ini'!$DJ:$DJ,'Area-Cabang'!$B84,'CWO Bulan Ini'!$DH:$DH,'Area-Cabang'!$E84,'CWO Bulan Ini'!$CZ:$CZ,'Area-Cabang'!CF$41)</f>
        <v>0</v>
      </c>
      <c r="CG84" s="56">
        <f>SUMIFS('CWO Bulan Ini'!$DC:$DC,'CWO Bulan Ini'!$DJ:$DJ,'Area-Cabang'!$B84,'CWO Bulan Ini'!$DH:$DH,'Area-Cabang'!$E84,'CWO Bulan Ini'!$CZ:$CZ,'Area-Cabang'!CG$41)</f>
        <v>0</v>
      </c>
      <c r="CH84" s="56">
        <f>SUMIFS('CWO Bulan Ini'!$DC:$DC,'CWO Bulan Ini'!$DJ:$DJ,'Area-Cabang'!$B84,'CWO Bulan Ini'!$DH:$DH,'Area-Cabang'!$E84,'CWO Bulan Ini'!$CZ:$CZ,'Area-Cabang'!CH$41)</f>
        <v>0</v>
      </c>
      <c r="CI84" s="56">
        <f>SUMIFS('CWO Bulan Ini'!$DC:$DC,'CWO Bulan Ini'!$DJ:$DJ,'Area-Cabang'!$B84,'CWO Bulan Ini'!$DH:$DH,'Area-Cabang'!$E84,'CWO Bulan Ini'!$CZ:$CZ,'Area-Cabang'!CI$41)</f>
        <v>0</v>
      </c>
      <c r="CJ84" s="56">
        <f>SUMIFS('CWO Bulan Ini'!$DC:$DC,'CWO Bulan Ini'!$DJ:$DJ,'Area-Cabang'!$B84,'CWO Bulan Ini'!$DH:$DH,'Area-Cabang'!$E84,'CWO Bulan Ini'!$CZ:$CZ,'Area-Cabang'!CJ$41)</f>
        <v>0</v>
      </c>
      <c r="CK84" s="56">
        <f>SUMIFS('CWO Bulan Ini'!$DC:$DC,'CWO Bulan Ini'!$DJ:$DJ,'Area-Cabang'!$B84,'CWO Bulan Ini'!$DH:$DH,'Area-Cabang'!$E84,'CWO Bulan Ini'!$CZ:$CZ,'Area-Cabang'!CK$41)</f>
        <v>0</v>
      </c>
      <c r="CL84" s="56">
        <f>SUMIFS('CWO Bulan Ini'!$DC:$DC,'CWO Bulan Ini'!$DJ:$DJ,'Area-Cabang'!$B84,'CWO Bulan Ini'!$DH:$DH,'Area-Cabang'!$E84,'CWO Bulan Ini'!$CZ:$CZ,'Area-Cabang'!CL$41)</f>
        <v>0</v>
      </c>
      <c r="CM84" s="56">
        <f>SUMIFS('CWO Bulan Ini'!$DC:$DC,'CWO Bulan Ini'!$DJ:$DJ,'Area-Cabang'!$B84,'CWO Bulan Ini'!$DH:$DH,'Area-Cabang'!$E84,'CWO Bulan Ini'!$CZ:$CZ,'Area-Cabang'!CM$41)</f>
        <v>0</v>
      </c>
      <c r="CN84" s="56">
        <f>SUMIFS('CWO Bulan Ini'!$DC:$DC,'CWO Bulan Ini'!$DJ:$DJ,'Area-Cabang'!$B84,'CWO Bulan Ini'!$DH:$DH,'Area-Cabang'!$E84,'CWO Bulan Ini'!$CZ:$CZ,'Area-Cabang'!CN$41)</f>
        <v>0</v>
      </c>
      <c r="CO84" s="56">
        <f>SUMIFS('CWO Bulan Ini'!$DC:$DC,'CWO Bulan Ini'!$DJ:$DJ,'Area-Cabang'!$B84,'CWO Bulan Ini'!$DH:$DH,'Area-Cabang'!$E84,'CWO Bulan Ini'!$CZ:$CZ,'Area-Cabang'!CO$41)</f>
        <v>0</v>
      </c>
      <c r="CP84" s="56">
        <f>SUMIFS('CWO Bulan Ini'!$DC:$DC,'CWO Bulan Ini'!$DJ:$DJ,'Area-Cabang'!$B84,'CWO Bulan Ini'!$DH:$DH,'Area-Cabang'!$E84,'CWO Bulan Ini'!$CZ:$CZ,'Area-Cabang'!CP$41)</f>
        <v>0</v>
      </c>
      <c r="CQ84" s="56">
        <f>SUMIFS('CWO Bulan Ini'!$DC:$DC,'CWO Bulan Ini'!$DJ:$DJ,'Area-Cabang'!$B84,'CWO Bulan Ini'!$DH:$DH,'Area-Cabang'!$E84,'CWO Bulan Ini'!$CZ:$CZ,'Area-Cabang'!CQ$41)</f>
        <v>0</v>
      </c>
      <c r="CR84" s="56">
        <f>SUMIFS('CWO Bulan Ini'!$DC:$DC,'CWO Bulan Ini'!$DJ:$DJ,'Area-Cabang'!$B84,'CWO Bulan Ini'!$DH:$DH,'Area-Cabang'!$E84,'CWO Bulan Ini'!$CZ:$CZ,'Area-Cabang'!CR$41)</f>
        <v>0</v>
      </c>
      <c r="CS84" s="56">
        <f>SUMIFS('CWO Bulan Ini'!$DC:$DC,'CWO Bulan Ini'!$DJ:$DJ,'Area-Cabang'!$B84,'CWO Bulan Ini'!$DH:$DH,'Area-Cabang'!$E84,'CWO Bulan Ini'!$CZ:$CZ,'Area-Cabang'!CS$41)</f>
        <v>0</v>
      </c>
      <c r="CT84" s="57">
        <f>SUMIFS('CWO Bulan Ini'!$DC:$DC,'CWO Bulan Ini'!$DJ:$DJ,'Area-Cabang'!$B84,'CWO Bulan Ini'!$DH:$DH,'Area-Cabang'!$E84,'CWO Bulan Ini'!$CZ:$CZ,'Area-Cabang'!CT$41)</f>
        <v>0</v>
      </c>
      <c r="CV84" s="97">
        <f t="shared" ref="CV84:CV85" si="2423">SUM(F84:AJ84)</f>
        <v>160.02240781</v>
      </c>
      <c r="CW84" s="98">
        <f t="shared" ref="CW84:CW85" si="2424">SUM(AK84:BO84)</f>
        <v>160.02240781</v>
      </c>
      <c r="CX84" s="98">
        <f t="shared" ref="CX84:CX85" si="2425">SUM(BP84:CT84)</f>
        <v>0</v>
      </c>
      <c r="CY84" s="98">
        <f t="shared" ref="CY84:CY85" si="2426">CV84-CW84-CX84</f>
        <v>0</v>
      </c>
      <c r="CZ84" s="105">
        <f t="shared" ref="CZ84:CZ85" si="2427">CY84+CW84</f>
        <v>160.02240781</v>
      </c>
    </row>
    <row r="85" spans="1:104" ht="15" customHeight="1" x14ac:dyDescent="0.25">
      <c r="A85" s="58" t="s">
        <v>487</v>
      </c>
      <c r="B85" s="58" t="s">
        <v>321</v>
      </c>
      <c r="C85" s="250"/>
      <c r="D85" s="244"/>
      <c r="E85" s="40" t="s">
        <v>349</v>
      </c>
      <c r="F85" s="41">
        <f>SUMIFS('CWO Bulan Ini'!$DA:$DA,'CWO Bulan Ini'!$DJ:$DJ,'Area-Cabang'!$B85,'CWO Bulan Ini'!$DH:$DH,'Area-Cabang'!$E85,'CWO Bulan Ini'!$CZ:$CZ,'Area-Cabang'!F$41)</f>
        <v>0</v>
      </c>
      <c r="G85" s="42">
        <f>SUMIFS('CWO Bulan Ini'!$DA:$DA,'CWO Bulan Ini'!$DJ:$DJ,'Area-Cabang'!$B85,'CWO Bulan Ini'!$DH:$DH,'Area-Cabang'!$E85,'CWO Bulan Ini'!$CZ:$CZ,'Area-Cabang'!G$41)</f>
        <v>0</v>
      </c>
      <c r="H85" s="42">
        <f>SUMIFS('CWO Bulan Ini'!$DA:$DA,'CWO Bulan Ini'!$DJ:$DJ,'Area-Cabang'!$B85,'CWO Bulan Ini'!$DH:$DH,'Area-Cabang'!$E85,'CWO Bulan Ini'!$CZ:$CZ,'Area-Cabang'!H$41)</f>
        <v>0</v>
      </c>
      <c r="I85" s="42">
        <f>SUMIFS('CWO Bulan Ini'!$DA:$DA,'CWO Bulan Ini'!$DJ:$DJ,'Area-Cabang'!$B85,'CWO Bulan Ini'!$DH:$DH,'Area-Cabang'!$E85,'CWO Bulan Ini'!$CZ:$CZ,'Area-Cabang'!I$41)</f>
        <v>0</v>
      </c>
      <c r="J85" s="42">
        <f>SUMIFS('CWO Bulan Ini'!$DA:$DA,'CWO Bulan Ini'!$DJ:$DJ,'Area-Cabang'!$B85,'CWO Bulan Ini'!$DH:$DH,'Area-Cabang'!$E85,'CWO Bulan Ini'!$CZ:$CZ,'Area-Cabang'!J$41)</f>
        <v>0</v>
      </c>
      <c r="K85" s="42">
        <f>SUMIFS('CWO Bulan Ini'!$DA:$DA,'CWO Bulan Ini'!$DJ:$DJ,'Area-Cabang'!$B85,'CWO Bulan Ini'!$DH:$DH,'Area-Cabang'!$E85,'CWO Bulan Ini'!$CZ:$CZ,'Area-Cabang'!K$41)</f>
        <v>0</v>
      </c>
      <c r="L85" s="42">
        <f>SUMIFS('CWO Bulan Ini'!$DA:$DA,'CWO Bulan Ini'!$DJ:$DJ,'Area-Cabang'!$B85,'CWO Bulan Ini'!$DH:$DH,'Area-Cabang'!$E85,'CWO Bulan Ini'!$CZ:$CZ,'Area-Cabang'!L$41)</f>
        <v>0</v>
      </c>
      <c r="M85" s="42">
        <f>SUMIFS('CWO Bulan Ini'!$DA:$DA,'CWO Bulan Ini'!$DJ:$DJ,'Area-Cabang'!$B85,'CWO Bulan Ini'!$DH:$DH,'Area-Cabang'!$E85,'CWO Bulan Ini'!$CZ:$CZ,'Area-Cabang'!M$41)</f>
        <v>0</v>
      </c>
      <c r="N85" s="42">
        <f>SUMIFS('CWO Bulan Ini'!$DA:$DA,'CWO Bulan Ini'!$DJ:$DJ,'Area-Cabang'!$B85,'CWO Bulan Ini'!$DH:$DH,'Area-Cabang'!$E85,'CWO Bulan Ini'!$CZ:$CZ,'Area-Cabang'!N$41)</f>
        <v>0</v>
      </c>
      <c r="O85" s="42">
        <f>SUMIFS('CWO Bulan Ini'!$DA:$DA,'CWO Bulan Ini'!$DJ:$DJ,'Area-Cabang'!$B85,'CWO Bulan Ini'!$DH:$DH,'Area-Cabang'!$E85,'CWO Bulan Ini'!$CZ:$CZ,'Area-Cabang'!O$41)</f>
        <v>0</v>
      </c>
      <c r="P85" s="42">
        <f>SUMIFS('CWO Bulan Ini'!$DA:$DA,'CWO Bulan Ini'!$DJ:$DJ,'Area-Cabang'!$B85,'CWO Bulan Ini'!$DH:$DH,'Area-Cabang'!$E85,'CWO Bulan Ini'!$CZ:$CZ,'Area-Cabang'!P$41)</f>
        <v>0</v>
      </c>
      <c r="Q85" s="42">
        <f>SUMIFS('CWO Bulan Ini'!$DA:$DA,'CWO Bulan Ini'!$DJ:$DJ,'Area-Cabang'!$B85,'CWO Bulan Ini'!$DH:$DH,'Area-Cabang'!$E85,'CWO Bulan Ini'!$CZ:$CZ,'Area-Cabang'!Q$41)</f>
        <v>0</v>
      </c>
      <c r="R85" s="42">
        <f>SUMIFS('CWO Bulan Ini'!$DA:$DA,'CWO Bulan Ini'!$DJ:$DJ,'Area-Cabang'!$B85,'CWO Bulan Ini'!$DH:$DH,'Area-Cabang'!$E85,'CWO Bulan Ini'!$CZ:$CZ,'Area-Cabang'!R$41)</f>
        <v>0</v>
      </c>
      <c r="S85" s="42">
        <f>SUMIFS('CWO Bulan Ini'!$DA:$DA,'CWO Bulan Ini'!$DJ:$DJ,'Area-Cabang'!$B85,'CWO Bulan Ini'!$DH:$DH,'Area-Cabang'!$E85,'CWO Bulan Ini'!$CZ:$CZ,'Area-Cabang'!S$41)</f>
        <v>0</v>
      </c>
      <c r="T85" s="42">
        <f>SUMIFS('CWO Bulan Ini'!$DA:$DA,'CWO Bulan Ini'!$DJ:$DJ,'Area-Cabang'!$B85,'CWO Bulan Ini'!$DH:$DH,'Area-Cabang'!$E85,'CWO Bulan Ini'!$CZ:$CZ,'Area-Cabang'!T$41)</f>
        <v>0</v>
      </c>
      <c r="U85" s="42">
        <f>SUMIFS('CWO Bulan Ini'!$DA:$DA,'CWO Bulan Ini'!$DJ:$DJ,'Area-Cabang'!$B85,'CWO Bulan Ini'!$DH:$DH,'Area-Cabang'!$E85,'CWO Bulan Ini'!$CZ:$CZ,'Area-Cabang'!U$41)</f>
        <v>3.7302722799999999</v>
      </c>
      <c r="V85" s="42">
        <f>SUMIFS('CWO Bulan Ini'!$DA:$DA,'CWO Bulan Ini'!$DJ:$DJ,'Area-Cabang'!$B85,'CWO Bulan Ini'!$DH:$DH,'Area-Cabang'!$E85,'CWO Bulan Ini'!$CZ:$CZ,'Area-Cabang'!V$41)</f>
        <v>0</v>
      </c>
      <c r="W85" s="42">
        <f>SUMIFS('CWO Bulan Ini'!$DA:$DA,'CWO Bulan Ini'!$DJ:$DJ,'Area-Cabang'!$B85,'CWO Bulan Ini'!$DH:$DH,'Area-Cabang'!$E85,'CWO Bulan Ini'!$CZ:$CZ,'Area-Cabang'!W$41)</f>
        <v>0</v>
      </c>
      <c r="X85" s="42">
        <f>SUMIFS('CWO Bulan Ini'!$DA:$DA,'CWO Bulan Ini'!$DJ:$DJ,'Area-Cabang'!$B85,'CWO Bulan Ini'!$DH:$DH,'Area-Cabang'!$E85,'CWO Bulan Ini'!$CZ:$CZ,'Area-Cabang'!X$41)</f>
        <v>0</v>
      </c>
      <c r="Y85" s="42">
        <f>SUMIFS('CWO Bulan Ini'!$DA:$DA,'CWO Bulan Ini'!$DJ:$DJ,'Area-Cabang'!$B85,'CWO Bulan Ini'!$DH:$DH,'Area-Cabang'!$E85,'CWO Bulan Ini'!$CZ:$CZ,'Area-Cabang'!Y$41)</f>
        <v>0</v>
      </c>
      <c r="Z85" s="42">
        <f>SUMIFS('CWO Bulan Ini'!$DA:$DA,'CWO Bulan Ini'!$DJ:$DJ,'Area-Cabang'!$B85,'CWO Bulan Ini'!$DH:$DH,'Area-Cabang'!$E85,'CWO Bulan Ini'!$CZ:$CZ,'Area-Cabang'!Z$41)</f>
        <v>0</v>
      </c>
      <c r="AA85" s="42">
        <f>SUMIFS('CWO Bulan Ini'!$DA:$DA,'CWO Bulan Ini'!$DJ:$DJ,'Area-Cabang'!$B85,'CWO Bulan Ini'!$DH:$DH,'Area-Cabang'!$E85,'CWO Bulan Ini'!$CZ:$CZ,'Area-Cabang'!AA$41)</f>
        <v>0</v>
      </c>
      <c r="AB85" s="42">
        <f>SUMIFS('CWO Bulan Ini'!$DA:$DA,'CWO Bulan Ini'!$DJ:$DJ,'Area-Cabang'!$B85,'CWO Bulan Ini'!$DH:$DH,'Area-Cabang'!$E85,'CWO Bulan Ini'!$CZ:$CZ,'Area-Cabang'!AB$41)</f>
        <v>0</v>
      </c>
      <c r="AC85" s="42">
        <f>SUMIFS('CWO Bulan Ini'!$DA:$DA,'CWO Bulan Ini'!$DJ:$DJ,'Area-Cabang'!$B85,'CWO Bulan Ini'!$DH:$DH,'Area-Cabang'!$E85,'CWO Bulan Ini'!$CZ:$CZ,'Area-Cabang'!AC$41)</f>
        <v>0</v>
      </c>
      <c r="AD85" s="42">
        <f>SUMIFS('CWO Bulan Ini'!$DA:$DA,'CWO Bulan Ini'!$DJ:$DJ,'Area-Cabang'!$B85,'CWO Bulan Ini'!$DH:$DH,'Area-Cabang'!$E85,'CWO Bulan Ini'!$CZ:$CZ,'Area-Cabang'!AD$41)</f>
        <v>0</v>
      </c>
      <c r="AE85" s="42">
        <f>SUMIFS('CWO Bulan Ini'!$DA:$DA,'CWO Bulan Ini'!$DJ:$DJ,'Area-Cabang'!$B85,'CWO Bulan Ini'!$DH:$DH,'Area-Cabang'!$E85,'CWO Bulan Ini'!$CZ:$CZ,'Area-Cabang'!AE$41)</f>
        <v>0</v>
      </c>
      <c r="AF85" s="42">
        <f>SUMIFS('CWO Bulan Ini'!$DA:$DA,'CWO Bulan Ini'!$DJ:$DJ,'Area-Cabang'!$B85,'CWO Bulan Ini'!$DH:$DH,'Area-Cabang'!$E85,'CWO Bulan Ini'!$CZ:$CZ,'Area-Cabang'!AF$41)</f>
        <v>0</v>
      </c>
      <c r="AG85" s="42">
        <f>SUMIFS('CWO Bulan Ini'!$DA:$DA,'CWO Bulan Ini'!$DJ:$DJ,'Area-Cabang'!$B85,'CWO Bulan Ini'!$DH:$DH,'Area-Cabang'!$E85,'CWO Bulan Ini'!$CZ:$CZ,'Area-Cabang'!AG$41)</f>
        <v>0</v>
      </c>
      <c r="AH85" s="42">
        <f>SUMIFS('CWO Bulan Ini'!$DA:$DA,'CWO Bulan Ini'!$DJ:$DJ,'Area-Cabang'!$B85,'CWO Bulan Ini'!$DH:$DH,'Area-Cabang'!$E85,'CWO Bulan Ini'!$CZ:$CZ,'Area-Cabang'!AH$41)</f>
        <v>0</v>
      </c>
      <c r="AI85" s="42">
        <f>SUMIFS('CWO Bulan Ini'!$DA:$DA,'CWO Bulan Ini'!$DJ:$DJ,'Area-Cabang'!$B85,'CWO Bulan Ini'!$DH:$DH,'Area-Cabang'!$E85,'CWO Bulan Ini'!$CZ:$CZ,'Area-Cabang'!AI$41)</f>
        <v>0</v>
      </c>
      <c r="AJ85" s="42">
        <f>SUMIFS('CWO Bulan Ini'!$DA:$DA,'CWO Bulan Ini'!$DJ:$DJ,'Area-Cabang'!$B85,'CWO Bulan Ini'!$DH:$DH,'Area-Cabang'!$E85,'CWO Bulan Ini'!$CZ:$CZ,'Area-Cabang'!AJ$41)</f>
        <v>0</v>
      </c>
      <c r="AK85" s="41">
        <f>SUMIFS('CWO Bulan Ini'!$DD:$DD,'CWO Bulan Ini'!$DJ:$DJ,'Area-Cabang'!$B85,'CWO Bulan Ini'!$DH:$DH,'Area-Cabang'!$E85,'CWO Bulan Ini'!$CZ:$CZ,'Area-Cabang'!AK$41)</f>
        <v>0</v>
      </c>
      <c r="AL85" s="42">
        <f>SUMIFS('CWO Bulan Ini'!$DD:$DD,'CWO Bulan Ini'!$DJ:$DJ,'Area-Cabang'!$B85,'CWO Bulan Ini'!$DH:$DH,'Area-Cabang'!$E85,'CWO Bulan Ini'!$CZ:$CZ,'Area-Cabang'!AL$41)</f>
        <v>0</v>
      </c>
      <c r="AM85" s="42">
        <f>SUMIFS('CWO Bulan Ini'!$DD:$DD,'CWO Bulan Ini'!$DJ:$DJ,'Area-Cabang'!$B85,'CWO Bulan Ini'!$DH:$DH,'Area-Cabang'!$E85,'CWO Bulan Ini'!$CZ:$CZ,'Area-Cabang'!AM$41)</f>
        <v>0</v>
      </c>
      <c r="AN85" s="42">
        <f>SUMIFS('CWO Bulan Ini'!$DD:$DD,'CWO Bulan Ini'!$DJ:$DJ,'Area-Cabang'!$B85,'CWO Bulan Ini'!$DH:$DH,'Area-Cabang'!$E85,'CWO Bulan Ini'!$CZ:$CZ,'Area-Cabang'!AN$41)</f>
        <v>0</v>
      </c>
      <c r="AO85" s="42">
        <f>SUMIFS('CWO Bulan Ini'!$DD:$DD,'CWO Bulan Ini'!$DJ:$DJ,'Area-Cabang'!$B85,'CWO Bulan Ini'!$DH:$DH,'Area-Cabang'!$E85,'CWO Bulan Ini'!$CZ:$CZ,'Area-Cabang'!AO$41)</f>
        <v>0</v>
      </c>
      <c r="AP85" s="42">
        <f>SUMIFS('CWO Bulan Ini'!$DD:$DD,'CWO Bulan Ini'!$DJ:$DJ,'Area-Cabang'!$B85,'CWO Bulan Ini'!$DH:$DH,'Area-Cabang'!$E85,'CWO Bulan Ini'!$CZ:$CZ,'Area-Cabang'!AP$41)</f>
        <v>0</v>
      </c>
      <c r="AQ85" s="42">
        <f>SUMIFS('CWO Bulan Ini'!$DD:$DD,'CWO Bulan Ini'!$DJ:$DJ,'Area-Cabang'!$B85,'CWO Bulan Ini'!$DH:$DH,'Area-Cabang'!$E85,'CWO Bulan Ini'!$CZ:$CZ,'Area-Cabang'!AQ$41)</f>
        <v>0</v>
      </c>
      <c r="AR85" s="42">
        <f>SUMIFS('CWO Bulan Ini'!$DD:$DD,'CWO Bulan Ini'!$DJ:$DJ,'Area-Cabang'!$B85,'CWO Bulan Ini'!$DH:$DH,'Area-Cabang'!$E85,'CWO Bulan Ini'!$CZ:$CZ,'Area-Cabang'!AR$41)</f>
        <v>0</v>
      </c>
      <c r="AS85" s="42">
        <f>SUMIFS('CWO Bulan Ini'!$DD:$DD,'CWO Bulan Ini'!$DJ:$DJ,'Area-Cabang'!$B85,'CWO Bulan Ini'!$DH:$DH,'Area-Cabang'!$E85,'CWO Bulan Ini'!$CZ:$CZ,'Area-Cabang'!AS$41)</f>
        <v>0</v>
      </c>
      <c r="AT85" s="42">
        <f>SUMIFS('CWO Bulan Ini'!$DD:$DD,'CWO Bulan Ini'!$DJ:$DJ,'Area-Cabang'!$B85,'CWO Bulan Ini'!$DH:$DH,'Area-Cabang'!$E85,'CWO Bulan Ini'!$CZ:$CZ,'Area-Cabang'!AT$41)</f>
        <v>0</v>
      </c>
      <c r="AU85" s="42">
        <f>SUMIFS('CWO Bulan Ini'!$DD:$DD,'CWO Bulan Ini'!$DJ:$DJ,'Area-Cabang'!$B85,'CWO Bulan Ini'!$DH:$DH,'Area-Cabang'!$E85,'CWO Bulan Ini'!$CZ:$CZ,'Area-Cabang'!AU$41)</f>
        <v>0</v>
      </c>
      <c r="AV85" s="42">
        <f>SUMIFS('CWO Bulan Ini'!$DD:$DD,'CWO Bulan Ini'!$DJ:$DJ,'Area-Cabang'!$B85,'CWO Bulan Ini'!$DH:$DH,'Area-Cabang'!$E85,'CWO Bulan Ini'!$CZ:$CZ,'Area-Cabang'!AV$41)</f>
        <v>0</v>
      </c>
      <c r="AW85" s="42">
        <f>SUMIFS('CWO Bulan Ini'!$DD:$DD,'CWO Bulan Ini'!$DJ:$DJ,'Area-Cabang'!$B85,'CWO Bulan Ini'!$DH:$DH,'Area-Cabang'!$E85,'CWO Bulan Ini'!$CZ:$CZ,'Area-Cabang'!AW$41)</f>
        <v>0</v>
      </c>
      <c r="AX85" s="42">
        <f>SUMIFS('CWO Bulan Ini'!$DD:$DD,'CWO Bulan Ini'!$DJ:$DJ,'Area-Cabang'!$B85,'CWO Bulan Ini'!$DH:$DH,'Area-Cabang'!$E85,'CWO Bulan Ini'!$CZ:$CZ,'Area-Cabang'!AX$41)</f>
        <v>0</v>
      </c>
      <c r="AY85" s="42">
        <f>SUMIFS('CWO Bulan Ini'!$DD:$DD,'CWO Bulan Ini'!$DJ:$DJ,'Area-Cabang'!$B85,'CWO Bulan Ini'!$DH:$DH,'Area-Cabang'!$E85,'CWO Bulan Ini'!$CZ:$CZ,'Area-Cabang'!AY$41)</f>
        <v>0</v>
      </c>
      <c r="AZ85" s="42">
        <f>SUMIFS('CWO Bulan Ini'!$DD:$DD,'CWO Bulan Ini'!$DJ:$DJ,'Area-Cabang'!$B85,'CWO Bulan Ini'!$DH:$DH,'Area-Cabang'!$E85,'CWO Bulan Ini'!$CZ:$CZ,'Area-Cabang'!AZ$41)</f>
        <v>0</v>
      </c>
      <c r="BA85" s="42">
        <f>SUMIFS('CWO Bulan Ini'!$DD:$DD,'CWO Bulan Ini'!$DJ:$DJ,'Area-Cabang'!$B85,'CWO Bulan Ini'!$DH:$DH,'Area-Cabang'!$E85,'CWO Bulan Ini'!$CZ:$CZ,'Area-Cabang'!BA$41)</f>
        <v>0</v>
      </c>
      <c r="BB85" s="42">
        <f>SUMIFS('CWO Bulan Ini'!$DD:$DD,'CWO Bulan Ini'!$DJ:$DJ,'Area-Cabang'!$B85,'CWO Bulan Ini'!$DH:$DH,'Area-Cabang'!$E85,'CWO Bulan Ini'!$CZ:$CZ,'Area-Cabang'!BB$41)</f>
        <v>0</v>
      </c>
      <c r="BC85" s="42">
        <f>SUMIFS('CWO Bulan Ini'!$DD:$DD,'CWO Bulan Ini'!$DJ:$DJ,'Area-Cabang'!$B85,'CWO Bulan Ini'!$DH:$DH,'Area-Cabang'!$E85,'CWO Bulan Ini'!$CZ:$CZ,'Area-Cabang'!BC$41)</f>
        <v>0</v>
      </c>
      <c r="BD85" s="42">
        <f>SUMIFS('CWO Bulan Ini'!$DD:$DD,'CWO Bulan Ini'!$DJ:$DJ,'Area-Cabang'!$B85,'CWO Bulan Ini'!$DH:$DH,'Area-Cabang'!$E85,'CWO Bulan Ini'!$CZ:$CZ,'Area-Cabang'!BD$41)</f>
        <v>0</v>
      </c>
      <c r="BE85" s="42">
        <f>SUMIFS('CWO Bulan Ini'!$DD:$DD,'CWO Bulan Ini'!$DJ:$DJ,'Area-Cabang'!$B85,'CWO Bulan Ini'!$DH:$DH,'Area-Cabang'!$E85,'CWO Bulan Ini'!$CZ:$CZ,'Area-Cabang'!BE$41)</f>
        <v>0</v>
      </c>
      <c r="BF85" s="42">
        <f>SUMIFS('CWO Bulan Ini'!$DD:$DD,'CWO Bulan Ini'!$DJ:$DJ,'Area-Cabang'!$B85,'CWO Bulan Ini'!$DH:$DH,'Area-Cabang'!$E85,'CWO Bulan Ini'!$CZ:$CZ,'Area-Cabang'!BF$41)</f>
        <v>0</v>
      </c>
      <c r="BG85" s="42">
        <f>SUMIFS('CWO Bulan Ini'!$DD:$DD,'CWO Bulan Ini'!$DJ:$DJ,'Area-Cabang'!$B85,'CWO Bulan Ini'!$DH:$DH,'Area-Cabang'!$E85,'CWO Bulan Ini'!$CZ:$CZ,'Area-Cabang'!BG$41)</f>
        <v>0</v>
      </c>
      <c r="BH85" s="42">
        <f>SUMIFS('CWO Bulan Ini'!$DD:$DD,'CWO Bulan Ini'!$DJ:$DJ,'Area-Cabang'!$B85,'CWO Bulan Ini'!$DH:$DH,'Area-Cabang'!$E85,'CWO Bulan Ini'!$CZ:$CZ,'Area-Cabang'!BH$41)</f>
        <v>0</v>
      </c>
      <c r="BI85" s="42">
        <f>SUMIFS('CWO Bulan Ini'!$DD:$DD,'CWO Bulan Ini'!$DJ:$DJ,'Area-Cabang'!$B85,'CWO Bulan Ini'!$DH:$DH,'Area-Cabang'!$E85,'CWO Bulan Ini'!$CZ:$CZ,'Area-Cabang'!BI$41)</f>
        <v>0</v>
      </c>
      <c r="BJ85" s="42">
        <f>SUMIFS('CWO Bulan Ini'!$DD:$DD,'CWO Bulan Ini'!$DJ:$DJ,'Area-Cabang'!$B85,'CWO Bulan Ini'!$DH:$DH,'Area-Cabang'!$E85,'CWO Bulan Ini'!$CZ:$CZ,'Area-Cabang'!BJ$41)</f>
        <v>0</v>
      </c>
      <c r="BK85" s="42">
        <f>SUMIFS('CWO Bulan Ini'!$DD:$DD,'CWO Bulan Ini'!$DJ:$DJ,'Area-Cabang'!$B85,'CWO Bulan Ini'!$DH:$DH,'Area-Cabang'!$E85,'CWO Bulan Ini'!$CZ:$CZ,'Area-Cabang'!BK$41)</f>
        <v>0</v>
      </c>
      <c r="BL85" s="42">
        <f>SUMIFS('CWO Bulan Ini'!$DD:$DD,'CWO Bulan Ini'!$DJ:$DJ,'Area-Cabang'!$B85,'CWO Bulan Ini'!$DH:$DH,'Area-Cabang'!$E85,'CWO Bulan Ini'!$CZ:$CZ,'Area-Cabang'!BL$41)</f>
        <v>0</v>
      </c>
      <c r="BM85" s="42">
        <f>SUMIFS('CWO Bulan Ini'!$DD:$DD,'CWO Bulan Ini'!$DJ:$DJ,'Area-Cabang'!$B85,'CWO Bulan Ini'!$DH:$DH,'Area-Cabang'!$E85,'CWO Bulan Ini'!$CZ:$CZ,'Area-Cabang'!BM$41)</f>
        <v>0</v>
      </c>
      <c r="BN85" s="42">
        <f>SUMIFS('CWO Bulan Ini'!$DD:$DD,'CWO Bulan Ini'!$DJ:$DJ,'Area-Cabang'!$B85,'CWO Bulan Ini'!$DH:$DH,'Area-Cabang'!$E85,'CWO Bulan Ini'!$CZ:$CZ,'Area-Cabang'!BN$41)</f>
        <v>0</v>
      </c>
      <c r="BO85" s="43">
        <f>SUMIFS('CWO Bulan Ini'!$DD:$DD,'CWO Bulan Ini'!$DJ:$DJ,'Area-Cabang'!$B85,'CWO Bulan Ini'!$DH:$DH,'Area-Cabang'!$E85,'CWO Bulan Ini'!$CZ:$CZ,'Area-Cabang'!BO$41)</f>
        <v>0</v>
      </c>
      <c r="BP85" s="41">
        <f>SUMIFS('CWO Bulan Ini'!$DC:$DC,'CWO Bulan Ini'!$DJ:$DJ,'Area-Cabang'!$B85,'CWO Bulan Ini'!$DH:$DH,'Area-Cabang'!$E85,'CWO Bulan Ini'!$CZ:$CZ,'Area-Cabang'!BP$41)</f>
        <v>0</v>
      </c>
      <c r="BQ85" s="42">
        <f>SUMIFS('CWO Bulan Ini'!$DC:$DC,'CWO Bulan Ini'!$DJ:$DJ,'Area-Cabang'!$B85,'CWO Bulan Ini'!$DH:$DH,'Area-Cabang'!$E85,'CWO Bulan Ini'!$CZ:$CZ,'Area-Cabang'!BQ$41)</f>
        <v>0</v>
      </c>
      <c r="BR85" s="42">
        <f>SUMIFS('CWO Bulan Ini'!$DC:$DC,'CWO Bulan Ini'!$DJ:$DJ,'Area-Cabang'!$B85,'CWO Bulan Ini'!$DH:$DH,'Area-Cabang'!$E85,'CWO Bulan Ini'!$CZ:$CZ,'Area-Cabang'!BR$41)</f>
        <v>0</v>
      </c>
      <c r="BS85" s="42">
        <f>SUMIFS('CWO Bulan Ini'!$DC:$DC,'CWO Bulan Ini'!$DJ:$DJ,'Area-Cabang'!$B85,'CWO Bulan Ini'!$DH:$DH,'Area-Cabang'!$E85,'CWO Bulan Ini'!$CZ:$CZ,'Area-Cabang'!BS$41)</f>
        <v>0</v>
      </c>
      <c r="BT85" s="42">
        <f>SUMIFS('CWO Bulan Ini'!$DC:$DC,'CWO Bulan Ini'!$DJ:$DJ,'Area-Cabang'!$B85,'CWO Bulan Ini'!$DH:$DH,'Area-Cabang'!$E85,'CWO Bulan Ini'!$CZ:$CZ,'Area-Cabang'!BT$41)</f>
        <v>0</v>
      </c>
      <c r="BU85" s="42">
        <f>SUMIFS('CWO Bulan Ini'!$DC:$DC,'CWO Bulan Ini'!$DJ:$DJ,'Area-Cabang'!$B85,'CWO Bulan Ini'!$DH:$DH,'Area-Cabang'!$E85,'CWO Bulan Ini'!$CZ:$CZ,'Area-Cabang'!BU$41)</f>
        <v>0</v>
      </c>
      <c r="BV85" s="42">
        <f>SUMIFS('CWO Bulan Ini'!$DC:$DC,'CWO Bulan Ini'!$DJ:$DJ,'Area-Cabang'!$B85,'CWO Bulan Ini'!$DH:$DH,'Area-Cabang'!$E85,'CWO Bulan Ini'!$CZ:$CZ,'Area-Cabang'!BV$41)</f>
        <v>0</v>
      </c>
      <c r="BW85" s="42">
        <f>SUMIFS('CWO Bulan Ini'!$DC:$DC,'CWO Bulan Ini'!$DJ:$DJ,'Area-Cabang'!$B85,'CWO Bulan Ini'!$DH:$DH,'Area-Cabang'!$E85,'CWO Bulan Ini'!$CZ:$CZ,'Area-Cabang'!BW$41)</f>
        <v>0</v>
      </c>
      <c r="BX85" s="42">
        <f>SUMIFS('CWO Bulan Ini'!$DC:$DC,'CWO Bulan Ini'!$DJ:$DJ,'Area-Cabang'!$B85,'CWO Bulan Ini'!$DH:$DH,'Area-Cabang'!$E85,'CWO Bulan Ini'!$CZ:$CZ,'Area-Cabang'!BX$41)</f>
        <v>0</v>
      </c>
      <c r="BY85" s="42">
        <f>SUMIFS('CWO Bulan Ini'!$DC:$DC,'CWO Bulan Ini'!$DJ:$DJ,'Area-Cabang'!$B85,'CWO Bulan Ini'!$DH:$DH,'Area-Cabang'!$E85,'CWO Bulan Ini'!$CZ:$CZ,'Area-Cabang'!BY$41)</f>
        <v>0</v>
      </c>
      <c r="BZ85" s="42">
        <f>SUMIFS('CWO Bulan Ini'!$DC:$DC,'CWO Bulan Ini'!$DJ:$DJ,'Area-Cabang'!$B85,'CWO Bulan Ini'!$DH:$DH,'Area-Cabang'!$E85,'CWO Bulan Ini'!$CZ:$CZ,'Area-Cabang'!BZ$41)</f>
        <v>0</v>
      </c>
      <c r="CA85" s="42">
        <f>SUMIFS('CWO Bulan Ini'!$DC:$DC,'CWO Bulan Ini'!$DJ:$DJ,'Area-Cabang'!$B85,'CWO Bulan Ini'!$DH:$DH,'Area-Cabang'!$E85,'CWO Bulan Ini'!$CZ:$CZ,'Area-Cabang'!CA$41)</f>
        <v>0</v>
      </c>
      <c r="CB85" s="42">
        <f>SUMIFS('CWO Bulan Ini'!$DC:$DC,'CWO Bulan Ini'!$DJ:$DJ,'Area-Cabang'!$B85,'CWO Bulan Ini'!$DH:$DH,'Area-Cabang'!$E85,'CWO Bulan Ini'!$CZ:$CZ,'Area-Cabang'!CB$41)</f>
        <v>0</v>
      </c>
      <c r="CC85" s="42">
        <f>SUMIFS('CWO Bulan Ini'!$DC:$DC,'CWO Bulan Ini'!$DJ:$DJ,'Area-Cabang'!$B85,'CWO Bulan Ini'!$DH:$DH,'Area-Cabang'!$E85,'CWO Bulan Ini'!$CZ:$CZ,'Area-Cabang'!CC$41)</f>
        <v>0</v>
      </c>
      <c r="CD85" s="42">
        <f>SUMIFS('CWO Bulan Ini'!$DC:$DC,'CWO Bulan Ini'!$DJ:$DJ,'Area-Cabang'!$B85,'CWO Bulan Ini'!$DH:$DH,'Area-Cabang'!$E85,'CWO Bulan Ini'!$CZ:$CZ,'Area-Cabang'!CD$41)</f>
        <v>0</v>
      </c>
      <c r="CE85" s="42">
        <f>SUMIFS('CWO Bulan Ini'!$DC:$DC,'CWO Bulan Ini'!$DJ:$DJ,'Area-Cabang'!$B85,'CWO Bulan Ini'!$DH:$DH,'Area-Cabang'!$E85,'CWO Bulan Ini'!$CZ:$CZ,'Area-Cabang'!CE$41)</f>
        <v>0</v>
      </c>
      <c r="CF85" s="42">
        <f>SUMIFS('CWO Bulan Ini'!$DC:$DC,'CWO Bulan Ini'!$DJ:$DJ,'Area-Cabang'!$B85,'CWO Bulan Ini'!$DH:$DH,'Area-Cabang'!$E85,'CWO Bulan Ini'!$CZ:$CZ,'Area-Cabang'!CF$41)</f>
        <v>0</v>
      </c>
      <c r="CG85" s="42">
        <f>SUMIFS('CWO Bulan Ini'!$DC:$DC,'CWO Bulan Ini'!$DJ:$DJ,'Area-Cabang'!$B85,'CWO Bulan Ini'!$DH:$DH,'Area-Cabang'!$E85,'CWO Bulan Ini'!$CZ:$CZ,'Area-Cabang'!CG$41)</f>
        <v>0</v>
      </c>
      <c r="CH85" s="42">
        <f>SUMIFS('CWO Bulan Ini'!$DC:$DC,'CWO Bulan Ini'!$DJ:$DJ,'Area-Cabang'!$B85,'CWO Bulan Ini'!$DH:$DH,'Area-Cabang'!$E85,'CWO Bulan Ini'!$CZ:$CZ,'Area-Cabang'!CH$41)</f>
        <v>0</v>
      </c>
      <c r="CI85" s="42">
        <f>SUMIFS('CWO Bulan Ini'!$DC:$DC,'CWO Bulan Ini'!$DJ:$DJ,'Area-Cabang'!$B85,'CWO Bulan Ini'!$DH:$DH,'Area-Cabang'!$E85,'CWO Bulan Ini'!$CZ:$CZ,'Area-Cabang'!CI$41)</f>
        <v>0</v>
      </c>
      <c r="CJ85" s="42">
        <f>SUMIFS('CWO Bulan Ini'!$DC:$DC,'CWO Bulan Ini'!$DJ:$DJ,'Area-Cabang'!$B85,'CWO Bulan Ini'!$DH:$DH,'Area-Cabang'!$E85,'CWO Bulan Ini'!$CZ:$CZ,'Area-Cabang'!CJ$41)</f>
        <v>0</v>
      </c>
      <c r="CK85" s="42">
        <f>SUMIFS('CWO Bulan Ini'!$DC:$DC,'CWO Bulan Ini'!$DJ:$DJ,'Area-Cabang'!$B85,'CWO Bulan Ini'!$DH:$DH,'Area-Cabang'!$E85,'CWO Bulan Ini'!$CZ:$CZ,'Area-Cabang'!CK$41)</f>
        <v>0</v>
      </c>
      <c r="CL85" s="42">
        <f>SUMIFS('CWO Bulan Ini'!$DC:$DC,'CWO Bulan Ini'!$DJ:$DJ,'Area-Cabang'!$B85,'CWO Bulan Ini'!$DH:$DH,'Area-Cabang'!$E85,'CWO Bulan Ini'!$CZ:$CZ,'Area-Cabang'!CL$41)</f>
        <v>0</v>
      </c>
      <c r="CM85" s="42">
        <f>SUMIFS('CWO Bulan Ini'!$DC:$DC,'CWO Bulan Ini'!$DJ:$DJ,'Area-Cabang'!$B85,'CWO Bulan Ini'!$DH:$DH,'Area-Cabang'!$E85,'CWO Bulan Ini'!$CZ:$CZ,'Area-Cabang'!CM$41)</f>
        <v>0</v>
      </c>
      <c r="CN85" s="42">
        <f>SUMIFS('CWO Bulan Ini'!$DC:$DC,'CWO Bulan Ini'!$DJ:$DJ,'Area-Cabang'!$B85,'CWO Bulan Ini'!$DH:$DH,'Area-Cabang'!$E85,'CWO Bulan Ini'!$CZ:$CZ,'Area-Cabang'!CN$41)</f>
        <v>0</v>
      </c>
      <c r="CO85" s="42">
        <f>SUMIFS('CWO Bulan Ini'!$DC:$DC,'CWO Bulan Ini'!$DJ:$DJ,'Area-Cabang'!$B85,'CWO Bulan Ini'!$DH:$DH,'Area-Cabang'!$E85,'CWO Bulan Ini'!$CZ:$CZ,'Area-Cabang'!CO$41)</f>
        <v>0</v>
      </c>
      <c r="CP85" s="42">
        <f>SUMIFS('CWO Bulan Ini'!$DC:$DC,'CWO Bulan Ini'!$DJ:$DJ,'Area-Cabang'!$B85,'CWO Bulan Ini'!$DH:$DH,'Area-Cabang'!$E85,'CWO Bulan Ini'!$CZ:$CZ,'Area-Cabang'!CP$41)</f>
        <v>0</v>
      </c>
      <c r="CQ85" s="42">
        <f>SUMIFS('CWO Bulan Ini'!$DC:$DC,'CWO Bulan Ini'!$DJ:$DJ,'Area-Cabang'!$B85,'CWO Bulan Ini'!$DH:$DH,'Area-Cabang'!$E85,'CWO Bulan Ini'!$CZ:$CZ,'Area-Cabang'!CQ$41)</f>
        <v>0</v>
      </c>
      <c r="CR85" s="42">
        <f>SUMIFS('CWO Bulan Ini'!$DC:$DC,'CWO Bulan Ini'!$DJ:$DJ,'Area-Cabang'!$B85,'CWO Bulan Ini'!$DH:$DH,'Area-Cabang'!$E85,'CWO Bulan Ini'!$CZ:$CZ,'Area-Cabang'!CR$41)</f>
        <v>0</v>
      </c>
      <c r="CS85" s="42">
        <f>SUMIFS('CWO Bulan Ini'!$DC:$DC,'CWO Bulan Ini'!$DJ:$DJ,'Area-Cabang'!$B85,'CWO Bulan Ini'!$DH:$DH,'Area-Cabang'!$E85,'CWO Bulan Ini'!$CZ:$CZ,'Area-Cabang'!CS$41)</f>
        <v>0</v>
      </c>
      <c r="CT85" s="43">
        <f>SUMIFS('CWO Bulan Ini'!$DC:$DC,'CWO Bulan Ini'!$DJ:$DJ,'Area-Cabang'!$B85,'CWO Bulan Ini'!$DH:$DH,'Area-Cabang'!$E85,'CWO Bulan Ini'!$CZ:$CZ,'Area-Cabang'!CT$41)</f>
        <v>0</v>
      </c>
      <c r="CV85" s="96">
        <f t="shared" si="2423"/>
        <v>3.7302722799999999</v>
      </c>
      <c r="CW85" s="93">
        <f t="shared" si="2424"/>
        <v>0</v>
      </c>
      <c r="CX85" s="93">
        <f t="shared" si="2425"/>
        <v>0</v>
      </c>
      <c r="CY85" s="93">
        <f t="shared" si="2426"/>
        <v>3.7302722799999999</v>
      </c>
      <c r="CZ85" s="106">
        <f t="shared" si="2427"/>
        <v>3.7302722799999999</v>
      </c>
    </row>
    <row r="86" spans="1:104" ht="15" customHeight="1" x14ac:dyDescent="0.25">
      <c r="A86" s="58" t="s">
        <v>487</v>
      </c>
      <c r="B86" s="53" t="s">
        <v>821</v>
      </c>
      <c r="C86" s="250"/>
      <c r="D86" s="227" t="s">
        <v>821</v>
      </c>
      <c r="E86" s="228"/>
      <c r="F86" s="219">
        <f t="shared" ref="F86" si="2428">SUM(F84:F85)</f>
        <v>0</v>
      </c>
      <c r="G86" s="220">
        <f t="shared" ref="G86" si="2429">SUM(G84:G85)</f>
        <v>0</v>
      </c>
      <c r="H86" s="220">
        <f t="shared" ref="H86" si="2430">SUM(H84:H85)</f>
        <v>0</v>
      </c>
      <c r="I86" s="220">
        <f t="shared" ref="I86" si="2431">SUM(I84:I85)</f>
        <v>160.02240781</v>
      </c>
      <c r="J86" s="220">
        <f t="shared" ref="J86" si="2432">SUM(J84:J85)</f>
        <v>0</v>
      </c>
      <c r="K86" s="220">
        <f t="shared" ref="K86" si="2433">SUM(K84:K85)</f>
        <v>0</v>
      </c>
      <c r="L86" s="220">
        <f t="shared" ref="L86" si="2434">SUM(L84:L85)</f>
        <v>0</v>
      </c>
      <c r="M86" s="220">
        <f t="shared" ref="M86" si="2435">SUM(M84:M85)</f>
        <v>0</v>
      </c>
      <c r="N86" s="220">
        <f t="shared" ref="N86" si="2436">SUM(N84:N85)</f>
        <v>0</v>
      </c>
      <c r="O86" s="220">
        <f t="shared" ref="O86" si="2437">SUM(O84:O85)</f>
        <v>0</v>
      </c>
      <c r="P86" s="220">
        <f t="shared" ref="P86" si="2438">SUM(P84:P85)</f>
        <v>0</v>
      </c>
      <c r="Q86" s="220">
        <f t="shared" ref="Q86" si="2439">SUM(Q84:Q85)</f>
        <v>0</v>
      </c>
      <c r="R86" s="220">
        <f t="shared" ref="R86" si="2440">SUM(R84:R85)</f>
        <v>0</v>
      </c>
      <c r="S86" s="220">
        <f t="shared" ref="S86" si="2441">SUM(S84:S85)</f>
        <v>0</v>
      </c>
      <c r="T86" s="220">
        <f t="shared" ref="T86" si="2442">SUM(T84:T85)</f>
        <v>0</v>
      </c>
      <c r="U86" s="220">
        <f t="shared" ref="U86" si="2443">SUM(U84:U85)</f>
        <v>3.7302722799999999</v>
      </c>
      <c r="V86" s="220">
        <f t="shared" ref="V86" si="2444">SUM(V84:V85)</f>
        <v>0</v>
      </c>
      <c r="W86" s="220">
        <f t="shared" ref="W86" si="2445">SUM(W84:W85)</f>
        <v>0</v>
      </c>
      <c r="X86" s="220">
        <f t="shared" ref="X86" si="2446">SUM(X84:X85)</f>
        <v>0</v>
      </c>
      <c r="Y86" s="220">
        <f t="shared" ref="Y86" si="2447">SUM(Y84:Y85)</f>
        <v>0</v>
      </c>
      <c r="Z86" s="220">
        <f t="shared" ref="Z86" si="2448">SUM(Z84:Z85)</f>
        <v>0</v>
      </c>
      <c r="AA86" s="220">
        <f t="shared" ref="AA86" si="2449">SUM(AA84:AA85)</f>
        <v>0</v>
      </c>
      <c r="AB86" s="220">
        <f t="shared" ref="AB86" si="2450">SUM(AB84:AB85)</f>
        <v>0</v>
      </c>
      <c r="AC86" s="220">
        <f t="shared" ref="AC86" si="2451">SUM(AC84:AC85)</f>
        <v>0</v>
      </c>
      <c r="AD86" s="220">
        <f t="shared" ref="AD86" si="2452">SUM(AD84:AD85)</f>
        <v>0</v>
      </c>
      <c r="AE86" s="220">
        <f t="shared" ref="AE86" si="2453">SUM(AE84:AE85)</f>
        <v>0</v>
      </c>
      <c r="AF86" s="220">
        <f t="shared" ref="AF86" si="2454">SUM(AF84:AF85)</f>
        <v>0</v>
      </c>
      <c r="AG86" s="220">
        <f t="shared" ref="AG86" si="2455">SUM(AG84:AG85)</f>
        <v>0</v>
      </c>
      <c r="AH86" s="220">
        <f t="shared" ref="AH86" si="2456">SUM(AH84:AH85)</f>
        <v>0</v>
      </c>
      <c r="AI86" s="220">
        <f t="shared" ref="AI86" si="2457">SUM(AI84:AI85)</f>
        <v>0</v>
      </c>
      <c r="AJ86" s="220">
        <f t="shared" ref="AJ86" si="2458">SUM(AJ84:AJ85)</f>
        <v>0</v>
      </c>
      <c r="AK86" s="219">
        <f t="shared" ref="AK86" si="2459">SUM(AK84:AK85)</f>
        <v>0</v>
      </c>
      <c r="AL86" s="220">
        <f t="shared" ref="AL86" si="2460">SUM(AL84:AL85)</f>
        <v>0</v>
      </c>
      <c r="AM86" s="220">
        <f t="shared" ref="AM86" si="2461">SUM(AM84:AM85)</f>
        <v>0</v>
      </c>
      <c r="AN86" s="220">
        <f t="shared" ref="AN86" si="2462">SUM(AN84:AN85)</f>
        <v>160.02240781</v>
      </c>
      <c r="AO86" s="220">
        <f t="shared" ref="AO86" si="2463">SUM(AO84:AO85)</f>
        <v>0</v>
      </c>
      <c r="AP86" s="220">
        <f t="shared" ref="AP86" si="2464">SUM(AP84:AP85)</f>
        <v>0</v>
      </c>
      <c r="AQ86" s="220">
        <f t="shared" ref="AQ86" si="2465">SUM(AQ84:AQ85)</f>
        <v>0</v>
      </c>
      <c r="AR86" s="220">
        <f t="shared" ref="AR86" si="2466">SUM(AR84:AR85)</f>
        <v>0</v>
      </c>
      <c r="AS86" s="220">
        <f t="shared" ref="AS86" si="2467">SUM(AS84:AS85)</f>
        <v>0</v>
      </c>
      <c r="AT86" s="220">
        <f t="shared" ref="AT86" si="2468">SUM(AT84:AT85)</f>
        <v>0</v>
      </c>
      <c r="AU86" s="220">
        <f t="shared" ref="AU86" si="2469">SUM(AU84:AU85)</f>
        <v>0</v>
      </c>
      <c r="AV86" s="220">
        <f t="shared" ref="AV86" si="2470">SUM(AV84:AV85)</f>
        <v>0</v>
      </c>
      <c r="AW86" s="220">
        <f t="shared" ref="AW86" si="2471">SUM(AW84:AW85)</f>
        <v>0</v>
      </c>
      <c r="AX86" s="220">
        <f t="shared" ref="AX86" si="2472">SUM(AX84:AX85)</f>
        <v>0</v>
      </c>
      <c r="AY86" s="220">
        <f t="shared" ref="AY86" si="2473">SUM(AY84:AY85)</f>
        <v>0</v>
      </c>
      <c r="AZ86" s="220">
        <f t="shared" ref="AZ86" si="2474">SUM(AZ84:AZ85)</f>
        <v>0</v>
      </c>
      <c r="BA86" s="220">
        <f t="shared" ref="BA86" si="2475">SUM(BA84:BA85)</f>
        <v>0</v>
      </c>
      <c r="BB86" s="220">
        <f t="shared" ref="BB86" si="2476">SUM(BB84:BB85)</f>
        <v>0</v>
      </c>
      <c r="BC86" s="220">
        <f t="shared" ref="BC86" si="2477">SUM(BC84:BC85)</f>
        <v>0</v>
      </c>
      <c r="BD86" s="220">
        <f t="shared" ref="BD86" si="2478">SUM(BD84:BD85)</f>
        <v>0</v>
      </c>
      <c r="BE86" s="220">
        <f t="shared" ref="BE86" si="2479">SUM(BE84:BE85)</f>
        <v>0</v>
      </c>
      <c r="BF86" s="220">
        <f t="shared" ref="BF86" si="2480">SUM(BF84:BF85)</f>
        <v>0</v>
      </c>
      <c r="BG86" s="220">
        <f t="shared" ref="BG86" si="2481">SUM(BG84:BG85)</f>
        <v>0</v>
      </c>
      <c r="BH86" s="220">
        <f t="shared" ref="BH86" si="2482">SUM(BH84:BH85)</f>
        <v>0</v>
      </c>
      <c r="BI86" s="220">
        <f t="shared" ref="BI86" si="2483">SUM(BI84:BI85)</f>
        <v>0</v>
      </c>
      <c r="BJ86" s="220">
        <f t="shared" ref="BJ86" si="2484">SUM(BJ84:BJ85)</f>
        <v>0</v>
      </c>
      <c r="BK86" s="220">
        <f t="shared" ref="BK86" si="2485">SUM(BK84:BK85)</f>
        <v>0</v>
      </c>
      <c r="BL86" s="220">
        <f t="shared" ref="BL86" si="2486">SUM(BL84:BL85)</f>
        <v>0</v>
      </c>
      <c r="BM86" s="220">
        <f t="shared" ref="BM86" si="2487">SUM(BM84:BM85)</f>
        <v>0</v>
      </c>
      <c r="BN86" s="220">
        <f t="shared" ref="BN86" si="2488">SUM(BN84:BN85)</f>
        <v>0</v>
      </c>
      <c r="BO86" s="221">
        <f t="shared" ref="BO86" si="2489">SUM(BO84:BO85)</f>
        <v>0</v>
      </c>
      <c r="BP86" s="219">
        <f t="shared" ref="BP86" si="2490">SUM(BP84:BP85)</f>
        <v>0</v>
      </c>
      <c r="BQ86" s="220">
        <f t="shared" ref="BQ86" si="2491">SUM(BQ84:BQ85)</f>
        <v>0</v>
      </c>
      <c r="BR86" s="220">
        <f t="shared" ref="BR86" si="2492">SUM(BR84:BR85)</f>
        <v>0</v>
      </c>
      <c r="BS86" s="220">
        <f t="shared" ref="BS86" si="2493">SUM(BS84:BS85)</f>
        <v>0</v>
      </c>
      <c r="BT86" s="220">
        <f t="shared" ref="BT86" si="2494">SUM(BT84:BT85)</f>
        <v>0</v>
      </c>
      <c r="BU86" s="220">
        <f t="shared" ref="BU86" si="2495">SUM(BU84:BU85)</f>
        <v>0</v>
      </c>
      <c r="BV86" s="220">
        <f t="shared" ref="BV86" si="2496">SUM(BV84:BV85)</f>
        <v>0</v>
      </c>
      <c r="BW86" s="220">
        <f t="shared" ref="BW86" si="2497">SUM(BW84:BW85)</f>
        <v>0</v>
      </c>
      <c r="BX86" s="220">
        <f t="shared" ref="BX86" si="2498">SUM(BX84:BX85)</f>
        <v>0</v>
      </c>
      <c r="BY86" s="220">
        <f t="shared" ref="BY86" si="2499">SUM(BY84:BY85)</f>
        <v>0</v>
      </c>
      <c r="BZ86" s="220">
        <f t="shared" ref="BZ86" si="2500">SUM(BZ84:BZ85)</f>
        <v>0</v>
      </c>
      <c r="CA86" s="220">
        <f t="shared" ref="CA86" si="2501">SUM(CA84:CA85)</f>
        <v>0</v>
      </c>
      <c r="CB86" s="220">
        <f t="shared" ref="CB86" si="2502">SUM(CB84:CB85)</f>
        <v>0</v>
      </c>
      <c r="CC86" s="220">
        <f t="shared" ref="CC86" si="2503">SUM(CC84:CC85)</f>
        <v>0</v>
      </c>
      <c r="CD86" s="220">
        <f t="shared" ref="CD86" si="2504">SUM(CD84:CD85)</f>
        <v>0</v>
      </c>
      <c r="CE86" s="220">
        <f t="shared" ref="CE86" si="2505">SUM(CE84:CE85)</f>
        <v>0</v>
      </c>
      <c r="CF86" s="220">
        <f t="shared" ref="CF86" si="2506">SUM(CF84:CF85)</f>
        <v>0</v>
      </c>
      <c r="CG86" s="220">
        <f t="shared" ref="CG86" si="2507">SUM(CG84:CG85)</f>
        <v>0</v>
      </c>
      <c r="CH86" s="220">
        <f t="shared" ref="CH86" si="2508">SUM(CH84:CH85)</f>
        <v>0</v>
      </c>
      <c r="CI86" s="220">
        <f t="shared" ref="CI86" si="2509">SUM(CI84:CI85)</f>
        <v>0</v>
      </c>
      <c r="CJ86" s="220">
        <f t="shared" ref="CJ86" si="2510">SUM(CJ84:CJ85)</f>
        <v>0</v>
      </c>
      <c r="CK86" s="220">
        <f t="shared" ref="CK86" si="2511">SUM(CK84:CK85)</f>
        <v>0</v>
      </c>
      <c r="CL86" s="220">
        <f t="shared" ref="CL86" si="2512">SUM(CL84:CL85)</f>
        <v>0</v>
      </c>
      <c r="CM86" s="220">
        <f t="shared" ref="CM86" si="2513">SUM(CM84:CM85)</f>
        <v>0</v>
      </c>
      <c r="CN86" s="220">
        <f t="shared" ref="CN86" si="2514">SUM(CN84:CN85)</f>
        <v>0</v>
      </c>
      <c r="CO86" s="220">
        <f t="shared" ref="CO86" si="2515">SUM(CO84:CO85)</f>
        <v>0</v>
      </c>
      <c r="CP86" s="220">
        <f t="shared" ref="CP86" si="2516">SUM(CP84:CP85)</f>
        <v>0</v>
      </c>
      <c r="CQ86" s="220">
        <f t="shared" ref="CQ86" si="2517">SUM(CQ84:CQ85)</f>
        <v>0</v>
      </c>
      <c r="CR86" s="220">
        <f t="shared" ref="CR86" si="2518">SUM(CR84:CR85)</f>
        <v>0</v>
      </c>
      <c r="CS86" s="220">
        <f t="shared" ref="CS86" si="2519">SUM(CS84:CS85)</f>
        <v>0</v>
      </c>
      <c r="CT86" s="221">
        <f t="shared" ref="CT86" si="2520">SUM(CT84:CT85)</f>
        <v>0</v>
      </c>
      <c r="CU86" s="226"/>
      <c r="CV86" s="219">
        <f t="shared" ref="CV86" si="2521">SUM(CV84:CV85)</f>
        <v>163.75268009000001</v>
      </c>
      <c r="CW86" s="220">
        <f t="shared" ref="CW86" si="2522">SUM(CW84:CW85)</f>
        <v>160.02240781</v>
      </c>
      <c r="CX86" s="220">
        <f t="shared" ref="CX86" si="2523">SUM(CX84:CX85)</f>
        <v>0</v>
      </c>
      <c r="CY86" s="220">
        <f t="shared" ref="CY86" si="2524">SUM(CY84:CY85)</f>
        <v>3.7302722799999999</v>
      </c>
      <c r="CZ86" s="222">
        <f t="shared" ref="CZ86" si="2525">SUM(CZ84:CZ85)</f>
        <v>163.75268009000001</v>
      </c>
    </row>
    <row r="87" spans="1:104" ht="15" customHeight="1" x14ac:dyDescent="0.25">
      <c r="A87" s="58" t="s">
        <v>487</v>
      </c>
      <c r="B87" s="53" t="s">
        <v>247</v>
      </c>
      <c r="C87" s="250"/>
      <c r="D87" s="245" t="s">
        <v>247</v>
      </c>
      <c r="E87" s="85" t="s">
        <v>132</v>
      </c>
      <c r="F87" s="55">
        <f>SUMIFS('CWO Bulan Ini'!$DA:$DA,'CWO Bulan Ini'!$DJ:$DJ,'Area-Cabang'!$B87,'CWO Bulan Ini'!$DH:$DH,'Area-Cabang'!$E87,'CWO Bulan Ini'!$CZ:$CZ,'Area-Cabang'!F$41)</f>
        <v>0</v>
      </c>
      <c r="G87" s="56">
        <f>SUMIFS('CWO Bulan Ini'!$DA:$DA,'CWO Bulan Ini'!$DJ:$DJ,'Area-Cabang'!$B87,'CWO Bulan Ini'!$DH:$DH,'Area-Cabang'!$E87,'CWO Bulan Ini'!$CZ:$CZ,'Area-Cabang'!G$41)</f>
        <v>0</v>
      </c>
      <c r="H87" s="56">
        <f>SUMIFS('CWO Bulan Ini'!$DA:$DA,'CWO Bulan Ini'!$DJ:$DJ,'Area-Cabang'!$B87,'CWO Bulan Ini'!$DH:$DH,'Area-Cabang'!$E87,'CWO Bulan Ini'!$CZ:$CZ,'Area-Cabang'!H$41)</f>
        <v>0</v>
      </c>
      <c r="I87" s="56">
        <f>SUMIFS('CWO Bulan Ini'!$DA:$DA,'CWO Bulan Ini'!$DJ:$DJ,'Area-Cabang'!$B87,'CWO Bulan Ini'!$DH:$DH,'Area-Cabang'!$E87,'CWO Bulan Ini'!$CZ:$CZ,'Area-Cabang'!I$41)</f>
        <v>0</v>
      </c>
      <c r="J87" s="56">
        <f>SUMIFS('CWO Bulan Ini'!$DA:$DA,'CWO Bulan Ini'!$DJ:$DJ,'Area-Cabang'!$B87,'CWO Bulan Ini'!$DH:$DH,'Area-Cabang'!$E87,'CWO Bulan Ini'!$CZ:$CZ,'Area-Cabang'!J$41)</f>
        <v>0</v>
      </c>
      <c r="K87" s="56">
        <f>SUMIFS('CWO Bulan Ini'!$DA:$DA,'CWO Bulan Ini'!$DJ:$DJ,'Area-Cabang'!$B87,'CWO Bulan Ini'!$DH:$DH,'Area-Cabang'!$E87,'CWO Bulan Ini'!$CZ:$CZ,'Area-Cabang'!K$41)</f>
        <v>0</v>
      </c>
      <c r="L87" s="56">
        <f>SUMIFS('CWO Bulan Ini'!$DA:$DA,'CWO Bulan Ini'!$DJ:$DJ,'Area-Cabang'!$B87,'CWO Bulan Ini'!$DH:$DH,'Area-Cabang'!$E87,'CWO Bulan Ini'!$CZ:$CZ,'Area-Cabang'!L$41)</f>
        <v>0</v>
      </c>
      <c r="M87" s="56">
        <f>SUMIFS('CWO Bulan Ini'!$DA:$DA,'CWO Bulan Ini'!$DJ:$DJ,'Area-Cabang'!$B87,'CWO Bulan Ini'!$DH:$DH,'Area-Cabang'!$E87,'CWO Bulan Ini'!$CZ:$CZ,'Area-Cabang'!M$41)</f>
        <v>0</v>
      </c>
      <c r="N87" s="56">
        <f>SUMIFS('CWO Bulan Ini'!$DA:$DA,'CWO Bulan Ini'!$DJ:$DJ,'Area-Cabang'!$B87,'CWO Bulan Ini'!$DH:$DH,'Area-Cabang'!$E87,'CWO Bulan Ini'!$CZ:$CZ,'Area-Cabang'!N$41)</f>
        <v>0</v>
      </c>
      <c r="O87" s="56">
        <f>SUMIFS('CWO Bulan Ini'!$DA:$DA,'CWO Bulan Ini'!$DJ:$DJ,'Area-Cabang'!$B87,'CWO Bulan Ini'!$DH:$DH,'Area-Cabang'!$E87,'CWO Bulan Ini'!$CZ:$CZ,'Area-Cabang'!O$41)</f>
        <v>0</v>
      </c>
      <c r="P87" s="56">
        <f>SUMIFS('CWO Bulan Ini'!$DA:$DA,'CWO Bulan Ini'!$DJ:$DJ,'Area-Cabang'!$B87,'CWO Bulan Ini'!$DH:$DH,'Area-Cabang'!$E87,'CWO Bulan Ini'!$CZ:$CZ,'Area-Cabang'!P$41)</f>
        <v>0</v>
      </c>
      <c r="Q87" s="56">
        <f>SUMIFS('CWO Bulan Ini'!$DA:$DA,'CWO Bulan Ini'!$DJ:$DJ,'Area-Cabang'!$B87,'CWO Bulan Ini'!$DH:$DH,'Area-Cabang'!$E87,'CWO Bulan Ini'!$CZ:$CZ,'Area-Cabang'!Q$41)</f>
        <v>0</v>
      </c>
      <c r="R87" s="56">
        <f>SUMIFS('CWO Bulan Ini'!$DA:$DA,'CWO Bulan Ini'!$DJ:$DJ,'Area-Cabang'!$B87,'CWO Bulan Ini'!$DH:$DH,'Area-Cabang'!$E87,'CWO Bulan Ini'!$CZ:$CZ,'Area-Cabang'!R$41)</f>
        <v>0</v>
      </c>
      <c r="S87" s="56">
        <f>SUMIFS('CWO Bulan Ini'!$DA:$DA,'CWO Bulan Ini'!$DJ:$DJ,'Area-Cabang'!$B87,'CWO Bulan Ini'!$DH:$DH,'Area-Cabang'!$E87,'CWO Bulan Ini'!$CZ:$CZ,'Area-Cabang'!S$41)</f>
        <v>0</v>
      </c>
      <c r="T87" s="56">
        <f>SUMIFS('CWO Bulan Ini'!$DA:$DA,'CWO Bulan Ini'!$DJ:$DJ,'Area-Cabang'!$B87,'CWO Bulan Ini'!$DH:$DH,'Area-Cabang'!$E87,'CWO Bulan Ini'!$CZ:$CZ,'Area-Cabang'!T$41)</f>
        <v>0</v>
      </c>
      <c r="U87" s="56">
        <f>SUMIFS('CWO Bulan Ini'!$DA:$DA,'CWO Bulan Ini'!$DJ:$DJ,'Area-Cabang'!$B87,'CWO Bulan Ini'!$DH:$DH,'Area-Cabang'!$E87,'CWO Bulan Ini'!$CZ:$CZ,'Area-Cabang'!U$41)</f>
        <v>0</v>
      </c>
      <c r="V87" s="56">
        <f>SUMIFS('CWO Bulan Ini'!$DA:$DA,'CWO Bulan Ini'!$DJ:$DJ,'Area-Cabang'!$B87,'CWO Bulan Ini'!$DH:$DH,'Area-Cabang'!$E87,'CWO Bulan Ini'!$CZ:$CZ,'Area-Cabang'!V$41)</f>
        <v>0</v>
      </c>
      <c r="W87" s="56">
        <f>SUMIFS('CWO Bulan Ini'!$DA:$DA,'CWO Bulan Ini'!$DJ:$DJ,'Area-Cabang'!$B87,'CWO Bulan Ini'!$DH:$DH,'Area-Cabang'!$E87,'CWO Bulan Ini'!$CZ:$CZ,'Area-Cabang'!W$41)</f>
        <v>0</v>
      </c>
      <c r="X87" s="56">
        <f>SUMIFS('CWO Bulan Ini'!$DA:$DA,'CWO Bulan Ini'!$DJ:$DJ,'Area-Cabang'!$B87,'CWO Bulan Ini'!$DH:$DH,'Area-Cabang'!$E87,'CWO Bulan Ini'!$CZ:$CZ,'Area-Cabang'!X$41)</f>
        <v>0</v>
      </c>
      <c r="Y87" s="56">
        <f>SUMIFS('CWO Bulan Ini'!$DA:$DA,'CWO Bulan Ini'!$DJ:$DJ,'Area-Cabang'!$B87,'CWO Bulan Ini'!$DH:$DH,'Area-Cabang'!$E87,'CWO Bulan Ini'!$CZ:$CZ,'Area-Cabang'!Y$41)</f>
        <v>0</v>
      </c>
      <c r="Z87" s="56">
        <f>SUMIFS('CWO Bulan Ini'!$DA:$DA,'CWO Bulan Ini'!$DJ:$DJ,'Area-Cabang'!$B87,'CWO Bulan Ini'!$DH:$DH,'Area-Cabang'!$E87,'CWO Bulan Ini'!$CZ:$CZ,'Area-Cabang'!Z$41)</f>
        <v>0</v>
      </c>
      <c r="AA87" s="56">
        <f>SUMIFS('CWO Bulan Ini'!$DA:$DA,'CWO Bulan Ini'!$DJ:$DJ,'Area-Cabang'!$B87,'CWO Bulan Ini'!$DH:$DH,'Area-Cabang'!$E87,'CWO Bulan Ini'!$CZ:$CZ,'Area-Cabang'!AA$41)</f>
        <v>0</v>
      </c>
      <c r="AB87" s="56">
        <f>SUMIFS('CWO Bulan Ini'!$DA:$DA,'CWO Bulan Ini'!$DJ:$DJ,'Area-Cabang'!$B87,'CWO Bulan Ini'!$DH:$DH,'Area-Cabang'!$E87,'CWO Bulan Ini'!$CZ:$CZ,'Area-Cabang'!AB$41)</f>
        <v>0</v>
      </c>
      <c r="AC87" s="56">
        <f>SUMIFS('CWO Bulan Ini'!$DA:$DA,'CWO Bulan Ini'!$DJ:$DJ,'Area-Cabang'!$B87,'CWO Bulan Ini'!$DH:$DH,'Area-Cabang'!$E87,'CWO Bulan Ini'!$CZ:$CZ,'Area-Cabang'!AC$41)</f>
        <v>0</v>
      </c>
      <c r="AD87" s="56">
        <f>SUMIFS('CWO Bulan Ini'!$DA:$DA,'CWO Bulan Ini'!$DJ:$DJ,'Area-Cabang'!$B87,'CWO Bulan Ini'!$DH:$DH,'Area-Cabang'!$E87,'CWO Bulan Ini'!$CZ:$CZ,'Area-Cabang'!AD$41)</f>
        <v>0</v>
      </c>
      <c r="AE87" s="56">
        <f>SUMIFS('CWO Bulan Ini'!$DA:$DA,'CWO Bulan Ini'!$DJ:$DJ,'Area-Cabang'!$B87,'CWO Bulan Ini'!$DH:$DH,'Area-Cabang'!$E87,'CWO Bulan Ini'!$CZ:$CZ,'Area-Cabang'!AE$41)</f>
        <v>0</v>
      </c>
      <c r="AF87" s="56">
        <f>SUMIFS('CWO Bulan Ini'!$DA:$DA,'CWO Bulan Ini'!$DJ:$DJ,'Area-Cabang'!$B87,'CWO Bulan Ini'!$DH:$DH,'Area-Cabang'!$E87,'CWO Bulan Ini'!$CZ:$CZ,'Area-Cabang'!AF$41)</f>
        <v>0</v>
      </c>
      <c r="AG87" s="56">
        <f>SUMIFS('CWO Bulan Ini'!$DA:$DA,'CWO Bulan Ini'!$DJ:$DJ,'Area-Cabang'!$B87,'CWO Bulan Ini'!$DH:$DH,'Area-Cabang'!$E87,'CWO Bulan Ini'!$CZ:$CZ,'Area-Cabang'!AG$41)</f>
        <v>0</v>
      </c>
      <c r="AH87" s="56">
        <f>SUMIFS('CWO Bulan Ini'!$DA:$DA,'CWO Bulan Ini'!$DJ:$DJ,'Area-Cabang'!$B87,'CWO Bulan Ini'!$DH:$DH,'Area-Cabang'!$E87,'CWO Bulan Ini'!$CZ:$CZ,'Area-Cabang'!AH$41)</f>
        <v>0</v>
      </c>
      <c r="AI87" s="56">
        <f>SUMIFS('CWO Bulan Ini'!$DA:$DA,'CWO Bulan Ini'!$DJ:$DJ,'Area-Cabang'!$B87,'CWO Bulan Ini'!$DH:$DH,'Area-Cabang'!$E87,'CWO Bulan Ini'!$CZ:$CZ,'Area-Cabang'!AI$41)</f>
        <v>0</v>
      </c>
      <c r="AJ87" s="56">
        <f>SUMIFS('CWO Bulan Ini'!$DA:$DA,'CWO Bulan Ini'!$DJ:$DJ,'Area-Cabang'!$B87,'CWO Bulan Ini'!$DH:$DH,'Area-Cabang'!$E87,'CWO Bulan Ini'!$CZ:$CZ,'Area-Cabang'!AJ$41)</f>
        <v>0</v>
      </c>
      <c r="AK87" s="55">
        <f>SUMIFS('CWO Bulan Ini'!$DD:$DD,'CWO Bulan Ini'!$DJ:$DJ,'Area-Cabang'!$B87,'CWO Bulan Ini'!$DH:$DH,'Area-Cabang'!$E87,'CWO Bulan Ini'!$CZ:$CZ,'Area-Cabang'!AK$41)</f>
        <v>0</v>
      </c>
      <c r="AL87" s="56">
        <f>SUMIFS('CWO Bulan Ini'!$DD:$DD,'CWO Bulan Ini'!$DJ:$DJ,'Area-Cabang'!$B87,'CWO Bulan Ini'!$DH:$DH,'Area-Cabang'!$E87,'CWO Bulan Ini'!$CZ:$CZ,'Area-Cabang'!AL$41)</f>
        <v>0</v>
      </c>
      <c r="AM87" s="56">
        <f>SUMIFS('CWO Bulan Ini'!$DD:$DD,'CWO Bulan Ini'!$DJ:$DJ,'Area-Cabang'!$B87,'CWO Bulan Ini'!$DH:$DH,'Area-Cabang'!$E87,'CWO Bulan Ini'!$CZ:$CZ,'Area-Cabang'!AM$41)</f>
        <v>0</v>
      </c>
      <c r="AN87" s="56">
        <f>SUMIFS('CWO Bulan Ini'!$DD:$DD,'CWO Bulan Ini'!$DJ:$DJ,'Area-Cabang'!$B87,'CWO Bulan Ini'!$DH:$DH,'Area-Cabang'!$E87,'CWO Bulan Ini'!$CZ:$CZ,'Area-Cabang'!AN$41)</f>
        <v>0</v>
      </c>
      <c r="AO87" s="56">
        <f>SUMIFS('CWO Bulan Ini'!$DD:$DD,'CWO Bulan Ini'!$DJ:$DJ,'Area-Cabang'!$B87,'CWO Bulan Ini'!$DH:$DH,'Area-Cabang'!$E87,'CWO Bulan Ini'!$CZ:$CZ,'Area-Cabang'!AO$41)</f>
        <v>0</v>
      </c>
      <c r="AP87" s="56">
        <f>SUMIFS('CWO Bulan Ini'!$DD:$DD,'CWO Bulan Ini'!$DJ:$DJ,'Area-Cabang'!$B87,'CWO Bulan Ini'!$DH:$DH,'Area-Cabang'!$E87,'CWO Bulan Ini'!$CZ:$CZ,'Area-Cabang'!AP$41)</f>
        <v>0</v>
      </c>
      <c r="AQ87" s="56">
        <f>SUMIFS('CWO Bulan Ini'!$DD:$DD,'CWO Bulan Ini'!$DJ:$DJ,'Area-Cabang'!$B87,'CWO Bulan Ini'!$DH:$DH,'Area-Cabang'!$E87,'CWO Bulan Ini'!$CZ:$CZ,'Area-Cabang'!AQ$41)</f>
        <v>0</v>
      </c>
      <c r="AR87" s="56">
        <f>SUMIFS('CWO Bulan Ini'!$DD:$DD,'CWO Bulan Ini'!$DJ:$DJ,'Area-Cabang'!$B87,'CWO Bulan Ini'!$DH:$DH,'Area-Cabang'!$E87,'CWO Bulan Ini'!$CZ:$CZ,'Area-Cabang'!AR$41)</f>
        <v>0</v>
      </c>
      <c r="AS87" s="56">
        <f>SUMIFS('CWO Bulan Ini'!$DD:$DD,'CWO Bulan Ini'!$DJ:$DJ,'Area-Cabang'!$B87,'CWO Bulan Ini'!$DH:$DH,'Area-Cabang'!$E87,'CWO Bulan Ini'!$CZ:$CZ,'Area-Cabang'!AS$41)</f>
        <v>0</v>
      </c>
      <c r="AT87" s="56">
        <f>SUMIFS('CWO Bulan Ini'!$DD:$DD,'CWO Bulan Ini'!$DJ:$DJ,'Area-Cabang'!$B87,'CWO Bulan Ini'!$DH:$DH,'Area-Cabang'!$E87,'CWO Bulan Ini'!$CZ:$CZ,'Area-Cabang'!AT$41)</f>
        <v>0</v>
      </c>
      <c r="AU87" s="56">
        <f>SUMIFS('CWO Bulan Ini'!$DD:$DD,'CWO Bulan Ini'!$DJ:$DJ,'Area-Cabang'!$B87,'CWO Bulan Ini'!$DH:$DH,'Area-Cabang'!$E87,'CWO Bulan Ini'!$CZ:$CZ,'Area-Cabang'!AU$41)</f>
        <v>0</v>
      </c>
      <c r="AV87" s="56">
        <f>SUMIFS('CWO Bulan Ini'!$DD:$DD,'CWO Bulan Ini'!$DJ:$DJ,'Area-Cabang'!$B87,'CWO Bulan Ini'!$DH:$DH,'Area-Cabang'!$E87,'CWO Bulan Ini'!$CZ:$CZ,'Area-Cabang'!AV$41)</f>
        <v>0</v>
      </c>
      <c r="AW87" s="56">
        <f>SUMIFS('CWO Bulan Ini'!$DD:$DD,'CWO Bulan Ini'!$DJ:$DJ,'Area-Cabang'!$B87,'CWO Bulan Ini'!$DH:$DH,'Area-Cabang'!$E87,'CWO Bulan Ini'!$CZ:$CZ,'Area-Cabang'!AW$41)</f>
        <v>0</v>
      </c>
      <c r="AX87" s="56">
        <f>SUMIFS('CWO Bulan Ini'!$DD:$DD,'CWO Bulan Ini'!$DJ:$DJ,'Area-Cabang'!$B87,'CWO Bulan Ini'!$DH:$DH,'Area-Cabang'!$E87,'CWO Bulan Ini'!$CZ:$CZ,'Area-Cabang'!AX$41)</f>
        <v>0</v>
      </c>
      <c r="AY87" s="56">
        <f>SUMIFS('CWO Bulan Ini'!$DD:$DD,'CWO Bulan Ini'!$DJ:$DJ,'Area-Cabang'!$B87,'CWO Bulan Ini'!$DH:$DH,'Area-Cabang'!$E87,'CWO Bulan Ini'!$CZ:$CZ,'Area-Cabang'!AY$41)</f>
        <v>0</v>
      </c>
      <c r="AZ87" s="56">
        <f>SUMIFS('CWO Bulan Ini'!$DD:$DD,'CWO Bulan Ini'!$DJ:$DJ,'Area-Cabang'!$B87,'CWO Bulan Ini'!$DH:$DH,'Area-Cabang'!$E87,'CWO Bulan Ini'!$CZ:$CZ,'Area-Cabang'!AZ$41)</f>
        <v>0</v>
      </c>
      <c r="BA87" s="56">
        <f>SUMIFS('CWO Bulan Ini'!$DD:$DD,'CWO Bulan Ini'!$DJ:$DJ,'Area-Cabang'!$B87,'CWO Bulan Ini'!$DH:$DH,'Area-Cabang'!$E87,'CWO Bulan Ini'!$CZ:$CZ,'Area-Cabang'!BA$41)</f>
        <v>0</v>
      </c>
      <c r="BB87" s="56">
        <f>SUMIFS('CWO Bulan Ini'!$DD:$DD,'CWO Bulan Ini'!$DJ:$DJ,'Area-Cabang'!$B87,'CWO Bulan Ini'!$DH:$DH,'Area-Cabang'!$E87,'CWO Bulan Ini'!$CZ:$CZ,'Area-Cabang'!BB$41)</f>
        <v>0</v>
      </c>
      <c r="BC87" s="56">
        <f>SUMIFS('CWO Bulan Ini'!$DD:$DD,'CWO Bulan Ini'!$DJ:$DJ,'Area-Cabang'!$B87,'CWO Bulan Ini'!$DH:$DH,'Area-Cabang'!$E87,'CWO Bulan Ini'!$CZ:$CZ,'Area-Cabang'!BC$41)</f>
        <v>0</v>
      </c>
      <c r="BD87" s="56">
        <f>SUMIFS('CWO Bulan Ini'!$DD:$DD,'CWO Bulan Ini'!$DJ:$DJ,'Area-Cabang'!$B87,'CWO Bulan Ini'!$DH:$DH,'Area-Cabang'!$E87,'CWO Bulan Ini'!$CZ:$CZ,'Area-Cabang'!BD$41)</f>
        <v>0</v>
      </c>
      <c r="BE87" s="56">
        <f>SUMIFS('CWO Bulan Ini'!$DD:$DD,'CWO Bulan Ini'!$DJ:$DJ,'Area-Cabang'!$B87,'CWO Bulan Ini'!$DH:$DH,'Area-Cabang'!$E87,'CWO Bulan Ini'!$CZ:$CZ,'Area-Cabang'!BE$41)</f>
        <v>0</v>
      </c>
      <c r="BF87" s="56">
        <f>SUMIFS('CWO Bulan Ini'!$DD:$DD,'CWO Bulan Ini'!$DJ:$DJ,'Area-Cabang'!$B87,'CWO Bulan Ini'!$DH:$DH,'Area-Cabang'!$E87,'CWO Bulan Ini'!$CZ:$CZ,'Area-Cabang'!BF$41)</f>
        <v>0</v>
      </c>
      <c r="BG87" s="56">
        <f>SUMIFS('CWO Bulan Ini'!$DD:$DD,'CWO Bulan Ini'!$DJ:$DJ,'Area-Cabang'!$B87,'CWO Bulan Ini'!$DH:$DH,'Area-Cabang'!$E87,'CWO Bulan Ini'!$CZ:$CZ,'Area-Cabang'!BG$41)</f>
        <v>0</v>
      </c>
      <c r="BH87" s="56">
        <f>SUMIFS('CWO Bulan Ini'!$DD:$DD,'CWO Bulan Ini'!$DJ:$DJ,'Area-Cabang'!$B87,'CWO Bulan Ini'!$DH:$DH,'Area-Cabang'!$E87,'CWO Bulan Ini'!$CZ:$CZ,'Area-Cabang'!BH$41)</f>
        <v>0</v>
      </c>
      <c r="BI87" s="56">
        <f>SUMIFS('CWO Bulan Ini'!$DD:$DD,'CWO Bulan Ini'!$DJ:$DJ,'Area-Cabang'!$B87,'CWO Bulan Ini'!$DH:$DH,'Area-Cabang'!$E87,'CWO Bulan Ini'!$CZ:$CZ,'Area-Cabang'!BI$41)</f>
        <v>0</v>
      </c>
      <c r="BJ87" s="56">
        <f>SUMIFS('CWO Bulan Ini'!$DD:$DD,'CWO Bulan Ini'!$DJ:$DJ,'Area-Cabang'!$B87,'CWO Bulan Ini'!$DH:$DH,'Area-Cabang'!$E87,'CWO Bulan Ini'!$CZ:$CZ,'Area-Cabang'!BJ$41)</f>
        <v>0</v>
      </c>
      <c r="BK87" s="56">
        <f>SUMIFS('CWO Bulan Ini'!$DD:$DD,'CWO Bulan Ini'!$DJ:$DJ,'Area-Cabang'!$B87,'CWO Bulan Ini'!$DH:$DH,'Area-Cabang'!$E87,'CWO Bulan Ini'!$CZ:$CZ,'Area-Cabang'!BK$41)</f>
        <v>0</v>
      </c>
      <c r="BL87" s="56">
        <f>SUMIFS('CWO Bulan Ini'!$DD:$DD,'CWO Bulan Ini'!$DJ:$DJ,'Area-Cabang'!$B87,'CWO Bulan Ini'!$DH:$DH,'Area-Cabang'!$E87,'CWO Bulan Ini'!$CZ:$CZ,'Area-Cabang'!BL$41)</f>
        <v>0</v>
      </c>
      <c r="BM87" s="56">
        <f>SUMIFS('CWO Bulan Ini'!$DD:$DD,'CWO Bulan Ini'!$DJ:$DJ,'Area-Cabang'!$B87,'CWO Bulan Ini'!$DH:$DH,'Area-Cabang'!$E87,'CWO Bulan Ini'!$CZ:$CZ,'Area-Cabang'!BM$41)</f>
        <v>0</v>
      </c>
      <c r="BN87" s="56">
        <f>SUMIFS('CWO Bulan Ini'!$DD:$DD,'CWO Bulan Ini'!$DJ:$DJ,'Area-Cabang'!$B87,'CWO Bulan Ini'!$DH:$DH,'Area-Cabang'!$E87,'CWO Bulan Ini'!$CZ:$CZ,'Area-Cabang'!BN$41)</f>
        <v>0</v>
      </c>
      <c r="BO87" s="57">
        <f>SUMIFS('CWO Bulan Ini'!$DD:$DD,'CWO Bulan Ini'!$DJ:$DJ,'Area-Cabang'!$B87,'CWO Bulan Ini'!$DH:$DH,'Area-Cabang'!$E87,'CWO Bulan Ini'!$CZ:$CZ,'Area-Cabang'!BO$41)</f>
        <v>0</v>
      </c>
      <c r="BP87" s="55">
        <f>SUMIFS('CWO Bulan Ini'!$DC:$DC,'CWO Bulan Ini'!$DJ:$DJ,'Area-Cabang'!$B87,'CWO Bulan Ini'!$DH:$DH,'Area-Cabang'!$E87,'CWO Bulan Ini'!$CZ:$CZ,'Area-Cabang'!BP$41)</f>
        <v>0</v>
      </c>
      <c r="BQ87" s="56">
        <f>SUMIFS('CWO Bulan Ini'!$DC:$DC,'CWO Bulan Ini'!$DJ:$DJ,'Area-Cabang'!$B87,'CWO Bulan Ini'!$DH:$DH,'Area-Cabang'!$E87,'CWO Bulan Ini'!$CZ:$CZ,'Area-Cabang'!BQ$41)</f>
        <v>0</v>
      </c>
      <c r="BR87" s="56">
        <f>SUMIFS('CWO Bulan Ini'!$DC:$DC,'CWO Bulan Ini'!$DJ:$DJ,'Area-Cabang'!$B87,'CWO Bulan Ini'!$DH:$DH,'Area-Cabang'!$E87,'CWO Bulan Ini'!$CZ:$CZ,'Area-Cabang'!BR$41)</f>
        <v>0</v>
      </c>
      <c r="BS87" s="56">
        <f>SUMIFS('CWO Bulan Ini'!$DC:$DC,'CWO Bulan Ini'!$DJ:$DJ,'Area-Cabang'!$B87,'CWO Bulan Ini'!$DH:$DH,'Area-Cabang'!$E87,'CWO Bulan Ini'!$CZ:$CZ,'Area-Cabang'!BS$41)</f>
        <v>0</v>
      </c>
      <c r="BT87" s="56">
        <f>SUMIFS('CWO Bulan Ini'!$DC:$DC,'CWO Bulan Ini'!$DJ:$DJ,'Area-Cabang'!$B87,'CWO Bulan Ini'!$DH:$DH,'Area-Cabang'!$E87,'CWO Bulan Ini'!$CZ:$CZ,'Area-Cabang'!BT$41)</f>
        <v>0</v>
      </c>
      <c r="BU87" s="56">
        <f>SUMIFS('CWO Bulan Ini'!$DC:$DC,'CWO Bulan Ini'!$DJ:$DJ,'Area-Cabang'!$B87,'CWO Bulan Ini'!$DH:$DH,'Area-Cabang'!$E87,'CWO Bulan Ini'!$CZ:$CZ,'Area-Cabang'!BU$41)</f>
        <v>0</v>
      </c>
      <c r="BV87" s="56">
        <f>SUMIFS('CWO Bulan Ini'!$DC:$DC,'CWO Bulan Ini'!$DJ:$DJ,'Area-Cabang'!$B87,'CWO Bulan Ini'!$DH:$DH,'Area-Cabang'!$E87,'CWO Bulan Ini'!$CZ:$CZ,'Area-Cabang'!BV$41)</f>
        <v>0</v>
      </c>
      <c r="BW87" s="56">
        <f>SUMIFS('CWO Bulan Ini'!$DC:$DC,'CWO Bulan Ini'!$DJ:$DJ,'Area-Cabang'!$B87,'CWO Bulan Ini'!$DH:$DH,'Area-Cabang'!$E87,'CWO Bulan Ini'!$CZ:$CZ,'Area-Cabang'!BW$41)</f>
        <v>0</v>
      </c>
      <c r="BX87" s="56">
        <f>SUMIFS('CWO Bulan Ini'!$DC:$DC,'CWO Bulan Ini'!$DJ:$DJ,'Area-Cabang'!$B87,'CWO Bulan Ini'!$DH:$DH,'Area-Cabang'!$E87,'CWO Bulan Ini'!$CZ:$CZ,'Area-Cabang'!BX$41)</f>
        <v>0</v>
      </c>
      <c r="BY87" s="56">
        <f>SUMIFS('CWO Bulan Ini'!$DC:$DC,'CWO Bulan Ini'!$DJ:$DJ,'Area-Cabang'!$B87,'CWO Bulan Ini'!$DH:$DH,'Area-Cabang'!$E87,'CWO Bulan Ini'!$CZ:$CZ,'Area-Cabang'!BY$41)</f>
        <v>0</v>
      </c>
      <c r="BZ87" s="56">
        <f>SUMIFS('CWO Bulan Ini'!$DC:$DC,'CWO Bulan Ini'!$DJ:$DJ,'Area-Cabang'!$B87,'CWO Bulan Ini'!$DH:$DH,'Area-Cabang'!$E87,'CWO Bulan Ini'!$CZ:$CZ,'Area-Cabang'!BZ$41)</f>
        <v>0</v>
      </c>
      <c r="CA87" s="56">
        <f>SUMIFS('CWO Bulan Ini'!$DC:$DC,'CWO Bulan Ini'!$DJ:$DJ,'Area-Cabang'!$B87,'CWO Bulan Ini'!$DH:$DH,'Area-Cabang'!$E87,'CWO Bulan Ini'!$CZ:$CZ,'Area-Cabang'!CA$41)</f>
        <v>0</v>
      </c>
      <c r="CB87" s="56">
        <f>SUMIFS('CWO Bulan Ini'!$DC:$DC,'CWO Bulan Ini'!$DJ:$DJ,'Area-Cabang'!$B87,'CWO Bulan Ini'!$DH:$DH,'Area-Cabang'!$E87,'CWO Bulan Ini'!$CZ:$CZ,'Area-Cabang'!CB$41)</f>
        <v>0</v>
      </c>
      <c r="CC87" s="56">
        <f>SUMIFS('CWO Bulan Ini'!$DC:$DC,'CWO Bulan Ini'!$DJ:$DJ,'Area-Cabang'!$B87,'CWO Bulan Ini'!$DH:$DH,'Area-Cabang'!$E87,'CWO Bulan Ini'!$CZ:$CZ,'Area-Cabang'!CC$41)</f>
        <v>0</v>
      </c>
      <c r="CD87" s="56">
        <f>SUMIFS('CWO Bulan Ini'!$DC:$DC,'CWO Bulan Ini'!$DJ:$DJ,'Area-Cabang'!$B87,'CWO Bulan Ini'!$DH:$DH,'Area-Cabang'!$E87,'CWO Bulan Ini'!$CZ:$CZ,'Area-Cabang'!CD$41)</f>
        <v>0</v>
      </c>
      <c r="CE87" s="56">
        <f>SUMIFS('CWO Bulan Ini'!$DC:$DC,'CWO Bulan Ini'!$DJ:$DJ,'Area-Cabang'!$B87,'CWO Bulan Ini'!$DH:$DH,'Area-Cabang'!$E87,'CWO Bulan Ini'!$CZ:$CZ,'Area-Cabang'!CE$41)</f>
        <v>0</v>
      </c>
      <c r="CF87" s="56">
        <f>SUMIFS('CWO Bulan Ini'!$DC:$DC,'CWO Bulan Ini'!$DJ:$DJ,'Area-Cabang'!$B87,'CWO Bulan Ini'!$DH:$DH,'Area-Cabang'!$E87,'CWO Bulan Ini'!$CZ:$CZ,'Area-Cabang'!CF$41)</f>
        <v>0</v>
      </c>
      <c r="CG87" s="56">
        <f>SUMIFS('CWO Bulan Ini'!$DC:$DC,'CWO Bulan Ini'!$DJ:$DJ,'Area-Cabang'!$B87,'CWO Bulan Ini'!$DH:$DH,'Area-Cabang'!$E87,'CWO Bulan Ini'!$CZ:$CZ,'Area-Cabang'!CG$41)</f>
        <v>0</v>
      </c>
      <c r="CH87" s="56">
        <f>SUMIFS('CWO Bulan Ini'!$DC:$DC,'CWO Bulan Ini'!$DJ:$DJ,'Area-Cabang'!$B87,'CWO Bulan Ini'!$DH:$DH,'Area-Cabang'!$E87,'CWO Bulan Ini'!$CZ:$CZ,'Area-Cabang'!CH$41)</f>
        <v>0</v>
      </c>
      <c r="CI87" s="56">
        <f>SUMIFS('CWO Bulan Ini'!$DC:$DC,'CWO Bulan Ini'!$DJ:$DJ,'Area-Cabang'!$B87,'CWO Bulan Ini'!$DH:$DH,'Area-Cabang'!$E87,'CWO Bulan Ini'!$CZ:$CZ,'Area-Cabang'!CI$41)</f>
        <v>0</v>
      </c>
      <c r="CJ87" s="56">
        <f>SUMIFS('CWO Bulan Ini'!$DC:$DC,'CWO Bulan Ini'!$DJ:$DJ,'Area-Cabang'!$B87,'CWO Bulan Ini'!$DH:$DH,'Area-Cabang'!$E87,'CWO Bulan Ini'!$CZ:$CZ,'Area-Cabang'!CJ$41)</f>
        <v>0</v>
      </c>
      <c r="CK87" s="56">
        <f>SUMIFS('CWO Bulan Ini'!$DC:$DC,'CWO Bulan Ini'!$DJ:$DJ,'Area-Cabang'!$B87,'CWO Bulan Ini'!$DH:$DH,'Area-Cabang'!$E87,'CWO Bulan Ini'!$CZ:$CZ,'Area-Cabang'!CK$41)</f>
        <v>0</v>
      </c>
      <c r="CL87" s="56">
        <f>SUMIFS('CWO Bulan Ini'!$DC:$DC,'CWO Bulan Ini'!$DJ:$DJ,'Area-Cabang'!$B87,'CWO Bulan Ini'!$DH:$DH,'Area-Cabang'!$E87,'CWO Bulan Ini'!$CZ:$CZ,'Area-Cabang'!CL$41)</f>
        <v>0</v>
      </c>
      <c r="CM87" s="56">
        <f>SUMIFS('CWO Bulan Ini'!$DC:$DC,'CWO Bulan Ini'!$DJ:$DJ,'Area-Cabang'!$B87,'CWO Bulan Ini'!$DH:$DH,'Area-Cabang'!$E87,'CWO Bulan Ini'!$CZ:$CZ,'Area-Cabang'!CM$41)</f>
        <v>0</v>
      </c>
      <c r="CN87" s="56">
        <f>SUMIFS('CWO Bulan Ini'!$DC:$DC,'CWO Bulan Ini'!$DJ:$DJ,'Area-Cabang'!$B87,'CWO Bulan Ini'!$DH:$DH,'Area-Cabang'!$E87,'CWO Bulan Ini'!$CZ:$CZ,'Area-Cabang'!CN$41)</f>
        <v>0</v>
      </c>
      <c r="CO87" s="56">
        <f>SUMIFS('CWO Bulan Ini'!$DC:$DC,'CWO Bulan Ini'!$DJ:$DJ,'Area-Cabang'!$B87,'CWO Bulan Ini'!$DH:$DH,'Area-Cabang'!$E87,'CWO Bulan Ini'!$CZ:$CZ,'Area-Cabang'!CO$41)</f>
        <v>0</v>
      </c>
      <c r="CP87" s="56">
        <f>SUMIFS('CWO Bulan Ini'!$DC:$DC,'CWO Bulan Ini'!$DJ:$DJ,'Area-Cabang'!$B87,'CWO Bulan Ini'!$DH:$DH,'Area-Cabang'!$E87,'CWO Bulan Ini'!$CZ:$CZ,'Area-Cabang'!CP$41)</f>
        <v>0</v>
      </c>
      <c r="CQ87" s="56">
        <f>SUMIFS('CWO Bulan Ini'!$DC:$DC,'CWO Bulan Ini'!$DJ:$DJ,'Area-Cabang'!$B87,'CWO Bulan Ini'!$DH:$DH,'Area-Cabang'!$E87,'CWO Bulan Ini'!$CZ:$CZ,'Area-Cabang'!CQ$41)</f>
        <v>0</v>
      </c>
      <c r="CR87" s="56">
        <f>SUMIFS('CWO Bulan Ini'!$DC:$DC,'CWO Bulan Ini'!$DJ:$DJ,'Area-Cabang'!$B87,'CWO Bulan Ini'!$DH:$DH,'Area-Cabang'!$E87,'CWO Bulan Ini'!$CZ:$CZ,'Area-Cabang'!CR$41)</f>
        <v>0</v>
      </c>
      <c r="CS87" s="56">
        <f>SUMIFS('CWO Bulan Ini'!$DC:$DC,'CWO Bulan Ini'!$DJ:$DJ,'Area-Cabang'!$B87,'CWO Bulan Ini'!$DH:$DH,'Area-Cabang'!$E87,'CWO Bulan Ini'!$CZ:$CZ,'Area-Cabang'!CS$41)</f>
        <v>0</v>
      </c>
      <c r="CT87" s="57">
        <f>SUMIFS('CWO Bulan Ini'!$DC:$DC,'CWO Bulan Ini'!$DJ:$DJ,'Area-Cabang'!$B87,'CWO Bulan Ini'!$DH:$DH,'Area-Cabang'!$E87,'CWO Bulan Ini'!$CZ:$CZ,'Area-Cabang'!CT$41)</f>
        <v>0</v>
      </c>
      <c r="CV87" s="97">
        <f t="shared" ref="CV87:CV88" si="2526">SUM(F87:AJ87)</f>
        <v>0</v>
      </c>
      <c r="CW87" s="98">
        <f t="shared" ref="CW87:CW88" si="2527">SUM(AK87:BO87)</f>
        <v>0</v>
      </c>
      <c r="CX87" s="98">
        <f t="shared" ref="CX87:CX88" si="2528">SUM(BP87:CT87)</f>
        <v>0</v>
      </c>
      <c r="CY87" s="98">
        <f t="shared" ref="CY87:CY88" si="2529">CV87-CW87-CX87</f>
        <v>0</v>
      </c>
      <c r="CZ87" s="105">
        <f t="shared" ref="CZ87:CZ88" si="2530">CY87+CW87</f>
        <v>0</v>
      </c>
    </row>
    <row r="88" spans="1:104" ht="15" customHeight="1" x14ac:dyDescent="0.25">
      <c r="A88" s="58" t="s">
        <v>487</v>
      </c>
      <c r="B88" s="58" t="s">
        <v>247</v>
      </c>
      <c r="C88" s="250"/>
      <c r="D88" s="244"/>
      <c r="E88" s="40" t="s">
        <v>349</v>
      </c>
      <c r="F88" s="41">
        <f>SUMIFS('CWO Bulan Ini'!$DA:$DA,'CWO Bulan Ini'!$DJ:$DJ,'Area-Cabang'!$B88,'CWO Bulan Ini'!$DH:$DH,'Area-Cabang'!$E88,'CWO Bulan Ini'!$CZ:$CZ,'Area-Cabang'!F$41)</f>
        <v>0</v>
      </c>
      <c r="G88" s="42">
        <f>SUMIFS('CWO Bulan Ini'!$DA:$DA,'CWO Bulan Ini'!$DJ:$DJ,'Area-Cabang'!$B88,'CWO Bulan Ini'!$DH:$DH,'Area-Cabang'!$E88,'CWO Bulan Ini'!$CZ:$CZ,'Area-Cabang'!G$41)</f>
        <v>0</v>
      </c>
      <c r="H88" s="42">
        <f>SUMIFS('CWO Bulan Ini'!$DA:$DA,'CWO Bulan Ini'!$DJ:$DJ,'Area-Cabang'!$B88,'CWO Bulan Ini'!$DH:$DH,'Area-Cabang'!$E88,'CWO Bulan Ini'!$CZ:$CZ,'Area-Cabang'!H$41)</f>
        <v>0</v>
      </c>
      <c r="I88" s="42">
        <f>SUMIFS('CWO Bulan Ini'!$DA:$DA,'CWO Bulan Ini'!$DJ:$DJ,'Area-Cabang'!$B88,'CWO Bulan Ini'!$DH:$DH,'Area-Cabang'!$E88,'CWO Bulan Ini'!$CZ:$CZ,'Area-Cabang'!I$41)</f>
        <v>0</v>
      </c>
      <c r="J88" s="42">
        <f>SUMIFS('CWO Bulan Ini'!$DA:$DA,'CWO Bulan Ini'!$DJ:$DJ,'Area-Cabang'!$B88,'CWO Bulan Ini'!$DH:$DH,'Area-Cabang'!$E88,'CWO Bulan Ini'!$CZ:$CZ,'Area-Cabang'!J$41)</f>
        <v>0</v>
      </c>
      <c r="K88" s="42">
        <f>SUMIFS('CWO Bulan Ini'!$DA:$DA,'CWO Bulan Ini'!$DJ:$DJ,'Area-Cabang'!$B88,'CWO Bulan Ini'!$DH:$DH,'Area-Cabang'!$E88,'CWO Bulan Ini'!$CZ:$CZ,'Area-Cabang'!K$41)</f>
        <v>0</v>
      </c>
      <c r="L88" s="42">
        <f>SUMIFS('CWO Bulan Ini'!$DA:$DA,'CWO Bulan Ini'!$DJ:$DJ,'Area-Cabang'!$B88,'CWO Bulan Ini'!$DH:$DH,'Area-Cabang'!$E88,'CWO Bulan Ini'!$CZ:$CZ,'Area-Cabang'!L$41)</f>
        <v>0</v>
      </c>
      <c r="M88" s="42">
        <f>SUMIFS('CWO Bulan Ini'!$DA:$DA,'CWO Bulan Ini'!$DJ:$DJ,'Area-Cabang'!$B88,'CWO Bulan Ini'!$DH:$DH,'Area-Cabang'!$E88,'CWO Bulan Ini'!$CZ:$CZ,'Area-Cabang'!M$41)</f>
        <v>0</v>
      </c>
      <c r="N88" s="42">
        <f>SUMIFS('CWO Bulan Ini'!$DA:$DA,'CWO Bulan Ini'!$DJ:$DJ,'Area-Cabang'!$B88,'CWO Bulan Ini'!$DH:$DH,'Area-Cabang'!$E88,'CWO Bulan Ini'!$CZ:$CZ,'Area-Cabang'!N$41)</f>
        <v>0</v>
      </c>
      <c r="O88" s="42">
        <f>SUMIFS('CWO Bulan Ini'!$DA:$DA,'CWO Bulan Ini'!$DJ:$DJ,'Area-Cabang'!$B88,'CWO Bulan Ini'!$DH:$DH,'Area-Cabang'!$E88,'CWO Bulan Ini'!$CZ:$CZ,'Area-Cabang'!O$41)</f>
        <v>0</v>
      </c>
      <c r="P88" s="42">
        <f>SUMIFS('CWO Bulan Ini'!$DA:$DA,'CWO Bulan Ini'!$DJ:$DJ,'Area-Cabang'!$B88,'CWO Bulan Ini'!$DH:$DH,'Area-Cabang'!$E88,'CWO Bulan Ini'!$CZ:$CZ,'Area-Cabang'!P$41)</f>
        <v>0</v>
      </c>
      <c r="Q88" s="42">
        <f>SUMIFS('CWO Bulan Ini'!$DA:$DA,'CWO Bulan Ini'!$DJ:$DJ,'Area-Cabang'!$B88,'CWO Bulan Ini'!$DH:$DH,'Area-Cabang'!$E88,'CWO Bulan Ini'!$CZ:$CZ,'Area-Cabang'!Q$41)</f>
        <v>0</v>
      </c>
      <c r="R88" s="42">
        <f>SUMIFS('CWO Bulan Ini'!$DA:$DA,'CWO Bulan Ini'!$DJ:$DJ,'Area-Cabang'!$B88,'CWO Bulan Ini'!$DH:$DH,'Area-Cabang'!$E88,'CWO Bulan Ini'!$CZ:$CZ,'Area-Cabang'!R$41)</f>
        <v>0</v>
      </c>
      <c r="S88" s="42">
        <f>SUMIFS('CWO Bulan Ini'!$DA:$DA,'CWO Bulan Ini'!$DJ:$DJ,'Area-Cabang'!$B88,'CWO Bulan Ini'!$DH:$DH,'Area-Cabang'!$E88,'CWO Bulan Ini'!$CZ:$CZ,'Area-Cabang'!S$41)</f>
        <v>0</v>
      </c>
      <c r="T88" s="42">
        <f>SUMIFS('CWO Bulan Ini'!$DA:$DA,'CWO Bulan Ini'!$DJ:$DJ,'Area-Cabang'!$B88,'CWO Bulan Ini'!$DH:$DH,'Area-Cabang'!$E88,'CWO Bulan Ini'!$CZ:$CZ,'Area-Cabang'!T$41)</f>
        <v>0</v>
      </c>
      <c r="U88" s="42">
        <f>SUMIFS('CWO Bulan Ini'!$DA:$DA,'CWO Bulan Ini'!$DJ:$DJ,'Area-Cabang'!$B88,'CWO Bulan Ini'!$DH:$DH,'Area-Cabang'!$E88,'CWO Bulan Ini'!$CZ:$CZ,'Area-Cabang'!U$41)</f>
        <v>0</v>
      </c>
      <c r="V88" s="42">
        <f>SUMIFS('CWO Bulan Ini'!$DA:$DA,'CWO Bulan Ini'!$DJ:$DJ,'Area-Cabang'!$B88,'CWO Bulan Ini'!$DH:$DH,'Area-Cabang'!$E88,'CWO Bulan Ini'!$CZ:$CZ,'Area-Cabang'!V$41)</f>
        <v>0</v>
      </c>
      <c r="W88" s="42">
        <f>SUMIFS('CWO Bulan Ini'!$DA:$DA,'CWO Bulan Ini'!$DJ:$DJ,'Area-Cabang'!$B88,'CWO Bulan Ini'!$DH:$DH,'Area-Cabang'!$E88,'CWO Bulan Ini'!$CZ:$CZ,'Area-Cabang'!W$41)</f>
        <v>0</v>
      </c>
      <c r="X88" s="42">
        <f>SUMIFS('CWO Bulan Ini'!$DA:$DA,'CWO Bulan Ini'!$DJ:$DJ,'Area-Cabang'!$B88,'CWO Bulan Ini'!$DH:$DH,'Area-Cabang'!$E88,'CWO Bulan Ini'!$CZ:$CZ,'Area-Cabang'!X$41)</f>
        <v>0</v>
      </c>
      <c r="Y88" s="42">
        <f>SUMIFS('CWO Bulan Ini'!$DA:$DA,'CWO Bulan Ini'!$DJ:$DJ,'Area-Cabang'!$B88,'CWO Bulan Ini'!$DH:$DH,'Area-Cabang'!$E88,'CWO Bulan Ini'!$CZ:$CZ,'Area-Cabang'!Y$41)</f>
        <v>0</v>
      </c>
      <c r="Z88" s="42">
        <f>SUMIFS('CWO Bulan Ini'!$DA:$DA,'CWO Bulan Ini'!$DJ:$DJ,'Area-Cabang'!$B88,'CWO Bulan Ini'!$DH:$DH,'Area-Cabang'!$E88,'CWO Bulan Ini'!$CZ:$CZ,'Area-Cabang'!Z$41)</f>
        <v>0</v>
      </c>
      <c r="AA88" s="42">
        <f>SUMIFS('CWO Bulan Ini'!$DA:$DA,'CWO Bulan Ini'!$DJ:$DJ,'Area-Cabang'!$B88,'CWO Bulan Ini'!$DH:$DH,'Area-Cabang'!$E88,'CWO Bulan Ini'!$CZ:$CZ,'Area-Cabang'!AA$41)</f>
        <v>0</v>
      </c>
      <c r="AB88" s="42">
        <f>SUMIFS('CWO Bulan Ini'!$DA:$DA,'CWO Bulan Ini'!$DJ:$DJ,'Area-Cabang'!$B88,'CWO Bulan Ini'!$DH:$DH,'Area-Cabang'!$E88,'CWO Bulan Ini'!$CZ:$CZ,'Area-Cabang'!AB$41)</f>
        <v>0</v>
      </c>
      <c r="AC88" s="42">
        <f>SUMIFS('CWO Bulan Ini'!$DA:$DA,'CWO Bulan Ini'!$DJ:$DJ,'Area-Cabang'!$B88,'CWO Bulan Ini'!$DH:$DH,'Area-Cabang'!$E88,'CWO Bulan Ini'!$CZ:$CZ,'Area-Cabang'!AC$41)</f>
        <v>0</v>
      </c>
      <c r="AD88" s="42">
        <f>SUMIFS('CWO Bulan Ini'!$DA:$DA,'CWO Bulan Ini'!$DJ:$DJ,'Area-Cabang'!$B88,'CWO Bulan Ini'!$DH:$DH,'Area-Cabang'!$E88,'CWO Bulan Ini'!$CZ:$CZ,'Area-Cabang'!AD$41)</f>
        <v>0</v>
      </c>
      <c r="AE88" s="42">
        <f>SUMIFS('CWO Bulan Ini'!$DA:$DA,'CWO Bulan Ini'!$DJ:$DJ,'Area-Cabang'!$B88,'CWO Bulan Ini'!$DH:$DH,'Area-Cabang'!$E88,'CWO Bulan Ini'!$CZ:$CZ,'Area-Cabang'!AE$41)</f>
        <v>0</v>
      </c>
      <c r="AF88" s="42">
        <f>SUMIFS('CWO Bulan Ini'!$DA:$DA,'CWO Bulan Ini'!$DJ:$DJ,'Area-Cabang'!$B88,'CWO Bulan Ini'!$DH:$DH,'Area-Cabang'!$E88,'CWO Bulan Ini'!$CZ:$CZ,'Area-Cabang'!AF$41)</f>
        <v>0</v>
      </c>
      <c r="AG88" s="42">
        <f>SUMIFS('CWO Bulan Ini'!$DA:$DA,'CWO Bulan Ini'!$DJ:$DJ,'Area-Cabang'!$B88,'CWO Bulan Ini'!$DH:$DH,'Area-Cabang'!$E88,'CWO Bulan Ini'!$CZ:$CZ,'Area-Cabang'!AG$41)</f>
        <v>0</v>
      </c>
      <c r="AH88" s="42">
        <f>SUMIFS('CWO Bulan Ini'!$DA:$DA,'CWO Bulan Ini'!$DJ:$DJ,'Area-Cabang'!$B88,'CWO Bulan Ini'!$DH:$DH,'Area-Cabang'!$E88,'CWO Bulan Ini'!$CZ:$CZ,'Area-Cabang'!AH$41)</f>
        <v>0</v>
      </c>
      <c r="AI88" s="42">
        <f>SUMIFS('CWO Bulan Ini'!$DA:$DA,'CWO Bulan Ini'!$DJ:$DJ,'Area-Cabang'!$B88,'CWO Bulan Ini'!$DH:$DH,'Area-Cabang'!$E88,'CWO Bulan Ini'!$CZ:$CZ,'Area-Cabang'!AI$41)</f>
        <v>0</v>
      </c>
      <c r="AJ88" s="42">
        <f>SUMIFS('CWO Bulan Ini'!$DA:$DA,'CWO Bulan Ini'!$DJ:$DJ,'Area-Cabang'!$B88,'CWO Bulan Ini'!$DH:$DH,'Area-Cabang'!$E88,'CWO Bulan Ini'!$CZ:$CZ,'Area-Cabang'!AJ$41)</f>
        <v>0</v>
      </c>
      <c r="AK88" s="41">
        <f>SUMIFS('CWO Bulan Ini'!$DD:$DD,'CWO Bulan Ini'!$DJ:$DJ,'Area-Cabang'!$B88,'CWO Bulan Ini'!$DH:$DH,'Area-Cabang'!$E88,'CWO Bulan Ini'!$CZ:$CZ,'Area-Cabang'!AK$41)</f>
        <v>0</v>
      </c>
      <c r="AL88" s="42">
        <f>SUMIFS('CWO Bulan Ini'!$DD:$DD,'CWO Bulan Ini'!$DJ:$DJ,'Area-Cabang'!$B88,'CWO Bulan Ini'!$DH:$DH,'Area-Cabang'!$E88,'CWO Bulan Ini'!$CZ:$CZ,'Area-Cabang'!AL$41)</f>
        <v>0</v>
      </c>
      <c r="AM88" s="42">
        <f>SUMIFS('CWO Bulan Ini'!$DD:$DD,'CWO Bulan Ini'!$DJ:$DJ,'Area-Cabang'!$B88,'CWO Bulan Ini'!$DH:$DH,'Area-Cabang'!$E88,'CWO Bulan Ini'!$CZ:$CZ,'Area-Cabang'!AM$41)</f>
        <v>0</v>
      </c>
      <c r="AN88" s="42">
        <f>SUMIFS('CWO Bulan Ini'!$DD:$DD,'CWO Bulan Ini'!$DJ:$DJ,'Area-Cabang'!$B88,'CWO Bulan Ini'!$DH:$DH,'Area-Cabang'!$E88,'CWO Bulan Ini'!$CZ:$CZ,'Area-Cabang'!AN$41)</f>
        <v>0</v>
      </c>
      <c r="AO88" s="42">
        <f>SUMIFS('CWO Bulan Ini'!$DD:$DD,'CWO Bulan Ini'!$DJ:$DJ,'Area-Cabang'!$B88,'CWO Bulan Ini'!$DH:$DH,'Area-Cabang'!$E88,'CWO Bulan Ini'!$CZ:$CZ,'Area-Cabang'!AO$41)</f>
        <v>0</v>
      </c>
      <c r="AP88" s="42">
        <f>SUMIFS('CWO Bulan Ini'!$DD:$DD,'CWO Bulan Ini'!$DJ:$DJ,'Area-Cabang'!$B88,'CWO Bulan Ini'!$DH:$DH,'Area-Cabang'!$E88,'CWO Bulan Ini'!$CZ:$CZ,'Area-Cabang'!AP$41)</f>
        <v>0</v>
      </c>
      <c r="AQ88" s="42">
        <f>SUMIFS('CWO Bulan Ini'!$DD:$DD,'CWO Bulan Ini'!$DJ:$DJ,'Area-Cabang'!$B88,'CWO Bulan Ini'!$DH:$DH,'Area-Cabang'!$E88,'CWO Bulan Ini'!$CZ:$CZ,'Area-Cabang'!AQ$41)</f>
        <v>0</v>
      </c>
      <c r="AR88" s="42">
        <f>SUMIFS('CWO Bulan Ini'!$DD:$DD,'CWO Bulan Ini'!$DJ:$DJ,'Area-Cabang'!$B88,'CWO Bulan Ini'!$DH:$DH,'Area-Cabang'!$E88,'CWO Bulan Ini'!$CZ:$CZ,'Area-Cabang'!AR$41)</f>
        <v>0</v>
      </c>
      <c r="AS88" s="42">
        <f>SUMIFS('CWO Bulan Ini'!$DD:$DD,'CWO Bulan Ini'!$DJ:$DJ,'Area-Cabang'!$B88,'CWO Bulan Ini'!$DH:$DH,'Area-Cabang'!$E88,'CWO Bulan Ini'!$CZ:$CZ,'Area-Cabang'!AS$41)</f>
        <v>0</v>
      </c>
      <c r="AT88" s="42">
        <f>SUMIFS('CWO Bulan Ini'!$DD:$DD,'CWO Bulan Ini'!$DJ:$DJ,'Area-Cabang'!$B88,'CWO Bulan Ini'!$DH:$DH,'Area-Cabang'!$E88,'CWO Bulan Ini'!$CZ:$CZ,'Area-Cabang'!AT$41)</f>
        <v>0</v>
      </c>
      <c r="AU88" s="42">
        <f>SUMIFS('CWO Bulan Ini'!$DD:$DD,'CWO Bulan Ini'!$DJ:$DJ,'Area-Cabang'!$B88,'CWO Bulan Ini'!$DH:$DH,'Area-Cabang'!$E88,'CWO Bulan Ini'!$CZ:$CZ,'Area-Cabang'!AU$41)</f>
        <v>0</v>
      </c>
      <c r="AV88" s="42">
        <f>SUMIFS('CWO Bulan Ini'!$DD:$DD,'CWO Bulan Ini'!$DJ:$DJ,'Area-Cabang'!$B88,'CWO Bulan Ini'!$DH:$DH,'Area-Cabang'!$E88,'CWO Bulan Ini'!$CZ:$CZ,'Area-Cabang'!AV$41)</f>
        <v>0</v>
      </c>
      <c r="AW88" s="42">
        <f>SUMIFS('CWO Bulan Ini'!$DD:$DD,'CWO Bulan Ini'!$DJ:$DJ,'Area-Cabang'!$B88,'CWO Bulan Ini'!$DH:$DH,'Area-Cabang'!$E88,'CWO Bulan Ini'!$CZ:$CZ,'Area-Cabang'!AW$41)</f>
        <v>0</v>
      </c>
      <c r="AX88" s="42">
        <f>SUMIFS('CWO Bulan Ini'!$DD:$DD,'CWO Bulan Ini'!$DJ:$DJ,'Area-Cabang'!$B88,'CWO Bulan Ini'!$DH:$DH,'Area-Cabang'!$E88,'CWO Bulan Ini'!$CZ:$CZ,'Area-Cabang'!AX$41)</f>
        <v>0</v>
      </c>
      <c r="AY88" s="42">
        <f>SUMIFS('CWO Bulan Ini'!$DD:$DD,'CWO Bulan Ini'!$DJ:$DJ,'Area-Cabang'!$B88,'CWO Bulan Ini'!$DH:$DH,'Area-Cabang'!$E88,'CWO Bulan Ini'!$CZ:$CZ,'Area-Cabang'!AY$41)</f>
        <v>0</v>
      </c>
      <c r="AZ88" s="42">
        <f>SUMIFS('CWO Bulan Ini'!$DD:$DD,'CWO Bulan Ini'!$DJ:$DJ,'Area-Cabang'!$B88,'CWO Bulan Ini'!$DH:$DH,'Area-Cabang'!$E88,'CWO Bulan Ini'!$CZ:$CZ,'Area-Cabang'!AZ$41)</f>
        <v>0</v>
      </c>
      <c r="BA88" s="42">
        <f>SUMIFS('CWO Bulan Ini'!$DD:$DD,'CWO Bulan Ini'!$DJ:$DJ,'Area-Cabang'!$B88,'CWO Bulan Ini'!$DH:$DH,'Area-Cabang'!$E88,'CWO Bulan Ini'!$CZ:$CZ,'Area-Cabang'!BA$41)</f>
        <v>0</v>
      </c>
      <c r="BB88" s="42">
        <f>SUMIFS('CWO Bulan Ini'!$DD:$DD,'CWO Bulan Ini'!$DJ:$DJ,'Area-Cabang'!$B88,'CWO Bulan Ini'!$DH:$DH,'Area-Cabang'!$E88,'CWO Bulan Ini'!$CZ:$CZ,'Area-Cabang'!BB$41)</f>
        <v>0</v>
      </c>
      <c r="BC88" s="42">
        <f>SUMIFS('CWO Bulan Ini'!$DD:$DD,'CWO Bulan Ini'!$DJ:$DJ,'Area-Cabang'!$B88,'CWO Bulan Ini'!$DH:$DH,'Area-Cabang'!$E88,'CWO Bulan Ini'!$CZ:$CZ,'Area-Cabang'!BC$41)</f>
        <v>0</v>
      </c>
      <c r="BD88" s="42">
        <f>SUMIFS('CWO Bulan Ini'!$DD:$DD,'CWO Bulan Ini'!$DJ:$DJ,'Area-Cabang'!$B88,'CWO Bulan Ini'!$DH:$DH,'Area-Cabang'!$E88,'CWO Bulan Ini'!$CZ:$CZ,'Area-Cabang'!BD$41)</f>
        <v>0</v>
      </c>
      <c r="BE88" s="42">
        <f>SUMIFS('CWO Bulan Ini'!$DD:$DD,'CWO Bulan Ini'!$DJ:$DJ,'Area-Cabang'!$B88,'CWO Bulan Ini'!$DH:$DH,'Area-Cabang'!$E88,'CWO Bulan Ini'!$CZ:$CZ,'Area-Cabang'!BE$41)</f>
        <v>0</v>
      </c>
      <c r="BF88" s="42">
        <f>SUMIFS('CWO Bulan Ini'!$DD:$DD,'CWO Bulan Ini'!$DJ:$DJ,'Area-Cabang'!$B88,'CWO Bulan Ini'!$DH:$DH,'Area-Cabang'!$E88,'CWO Bulan Ini'!$CZ:$CZ,'Area-Cabang'!BF$41)</f>
        <v>0</v>
      </c>
      <c r="BG88" s="42">
        <f>SUMIFS('CWO Bulan Ini'!$DD:$DD,'CWO Bulan Ini'!$DJ:$DJ,'Area-Cabang'!$B88,'CWO Bulan Ini'!$DH:$DH,'Area-Cabang'!$E88,'CWO Bulan Ini'!$CZ:$CZ,'Area-Cabang'!BG$41)</f>
        <v>0</v>
      </c>
      <c r="BH88" s="42">
        <f>SUMIFS('CWO Bulan Ini'!$DD:$DD,'CWO Bulan Ini'!$DJ:$DJ,'Area-Cabang'!$B88,'CWO Bulan Ini'!$DH:$DH,'Area-Cabang'!$E88,'CWO Bulan Ini'!$CZ:$CZ,'Area-Cabang'!BH$41)</f>
        <v>0</v>
      </c>
      <c r="BI88" s="42">
        <f>SUMIFS('CWO Bulan Ini'!$DD:$DD,'CWO Bulan Ini'!$DJ:$DJ,'Area-Cabang'!$B88,'CWO Bulan Ini'!$DH:$DH,'Area-Cabang'!$E88,'CWO Bulan Ini'!$CZ:$CZ,'Area-Cabang'!BI$41)</f>
        <v>0</v>
      </c>
      <c r="BJ88" s="42">
        <f>SUMIFS('CWO Bulan Ini'!$DD:$DD,'CWO Bulan Ini'!$DJ:$DJ,'Area-Cabang'!$B88,'CWO Bulan Ini'!$DH:$DH,'Area-Cabang'!$E88,'CWO Bulan Ini'!$CZ:$CZ,'Area-Cabang'!BJ$41)</f>
        <v>0</v>
      </c>
      <c r="BK88" s="42">
        <f>SUMIFS('CWO Bulan Ini'!$DD:$DD,'CWO Bulan Ini'!$DJ:$DJ,'Area-Cabang'!$B88,'CWO Bulan Ini'!$DH:$DH,'Area-Cabang'!$E88,'CWO Bulan Ini'!$CZ:$CZ,'Area-Cabang'!BK$41)</f>
        <v>0</v>
      </c>
      <c r="BL88" s="42">
        <f>SUMIFS('CWO Bulan Ini'!$DD:$DD,'CWO Bulan Ini'!$DJ:$DJ,'Area-Cabang'!$B88,'CWO Bulan Ini'!$DH:$DH,'Area-Cabang'!$E88,'CWO Bulan Ini'!$CZ:$CZ,'Area-Cabang'!BL$41)</f>
        <v>0</v>
      </c>
      <c r="BM88" s="42">
        <f>SUMIFS('CWO Bulan Ini'!$DD:$DD,'CWO Bulan Ini'!$DJ:$DJ,'Area-Cabang'!$B88,'CWO Bulan Ini'!$DH:$DH,'Area-Cabang'!$E88,'CWO Bulan Ini'!$CZ:$CZ,'Area-Cabang'!BM$41)</f>
        <v>0</v>
      </c>
      <c r="BN88" s="42">
        <f>SUMIFS('CWO Bulan Ini'!$DD:$DD,'CWO Bulan Ini'!$DJ:$DJ,'Area-Cabang'!$B88,'CWO Bulan Ini'!$DH:$DH,'Area-Cabang'!$E88,'CWO Bulan Ini'!$CZ:$CZ,'Area-Cabang'!BN$41)</f>
        <v>0</v>
      </c>
      <c r="BO88" s="43">
        <f>SUMIFS('CWO Bulan Ini'!$DD:$DD,'CWO Bulan Ini'!$DJ:$DJ,'Area-Cabang'!$B88,'CWO Bulan Ini'!$DH:$DH,'Area-Cabang'!$E88,'CWO Bulan Ini'!$CZ:$CZ,'Area-Cabang'!BO$41)</f>
        <v>0</v>
      </c>
      <c r="BP88" s="41">
        <f>SUMIFS('CWO Bulan Ini'!$DC:$DC,'CWO Bulan Ini'!$DJ:$DJ,'Area-Cabang'!$B88,'CWO Bulan Ini'!$DH:$DH,'Area-Cabang'!$E88,'CWO Bulan Ini'!$CZ:$CZ,'Area-Cabang'!BP$41)</f>
        <v>0</v>
      </c>
      <c r="BQ88" s="42">
        <f>SUMIFS('CWO Bulan Ini'!$DC:$DC,'CWO Bulan Ini'!$DJ:$DJ,'Area-Cabang'!$B88,'CWO Bulan Ini'!$DH:$DH,'Area-Cabang'!$E88,'CWO Bulan Ini'!$CZ:$CZ,'Area-Cabang'!BQ$41)</f>
        <v>0</v>
      </c>
      <c r="BR88" s="42">
        <f>SUMIFS('CWO Bulan Ini'!$DC:$DC,'CWO Bulan Ini'!$DJ:$DJ,'Area-Cabang'!$B88,'CWO Bulan Ini'!$DH:$DH,'Area-Cabang'!$E88,'CWO Bulan Ini'!$CZ:$CZ,'Area-Cabang'!BR$41)</f>
        <v>0</v>
      </c>
      <c r="BS88" s="42">
        <f>SUMIFS('CWO Bulan Ini'!$DC:$DC,'CWO Bulan Ini'!$DJ:$DJ,'Area-Cabang'!$B88,'CWO Bulan Ini'!$DH:$DH,'Area-Cabang'!$E88,'CWO Bulan Ini'!$CZ:$CZ,'Area-Cabang'!BS$41)</f>
        <v>0</v>
      </c>
      <c r="BT88" s="42">
        <f>SUMIFS('CWO Bulan Ini'!$DC:$DC,'CWO Bulan Ini'!$DJ:$DJ,'Area-Cabang'!$B88,'CWO Bulan Ini'!$DH:$DH,'Area-Cabang'!$E88,'CWO Bulan Ini'!$CZ:$CZ,'Area-Cabang'!BT$41)</f>
        <v>0</v>
      </c>
      <c r="BU88" s="42">
        <f>SUMIFS('CWO Bulan Ini'!$DC:$DC,'CWO Bulan Ini'!$DJ:$DJ,'Area-Cabang'!$B88,'CWO Bulan Ini'!$DH:$DH,'Area-Cabang'!$E88,'CWO Bulan Ini'!$CZ:$CZ,'Area-Cabang'!BU$41)</f>
        <v>0</v>
      </c>
      <c r="BV88" s="42">
        <f>SUMIFS('CWO Bulan Ini'!$DC:$DC,'CWO Bulan Ini'!$DJ:$DJ,'Area-Cabang'!$B88,'CWO Bulan Ini'!$DH:$DH,'Area-Cabang'!$E88,'CWO Bulan Ini'!$CZ:$CZ,'Area-Cabang'!BV$41)</f>
        <v>0</v>
      </c>
      <c r="BW88" s="42">
        <f>SUMIFS('CWO Bulan Ini'!$DC:$DC,'CWO Bulan Ini'!$DJ:$DJ,'Area-Cabang'!$B88,'CWO Bulan Ini'!$DH:$DH,'Area-Cabang'!$E88,'CWO Bulan Ini'!$CZ:$CZ,'Area-Cabang'!BW$41)</f>
        <v>0</v>
      </c>
      <c r="BX88" s="42">
        <f>SUMIFS('CWO Bulan Ini'!$DC:$DC,'CWO Bulan Ini'!$DJ:$DJ,'Area-Cabang'!$B88,'CWO Bulan Ini'!$DH:$DH,'Area-Cabang'!$E88,'CWO Bulan Ini'!$CZ:$CZ,'Area-Cabang'!BX$41)</f>
        <v>0</v>
      </c>
      <c r="BY88" s="42">
        <f>SUMIFS('CWO Bulan Ini'!$DC:$DC,'CWO Bulan Ini'!$DJ:$DJ,'Area-Cabang'!$B88,'CWO Bulan Ini'!$DH:$DH,'Area-Cabang'!$E88,'CWO Bulan Ini'!$CZ:$CZ,'Area-Cabang'!BY$41)</f>
        <v>0</v>
      </c>
      <c r="BZ88" s="42">
        <f>SUMIFS('CWO Bulan Ini'!$DC:$DC,'CWO Bulan Ini'!$DJ:$DJ,'Area-Cabang'!$B88,'CWO Bulan Ini'!$DH:$DH,'Area-Cabang'!$E88,'CWO Bulan Ini'!$CZ:$CZ,'Area-Cabang'!BZ$41)</f>
        <v>0</v>
      </c>
      <c r="CA88" s="42">
        <f>SUMIFS('CWO Bulan Ini'!$DC:$DC,'CWO Bulan Ini'!$DJ:$DJ,'Area-Cabang'!$B88,'CWO Bulan Ini'!$DH:$DH,'Area-Cabang'!$E88,'CWO Bulan Ini'!$CZ:$CZ,'Area-Cabang'!CA$41)</f>
        <v>0</v>
      </c>
      <c r="CB88" s="42">
        <f>SUMIFS('CWO Bulan Ini'!$DC:$DC,'CWO Bulan Ini'!$DJ:$DJ,'Area-Cabang'!$B88,'CWO Bulan Ini'!$DH:$DH,'Area-Cabang'!$E88,'CWO Bulan Ini'!$CZ:$CZ,'Area-Cabang'!CB$41)</f>
        <v>0</v>
      </c>
      <c r="CC88" s="42">
        <f>SUMIFS('CWO Bulan Ini'!$DC:$DC,'CWO Bulan Ini'!$DJ:$DJ,'Area-Cabang'!$B88,'CWO Bulan Ini'!$DH:$DH,'Area-Cabang'!$E88,'CWO Bulan Ini'!$CZ:$CZ,'Area-Cabang'!CC$41)</f>
        <v>0</v>
      </c>
      <c r="CD88" s="42">
        <f>SUMIFS('CWO Bulan Ini'!$DC:$DC,'CWO Bulan Ini'!$DJ:$DJ,'Area-Cabang'!$B88,'CWO Bulan Ini'!$DH:$DH,'Area-Cabang'!$E88,'CWO Bulan Ini'!$CZ:$CZ,'Area-Cabang'!CD$41)</f>
        <v>0</v>
      </c>
      <c r="CE88" s="42">
        <f>SUMIFS('CWO Bulan Ini'!$DC:$DC,'CWO Bulan Ini'!$DJ:$DJ,'Area-Cabang'!$B88,'CWO Bulan Ini'!$DH:$DH,'Area-Cabang'!$E88,'CWO Bulan Ini'!$CZ:$CZ,'Area-Cabang'!CE$41)</f>
        <v>0</v>
      </c>
      <c r="CF88" s="42">
        <f>SUMIFS('CWO Bulan Ini'!$DC:$DC,'CWO Bulan Ini'!$DJ:$DJ,'Area-Cabang'!$B88,'CWO Bulan Ini'!$DH:$DH,'Area-Cabang'!$E88,'CWO Bulan Ini'!$CZ:$CZ,'Area-Cabang'!CF$41)</f>
        <v>0</v>
      </c>
      <c r="CG88" s="42">
        <f>SUMIFS('CWO Bulan Ini'!$DC:$DC,'CWO Bulan Ini'!$DJ:$DJ,'Area-Cabang'!$B88,'CWO Bulan Ini'!$DH:$DH,'Area-Cabang'!$E88,'CWO Bulan Ini'!$CZ:$CZ,'Area-Cabang'!CG$41)</f>
        <v>0</v>
      </c>
      <c r="CH88" s="42">
        <f>SUMIFS('CWO Bulan Ini'!$DC:$DC,'CWO Bulan Ini'!$DJ:$DJ,'Area-Cabang'!$B88,'CWO Bulan Ini'!$DH:$DH,'Area-Cabang'!$E88,'CWO Bulan Ini'!$CZ:$CZ,'Area-Cabang'!CH$41)</f>
        <v>0</v>
      </c>
      <c r="CI88" s="42">
        <f>SUMIFS('CWO Bulan Ini'!$DC:$DC,'CWO Bulan Ini'!$DJ:$DJ,'Area-Cabang'!$B88,'CWO Bulan Ini'!$DH:$DH,'Area-Cabang'!$E88,'CWO Bulan Ini'!$CZ:$CZ,'Area-Cabang'!CI$41)</f>
        <v>0</v>
      </c>
      <c r="CJ88" s="42">
        <f>SUMIFS('CWO Bulan Ini'!$DC:$DC,'CWO Bulan Ini'!$DJ:$DJ,'Area-Cabang'!$B88,'CWO Bulan Ini'!$DH:$DH,'Area-Cabang'!$E88,'CWO Bulan Ini'!$CZ:$CZ,'Area-Cabang'!CJ$41)</f>
        <v>0</v>
      </c>
      <c r="CK88" s="42">
        <f>SUMIFS('CWO Bulan Ini'!$DC:$DC,'CWO Bulan Ini'!$DJ:$DJ,'Area-Cabang'!$B88,'CWO Bulan Ini'!$DH:$DH,'Area-Cabang'!$E88,'CWO Bulan Ini'!$CZ:$CZ,'Area-Cabang'!CK$41)</f>
        <v>0</v>
      </c>
      <c r="CL88" s="42">
        <f>SUMIFS('CWO Bulan Ini'!$DC:$DC,'CWO Bulan Ini'!$DJ:$DJ,'Area-Cabang'!$B88,'CWO Bulan Ini'!$DH:$DH,'Area-Cabang'!$E88,'CWO Bulan Ini'!$CZ:$CZ,'Area-Cabang'!CL$41)</f>
        <v>0</v>
      </c>
      <c r="CM88" s="42">
        <f>SUMIFS('CWO Bulan Ini'!$DC:$DC,'CWO Bulan Ini'!$DJ:$DJ,'Area-Cabang'!$B88,'CWO Bulan Ini'!$DH:$DH,'Area-Cabang'!$E88,'CWO Bulan Ini'!$CZ:$CZ,'Area-Cabang'!CM$41)</f>
        <v>0</v>
      </c>
      <c r="CN88" s="42">
        <f>SUMIFS('CWO Bulan Ini'!$DC:$DC,'CWO Bulan Ini'!$DJ:$DJ,'Area-Cabang'!$B88,'CWO Bulan Ini'!$DH:$DH,'Area-Cabang'!$E88,'CWO Bulan Ini'!$CZ:$CZ,'Area-Cabang'!CN$41)</f>
        <v>0</v>
      </c>
      <c r="CO88" s="42">
        <f>SUMIFS('CWO Bulan Ini'!$DC:$DC,'CWO Bulan Ini'!$DJ:$DJ,'Area-Cabang'!$B88,'CWO Bulan Ini'!$DH:$DH,'Area-Cabang'!$E88,'CWO Bulan Ini'!$CZ:$CZ,'Area-Cabang'!CO$41)</f>
        <v>0</v>
      </c>
      <c r="CP88" s="42">
        <f>SUMIFS('CWO Bulan Ini'!$DC:$DC,'CWO Bulan Ini'!$DJ:$DJ,'Area-Cabang'!$B88,'CWO Bulan Ini'!$DH:$DH,'Area-Cabang'!$E88,'CWO Bulan Ini'!$CZ:$CZ,'Area-Cabang'!CP$41)</f>
        <v>0</v>
      </c>
      <c r="CQ88" s="42">
        <f>SUMIFS('CWO Bulan Ini'!$DC:$DC,'CWO Bulan Ini'!$DJ:$DJ,'Area-Cabang'!$B88,'CWO Bulan Ini'!$DH:$DH,'Area-Cabang'!$E88,'CWO Bulan Ini'!$CZ:$CZ,'Area-Cabang'!CQ$41)</f>
        <v>0</v>
      </c>
      <c r="CR88" s="42">
        <f>SUMIFS('CWO Bulan Ini'!$DC:$DC,'CWO Bulan Ini'!$DJ:$DJ,'Area-Cabang'!$B88,'CWO Bulan Ini'!$DH:$DH,'Area-Cabang'!$E88,'CWO Bulan Ini'!$CZ:$CZ,'Area-Cabang'!CR$41)</f>
        <v>0</v>
      </c>
      <c r="CS88" s="42">
        <f>SUMIFS('CWO Bulan Ini'!$DC:$DC,'CWO Bulan Ini'!$DJ:$DJ,'Area-Cabang'!$B88,'CWO Bulan Ini'!$DH:$DH,'Area-Cabang'!$E88,'CWO Bulan Ini'!$CZ:$CZ,'Area-Cabang'!CS$41)</f>
        <v>0</v>
      </c>
      <c r="CT88" s="43">
        <f>SUMIFS('CWO Bulan Ini'!$DC:$DC,'CWO Bulan Ini'!$DJ:$DJ,'Area-Cabang'!$B88,'CWO Bulan Ini'!$DH:$DH,'Area-Cabang'!$E88,'CWO Bulan Ini'!$CZ:$CZ,'Area-Cabang'!CT$41)</f>
        <v>0</v>
      </c>
      <c r="CV88" s="96">
        <f t="shared" si="2526"/>
        <v>0</v>
      </c>
      <c r="CW88" s="93">
        <f t="shared" si="2527"/>
        <v>0</v>
      </c>
      <c r="CX88" s="93">
        <f t="shared" si="2528"/>
        <v>0</v>
      </c>
      <c r="CY88" s="93">
        <f t="shared" si="2529"/>
        <v>0</v>
      </c>
      <c r="CZ88" s="106">
        <f t="shared" si="2530"/>
        <v>0</v>
      </c>
    </row>
    <row r="89" spans="1:104" ht="15" customHeight="1" x14ac:dyDescent="0.25">
      <c r="A89" s="58" t="s">
        <v>487</v>
      </c>
      <c r="B89" s="53" t="s">
        <v>822</v>
      </c>
      <c r="C89" s="250"/>
      <c r="D89" s="227" t="s">
        <v>822</v>
      </c>
      <c r="E89" s="228"/>
      <c r="F89" s="219">
        <f t="shared" ref="F89" si="2531">SUM(F87:F88)</f>
        <v>0</v>
      </c>
      <c r="G89" s="220">
        <f t="shared" ref="G89" si="2532">SUM(G87:G88)</f>
        <v>0</v>
      </c>
      <c r="H89" s="220">
        <f t="shared" ref="H89" si="2533">SUM(H87:H88)</f>
        <v>0</v>
      </c>
      <c r="I89" s="220">
        <f t="shared" ref="I89" si="2534">SUM(I87:I88)</f>
        <v>0</v>
      </c>
      <c r="J89" s="220">
        <f t="shared" ref="J89" si="2535">SUM(J87:J88)</f>
        <v>0</v>
      </c>
      <c r="K89" s="220">
        <f t="shared" ref="K89" si="2536">SUM(K87:K88)</f>
        <v>0</v>
      </c>
      <c r="L89" s="220">
        <f t="shared" ref="L89" si="2537">SUM(L87:L88)</f>
        <v>0</v>
      </c>
      <c r="M89" s="220">
        <f t="shared" ref="M89" si="2538">SUM(M87:M88)</f>
        <v>0</v>
      </c>
      <c r="N89" s="220">
        <f t="shared" ref="N89" si="2539">SUM(N87:N88)</f>
        <v>0</v>
      </c>
      <c r="O89" s="220">
        <f t="shared" ref="O89" si="2540">SUM(O87:O88)</f>
        <v>0</v>
      </c>
      <c r="P89" s="220">
        <f t="shared" ref="P89" si="2541">SUM(P87:P88)</f>
        <v>0</v>
      </c>
      <c r="Q89" s="220">
        <f t="shared" ref="Q89" si="2542">SUM(Q87:Q88)</f>
        <v>0</v>
      </c>
      <c r="R89" s="220">
        <f t="shared" ref="R89" si="2543">SUM(R87:R88)</f>
        <v>0</v>
      </c>
      <c r="S89" s="220">
        <f t="shared" ref="S89" si="2544">SUM(S87:S88)</f>
        <v>0</v>
      </c>
      <c r="T89" s="220">
        <f t="shared" ref="T89" si="2545">SUM(T87:T88)</f>
        <v>0</v>
      </c>
      <c r="U89" s="220">
        <f t="shared" ref="U89" si="2546">SUM(U87:U88)</f>
        <v>0</v>
      </c>
      <c r="V89" s="220">
        <f t="shared" ref="V89" si="2547">SUM(V87:V88)</f>
        <v>0</v>
      </c>
      <c r="W89" s="220">
        <f t="shared" ref="W89" si="2548">SUM(W87:W88)</f>
        <v>0</v>
      </c>
      <c r="X89" s="220">
        <f t="shared" ref="X89" si="2549">SUM(X87:X88)</f>
        <v>0</v>
      </c>
      <c r="Y89" s="220">
        <f t="shared" ref="Y89" si="2550">SUM(Y87:Y88)</f>
        <v>0</v>
      </c>
      <c r="Z89" s="220">
        <f t="shared" ref="Z89" si="2551">SUM(Z87:Z88)</f>
        <v>0</v>
      </c>
      <c r="AA89" s="220">
        <f t="shared" ref="AA89" si="2552">SUM(AA87:AA88)</f>
        <v>0</v>
      </c>
      <c r="AB89" s="220">
        <f t="shared" ref="AB89" si="2553">SUM(AB87:AB88)</f>
        <v>0</v>
      </c>
      <c r="AC89" s="220">
        <f t="shared" ref="AC89" si="2554">SUM(AC87:AC88)</f>
        <v>0</v>
      </c>
      <c r="AD89" s="220">
        <f t="shared" ref="AD89" si="2555">SUM(AD87:AD88)</f>
        <v>0</v>
      </c>
      <c r="AE89" s="220">
        <f t="shared" ref="AE89" si="2556">SUM(AE87:AE88)</f>
        <v>0</v>
      </c>
      <c r="AF89" s="220">
        <f t="shared" ref="AF89" si="2557">SUM(AF87:AF88)</f>
        <v>0</v>
      </c>
      <c r="AG89" s="220">
        <f t="shared" ref="AG89" si="2558">SUM(AG87:AG88)</f>
        <v>0</v>
      </c>
      <c r="AH89" s="220">
        <f t="shared" ref="AH89" si="2559">SUM(AH87:AH88)</f>
        <v>0</v>
      </c>
      <c r="AI89" s="220">
        <f t="shared" ref="AI89" si="2560">SUM(AI87:AI88)</f>
        <v>0</v>
      </c>
      <c r="AJ89" s="220">
        <f t="shared" ref="AJ89" si="2561">SUM(AJ87:AJ88)</f>
        <v>0</v>
      </c>
      <c r="AK89" s="219">
        <f t="shared" ref="AK89" si="2562">SUM(AK87:AK88)</f>
        <v>0</v>
      </c>
      <c r="AL89" s="220">
        <f t="shared" ref="AL89" si="2563">SUM(AL87:AL88)</f>
        <v>0</v>
      </c>
      <c r="AM89" s="220">
        <f t="shared" ref="AM89" si="2564">SUM(AM87:AM88)</f>
        <v>0</v>
      </c>
      <c r="AN89" s="220">
        <f t="shared" ref="AN89" si="2565">SUM(AN87:AN88)</f>
        <v>0</v>
      </c>
      <c r="AO89" s="220">
        <f t="shared" ref="AO89" si="2566">SUM(AO87:AO88)</f>
        <v>0</v>
      </c>
      <c r="AP89" s="220">
        <f t="shared" ref="AP89" si="2567">SUM(AP87:AP88)</f>
        <v>0</v>
      </c>
      <c r="AQ89" s="220">
        <f t="shared" ref="AQ89" si="2568">SUM(AQ87:AQ88)</f>
        <v>0</v>
      </c>
      <c r="AR89" s="220">
        <f t="shared" ref="AR89" si="2569">SUM(AR87:AR88)</f>
        <v>0</v>
      </c>
      <c r="AS89" s="220">
        <f t="shared" ref="AS89" si="2570">SUM(AS87:AS88)</f>
        <v>0</v>
      </c>
      <c r="AT89" s="220">
        <f t="shared" ref="AT89" si="2571">SUM(AT87:AT88)</f>
        <v>0</v>
      </c>
      <c r="AU89" s="220">
        <f t="shared" ref="AU89" si="2572">SUM(AU87:AU88)</f>
        <v>0</v>
      </c>
      <c r="AV89" s="220">
        <f t="shared" ref="AV89" si="2573">SUM(AV87:AV88)</f>
        <v>0</v>
      </c>
      <c r="AW89" s="220">
        <f t="shared" ref="AW89" si="2574">SUM(AW87:AW88)</f>
        <v>0</v>
      </c>
      <c r="AX89" s="220">
        <f t="shared" ref="AX89" si="2575">SUM(AX87:AX88)</f>
        <v>0</v>
      </c>
      <c r="AY89" s="220">
        <f t="shared" ref="AY89" si="2576">SUM(AY87:AY88)</f>
        <v>0</v>
      </c>
      <c r="AZ89" s="220">
        <f t="shared" ref="AZ89" si="2577">SUM(AZ87:AZ88)</f>
        <v>0</v>
      </c>
      <c r="BA89" s="220">
        <f t="shared" ref="BA89" si="2578">SUM(BA87:BA88)</f>
        <v>0</v>
      </c>
      <c r="BB89" s="220">
        <f t="shared" ref="BB89" si="2579">SUM(BB87:BB88)</f>
        <v>0</v>
      </c>
      <c r="BC89" s="220">
        <f t="shared" ref="BC89" si="2580">SUM(BC87:BC88)</f>
        <v>0</v>
      </c>
      <c r="BD89" s="220">
        <f t="shared" ref="BD89" si="2581">SUM(BD87:BD88)</f>
        <v>0</v>
      </c>
      <c r="BE89" s="220">
        <f t="shared" ref="BE89" si="2582">SUM(BE87:BE88)</f>
        <v>0</v>
      </c>
      <c r="BF89" s="220">
        <f t="shared" ref="BF89" si="2583">SUM(BF87:BF88)</f>
        <v>0</v>
      </c>
      <c r="BG89" s="220">
        <f t="shared" ref="BG89" si="2584">SUM(BG87:BG88)</f>
        <v>0</v>
      </c>
      <c r="BH89" s="220">
        <f t="shared" ref="BH89" si="2585">SUM(BH87:BH88)</f>
        <v>0</v>
      </c>
      <c r="BI89" s="220">
        <f t="shared" ref="BI89" si="2586">SUM(BI87:BI88)</f>
        <v>0</v>
      </c>
      <c r="BJ89" s="220">
        <f t="shared" ref="BJ89" si="2587">SUM(BJ87:BJ88)</f>
        <v>0</v>
      </c>
      <c r="BK89" s="220">
        <f t="shared" ref="BK89" si="2588">SUM(BK87:BK88)</f>
        <v>0</v>
      </c>
      <c r="BL89" s="220">
        <f t="shared" ref="BL89" si="2589">SUM(BL87:BL88)</f>
        <v>0</v>
      </c>
      <c r="BM89" s="220">
        <f t="shared" ref="BM89" si="2590">SUM(BM87:BM88)</f>
        <v>0</v>
      </c>
      <c r="BN89" s="220">
        <f t="shared" ref="BN89" si="2591">SUM(BN87:BN88)</f>
        <v>0</v>
      </c>
      <c r="BO89" s="221">
        <f t="shared" ref="BO89" si="2592">SUM(BO87:BO88)</f>
        <v>0</v>
      </c>
      <c r="BP89" s="219">
        <f t="shared" ref="BP89" si="2593">SUM(BP87:BP88)</f>
        <v>0</v>
      </c>
      <c r="BQ89" s="220">
        <f t="shared" ref="BQ89" si="2594">SUM(BQ87:BQ88)</f>
        <v>0</v>
      </c>
      <c r="BR89" s="220">
        <f t="shared" ref="BR89" si="2595">SUM(BR87:BR88)</f>
        <v>0</v>
      </c>
      <c r="BS89" s="220">
        <f t="shared" ref="BS89" si="2596">SUM(BS87:BS88)</f>
        <v>0</v>
      </c>
      <c r="BT89" s="220">
        <f t="shared" ref="BT89" si="2597">SUM(BT87:BT88)</f>
        <v>0</v>
      </c>
      <c r="BU89" s="220">
        <f t="shared" ref="BU89" si="2598">SUM(BU87:BU88)</f>
        <v>0</v>
      </c>
      <c r="BV89" s="220">
        <f t="shared" ref="BV89" si="2599">SUM(BV87:BV88)</f>
        <v>0</v>
      </c>
      <c r="BW89" s="220">
        <f t="shared" ref="BW89" si="2600">SUM(BW87:BW88)</f>
        <v>0</v>
      </c>
      <c r="BX89" s="220">
        <f t="shared" ref="BX89" si="2601">SUM(BX87:BX88)</f>
        <v>0</v>
      </c>
      <c r="BY89" s="220">
        <f t="shared" ref="BY89" si="2602">SUM(BY87:BY88)</f>
        <v>0</v>
      </c>
      <c r="BZ89" s="220">
        <f t="shared" ref="BZ89" si="2603">SUM(BZ87:BZ88)</f>
        <v>0</v>
      </c>
      <c r="CA89" s="220">
        <f t="shared" ref="CA89" si="2604">SUM(CA87:CA88)</f>
        <v>0</v>
      </c>
      <c r="CB89" s="220">
        <f t="shared" ref="CB89" si="2605">SUM(CB87:CB88)</f>
        <v>0</v>
      </c>
      <c r="CC89" s="220">
        <f t="shared" ref="CC89" si="2606">SUM(CC87:CC88)</f>
        <v>0</v>
      </c>
      <c r="CD89" s="220">
        <f t="shared" ref="CD89" si="2607">SUM(CD87:CD88)</f>
        <v>0</v>
      </c>
      <c r="CE89" s="220">
        <f t="shared" ref="CE89" si="2608">SUM(CE87:CE88)</f>
        <v>0</v>
      </c>
      <c r="CF89" s="220">
        <f t="shared" ref="CF89" si="2609">SUM(CF87:CF88)</f>
        <v>0</v>
      </c>
      <c r="CG89" s="220">
        <f t="shared" ref="CG89" si="2610">SUM(CG87:CG88)</f>
        <v>0</v>
      </c>
      <c r="CH89" s="220">
        <f t="shared" ref="CH89" si="2611">SUM(CH87:CH88)</f>
        <v>0</v>
      </c>
      <c r="CI89" s="220">
        <f t="shared" ref="CI89" si="2612">SUM(CI87:CI88)</f>
        <v>0</v>
      </c>
      <c r="CJ89" s="220">
        <f t="shared" ref="CJ89" si="2613">SUM(CJ87:CJ88)</f>
        <v>0</v>
      </c>
      <c r="CK89" s="220">
        <f t="shared" ref="CK89" si="2614">SUM(CK87:CK88)</f>
        <v>0</v>
      </c>
      <c r="CL89" s="220">
        <f t="shared" ref="CL89" si="2615">SUM(CL87:CL88)</f>
        <v>0</v>
      </c>
      <c r="CM89" s="220">
        <f t="shared" ref="CM89" si="2616">SUM(CM87:CM88)</f>
        <v>0</v>
      </c>
      <c r="CN89" s="220">
        <f t="shared" ref="CN89" si="2617">SUM(CN87:CN88)</f>
        <v>0</v>
      </c>
      <c r="CO89" s="220">
        <f t="shared" ref="CO89" si="2618">SUM(CO87:CO88)</f>
        <v>0</v>
      </c>
      <c r="CP89" s="220">
        <f t="shared" ref="CP89" si="2619">SUM(CP87:CP88)</f>
        <v>0</v>
      </c>
      <c r="CQ89" s="220">
        <f t="shared" ref="CQ89" si="2620">SUM(CQ87:CQ88)</f>
        <v>0</v>
      </c>
      <c r="CR89" s="220">
        <f t="shared" ref="CR89" si="2621">SUM(CR87:CR88)</f>
        <v>0</v>
      </c>
      <c r="CS89" s="220">
        <f t="shared" ref="CS89" si="2622">SUM(CS87:CS88)</f>
        <v>0</v>
      </c>
      <c r="CT89" s="221">
        <f t="shared" ref="CT89" si="2623">SUM(CT87:CT88)</f>
        <v>0</v>
      </c>
      <c r="CU89" s="226"/>
      <c r="CV89" s="219">
        <f t="shared" ref="CV89" si="2624">SUM(CV87:CV88)</f>
        <v>0</v>
      </c>
      <c r="CW89" s="220">
        <f t="shared" ref="CW89" si="2625">SUM(CW87:CW88)</f>
        <v>0</v>
      </c>
      <c r="CX89" s="220">
        <f t="shared" ref="CX89" si="2626">SUM(CX87:CX88)</f>
        <v>0</v>
      </c>
      <c r="CY89" s="220">
        <f t="shared" ref="CY89" si="2627">SUM(CY87:CY88)</f>
        <v>0</v>
      </c>
      <c r="CZ89" s="222">
        <f t="shared" ref="CZ89" si="2628">SUM(CZ87:CZ88)</f>
        <v>0</v>
      </c>
    </row>
    <row r="90" spans="1:104" ht="15" customHeight="1" x14ac:dyDescent="0.25">
      <c r="A90" s="58" t="s">
        <v>487</v>
      </c>
      <c r="B90" s="53" t="s">
        <v>177</v>
      </c>
      <c r="C90" s="250"/>
      <c r="D90" s="245" t="s">
        <v>177</v>
      </c>
      <c r="E90" s="85" t="s">
        <v>132</v>
      </c>
      <c r="F90" s="55">
        <f>SUMIFS('CWO Bulan Ini'!$DA:$DA,'CWO Bulan Ini'!$DJ:$DJ,'Area-Cabang'!$B90,'CWO Bulan Ini'!$DH:$DH,'Area-Cabang'!$E90,'CWO Bulan Ini'!$CZ:$CZ,'Area-Cabang'!F$41)</f>
        <v>0</v>
      </c>
      <c r="G90" s="56">
        <f>SUMIFS('CWO Bulan Ini'!$DA:$DA,'CWO Bulan Ini'!$DJ:$DJ,'Area-Cabang'!$B90,'CWO Bulan Ini'!$DH:$DH,'Area-Cabang'!$E90,'CWO Bulan Ini'!$CZ:$CZ,'Area-Cabang'!G$41)</f>
        <v>0</v>
      </c>
      <c r="H90" s="56">
        <f>SUMIFS('CWO Bulan Ini'!$DA:$DA,'CWO Bulan Ini'!$DJ:$DJ,'Area-Cabang'!$B90,'CWO Bulan Ini'!$DH:$DH,'Area-Cabang'!$E90,'CWO Bulan Ini'!$CZ:$CZ,'Area-Cabang'!H$41)</f>
        <v>0</v>
      </c>
      <c r="I90" s="56">
        <f>SUMIFS('CWO Bulan Ini'!$DA:$DA,'CWO Bulan Ini'!$DJ:$DJ,'Area-Cabang'!$B90,'CWO Bulan Ini'!$DH:$DH,'Area-Cabang'!$E90,'CWO Bulan Ini'!$CZ:$CZ,'Area-Cabang'!I$41)</f>
        <v>0</v>
      </c>
      <c r="J90" s="56">
        <f>SUMIFS('CWO Bulan Ini'!$DA:$DA,'CWO Bulan Ini'!$DJ:$DJ,'Area-Cabang'!$B90,'CWO Bulan Ini'!$DH:$DH,'Area-Cabang'!$E90,'CWO Bulan Ini'!$CZ:$CZ,'Area-Cabang'!J$41)</f>
        <v>0</v>
      </c>
      <c r="K90" s="56">
        <f>SUMIFS('CWO Bulan Ini'!$DA:$DA,'CWO Bulan Ini'!$DJ:$DJ,'Area-Cabang'!$B90,'CWO Bulan Ini'!$DH:$DH,'Area-Cabang'!$E90,'CWO Bulan Ini'!$CZ:$CZ,'Area-Cabang'!K$41)</f>
        <v>0</v>
      </c>
      <c r="L90" s="56">
        <f>SUMIFS('CWO Bulan Ini'!$DA:$DA,'CWO Bulan Ini'!$DJ:$DJ,'Area-Cabang'!$B90,'CWO Bulan Ini'!$DH:$DH,'Area-Cabang'!$E90,'CWO Bulan Ini'!$CZ:$CZ,'Area-Cabang'!L$41)</f>
        <v>0</v>
      </c>
      <c r="M90" s="56">
        <f>SUMIFS('CWO Bulan Ini'!$DA:$DA,'CWO Bulan Ini'!$DJ:$DJ,'Area-Cabang'!$B90,'CWO Bulan Ini'!$DH:$DH,'Area-Cabang'!$E90,'CWO Bulan Ini'!$CZ:$CZ,'Area-Cabang'!M$41)</f>
        <v>0</v>
      </c>
      <c r="N90" s="56">
        <f>SUMIFS('CWO Bulan Ini'!$DA:$DA,'CWO Bulan Ini'!$DJ:$DJ,'Area-Cabang'!$B90,'CWO Bulan Ini'!$DH:$DH,'Area-Cabang'!$E90,'CWO Bulan Ini'!$CZ:$CZ,'Area-Cabang'!N$41)</f>
        <v>0</v>
      </c>
      <c r="O90" s="56">
        <f>SUMIFS('CWO Bulan Ini'!$DA:$DA,'CWO Bulan Ini'!$DJ:$DJ,'Area-Cabang'!$B90,'CWO Bulan Ini'!$DH:$DH,'Area-Cabang'!$E90,'CWO Bulan Ini'!$CZ:$CZ,'Area-Cabang'!O$41)</f>
        <v>0</v>
      </c>
      <c r="P90" s="56">
        <f>SUMIFS('CWO Bulan Ini'!$DA:$DA,'CWO Bulan Ini'!$DJ:$DJ,'Area-Cabang'!$B90,'CWO Bulan Ini'!$DH:$DH,'Area-Cabang'!$E90,'CWO Bulan Ini'!$CZ:$CZ,'Area-Cabang'!P$41)</f>
        <v>0</v>
      </c>
      <c r="Q90" s="56">
        <f>SUMIFS('CWO Bulan Ini'!$DA:$DA,'CWO Bulan Ini'!$DJ:$DJ,'Area-Cabang'!$B90,'CWO Bulan Ini'!$DH:$DH,'Area-Cabang'!$E90,'CWO Bulan Ini'!$CZ:$CZ,'Area-Cabang'!Q$41)</f>
        <v>0</v>
      </c>
      <c r="R90" s="56">
        <f>SUMIFS('CWO Bulan Ini'!$DA:$DA,'CWO Bulan Ini'!$DJ:$DJ,'Area-Cabang'!$B90,'CWO Bulan Ini'!$DH:$DH,'Area-Cabang'!$E90,'CWO Bulan Ini'!$CZ:$CZ,'Area-Cabang'!R$41)</f>
        <v>0</v>
      </c>
      <c r="S90" s="56">
        <f>SUMIFS('CWO Bulan Ini'!$DA:$DA,'CWO Bulan Ini'!$DJ:$DJ,'Area-Cabang'!$B90,'CWO Bulan Ini'!$DH:$DH,'Area-Cabang'!$E90,'CWO Bulan Ini'!$CZ:$CZ,'Area-Cabang'!S$41)</f>
        <v>0</v>
      </c>
      <c r="T90" s="56">
        <f>SUMIFS('CWO Bulan Ini'!$DA:$DA,'CWO Bulan Ini'!$DJ:$DJ,'Area-Cabang'!$B90,'CWO Bulan Ini'!$DH:$DH,'Area-Cabang'!$E90,'CWO Bulan Ini'!$CZ:$CZ,'Area-Cabang'!T$41)</f>
        <v>0</v>
      </c>
      <c r="U90" s="56">
        <f>SUMIFS('CWO Bulan Ini'!$DA:$DA,'CWO Bulan Ini'!$DJ:$DJ,'Area-Cabang'!$B90,'CWO Bulan Ini'!$DH:$DH,'Area-Cabang'!$E90,'CWO Bulan Ini'!$CZ:$CZ,'Area-Cabang'!U$41)</f>
        <v>0</v>
      </c>
      <c r="V90" s="56">
        <f>SUMIFS('CWO Bulan Ini'!$DA:$DA,'CWO Bulan Ini'!$DJ:$DJ,'Area-Cabang'!$B90,'CWO Bulan Ini'!$DH:$DH,'Area-Cabang'!$E90,'CWO Bulan Ini'!$CZ:$CZ,'Area-Cabang'!V$41)</f>
        <v>0</v>
      </c>
      <c r="W90" s="56">
        <f>SUMIFS('CWO Bulan Ini'!$DA:$DA,'CWO Bulan Ini'!$DJ:$DJ,'Area-Cabang'!$B90,'CWO Bulan Ini'!$DH:$DH,'Area-Cabang'!$E90,'CWO Bulan Ini'!$CZ:$CZ,'Area-Cabang'!W$41)</f>
        <v>0</v>
      </c>
      <c r="X90" s="56">
        <f>SUMIFS('CWO Bulan Ini'!$DA:$DA,'CWO Bulan Ini'!$DJ:$DJ,'Area-Cabang'!$B90,'CWO Bulan Ini'!$DH:$DH,'Area-Cabang'!$E90,'CWO Bulan Ini'!$CZ:$CZ,'Area-Cabang'!X$41)</f>
        <v>0</v>
      </c>
      <c r="Y90" s="56">
        <f>SUMIFS('CWO Bulan Ini'!$DA:$DA,'CWO Bulan Ini'!$DJ:$DJ,'Area-Cabang'!$B90,'CWO Bulan Ini'!$DH:$DH,'Area-Cabang'!$E90,'CWO Bulan Ini'!$CZ:$CZ,'Area-Cabang'!Y$41)</f>
        <v>0</v>
      </c>
      <c r="Z90" s="56">
        <f>SUMIFS('CWO Bulan Ini'!$DA:$DA,'CWO Bulan Ini'!$DJ:$DJ,'Area-Cabang'!$B90,'CWO Bulan Ini'!$DH:$DH,'Area-Cabang'!$E90,'CWO Bulan Ini'!$CZ:$CZ,'Area-Cabang'!Z$41)</f>
        <v>0</v>
      </c>
      <c r="AA90" s="56">
        <f>SUMIFS('CWO Bulan Ini'!$DA:$DA,'CWO Bulan Ini'!$DJ:$DJ,'Area-Cabang'!$B90,'CWO Bulan Ini'!$DH:$DH,'Area-Cabang'!$E90,'CWO Bulan Ini'!$CZ:$CZ,'Area-Cabang'!AA$41)</f>
        <v>0</v>
      </c>
      <c r="AB90" s="56">
        <f>SUMIFS('CWO Bulan Ini'!$DA:$DA,'CWO Bulan Ini'!$DJ:$DJ,'Area-Cabang'!$B90,'CWO Bulan Ini'!$DH:$DH,'Area-Cabang'!$E90,'CWO Bulan Ini'!$CZ:$CZ,'Area-Cabang'!AB$41)</f>
        <v>0</v>
      </c>
      <c r="AC90" s="56">
        <f>SUMIFS('CWO Bulan Ini'!$DA:$DA,'CWO Bulan Ini'!$DJ:$DJ,'Area-Cabang'!$B90,'CWO Bulan Ini'!$DH:$DH,'Area-Cabang'!$E90,'CWO Bulan Ini'!$CZ:$CZ,'Area-Cabang'!AC$41)</f>
        <v>0</v>
      </c>
      <c r="AD90" s="56">
        <f>SUMIFS('CWO Bulan Ini'!$DA:$DA,'CWO Bulan Ini'!$DJ:$DJ,'Area-Cabang'!$B90,'CWO Bulan Ini'!$DH:$DH,'Area-Cabang'!$E90,'CWO Bulan Ini'!$CZ:$CZ,'Area-Cabang'!AD$41)</f>
        <v>0</v>
      </c>
      <c r="AE90" s="56">
        <f>SUMIFS('CWO Bulan Ini'!$DA:$DA,'CWO Bulan Ini'!$DJ:$DJ,'Area-Cabang'!$B90,'CWO Bulan Ini'!$DH:$DH,'Area-Cabang'!$E90,'CWO Bulan Ini'!$CZ:$CZ,'Area-Cabang'!AE$41)</f>
        <v>0</v>
      </c>
      <c r="AF90" s="56">
        <f>SUMIFS('CWO Bulan Ini'!$DA:$DA,'CWO Bulan Ini'!$DJ:$DJ,'Area-Cabang'!$B90,'CWO Bulan Ini'!$DH:$DH,'Area-Cabang'!$E90,'CWO Bulan Ini'!$CZ:$CZ,'Area-Cabang'!AF$41)</f>
        <v>0</v>
      </c>
      <c r="AG90" s="56">
        <f>SUMIFS('CWO Bulan Ini'!$DA:$DA,'CWO Bulan Ini'!$DJ:$DJ,'Area-Cabang'!$B90,'CWO Bulan Ini'!$DH:$DH,'Area-Cabang'!$E90,'CWO Bulan Ini'!$CZ:$CZ,'Area-Cabang'!AG$41)</f>
        <v>0</v>
      </c>
      <c r="AH90" s="56">
        <f>SUMIFS('CWO Bulan Ini'!$DA:$DA,'CWO Bulan Ini'!$DJ:$DJ,'Area-Cabang'!$B90,'CWO Bulan Ini'!$DH:$DH,'Area-Cabang'!$E90,'CWO Bulan Ini'!$CZ:$CZ,'Area-Cabang'!AH$41)</f>
        <v>0</v>
      </c>
      <c r="AI90" s="56">
        <f>SUMIFS('CWO Bulan Ini'!$DA:$DA,'CWO Bulan Ini'!$DJ:$DJ,'Area-Cabang'!$B90,'CWO Bulan Ini'!$DH:$DH,'Area-Cabang'!$E90,'CWO Bulan Ini'!$CZ:$CZ,'Area-Cabang'!AI$41)</f>
        <v>0</v>
      </c>
      <c r="AJ90" s="56">
        <f>SUMIFS('CWO Bulan Ini'!$DA:$DA,'CWO Bulan Ini'!$DJ:$DJ,'Area-Cabang'!$B90,'CWO Bulan Ini'!$DH:$DH,'Area-Cabang'!$E90,'CWO Bulan Ini'!$CZ:$CZ,'Area-Cabang'!AJ$41)</f>
        <v>0</v>
      </c>
      <c r="AK90" s="55">
        <f>SUMIFS('CWO Bulan Ini'!$DD:$DD,'CWO Bulan Ini'!$DJ:$DJ,'Area-Cabang'!$B90,'CWO Bulan Ini'!$DH:$DH,'Area-Cabang'!$E90,'CWO Bulan Ini'!$CZ:$CZ,'Area-Cabang'!AK$41)</f>
        <v>0</v>
      </c>
      <c r="AL90" s="56">
        <f>SUMIFS('CWO Bulan Ini'!$DD:$DD,'CWO Bulan Ini'!$DJ:$DJ,'Area-Cabang'!$B90,'CWO Bulan Ini'!$DH:$DH,'Area-Cabang'!$E90,'CWO Bulan Ini'!$CZ:$CZ,'Area-Cabang'!AL$41)</f>
        <v>0</v>
      </c>
      <c r="AM90" s="56">
        <f>SUMIFS('CWO Bulan Ini'!$DD:$DD,'CWO Bulan Ini'!$DJ:$DJ,'Area-Cabang'!$B90,'CWO Bulan Ini'!$DH:$DH,'Area-Cabang'!$E90,'CWO Bulan Ini'!$CZ:$CZ,'Area-Cabang'!AM$41)</f>
        <v>0</v>
      </c>
      <c r="AN90" s="56">
        <f>SUMIFS('CWO Bulan Ini'!$DD:$DD,'CWO Bulan Ini'!$DJ:$DJ,'Area-Cabang'!$B90,'CWO Bulan Ini'!$DH:$DH,'Area-Cabang'!$E90,'CWO Bulan Ini'!$CZ:$CZ,'Area-Cabang'!AN$41)</f>
        <v>0</v>
      </c>
      <c r="AO90" s="56">
        <f>SUMIFS('CWO Bulan Ini'!$DD:$DD,'CWO Bulan Ini'!$DJ:$DJ,'Area-Cabang'!$B90,'CWO Bulan Ini'!$DH:$DH,'Area-Cabang'!$E90,'CWO Bulan Ini'!$CZ:$CZ,'Area-Cabang'!AO$41)</f>
        <v>0</v>
      </c>
      <c r="AP90" s="56">
        <f>SUMIFS('CWO Bulan Ini'!$DD:$DD,'CWO Bulan Ini'!$DJ:$DJ,'Area-Cabang'!$B90,'CWO Bulan Ini'!$DH:$DH,'Area-Cabang'!$E90,'CWO Bulan Ini'!$CZ:$CZ,'Area-Cabang'!AP$41)</f>
        <v>0</v>
      </c>
      <c r="AQ90" s="56">
        <f>SUMIFS('CWO Bulan Ini'!$DD:$DD,'CWO Bulan Ini'!$DJ:$DJ,'Area-Cabang'!$B90,'CWO Bulan Ini'!$DH:$DH,'Area-Cabang'!$E90,'CWO Bulan Ini'!$CZ:$CZ,'Area-Cabang'!AQ$41)</f>
        <v>0</v>
      </c>
      <c r="AR90" s="56">
        <f>SUMIFS('CWO Bulan Ini'!$DD:$DD,'CWO Bulan Ini'!$DJ:$DJ,'Area-Cabang'!$B90,'CWO Bulan Ini'!$DH:$DH,'Area-Cabang'!$E90,'CWO Bulan Ini'!$CZ:$CZ,'Area-Cabang'!AR$41)</f>
        <v>0</v>
      </c>
      <c r="AS90" s="56">
        <f>SUMIFS('CWO Bulan Ini'!$DD:$DD,'CWO Bulan Ini'!$DJ:$DJ,'Area-Cabang'!$B90,'CWO Bulan Ini'!$DH:$DH,'Area-Cabang'!$E90,'CWO Bulan Ini'!$CZ:$CZ,'Area-Cabang'!AS$41)</f>
        <v>0</v>
      </c>
      <c r="AT90" s="56">
        <f>SUMIFS('CWO Bulan Ini'!$DD:$DD,'CWO Bulan Ini'!$DJ:$DJ,'Area-Cabang'!$B90,'CWO Bulan Ini'!$DH:$DH,'Area-Cabang'!$E90,'CWO Bulan Ini'!$CZ:$CZ,'Area-Cabang'!AT$41)</f>
        <v>0</v>
      </c>
      <c r="AU90" s="56">
        <f>SUMIFS('CWO Bulan Ini'!$DD:$DD,'CWO Bulan Ini'!$DJ:$DJ,'Area-Cabang'!$B90,'CWO Bulan Ini'!$DH:$DH,'Area-Cabang'!$E90,'CWO Bulan Ini'!$CZ:$CZ,'Area-Cabang'!AU$41)</f>
        <v>0</v>
      </c>
      <c r="AV90" s="56">
        <f>SUMIFS('CWO Bulan Ini'!$DD:$DD,'CWO Bulan Ini'!$DJ:$DJ,'Area-Cabang'!$B90,'CWO Bulan Ini'!$DH:$DH,'Area-Cabang'!$E90,'CWO Bulan Ini'!$CZ:$CZ,'Area-Cabang'!AV$41)</f>
        <v>0</v>
      </c>
      <c r="AW90" s="56">
        <f>SUMIFS('CWO Bulan Ini'!$DD:$DD,'CWO Bulan Ini'!$DJ:$DJ,'Area-Cabang'!$B90,'CWO Bulan Ini'!$DH:$DH,'Area-Cabang'!$E90,'CWO Bulan Ini'!$CZ:$CZ,'Area-Cabang'!AW$41)</f>
        <v>0</v>
      </c>
      <c r="AX90" s="56">
        <f>SUMIFS('CWO Bulan Ini'!$DD:$DD,'CWO Bulan Ini'!$DJ:$DJ,'Area-Cabang'!$B90,'CWO Bulan Ini'!$DH:$DH,'Area-Cabang'!$E90,'CWO Bulan Ini'!$CZ:$CZ,'Area-Cabang'!AX$41)</f>
        <v>0</v>
      </c>
      <c r="AY90" s="56">
        <f>SUMIFS('CWO Bulan Ini'!$DD:$DD,'CWO Bulan Ini'!$DJ:$DJ,'Area-Cabang'!$B90,'CWO Bulan Ini'!$DH:$DH,'Area-Cabang'!$E90,'CWO Bulan Ini'!$CZ:$CZ,'Area-Cabang'!AY$41)</f>
        <v>0</v>
      </c>
      <c r="AZ90" s="56">
        <f>SUMIFS('CWO Bulan Ini'!$DD:$DD,'CWO Bulan Ini'!$DJ:$DJ,'Area-Cabang'!$B90,'CWO Bulan Ini'!$DH:$DH,'Area-Cabang'!$E90,'CWO Bulan Ini'!$CZ:$CZ,'Area-Cabang'!AZ$41)</f>
        <v>0</v>
      </c>
      <c r="BA90" s="56">
        <f>SUMIFS('CWO Bulan Ini'!$DD:$DD,'CWO Bulan Ini'!$DJ:$DJ,'Area-Cabang'!$B90,'CWO Bulan Ini'!$DH:$DH,'Area-Cabang'!$E90,'CWO Bulan Ini'!$CZ:$CZ,'Area-Cabang'!BA$41)</f>
        <v>0</v>
      </c>
      <c r="BB90" s="56">
        <f>SUMIFS('CWO Bulan Ini'!$DD:$DD,'CWO Bulan Ini'!$DJ:$DJ,'Area-Cabang'!$B90,'CWO Bulan Ini'!$DH:$DH,'Area-Cabang'!$E90,'CWO Bulan Ini'!$CZ:$CZ,'Area-Cabang'!BB$41)</f>
        <v>0</v>
      </c>
      <c r="BC90" s="56">
        <f>SUMIFS('CWO Bulan Ini'!$DD:$DD,'CWO Bulan Ini'!$DJ:$DJ,'Area-Cabang'!$B90,'CWO Bulan Ini'!$DH:$DH,'Area-Cabang'!$E90,'CWO Bulan Ini'!$CZ:$CZ,'Area-Cabang'!BC$41)</f>
        <v>0</v>
      </c>
      <c r="BD90" s="56">
        <f>SUMIFS('CWO Bulan Ini'!$DD:$DD,'CWO Bulan Ini'!$DJ:$DJ,'Area-Cabang'!$B90,'CWO Bulan Ini'!$DH:$DH,'Area-Cabang'!$E90,'CWO Bulan Ini'!$CZ:$CZ,'Area-Cabang'!BD$41)</f>
        <v>0</v>
      </c>
      <c r="BE90" s="56">
        <f>SUMIFS('CWO Bulan Ini'!$DD:$DD,'CWO Bulan Ini'!$DJ:$DJ,'Area-Cabang'!$B90,'CWO Bulan Ini'!$DH:$DH,'Area-Cabang'!$E90,'CWO Bulan Ini'!$CZ:$CZ,'Area-Cabang'!BE$41)</f>
        <v>0</v>
      </c>
      <c r="BF90" s="56">
        <f>SUMIFS('CWO Bulan Ini'!$DD:$DD,'CWO Bulan Ini'!$DJ:$DJ,'Area-Cabang'!$B90,'CWO Bulan Ini'!$DH:$DH,'Area-Cabang'!$E90,'CWO Bulan Ini'!$CZ:$CZ,'Area-Cabang'!BF$41)</f>
        <v>0</v>
      </c>
      <c r="BG90" s="56">
        <f>SUMIFS('CWO Bulan Ini'!$DD:$DD,'CWO Bulan Ini'!$DJ:$DJ,'Area-Cabang'!$B90,'CWO Bulan Ini'!$DH:$DH,'Area-Cabang'!$E90,'CWO Bulan Ini'!$CZ:$CZ,'Area-Cabang'!BG$41)</f>
        <v>0</v>
      </c>
      <c r="BH90" s="56">
        <f>SUMIFS('CWO Bulan Ini'!$DD:$DD,'CWO Bulan Ini'!$DJ:$DJ,'Area-Cabang'!$B90,'CWO Bulan Ini'!$DH:$DH,'Area-Cabang'!$E90,'CWO Bulan Ini'!$CZ:$CZ,'Area-Cabang'!BH$41)</f>
        <v>0</v>
      </c>
      <c r="BI90" s="56">
        <f>SUMIFS('CWO Bulan Ini'!$DD:$DD,'CWO Bulan Ini'!$DJ:$DJ,'Area-Cabang'!$B90,'CWO Bulan Ini'!$DH:$DH,'Area-Cabang'!$E90,'CWO Bulan Ini'!$CZ:$CZ,'Area-Cabang'!BI$41)</f>
        <v>0</v>
      </c>
      <c r="BJ90" s="56">
        <f>SUMIFS('CWO Bulan Ini'!$DD:$DD,'CWO Bulan Ini'!$DJ:$DJ,'Area-Cabang'!$B90,'CWO Bulan Ini'!$DH:$DH,'Area-Cabang'!$E90,'CWO Bulan Ini'!$CZ:$CZ,'Area-Cabang'!BJ$41)</f>
        <v>0</v>
      </c>
      <c r="BK90" s="56">
        <f>SUMIFS('CWO Bulan Ini'!$DD:$DD,'CWO Bulan Ini'!$DJ:$DJ,'Area-Cabang'!$B90,'CWO Bulan Ini'!$DH:$DH,'Area-Cabang'!$E90,'CWO Bulan Ini'!$CZ:$CZ,'Area-Cabang'!BK$41)</f>
        <v>0</v>
      </c>
      <c r="BL90" s="56">
        <f>SUMIFS('CWO Bulan Ini'!$DD:$DD,'CWO Bulan Ini'!$DJ:$DJ,'Area-Cabang'!$B90,'CWO Bulan Ini'!$DH:$DH,'Area-Cabang'!$E90,'CWO Bulan Ini'!$CZ:$CZ,'Area-Cabang'!BL$41)</f>
        <v>0</v>
      </c>
      <c r="BM90" s="56">
        <f>SUMIFS('CWO Bulan Ini'!$DD:$DD,'CWO Bulan Ini'!$DJ:$DJ,'Area-Cabang'!$B90,'CWO Bulan Ini'!$DH:$DH,'Area-Cabang'!$E90,'CWO Bulan Ini'!$CZ:$CZ,'Area-Cabang'!BM$41)</f>
        <v>0</v>
      </c>
      <c r="BN90" s="56">
        <f>SUMIFS('CWO Bulan Ini'!$DD:$DD,'CWO Bulan Ini'!$DJ:$DJ,'Area-Cabang'!$B90,'CWO Bulan Ini'!$DH:$DH,'Area-Cabang'!$E90,'CWO Bulan Ini'!$CZ:$CZ,'Area-Cabang'!BN$41)</f>
        <v>0</v>
      </c>
      <c r="BO90" s="57">
        <f>SUMIFS('CWO Bulan Ini'!$DD:$DD,'CWO Bulan Ini'!$DJ:$DJ,'Area-Cabang'!$B90,'CWO Bulan Ini'!$DH:$DH,'Area-Cabang'!$E90,'CWO Bulan Ini'!$CZ:$CZ,'Area-Cabang'!BO$41)</f>
        <v>0</v>
      </c>
      <c r="BP90" s="55">
        <f>SUMIFS('CWO Bulan Ini'!$DC:$DC,'CWO Bulan Ini'!$DJ:$DJ,'Area-Cabang'!$B90,'CWO Bulan Ini'!$DH:$DH,'Area-Cabang'!$E90,'CWO Bulan Ini'!$CZ:$CZ,'Area-Cabang'!BP$41)</f>
        <v>0</v>
      </c>
      <c r="BQ90" s="56">
        <f>SUMIFS('CWO Bulan Ini'!$DC:$DC,'CWO Bulan Ini'!$DJ:$DJ,'Area-Cabang'!$B90,'CWO Bulan Ini'!$DH:$DH,'Area-Cabang'!$E90,'CWO Bulan Ini'!$CZ:$CZ,'Area-Cabang'!BQ$41)</f>
        <v>0</v>
      </c>
      <c r="BR90" s="56">
        <f>SUMIFS('CWO Bulan Ini'!$DC:$DC,'CWO Bulan Ini'!$DJ:$DJ,'Area-Cabang'!$B90,'CWO Bulan Ini'!$DH:$DH,'Area-Cabang'!$E90,'CWO Bulan Ini'!$CZ:$CZ,'Area-Cabang'!BR$41)</f>
        <v>0</v>
      </c>
      <c r="BS90" s="56">
        <f>SUMIFS('CWO Bulan Ini'!$DC:$DC,'CWO Bulan Ini'!$DJ:$DJ,'Area-Cabang'!$B90,'CWO Bulan Ini'!$DH:$DH,'Area-Cabang'!$E90,'CWO Bulan Ini'!$CZ:$CZ,'Area-Cabang'!BS$41)</f>
        <v>0</v>
      </c>
      <c r="BT90" s="56">
        <f>SUMIFS('CWO Bulan Ini'!$DC:$DC,'CWO Bulan Ini'!$DJ:$DJ,'Area-Cabang'!$B90,'CWO Bulan Ini'!$DH:$DH,'Area-Cabang'!$E90,'CWO Bulan Ini'!$CZ:$CZ,'Area-Cabang'!BT$41)</f>
        <v>0</v>
      </c>
      <c r="BU90" s="56">
        <f>SUMIFS('CWO Bulan Ini'!$DC:$DC,'CWO Bulan Ini'!$DJ:$DJ,'Area-Cabang'!$B90,'CWO Bulan Ini'!$DH:$DH,'Area-Cabang'!$E90,'CWO Bulan Ini'!$CZ:$CZ,'Area-Cabang'!BU$41)</f>
        <v>0</v>
      </c>
      <c r="BV90" s="56">
        <f>SUMIFS('CWO Bulan Ini'!$DC:$DC,'CWO Bulan Ini'!$DJ:$DJ,'Area-Cabang'!$B90,'CWO Bulan Ini'!$DH:$DH,'Area-Cabang'!$E90,'CWO Bulan Ini'!$CZ:$CZ,'Area-Cabang'!BV$41)</f>
        <v>0</v>
      </c>
      <c r="BW90" s="56">
        <f>SUMIFS('CWO Bulan Ini'!$DC:$DC,'CWO Bulan Ini'!$DJ:$DJ,'Area-Cabang'!$B90,'CWO Bulan Ini'!$DH:$DH,'Area-Cabang'!$E90,'CWO Bulan Ini'!$CZ:$CZ,'Area-Cabang'!BW$41)</f>
        <v>0</v>
      </c>
      <c r="BX90" s="56">
        <f>SUMIFS('CWO Bulan Ini'!$DC:$DC,'CWO Bulan Ini'!$DJ:$DJ,'Area-Cabang'!$B90,'CWO Bulan Ini'!$DH:$DH,'Area-Cabang'!$E90,'CWO Bulan Ini'!$CZ:$CZ,'Area-Cabang'!BX$41)</f>
        <v>0</v>
      </c>
      <c r="BY90" s="56">
        <f>SUMIFS('CWO Bulan Ini'!$DC:$DC,'CWO Bulan Ini'!$DJ:$DJ,'Area-Cabang'!$B90,'CWO Bulan Ini'!$DH:$DH,'Area-Cabang'!$E90,'CWO Bulan Ini'!$CZ:$CZ,'Area-Cabang'!BY$41)</f>
        <v>0</v>
      </c>
      <c r="BZ90" s="56">
        <f>SUMIFS('CWO Bulan Ini'!$DC:$DC,'CWO Bulan Ini'!$DJ:$DJ,'Area-Cabang'!$B90,'CWO Bulan Ini'!$DH:$DH,'Area-Cabang'!$E90,'CWO Bulan Ini'!$CZ:$CZ,'Area-Cabang'!BZ$41)</f>
        <v>0</v>
      </c>
      <c r="CA90" s="56">
        <f>SUMIFS('CWO Bulan Ini'!$DC:$DC,'CWO Bulan Ini'!$DJ:$DJ,'Area-Cabang'!$B90,'CWO Bulan Ini'!$DH:$DH,'Area-Cabang'!$E90,'CWO Bulan Ini'!$CZ:$CZ,'Area-Cabang'!CA$41)</f>
        <v>0</v>
      </c>
      <c r="CB90" s="56">
        <f>SUMIFS('CWO Bulan Ini'!$DC:$DC,'CWO Bulan Ini'!$DJ:$DJ,'Area-Cabang'!$B90,'CWO Bulan Ini'!$DH:$DH,'Area-Cabang'!$E90,'CWO Bulan Ini'!$CZ:$CZ,'Area-Cabang'!CB$41)</f>
        <v>0</v>
      </c>
      <c r="CC90" s="56">
        <f>SUMIFS('CWO Bulan Ini'!$DC:$DC,'CWO Bulan Ini'!$DJ:$DJ,'Area-Cabang'!$B90,'CWO Bulan Ini'!$DH:$DH,'Area-Cabang'!$E90,'CWO Bulan Ini'!$CZ:$CZ,'Area-Cabang'!CC$41)</f>
        <v>0</v>
      </c>
      <c r="CD90" s="56">
        <f>SUMIFS('CWO Bulan Ini'!$DC:$DC,'CWO Bulan Ini'!$DJ:$DJ,'Area-Cabang'!$B90,'CWO Bulan Ini'!$DH:$DH,'Area-Cabang'!$E90,'CWO Bulan Ini'!$CZ:$CZ,'Area-Cabang'!CD$41)</f>
        <v>0</v>
      </c>
      <c r="CE90" s="56">
        <f>SUMIFS('CWO Bulan Ini'!$DC:$DC,'CWO Bulan Ini'!$DJ:$DJ,'Area-Cabang'!$B90,'CWO Bulan Ini'!$DH:$DH,'Area-Cabang'!$E90,'CWO Bulan Ini'!$CZ:$CZ,'Area-Cabang'!CE$41)</f>
        <v>0</v>
      </c>
      <c r="CF90" s="56">
        <f>SUMIFS('CWO Bulan Ini'!$DC:$DC,'CWO Bulan Ini'!$DJ:$DJ,'Area-Cabang'!$B90,'CWO Bulan Ini'!$DH:$DH,'Area-Cabang'!$E90,'CWO Bulan Ini'!$CZ:$CZ,'Area-Cabang'!CF$41)</f>
        <v>0</v>
      </c>
      <c r="CG90" s="56">
        <f>SUMIFS('CWO Bulan Ini'!$DC:$DC,'CWO Bulan Ini'!$DJ:$DJ,'Area-Cabang'!$B90,'CWO Bulan Ini'!$DH:$DH,'Area-Cabang'!$E90,'CWO Bulan Ini'!$CZ:$CZ,'Area-Cabang'!CG$41)</f>
        <v>0</v>
      </c>
      <c r="CH90" s="56">
        <f>SUMIFS('CWO Bulan Ini'!$DC:$DC,'CWO Bulan Ini'!$DJ:$DJ,'Area-Cabang'!$B90,'CWO Bulan Ini'!$DH:$DH,'Area-Cabang'!$E90,'CWO Bulan Ini'!$CZ:$CZ,'Area-Cabang'!CH$41)</f>
        <v>0</v>
      </c>
      <c r="CI90" s="56">
        <f>SUMIFS('CWO Bulan Ini'!$DC:$DC,'CWO Bulan Ini'!$DJ:$DJ,'Area-Cabang'!$B90,'CWO Bulan Ini'!$DH:$DH,'Area-Cabang'!$E90,'CWO Bulan Ini'!$CZ:$CZ,'Area-Cabang'!CI$41)</f>
        <v>0</v>
      </c>
      <c r="CJ90" s="56">
        <f>SUMIFS('CWO Bulan Ini'!$DC:$DC,'CWO Bulan Ini'!$DJ:$DJ,'Area-Cabang'!$B90,'CWO Bulan Ini'!$DH:$DH,'Area-Cabang'!$E90,'CWO Bulan Ini'!$CZ:$CZ,'Area-Cabang'!CJ$41)</f>
        <v>0</v>
      </c>
      <c r="CK90" s="56">
        <f>SUMIFS('CWO Bulan Ini'!$DC:$DC,'CWO Bulan Ini'!$DJ:$DJ,'Area-Cabang'!$B90,'CWO Bulan Ini'!$DH:$DH,'Area-Cabang'!$E90,'CWO Bulan Ini'!$CZ:$CZ,'Area-Cabang'!CK$41)</f>
        <v>0</v>
      </c>
      <c r="CL90" s="56">
        <f>SUMIFS('CWO Bulan Ini'!$DC:$DC,'CWO Bulan Ini'!$DJ:$DJ,'Area-Cabang'!$B90,'CWO Bulan Ini'!$DH:$DH,'Area-Cabang'!$E90,'CWO Bulan Ini'!$CZ:$CZ,'Area-Cabang'!CL$41)</f>
        <v>0</v>
      </c>
      <c r="CM90" s="56">
        <f>SUMIFS('CWO Bulan Ini'!$DC:$DC,'CWO Bulan Ini'!$DJ:$DJ,'Area-Cabang'!$B90,'CWO Bulan Ini'!$DH:$DH,'Area-Cabang'!$E90,'CWO Bulan Ini'!$CZ:$CZ,'Area-Cabang'!CM$41)</f>
        <v>0</v>
      </c>
      <c r="CN90" s="56">
        <f>SUMIFS('CWO Bulan Ini'!$DC:$DC,'CWO Bulan Ini'!$DJ:$DJ,'Area-Cabang'!$B90,'CWO Bulan Ini'!$DH:$DH,'Area-Cabang'!$E90,'CWO Bulan Ini'!$CZ:$CZ,'Area-Cabang'!CN$41)</f>
        <v>0</v>
      </c>
      <c r="CO90" s="56">
        <f>SUMIFS('CWO Bulan Ini'!$DC:$DC,'CWO Bulan Ini'!$DJ:$DJ,'Area-Cabang'!$B90,'CWO Bulan Ini'!$DH:$DH,'Area-Cabang'!$E90,'CWO Bulan Ini'!$CZ:$CZ,'Area-Cabang'!CO$41)</f>
        <v>0</v>
      </c>
      <c r="CP90" s="56">
        <f>SUMIFS('CWO Bulan Ini'!$DC:$DC,'CWO Bulan Ini'!$DJ:$DJ,'Area-Cabang'!$B90,'CWO Bulan Ini'!$DH:$DH,'Area-Cabang'!$E90,'CWO Bulan Ini'!$CZ:$CZ,'Area-Cabang'!CP$41)</f>
        <v>0</v>
      </c>
      <c r="CQ90" s="56">
        <f>SUMIFS('CWO Bulan Ini'!$DC:$DC,'CWO Bulan Ini'!$DJ:$DJ,'Area-Cabang'!$B90,'CWO Bulan Ini'!$DH:$DH,'Area-Cabang'!$E90,'CWO Bulan Ini'!$CZ:$CZ,'Area-Cabang'!CQ$41)</f>
        <v>0</v>
      </c>
      <c r="CR90" s="56">
        <f>SUMIFS('CWO Bulan Ini'!$DC:$DC,'CWO Bulan Ini'!$DJ:$DJ,'Area-Cabang'!$B90,'CWO Bulan Ini'!$DH:$DH,'Area-Cabang'!$E90,'CWO Bulan Ini'!$CZ:$CZ,'Area-Cabang'!CR$41)</f>
        <v>0</v>
      </c>
      <c r="CS90" s="56">
        <f>SUMIFS('CWO Bulan Ini'!$DC:$DC,'CWO Bulan Ini'!$DJ:$DJ,'Area-Cabang'!$B90,'CWO Bulan Ini'!$DH:$DH,'Area-Cabang'!$E90,'CWO Bulan Ini'!$CZ:$CZ,'Area-Cabang'!CS$41)</f>
        <v>0</v>
      </c>
      <c r="CT90" s="57">
        <f>SUMIFS('CWO Bulan Ini'!$DC:$DC,'CWO Bulan Ini'!$DJ:$DJ,'Area-Cabang'!$B90,'CWO Bulan Ini'!$DH:$DH,'Area-Cabang'!$E90,'CWO Bulan Ini'!$CZ:$CZ,'Area-Cabang'!CT$41)</f>
        <v>0</v>
      </c>
      <c r="CV90" s="97">
        <f t="shared" ref="CV90:CV91" si="2629">SUM(F90:AJ90)</f>
        <v>0</v>
      </c>
      <c r="CW90" s="98">
        <f t="shared" ref="CW90:CW91" si="2630">SUM(AK90:BO90)</f>
        <v>0</v>
      </c>
      <c r="CX90" s="98">
        <f t="shared" ref="CX90:CX91" si="2631">SUM(BP90:CT90)</f>
        <v>0</v>
      </c>
      <c r="CY90" s="98">
        <f t="shared" ref="CY90:CY91" si="2632">CV90-CW90-CX90</f>
        <v>0</v>
      </c>
      <c r="CZ90" s="105">
        <f t="shared" ref="CZ90:CZ91" si="2633">CY90+CW90</f>
        <v>0</v>
      </c>
    </row>
    <row r="91" spans="1:104" ht="15" customHeight="1" x14ac:dyDescent="0.25">
      <c r="A91" s="58" t="s">
        <v>487</v>
      </c>
      <c r="B91" s="58" t="s">
        <v>177</v>
      </c>
      <c r="C91" s="250"/>
      <c r="D91" s="244"/>
      <c r="E91" s="40" t="s">
        <v>349</v>
      </c>
      <c r="F91" s="41">
        <f>SUMIFS('CWO Bulan Ini'!$DA:$DA,'CWO Bulan Ini'!$DJ:$DJ,'Area-Cabang'!$B91,'CWO Bulan Ini'!$DH:$DH,'Area-Cabang'!$E91,'CWO Bulan Ini'!$CZ:$CZ,'Area-Cabang'!F$41)</f>
        <v>0</v>
      </c>
      <c r="G91" s="42">
        <f>SUMIFS('CWO Bulan Ini'!$DA:$DA,'CWO Bulan Ini'!$DJ:$DJ,'Area-Cabang'!$B91,'CWO Bulan Ini'!$DH:$DH,'Area-Cabang'!$E91,'CWO Bulan Ini'!$CZ:$CZ,'Area-Cabang'!G$41)</f>
        <v>0</v>
      </c>
      <c r="H91" s="42">
        <f>SUMIFS('CWO Bulan Ini'!$DA:$DA,'CWO Bulan Ini'!$DJ:$DJ,'Area-Cabang'!$B91,'CWO Bulan Ini'!$DH:$DH,'Area-Cabang'!$E91,'CWO Bulan Ini'!$CZ:$CZ,'Area-Cabang'!H$41)</f>
        <v>0</v>
      </c>
      <c r="I91" s="42">
        <f>SUMIFS('CWO Bulan Ini'!$DA:$DA,'CWO Bulan Ini'!$DJ:$DJ,'Area-Cabang'!$B91,'CWO Bulan Ini'!$DH:$DH,'Area-Cabang'!$E91,'CWO Bulan Ini'!$CZ:$CZ,'Area-Cabang'!I$41)</f>
        <v>0</v>
      </c>
      <c r="J91" s="42">
        <f>SUMIFS('CWO Bulan Ini'!$DA:$DA,'CWO Bulan Ini'!$DJ:$DJ,'Area-Cabang'!$B91,'CWO Bulan Ini'!$DH:$DH,'Area-Cabang'!$E91,'CWO Bulan Ini'!$CZ:$CZ,'Area-Cabang'!J$41)</f>
        <v>0</v>
      </c>
      <c r="K91" s="42">
        <f>SUMIFS('CWO Bulan Ini'!$DA:$DA,'CWO Bulan Ini'!$DJ:$DJ,'Area-Cabang'!$B91,'CWO Bulan Ini'!$DH:$DH,'Area-Cabang'!$E91,'CWO Bulan Ini'!$CZ:$CZ,'Area-Cabang'!K$41)</f>
        <v>0</v>
      </c>
      <c r="L91" s="42">
        <f>SUMIFS('CWO Bulan Ini'!$DA:$DA,'CWO Bulan Ini'!$DJ:$DJ,'Area-Cabang'!$B91,'CWO Bulan Ini'!$DH:$DH,'Area-Cabang'!$E91,'CWO Bulan Ini'!$CZ:$CZ,'Area-Cabang'!L$41)</f>
        <v>0</v>
      </c>
      <c r="M91" s="42">
        <f>SUMIFS('CWO Bulan Ini'!$DA:$DA,'CWO Bulan Ini'!$DJ:$DJ,'Area-Cabang'!$B91,'CWO Bulan Ini'!$DH:$DH,'Area-Cabang'!$E91,'CWO Bulan Ini'!$CZ:$CZ,'Area-Cabang'!M$41)</f>
        <v>0</v>
      </c>
      <c r="N91" s="42">
        <f>SUMIFS('CWO Bulan Ini'!$DA:$DA,'CWO Bulan Ini'!$DJ:$DJ,'Area-Cabang'!$B91,'CWO Bulan Ini'!$DH:$DH,'Area-Cabang'!$E91,'CWO Bulan Ini'!$CZ:$CZ,'Area-Cabang'!N$41)</f>
        <v>0</v>
      </c>
      <c r="O91" s="42">
        <f>SUMIFS('CWO Bulan Ini'!$DA:$DA,'CWO Bulan Ini'!$DJ:$DJ,'Area-Cabang'!$B91,'CWO Bulan Ini'!$DH:$DH,'Area-Cabang'!$E91,'CWO Bulan Ini'!$CZ:$CZ,'Area-Cabang'!O$41)</f>
        <v>0</v>
      </c>
      <c r="P91" s="42">
        <f>SUMIFS('CWO Bulan Ini'!$DA:$DA,'CWO Bulan Ini'!$DJ:$DJ,'Area-Cabang'!$B91,'CWO Bulan Ini'!$DH:$DH,'Area-Cabang'!$E91,'CWO Bulan Ini'!$CZ:$CZ,'Area-Cabang'!P$41)</f>
        <v>0</v>
      </c>
      <c r="Q91" s="42">
        <f>SUMIFS('CWO Bulan Ini'!$DA:$DA,'CWO Bulan Ini'!$DJ:$DJ,'Area-Cabang'!$B91,'CWO Bulan Ini'!$DH:$DH,'Area-Cabang'!$E91,'CWO Bulan Ini'!$CZ:$CZ,'Area-Cabang'!Q$41)</f>
        <v>0</v>
      </c>
      <c r="R91" s="42">
        <f>SUMIFS('CWO Bulan Ini'!$DA:$DA,'CWO Bulan Ini'!$DJ:$DJ,'Area-Cabang'!$B91,'CWO Bulan Ini'!$DH:$DH,'Area-Cabang'!$E91,'CWO Bulan Ini'!$CZ:$CZ,'Area-Cabang'!R$41)</f>
        <v>0</v>
      </c>
      <c r="S91" s="42">
        <f>SUMIFS('CWO Bulan Ini'!$DA:$DA,'CWO Bulan Ini'!$DJ:$DJ,'Area-Cabang'!$B91,'CWO Bulan Ini'!$DH:$DH,'Area-Cabang'!$E91,'CWO Bulan Ini'!$CZ:$CZ,'Area-Cabang'!S$41)</f>
        <v>0</v>
      </c>
      <c r="T91" s="42">
        <f>SUMIFS('CWO Bulan Ini'!$DA:$DA,'CWO Bulan Ini'!$DJ:$DJ,'Area-Cabang'!$B91,'CWO Bulan Ini'!$DH:$DH,'Area-Cabang'!$E91,'CWO Bulan Ini'!$CZ:$CZ,'Area-Cabang'!T$41)</f>
        <v>0</v>
      </c>
      <c r="U91" s="42">
        <f>SUMIFS('CWO Bulan Ini'!$DA:$DA,'CWO Bulan Ini'!$DJ:$DJ,'Area-Cabang'!$B91,'CWO Bulan Ini'!$DH:$DH,'Area-Cabang'!$E91,'CWO Bulan Ini'!$CZ:$CZ,'Area-Cabang'!U$41)</f>
        <v>0</v>
      </c>
      <c r="V91" s="42">
        <f>SUMIFS('CWO Bulan Ini'!$DA:$DA,'CWO Bulan Ini'!$DJ:$DJ,'Area-Cabang'!$B91,'CWO Bulan Ini'!$DH:$DH,'Area-Cabang'!$E91,'CWO Bulan Ini'!$CZ:$CZ,'Area-Cabang'!V$41)</f>
        <v>0</v>
      </c>
      <c r="W91" s="42">
        <f>SUMIFS('CWO Bulan Ini'!$DA:$DA,'CWO Bulan Ini'!$DJ:$DJ,'Area-Cabang'!$B91,'CWO Bulan Ini'!$DH:$DH,'Area-Cabang'!$E91,'CWO Bulan Ini'!$CZ:$CZ,'Area-Cabang'!W$41)</f>
        <v>0</v>
      </c>
      <c r="X91" s="42">
        <f>SUMIFS('CWO Bulan Ini'!$DA:$DA,'CWO Bulan Ini'!$DJ:$DJ,'Area-Cabang'!$B91,'CWO Bulan Ini'!$DH:$DH,'Area-Cabang'!$E91,'CWO Bulan Ini'!$CZ:$CZ,'Area-Cabang'!X$41)</f>
        <v>0</v>
      </c>
      <c r="Y91" s="42">
        <f>SUMIFS('CWO Bulan Ini'!$DA:$DA,'CWO Bulan Ini'!$DJ:$DJ,'Area-Cabang'!$B91,'CWO Bulan Ini'!$DH:$DH,'Area-Cabang'!$E91,'CWO Bulan Ini'!$CZ:$CZ,'Area-Cabang'!Y$41)</f>
        <v>0</v>
      </c>
      <c r="Z91" s="42">
        <f>SUMIFS('CWO Bulan Ini'!$DA:$DA,'CWO Bulan Ini'!$DJ:$DJ,'Area-Cabang'!$B91,'CWO Bulan Ini'!$DH:$DH,'Area-Cabang'!$E91,'CWO Bulan Ini'!$CZ:$CZ,'Area-Cabang'!Z$41)</f>
        <v>0</v>
      </c>
      <c r="AA91" s="42">
        <f>SUMIFS('CWO Bulan Ini'!$DA:$DA,'CWO Bulan Ini'!$DJ:$DJ,'Area-Cabang'!$B91,'CWO Bulan Ini'!$DH:$DH,'Area-Cabang'!$E91,'CWO Bulan Ini'!$CZ:$CZ,'Area-Cabang'!AA$41)</f>
        <v>0</v>
      </c>
      <c r="AB91" s="42">
        <f>SUMIFS('CWO Bulan Ini'!$DA:$DA,'CWO Bulan Ini'!$DJ:$DJ,'Area-Cabang'!$B91,'CWO Bulan Ini'!$DH:$DH,'Area-Cabang'!$E91,'CWO Bulan Ini'!$CZ:$CZ,'Area-Cabang'!AB$41)</f>
        <v>0</v>
      </c>
      <c r="AC91" s="42">
        <f>SUMIFS('CWO Bulan Ini'!$DA:$DA,'CWO Bulan Ini'!$DJ:$DJ,'Area-Cabang'!$B91,'CWO Bulan Ini'!$DH:$DH,'Area-Cabang'!$E91,'CWO Bulan Ini'!$CZ:$CZ,'Area-Cabang'!AC$41)</f>
        <v>0</v>
      </c>
      <c r="AD91" s="42">
        <f>SUMIFS('CWO Bulan Ini'!$DA:$DA,'CWO Bulan Ini'!$DJ:$DJ,'Area-Cabang'!$B91,'CWO Bulan Ini'!$DH:$DH,'Area-Cabang'!$E91,'CWO Bulan Ini'!$CZ:$CZ,'Area-Cabang'!AD$41)</f>
        <v>0</v>
      </c>
      <c r="AE91" s="42">
        <f>SUMIFS('CWO Bulan Ini'!$DA:$DA,'CWO Bulan Ini'!$DJ:$DJ,'Area-Cabang'!$B91,'CWO Bulan Ini'!$DH:$DH,'Area-Cabang'!$E91,'CWO Bulan Ini'!$CZ:$CZ,'Area-Cabang'!AE$41)</f>
        <v>0</v>
      </c>
      <c r="AF91" s="42">
        <f>SUMIFS('CWO Bulan Ini'!$DA:$DA,'CWO Bulan Ini'!$DJ:$DJ,'Area-Cabang'!$B91,'CWO Bulan Ini'!$DH:$DH,'Area-Cabang'!$E91,'CWO Bulan Ini'!$CZ:$CZ,'Area-Cabang'!AF$41)</f>
        <v>0</v>
      </c>
      <c r="AG91" s="42">
        <f>SUMIFS('CWO Bulan Ini'!$DA:$DA,'CWO Bulan Ini'!$DJ:$DJ,'Area-Cabang'!$B91,'CWO Bulan Ini'!$DH:$DH,'Area-Cabang'!$E91,'CWO Bulan Ini'!$CZ:$CZ,'Area-Cabang'!AG$41)</f>
        <v>0</v>
      </c>
      <c r="AH91" s="42">
        <f>SUMIFS('CWO Bulan Ini'!$DA:$DA,'CWO Bulan Ini'!$DJ:$DJ,'Area-Cabang'!$B91,'CWO Bulan Ini'!$DH:$DH,'Area-Cabang'!$E91,'CWO Bulan Ini'!$CZ:$CZ,'Area-Cabang'!AH$41)</f>
        <v>0</v>
      </c>
      <c r="AI91" s="42">
        <f>SUMIFS('CWO Bulan Ini'!$DA:$DA,'CWO Bulan Ini'!$DJ:$DJ,'Area-Cabang'!$B91,'CWO Bulan Ini'!$DH:$DH,'Area-Cabang'!$E91,'CWO Bulan Ini'!$CZ:$CZ,'Area-Cabang'!AI$41)</f>
        <v>0</v>
      </c>
      <c r="AJ91" s="42">
        <f>SUMIFS('CWO Bulan Ini'!$DA:$DA,'CWO Bulan Ini'!$DJ:$DJ,'Area-Cabang'!$B91,'CWO Bulan Ini'!$DH:$DH,'Area-Cabang'!$E91,'CWO Bulan Ini'!$CZ:$CZ,'Area-Cabang'!AJ$41)</f>
        <v>0</v>
      </c>
      <c r="AK91" s="41">
        <f>SUMIFS('CWO Bulan Ini'!$DD:$DD,'CWO Bulan Ini'!$DJ:$DJ,'Area-Cabang'!$B91,'CWO Bulan Ini'!$DH:$DH,'Area-Cabang'!$E91,'CWO Bulan Ini'!$CZ:$CZ,'Area-Cabang'!AK$41)</f>
        <v>0</v>
      </c>
      <c r="AL91" s="42">
        <f>SUMIFS('CWO Bulan Ini'!$DD:$DD,'CWO Bulan Ini'!$DJ:$DJ,'Area-Cabang'!$B91,'CWO Bulan Ini'!$DH:$DH,'Area-Cabang'!$E91,'CWO Bulan Ini'!$CZ:$CZ,'Area-Cabang'!AL$41)</f>
        <v>0</v>
      </c>
      <c r="AM91" s="42">
        <f>SUMIFS('CWO Bulan Ini'!$DD:$DD,'CWO Bulan Ini'!$DJ:$DJ,'Area-Cabang'!$B91,'CWO Bulan Ini'!$DH:$DH,'Area-Cabang'!$E91,'CWO Bulan Ini'!$CZ:$CZ,'Area-Cabang'!AM$41)</f>
        <v>0</v>
      </c>
      <c r="AN91" s="42">
        <f>SUMIFS('CWO Bulan Ini'!$DD:$DD,'CWO Bulan Ini'!$DJ:$DJ,'Area-Cabang'!$B91,'CWO Bulan Ini'!$DH:$DH,'Area-Cabang'!$E91,'CWO Bulan Ini'!$CZ:$CZ,'Area-Cabang'!AN$41)</f>
        <v>0</v>
      </c>
      <c r="AO91" s="42">
        <f>SUMIFS('CWO Bulan Ini'!$DD:$DD,'CWO Bulan Ini'!$DJ:$DJ,'Area-Cabang'!$B91,'CWO Bulan Ini'!$DH:$DH,'Area-Cabang'!$E91,'CWO Bulan Ini'!$CZ:$CZ,'Area-Cabang'!AO$41)</f>
        <v>0</v>
      </c>
      <c r="AP91" s="42">
        <f>SUMIFS('CWO Bulan Ini'!$DD:$DD,'CWO Bulan Ini'!$DJ:$DJ,'Area-Cabang'!$B91,'CWO Bulan Ini'!$DH:$DH,'Area-Cabang'!$E91,'CWO Bulan Ini'!$CZ:$CZ,'Area-Cabang'!AP$41)</f>
        <v>0</v>
      </c>
      <c r="AQ91" s="42">
        <f>SUMIFS('CWO Bulan Ini'!$DD:$DD,'CWO Bulan Ini'!$DJ:$DJ,'Area-Cabang'!$B91,'CWO Bulan Ini'!$DH:$DH,'Area-Cabang'!$E91,'CWO Bulan Ini'!$CZ:$CZ,'Area-Cabang'!AQ$41)</f>
        <v>0</v>
      </c>
      <c r="AR91" s="42">
        <f>SUMIFS('CWO Bulan Ini'!$DD:$DD,'CWO Bulan Ini'!$DJ:$DJ,'Area-Cabang'!$B91,'CWO Bulan Ini'!$DH:$DH,'Area-Cabang'!$E91,'CWO Bulan Ini'!$CZ:$CZ,'Area-Cabang'!AR$41)</f>
        <v>0</v>
      </c>
      <c r="AS91" s="42">
        <f>SUMIFS('CWO Bulan Ini'!$DD:$DD,'CWO Bulan Ini'!$DJ:$DJ,'Area-Cabang'!$B91,'CWO Bulan Ini'!$DH:$DH,'Area-Cabang'!$E91,'CWO Bulan Ini'!$CZ:$CZ,'Area-Cabang'!AS$41)</f>
        <v>0</v>
      </c>
      <c r="AT91" s="42">
        <f>SUMIFS('CWO Bulan Ini'!$DD:$DD,'CWO Bulan Ini'!$DJ:$DJ,'Area-Cabang'!$B91,'CWO Bulan Ini'!$DH:$DH,'Area-Cabang'!$E91,'CWO Bulan Ini'!$CZ:$CZ,'Area-Cabang'!AT$41)</f>
        <v>0</v>
      </c>
      <c r="AU91" s="42">
        <f>SUMIFS('CWO Bulan Ini'!$DD:$DD,'CWO Bulan Ini'!$DJ:$DJ,'Area-Cabang'!$B91,'CWO Bulan Ini'!$DH:$DH,'Area-Cabang'!$E91,'CWO Bulan Ini'!$CZ:$CZ,'Area-Cabang'!AU$41)</f>
        <v>0</v>
      </c>
      <c r="AV91" s="42">
        <f>SUMIFS('CWO Bulan Ini'!$DD:$DD,'CWO Bulan Ini'!$DJ:$DJ,'Area-Cabang'!$B91,'CWO Bulan Ini'!$DH:$DH,'Area-Cabang'!$E91,'CWO Bulan Ini'!$CZ:$CZ,'Area-Cabang'!AV$41)</f>
        <v>0</v>
      </c>
      <c r="AW91" s="42">
        <f>SUMIFS('CWO Bulan Ini'!$DD:$DD,'CWO Bulan Ini'!$DJ:$DJ,'Area-Cabang'!$B91,'CWO Bulan Ini'!$DH:$DH,'Area-Cabang'!$E91,'CWO Bulan Ini'!$CZ:$CZ,'Area-Cabang'!AW$41)</f>
        <v>0</v>
      </c>
      <c r="AX91" s="42">
        <f>SUMIFS('CWO Bulan Ini'!$DD:$DD,'CWO Bulan Ini'!$DJ:$DJ,'Area-Cabang'!$B91,'CWO Bulan Ini'!$DH:$DH,'Area-Cabang'!$E91,'CWO Bulan Ini'!$CZ:$CZ,'Area-Cabang'!AX$41)</f>
        <v>0</v>
      </c>
      <c r="AY91" s="42">
        <f>SUMIFS('CWO Bulan Ini'!$DD:$DD,'CWO Bulan Ini'!$DJ:$DJ,'Area-Cabang'!$B91,'CWO Bulan Ini'!$DH:$DH,'Area-Cabang'!$E91,'CWO Bulan Ini'!$CZ:$CZ,'Area-Cabang'!AY$41)</f>
        <v>0</v>
      </c>
      <c r="AZ91" s="42">
        <f>SUMIFS('CWO Bulan Ini'!$DD:$DD,'CWO Bulan Ini'!$DJ:$DJ,'Area-Cabang'!$B91,'CWO Bulan Ini'!$DH:$DH,'Area-Cabang'!$E91,'CWO Bulan Ini'!$CZ:$CZ,'Area-Cabang'!AZ$41)</f>
        <v>0</v>
      </c>
      <c r="BA91" s="42">
        <f>SUMIFS('CWO Bulan Ini'!$DD:$DD,'CWO Bulan Ini'!$DJ:$DJ,'Area-Cabang'!$B91,'CWO Bulan Ini'!$DH:$DH,'Area-Cabang'!$E91,'CWO Bulan Ini'!$CZ:$CZ,'Area-Cabang'!BA$41)</f>
        <v>0</v>
      </c>
      <c r="BB91" s="42">
        <f>SUMIFS('CWO Bulan Ini'!$DD:$DD,'CWO Bulan Ini'!$DJ:$DJ,'Area-Cabang'!$B91,'CWO Bulan Ini'!$DH:$DH,'Area-Cabang'!$E91,'CWO Bulan Ini'!$CZ:$CZ,'Area-Cabang'!BB$41)</f>
        <v>0</v>
      </c>
      <c r="BC91" s="42">
        <f>SUMIFS('CWO Bulan Ini'!$DD:$DD,'CWO Bulan Ini'!$DJ:$DJ,'Area-Cabang'!$B91,'CWO Bulan Ini'!$DH:$DH,'Area-Cabang'!$E91,'CWO Bulan Ini'!$CZ:$CZ,'Area-Cabang'!BC$41)</f>
        <v>0</v>
      </c>
      <c r="BD91" s="42">
        <f>SUMIFS('CWO Bulan Ini'!$DD:$DD,'CWO Bulan Ini'!$DJ:$DJ,'Area-Cabang'!$B91,'CWO Bulan Ini'!$DH:$DH,'Area-Cabang'!$E91,'CWO Bulan Ini'!$CZ:$CZ,'Area-Cabang'!BD$41)</f>
        <v>0</v>
      </c>
      <c r="BE91" s="42">
        <f>SUMIFS('CWO Bulan Ini'!$DD:$DD,'CWO Bulan Ini'!$DJ:$DJ,'Area-Cabang'!$B91,'CWO Bulan Ini'!$DH:$DH,'Area-Cabang'!$E91,'CWO Bulan Ini'!$CZ:$CZ,'Area-Cabang'!BE$41)</f>
        <v>0</v>
      </c>
      <c r="BF91" s="42">
        <f>SUMIFS('CWO Bulan Ini'!$DD:$DD,'CWO Bulan Ini'!$DJ:$DJ,'Area-Cabang'!$B91,'CWO Bulan Ini'!$DH:$DH,'Area-Cabang'!$E91,'CWO Bulan Ini'!$CZ:$CZ,'Area-Cabang'!BF$41)</f>
        <v>0</v>
      </c>
      <c r="BG91" s="42">
        <f>SUMIFS('CWO Bulan Ini'!$DD:$DD,'CWO Bulan Ini'!$DJ:$DJ,'Area-Cabang'!$B91,'CWO Bulan Ini'!$DH:$DH,'Area-Cabang'!$E91,'CWO Bulan Ini'!$CZ:$CZ,'Area-Cabang'!BG$41)</f>
        <v>0</v>
      </c>
      <c r="BH91" s="42">
        <f>SUMIFS('CWO Bulan Ini'!$DD:$DD,'CWO Bulan Ini'!$DJ:$DJ,'Area-Cabang'!$B91,'CWO Bulan Ini'!$DH:$DH,'Area-Cabang'!$E91,'CWO Bulan Ini'!$CZ:$CZ,'Area-Cabang'!BH$41)</f>
        <v>0</v>
      </c>
      <c r="BI91" s="42">
        <f>SUMIFS('CWO Bulan Ini'!$DD:$DD,'CWO Bulan Ini'!$DJ:$DJ,'Area-Cabang'!$B91,'CWO Bulan Ini'!$DH:$DH,'Area-Cabang'!$E91,'CWO Bulan Ini'!$CZ:$CZ,'Area-Cabang'!BI$41)</f>
        <v>0</v>
      </c>
      <c r="BJ91" s="42">
        <f>SUMIFS('CWO Bulan Ini'!$DD:$DD,'CWO Bulan Ini'!$DJ:$DJ,'Area-Cabang'!$B91,'CWO Bulan Ini'!$DH:$DH,'Area-Cabang'!$E91,'CWO Bulan Ini'!$CZ:$CZ,'Area-Cabang'!BJ$41)</f>
        <v>0</v>
      </c>
      <c r="BK91" s="42">
        <f>SUMIFS('CWO Bulan Ini'!$DD:$DD,'CWO Bulan Ini'!$DJ:$DJ,'Area-Cabang'!$B91,'CWO Bulan Ini'!$DH:$DH,'Area-Cabang'!$E91,'CWO Bulan Ini'!$CZ:$CZ,'Area-Cabang'!BK$41)</f>
        <v>0</v>
      </c>
      <c r="BL91" s="42">
        <f>SUMIFS('CWO Bulan Ini'!$DD:$DD,'CWO Bulan Ini'!$DJ:$DJ,'Area-Cabang'!$B91,'CWO Bulan Ini'!$DH:$DH,'Area-Cabang'!$E91,'CWO Bulan Ini'!$CZ:$CZ,'Area-Cabang'!BL$41)</f>
        <v>0</v>
      </c>
      <c r="BM91" s="42">
        <f>SUMIFS('CWO Bulan Ini'!$DD:$DD,'CWO Bulan Ini'!$DJ:$DJ,'Area-Cabang'!$B91,'CWO Bulan Ini'!$DH:$DH,'Area-Cabang'!$E91,'CWO Bulan Ini'!$CZ:$CZ,'Area-Cabang'!BM$41)</f>
        <v>0</v>
      </c>
      <c r="BN91" s="42">
        <f>SUMIFS('CWO Bulan Ini'!$DD:$DD,'CWO Bulan Ini'!$DJ:$DJ,'Area-Cabang'!$B91,'CWO Bulan Ini'!$DH:$DH,'Area-Cabang'!$E91,'CWO Bulan Ini'!$CZ:$CZ,'Area-Cabang'!BN$41)</f>
        <v>0</v>
      </c>
      <c r="BO91" s="43">
        <f>SUMIFS('CWO Bulan Ini'!$DD:$DD,'CWO Bulan Ini'!$DJ:$DJ,'Area-Cabang'!$B91,'CWO Bulan Ini'!$DH:$DH,'Area-Cabang'!$E91,'CWO Bulan Ini'!$CZ:$CZ,'Area-Cabang'!BO$41)</f>
        <v>0</v>
      </c>
      <c r="BP91" s="41">
        <f>SUMIFS('CWO Bulan Ini'!$DC:$DC,'CWO Bulan Ini'!$DJ:$DJ,'Area-Cabang'!$B91,'CWO Bulan Ini'!$DH:$DH,'Area-Cabang'!$E91,'CWO Bulan Ini'!$CZ:$CZ,'Area-Cabang'!BP$41)</f>
        <v>0</v>
      </c>
      <c r="BQ91" s="42">
        <f>SUMIFS('CWO Bulan Ini'!$DC:$DC,'CWO Bulan Ini'!$DJ:$DJ,'Area-Cabang'!$B91,'CWO Bulan Ini'!$DH:$DH,'Area-Cabang'!$E91,'CWO Bulan Ini'!$CZ:$CZ,'Area-Cabang'!BQ$41)</f>
        <v>0</v>
      </c>
      <c r="BR91" s="42">
        <f>SUMIFS('CWO Bulan Ini'!$DC:$DC,'CWO Bulan Ini'!$DJ:$DJ,'Area-Cabang'!$B91,'CWO Bulan Ini'!$DH:$DH,'Area-Cabang'!$E91,'CWO Bulan Ini'!$CZ:$CZ,'Area-Cabang'!BR$41)</f>
        <v>0</v>
      </c>
      <c r="BS91" s="42">
        <f>SUMIFS('CWO Bulan Ini'!$DC:$DC,'CWO Bulan Ini'!$DJ:$DJ,'Area-Cabang'!$B91,'CWO Bulan Ini'!$DH:$DH,'Area-Cabang'!$E91,'CWO Bulan Ini'!$CZ:$CZ,'Area-Cabang'!BS$41)</f>
        <v>0</v>
      </c>
      <c r="BT91" s="42">
        <f>SUMIFS('CWO Bulan Ini'!$DC:$DC,'CWO Bulan Ini'!$DJ:$DJ,'Area-Cabang'!$B91,'CWO Bulan Ini'!$DH:$DH,'Area-Cabang'!$E91,'CWO Bulan Ini'!$CZ:$CZ,'Area-Cabang'!BT$41)</f>
        <v>0</v>
      </c>
      <c r="BU91" s="42">
        <f>SUMIFS('CWO Bulan Ini'!$DC:$DC,'CWO Bulan Ini'!$DJ:$DJ,'Area-Cabang'!$B91,'CWO Bulan Ini'!$DH:$DH,'Area-Cabang'!$E91,'CWO Bulan Ini'!$CZ:$CZ,'Area-Cabang'!BU$41)</f>
        <v>0</v>
      </c>
      <c r="BV91" s="42">
        <f>SUMIFS('CWO Bulan Ini'!$DC:$DC,'CWO Bulan Ini'!$DJ:$DJ,'Area-Cabang'!$B91,'CWO Bulan Ini'!$DH:$DH,'Area-Cabang'!$E91,'CWO Bulan Ini'!$CZ:$CZ,'Area-Cabang'!BV$41)</f>
        <v>0</v>
      </c>
      <c r="BW91" s="42">
        <f>SUMIFS('CWO Bulan Ini'!$DC:$DC,'CWO Bulan Ini'!$DJ:$DJ,'Area-Cabang'!$B91,'CWO Bulan Ini'!$DH:$DH,'Area-Cabang'!$E91,'CWO Bulan Ini'!$CZ:$CZ,'Area-Cabang'!BW$41)</f>
        <v>0</v>
      </c>
      <c r="BX91" s="42">
        <f>SUMIFS('CWO Bulan Ini'!$DC:$DC,'CWO Bulan Ini'!$DJ:$DJ,'Area-Cabang'!$B91,'CWO Bulan Ini'!$DH:$DH,'Area-Cabang'!$E91,'CWO Bulan Ini'!$CZ:$CZ,'Area-Cabang'!BX$41)</f>
        <v>0</v>
      </c>
      <c r="BY91" s="42">
        <f>SUMIFS('CWO Bulan Ini'!$DC:$DC,'CWO Bulan Ini'!$DJ:$DJ,'Area-Cabang'!$B91,'CWO Bulan Ini'!$DH:$DH,'Area-Cabang'!$E91,'CWO Bulan Ini'!$CZ:$CZ,'Area-Cabang'!BY$41)</f>
        <v>0</v>
      </c>
      <c r="BZ91" s="42">
        <f>SUMIFS('CWO Bulan Ini'!$DC:$DC,'CWO Bulan Ini'!$DJ:$DJ,'Area-Cabang'!$B91,'CWO Bulan Ini'!$DH:$DH,'Area-Cabang'!$E91,'CWO Bulan Ini'!$CZ:$CZ,'Area-Cabang'!BZ$41)</f>
        <v>0</v>
      </c>
      <c r="CA91" s="42">
        <f>SUMIFS('CWO Bulan Ini'!$DC:$DC,'CWO Bulan Ini'!$DJ:$DJ,'Area-Cabang'!$B91,'CWO Bulan Ini'!$DH:$DH,'Area-Cabang'!$E91,'CWO Bulan Ini'!$CZ:$CZ,'Area-Cabang'!CA$41)</f>
        <v>0</v>
      </c>
      <c r="CB91" s="42">
        <f>SUMIFS('CWO Bulan Ini'!$DC:$DC,'CWO Bulan Ini'!$DJ:$DJ,'Area-Cabang'!$B91,'CWO Bulan Ini'!$DH:$DH,'Area-Cabang'!$E91,'CWO Bulan Ini'!$CZ:$CZ,'Area-Cabang'!CB$41)</f>
        <v>0</v>
      </c>
      <c r="CC91" s="42">
        <f>SUMIFS('CWO Bulan Ini'!$DC:$DC,'CWO Bulan Ini'!$DJ:$DJ,'Area-Cabang'!$B91,'CWO Bulan Ini'!$DH:$DH,'Area-Cabang'!$E91,'CWO Bulan Ini'!$CZ:$CZ,'Area-Cabang'!CC$41)</f>
        <v>0</v>
      </c>
      <c r="CD91" s="42">
        <f>SUMIFS('CWO Bulan Ini'!$DC:$DC,'CWO Bulan Ini'!$DJ:$DJ,'Area-Cabang'!$B91,'CWO Bulan Ini'!$DH:$DH,'Area-Cabang'!$E91,'CWO Bulan Ini'!$CZ:$CZ,'Area-Cabang'!CD$41)</f>
        <v>0</v>
      </c>
      <c r="CE91" s="42">
        <f>SUMIFS('CWO Bulan Ini'!$DC:$DC,'CWO Bulan Ini'!$DJ:$DJ,'Area-Cabang'!$B91,'CWO Bulan Ini'!$DH:$DH,'Area-Cabang'!$E91,'CWO Bulan Ini'!$CZ:$CZ,'Area-Cabang'!CE$41)</f>
        <v>0</v>
      </c>
      <c r="CF91" s="42">
        <f>SUMIFS('CWO Bulan Ini'!$DC:$DC,'CWO Bulan Ini'!$DJ:$DJ,'Area-Cabang'!$B91,'CWO Bulan Ini'!$DH:$DH,'Area-Cabang'!$E91,'CWO Bulan Ini'!$CZ:$CZ,'Area-Cabang'!CF$41)</f>
        <v>0</v>
      </c>
      <c r="CG91" s="42">
        <f>SUMIFS('CWO Bulan Ini'!$DC:$DC,'CWO Bulan Ini'!$DJ:$DJ,'Area-Cabang'!$B91,'CWO Bulan Ini'!$DH:$DH,'Area-Cabang'!$E91,'CWO Bulan Ini'!$CZ:$CZ,'Area-Cabang'!CG$41)</f>
        <v>0</v>
      </c>
      <c r="CH91" s="42">
        <f>SUMIFS('CWO Bulan Ini'!$DC:$DC,'CWO Bulan Ini'!$DJ:$DJ,'Area-Cabang'!$B91,'CWO Bulan Ini'!$DH:$DH,'Area-Cabang'!$E91,'CWO Bulan Ini'!$CZ:$CZ,'Area-Cabang'!CH$41)</f>
        <v>0</v>
      </c>
      <c r="CI91" s="42">
        <f>SUMIFS('CWO Bulan Ini'!$DC:$DC,'CWO Bulan Ini'!$DJ:$DJ,'Area-Cabang'!$B91,'CWO Bulan Ini'!$DH:$DH,'Area-Cabang'!$E91,'CWO Bulan Ini'!$CZ:$CZ,'Area-Cabang'!CI$41)</f>
        <v>0</v>
      </c>
      <c r="CJ91" s="42">
        <f>SUMIFS('CWO Bulan Ini'!$DC:$DC,'CWO Bulan Ini'!$DJ:$DJ,'Area-Cabang'!$B91,'CWO Bulan Ini'!$DH:$DH,'Area-Cabang'!$E91,'CWO Bulan Ini'!$CZ:$CZ,'Area-Cabang'!CJ$41)</f>
        <v>0</v>
      </c>
      <c r="CK91" s="42">
        <f>SUMIFS('CWO Bulan Ini'!$DC:$DC,'CWO Bulan Ini'!$DJ:$DJ,'Area-Cabang'!$B91,'CWO Bulan Ini'!$DH:$DH,'Area-Cabang'!$E91,'CWO Bulan Ini'!$CZ:$CZ,'Area-Cabang'!CK$41)</f>
        <v>0</v>
      </c>
      <c r="CL91" s="42">
        <f>SUMIFS('CWO Bulan Ini'!$DC:$DC,'CWO Bulan Ini'!$DJ:$DJ,'Area-Cabang'!$B91,'CWO Bulan Ini'!$DH:$DH,'Area-Cabang'!$E91,'CWO Bulan Ini'!$CZ:$CZ,'Area-Cabang'!CL$41)</f>
        <v>0</v>
      </c>
      <c r="CM91" s="42">
        <f>SUMIFS('CWO Bulan Ini'!$DC:$DC,'CWO Bulan Ini'!$DJ:$DJ,'Area-Cabang'!$B91,'CWO Bulan Ini'!$DH:$DH,'Area-Cabang'!$E91,'CWO Bulan Ini'!$CZ:$CZ,'Area-Cabang'!CM$41)</f>
        <v>0</v>
      </c>
      <c r="CN91" s="42">
        <f>SUMIFS('CWO Bulan Ini'!$DC:$DC,'CWO Bulan Ini'!$DJ:$DJ,'Area-Cabang'!$B91,'CWO Bulan Ini'!$DH:$DH,'Area-Cabang'!$E91,'CWO Bulan Ini'!$CZ:$CZ,'Area-Cabang'!CN$41)</f>
        <v>0</v>
      </c>
      <c r="CO91" s="42">
        <f>SUMIFS('CWO Bulan Ini'!$DC:$DC,'CWO Bulan Ini'!$DJ:$DJ,'Area-Cabang'!$B91,'CWO Bulan Ini'!$DH:$DH,'Area-Cabang'!$E91,'CWO Bulan Ini'!$CZ:$CZ,'Area-Cabang'!CO$41)</f>
        <v>0</v>
      </c>
      <c r="CP91" s="42">
        <f>SUMIFS('CWO Bulan Ini'!$DC:$DC,'CWO Bulan Ini'!$DJ:$DJ,'Area-Cabang'!$B91,'CWO Bulan Ini'!$DH:$DH,'Area-Cabang'!$E91,'CWO Bulan Ini'!$CZ:$CZ,'Area-Cabang'!CP$41)</f>
        <v>0</v>
      </c>
      <c r="CQ91" s="42">
        <f>SUMIFS('CWO Bulan Ini'!$DC:$DC,'CWO Bulan Ini'!$DJ:$DJ,'Area-Cabang'!$B91,'CWO Bulan Ini'!$DH:$DH,'Area-Cabang'!$E91,'CWO Bulan Ini'!$CZ:$CZ,'Area-Cabang'!CQ$41)</f>
        <v>0</v>
      </c>
      <c r="CR91" s="42">
        <f>SUMIFS('CWO Bulan Ini'!$DC:$DC,'CWO Bulan Ini'!$DJ:$DJ,'Area-Cabang'!$B91,'CWO Bulan Ini'!$DH:$DH,'Area-Cabang'!$E91,'CWO Bulan Ini'!$CZ:$CZ,'Area-Cabang'!CR$41)</f>
        <v>0</v>
      </c>
      <c r="CS91" s="42">
        <f>SUMIFS('CWO Bulan Ini'!$DC:$DC,'CWO Bulan Ini'!$DJ:$DJ,'Area-Cabang'!$B91,'CWO Bulan Ini'!$DH:$DH,'Area-Cabang'!$E91,'CWO Bulan Ini'!$CZ:$CZ,'Area-Cabang'!CS$41)</f>
        <v>0</v>
      </c>
      <c r="CT91" s="43">
        <f>SUMIFS('CWO Bulan Ini'!$DC:$DC,'CWO Bulan Ini'!$DJ:$DJ,'Area-Cabang'!$B91,'CWO Bulan Ini'!$DH:$DH,'Area-Cabang'!$E91,'CWO Bulan Ini'!$CZ:$CZ,'Area-Cabang'!CT$41)</f>
        <v>0</v>
      </c>
      <c r="CV91" s="96">
        <f t="shared" si="2629"/>
        <v>0</v>
      </c>
      <c r="CW91" s="93">
        <f t="shared" si="2630"/>
        <v>0</v>
      </c>
      <c r="CX91" s="93">
        <f t="shared" si="2631"/>
        <v>0</v>
      </c>
      <c r="CY91" s="93">
        <f t="shared" si="2632"/>
        <v>0</v>
      </c>
      <c r="CZ91" s="106">
        <f t="shared" si="2633"/>
        <v>0</v>
      </c>
    </row>
    <row r="92" spans="1:104" ht="15" customHeight="1" x14ac:dyDescent="0.25">
      <c r="A92" s="58" t="s">
        <v>487</v>
      </c>
      <c r="B92" s="53" t="s">
        <v>823</v>
      </c>
      <c r="C92" s="251"/>
      <c r="D92" s="227" t="s">
        <v>823</v>
      </c>
      <c r="E92" s="228"/>
      <c r="F92" s="219">
        <f t="shared" ref="F92" si="2634">SUM(F90:F91)</f>
        <v>0</v>
      </c>
      <c r="G92" s="220">
        <f t="shared" ref="G92" si="2635">SUM(G90:G91)</f>
        <v>0</v>
      </c>
      <c r="H92" s="220">
        <f t="shared" ref="H92" si="2636">SUM(H90:H91)</f>
        <v>0</v>
      </c>
      <c r="I92" s="220">
        <f t="shared" ref="I92" si="2637">SUM(I90:I91)</f>
        <v>0</v>
      </c>
      <c r="J92" s="220">
        <f t="shared" ref="J92" si="2638">SUM(J90:J91)</f>
        <v>0</v>
      </c>
      <c r="K92" s="220">
        <f t="shared" ref="K92" si="2639">SUM(K90:K91)</f>
        <v>0</v>
      </c>
      <c r="L92" s="220">
        <f t="shared" ref="L92" si="2640">SUM(L90:L91)</f>
        <v>0</v>
      </c>
      <c r="M92" s="220">
        <f t="shared" ref="M92" si="2641">SUM(M90:M91)</f>
        <v>0</v>
      </c>
      <c r="N92" s="220">
        <f t="shared" ref="N92" si="2642">SUM(N90:N91)</f>
        <v>0</v>
      </c>
      <c r="O92" s="220">
        <f t="shared" ref="O92" si="2643">SUM(O90:O91)</f>
        <v>0</v>
      </c>
      <c r="P92" s="220">
        <f t="shared" ref="P92" si="2644">SUM(P90:P91)</f>
        <v>0</v>
      </c>
      <c r="Q92" s="220">
        <f t="shared" ref="Q92" si="2645">SUM(Q90:Q91)</f>
        <v>0</v>
      </c>
      <c r="R92" s="220">
        <f t="shared" ref="R92" si="2646">SUM(R90:R91)</f>
        <v>0</v>
      </c>
      <c r="S92" s="220">
        <f t="shared" ref="S92" si="2647">SUM(S90:S91)</f>
        <v>0</v>
      </c>
      <c r="T92" s="220">
        <f t="shared" ref="T92" si="2648">SUM(T90:T91)</f>
        <v>0</v>
      </c>
      <c r="U92" s="220">
        <f t="shared" ref="U92" si="2649">SUM(U90:U91)</f>
        <v>0</v>
      </c>
      <c r="V92" s="220">
        <f t="shared" ref="V92" si="2650">SUM(V90:V91)</f>
        <v>0</v>
      </c>
      <c r="W92" s="220">
        <f t="shared" ref="W92" si="2651">SUM(W90:W91)</f>
        <v>0</v>
      </c>
      <c r="X92" s="220">
        <f t="shared" ref="X92" si="2652">SUM(X90:X91)</f>
        <v>0</v>
      </c>
      <c r="Y92" s="220">
        <f t="shared" ref="Y92" si="2653">SUM(Y90:Y91)</f>
        <v>0</v>
      </c>
      <c r="Z92" s="220">
        <f t="shared" ref="Z92" si="2654">SUM(Z90:Z91)</f>
        <v>0</v>
      </c>
      <c r="AA92" s="220">
        <f t="shared" ref="AA92" si="2655">SUM(AA90:AA91)</f>
        <v>0</v>
      </c>
      <c r="AB92" s="220">
        <f t="shared" ref="AB92" si="2656">SUM(AB90:AB91)</f>
        <v>0</v>
      </c>
      <c r="AC92" s="220">
        <f t="shared" ref="AC92" si="2657">SUM(AC90:AC91)</f>
        <v>0</v>
      </c>
      <c r="AD92" s="220">
        <f t="shared" ref="AD92" si="2658">SUM(AD90:AD91)</f>
        <v>0</v>
      </c>
      <c r="AE92" s="220">
        <f t="shared" ref="AE92" si="2659">SUM(AE90:AE91)</f>
        <v>0</v>
      </c>
      <c r="AF92" s="220">
        <f t="shared" ref="AF92" si="2660">SUM(AF90:AF91)</f>
        <v>0</v>
      </c>
      <c r="AG92" s="220">
        <f t="shared" ref="AG92" si="2661">SUM(AG90:AG91)</f>
        <v>0</v>
      </c>
      <c r="AH92" s="220">
        <f t="shared" ref="AH92" si="2662">SUM(AH90:AH91)</f>
        <v>0</v>
      </c>
      <c r="AI92" s="220">
        <f t="shared" ref="AI92" si="2663">SUM(AI90:AI91)</f>
        <v>0</v>
      </c>
      <c r="AJ92" s="220">
        <f t="shared" ref="AJ92" si="2664">SUM(AJ90:AJ91)</f>
        <v>0</v>
      </c>
      <c r="AK92" s="219">
        <f t="shared" ref="AK92" si="2665">SUM(AK90:AK91)</f>
        <v>0</v>
      </c>
      <c r="AL92" s="220">
        <f t="shared" ref="AL92" si="2666">SUM(AL90:AL91)</f>
        <v>0</v>
      </c>
      <c r="AM92" s="220">
        <f t="shared" ref="AM92" si="2667">SUM(AM90:AM91)</f>
        <v>0</v>
      </c>
      <c r="AN92" s="220">
        <f t="shared" ref="AN92" si="2668">SUM(AN90:AN91)</f>
        <v>0</v>
      </c>
      <c r="AO92" s="220">
        <f t="shared" ref="AO92" si="2669">SUM(AO90:AO91)</f>
        <v>0</v>
      </c>
      <c r="AP92" s="220">
        <f t="shared" ref="AP92" si="2670">SUM(AP90:AP91)</f>
        <v>0</v>
      </c>
      <c r="AQ92" s="220">
        <f t="shared" ref="AQ92" si="2671">SUM(AQ90:AQ91)</f>
        <v>0</v>
      </c>
      <c r="AR92" s="220">
        <f t="shared" ref="AR92" si="2672">SUM(AR90:AR91)</f>
        <v>0</v>
      </c>
      <c r="AS92" s="220">
        <f t="shared" ref="AS92" si="2673">SUM(AS90:AS91)</f>
        <v>0</v>
      </c>
      <c r="AT92" s="220">
        <f t="shared" ref="AT92" si="2674">SUM(AT90:AT91)</f>
        <v>0</v>
      </c>
      <c r="AU92" s="220">
        <f t="shared" ref="AU92" si="2675">SUM(AU90:AU91)</f>
        <v>0</v>
      </c>
      <c r="AV92" s="220">
        <f t="shared" ref="AV92" si="2676">SUM(AV90:AV91)</f>
        <v>0</v>
      </c>
      <c r="AW92" s="220">
        <f t="shared" ref="AW92" si="2677">SUM(AW90:AW91)</f>
        <v>0</v>
      </c>
      <c r="AX92" s="220">
        <f t="shared" ref="AX92" si="2678">SUM(AX90:AX91)</f>
        <v>0</v>
      </c>
      <c r="AY92" s="220">
        <f t="shared" ref="AY92" si="2679">SUM(AY90:AY91)</f>
        <v>0</v>
      </c>
      <c r="AZ92" s="220">
        <f t="shared" ref="AZ92" si="2680">SUM(AZ90:AZ91)</f>
        <v>0</v>
      </c>
      <c r="BA92" s="220">
        <f t="shared" ref="BA92" si="2681">SUM(BA90:BA91)</f>
        <v>0</v>
      </c>
      <c r="BB92" s="220">
        <f t="shared" ref="BB92" si="2682">SUM(BB90:BB91)</f>
        <v>0</v>
      </c>
      <c r="BC92" s="220">
        <f t="shared" ref="BC92" si="2683">SUM(BC90:BC91)</f>
        <v>0</v>
      </c>
      <c r="BD92" s="220">
        <f t="shared" ref="BD92" si="2684">SUM(BD90:BD91)</f>
        <v>0</v>
      </c>
      <c r="BE92" s="220">
        <f t="shared" ref="BE92" si="2685">SUM(BE90:BE91)</f>
        <v>0</v>
      </c>
      <c r="BF92" s="220">
        <f t="shared" ref="BF92" si="2686">SUM(BF90:BF91)</f>
        <v>0</v>
      </c>
      <c r="BG92" s="220">
        <f t="shared" ref="BG92" si="2687">SUM(BG90:BG91)</f>
        <v>0</v>
      </c>
      <c r="BH92" s="220">
        <f t="shared" ref="BH92" si="2688">SUM(BH90:BH91)</f>
        <v>0</v>
      </c>
      <c r="BI92" s="220">
        <f t="shared" ref="BI92" si="2689">SUM(BI90:BI91)</f>
        <v>0</v>
      </c>
      <c r="BJ92" s="220">
        <f t="shared" ref="BJ92" si="2690">SUM(BJ90:BJ91)</f>
        <v>0</v>
      </c>
      <c r="BK92" s="220">
        <f t="shared" ref="BK92" si="2691">SUM(BK90:BK91)</f>
        <v>0</v>
      </c>
      <c r="BL92" s="220">
        <f t="shared" ref="BL92" si="2692">SUM(BL90:BL91)</f>
        <v>0</v>
      </c>
      <c r="BM92" s="220">
        <f t="shared" ref="BM92" si="2693">SUM(BM90:BM91)</f>
        <v>0</v>
      </c>
      <c r="BN92" s="220">
        <f t="shared" ref="BN92" si="2694">SUM(BN90:BN91)</f>
        <v>0</v>
      </c>
      <c r="BO92" s="221">
        <f t="shared" ref="BO92" si="2695">SUM(BO90:BO91)</f>
        <v>0</v>
      </c>
      <c r="BP92" s="219">
        <f t="shared" ref="BP92" si="2696">SUM(BP90:BP91)</f>
        <v>0</v>
      </c>
      <c r="BQ92" s="220">
        <f t="shared" ref="BQ92" si="2697">SUM(BQ90:BQ91)</f>
        <v>0</v>
      </c>
      <c r="BR92" s="220">
        <f t="shared" ref="BR92" si="2698">SUM(BR90:BR91)</f>
        <v>0</v>
      </c>
      <c r="BS92" s="220">
        <f t="shared" ref="BS92" si="2699">SUM(BS90:BS91)</f>
        <v>0</v>
      </c>
      <c r="BT92" s="220">
        <f t="shared" ref="BT92" si="2700">SUM(BT90:BT91)</f>
        <v>0</v>
      </c>
      <c r="BU92" s="220">
        <f t="shared" ref="BU92" si="2701">SUM(BU90:BU91)</f>
        <v>0</v>
      </c>
      <c r="BV92" s="220">
        <f t="shared" ref="BV92" si="2702">SUM(BV90:BV91)</f>
        <v>0</v>
      </c>
      <c r="BW92" s="220">
        <f t="shared" ref="BW92" si="2703">SUM(BW90:BW91)</f>
        <v>0</v>
      </c>
      <c r="BX92" s="220">
        <f t="shared" ref="BX92" si="2704">SUM(BX90:BX91)</f>
        <v>0</v>
      </c>
      <c r="BY92" s="220">
        <f t="shared" ref="BY92" si="2705">SUM(BY90:BY91)</f>
        <v>0</v>
      </c>
      <c r="BZ92" s="220">
        <f t="shared" ref="BZ92" si="2706">SUM(BZ90:BZ91)</f>
        <v>0</v>
      </c>
      <c r="CA92" s="220">
        <f t="shared" ref="CA92" si="2707">SUM(CA90:CA91)</f>
        <v>0</v>
      </c>
      <c r="CB92" s="220">
        <f t="shared" ref="CB92" si="2708">SUM(CB90:CB91)</f>
        <v>0</v>
      </c>
      <c r="CC92" s="220">
        <f t="shared" ref="CC92" si="2709">SUM(CC90:CC91)</f>
        <v>0</v>
      </c>
      <c r="CD92" s="220">
        <f t="shared" ref="CD92" si="2710">SUM(CD90:CD91)</f>
        <v>0</v>
      </c>
      <c r="CE92" s="220">
        <f t="shared" ref="CE92" si="2711">SUM(CE90:CE91)</f>
        <v>0</v>
      </c>
      <c r="CF92" s="220">
        <f t="shared" ref="CF92" si="2712">SUM(CF90:CF91)</f>
        <v>0</v>
      </c>
      <c r="CG92" s="220">
        <f t="shared" ref="CG92" si="2713">SUM(CG90:CG91)</f>
        <v>0</v>
      </c>
      <c r="CH92" s="220">
        <f t="shared" ref="CH92" si="2714">SUM(CH90:CH91)</f>
        <v>0</v>
      </c>
      <c r="CI92" s="220">
        <f t="shared" ref="CI92" si="2715">SUM(CI90:CI91)</f>
        <v>0</v>
      </c>
      <c r="CJ92" s="220">
        <f t="shared" ref="CJ92" si="2716">SUM(CJ90:CJ91)</f>
        <v>0</v>
      </c>
      <c r="CK92" s="220">
        <f t="shared" ref="CK92" si="2717">SUM(CK90:CK91)</f>
        <v>0</v>
      </c>
      <c r="CL92" s="220">
        <f t="shared" ref="CL92" si="2718">SUM(CL90:CL91)</f>
        <v>0</v>
      </c>
      <c r="CM92" s="220">
        <f t="shared" ref="CM92" si="2719">SUM(CM90:CM91)</f>
        <v>0</v>
      </c>
      <c r="CN92" s="220">
        <f t="shared" ref="CN92" si="2720">SUM(CN90:CN91)</f>
        <v>0</v>
      </c>
      <c r="CO92" s="220">
        <f t="shared" ref="CO92" si="2721">SUM(CO90:CO91)</f>
        <v>0</v>
      </c>
      <c r="CP92" s="220">
        <f t="shared" ref="CP92" si="2722">SUM(CP90:CP91)</f>
        <v>0</v>
      </c>
      <c r="CQ92" s="220">
        <f t="shared" ref="CQ92" si="2723">SUM(CQ90:CQ91)</f>
        <v>0</v>
      </c>
      <c r="CR92" s="220">
        <f t="shared" ref="CR92" si="2724">SUM(CR90:CR91)</f>
        <v>0</v>
      </c>
      <c r="CS92" s="220">
        <f t="shared" ref="CS92" si="2725">SUM(CS90:CS91)</f>
        <v>0</v>
      </c>
      <c r="CT92" s="221">
        <f t="shared" ref="CT92" si="2726">SUM(CT90:CT91)</f>
        <v>0</v>
      </c>
      <c r="CU92" s="226"/>
      <c r="CV92" s="219">
        <f t="shared" ref="CV92" si="2727">SUM(CV90:CV91)</f>
        <v>0</v>
      </c>
      <c r="CW92" s="220">
        <f t="shared" ref="CW92" si="2728">SUM(CW90:CW91)</f>
        <v>0</v>
      </c>
      <c r="CX92" s="220">
        <f t="shared" ref="CX92" si="2729">SUM(CX90:CX91)</f>
        <v>0</v>
      </c>
      <c r="CY92" s="220">
        <f t="shared" ref="CY92" si="2730">SUM(CY90:CY91)</f>
        <v>0</v>
      </c>
      <c r="CZ92" s="222">
        <f t="shared" ref="CZ92" si="2731">SUM(CZ90:CZ91)</f>
        <v>0</v>
      </c>
    </row>
    <row r="93" spans="1:104" ht="15" customHeight="1" x14ac:dyDescent="0.25">
      <c r="A93" s="58" t="s">
        <v>469</v>
      </c>
      <c r="B93" s="53" t="s">
        <v>157</v>
      </c>
      <c r="C93" s="253" t="s">
        <v>469</v>
      </c>
      <c r="D93" s="245" t="s">
        <v>157</v>
      </c>
      <c r="E93" s="85" t="s">
        <v>132</v>
      </c>
      <c r="F93" s="55">
        <f>SUMIFS('CWO Bulan Ini'!$DA:$DA,'CWO Bulan Ini'!$DJ:$DJ,'Area-Cabang'!$B93,'CWO Bulan Ini'!$DH:$DH,'Area-Cabang'!$E93,'CWO Bulan Ini'!$CZ:$CZ,'Area-Cabang'!F$41)</f>
        <v>0</v>
      </c>
      <c r="G93" s="56">
        <f>SUMIFS('CWO Bulan Ini'!$DA:$DA,'CWO Bulan Ini'!$DJ:$DJ,'Area-Cabang'!$B93,'CWO Bulan Ini'!$DH:$DH,'Area-Cabang'!$E93,'CWO Bulan Ini'!$CZ:$CZ,'Area-Cabang'!G$41)</f>
        <v>0</v>
      </c>
      <c r="H93" s="56">
        <f>SUMIFS('CWO Bulan Ini'!$DA:$DA,'CWO Bulan Ini'!$DJ:$DJ,'Area-Cabang'!$B93,'CWO Bulan Ini'!$DH:$DH,'Area-Cabang'!$E93,'CWO Bulan Ini'!$CZ:$CZ,'Area-Cabang'!H$41)</f>
        <v>0</v>
      </c>
      <c r="I93" s="56">
        <f>SUMIFS('CWO Bulan Ini'!$DA:$DA,'CWO Bulan Ini'!$DJ:$DJ,'Area-Cabang'!$B93,'CWO Bulan Ini'!$DH:$DH,'Area-Cabang'!$E93,'CWO Bulan Ini'!$CZ:$CZ,'Area-Cabang'!I$41)</f>
        <v>0</v>
      </c>
      <c r="J93" s="56">
        <f>SUMIFS('CWO Bulan Ini'!$DA:$DA,'CWO Bulan Ini'!$DJ:$DJ,'Area-Cabang'!$B93,'CWO Bulan Ini'!$DH:$DH,'Area-Cabang'!$E93,'CWO Bulan Ini'!$CZ:$CZ,'Area-Cabang'!J$41)</f>
        <v>0</v>
      </c>
      <c r="K93" s="56">
        <f>SUMIFS('CWO Bulan Ini'!$DA:$DA,'CWO Bulan Ini'!$DJ:$DJ,'Area-Cabang'!$B93,'CWO Bulan Ini'!$DH:$DH,'Area-Cabang'!$E93,'CWO Bulan Ini'!$CZ:$CZ,'Area-Cabang'!K$41)</f>
        <v>0</v>
      </c>
      <c r="L93" s="56">
        <f>SUMIFS('CWO Bulan Ini'!$DA:$DA,'CWO Bulan Ini'!$DJ:$DJ,'Area-Cabang'!$B93,'CWO Bulan Ini'!$DH:$DH,'Area-Cabang'!$E93,'CWO Bulan Ini'!$CZ:$CZ,'Area-Cabang'!L$41)</f>
        <v>0</v>
      </c>
      <c r="M93" s="56">
        <f>SUMIFS('CWO Bulan Ini'!$DA:$DA,'CWO Bulan Ini'!$DJ:$DJ,'Area-Cabang'!$B93,'CWO Bulan Ini'!$DH:$DH,'Area-Cabang'!$E93,'CWO Bulan Ini'!$CZ:$CZ,'Area-Cabang'!M$41)</f>
        <v>0</v>
      </c>
      <c r="N93" s="56">
        <f>SUMIFS('CWO Bulan Ini'!$DA:$DA,'CWO Bulan Ini'!$DJ:$DJ,'Area-Cabang'!$B93,'CWO Bulan Ini'!$DH:$DH,'Area-Cabang'!$E93,'CWO Bulan Ini'!$CZ:$CZ,'Area-Cabang'!N$41)</f>
        <v>0</v>
      </c>
      <c r="O93" s="56">
        <f>SUMIFS('CWO Bulan Ini'!$DA:$DA,'CWO Bulan Ini'!$DJ:$DJ,'Area-Cabang'!$B93,'CWO Bulan Ini'!$DH:$DH,'Area-Cabang'!$E93,'CWO Bulan Ini'!$CZ:$CZ,'Area-Cabang'!O$41)</f>
        <v>0</v>
      </c>
      <c r="P93" s="56">
        <f>SUMIFS('CWO Bulan Ini'!$DA:$DA,'CWO Bulan Ini'!$DJ:$DJ,'Area-Cabang'!$B93,'CWO Bulan Ini'!$DH:$DH,'Area-Cabang'!$E93,'CWO Bulan Ini'!$CZ:$CZ,'Area-Cabang'!P$41)</f>
        <v>0</v>
      </c>
      <c r="Q93" s="56">
        <f>SUMIFS('CWO Bulan Ini'!$DA:$DA,'CWO Bulan Ini'!$DJ:$DJ,'Area-Cabang'!$B93,'CWO Bulan Ini'!$DH:$DH,'Area-Cabang'!$E93,'CWO Bulan Ini'!$CZ:$CZ,'Area-Cabang'!Q$41)</f>
        <v>0</v>
      </c>
      <c r="R93" s="56">
        <f>SUMIFS('CWO Bulan Ini'!$DA:$DA,'CWO Bulan Ini'!$DJ:$DJ,'Area-Cabang'!$B93,'CWO Bulan Ini'!$DH:$DH,'Area-Cabang'!$E93,'CWO Bulan Ini'!$CZ:$CZ,'Area-Cabang'!R$41)</f>
        <v>0</v>
      </c>
      <c r="S93" s="56">
        <f>SUMIFS('CWO Bulan Ini'!$DA:$DA,'CWO Bulan Ini'!$DJ:$DJ,'Area-Cabang'!$B93,'CWO Bulan Ini'!$DH:$DH,'Area-Cabang'!$E93,'CWO Bulan Ini'!$CZ:$CZ,'Area-Cabang'!S$41)</f>
        <v>0</v>
      </c>
      <c r="T93" s="56">
        <f>SUMIFS('CWO Bulan Ini'!$DA:$DA,'CWO Bulan Ini'!$DJ:$DJ,'Area-Cabang'!$B93,'CWO Bulan Ini'!$DH:$DH,'Area-Cabang'!$E93,'CWO Bulan Ini'!$CZ:$CZ,'Area-Cabang'!T$41)</f>
        <v>0</v>
      </c>
      <c r="U93" s="56">
        <f>SUMIFS('CWO Bulan Ini'!$DA:$DA,'CWO Bulan Ini'!$DJ:$DJ,'Area-Cabang'!$B93,'CWO Bulan Ini'!$DH:$DH,'Area-Cabang'!$E93,'CWO Bulan Ini'!$CZ:$CZ,'Area-Cabang'!U$41)</f>
        <v>0</v>
      </c>
      <c r="V93" s="56">
        <f>SUMIFS('CWO Bulan Ini'!$DA:$DA,'CWO Bulan Ini'!$DJ:$DJ,'Area-Cabang'!$B93,'CWO Bulan Ini'!$DH:$DH,'Area-Cabang'!$E93,'CWO Bulan Ini'!$CZ:$CZ,'Area-Cabang'!V$41)</f>
        <v>0</v>
      </c>
      <c r="W93" s="56">
        <f>SUMIFS('CWO Bulan Ini'!$DA:$DA,'CWO Bulan Ini'!$DJ:$DJ,'Area-Cabang'!$B93,'CWO Bulan Ini'!$DH:$DH,'Area-Cabang'!$E93,'CWO Bulan Ini'!$CZ:$CZ,'Area-Cabang'!W$41)</f>
        <v>0</v>
      </c>
      <c r="X93" s="56">
        <f>SUMIFS('CWO Bulan Ini'!$DA:$DA,'CWO Bulan Ini'!$DJ:$DJ,'Area-Cabang'!$B93,'CWO Bulan Ini'!$DH:$DH,'Area-Cabang'!$E93,'CWO Bulan Ini'!$CZ:$CZ,'Area-Cabang'!X$41)</f>
        <v>0</v>
      </c>
      <c r="Y93" s="56">
        <f>SUMIFS('CWO Bulan Ini'!$DA:$DA,'CWO Bulan Ini'!$DJ:$DJ,'Area-Cabang'!$B93,'CWO Bulan Ini'!$DH:$DH,'Area-Cabang'!$E93,'CWO Bulan Ini'!$CZ:$CZ,'Area-Cabang'!Y$41)</f>
        <v>0</v>
      </c>
      <c r="Z93" s="56">
        <f>SUMIFS('CWO Bulan Ini'!$DA:$DA,'CWO Bulan Ini'!$DJ:$DJ,'Area-Cabang'!$B93,'CWO Bulan Ini'!$DH:$DH,'Area-Cabang'!$E93,'CWO Bulan Ini'!$CZ:$CZ,'Area-Cabang'!Z$41)</f>
        <v>0</v>
      </c>
      <c r="AA93" s="56">
        <f>SUMIFS('CWO Bulan Ini'!$DA:$DA,'CWO Bulan Ini'!$DJ:$DJ,'Area-Cabang'!$B93,'CWO Bulan Ini'!$DH:$DH,'Area-Cabang'!$E93,'CWO Bulan Ini'!$CZ:$CZ,'Area-Cabang'!AA$41)</f>
        <v>0</v>
      </c>
      <c r="AB93" s="56">
        <f>SUMIFS('CWO Bulan Ini'!$DA:$DA,'CWO Bulan Ini'!$DJ:$DJ,'Area-Cabang'!$B93,'CWO Bulan Ini'!$DH:$DH,'Area-Cabang'!$E93,'CWO Bulan Ini'!$CZ:$CZ,'Area-Cabang'!AB$41)</f>
        <v>0</v>
      </c>
      <c r="AC93" s="56">
        <f>SUMIFS('CWO Bulan Ini'!$DA:$DA,'CWO Bulan Ini'!$DJ:$DJ,'Area-Cabang'!$B93,'CWO Bulan Ini'!$DH:$DH,'Area-Cabang'!$E93,'CWO Bulan Ini'!$CZ:$CZ,'Area-Cabang'!AC$41)</f>
        <v>0</v>
      </c>
      <c r="AD93" s="56">
        <f>SUMIFS('CWO Bulan Ini'!$DA:$DA,'CWO Bulan Ini'!$DJ:$DJ,'Area-Cabang'!$B93,'CWO Bulan Ini'!$DH:$DH,'Area-Cabang'!$E93,'CWO Bulan Ini'!$CZ:$CZ,'Area-Cabang'!AD$41)</f>
        <v>0</v>
      </c>
      <c r="AE93" s="56">
        <f>SUMIFS('CWO Bulan Ini'!$DA:$DA,'CWO Bulan Ini'!$DJ:$DJ,'Area-Cabang'!$B93,'CWO Bulan Ini'!$DH:$DH,'Area-Cabang'!$E93,'CWO Bulan Ini'!$CZ:$CZ,'Area-Cabang'!AE$41)</f>
        <v>0</v>
      </c>
      <c r="AF93" s="56">
        <f>SUMIFS('CWO Bulan Ini'!$DA:$DA,'CWO Bulan Ini'!$DJ:$DJ,'Area-Cabang'!$B93,'CWO Bulan Ini'!$DH:$DH,'Area-Cabang'!$E93,'CWO Bulan Ini'!$CZ:$CZ,'Area-Cabang'!AF$41)</f>
        <v>0</v>
      </c>
      <c r="AG93" s="56">
        <f>SUMIFS('CWO Bulan Ini'!$DA:$DA,'CWO Bulan Ini'!$DJ:$DJ,'Area-Cabang'!$B93,'CWO Bulan Ini'!$DH:$DH,'Area-Cabang'!$E93,'CWO Bulan Ini'!$CZ:$CZ,'Area-Cabang'!AG$41)</f>
        <v>0</v>
      </c>
      <c r="AH93" s="56">
        <f>SUMIFS('CWO Bulan Ini'!$DA:$DA,'CWO Bulan Ini'!$DJ:$DJ,'Area-Cabang'!$B93,'CWO Bulan Ini'!$DH:$DH,'Area-Cabang'!$E93,'CWO Bulan Ini'!$CZ:$CZ,'Area-Cabang'!AH$41)</f>
        <v>0</v>
      </c>
      <c r="AI93" s="56">
        <f>SUMIFS('CWO Bulan Ini'!$DA:$DA,'CWO Bulan Ini'!$DJ:$DJ,'Area-Cabang'!$B93,'CWO Bulan Ini'!$DH:$DH,'Area-Cabang'!$E93,'CWO Bulan Ini'!$CZ:$CZ,'Area-Cabang'!AI$41)</f>
        <v>0</v>
      </c>
      <c r="AJ93" s="56">
        <f>SUMIFS('CWO Bulan Ini'!$DA:$DA,'CWO Bulan Ini'!$DJ:$DJ,'Area-Cabang'!$B93,'CWO Bulan Ini'!$DH:$DH,'Area-Cabang'!$E93,'CWO Bulan Ini'!$CZ:$CZ,'Area-Cabang'!AJ$41)</f>
        <v>0</v>
      </c>
      <c r="AK93" s="55">
        <f>SUMIFS('CWO Bulan Ini'!$DD:$DD,'CWO Bulan Ini'!$DJ:$DJ,'Area-Cabang'!$B93,'CWO Bulan Ini'!$DH:$DH,'Area-Cabang'!$E93,'CWO Bulan Ini'!$CZ:$CZ,'Area-Cabang'!AK$41)</f>
        <v>0</v>
      </c>
      <c r="AL93" s="56">
        <f>SUMIFS('CWO Bulan Ini'!$DD:$DD,'CWO Bulan Ini'!$DJ:$DJ,'Area-Cabang'!$B93,'CWO Bulan Ini'!$DH:$DH,'Area-Cabang'!$E93,'CWO Bulan Ini'!$CZ:$CZ,'Area-Cabang'!AL$41)</f>
        <v>0</v>
      </c>
      <c r="AM93" s="56">
        <f>SUMIFS('CWO Bulan Ini'!$DD:$DD,'CWO Bulan Ini'!$DJ:$DJ,'Area-Cabang'!$B93,'CWO Bulan Ini'!$DH:$DH,'Area-Cabang'!$E93,'CWO Bulan Ini'!$CZ:$CZ,'Area-Cabang'!AM$41)</f>
        <v>0</v>
      </c>
      <c r="AN93" s="56">
        <f>SUMIFS('CWO Bulan Ini'!$DD:$DD,'CWO Bulan Ini'!$DJ:$DJ,'Area-Cabang'!$B93,'CWO Bulan Ini'!$DH:$DH,'Area-Cabang'!$E93,'CWO Bulan Ini'!$CZ:$CZ,'Area-Cabang'!AN$41)</f>
        <v>0</v>
      </c>
      <c r="AO93" s="56">
        <f>SUMIFS('CWO Bulan Ini'!$DD:$DD,'CWO Bulan Ini'!$DJ:$DJ,'Area-Cabang'!$B93,'CWO Bulan Ini'!$DH:$DH,'Area-Cabang'!$E93,'CWO Bulan Ini'!$CZ:$CZ,'Area-Cabang'!AO$41)</f>
        <v>0</v>
      </c>
      <c r="AP93" s="56">
        <f>SUMIFS('CWO Bulan Ini'!$DD:$DD,'CWO Bulan Ini'!$DJ:$DJ,'Area-Cabang'!$B93,'CWO Bulan Ini'!$DH:$DH,'Area-Cabang'!$E93,'CWO Bulan Ini'!$CZ:$CZ,'Area-Cabang'!AP$41)</f>
        <v>0</v>
      </c>
      <c r="AQ93" s="56">
        <f>SUMIFS('CWO Bulan Ini'!$DD:$DD,'CWO Bulan Ini'!$DJ:$DJ,'Area-Cabang'!$B93,'CWO Bulan Ini'!$DH:$DH,'Area-Cabang'!$E93,'CWO Bulan Ini'!$CZ:$CZ,'Area-Cabang'!AQ$41)</f>
        <v>0</v>
      </c>
      <c r="AR93" s="56">
        <f>SUMIFS('CWO Bulan Ini'!$DD:$DD,'CWO Bulan Ini'!$DJ:$DJ,'Area-Cabang'!$B93,'CWO Bulan Ini'!$DH:$DH,'Area-Cabang'!$E93,'CWO Bulan Ini'!$CZ:$CZ,'Area-Cabang'!AR$41)</f>
        <v>0</v>
      </c>
      <c r="AS93" s="56">
        <f>SUMIFS('CWO Bulan Ini'!$DD:$DD,'CWO Bulan Ini'!$DJ:$DJ,'Area-Cabang'!$B93,'CWO Bulan Ini'!$DH:$DH,'Area-Cabang'!$E93,'CWO Bulan Ini'!$CZ:$CZ,'Area-Cabang'!AS$41)</f>
        <v>0</v>
      </c>
      <c r="AT93" s="56">
        <f>SUMIFS('CWO Bulan Ini'!$DD:$DD,'CWO Bulan Ini'!$DJ:$DJ,'Area-Cabang'!$B93,'CWO Bulan Ini'!$DH:$DH,'Area-Cabang'!$E93,'CWO Bulan Ini'!$CZ:$CZ,'Area-Cabang'!AT$41)</f>
        <v>0</v>
      </c>
      <c r="AU93" s="56">
        <f>SUMIFS('CWO Bulan Ini'!$DD:$DD,'CWO Bulan Ini'!$DJ:$DJ,'Area-Cabang'!$B93,'CWO Bulan Ini'!$DH:$DH,'Area-Cabang'!$E93,'CWO Bulan Ini'!$CZ:$CZ,'Area-Cabang'!AU$41)</f>
        <v>0</v>
      </c>
      <c r="AV93" s="56">
        <f>SUMIFS('CWO Bulan Ini'!$DD:$DD,'CWO Bulan Ini'!$DJ:$DJ,'Area-Cabang'!$B93,'CWO Bulan Ini'!$DH:$DH,'Area-Cabang'!$E93,'CWO Bulan Ini'!$CZ:$CZ,'Area-Cabang'!AV$41)</f>
        <v>0</v>
      </c>
      <c r="AW93" s="56">
        <f>SUMIFS('CWO Bulan Ini'!$DD:$DD,'CWO Bulan Ini'!$DJ:$DJ,'Area-Cabang'!$B93,'CWO Bulan Ini'!$DH:$DH,'Area-Cabang'!$E93,'CWO Bulan Ini'!$CZ:$CZ,'Area-Cabang'!AW$41)</f>
        <v>0</v>
      </c>
      <c r="AX93" s="56">
        <f>SUMIFS('CWO Bulan Ini'!$DD:$DD,'CWO Bulan Ini'!$DJ:$DJ,'Area-Cabang'!$B93,'CWO Bulan Ini'!$DH:$DH,'Area-Cabang'!$E93,'CWO Bulan Ini'!$CZ:$CZ,'Area-Cabang'!AX$41)</f>
        <v>0</v>
      </c>
      <c r="AY93" s="56">
        <f>SUMIFS('CWO Bulan Ini'!$DD:$DD,'CWO Bulan Ini'!$DJ:$DJ,'Area-Cabang'!$B93,'CWO Bulan Ini'!$DH:$DH,'Area-Cabang'!$E93,'CWO Bulan Ini'!$CZ:$CZ,'Area-Cabang'!AY$41)</f>
        <v>0</v>
      </c>
      <c r="AZ93" s="56">
        <f>SUMIFS('CWO Bulan Ini'!$DD:$DD,'CWO Bulan Ini'!$DJ:$DJ,'Area-Cabang'!$B93,'CWO Bulan Ini'!$DH:$DH,'Area-Cabang'!$E93,'CWO Bulan Ini'!$CZ:$CZ,'Area-Cabang'!AZ$41)</f>
        <v>0</v>
      </c>
      <c r="BA93" s="56">
        <f>SUMIFS('CWO Bulan Ini'!$DD:$DD,'CWO Bulan Ini'!$DJ:$DJ,'Area-Cabang'!$B93,'CWO Bulan Ini'!$DH:$DH,'Area-Cabang'!$E93,'CWO Bulan Ini'!$CZ:$CZ,'Area-Cabang'!BA$41)</f>
        <v>0</v>
      </c>
      <c r="BB93" s="56">
        <f>SUMIFS('CWO Bulan Ini'!$DD:$DD,'CWO Bulan Ini'!$DJ:$DJ,'Area-Cabang'!$B93,'CWO Bulan Ini'!$DH:$DH,'Area-Cabang'!$E93,'CWO Bulan Ini'!$CZ:$CZ,'Area-Cabang'!BB$41)</f>
        <v>0</v>
      </c>
      <c r="BC93" s="56">
        <f>SUMIFS('CWO Bulan Ini'!$DD:$DD,'CWO Bulan Ini'!$DJ:$DJ,'Area-Cabang'!$B93,'CWO Bulan Ini'!$DH:$DH,'Area-Cabang'!$E93,'CWO Bulan Ini'!$CZ:$CZ,'Area-Cabang'!BC$41)</f>
        <v>0</v>
      </c>
      <c r="BD93" s="56">
        <f>SUMIFS('CWO Bulan Ini'!$DD:$DD,'CWO Bulan Ini'!$DJ:$DJ,'Area-Cabang'!$B93,'CWO Bulan Ini'!$DH:$DH,'Area-Cabang'!$E93,'CWO Bulan Ini'!$CZ:$CZ,'Area-Cabang'!BD$41)</f>
        <v>0</v>
      </c>
      <c r="BE93" s="56">
        <f>SUMIFS('CWO Bulan Ini'!$DD:$DD,'CWO Bulan Ini'!$DJ:$DJ,'Area-Cabang'!$B93,'CWO Bulan Ini'!$DH:$DH,'Area-Cabang'!$E93,'CWO Bulan Ini'!$CZ:$CZ,'Area-Cabang'!BE$41)</f>
        <v>0</v>
      </c>
      <c r="BF93" s="56">
        <f>SUMIFS('CWO Bulan Ini'!$DD:$DD,'CWO Bulan Ini'!$DJ:$DJ,'Area-Cabang'!$B93,'CWO Bulan Ini'!$DH:$DH,'Area-Cabang'!$E93,'CWO Bulan Ini'!$CZ:$CZ,'Area-Cabang'!BF$41)</f>
        <v>0</v>
      </c>
      <c r="BG93" s="56">
        <f>SUMIFS('CWO Bulan Ini'!$DD:$DD,'CWO Bulan Ini'!$DJ:$DJ,'Area-Cabang'!$B93,'CWO Bulan Ini'!$DH:$DH,'Area-Cabang'!$E93,'CWO Bulan Ini'!$CZ:$CZ,'Area-Cabang'!BG$41)</f>
        <v>0</v>
      </c>
      <c r="BH93" s="56">
        <f>SUMIFS('CWO Bulan Ini'!$DD:$DD,'CWO Bulan Ini'!$DJ:$DJ,'Area-Cabang'!$B93,'CWO Bulan Ini'!$DH:$DH,'Area-Cabang'!$E93,'CWO Bulan Ini'!$CZ:$CZ,'Area-Cabang'!BH$41)</f>
        <v>0</v>
      </c>
      <c r="BI93" s="56">
        <f>SUMIFS('CWO Bulan Ini'!$DD:$DD,'CWO Bulan Ini'!$DJ:$DJ,'Area-Cabang'!$B93,'CWO Bulan Ini'!$DH:$DH,'Area-Cabang'!$E93,'CWO Bulan Ini'!$CZ:$CZ,'Area-Cabang'!BI$41)</f>
        <v>0</v>
      </c>
      <c r="BJ93" s="56">
        <f>SUMIFS('CWO Bulan Ini'!$DD:$DD,'CWO Bulan Ini'!$DJ:$DJ,'Area-Cabang'!$B93,'CWO Bulan Ini'!$DH:$DH,'Area-Cabang'!$E93,'CWO Bulan Ini'!$CZ:$CZ,'Area-Cabang'!BJ$41)</f>
        <v>0</v>
      </c>
      <c r="BK93" s="56">
        <f>SUMIFS('CWO Bulan Ini'!$DD:$DD,'CWO Bulan Ini'!$DJ:$DJ,'Area-Cabang'!$B93,'CWO Bulan Ini'!$DH:$DH,'Area-Cabang'!$E93,'CWO Bulan Ini'!$CZ:$CZ,'Area-Cabang'!BK$41)</f>
        <v>0</v>
      </c>
      <c r="BL93" s="56">
        <f>SUMIFS('CWO Bulan Ini'!$DD:$DD,'CWO Bulan Ini'!$DJ:$DJ,'Area-Cabang'!$B93,'CWO Bulan Ini'!$DH:$DH,'Area-Cabang'!$E93,'CWO Bulan Ini'!$CZ:$CZ,'Area-Cabang'!BL$41)</f>
        <v>0</v>
      </c>
      <c r="BM93" s="56">
        <f>SUMIFS('CWO Bulan Ini'!$DD:$DD,'CWO Bulan Ini'!$DJ:$DJ,'Area-Cabang'!$B93,'CWO Bulan Ini'!$DH:$DH,'Area-Cabang'!$E93,'CWO Bulan Ini'!$CZ:$CZ,'Area-Cabang'!BM$41)</f>
        <v>0</v>
      </c>
      <c r="BN93" s="56">
        <f>SUMIFS('CWO Bulan Ini'!$DD:$DD,'CWO Bulan Ini'!$DJ:$DJ,'Area-Cabang'!$B93,'CWO Bulan Ini'!$DH:$DH,'Area-Cabang'!$E93,'CWO Bulan Ini'!$CZ:$CZ,'Area-Cabang'!BN$41)</f>
        <v>0</v>
      </c>
      <c r="BO93" s="57">
        <f>SUMIFS('CWO Bulan Ini'!$DD:$DD,'CWO Bulan Ini'!$DJ:$DJ,'Area-Cabang'!$B93,'CWO Bulan Ini'!$DH:$DH,'Area-Cabang'!$E93,'CWO Bulan Ini'!$CZ:$CZ,'Area-Cabang'!BO$41)</f>
        <v>0</v>
      </c>
      <c r="BP93" s="55">
        <f>SUMIFS('CWO Bulan Ini'!$DC:$DC,'CWO Bulan Ini'!$DJ:$DJ,'Area-Cabang'!$B93,'CWO Bulan Ini'!$DH:$DH,'Area-Cabang'!$E93,'CWO Bulan Ini'!$CZ:$CZ,'Area-Cabang'!BP$41)</f>
        <v>0</v>
      </c>
      <c r="BQ93" s="56">
        <f>SUMIFS('CWO Bulan Ini'!$DC:$DC,'CWO Bulan Ini'!$DJ:$DJ,'Area-Cabang'!$B93,'CWO Bulan Ini'!$DH:$DH,'Area-Cabang'!$E93,'CWO Bulan Ini'!$CZ:$CZ,'Area-Cabang'!BQ$41)</f>
        <v>0</v>
      </c>
      <c r="BR93" s="56">
        <f>SUMIFS('CWO Bulan Ini'!$DC:$DC,'CWO Bulan Ini'!$DJ:$DJ,'Area-Cabang'!$B93,'CWO Bulan Ini'!$DH:$DH,'Area-Cabang'!$E93,'CWO Bulan Ini'!$CZ:$CZ,'Area-Cabang'!BR$41)</f>
        <v>0</v>
      </c>
      <c r="BS93" s="56">
        <f>SUMIFS('CWO Bulan Ini'!$DC:$DC,'CWO Bulan Ini'!$DJ:$DJ,'Area-Cabang'!$B93,'CWO Bulan Ini'!$DH:$DH,'Area-Cabang'!$E93,'CWO Bulan Ini'!$CZ:$CZ,'Area-Cabang'!BS$41)</f>
        <v>0</v>
      </c>
      <c r="BT93" s="56">
        <f>SUMIFS('CWO Bulan Ini'!$DC:$DC,'CWO Bulan Ini'!$DJ:$DJ,'Area-Cabang'!$B93,'CWO Bulan Ini'!$DH:$DH,'Area-Cabang'!$E93,'CWO Bulan Ini'!$CZ:$CZ,'Area-Cabang'!BT$41)</f>
        <v>0</v>
      </c>
      <c r="BU93" s="56">
        <f>SUMIFS('CWO Bulan Ini'!$DC:$DC,'CWO Bulan Ini'!$DJ:$DJ,'Area-Cabang'!$B93,'CWO Bulan Ini'!$DH:$DH,'Area-Cabang'!$E93,'CWO Bulan Ini'!$CZ:$CZ,'Area-Cabang'!BU$41)</f>
        <v>0</v>
      </c>
      <c r="BV93" s="56">
        <f>SUMIFS('CWO Bulan Ini'!$DC:$DC,'CWO Bulan Ini'!$DJ:$DJ,'Area-Cabang'!$B93,'CWO Bulan Ini'!$DH:$DH,'Area-Cabang'!$E93,'CWO Bulan Ini'!$CZ:$CZ,'Area-Cabang'!BV$41)</f>
        <v>0</v>
      </c>
      <c r="BW93" s="56">
        <f>SUMIFS('CWO Bulan Ini'!$DC:$DC,'CWO Bulan Ini'!$DJ:$DJ,'Area-Cabang'!$B93,'CWO Bulan Ini'!$DH:$DH,'Area-Cabang'!$E93,'CWO Bulan Ini'!$CZ:$CZ,'Area-Cabang'!BW$41)</f>
        <v>0</v>
      </c>
      <c r="BX93" s="56">
        <f>SUMIFS('CWO Bulan Ini'!$DC:$DC,'CWO Bulan Ini'!$DJ:$DJ,'Area-Cabang'!$B93,'CWO Bulan Ini'!$DH:$DH,'Area-Cabang'!$E93,'CWO Bulan Ini'!$CZ:$CZ,'Area-Cabang'!BX$41)</f>
        <v>0</v>
      </c>
      <c r="BY93" s="56">
        <f>SUMIFS('CWO Bulan Ini'!$DC:$DC,'CWO Bulan Ini'!$DJ:$DJ,'Area-Cabang'!$B93,'CWO Bulan Ini'!$DH:$DH,'Area-Cabang'!$E93,'CWO Bulan Ini'!$CZ:$CZ,'Area-Cabang'!BY$41)</f>
        <v>0</v>
      </c>
      <c r="BZ93" s="56">
        <f>SUMIFS('CWO Bulan Ini'!$DC:$DC,'CWO Bulan Ini'!$DJ:$DJ,'Area-Cabang'!$B93,'CWO Bulan Ini'!$DH:$DH,'Area-Cabang'!$E93,'CWO Bulan Ini'!$CZ:$CZ,'Area-Cabang'!BZ$41)</f>
        <v>0</v>
      </c>
      <c r="CA93" s="56">
        <f>SUMIFS('CWO Bulan Ini'!$DC:$DC,'CWO Bulan Ini'!$DJ:$DJ,'Area-Cabang'!$B93,'CWO Bulan Ini'!$DH:$DH,'Area-Cabang'!$E93,'CWO Bulan Ini'!$CZ:$CZ,'Area-Cabang'!CA$41)</f>
        <v>0</v>
      </c>
      <c r="CB93" s="56">
        <f>SUMIFS('CWO Bulan Ini'!$DC:$DC,'CWO Bulan Ini'!$DJ:$DJ,'Area-Cabang'!$B93,'CWO Bulan Ini'!$DH:$DH,'Area-Cabang'!$E93,'CWO Bulan Ini'!$CZ:$CZ,'Area-Cabang'!CB$41)</f>
        <v>0</v>
      </c>
      <c r="CC93" s="56">
        <f>SUMIFS('CWO Bulan Ini'!$DC:$DC,'CWO Bulan Ini'!$DJ:$DJ,'Area-Cabang'!$B93,'CWO Bulan Ini'!$DH:$DH,'Area-Cabang'!$E93,'CWO Bulan Ini'!$CZ:$CZ,'Area-Cabang'!CC$41)</f>
        <v>0</v>
      </c>
      <c r="CD93" s="56">
        <f>SUMIFS('CWO Bulan Ini'!$DC:$DC,'CWO Bulan Ini'!$DJ:$DJ,'Area-Cabang'!$B93,'CWO Bulan Ini'!$DH:$DH,'Area-Cabang'!$E93,'CWO Bulan Ini'!$CZ:$CZ,'Area-Cabang'!CD$41)</f>
        <v>0</v>
      </c>
      <c r="CE93" s="56">
        <f>SUMIFS('CWO Bulan Ini'!$DC:$DC,'CWO Bulan Ini'!$DJ:$DJ,'Area-Cabang'!$B93,'CWO Bulan Ini'!$DH:$DH,'Area-Cabang'!$E93,'CWO Bulan Ini'!$CZ:$CZ,'Area-Cabang'!CE$41)</f>
        <v>0</v>
      </c>
      <c r="CF93" s="56">
        <f>SUMIFS('CWO Bulan Ini'!$DC:$DC,'CWO Bulan Ini'!$DJ:$DJ,'Area-Cabang'!$B93,'CWO Bulan Ini'!$DH:$DH,'Area-Cabang'!$E93,'CWO Bulan Ini'!$CZ:$CZ,'Area-Cabang'!CF$41)</f>
        <v>0</v>
      </c>
      <c r="CG93" s="56">
        <f>SUMIFS('CWO Bulan Ini'!$DC:$DC,'CWO Bulan Ini'!$DJ:$DJ,'Area-Cabang'!$B93,'CWO Bulan Ini'!$DH:$DH,'Area-Cabang'!$E93,'CWO Bulan Ini'!$CZ:$CZ,'Area-Cabang'!CG$41)</f>
        <v>0</v>
      </c>
      <c r="CH93" s="56">
        <f>SUMIFS('CWO Bulan Ini'!$DC:$DC,'CWO Bulan Ini'!$DJ:$DJ,'Area-Cabang'!$B93,'CWO Bulan Ini'!$DH:$DH,'Area-Cabang'!$E93,'CWO Bulan Ini'!$CZ:$CZ,'Area-Cabang'!CH$41)</f>
        <v>0</v>
      </c>
      <c r="CI93" s="56">
        <f>SUMIFS('CWO Bulan Ini'!$DC:$DC,'CWO Bulan Ini'!$DJ:$DJ,'Area-Cabang'!$B93,'CWO Bulan Ini'!$DH:$DH,'Area-Cabang'!$E93,'CWO Bulan Ini'!$CZ:$CZ,'Area-Cabang'!CI$41)</f>
        <v>0</v>
      </c>
      <c r="CJ93" s="56">
        <f>SUMIFS('CWO Bulan Ini'!$DC:$DC,'CWO Bulan Ini'!$DJ:$DJ,'Area-Cabang'!$B93,'CWO Bulan Ini'!$DH:$DH,'Area-Cabang'!$E93,'CWO Bulan Ini'!$CZ:$CZ,'Area-Cabang'!CJ$41)</f>
        <v>0</v>
      </c>
      <c r="CK93" s="56">
        <f>SUMIFS('CWO Bulan Ini'!$DC:$DC,'CWO Bulan Ini'!$DJ:$DJ,'Area-Cabang'!$B93,'CWO Bulan Ini'!$DH:$DH,'Area-Cabang'!$E93,'CWO Bulan Ini'!$CZ:$CZ,'Area-Cabang'!CK$41)</f>
        <v>0</v>
      </c>
      <c r="CL93" s="56">
        <f>SUMIFS('CWO Bulan Ini'!$DC:$DC,'CWO Bulan Ini'!$DJ:$DJ,'Area-Cabang'!$B93,'CWO Bulan Ini'!$DH:$DH,'Area-Cabang'!$E93,'CWO Bulan Ini'!$CZ:$CZ,'Area-Cabang'!CL$41)</f>
        <v>0</v>
      </c>
      <c r="CM93" s="56">
        <f>SUMIFS('CWO Bulan Ini'!$DC:$DC,'CWO Bulan Ini'!$DJ:$DJ,'Area-Cabang'!$B93,'CWO Bulan Ini'!$DH:$DH,'Area-Cabang'!$E93,'CWO Bulan Ini'!$CZ:$CZ,'Area-Cabang'!CM$41)</f>
        <v>0</v>
      </c>
      <c r="CN93" s="56">
        <f>SUMIFS('CWO Bulan Ini'!$DC:$DC,'CWO Bulan Ini'!$DJ:$DJ,'Area-Cabang'!$B93,'CWO Bulan Ini'!$DH:$DH,'Area-Cabang'!$E93,'CWO Bulan Ini'!$CZ:$CZ,'Area-Cabang'!CN$41)</f>
        <v>0</v>
      </c>
      <c r="CO93" s="56">
        <f>SUMIFS('CWO Bulan Ini'!$DC:$DC,'CWO Bulan Ini'!$DJ:$DJ,'Area-Cabang'!$B93,'CWO Bulan Ini'!$DH:$DH,'Area-Cabang'!$E93,'CWO Bulan Ini'!$CZ:$CZ,'Area-Cabang'!CO$41)</f>
        <v>0</v>
      </c>
      <c r="CP93" s="56">
        <f>SUMIFS('CWO Bulan Ini'!$DC:$DC,'CWO Bulan Ini'!$DJ:$DJ,'Area-Cabang'!$B93,'CWO Bulan Ini'!$DH:$DH,'Area-Cabang'!$E93,'CWO Bulan Ini'!$CZ:$CZ,'Area-Cabang'!CP$41)</f>
        <v>0</v>
      </c>
      <c r="CQ93" s="56">
        <f>SUMIFS('CWO Bulan Ini'!$DC:$DC,'CWO Bulan Ini'!$DJ:$DJ,'Area-Cabang'!$B93,'CWO Bulan Ini'!$DH:$DH,'Area-Cabang'!$E93,'CWO Bulan Ini'!$CZ:$CZ,'Area-Cabang'!CQ$41)</f>
        <v>0</v>
      </c>
      <c r="CR93" s="56">
        <f>SUMIFS('CWO Bulan Ini'!$DC:$DC,'CWO Bulan Ini'!$DJ:$DJ,'Area-Cabang'!$B93,'CWO Bulan Ini'!$DH:$DH,'Area-Cabang'!$E93,'CWO Bulan Ini'!$CZ:$CZ,'Area-Cabang'!CR$41)</f>
        <v>0</v>
      </c>
      <c r="CS93" s="56">
        <f>SUMIFS('CWO Bulan Ini'!$DC:$DC,'CWO Bulan Ini'!$DJ:$DJ,'Area-Cabang'!$B93,'CWO Bulan Ini'!$DH:$DH,'Area-Cabang'!$E93,'CWO Bulan Ini'!$CZ:$CZ,'Area-Cabang'!CS$41)</f>
        <v>0</v>
      </c>
      <c r="CT93" s="57">
        <f>SUMIFS('CWO Bulan Ini'!$DC:$DC,'CWO Bulan Ini'!$DJ:$DJ,'Area-Cabang'!$B93,'CWO Bulan Ini'!$DH:$DH,'Area-Cabang'!$E93,'CWO Bulan Ini'!$CZ:$CZ,'Area-Cabang'!CT$41)</f>
        <v>0</v>
      </c>
      <c r="CV93" s="97">
        <f t="shared" ref="CV93:CV94" si="2732">SUM(F93:AJ93)</f>
        <v>0</v>
      </c>
      <c r="CW93" s="98">
        <f t="shared" ref="CW93:CW94" si="2733">SUM(AK93:BO93)</f>
        <v>0</v>
      </c>
      <c r="CX93" s="98">
        <f t="shared" ref="CX93:CX94" si="2734">SUM(BP93:CT93)</f>
        <v>0</v>
      </c>
      <c r="CY93" s="98">
        <f t="shared" ref="CY93:CY94" si="2735">CV93-CW93-CX93</f>
        <v>0</v>
      </c>
      <c r="CZ93" s="105">
        <f t="shared" ref="CZ93:CZ94" si="2736">CY93+CW93</f>
        <v>0</v>
      </c>
    </row>
    <row r="94" spans="1:104" ht="15" customHeight="1" x14ac:dyDescent="0.25">
      <c r="A94" s="58" t="s">
        <v>469</v>
      </c>
      <c r="B94" s="58" t="s">
        <v>157</v>
      </c>
      <c r="C94" s="250"/>
      <c r="D94" s="244"/>
      <c r="E94" s="40" t="s">
        <v>349</v>
      </c>
      <c r="F94" s="41">
        <f>SUMIFS('CWO Bulan Ini'!$DA:$DA,'CWO Bulan Ini'!$DJ:$DJ,'Area-Cabang'!$B94,'CWO Bulan Ini'!$DH:$DH,'Area-Cabang'!$E94,'CWO Bulan Ini'!$CZ:$CZ,'Area-Cabang'!F$41)</f>
        <v>0</v>
      </c>
      <c r="G94" s="42">
        <f>SUMIFS('CWO Bulan Ini'!$DA:$DA,'CWO Bulan Ini'!$DJ:$DJ,'Area-Cabang'!$B94,'CWO Bulan Ini'!$DH:$DH,'Area-Cabang'!$E94,'CWO Bulan Ini'!$CZ:$CZ,'Area-Cabang'!G$41)</f>
        <v>0</v>
      </c>
      <c r="H94" s="42">
        <f>SUMIFS('CWO Bulan Ini'!$DA:$DA,'CWO Bulan Ini'!$DJ:$DJ,'Area-Cabang'!$B94,'CWO Bulan Ini'!$DH:$DH,'Area-Cabang'!$E94,'CWO Bulan Ini'!$CZ:$CZ,'Area-Cabang'!H$41)</f>
        <v>0</v>
      </c>
      <c r="I94" s="42">
        <f>SUMIFS('CWO Bulan Ini'!$DA:$DA,'CWO Bulan Ini'!$DJ:$DJ,'Area-Cabang'!$B94,'CWO Bulan Ini'!$DH:$DH,'Area-Cabang'!$E94,'CWO Bulan Ini'!$CZ:$CZ,'Area-Cabang'!I$41)</f>
        <v>0</v>
      </c>
      <c r="J94" s="42">
        <f>SUMIFS('CWO Bulan Ini'!$DA:$DA,'CWO Bulan Ini'!$DJ:$DJ,'Area-Cabang'!$B94,'CWO Bulan Ini'!$DH:$DH,'Area-Cabang'!$E94,'CWO Bulan Ini'!$CZ:$CZ,'Area-Cabang'!J$41)</f>
        <v>0</v>
      </c>
      <c r="K94" s="42">
        <f>SUMIFS('CWO Bulan Ini'!$DA:$DA,'CWO Bulan Ini'!$DJ:$DJ,'Area-Cabang'!$B94,'CWO Bulan Ini'!$DH:$DH,'Area-Cabang'!$E94,'CWO Bulan Ini'!$CZ:$CZ,'Area-Cabang'!K$41)</f>
        <v>0</v>
      </c>
      <c r="L94" s="42">
        <f>SUMIFS('CWO Bulan Ini'!$DA:$DA,'CWO Bulan Ini'!$DJ:$DJ,'Area-Cabang'!$B94,'CWO Bulan Ini'!$DH:$DH,'Area-Cabang'!$E94,'CWO Bulan Ini'!$CZ:$CZ,'Area-Cabang'!L$41)</f>
        <v>0</v>
      </c>
      <c r="M94" s="42">
        <f>SUMIFS('CWO Bulan Ini'!$DA:$DA,'CWO Bulan Ini'!$DJ:$DJ,'Area-Cabang'!$B94,'CWO Bulan Ini'!$DH:$DH,'Area-Cabang'!$E94,'CWO Bulan Ini'!$CZ:$CZ,'Area-Cabang'!M$41)</f>
        <v>0</v>
      </c>
      <c r="N94" s="42">
        <f>SUMIFS('CWO Bulan Ini'!$DA:$DA,'CWO Bulan Ini'!$DJ:$DJ,'Area-Cabang'!$B94,'CWO Bulan Ini'!$DH:$DH,'Area-Cabang'!$E94,'CWO Bulan Ini'!$CZ:$CZ,'Area-Cabang'!N$41)</f>
        <v>0</v>
      </c>
      <c r="O94" s="42">
        <f>SUMIFS('CWO Bulan Ini'!$DA:$DA,'CWO Bulan Ini'!$DJ:$DJ,'Area-Cabang'!$B94,'CWO Bulan Ini'!$DH:$DH,'Area-Cabang'!$E94,'CWO Bulan Ini'!$CZ:$CZ,'Area-Cabang'!O$41)</f>
        <v>1.1973179599999999</v>
      </c>
      <c r="P94" s="42">
        <f>SUMIFS('CWO Bulan Ini'!$DA:$DA,'CWO Bulan Ini'!$DJ:$DJ,'Area-Cabang'!$B94,'CWO Bulan Ini'!$DH:$DH,'Area-Cabang'!$E94,'CWO Bulan Ini'!$CZ:$CZ,'Area-Cabang'!P$41)</f>
        <v>0</v>
      </c>
      <c r="Q94" s="42">
        <f>SUMIFS('CWO Bulan Ini'!$DA:$DA,'CWO Bulan Ini'!$DJ:$DJ,'Area-Cabang'!$B94,'CWO Bulan Ini'!$DH:$DH,'Area-Cabang'!$E94,'CWO Bulan Ini'!$CZ:$CZ,'Area-Cabang'!Q$41)</f>
        <v>0</v>
      </c>
      <c r="R94" s="42">
        <f>SUMIFS('CWO Bulan Ini'!$DA:$DA,'CWO Bulan Ini'!$DJ:$DJ,'Area-Cabang'!$B94,'CWO Bulan Ini'!$DH:$DH,'Area-Cabang'!$E94,'CWO Bulan Ini'!$CZ:$CZ,'Area-Cabang'!R$41)</f>
        <v>0</v>
      </c>
      <c r="S94" s="42">
        <f>SUMIFS('CWO Bulan Ini'!$DA:$DA,'CWO Bulan Ini'!$DJ:$DJ,'Area-Cabang'!$B94,'CWO Bulan Ini'!$DH:$DH,'Area-Cabang'!$E94,'CWO Bulan Ini'!$CZ:$CZ,'Area-Cabang'!S$41)</f>
        <v>0</v>
      </c>
      <c r="T94" s="42">
        <f>SUMIFS('CWO Bulan Ini'!$DA:$DA,'CWO Bulan Ini'!$DJ:$DJ,'Area-Cabang'!$B94,'CWO Bulan Ini'!$DH:$DH,'Area-Cabang'!$E94,'CWO Bulan Ini'!$CZ:$CZ,'Area-Cabang'!T$41)</f>
        <v>0</v>
      </c>
      <c r="U94" s="42">
        <f>SUMIFS('CWO Bulan Ini'!$DA:$DA,'CWO Bulan Ini'!$DJ:$DJ,'Area-Cabang'!$B94,'CWO Bulan Ini'!$DH:$DH,'Area-Cabang'!$E94,'CWO Bulan Ini'!$CZ:$CZ,'Area-Cabang'!U$41)</f>
        <v>0</v>
      </c>
      <c r="V94" s="42">
        <f>SUMIFS('CWO Bulan Ini'!$DA:$DA,'CWO Bulan Ini'!$DJ:$DJ,'Area-Cabang'!$B94,'CWO Bulan Ini'!$DH:$DH,'Area-Cabang'!$E94,'CWO Bulan Ini'!$CZ:$CZ,'Area-Cabang'!V$41)</f>
        <v>0</v>
      </c>
      <c r="W94" s="42">
        <f>SUMIFS('CWO Bulan Ini'!$DA:$DA,'CWO Bulan Ini'!$DJ:$DJ,'Area-Cabang'!$B94,'CWO Bulan Ini'!$DH:$DH,'Area-Cabang'!$E94,'CWO Bulan Ini'!$CZ:$CZ,'Area-Cabang'!W$41)</f>
        <v>0</v>
      </c>
      <c r="X94" s="42">
        <f>SUMIFS('CWO Bulan Ini'!$DA:$DA,'CWO Bulan Ini'!$DJ:$DJ,'Area-Cabang'!$B94,'CWO Bulan Ini'!$DH:$DH,'Area-Cabang'!$E94,'CWO Bulan Ini'!$CZ:$CZ,'Area-Cabang'!X$41)</f>
        <v>0</v>
      </c>
      <c r="Y94" s="42">
        <f>SUMIFS('CWO Bulan Ini'!$DA:$DA,'CWO Bulan Ini'!$DJ:$DJ,'Area-Cabang'!$B94,'CWO Bulan Ini'!$DH:$DH,'Area-Cabang'!$E94,'CWO Bulan Ini'!$CZ:$CZ,'Area-Cabang'!Y$41)</f>
        <v>0</v>
      </c>
      <c r="Z94" s="42">
        <f>SUMIFS('CWO Bulan Ini'!$DA:$DA,'CWO Bulan Ini'!$DJ:$DJ,'Area-Cabang'!$B94,'CWO Bulan Ini'!$DH:$DH,'Area-Cabang'!$E94,'CWO Bulan Ini'!$CZ:$CZ,'Area-Cabang'!Z$41)</f>
        <v>0</v>
      </c>
      <c r="AA94" s="42">
        <f>SUMIFS('CWO Bulan Ini'!$DA:$DA,'CWO Bulan Ini'!$DJ:$DJ,'Area-Cabang'!$B94,'CWO Bulan Ini'!$DH:$DH,'Area-Cabang'!$E94,'CWO Bulan Ini'!$CZ:$CZ,'Area-Cabang'!AA$41)</f>
        <v>0</v>
      </c>
      <c r="AB94" s="42">
        <f>SUMIFS('CWO Bulan Ini'!$DA:$DA,'CWO Bulan Ini'!$DJ:$DJ,'Area-Cabang'!$B94,'CWO Bulan Ini'!$DH:$DH,'Area-Cabang'!$E94,'CWO Bulan Ini'!$CZ:$CZ,'Area-Cabang'!AB$41)</f>
        <v>0</v>
      </c>
      <c r="AC94" s="42">
        <f>SUMIFS('CWO Bulan Ini'!$DA:$DA,'CWO Bulan Ini'!$DJ:$DJ,'Area-Cabang'!$B94,'CWO Bulan Ini'!$DH:$DH,'Area-Cabang'!$E94,'CWO Bulan Ini'!$CZ:$CZ,'Area-Cabang'!AC$41)</f>
        <v>0</v>
      </c>
      <c r="AD94" s="42">
        <f>SUMIFS('CWO Bulan Ini'!$DA:$DA,'CWO Bulan Ini'!$DJ:$DJ,'Area-Cabang'!$B94,'CWO Bulan Ini'!$DH:$DH,'Area-Cabang'!$E94,'CWO Bulan Ini'!$CZ:$CZ,'Area-Cabang'!AD$41)</f>
        <v>0</v>
      </c>
      <c r="AE94" s="42">
        <f>SUMIFS('CWO Bulan Ini'!$DA:$DA,'CWO Bulan Ini'!$DJ:$DJ,'Area-Cabang'!$B94,'CWO Bulan Ini'!$DH:$DH,'Area-Cabang'!$E94,'CWO Bulan Ini'!$CZ:$CZ,'Area-Cabang'!AE$41)</f>
        <v>0</v>
      </c>
      <c r="AF94" s="42">
        <f>SUMIFS('CWO Bulan Ini'!$DA:$DA,'CWO Bulan Ini'!$DJ:$DJ,'Area-Cabang'!$B94,'CWO Bulan Ini'!$DH:$DH,'Area-Cabang'!$E94,'CWO Bulan Ini'!$CZ:$CZ,'Area-Cabang'!AF$41)</f>
        <v>0</v>
      </c>
      <c r="AG94" s="42">
        <f>SUMIFS('CWO Bulan Ini'!$DA:$DA,'CWO Bulan Ini'!$DJ:$DJ,'Area-Cabang'!$B94,'CWO Bulan Ini'!$DH:$DH,'Area-Cabang'!$E94,'CWO Bulan Ini'!$CZ:$CZ,'Area-Cabang'!AG$41)</f>
        <v>0</v>
      </c>
      <c r="AH94" s="42">
        <f>SUMIFS('CWO Bulan Ini'!$DA:$DA,'CWO Bulan Ini'!$DJ:$DJ,'Area-Cabang'!$B94,'CWO Bulan Ini'!$DH:$DH,'Area-Cabang'!$E94,'CWO Bulan Ini'!$CZ:$CZ,'Area-Cabang'!AH$41)</f>
        <v>0</v>
      </c>
      <c r="AI94" s="42">
        <f>SUMIFS('CWO Bulan Ini'!$DA:$DA,'CWO Bulan Ini'!$DJ:$DJ,'Area-Cabang'!$B94,'CWO Bulan Ini'!$DH:$DH,'Area-Cabang'!$E94,'CWO Bulan Ini'!$CZ:$CZ,'Area-Cabang'!AI$41)</f>
        <v>0</v>
      </c>
      <c r="AJ94" s="42">
        <f>SUMIFS('CWO Bulan Ini'!$DA:$DA,'CWO Bulan Ini'!$DJ:$DJ,'Area-Cabang'!$B94,'CWO Bulan Ini'!$DH:$DH,'Area-Cabang'!$E94,'CWO Bulan Ini'!$CZ:$CZ,'Area-Cabang'!AJ$41)</f>
        <v>0</v>
      </c>
      <c r="AK94" s="41">
        <f>SUMIFS('CWO Bulan Ini'!$DD:$DD,'CWO Bulan Ini'!$DJ:$DJ,'Area-Cabang'!$B94,'CWO Bulan Ini'!$DH:$DH,'Area-Cabang'!$E94,'CWO Bulan Ini'!$CZ:$CZ,'Area-Cabang'!AK$41)</f>
        <v>0</v>
      </c>
      <c r="AL94" s="42">
        <f>SUMIFS('CWO Bulan Ini'!$DD:$DD,'CWO Bulan Ini'!$DJ:$DJ,'Area-Cabang'!$B94,'CWO Bulan Ini'!$DH:$DH,'Area-Cabang'!$E94,'CWO Bulan Ini'!$CZ:$CZ,'Area-Cabang'!AL$41)</f>
        <v>0</v>
      </c>
      <c r="AM94" s="42">
        <f>SUMIFS('CWO Bulan Ini'!$DD:$DD,'CWO Bulan Ini'!$DJ:$DJ,'Area-Cabang'!$B94,'CWO Bulan Ini'!$DH:$DH,'Area-Cabang'!$E94,'CWO Bulan Ini'!$CZ:$CZ,'Area-Cabang'!AM$41)</f>
        <v>0</v>
      </c>
      <c r="AN94" s="42">
        <f>SUMIFS('CWO Bulan Ini'!$DD:$DD,'CWO Bulan Ini'!$DJ:$DJ,'Area-Cabang'!$B94,'CWO Bulan Ini'!$DH:$DH,'Area-Cabang'!$E94,'CWO Bulan Ini'!$CZ:$CZ,'Area-Cabang'!AN$41)</f>
        <v>0</v>
      </c>
      <c r="AO94" s="42">
        <f>SUMIFS('CWO Bulan Ini'!$DD:$DD,'CWO Bulan Ini'!$DJ:$DJ,'Area-Cabang'!$B94,'CWO Bulan Ini'!$DH:$DH,'Area-Cabang'!$E94,'CWO Bulan Ini'!$CZ:$CZ,'Area-Cabang'!AO$41)</f>
        <v>0</v>
      </c>
      <c r="AP94" s="42">
        <f>SUMIFS('CWO Bulan Ini'!$DD:$DD,'CWO Bulan Ini'!$DJ:$DJ,'Area-Cabang'!$B94,'CWO Bulan Ini'!$DH:$DH,'Area-Cabang'!$E94,'CWO Bulan Ini'!$CZ:$CZ,'Area-Cabang'!AP$41)</f>
        <v>0</v>
      </c>
      <c r="AQ94" s="42">
        <f>SUMIFS('CWO Bulan Ini'!$DD:$DD,'CWO Bulan Ini'!$DJ:$DJ,'Area-Cabang'!$B94,'CWO Bulan Ini'!$DH:$DH,'Area-Cabang'!$E94,'CWO Bulan Ini'!$CZ:$CZ,'Area-Cabang'!AQ$41)</f>
        <v>0</v>
      </c>
      <c r="AR94" s="42">
        <f>SUMIFS('CWO Bulan Ini'!$DD:$DD,'CWO Bulan Ini'!$DJ:$DJ,'Area-Cabang'!$B94,'CWO Bulan Ini'!$DH:$DH,'Area-Cabang'!$E94,'CWO Bulan Ini'!$CZ:$CZ,'Area-Cabang'!AR$41)</f>
        <v>0</v>
      </c>
      <c r="AS94" s="42">
        <f>SUMIFS('CWO Bulan Ini'!$DD:$DD,'CWO Bulan Ini'!$DJ:$DJ,'Area-Cabang'!$B94,'CWO Bulan Ini'!$DH:$DH,'Area-Cabang'!$E94,'CWO Bulan Ini'!$CZ:$CZ,'Area-Cabang'!AS$41)</f>
        <v>0</v>
      </c>
      <c r="AT94" s="42">
        <f>SUMIFS('CWO Bulan Ini'!$DD:$DD,'CWO Bulan Ini'!$DJ:$DJ,'Area-Cabang'!$B94,'CWO Bulan Ini'!$DH:$DH,'Area-Cabang'!$E94,'CWO Bulan Ini'!$CZ:$CZ,'Area-Cabang'!AT$41)</f>
        <v>0</v>
      </c>
      <c r="AU94" s="42">
        <f>SUMIFS('CWO Bulan Ini'!$DD:$DD,'CWO Bulan Ini'!$DJ:$DJ,'Area-Cabang'!$B94,'CWO Bulan Ini'!$DH:$DH,'Area-Cabang'!$E94,'CWO Bulan Ini'!$CZ:$CZ,'Area-Cabang'!AU$41)</f>
        <v>0</v>
      </c>
      <c r="AV94" s="42">
        <f>SUMIFS('CWO Bulan Ini'!$DD:$DD,'CWO Bulan Ini'!$DJ:$DJ,'Area-Cabang'!$B94,'CWO Bulan Ini'!$DH:$DH,'Area-Cabang'!$E94,'CWO Bulan Ini'!$CZ:$CZ,'Area-Cabang'!AV$41)</f>
        <v>0</v>
      </c>
      <c r="AW94" s="42">
        <f>SUMIFS('CWO Bulan Ini'!$DD:$DD,'CWO Bulan Ini'!$DJ:$DJ,'Area-Cabang'!$B94,'CWO Bulan Ini'!$DH:$DH,'Area-Cabang'!$E94,'CWO Bulan Ini'!$CZ:$CZ,'Area-Cabang'!AW$41)</f>
        <v>0</v>
      </c>
      <c r="AX94" s="42">
        <f>SUMIFS('CWO Bulan Ini'!$DD:$DD,'CWO Bulan Ini'!$DJ:$DJ,'Area-Cabang'!$B94,'CWO Bulan Ini'!$DH:$DH,'Area-Cabang'!$E94,'CWO Bulan Ini'!$CZ:$CZ,'Area-Cabang'!AX$41)</f>
        <v>0</v>
      </c>
      <c r="AY94" s="42">
        <f>SUMIFS('CWO Bulan Ini'!$DD:$DD,'CWO Bulan Ini'!$DJ:$DJ,'Area-Cabang'!$B94,'CWO Bulan Ini'!$DH:$DH,'Area-Cabang'!$E94,'CWO Bulan Ini'!$CZ:$CZ,'Area-Cabang'!AY$41)</f>
        <v>0</v>
      </c>
      <c r="AZ94" s="42">
        <f>SUMIFS('CWO Bulan Ini'!$DD:$DD,'CWO Bulan Ini'!$DJ:$DJ,'Area-Cabang'!$B94,'CWO Bulan Ini'!$DH:$DH,'Area-Cabang'!$E94,'CWO Bulan Ini'!$CZ:$CZ,'Area-Cabang'!AZ$41)</f>
        <v>0</v>
      </c>
      <c r="BA94" s="42">
        <f>SUMIFS('CWO Bulan Ini'!$DD:$DD,'CWO Bulan Ini'!$DJ:$DJ,'Area-Cabang'!$B94,'CWO Bulan Ini'!$DH:$DH,'Area-Cabang'!$E94,'CWO Bulan Ini'!$CZ:$CZ,'Area-Cabang'!BA$41)</f>
        <v>0</v>
      </c>
      <c r="BB94" s="42">
        <f>SUMIFS('CWO Bulan Ini'!$DD:$DD,'CWO Bulan Ini'!$DJ:$DJ,'Area-Cabang'!$B94,'CWO Bulan Ini'!$DH:$DH,'Area-Cabang'!$E94,'CWO Bulan Ini'!$CZ:$CZ,'Area-Cabang'!BB$41)</f>
        <v>0</v>
      </c>
      <c r="BC94" s="42">
        <f>SUMIFS('CWO Bulan Ini'!$DD:$DD,'CWO Bulan Ini'!$DJ:$DJ,'Area-Cabang'!$B94,'CWO Bulan Ini'!$DH:$DH,'Area-Cabang'!$E94,'CWO Bulan Ini'!$CZ:$CZ,'Area-Cabang'!BC$41)</f>
        <v>0</v>
      </c>
      <c r="BD94" s="42">
        <f>SUMIFS('CWO Bulan Ini'!$DD:$DD,'CWO Bulan Ini'!$DJ:$DJ,'Area-Cabang'!$B94,'CWO Bulan Ini'!$DH:$DH,'Area-Cabang'!$E94,'CWO Bulan Ini'!$CZ:$CZ,'Area-Cabang'!BD$41)</f>
        <v>0</v>
      </c>
      <c r="BE94" s="42">
        <f>SUMIFS('CWO Bulan Ini'!$DD:$DD,'CWO Bulan Ini'!$DJ:$DJ,'Area-Cabang'!$B94,'CWO Bulan Ini'!$DH:$DH,'Area-Cabang'!$E94,'CWO Bulan Ini'!$CZ:$CZ,'Area-Cabang'!BE$41)</f>
        <v>0</v>
      </c>
      <c r="BF94" s="42">
        <f>SUMIFS('CWO Bulan Ini'!$DD:$DD,'CWO Bulan Ini'!$DJ:$DJ,'Area-Cabang'!$B94,'CWO Bulan Ini'!$DH:$DH,'Area-Cabang'!$E94,'CWO Bulan Ini'!$CZ:$CZ,'Area-Cabang'!BF$41)</f>
        <v>0</v>
      </c>
      <c r="BG94" s="42">
        <f>SUMIFS('CWO Bulan Ini'!$DD:$DD,'CWO Bulan Ini'!$DJ:$DJ,'Area-Cabang'!$B94,'CWO Bulan Ini'!$DH:$DH,'Area-Cabang'!$E94,'CWO Bulan Ini'!$CZ:$CZ,'Area-Cabang'!BG$41)</f>
        <v>0</v>
      </c>
      <c r="BH94" s="42">
        <f>SUMIFS('CWO Bulan Ini'!$DD:$DD,'CWO Bulan Ini'!$DJ:$DJ,'Area-Cabang'!$B94,'CWO Bulan Ini'!$DH:$DH,'Area-Cabang'!$E94,'CWO Bulan Ini'!$CZ:$CZ,'Area-Cabang'!BH$41)</f>
        <v>0</v>
      </c>
      <c r="BI94" s="42">
        <f>SUMIFS('CWO Bulan Ini'!$DD:$DD,'CWO Bulan Ini'!$DJ:$DJ,'Area-Cabang'!$B94,'CWO Bulan Ini'!$DH:$DH,'Area-Cabang'!$E94,'CWO Bulan Ini'!$CZ:$CZ,'Area-Cabang'!BI$41)</f>
        <v>0</v>
      </c>
      <c r="BJ94" s="42">
        <f>SUMIFS('CWO Bulan Ini'!$DD:$DD,'CWO Bulan Ini'!$DJ:$DJ,'Area-Cabang'!$B94,'CWO Bulan Ini'!$DH:$DH,'Area-Cabang'!$E94,'CWO Bulan Ini'!$CZ:$CZ,'Area-Cabang'!BJ$41)</f>
        <v>0</v>
      </c>
      <c r="BK94" s="42">
        <f>SUMIFS('CWO Bulan Ini'!$DD:$DD,'CWO Bulan Ini'!$DJ:$DJ,'Area-Cabang'!$B94,'CWO Bulan Ini'!$DH:$DH,'Area-Cabang'!$E94,'CWO Bulan Ini'!$CZ:$CZ,'Area-Cabang'!BK$41)</f>
        <v>0</v>
      </c>
      <c r="BL94" s="42">
        <f>SUMIFS('CWO Bulan Ini'!$DD:$DD,'CWO Bulan Ini'!$DJ:$DJ,'Area-Cabang'!$B94,'CWO Bulan Ini'!$DH:$DH,'Area-Cabang'!$E94,'CWO Bulan Ini'!$CZ:$CZ,'Area-Cabang'!BL$41)</f>
        <v>0</v>
      </c>
      <c r="BM94" s="42">
        <f>SUMIFS('CWO Bulan Ini'!$DD:$DD,'CWO Bulan Ini'!$DJ:$DJ,'Area-Cabang'!$B94,'CWO Bulan Ini'!$DH:$DH,'Area-Cabang'!$E94,'CWO Bulan Ini'!$CZ:$CZ,'Area-Cabang'!BM$41)</f>
        <v>0</v>
      </c>
      <c r="BN94" s="42">
        <f>SUMIFS('CWO Bulan Ini'!$DD:$DD,'CWO Bulan Ini'!$DJ:$DJ,'Area-Cabang'!$B94,'CWO Bulan Ini'!$DH:$DH,'Area-Cabang'!$E94,'CWO Bulan Ini'!$CZ:$CZ,'Area-Cabang'!BN$41)</f>
        <v>0</v>
      </c>
      <c r="BO94" s="43">
        <f>SUMIFS('CWO Bulan Ini'!$DD:$DD,'CWO Bulan Ini'!$DJ:$DJ,'Area-Cabang'!$B94,'CWO Bulan Ini'!$DH:$DH,'Area-Cabang'!$E94,'CWO Bulan Ini'!$CZ:$CZ,'Area-Cabang'!BO$41)</f>
        <v>0</v>
      </c>
      <c r="BP94" s="41">
        <f>SUMIFS('CWO Bulan Ini'!$DC:$DC,'CWO Bulan Ini'!$DJ:$DJ,'Area-Cabang'!$B94,'CWO Bulan Ini'!$DH:$DH,'Area-Cabang'!$E94,'CWO Bulan Ini'!$CZ:$CZ,'Area-Cabang'!BP$41)</f>
        <v>0</v>
      </c>
      <c r="BQ94" s="42">
        <f>SUMIFS('CWO Bulan Ini'!$DC:$DC,'CWO Bulan Ini'!$DJ:$DJ,'Area-Cabang'!$B94,'CWO Bulan Ini'!$DH:$DH,'Area-Cabang'!$E94,'CWO Bulan Ini'!$CZ:$CZ,'Area-Cabang'!BQ$41)</f>
        <v>0</v>
      </c>
      <c r="BR94" s="42">
        <f>SUMIFS('CWO Bulan Ini'!$DC:$DC,'CWO Bulan Ini'!$DJ:$DJ,'Area-Cabang'!$B94,'CWO Bulan Ini'!$DH:$DH,'Area-Cabang'!$E94,'CWO Bulan Ini'!$CZ:$CZ,'Area-Cabang'!BR$41)</f>
        <v>0</v>
      </c>
      <c r="BS94" s="42">
        <f>SUMIFS('CWO Bulan Ini'!$DC:$DC,'CWO Bulan Ini'!$DJ:$DJ,'Area-Cabang'!$B94,'CWO Bulan Ini'!$DH:$DH,'Area-Cabang'!$E94,'CWO Bulan Ini'!$CZ:$CZ,'Area-Cabang'!BS$41)</f>
        <v>0</v>
      </c>
      <c r="BT94" s="42">
        <f>SUMIFS('CWO Bulan Ini'!$DC:$DC,'CWO Bulan Ini'!$DJ:$DJ,'Area-Cabang'!$B94,'CWO Bulan Ini'!$DH:$DH,'Area-Cabang'!$E94,'CWO Bulan Ini'!$CZ:$CZ,'Area-Cabang'!BT$41)</f>
        <v>0</v>
      </c>
      <c r="BU94" s="42">
        <f>SUMIFS('CWO Bulan Ini'!$DC:$DC,'CWO Bulan Ini'!$DJ:$DJ,'Area-Cabang'!$B94,'CWO Bulan Ini'!$DH:$DH,'Area-Cabang'!$E94,'CWO Bulan Ini'!$CZ:$CZ,'Area-Cabang'!BU$41)</f>
        <v>0</v>
      </c>
      <c r="BV94" s="42">
        <f>SUMIFS('CWO Bulan Ini'!$DC:$DC,'CWO Bulan Ini'!$DJ:$DJ,'Area-Cabang'!$B94,'CWO Bulan Ini'!$DH:$DH,'Area-Cabang'!$E94,'CWO Bulan Ini'!$CZ:$CZ,'Area-Cabang'!BV$41)</f>
        <v>0</v>
      </c>
      <c r="BW94" s="42">
        <f>SUMIFS('CWO Bulan Ini'!$DC:$DC,'CWO Bulan Ini'!$DJ:$DJ,'Area-Cabang'!$B94,'CWO Bulan Ini'!$DH:$DH,'Area-Cabang'!$E94,'CWO Bulan Ini'!$CZ:$CZ,'Area-Cabang'!BW$41)</f>
        <v>0</v>
      </c>
      <c r="BX94" s="42">
        <f>SUMIFS('CWO Bulan Ini'!$DC:$DC,'CWO Bulan Ini'!$DJ:$DJ,'Area-Cabang'!$B94,'CWO Bulan Ini'!$DH:$DH,'Area-Cabang'!$E94,'CWO Bulan Ini'!$CZ:$CZ,'Area-Cabang'!BX$41)</f>
        <v>0</v>
      </c>
      <c r="BY94" s="42">
        <f>SUMIFS('CWO Bulan Ini'!$DC:$DC,'CWO Bulan Ini'!$DJ:$DJ,'Area-Cabang'!$B94,'CWO Bulan Ini'!$DH:$DH,'Area-Cabang'!$E94,'CWO Bulan Ini'!$CZ:$CZ,'Area-Cabang'!BY$41)</f>
        <v>0</v>
      </c>
      <c r="BZ94" s="42">
        <f>SUMIFS('CWO Bulan Ini'!$DC:$DC,'CWO Bulan Ini'!$DJ:$DJ,'Area-Cabang'!$B94,'CWO Bulan Ini'!$DH:$DH,'Area-Cabang'!$E94,'CWO Bulan Ini'!$CZ:$CZ,'Area-Cabang'!BZ$41)</f>
        <v>0</v>
      </c>
      <c r="CA94" s="42">
        <f>SUMIFS('CWO Bulan Ini'!$DC:$DC,'CWO Bulan Ini'!$DJ:$DJ,'Area-Cabang'!$B94,'CWO Bulan Ini'!$DH:$DH,'Area-Cabang'!$E94,'CWO Bulan Ini'!$CZ:$CZ,'Area-Cabang'!CA$41)</f>
        <v>0</v>
      </c>
      <c r="CB94" s="42">
        <f>SUMIFS('CWO Bulan Ini'!$DC:$DC,'CWO Bulan Ini'!$DJ:$DJ,'Area-Cabang'!$B94,'CWO Bulan Ini'!$DH:$DH,'Area-Cabang'!$E94,'CWO Bulan Ini'!$CZ:$CZ,'Area-Cabang'!CB$41)</f>
        <v>0</v>
      </c>
      <c r="CC94" s="42">
        <f>SUMIFS('CWO Bulan Ini'!$DC:$DC,'CWO Bulan Ini'!$DJ:$DJ,'Area-Cabang'!$B94,'CWO Bulan Ini'!$DH:$DH,'Area-Cabang'!$E94,'CWO Bulan Ini'!$CZ:$CZ,'Area-Cabang'!CC$41)</f>
        <v>0</v>
      </c>
      <c r="CD94" s="42">
        <f>SUMIFS('CWO Bulan Ini'!$DC:$DC,'CWO Bulan Ini'!$DJ:$DJ,'Area-Cabang'!$B94,'CWO Bulan Ini'!$DH:$DH,'Area-Cabang'!$E94,'CWO Bulan Ini'!$CZ:$CZ,'Area-Cabang'!CD$41)</f>
        <v>0</v>
      </c>
      <c r="CE94" s="42">
        <f>SUMIFS('CWO Bulan Ini'!$DC:$DC,'CWO Bulan Ini'!$DJ:$DJ,'Area-Cabang'!$B94,'CWO Bulan Ini'!$DH:$DH,'Area-Cabang'!$E94,'CWO Bulan Ini'!$CZ:$CZ,'Area-Cabang'!CE$41)</f>
        <v>0</v>
      </c>
      <c r="CF94" s="42">
        <f>SUMIFS('CWO Bulan Ini'!$DC:$DC,'CWO Bulan Ini'!$DJ:$DJ,'Area-Cabang'!$B94,'CWO Bulan Ini'!$DH:$DH,'Area-Cabang'!$E94,'CWO Bulan Ini'!$CZ:$CZ,'Area-Cabang'!CF$41)</f>
        <v>0</v>
      </c>
      <c r="CG94" s="42">
        <f>SUMIFS('CWO Bulan Ini'!$DC:$DC,'CWO Bulan Ini'!$DJ:$DJ,'Area-Cabang'!$B94,'CWO Bulan Ini'!$DH:$DH,'Area-Cabang'!$E94,'CWO Bulan Ini'!$CZ:$CZ,'Area-Cabang'!CG$41)</f>
        <v>0</v>
      </c>
      <c r="CH94" s="42">
        <f>SUMIFS('CWO Bulan Ini'!$DC:$DC,'CWO Bulan Ini'!$DJ:$DJ,'Area-Cabang'!$B94,'CWO Bulan Ini'!$DH:$DH,'Area-Cabang'!$E94,'CWO Bulan Ini'!$CZ:$CZ,'Area-Cabang'!CH$41)</f>
        <v>0</v>
      </c>
      <c r="CI94" s="42">
        <f>SUMIFS('CWO Bulan Ini'!$DC:$DC,'CWO Bulan Ini'!$DJ:$DJ,'Area-Cabang'!$B94,'CWO Bulan Ini'!$DH:$DH,'Area-Cabang'!$E94,'CWO Bulan Ini'!$CZ:$CZ,'Area-Cabang'!CI$41)</f>
        <v>0</v>
      </c>
      <c r="CJ94" s="42">
        <f>SUMIFS('CWO Bulan Ini'!$DC:$DC,'CWO Bulan Ini'!$DJ:$DJ,'Area-Cabang'!$B94,'CWO Bulan Ini'!$DH:$DH,'Area-Cabang'!$E94,'CWO Bulan Ini'!$CZ:$CZ,'Area-Cabang'!CJ$41)</f>
        <v>0</v>
      </c>
      <c r="CK94" s="42">
        <f>SUMIFS('CWO Bulan Ini'!$DC:$DC,'CWO Bulan Ini'!$DJ:$DJ,'Area-Cabang'!$B94,'CWO Bulan Ini'!$DH:$DH,'Area-Cabang'!$E94,'CWO Bulan Ini'!$CZ:$CZ,'Area-Cabang'!CK$41)</f>
        <v>0</v>
      </c>
      <c r="CL94" s="42">
        <f>SUMIFS('CWO Bulan Ini'!$DC:$DC,'CWO Bulan Ini'!$DJ:$DJ,'Area-Cabang'!$B94,'CWO Bulan Ini'!$DH:$DH,'Area-Cabang'!$E94,'CWO Bulan Ini'!$CZ:$CZ,'Area-Cabang'!CL$41)</f>
        <v>0</v>
      </c>
      <c r="CM94" s="42">
        <f>SUMIFS('CWO Bulan Ini'!$DC:$DC,'CWO Bulan Ini'!$DJ:$DJ,'Area-Cabang'!$B94,'CWO Bulan Ini'!$DH:$DH,'Area-Cabang'!$E94,'CWO Bulan Ini'!$CZ:$CZ,'Area-Cabang'!CM$41)</f>
        <v>0</v>
      </c>
      <c r="CN94" s="42">
        <f>SUMIFS('CWO Bulan Ini'!$DC:$DC,'CWO Bulan Ini'!$DJ:$DJ,'Area-Cabang'!$B94,'CWO Bulan Ini'!$DH:$DH,'Area-Cabang'!$E94,'CWO Bulan Ini'!$CZ:$CZ,'Area-Cabang'!CN$41)</f>
        <v>0</v>
      </c>
      <c r="CO94" s="42">
        <f>SUMIFS('CWO Bulan Ini'!$DC:$DC,'CWO Bulan Ini'!$DJ:$DJ,'Area-Cabang'!$B94,'CWO Bulan Ini'!$DH:$DH,'Area-Cabang'!$E94,'CWO Bulan Ini'!$CZ:$CZ,'Area-Cabang'!CO$41)</f>
        <v>0</v>
      </c>
      <c r="CP94" s="42">
        <f>SUMIFS('CWO Bulan Ini'!$DC:$DC,'CWO Bulan Ini'!$DJ:$DJ,'Area-Cabang'!$B94,'CWO Bulan Ini'!$DH:$DH,'Area-Cabang'!$E94,'CWO Bulan Ini'!$CZ:$CZ,'Area-Cabang'!CP$41)</f>
        <v>0</v>
      </c>
      <c r="CQ94" s="42">
        <f>SUMIFS('CWO Bulan Ini'!$DC:$DC,'CWO Bulan Ini'!$DJ:$DJ,'Area-Cabang'!$B94,'CWO Bulan Ini'!$DH:$DH,'Area-Cabang'!$E94,'CWO Bulan Ini'!$CZ:$CZ,'Area-Cabang'!CQ$41)</f>
        <v>0</v>
      </c>
      <c r="CR94" s="42">
        <f>SUMIFS('CWO Bulan Ini'!$DC:$DC,'CWO Bulan Ini'!$DJ:$DJ,'Area-Cabang'!$B94,'CWO Bulan Ini'!$DH:$DH,'Area-Cabang'!$E94,'CWO Bulan Ini'!$CZ:$CZ,'Area-Cabang'!CR$41)</f>
        <v>0</v>
      </c>
      <c r="CS94" s="42">
        <f>SUMIFS('CWO Bulan Ini'!$DC:$DC,'CWO Bulan Ini'!$DJ:$DJ,'Area-Cabang'!$B94,'CWO Bulan Ini'!$DH:$DH,'Area-Cabang'!$E94,'CWO Bulan Ini'!$CZ:$CZ,'Area-Cabang'!CS$41)</f>
        <v>0</v>
      </c>
      <c r="CT94" s="43">
        <f>SUMIFS('CWO Bulan Ini'!$DC:$DC,'CWO Bulan Ini'!$DJ:$DJ,'Area-Cabang'!$B94,'CWO Bulan Ini'!$DH:$DH,'Area-Cabang'!$E94,'CWO Bulan Ini'!$CZ:$CZ,'Area-Cabang'!CT$41)</f>
        <v>0</v>
      </c>
      <c r="CV94" s="96">
        <f t="shared" si="2732"/>
        <v>1.1973179599999999</v>
      </c>
      <c r="CW94" s="93">
        <f t="shared" si="2733"/>
        <v>0</v>
      </c>
      <c r="CX94" s="93">
        <f t="shared" si="2734"/>
        <v>0</v>
      </c>
      <c r="CY94" s="93">
        <f t="shared" si="2735"/>
        <v>1.1973179599999999</v>
      </c>
      <c r="CZ94" s="106">
        <f t="shared" si="2736"/>
        <v>1.1973179599999999</v>
      </c>
    </row>
    <row r="95" spans="1:104" ht="15" customHeight="1" x14ac:dyDescent="0.25">
      <c r="A95" s="58" t="s">
        <v>469</v>
      </c>
      <c r="B95" s="53" t="s">
        <v>824</v>
      </c>
      <c r="C95" s="250"/>
      <c r="D95" s="227" t="s">
        <v>824</v>
      </c>
      <c r="E95" s="228"/>
      <c r="F95" s="219">
        <f t="shared" ref="F95" si="2737">SUM(F93:F94)</f>
        <v>0</v>
      </c>
      <c r="G95" s="220">
        <f t="shared" ref="G95" si="2738">SUM(G93:G94)</f>
        <v>0</v>
      </c>
      <c r="H95" s="220">
        <f t="shared" ref="H95" si="2739">SUM(H93:H94)</f>
        <v>0</v>
      </c>
      <c r="I95" s="220">
        <f t="shared" ref="I95" si="2740">SUM(I93:I94)</f>
        <v>0</v>
      </c>
      <c r="J95" s="220">
        <f t="shared" ref="J95" si="2741">SUM(J93:J94)</f>
        <v>0</v>
      </c>
      <c r="K95" s="220">
        <f t="shared" ref="K95" si="2742">SUM(K93:K94)</f>
        <v>0</v>
      </c>
      <c r="L95" s="220">
        <f t="shared" ref="L95" si="2743">SUM(L93:L94)</f>
        <v>0</v>
      </c>
      <c r="M95" s="220">
        <f t="shared" ref="M95" si="2744">SUM(M93:M94)</f>
        <v>0</v>
      </c>
      <c r="N95" s="220">
        <f t="shared" ref="N95" si="2745">SUM(N93:N94)</f>
        <v>0</v>
      </c>
      <c r="O95" s="220">
        <f t="shared" ref="O95" si="2746">SUM(O93:O94)</f>
        <v>1.1973179599999999</v>
      </c>
      <c r="P95" s="220">
        <f t="shared" ref="P95" si="2747">SUM(P93:P94)</f>
        <v>0</v>
      </c>
      <c r="Q95" s="220">
        <f t="shared" ref="Q95" si="2748">SUM(Q93:Q94)</f>
        <v>0</v>
      </c>
      <c r="R95" s="220">
        <f t="shared" ref="R95" si="2749">SUM(R93:R94)</f>
        <v>0</v>
      </c>
      <c r="S95" s="220">
        <f t="shared" ref="S95" si="2750">SUM(S93:S94)</f>
        <v>0</v>
      </c>
      <c r="T95" s="220">
        <f t="shared" ref="T95" si="2751">SUM(T93:T94)</f>
        <v>0</v>
      </c>
      <c r="U95" s="220">
        <f t="shared" ref="U95" si="2752">SUM(U93:U94)</f>
        <v>0</v>
      </c>
      <c r="V95" s="220">
        <f t="shared" ref="V95" si="2753">SUM(V93:V94)</f>
        <v>0</v>
      </c>
      <c r="W95" s="220">
        <f t="shared" ref="W95" si="2754">SUM(W93:W94)</f>
        <v>0</v>
      </c>
      <c r="X95" s="220">
        <f t="shared" ref="X95" si="2755">SUM(X93:X94)</f>
        <v>0</v>
      </c>
      <c r="Y95" s="220">
        <f t="shared" ref="Y95" si="2756">SUM(Y93:Y94)</f>
        <v>0</v>
      </c>
      <c r="Z95" s="220">
        <f t="shared" ref="Z95" si="2757">SUM(Z93:Z94)</f>
        <v>0</v>
      </c>
      <c r="AA95" s="220">
        <f t="shared" ref="AA95" si="2758">SUM(AA93:AA94)</f>
        <v>0</v>
      </c>
      <c r="AB95" s="220">
        <f t="shared" ref="AB95" si="2759">SUM(AB93:AB94)</f>
        <v>0</v>
      </c>
      <c r="AC95" s="220">
        <f t="shared" ref="AC95" si="2760">SUM(AC93:AC94)</f>
        <v>0</v>
      </c>
      <c r="AD95" s="220">
        <f t="shared" ref="AD95" si="2761">SUM(AD93:AD94)</f>
        <v>0</v>
      </c>
      <c r="AE95" s="220">
        <f t="shared" ref="AE95" si="2762">SUM(AE93:AE94)</f>
        <v>0</v>
      </c>
      <c r="AF95" s="220">
        <f t="shared" ref="AF95" si="2763">SUM(AF93:AF94)</f>
        <v>0</v>
      </c>
      <c r="AG95" s="220">
        <f t="shared" ref="AG95" si="2764">SUM(AG93:AG94)</f>
        <v>0</v>
      </c>
      <c r="AH95" s="220">
        <f t="shared" ref="AH95" si="2765">SUM(AH93:AH94)</f>
        <v>0</v>
      </c>
      <c r="AI95" s="220">
        <f t="shared" ref="AI95" si="2766">SUM(AI93:AI94)</f>
        <v>0</v>
      </c>
      <c r="AJ95" s="220">
        <f t="shared" ref="AJ95" si="2767">SUM(AJ93:AJ94)</f>
        <v>0</v>
      </c>
      <c r="AK95" s="219">
        <f t="shared" ref="AK95" si="2768">SUM(AK93:AK94)</f>
        <v>0</v>
      </c>
      <c r="AL95" s="220">
        <f t="shared" ref="AL95" si="2769">SUM(AL93:AL94)</f>
        <v>0</v>
      </c>
      <c r="AM95" s="220">
        <f t="shared" ref="AM95" si="2770">SUM(AM93:AM94)</f>
        <v>0</v>
      </c>
      <c r="AN95" s="220">
        <f t="shared" ref="AN95" si="2771">SUM(AN93:AN94)</f>
        <v>0</v>
      </c>
      <c r="AO95" s="220">
        <f t="shared" ref="AO95" si="2772">SUM(AO93:AO94)</f>
        <v>0</v>
      </c>
      <c r="AP95" s="220">
        <f t="shared" ref="AP95" si="2773">SUM(AP93:AP94)</f>
        <v>0</v>
      </c>
      <c r="AQ95" s="220">
        <f t="shared" ref="AQ95" si="2774">SUM(AQ93:AQ94)</f>
        <v>0</v>
      </c>
      <c r="AR95" s="220">
        <f t="shared" ref="AR95" si="2775">SUM(AR93:AR94)</f>
        <v>0</v>
      </c>
      <c r="AS95" s="220">
        <f t="shared" ref="AS95" si="2776">SUM(AS93:AS94)</f>
        <v>0</v>
      </c>
      <c r="AT95" s="220">
        <f t="shared" ref="AT95" si="2777">SUM(AT93:AT94)</f>
        <v>0</v>
      </c>
      <c r="AU95" s="220">
        <f t="shared" ref="AU95" si="2778">SUM(AU93:AU94)</f>
        <v>0</v>
      </c>
      <c r="AV95" s="220">
        <f t="shared" ref="AV95" si="2779">SUM(AV93:AV94)</f>
        <v>0</v>
      </c>
      <c r="AW95" s="220">
        <f t="shared" ref="AW95" si="2780">SUM(AW93:AW94)</f>
        <v>0</v>
      </c>
      <c r="AX95" s="220">
        <f t="shared" ref="AX95" si="2781">SUM(AX93:AX94)</f>
        <v>0</v>
      </c>
      <c r="AY95" s="220">
        <f t="shared" ref="AY95" si="2782">SUM(AY93:AY94)</f>
        <v>0</v>
      </c>
      <c r="AZ95" s="220">
        <f t="shared" ref="AZ95" si="2783">SUM(AZ93:AZ94)</f>
        <v>0</v>
      </c>
      <c r="BA95" s="220">
        <f t="shared" ref="BA95" si="2784">SUM(BA93:BA94)</f>
        <v>0</v>
      </c>
      <c r="BB95" s="220">
        <f t="shared" ref="BB95" si="2785">SUM(BB93:BB94)</f>
        <v>0</v>
      </c>
      <c r="BC95" s="220">
        <f t="shared" ref="BC95" si="2786">SUM(BC93:BC94)</f>
        <v>0</v>
      </c>
      <c r="BD95" s="220">
        <f t="shared" ref="BD95" si="2787">SUM(BD93:BD94)</f>
        <v>0</v>
      </c>
      <c r="BE95" s="220">
        <f t="shared" ref="BE95" si="2788">SUM(BE93:BE94)</f>
        <v>0</v>
      </c>
      <c r="BF95" s="220">
        <f t="shared" ref="BF95" si="2789">SUM(BF93:BF94)</f>
        <v>0</v>
      </c>
      <c r="BG95" s="220">
        <f t="shared" ref="BG95" si="2790">SUM(BG93:BG94)</f>
        <v>0</v>
      </c>
      <c r="BH95" s="220">
        <f t="shared" ref="BH95" si="2791">SUM(BH93:BH94)</f>
        <v>0</v>
      </c>
      <c r="BI95" s="220">
        <f t="shared" ref="BI95" si="2792">SUM(BI93:BI94)</f>
        <v>0</v>
      </c>
      <c r="BJ95" s="220">
        <f t="shared" ref="BJ95" si="2793">SUM(BJ93:BJ94)</f>
        <v>0</v>
      </c>
      <c r="BK95" s="220">
        <f t="shared" ref="BK95" si="2794">SUM(BK93:BK94)</f>
        <v>0</v>
      </c>
      <c r="BL95" s="220">
        <f t="shared" ref="BL95" si="2795">SUM(BL93:BL94)</f>
        <v>0</v>
      </c>
      <c r="BM95" s="220">
        <f t="shared" ref="BM95" si="2796">SUM(BM93:BM94)</f>
        <v>0</v>
      </c>
      <c r="BN95" s="220">
        <f t="shared" ref="BN95" si="2797">SUM(BN93:BN94)</f>
        <v>0</v>
      </c>
      <c r="BO95" s="221">
        <f t="shared" ref="BO95" si="2798">SUM(BO93:BO94)</f>
        <v>0</v>
      </c>
      <c r="BP95" s="219">
        <f t="shared" ref="BP95" si="2799">SUM(BP93:BP94)</f>
        <v>0</v>
      </c>
      <c r="BQ95" s="220">
        <f t="shared" ref="BQ95" si="2800">SUM(BQ93:BQ94)</f>
        <v>0</v>
      </c>
      <c r="BR95" s="220">
        <f t="shared" ref="BR95" si="2801">SUM(BR93:BR94)</f>
        <v>0</v>
      </c>
      <c r="BS95" s="220">
        <f t="shared" ref="BS95" si="2802">SUM(BS93:BS94)</f>
        <v>0</v>
      </c>
      <c r="BT95" s="220">
        <f t="shared" ref="BT95" si="2803">SUM(BT93:BT94)</f>
        <v>0</v>
      </c>
      <c r="BU95" s="220">
        <f t="shared" ref="BU95" si="2804">SUM(BU93:BU94)</f>
        <v>0</v>
      </c>
      <c r="BV95" s="220">
        <f t="shared" ref="BV95" si="2805">SUM(BV93:BV94)</f>
        <v>0</v>
      </c>
      <c r="BW95" s="220">
        <f t="shared" ref="BW95" si="2806">SUM(BW93:BW94)</f>
        <v>0</v>
      </c>
      <c r="BX95" s="220">
        <f t="shared" ref="BX95" si="2807">SUM(BX93:BX94)</f>
        <v>0</v>
      </c>
      <c r="BY95" s="220">
        <f t="shared" ref="BY95" si="2808">SUM(BY93:BY94)</f>
        <v>0</v>
      </c>
      <c r="BZ95" s="220">
        <f t="shared" ref="BZ95" si="2809">SUM(BZ93:BZ94)</f>
        <v>0</v>
      </c>
      <c r="CA95" s="220">
        <f t="shared" ref="CA95" si="2810">SUM(CA93:CA94)</f>
        <v>0</v>
      </c>
      <c r="CB95" s="220">
        <f t="shared" ref="CB95" si="2811">SUM(CB93:CB94)</f>
        <v>0</v>
      </c>
      <c r="CC95" s="220">
        <f t="shared" ref="CC95" si="2812">SUM(CC93:CC94)</f>
        <v>0</v>
      </c>
      <c r="CD95" s="220">
        <f t="shared" ref="CD95" si="2813">SUM(CD93:CD94)</f>
        <v>0</v>
      </c>
      <c r="CE95" s="220">
        <f t="shared" ref="CE95" si="2814">SUM(CE93:CE94)</f>
        <v>0</v>
      </c>
      <c r="CF95" s="220">
        <f t="shared" ref="CF95" si="2815">SUM(CF93:CF94)</f>
        <v>0</v>
      </c>
      <c r="CG95" s="220">
        <f t="shared" ref="CG95" si="2816">SUM(CG93:CG94)</f>
        <v>0</v>
      </c>
      <c r="CH95" s="220">
        <f t="shared" ref="CH95" si="2817">SUM(CH93:CH94)</f>
        <v>0</v>
      </c>
      <c r="CI95" s="220">
        <f t="shared" ref="CI95" si="2818">SUM(CI93:CI94)</f>
        <v>0</v>
      </c>
      <c r="CJ95" s="220">
        <f t="shared" ref="CJ95" si="2819">SUM(CJ93:CJ94)</f>
        <v>0</v>
      </c>
      <c r="CK95" s="220">
        <f t="shared" ref="CK95" si="2820">SUM(CK93:CK94)</f>
        <v>0</v>
      </c>
      <c r="CL95" s="220">
        <f t="shared" ref="CL95" si="2821">SUM(CL93:CL94)</f>
        <v>0</v>
      </c>
      <c r="CM95" s="220">
        <f t="shared" ref="CM95" si="2822">SUM(CM93:CM94)</f>
        <v>0</v>
      </c>
      <c r="CN95" s="220">
        <f t="shared" ref="CN95" si="2823">SUM(CN93:CN94)</f>
        <v>0</v>
      </c>
      <c r="CO95" s="220">
        <f t="shared" ref="CO95" si="2824">SUM(CO93:CO94)</f>
        <v>0</v>
      </c>
      <c r="CP95" s="220">
        <f t="shared" ref="CP95" si="2825">SUM(CP93:CP94)</f>
        <v>0</v>
      </c>
      <c r="CQ95" s="220">
        <f t="shared" ref="CQ95" si="2826">SUM(CQ93:CQ94)</f>
        <v>0</v>
      </c>
      <c r="CR95" s="220">
        <f t="shared" ref="CR95" si="2827">SUM(CR93:CR94)</f>
        <v>0</v>
      </c>
      <c r="CS95" s="220">
        <f t="shared" ref="CS95" si="2828">SUM(CS93:CS94)</f>
        <v>0</v>
      </c>
      <c r="CT95" s="221">
        <f t="shared" ref="CT95" si="2829">SUM(CT93:CT94)</f>
        <v>0</v>
      </c>
      <c r="CU95" s="226"/>
      <c r="CV95" s="219">
        <f t="shared" ref="CV95" si="2830">SUM(CV93:CV94)</f>
        <v>1.1973179599999999</v>
      </c>
      <c r="CW95" s="220">
        <f t="shared" ref="CW95" si="2831">SUM(CW93:CW94)</f>
        <v>0</v>
      </c>
      <c r="CX95" s="220">
        <f t="shared" ref="CX95" si="2832">SUM(CX93:CX94)</f>
        <v>0</v>
      </c>
      <c r="CY95" s="220">
        <f t="shared" ref="CY95" si="2833">SUM(CY93:CY94)</f>
        <v>1.1973179599999999</v>
      </c>
      <c r="CZ95" s="222">
        <f t="shared" ref="CZ95" si="2834">SUM(CZ93:CZ94)</f>
        <v>1.1973179599999999</v>
      </c>
    </row>
    <row r="96" spans="1:104" ht="15" customHeight="1" x14ac:dyDescent="0.25">
      <c r="A96" s="58" t="s">
        <v>469</v>
      </c>
      <c r="B96" s="53" t="s">
        <v>468</v>
      </c>
      <c r="C96" s="250"/>
      <c r="D96" s="245" t="s">
        <v>468</v>
      </c>
      <c r="E96" s="85" t="s">
        <v>132</v>
      </c>
      <c r="F96" s="55">
        <f>SUMIFS('CWO Bulan Ini'!$DA:$DA,'CWO Bulan Ini'!$DJ:$DJ,'Area-Cabang'!$B96,'CWO Bulan Ini'!$DH:$DH,'Area-Cabang'!$E96,'CWO Bulan Ini'!$CZ:$CZ,'Area-Cabang'!F$41)</f>
        <v>0</v>
      </c>
      <c r="G96" s="56">
        <f>SUMIFS('CWO Bulan Ini'!$DA:$DA,'CWO Bulan Ini'!$DJ:$DJ,'Area-Cabang'!$B96,'CWO Bulan Ini'!$DH:$DH,'Area-Cabang'!$E96,'CWO Bulan Ini'!$CZ:$CZ,'Area-Cabang'!G$41)</f>
        <v>0</v>
      </c>
      <c r="H96" s="56">
        <f>SUMIFS('CWO Bulan Ini'!$DA:$DA,'CWO Bulan Ini'!$DJ:$DJ,'Area-Cabang'!$B96,'CWO Bulan Ini'!$DH:$DH,'Area-Cabang'!$E96,'CWO Bulan Ini'!$CZ:$CZ,'Area-Cabang'!H$41)</f>
        <v>0</v>
      </c>
      <c r="I96" s="56">
        <f>SUMIFS('CWO Bulan Ini'!$DA:$DA,'CWO Bulan Ini'!$DJ:$DJ,'Area-Cabang'!$B96,'CWO Bulan Ini'!$DH:$DH,'Area-Cabang'!$E96,'CWO Bulan Ini'!$CZ:$CZ,'Area-Cabang'!I$41)</f>
        <v>66.660504219999993</v>
      </c>
      <c r="J96" s="56">
        <f>SUMIFS('CWO Bulan Ini'!$DA:$DA,'CWO Bulan Ini'!$DJ:$DJ,'Area-Cabang'!$B96,'CWO Bulan Ini'!$DH:$DH,'Area-Cabang'!$E96,'CWO Bulan Ini'!$CZ:$CZ,'Area-Cabang'!J$41)</f>
        <v>0</v>
      </c>
      <c r="K96" s="56">
        <f>SUMIFS('CWO Bulan Ini'!$DA:$DA,'CWO Bulan Ini'!$DJ:$DJ,'Area-Cabang'!$B96,'CWO Bulan Ini'!$DH:$DH,'Area-Cabang'!$E96,'CWO Bulan Ini'!$CZ:$CZ,'Area-Cabang'!K$41)</f>
        <v>0</v>
      </c>
      <c r="L96" s="56">
        <f>SUMIFS('CWO Bulan Ini'!$DA:$DA,'CWO Bulan Ini'!$DJ:$DJ,'Area-Cabang'!$B96,'CWO Bulan Ini'!$DH:$DH,'Area-Cabang'!$E96,'CWO Bulan Ini'!$CZ:$CZ,'Area-Cabang'!L$41)</f>
        <v>0</v>
      </c>
      <c r="M96" s="56">
        <f>SUMIFS('CWO Bulan Ini'!$DA:$DA,'CWO Bulan Ini'!$DJ:$DJ,'Area-Cabang'!$B96,'CWO Bulan Ini'!$DH:$DH,'Area-Cabang'!$E96,'CWO Bulan Ini'!$CZ:$CZ,'Area-Cabang'!M$41)</f>
        <v>0</v>
      </c>
      <c r="N96" s="56">
        <f>SUMIFS('CWO Bulan Ini'!$DA:$DA,'CWO Bulan Ini'!$DJ:$DJ,'Area-Cabang'!$B96,'CWO Bulan Ini'!$DH:$DH,'Area-Cabang'!$E96,'CWO Bulan Ini'!$CZ:$CZ,'Area-Cabang'!N$41)</f>
        <v>0</v>
      </c>
      <c r="O96" s="56">
        <f>SUMIFS('CWO Bulan Ini'!$DA:$DA,'CWO Bulan Ini'!$DJ:$DJ,'Area-Cabang'!$B96,'CWO Bulan Ini'!$DH:$DH,'Area-Cabang'!$E96,'CWO Bulan Ini'!$CZ:$CZ,'Area-Cabang'!O$41)</f>
        <v>0</v>
      </c>
      <c r="P96" s="56">
        <f>SUMIFS('CWO Bulan Ini'!$DA:$DA,'CWO Bulan Ini'!$DJ:$DJ,'Area-Cabang'!$B96,'CWO Bulan Ini'!$DH:$DH,'Area-Cabang'!$E96,'CWO Bulan Ini'!$CZ:$CZ,'Area-Cabang'!P$41)</f>
        <v>0</v>
      </c>
      <c r="Q96" s="56">
        <f>SUMIFS('CWO Bulan Ini'!$DA:$DA,'CWO Bulan Ini'!$DJ:$DJ,'Area-Cabang'!$B96,'CWO Bulan Ini'!$DH:$DH,'Area-Cabang'!$E96,'CWO Bulan Ini'!$CZ:$CZ,'Area-Cabang'!Q$41)</f>
        <v>0</v>
      </c>
      <c r="R96" s="56">
        <f>SUMIFS('CWO Bulan Ini'!$DA:$DA,'CWO Bulan Ini'!$DJ:$DJ,'Area-Cabang'!$B96,'CWO Bulan Ini'!$DH:$DH,'Area-Cabang'!$E96,'CWO Bulan Ini'!$CZ:$CZ,'Area-Cabang'!R$41)</f>
        <v>0</v>
      </c>
      <c r="S96" s="56">
        <f>SUMIFS('CWO Bulan Ini'!$DA:$DA,'CWO Bulan Ini'!$DJ:$DJ,'Area-Cabang'!$B96,'CWO Bulan Ini'!$DH:$DH,'Area-Cabang'!$E96,'CWO Bulan Ini'!$CZ:$CZ,'Area-Cabang'!S$41)</f>
        <v>0</v>
      </c>
      <c r="T96" s="56">
        <f>SUMIFS('CWO Bulan Ini'!$DA:$DA,'CWO Bulan Ini'!$DJ:$DJ,'Area-Cabang'!$B96,'CWO Bulan Ini'!$DH:$DH,'Area-Cabang'!$E96,'CWO Bulan Ini'!$CZ:$CZ,'Area-Cabang'!T$41)</f>
        <v>0</v>
      </c>
      <c r="U96" s="56">
        <f>SUMIFS('CWO Bulan Ini'!$DA:$DA,'CWO Bulan Ini'!$DJ:$DJ,'Area-Cabang'!$B96,'CWO Bulan Ini'!$DH:$DH,'Area-Cabang'!$E96,'CWO Bulan Ini'!$CZ:$CZ,'Area-Cabang'!U$41)</f>
        <v>0</v>
      </c>
      <c r="V96" s="56">
        <f>SUMIFS('CWO Bulan Ini'!$DA:$DA,'CWO Bulan Ini'!$DJ:$DJ,'Area-Cabang'!$B96,'CWO Bulan Ini'!$DH:$DH,'Area-Cabang'!$E96,'CWO Bulan Ini'!$CZ:$CZ,'Area-Cabang'!V$41)</f>
        <v>0</v>
      </c>
      <c r="W96" s="56">
        <f>SUMIFS('CWO Bulan Ini'!$DA:$DA,'CWO Bulan Ini'!$DJ:$DJ,'Area-Cabang'!$B96,'CWO Bulan Ini'!$DH:$DH,'Area-Cabang'!$E96,'CWO Bulan Ini'!$CZ:$CZ,'Area-Cabang'!W$41)</f>
        <v>0</v>
      </c>
      <c r="X96" s="56">
        <f>SUMIFS('CWO Bulan Ini'!$DA:$DA,'CWO Bulan Ini'!$DJ:$DJ,'Area-Cabang'!$B96,'CWO Bulan Ini'!$DH:$DH,'Area-Cabang'!$E96,'CWO Bulan Ini'!$CZ:$CZ,'Area-Cabang'!X$41)</f>
        <v>0</v>
      </c>
      <c r="Y96" s="56">
        <f>SUMIFS('CWO Bulan Ini'!$DA:$DA,'CWO Bulan Ini'!$DJ:$DJ,'Area-Cabang'!$B96,'CWO Bulan Ini'!$DH:$DH,'Area-Cabang'!$E96,'CWO Bulan Ini'!$CZ:$CZ,'Area-Cabang'!Y$41)</f>
        <v>0</v>
      </c>
      <c r="Z96" s="56">
        <f>SUMIFS('CWO Bulan Ini'!$DA:$DA,'CWO Bulan Ini'!$DJ:$DJ,'Area-Cabang'!$B96,'CWO Bulan Ini'!$DH:$DH,'Area-Cabang'!$E96,'CWO Bulan Ini'!$CZ:$CZ,'Area-Cabang'!Z$41)</f>
        <v>0</v>
      </c>
      <c r="AA96" s="56">
        <f>SUMIFS('CWO Bulan Ini'!$DA:$DA,'CWO Bulan Ini'!$DJ:$DJ,'Area-Cabang'!$B96,'CWO Bulan Ini'!$DH:$DH,'Area-Cabang'!$E96,'CWO Bulan Ini'!$CZ:$CZ,'Area-Cabang'!AA$41)</f>
        <v>0</v>
      </c>
      <c r="AB96" s="56">
        <f>SUMIFS('CWO Bulan Ini'!$DA:$DA,'CWO Bulan Ini'!$DJ:$DJ,'Area-Cabang'!$B96,'CWO Bulan Ini'!$DH:$DH,'Area-Cabang'!$E96,'CWO Bulan Ini'!$CZ:$CZ,'Area-Cabang'!AB$41)</f>
        <v>0</v>
      </c>
      <c r="AC96" s="56">
        <f>SUMIFS('CWO Bulan Ini'!$DA:$DA,'CWO Bulan Ini'!$DJ:$DJ,'Area-Cabang'!$B96,'CWO Bulan Ini'!$DH:$DH,'Area-Cabang'!$E96,'CWO Bulan Ini'!$CZ:$CZ,'Area-Cabang'!AC$41)</f>
        <v>117.34439656999999</v>
      </c>
      <c r="AD96" s="56">
        <f>SUMIFS('CWO Bulan Ini'!$DA:$DA,'CWO Bulan Ini'!$DJ:$DJ,'Area-Cabang'!$B96,'CWO Bulan Ini'!$DH:$DH,'Area-Cabang'!$E96,'CWO Bulan Ini'!$CZ:$CZ,'Area-Cabang'!AD$41)</f>
        <v>0</v>
      </c>
      <c r="AE96" s="56">
        <f>SUMIFS('CWO Bulan Ini'!$DA:$DA,'CWO Bulan Ini'!$DJ:$DJ,'Area-Cabang'!$B96,'CWO Bulan Ini'!$DH:$DH,'Area-Cabang'!$E96,'CWO Bulan Ini'!$CZ:$CZ,'Area-Cabang'!AE$41)</f>
        <v>0</v>
      </c>
      <c r="AF96" s="56">
        <f>SUMIFS('CWO Bulan Ini'!$DA:$DA,'CWO Bulan Ini'!$DJ:$DJ,'Area-Cabang'!$B96,'CWO Bulan Ini'!$DH:$DH,'Area-Cabang'!$E96,'CWO Bulan Ini'!$CZ:$CZ,'Area-Cabang'!AF$41)</f>
        <v>0</v>
      </c>
      <c r="AG96" s="56">
        <f>SUMIFS('CWO Bulan Ini'!$DA:$DA,'CWO Bulan Ini'!$DJ:$DJ,'Area-Cabang'!$B96,'CWO Bulan Ini'!$DH:$DH,'Area-Cabang'!$E96,'CWO Bulan Ini'!$CZ:$CZ,'Area-Cabang'!AG$41)</f>
        <v>0</v>
      </c>
      <c r="AH96" s="56">
        <f>SUMIFS('CWO Bulan Ini'!$DA:$DA,'CWO Bulan Ini'!$DJ:$DJ,'Area-Cabang'!$B96,'CWO Bulan Ini'!$DH:$DH,'Area-Cabang'!$E96,'CWO Bulan Ini'!$CZ:$CZ,'Area-Cabang'!AH$41)</f>
        <v>0</v>
      </c>
      <c r="AI96" s="56">
        <f>SUMIFS('CWO Bulan Ini'!$DA:$DA,'CWO Bulan Ini'!$DJ:$DJ,'Area-Cabang'!$B96,'CWO Bulan Ini'!$DH:$DH,'Area-Cabang'!$E96,'CWO Bulan Ini'!$CZ:$CZ,'Area-Cabang'!AI$41)</f>
        <v>0</v>
      </c>
      <c r="AJ96" s="56">
        <f>SUMIFS('CWO Bulan Ini'!$DA:$DA,'CWO Bulan Ini'!$DJ:$DJ,'Area-Cabang'!$B96,'CWO Bulan Ini'!$DH:$DH,'Area-Cabang'!$E96,'CWO Bulan Ini'!$CZ:$CZ,'Area-Cabang'!AJ$41)</f>
        <v>0</v>
      </c>
      <c r="AK96" s="55">
        <f>SUMIFS('CWO Bulan Ini'!$DD:$DD,'CWO Bulan Ini'!$DJ:$DJ,'Area-Cabang'!$B96,'CWO Bulan Ini'!$DH:$DH,'Area-Cabang'!$E96,'CWO Bulan Ini'!$CZ:$CZ,'Area-Cabang'!AK$41)</f>
        <v>0</v>
      </c>
      <c r="AL96" s="56">
        <f>SUMIFS('CWO Bulan Ini'!$DD:$DD,'CWO Bulan Ini'!$DJ:$DJ,'Area-Cabang'!$B96,'CWO Bulan Ini'!$DH:$DH,'Area-Cabang'!$E96,'CWO Bulan Ini'!$CZ:$CZ,'Area-Cabang'!AL$41)</f>
        <v>0</v>
      </c>
      <c r="AM96" s="56">
        <f>SUMIFS('CWO Bulan Ini'!$DD:$DD,'CWO Bulan Ini'!$DJ:$DJ,'Area-Cabang'!$B96,'CWO Bulan Ini'!$DH:$DH,'Area-Cabang'!$E96,'CWO Bulan Ini'!$CZ:$CZ,'Area-Cabang'!AM$41)</f>
        <v>0</v>
      </c>
      <c r="AN96" s="56">
        <f>SUMIFS('CWO Bulan Ini'!$DD:$DD,'CWO Bulan Ini'!$DJ:$DJ,'Area-Cabang'!$B96,'CWO Bulan Ini'!$DH:$DH,'Area-Cabang'!$E96,'CWO Bulan Ini'!$CZ:$CZ,'Area-Cabang'!AN$41)</f>
        <v>66.660504219999993</v>
      </c>
      <c r="AO96" s="56">
        <f>SUMIFS('CWO Bulan Ini'!$DD:$DD,'CWO Bulan Ini'!$DJ:$DJ,'Area-Cabang'!$B96,'CWO Bulan Ini'!$DH:$DH,'Area-Cabang'!$E96,'CWO Bulan Ini'!$CZ:$CZ,'Area-Cabang'!AO$41)</f>
        <v>0</v>
      </c>
      <c r="AP96" s="56">
        <f>SUMIFS('CWO Bulan Ini'!$DD:$DD,'CWO Bulan Ini'!$DJ:$DJ,'Area-Cabang'!$B96,'CWO Bulan Ini'!$DH:$DH,'Area-Cabang'!$E96,'CWO Bulan Ini'!$CZ:$CZ,'Area-Cabang'!AP$41)</f>
        <v>0</v>
      </c>
      <c r="AQ96" s="56">
        <f>SUMIFS('CWO Bulan Ini'!$DD:$DD,'CWO Bulan Ini'!$DJ:$DJ,'Area-Cabang'!$B96,'CWO Bulan Ini'!$DH:$DH,'Area-Cabang'!$E96,'CWO Bulan Ini'!$CZ:$CZ,'Area-Cabang'!AQ$41)</f>
        <v>0</v>
      </c>
      <c r="AR96" s="56">
        <f>SUMIFS('CWO Bulan Ini'!$DD:$DD,'CWO Bulan Ini'!$DJ:$DJ,'Area-Cabang'!$B96,'CWO Bulan Ini'!$DH:$DH,'Area-Cabang'!$E96,'CWO Bulan Ini'!$CZ:$CZ,'Area-Cabang'!AR$41)</f>
        <v>0</v>
      </c>
      <c r="AS96" s="56">
        <f>SUMIFS('CWO Bulan Ini'!$DD:$DD,'CWO Bulan Ini'!$DJ:$DJ,'Area-Cabang'!$B96,'CWO Bulan Ini'!$DH:$DH,'Area-Cabang'!$E96,'CWO Bulan Ini'!$CZ:$CZ,'Area-Cabang'!AS$41)</f>
        <v>0</v>
      </c>
      <c r="AT96" s="56">
        <f>SUMIFS('CWO Bulan Ini'!$DD:$DD,'CWO Bulan Ini'!$DJ:$DJ,'Area-Cabang'!$B96,'CWO Bulan Ini'!$DH:$DH,'Area-Cabang'!$E96,'CWO Bulan Ini'!$CZ:$CZ,'Area-Cabang'!AT$41)</f>
        <v>0</v>
      </c>
      <c r="AU96" s="56">
        <f>SUMIFS('CWO Bulan Ini'!$DD:$DD,'CWO Bulan Ini'!$DJ:$DJ,'Area-Cabang'!$B96,'CWO Bulan Ini'!$DH:$DH,'Area-Cabang'!$E96,'CWO Bulan Ini'!$CZ:$CZ,'Area-Cabang'!AU$41)</f>
        <v>0</v>
      </c>
      <c r="AV96" s="56">
        <f>SUMIFS('CWO Bulan Ini'!$DD:$DD,'CWO Bulan Ini'!$DJ:$DJ,'Area-Cabang'!$B96,'CWO Bulan Ini'!$DH:$DH,'Area-Cabang'!$E96,'CWO Bulan Ini'!$CZ:$CZ,'Area-Cabang'!AV$41)</f>
        <v>0</v>
      </c>
      <c r="AW96" s="56">
        <f>SUMIFS('CWO Bulan Ini'!$DD:$DD,'CWO Bulan Ini'!$DJ:$DJ,'Area-Cabang'!$B96,'CWO Bulan Ini'!$DH:$DH,'Area-Cabang'!$E96,'CWO Bulan Ini'!$CZ:$CZ,'Area-Cabang'!AW$41)</f>
        <v>0</v>
      </c>
      <c r="AX96" s="56">
        <f>SUMIFS('CWO Bulan Ini'!$DD:$DD,'CWO Bulan Ini'!$DJ:$DJ,'Area-Cabang'!$B96,'CWO Bulan Ini'!$DH:$DH,'Area-Cabang'!$E96,'CWO Bulan Ini'!$CZ:$CZ,'Area-Cabang'!AX$41)</f>
        <v>0</v>
      </c>
      <c r="AY96" s="56">
        <f>SUMIFS('CWO Bulan Ini'!$DD:$DD,'CWO Bulan Ini'!$DJ:$DJ,'Area-Cabang'!$B96,'CWO Bulan Ini'!$DH:$DH,'Area-Cabang'!$E96,'CWO Bulan Ini'!$CZ:$CZ,'Area-Cabang'!AY$41)</f>
        <v>0</v>
      </c>
      <c r="AZ96" s="56">
        <f>SUMIFS('CWO Bulan Ini'!$DD:$DD,'CWO Bulan Ini'!$DJ:$DJ,'Area-Cabang'!$B96,'CWO Bulan Ini'!$DH:$DH,'Area-Cabang'!$E96,'CWO Bulan Ini'!$CZ:$CZ,'Area-Cabang'!AZ$41)</f>
        <v>0</v>
      </c>
      <c r="BA96" s="56">
        <f>SUMIFS('CWO Bulan Ini'!$DD:$DD,'CWO Bulan Ini'!$DJ:$DJ,'Area-Cabang'!$B96,'CWO Bulan Ini'!$DH:$DH,'Area-Cabang'!$E96,'CWO Bulan Ini'!$CZ:$CZ,'Area-Cabang'!BA$41)</f>
        <v>0</v>
      </c>
      <c r="BB96" s="56">
        <f>SUMIFS('CWO Bulan Ini'!$DD:$DD,'CWO Bulan Ini'!$DJ:$DJ,'Area-Cabang'!$B96,'CWO Bulan Ini'!$DH:$DH,'Area-Cabang'!$E96,'CWO Bulan Ini'!$CZ:$CZ,'Area-Cabang'!BB$41)</f>
        <v>0</v>
      </c>
      <c r="BC96" s="56">
        <f>SUMIFS('CWO Bulan Ini'!$DD:$DD,'CWO Bulan Ini'!$DJ:$DJ,'Area-Cabang'!$B96,'CWO Bulan Ini'!$DH:$DH,'Area-Cabang'!$E96,'CWO Bulan Ini'!$CZ:$CZ,'Area-Cabang'!BC$41)</f>
        <v>0</v>
      </c>
      <c r="BD96" s="56">
        <f>SUMIFS('CWO Bulan Ini'!$DD:$DD,'CWO Bulan Ini'!$DJ:$DJ,'Area-Cabang'!$B96,'CWO Bulan Ini'!$DH:$DH,'Area-Cabang'!$E96,'CWO Bulan Ini'!$CZ:$CZ,'Area-Cabang'!BD$41)</f>
        <v>0</v>
      </c>
      <c r="BE96" s="56">
        <f>SUMIFS('CWO Bulan Ini'!$DD:$DD,'CWO Bulan Ini'!$DJ:$DJ,'Area-Cabang'!$B96,'CWO Bulan Ini'!$DH:$DH,'Area-Cabang'!$E96,'CWO Bulan Ini'!$CZ:$CZ,'Area-Cabang'!BE$41)</f>
        <v>0</v>
      </c>
      <c r="BF96" s="56">
        <f>SUMIFS('CWO Bulan Ini'!$DD:$DD,'CWO Bulan Ini'!$DJ:$DJ,'Area-Cabang'!$B96,'CWO Bulan Ini'!$DH:$DH,'Area-Cabang'!$E96,'CWO Bulan Ini'!$CZ:$CZ,'Area-Cabang'!BF$41)</f>
        <v>0</v>
      </c>
      <c r="BG96" s="56">
        <f>SUMIFS('CWO Bulan Ini'!$DD:$DD,'CWO Bulan Ini'!$DJ:$DJ,'Area-Cabang'!$B96,'CWO Bulan Ini'!$DH:$DH,'Area-Cabang'!$E96,'CWO Bulan Ini'!$CZ:$CZ,'Area-Cabang'!BG$41)</f>
        <v>0</v>
      </c>
      <c r="BH96" s="56">
        <f>SUMIFS('CWO Bulan Ini'!$DD:$DD,'CWO Bulan Ini'!$DJ:$DJ,'Area-Cabang'!$B96,'CWO Bulan Ini'!$DH:$DH,'Area-Cabang'!$E96,'CWO Bulan Ini'!$CZ:$CZ,'Area-Cabang'!BH$41)</f>
        <v>0</v>
      </c>
      <c r="BI96" s="56">
        <f>SUMIFS('CWO Bulan Ini'!$DD:$DD,'CWO Bulan Ini'!$DJ:$DJ,'Area-Cabang'!$B96,'CWO Bulan Ini'!$DH:$DH,'Area-Cabang'!$E96,'CWO Bulan Ini'!$CZ:$CZ,'Area-Cabang'!BI$41)</f>
        <v>0</v>
      </c>
      <c r="BJ96" s="56">
        <f>SUMIFS('CWO Bulan Ini'!$DD:$DD,'CWO Bulan Ini'!$DJ:$DJ,'Area-Cabang'!$B96,'CWO Bulan Ini'!$DH:$DH,'Area-Cabang'!$E96,'CWO Bulan Ini'!$CZ:$CZ,'Area-Cabang'!BJ$41)</f>
        <v>0</v>
      </c>
      <c r="BK96" s="56">
        <f>SUMIFS('CWO Bulan Ini'!$DD:$DD,'CWO Bulan Ini'!$DJ:$DJ,'Area-Cabang'!$B96,'CWO Bulan Ini'!$DH:$DH,'Area-Cabang'!$E96,'CWO Bulan Ini'!$CZ:$CZ,'Area-Cabang'!BK$41)</f>
        <v>0</v>
      </c>
      <c r="BL96" s="56">
        <f>SUMIFS('CWO Bulan Ini'!$DD:$DD,'CWO Bulan Ini'!$DJ:$DJ,'Area-Cabang'!$B96,'CWO Bulan Ini'!$DH:$DH,'Area-Cabang'!$E96,'CWO Bulan Ini'!$CZ:$CZ,'Area-Cabang'!BL$41)</f>
        <v>0</v>
      </c>
      <c r="BM96" s="56">
        <f>SUMIFS('CWO Bulan Ini'!$DD:$DD,'CWO Bulan Ini'!$DJ:$DJ,'Area-Cabang'!$B96,'CWO Bulan Ini'!$DH:$DH,'Area-Cabang'!$E96,'CWO Bulan Ini'!$CZ:$CZ,'Area-Cabang'!BM$41)</f>
        <v>0</v>
      </c>
      <c r="BN96" s="56">
        <f>SUMIFS('CWO Bulan Ini'!$DD:$DD,'CWO Bulan Ini'!$DJ:$DJ,'Area-Cabang'!$B96,'CWO Bulan Ini'!$DH:$DH,'Area-Cabang'!$E96,'CWO Bulan Ini'!$CZ:$CZ,'Area-Cabang'!BN$41)</f>
        <v>0</v>
      </c>
      <c r="BO96" s="57">
        <f>SUMIFS('CWO Bulan Ini'!$DD:$DD,'CWO Bulan Ini'!$DJ:$DJ,'Area-Cabang'!$B96,'CWO Bulan Ini'!$DH:$DH,'Area-Cabang'!$E96,'CWO Bulan Ini'!$CZ:$CZ,'Area-Cabang'!BO$41)</f>
        <v>0</v>
      </c>
      <c r="BP96" s="55">
        <f>SUMIFS('CWO Bulan Ini'!$DC:$DC,'CWO Bulan Ini'!$DJ:$DJ,'Area-Cabang'!$B96,'CWO Bulan Ini'!$DH:$DH,'Area-Cabang'!$E96,'CWO Bulan Ini'!$CZ:$CZ,'Area-Cabang'!BP$41)</f>
        <v>0</v>
      </c>
      <c r="BQ96" s="56">
        <f>SUMIFS('CWO Bulan Ini'!$DC:$DC,'CWO Bulan Ini'!$DJ:$DJ,'Area-Cabang'!$B96,'CWO Bulan Ini'!$DH:$DH,'Area-Cabang'!$E96,'CWO Bulan Ini'!$CZ:$CZ,'Area-Cabang'!BQ$41)</f>
        <v>0</v>
      </c>
      <c r="BR96" s="56">
        <f>SUMIFS('CWO Bulan Ini'!$DC:$DC,'CWO Bulan Ini'!$DJ:$DJ,'Area-Cabang'!$B96,'CWO Bulan Ini'!$DH:$DH,'Area-Cabang'!$E96,'CWO Bulan Ini'!$CZ:$CZ,'Area-Cabang'!BR$41)</f>
        <v>0</v>
      </c>
      <c r="BS96" s="56">
        <f>SUMIFS('CWO Bulan Ini'!$DC:$DC,'CWO Bulan Ini'!$DJ:$DJ,'Area-Cabang'!$B96,'CWO Bulan Ini'!$DH:$DH,'Area-Cabang'!$E96,'CWO Bulan Ini'!$CZ:$CZ,'Area-Cabang'!BS$41)</f>
        <v>0</v>
      </c>
      <c r="BT96" s="56">
        <f>SUMIFS('CWO Bulan Ini'!$DC:$DC,'CWO Bulan Ini'!$DJ:$DJ,'Area-Cabang'!$B96,'CWO Bulan Ini'!$DH:$DH,'Area-Cabang'!$E96,'CWO Bulan Ini'!$CZ:$CZ,'Area-Cabang'!BT$41)</f>
        <v>0</v>
      </c>
      <c r="BU96" s="56">
        <f>SUMIFS('CWO Bulan Ini'!$DC:$DC,'CWO Bulan Ini'!$DJ:$DJ,'Area-Cabang'!$B96,'CWO Bulan Ini'!$DH:$DH,'Area-Cabang'!$E96,'CWO Bulan Ini'!$CZ:$CZ,'Area-Cabang'!BU$41)</f>
        <v>0</v>
      </c>
      <c r="BV96" s="56">
        <f>SUMIFS('CWO Bulan Ini'!$DC:$DC,'CWO Bulan Ini'!$DJ:$DJ,'Area-Cabang'!$B96,'CWO Bulan Ini'!$DH:$DH,'Area-Cabang'!$E96,'CWO Bulan Ini'!$CZ:$CZ,'Area-Cabang'!BV$41)</f>
        <v>0</v>
      </c>
      <c r="BW96" s="56">
        <f>SUMIFS('CWO Bulan Ini'!$DC:$DC,'CWO Bulan Ini'!$DJ:$DJ,'Area-Cabang'!$B96,'CWO Bulan Ini'!$DH:$DH,'Area-Cabang'!$E96,'CWO Bulan Ini'!$CZ:$CZ,'Area-Cabang'!BW$41)</f>
        <v>0</v>
      </c>
      <c r="BX96" s="56">
        <f>SUMIFS('CWO Bulan Ini'!$DC:$DC,'CWO Bulan Ini'!$DJ:$DJ,'Area-Cabang'!$B96,'CWO Bulan Ini'!$DH:$DH,'Area-Cabang'!$E96,'CWO Bulan Ini'!$CZ:$CZ,'Area-Cabang'!BX$41)</f>
        <v>0</v>
      </c>
      <c r="BY96" s="56">
        <f>SUMIFS('CWO Bulan Ini'!$DC:$DC,'CWO Bulan Ini'!$DJ:$DJ,'Area-Cabang'!$B96,'CWO Bulan Ini'!$DH:$DH,'Area-Cabang'!$E96,'CWO Bulan Ini'!$CZ:$CZ,'Area-Cabang'!BY$41)</f>
        <v>0</v>
      </c>
      <c r="BZ96" s="56">
        <f>SUMIFS('CWO Bulan Ini'!$DC:$DC,'CWO Bulan Ini'!$DJ:$DJ,'Area-Cabang'!$B96,'CWO Bulan Ini'!$DH:$DH,'Area-Cabang'!$E96,'CWO Bulan Ini'!$CZ:$CZ,'Area-Cabang'!BZ$41)</f>
        <v>0</v>
      </c>
      <c r="CA96" s="56">
        <f>SUMIFS('CWO Bulan Ini'!$DC:$DC,'CWO Bulan Ini'!$DJ:$DJ,'Area-Cabang'!$B96,'CWO Bulan Ini'!$DH:$DH,'Area-Cabang'!$E96,'CWO Bulan Ini'!$CZ:$CZ,'Area-Cabang'!CA$41)</f>
        <v>0</v>
      </c>
      <c r="CB96" s="56">
        <f>SUMIFS('CWO Bulan Ini'!$DC:$DC,'CWO Bulan Ini'!$DJ:$DJ,'Area-Cabang'!$B96,'CWO Bulan Ini'!$DH:$DH,'Area-Cabang'!$E96,'CWO Bulan Ini'!$CZ:$CZ,'Area-Cabang'!CB$41)</f>
        <v>0</v>
      </c>
      <c r="CC96" s="56">
        <f>SUMIFS('CWO Bulan Ini'!$DC:$DC,'CWO Bulan Ini'!$DJ:$DJ,'Area-Cabang'!$B96,'CWO Bulan Ini'!$DH:$DH,'Area-Cabang'!$E96,'CWO Bulan Ini'!$CZ:$CZ,'Area-Cabang'!CC$41)</f>
        <v>0</v>
      </c>
      <c r="CD96" s="56">
        <f>SUMIFS('CWO Bulan Ini'!$DC:$DC,'CWO Bulan Ini'!$DJ:$DJ,'Area-Cabang'!$B96,'CWO Bulan Ini'!$DH:$DH,'Area-Cabang'!$E96,'CWO Bulan Ini'!$CZ:$CZ,'Area-Cabang'!CD$41)</f>
        <v>0</v>
      </c>
      <c r="CE96" s="56">
        <f>SUMIFS('CWO Bulan Ini'!$DC:$DC,'CWO Bulan Ini'!$DJ:$DJ,'Area-Cabang'!$B96,'CWO Bulan Ini'!$DH:$DH,'Area-Cabang'!$E96,'CWO Bulan Ini'!$CZ:$CZ,'Area-Cabang'!CE$41)</f>
        <v>0</v>
      </c>
      <c r="CF96" s="56">
        <f>SUMIFS('CWO Bulan Ini'!$DC:$DC,'CWO Bulan Ini'!$DJ:$DJ,'Area-Cabang'!$B96,'CWO Bulan Ini'!$DH:$DH,'Area-Cabang'!$E96,'CWO Bulan Ini'!$CZ:$CZ,'Area-Cabang'!CF$41)</f>
        <v>0</v>
      </c>
      <c r="CG96" s="56">
        <f>SUMIFS('CWO Bulan Ini'!$DC:$DC,'CWO Bulan Ini'!$DJ:$DJ,'Area-Cabang'!$B96,'CWO Bulan Ini'!$DH:$DH,'Area-Cabang'!$E96,'CWO Bulan Ini'!$CZ:$CZ,'Area-Cabang'!CG$41)</f>
        <v>0</v>
      </c>
      <c r="CH96" s="56">
        <f>SUMIFS('CWO Bulan Ini'!$DC:$DC,'CWO Bulan Ini'!$DJ:$DJ,'Area-Cabang'!$B96,'CWO Bulan Ini'!$DH:$DH,'Area-Cabang'!$E96,'CWO Bulan Ini'!$CZ:$CZ,'Area-Cabang'!CH$41)</f>
        <v>0</v>
      </c>
      <c r="CI96" s="56">
        <f>SUMIFS('CWO Bulan Ini'!$DC:$DC,'CWO Bulan Ini'!$DJ:$DJ,'Area-Cabang'!$B96,'CWO Bulan Ini'!$DH:$DH,'Area-Cabang'!$E96,'CWO Bulan Ini'!$CZ:$CZ,'Area-Cabang'!CI$41)</f>
        <v>0</v>
      </c>
      <c r="CJ96" s="56">
        <f>SUMIFS('CWO Bulan Ini'!$DC:$DC,'CWO Bulan Ini'!$DJ:$DJ,'Area-Cabang'!$B96,'CWO Bulan Ini'!$DH:$DH,'Area-Cabang'!$E96,'CWO Bulan Ini'!$CZ:$CZ,'Area-Cabang'!CJ$41)</f>
        <v>0</v>
      </c>
      <c r="CK96" s="56">
        <f>SUMIFS('CWO Bulan Ini'!$DC:$DC,'CWO Bulan Ini'!$DJ:$DJ,'Area-Cabang'!$B96,'CWO Bulan Ini'!$DH:$DH,'Area-Cabang'!$E96,'CWO Bulan Ini'!$CZ:$CZ,'Area-Cabang'!CK$41)</f>
        <v>0</v>
      </c>
      <c r="CL96" s="56">
        <f>SUMIFS('CWO Bulan Ini'!$DC:$DC,'CWO Bulan Ini'!$DJ:$DJ,'Area-Cabang'!$B96,'CWO Bulan Ini'!$DH:$DH,'Area-Cabang'!$E96,'CWO Bulan Ini'!$CZ:$CZ,'Area-Cabang'!CL$41)</f>
        <v>0</v>
      </c>
      <c r="CM96" s="56">
        <f>SUMIFS('CWO Bulan Ini'!$DC:$DC,'CWO Bulan Ini'!$DJ:$DJ,'Area-Cabang'!$B96,'CWO Bulan Ini'!$DH:$DH,'Area-Cabang'!$E96,'CWO Bulan Ini'!$CZ:$CZ,'Area-Cabang'!CM$41)</f>
        <v>0</v>
      </c>
      <c r="CN96" s="56">
        <f>SUMIFS('CWO Bulan Ini'!$DC:$DC,'CWO Bulan Ini'!$DJ:$DJ,'Area-Cabang'!$B96,'CWO Bulan Ini'!$DH:$DH,'Area-Cabang'!$E96,'CWO Bulan Ini'!$CZ:$CZ,'Area-Cabang'!CN$41)</f>
        <v>0</v>
      </c>
      <c r="CO96" s="56">
        <f>SUMIFS('CWO Bulan Ini'!$DC:$DC,'CWO Bulan Ini'!$DJ:$DJ,'Area-Cabang'!$B96,'CWO Bulan Ini'!$DH:$DH,'Area-Cabang'!$E96,'CWO Bulan Ini'!$CZ:$CZ,'Area-Cabang'!CO$41)</f>
        <v>0</v>
      </c>
      <c r="CP96" s="56">
        <f>SUMIFS('CWO Bulan Ini'!$DC:$DC,'CWO Bulan Ini'!$DJ:$DJ,'Area-Cabang'!$B96,'CWO Bulan Ini'!$DH:$DH,'Area-Cabang'!$E96,'CWO Bulan Ini'!$CZ:$CZ,'Area-Cabang'!CP$41)</f>
        <v>0</v>
      </c>
      <c r="CQ96" s="56">
        <f>SUMIFS('CWO Bulan Ini'!$DC:$DC,'CWO Bulan Ini'!$DJ:$DJ,'Area-Cabang'!$B96,'CWO Bulan Ini'!$DH:$DH,'Area-Cabang'!$E96,'CWO Bulan Ini'!$CZ:$CZ,'Area-Cabang'!CQ$41)</f>
        <v>0</v>
      </c>
      <c r="CR96" s="56">
        <f>SUMIFS('CWO Bulan Ini'!$DC:$DC,'CWO Bulan Ini'!$DJ:$DJ,'Area-Cabang'!$B96,'CWO Bulan Ini'!$DH:$DH,'Area-Cabang'!$E96,'CWO Bulan Ini'!$CZ:$CZ,'Area-Cabang'!CR$41)</f>
        <v>0</v>
      </c>
      <c r="CS96" s="56">
        <f>SUMIFS('CWO Bulan Ini'!$DC:$DC,'CWO Bulan Ini'!$DJ:$DJ,'Area-Cabang'!$B96,'CWO Bulan Ini'!$DH:$DH,'Area-Cabang'!$E96,'CWO Bulan Ini'!$CZ:$CZ,'Area-Cabang'!CS$41)</f>
        <v>0</v>
      </c>
      <c r="CT96" s="57">
        <f>SUMIFS('CWO Bulan Ini'!$DC:$DC,'CWO Bulan Ini'!$DJ:$DJ,'Area-Cabang'!$B96,'CWO Bulan Ini'!$DH:$DH,'Area-Cabang'!$E96,'CWO Bulan Ini'!$CZ:$CZ,'Area-Cabang'!CT$41)</f>
        <v>0</v>
      </c>
      <c r="CV96" s="97">
        <f t="shared" ref="CV96:CV97" si="2835">SUM(F96:AJ96)</f>
        <v>184.00490078999997</v>
      </c>
      <c r="CW96" s="98">
        <f t="shared" ref="CW96:CW97" si="2836">SUM(AK96:BO96)</f>
        <v>66.660504219999993</v>
      </c>
      <c r="CX96" s="98">
        <f t="shared" ref="CX96:CX97" si="2837">SUM(BP96:CT96)</f>
        <v>0</v>
      </c>
      <c r="CY96" s="98">
        <f t="shared" ref="CY96:CY97" si="2838">CV96-CW96-CX96</f>
        <v>117.34439656999997</v>
      </c>
      <c r="CZ96" s="105">
        <f t="shared" ref="CZ96:CZ97" si="2839">CY96+CW96</f>
        <v>184.00490078999997</v>
      </c>
    </row>
    <row r="97" spans="1:104" ht="15" customHeight="1" x14ac:dyDescent="0.25">
      <c r="A97" s="58" t="s">
        <v>469</v>
      </c>
      <c r="B97" s="58" t="s">
        <v>468</v>
      </c>
      <c r="C97" s="250"/>
      <c r="D97" s="244"/>
      <c r="E97" s="40" t="s">
        <v>349</v>
      </c>
      <c r="F97" s="41">
        <f>SUMIFS('CWO Bulan Ini'!$DA:$DA,'CWO Bulan Ini'!$DJ:$DJ,'Area-Cabang'!$B97,'CWO Bulan Ini'!$DH:$DH,'Area-Cabang'!$E97,'CWO Bulan Ini'!$CZ:$CZ,'Area-Cabang'!F$41)</f>
        <v>0</v>
      </c>
      <c r="G97" s="42">
        <f>SUMIFS('CWO Bulan Ini'!$DA:$DA,'CWO Bulan Ini'!$DJ:$DJ,'Area-Cabang'!$B97,'CWO Bulan Ini'!$DH:$DH,'Area-Cabang'!$E97,'CWO Bulan Ini'!$CZ:$CZ,'Area-Cabang'!G$41)</f>
        <v>0</v>
      </c>
      <c r="H97" s="42">
        <f>SUMIFS('CWO Bulan Ini'!$DA:$DA,'CWO Bulan Ini'!$DJ:$DJ,'Area-Cabang'!$B97,'CWO Bulan Ini'!$DH:$DH,'Area-Cabang'!$E97,'CWO Bulan Ini'!$CZ:$CZ,'Area-Cabang'!H$41)</f>
        <v>0</v>
      </c>
      <c r="I97" s="42">
        <f>SUMIFS('CWO Bulan Ini'!$DA:$DA,'CWO Bulan Ini'!$DJ:$DJ,'Area-Cabang'!$B97,'CWO Bulan Ini'!$DH:$DH,'Area-Cabang'!$E97,'CWO Bulan Ini'!$CZ:$CZ,'Area-Cabang'!I$41)</f>
        <v>0.62155158999999993</v>
      </c>
      <c r="J97" s="42">
        <f>SUMIFS('CWO Bulan Ini'!$DA:$DA,'CWO Bulan Ini'!$DJ:$DJ,'Area-Cabang'!$B97,'CWO Bulan Ini'!$DH:$DH,'Area-Cabang'!$E97,'CWO Bulan Ini'!$CZ:$CZ,'Area-Cabang'!J$41)</f>
        <v>0</v>
      </c>
      <c r="K97" s="42">
        <f>SUMIFS('CWO Bulan Ini'!$DA:$DA,'CWO Bulan Ini'!$DJ:$DJ,'Area-Cabang'!$B97,'CWO Bulan Ini'!$DH:$DH,'Area-Cabang'!$E97,'CWO Bulan Ini'!$CZ:$CZ,'Area-Cabang'!K$41)</f>
        <v>0</v>
      </c>
      <c r="L97" s="42">
        <f>SUMIFS('CWO Bulan Ini'!$DA:$DA,'CWO Bulan Ini'!$DJ:$DJ,'Area-Cabang'!$B97,'CWO Bulan Ini'!$DH:$DH,'Area-Cabang'!$E97,'CWO Bulan Ini'!$CZ:$CZ,'Area-Cabang'!L$41)</f>
        <v>0</v>
      </c>
      <c r="M97" s="42">
        <f>SUMIFS('CWO Bulan Ini'!$DA:$DA,'CWO Bulan Ini'!$DJ:$DJ,'Area-Cabang'!$B97,'CWO Bulan Ini'!$DH:$DH,'Area-Cabang'!$E97,'CWO Bulan Ini'!$CZ:$CZ,'Area-Cabang'!M$41)</f>
        <v>0</v>
      </c>
      <c r="N97" s="42">
        <f>SUMIFS('CWO Bulan Ini'!$DA:$DA,'CWO Bulan Ini'!$DJ:$DJ,'Area-Cabang'!$B97,'CWO Bulan Ini'!$DH:$DH,'Area-Cabang'!$E97,'CWO Bulan Ini'!$CZ:$CZ,'Area-Cabang'!N$41)</f>
        <v>0</v>
      </c>
      <c r="O97" s="42">
        <f>SUMIFS('CWO Bulan Ini'!$DA:$DA,'CWO Bulan Ini'!$DJ:$DJ,'Area-Cabang'!$B97,'CWO Bulan Ini'!$DH:$DH,'Area-Cabang'!$E97,'CWO Bulan Ini'!$CZ:$CZ,'Area-Cabang'!O$41)</f>
        <v>0</v>
      </c>
      <c r="P97" s="42">
        <f>SUMIFS('CWO Bulan Ini'!$DA:$DA,'CWO Bulan Ini'!$DJ:$DJ,'Area-Cabang'!$B97,'CWO Bulan Ini'!$DH:$DH,'Area-Cabang'!$E97,'CWO Bulan Ini'!$CZ:$CZ,'Area-Cabang'!P$41)</f>
        <v>0</v>
      </c>
      <c r="Q97" s="42">
        <f>SUMIFS('CWO Bulan Ini'!$DA:$DA,'CWO Bulan Ini'!$DJ:$DJ,'Area-Cabang'!$B97,'CWO Bulan Ini'!$DH:$DH,'Area-Cabang'!$E97,'CWO Bulan Ini'!$CZ:$CZ,'Area-Cabang'!Q$41)</f>
        <v>2.2893304100000003</v>
      </c>
      <c r="R97" s="42">
        <f>SUMIFS('CWO Bulan Ini'!$DA:$DA,'CWO Bulan Ini'!$DJ:$DJ,'Area-Cabang'!$B97,'CWO Bulan Ini'!$DH:$DH,'Area-Cabang'!$E97,'CWO Bulan Ini'!$CZ:$CZ,'Area-Cabang'!R$41)</f>
        <v>0</v>
      </c>
      <c r="S97" s="42">
        <f>SUMIFS('CWO Bulan Ini'!$DA:$DA,'CWO Bulan Ini'!$DJ:$DJ,'Area-Cabang'!$B97,'CWO Bulan Ini'!$DH:$DH,'Area-Cabang'!$E97,'CWO Bulan Ini'!$CZ:$CZ,'Area-Cabang'!S$41)</f>
        <v>0</v>
      </c>
      <c r="T97" s="42">
        <f>SUMIFS('CWO Bulan Ini'!$DA:$DA,'CWO Bulan Ini'!$DJ:$DJ,'Area-Cabang'!$B97,'CWO Bulan Ini'!$DH:$DH,'Area-Cabang'!$E97,'CWO Bulan Ini'!$CZ:$CZ,'Area-Cabang'!T$41)</f>
        <v>0</v>
      </c>
      <c r="U97" s="42">
        <f>SUMIFS('CWO Bulan Ini'!$DA:$DA,'CWO Bulan Ini'!$DJ:$DJ,'Area-Cabang'!$B97,'CWO Bulan Ini'!$DH:$DH,'Area-Cabang'!$E97,'CWO Bulan Ini'!$CZ:$CZ,'Area-Cabang'!U$41)</f>
        <v>0</v>
      </c>
      <c r="V97" s="42">
        <f>SUMIFS('CWO Bulan Ini'!$DA:$DA,'CWO Bulan Ini'!$DJ:$DJ,'Area-Cabang'!$B97,'CWO Bulan Ini'!$DH:$DH,'Area-Cabang'!$E97,'CWO Bulan Ini'!$CZ:$CZ,'Area-Cabang'!V$41)</f>
        <v>0</v>
      </c>
      <c r="W97" s="42">
        <f>SUMIFS('CWO Bulan Ini'!$DA:$DA,'CWO Bulan Ini'!$DJ:$DJ,'Area-Cabang'!$B97,'CWO Bulan Ini'!$DH:$DH,'Area-Cabang'!$E97,'CWO Bulan Ini'!$CZ:$CZ,'Area-Cabang'!W$41)</f>
        <v>0</v>
      </c>
      <c r="X97" s="42">
        <f>SUMIFS('CWO Bulan Ini'!$DA:$DA,'CWO Bulan Ini'!$DJ:$DJ,'Area-Cabang'!$B97,'CWO Bulan Ini'!$DH:$DH,'Area-Cabang'!$E97,'CWO Bulan Ini'!$CZ:$CZ,'Area-Cabang'!X$41)</f>
        <v>0</v>
      </c>
      <c r="Y97" s="42">
        <f>SUMIFS('CWO Bulan Ini'!$DA:$DA,'CWO Bulan Ini'!$DJ:$DJ,'Area-Cabang'!$B97,'CWO Bulan Ini'!$DH:$DH,'Area-Cabang'!$E97,'CWO Bulan Ini'!$CZ:$CZ,'Area-Cabang'!Y$41)</f>
        <v>0</v>
      </c>
      <c r="Z97" s="42">
        <f>SUMIFS('CWO Bulan Ini'!$DA:$DA,'CWO Bulan Ini'!$DJ:$DJ,'Area-Cabang'!$B97,'CWO Bulan Ini'!$DH:$DH,'Area-Cabang'!$E97,'CWO Bulan Ini'!$CZ:$CZ,'Area-Cabang'!Z$41)</f>
        <v>0</v>
      </c>
      <c r="AA97" s="42">
        <f>SUMIFS('CWO Bulan Ini'!$DA:$DA,'CWO Bulan Ini'!$DJ:$DJ,'Area-Cabang'!$B97,'CWO Bulan Ini'!$DH:$DH,'Area-Cabang'!$E97,'CWO Bulan Ini'!$CZ:$CZ,'Area-Cabang'!AA$41)</f>
        <v>0</v>
      </c>
      <c r="AB97" s="42">
        <f>SUMIFS('CWO Bulan Ini'!$DA:$DA,'CWO Bulan Ini'!$DJ:$DJ,'Area-Cabang'!$B97,'CWO Bulan Ini'!$DH:$DH,'Area-Cabang'!$E97,'CWO Bulan Ini'!$CZ:$CZ,'Area-Cabang'!AB$41)</f>
        <v>0</v>
      </c>
      <c r="AC97" s="42">
        <f>SUMIFS('CWO Bulan Ini'!$DA:$DA,'CWO Bulan Ini'!$DJ:$DJ,'Area-Cabang'!$B97,'CWO Bulan Ini'!$DH:$DH,'Area-Cabang'!$E97,'CWO Bulan Ini'!$CZ:$CZ,'Area-Cabang'!AC$41)</f>
        <v>0</v>
      </c>
      <c r="AD97" s="42">
        <f>SUMIFS('CWO Bulan Ini'!$DA:$DA,'CWO Bulan Ini'!$DJ:$DJ,'Area-Cabang'!$B97,'CWO Bulan Ini'!$DH:$DH,'Area-Cabang'!$E97,'CWO Bulan Ini'!$CZ:$CZ,'Area-Cabang'!AD$41)</f>
        <v>0</v>
      </c>
      <c r="AE97" s="42">
        <f>SUMIFS('CWO Bulan Ini'!$DA:$DA,'CWO Bulan Ini'!$DJ:$DJ,'Area-Cabang'!$B97,'CWO Bulan Ini'!$DH:$DH,'Area-Cabang'!$E97,'CWO Bulan Ini'!$CZ:$CZ,'Area-Cabang'!AE$41)</f>
        <v>0</v>
      </c>
      <c r="AF97" s="42">
        <f>SUMIFS('CWO Bulan Ini'!$DA:$DA,'CWO Bulan Ini'!$DJ:$DJ,'Area-Cabang'!$B97,'CWO Bulan Ini'!$DH:$DH,'Area-Cabang'!$E97,'CWO Bulan Ini'!$CZ:$CZ,'Area-Cabang'!AF$41)</f>
        <v>0</v>
      </c>
      <c r="AG97" s="42">
        <f>SUMIFS('CWO Bulan Ini'!$DA:$DA,'CWO Bulan Ini'!$DJ:$DJ,'Area-Cabang'!$B97,'CWO Bulan Ini'!$DH:$DH,'Area-Cabang'!$E97,'CWO Bulan Ini'!$CZ:$CZ,'Area-Cabang'!AG$41)</f>
        <v>0</v>
      </c>
      <c r="AH97" s="42">
        <f>SUMIFS('CWO Bulan Ini'!$DA:$DA,'CWO Bulan Ini'!$DJ:$DJ,'Area-Cabang'!$B97,'CWO Bulan Ini'!$DH:$DH,'Area-Cabang'!$E97,'CWO Bulan Ini'!$CZ:$CZ,'Area-Cabang'!AH$41)</f>
        <v>0</v>
      </c>
      <c r="AI97" s="42">
        <f>SUMIFS('CWO Bulan Ini'!$DA:$DA,'CWO Bulan Ini'!$DJ:$DJ,'Area-Cabang'!$B97,'CWO Bulan Ini'!$DH:$DH,'Area-Cabang'!$E97,'CWO Bulan Ini'!$CZ:$CZ,'Area-Cabang'!AI$41)</f>
        <v>0</v>
      </c>
      <c r="AJ97" s="42">
        <f>SUMIFS('CWO Bulan Ini'!$DA:$DA,'CWO Bulan Ini'!$DJ:$DJ,'Area-Cabang'!$B97,'CWO Bulan Ini'!$DH:$DH,'Area-Cabang'!$E97,'CWO Bulan Ini'!$CZ:$CZ,'Area-Cabang'!AJ$41)</f>
        <v>0</v>
      </c>
      <c r="AK97" s="41">
        <f>SUMIFS('CWO Bulan Ini'!$DD:$DD,'CWO Bulan Ini'!$DJ:$DJ,'Area-Cabang'!$B97,'CWO Bulan Ini'!$DH:$DH,'Area-Cabang'!$E97,'CWO Bulan Ini'!$CZ:$CZ,'Area-Cabang'!AK$41)</f>
        <v>0</v>
      </c>
      <c r="AL97" s="42">
        <f>SUMIFS('CWO Bulan Ini'!$DD:$DD,'CWO Bulan Ini'!$DJ:$DJ,'Area-Cabang'!$B97,'CWO Bulan Ini'!$DH:$DH,'Area-Cabang'!$E97,'CWO Bulan Ini'!$CZ:$CZ,'Area-Cabang'!AL$41)</f>
        <v>0</v>
      </c>
      <c r="AM97" s="42">
        <f>SUMIFS('CWO Bulan Ini'!$DD:$DD,'CWO Bulan Ini'!$DJ:$DJ,'Area-Cabang'!$B97,'CWO Bulan Ini'!$DH:$DH,'Area-Cabang'!$E97,'CWO Bulan Ini'!$CZ:$CZ,'Area-Cabang'!AM$41)</f>
        <v>0</v>
      </c>
      <c r="AN97" s="42">
        <f>SUMIFS('CWO Bulan Ini'!$DD:$DD,'CWO Bulan Ini'!$DJ:$DJ,'Area-Cabang'!$B97,'CWO Bulan Ini'!$DH:$DH,'Area-Cabang'!$E97,'CWO Bulan Ini'!$CZ:$CZ,'Area-Cabang'!AN$41)</f>
        <v>0.62155158999999993</v>
      </c>
      <c r="AO97" s="42">
        <f>SUMIFS('CWO Bulan Ini'!$DD:$DD,'CWO Bulan Ini'!$DJ:$DJ,'Area-Cabang'!$B97,'CWO Bulan Ini'!$DH:$DH,'Area-Cabang'!$E97,'CWO Bulan Ini'!$CZ:$CZ,'Area-Cabang'!AO$41)</f>
        <v>0</v>
      </c>
      <c r="AP97" s="42">
        <f>SUMIFS('CWO Bulan Ini'!$DD:$DD,'CWO Bulan Ini'!$DJ:$DJ,'Area-Cabang'!$B97,'CWO Bulan Ini'!$DH:$DH,'Area-Cabang'!$E97,'CWO Bulan Ini'!$CZ:$CZ,'Area-Cabang'!AP$41)</f>
        <v>0</v>
      </c>
      <c r="AQ97" s="42">
        <f>SUMIFS('CWO Bulan Ini'!$DD:$DD,'CWO Bulan Ini'!$DJ:$DJ,'Area-Cabang'!$B97,'CWO Bulan Ini'!$DH:$DH,'Area-Cabang'!$E97,'CWO Bulan Ini'!$CZ:$CZ,'Area-Cabang'!AQ$41)</f>
        <v>0</v>
      </c>
      <c r="AR97" s="42">
        <f>SUMIFS('CWO Bulan Ini'!$DD:$DD,'CWO Bulan Ini'!$DJ:$DJ,'Area-Cabang'!$B97,'CWO Bulan Ini'!$DH:$DH,'Area-Cabang'!$E97,'CWO Bulan Ini'!$CZ:$CZ,'Area-Cabang'!AR$41)</f>
        <v>0</v>
      </c>
      <c r="AS97" s="42">
        <f>SUMIFS('CWO Bulan Ini'!$DD:$DD,'CWO Bulan Ini'!$DJ:$DJ,'Area-Cabang'!$B97,'CWO Bulan Ini'!$DH:$DH,'Area-Cabang'!$E97,'CWO Bulan Ini'!$CZ:$CZ,'Area-Cabang'!AS$41)</f>
        <v>0</v>
      </c>
      <c r="AT97" s="42">
        <f>SUMIFS('CWO Bulan Ini'!$DD:$DD,'CWO Bulan Ini'!$DJ:$DJ,'Area-Cabang'!$B97,'CWO Bulan Ini'!$DH:$DH,'Area-Cabang'!$E97,'CWO Bulan Ini'!$CZ:$CZ,'Area-Cabang'!AT$41)</f>
        <v>0</v>
      </c>
      <c r="AU97" s="42">
        <f>SUMIFS('CWO Bulan Ini'!$DD:$DD,'CWO Bulan Ini'!$DJ:$DJ,'Area-Cabang'!$B97,'CWO Bulan Ini'!$DH:$DH,'Area-Cabang'!$E97,'CWO Bulan Ini'!$CZ:$CZ,'Area-Cabang'!AU$41)</f>
        <v>0</v>
      </c>
      <c r="AV97" s="42">
        <f>SUMIFS('CWO Bulan Ini'!$DD:$DD,'CWO Bulan Ini'!$DJ:$DJ,'Area-Cabang'!$B97,'CWO Bulan Ini'!$DH:$DH,'Area-Cabang'!$E97,'CWO Bulan Ini'!$CZ:$CZ,'Area-Cabang'!AV$41)</f>
        <v>0</v>
      </c>
      <c r="AW97" s="42">
        <f>SUMIFS('CWO Bulan Ini'!$DD:$DD,'CWO Bulan Ini'!$DJ:$DJ,'Area-Cabang'!$B97,'CWO Bulan Ini'!$DH:$DH,'Area-Cabang'!$E97,'CWO Bulan Ini'!$CZ:$CZ,'Area-Cabang'!AW$41)</f>
        <v>0</v>
      </c>
      <c r="AX97" s="42">
        <f>SUMIFS('CWO Bulan Ini'!$DD:$DD,'CWO Bulan Ini'!$DJ:$DJ,'Area-Cabang'!$B97,'CWO Bulan Ini'!$DH:$DH,'Area-Cabang'!$E97,'CWO Bulan Ini'!$CZ:$CZ,'Area-Cabang'!AX$41)</f>
        <v>0</v>
      </c>
      <c r="AY97" s="42">
        <f>SUMIFS('CWO Bulan Ini'!$DD:$DD,'CWO Bulan Ini'!$DJ:$DJ,'Area-Cabang'!$B97,'CWO Bulan Ini'!$DH:$DH,'Area-Cabang'!$E97,'CWO Bulan Ini'!$CZ:$CZ,'Area-Cabang'!AY$41)</f>
        <v>0</v>
      </c>
      <c r="AZ97" s="42">
        <f>SUMIFS('CWO Bulan Ini'!$DD:$DD,'CWO Bulan Ini'!$DJ:$DJ,'Area-Cabang'!$B97,'CWO Bulan Ini'!$DH:$DH,'Area-Cabang'!$E97,'CWO Bulan Ini'!$CZ:$CZ,'Area-Cabang'!AZ$41)</f>
        <v>0</v>
      </c>
      <c r="BA97" s="42">
        <f>SUMIFS('CWO Bulan Ini'!$DD:$DD,'CWO Bulan Ini'!$DJ:$DJ,'Area-Cabang'!$B97,'CWO Bulan Ini'!$DH:$DH,'Area-Cabang'!$E97,'CWO Bulan Ini'!$CZ:$CZ,'Area-Cabang'!BA$41)</f>
        <v>0</v>
      </c>
      <c r="BB97" s="42">
        <f>SUMIFS('CWO Bulan Ini'!$DD:$DD,'CWO Bulan Ini'!$DJ:$DJ,'Area-Cabang'!$B97,'CWO Bulan Ini'!$DH:$DH,'Area-Cabang'!$E97,'CWO Bulan Ini'!$CZ:$CZ,'Area-Cabang'!BB$41)</f>
        <v>0</v>
      </c>
      <c r="BC97" s="42">
        <f>SUMIFS('CWO Bulan Ini'!$DD:$DD,'CWO Bulan Ini'!$DJ:$DJ,'Area-Cabang'!$B97,'CWO Bulan Ini'!$DH:$DH,'Area-Cabang'!$E97,'CWO Bulan Ini'!$CZ:$CZ,'Area-Cabang'!BC$41)</f>
        <v>0</v>
      </c>
      <c r="BD97" s="42">
        <f>SUMIFS('CWO Bulan Ini'!$DD:$DD,'CWO Bulan Ini'!$DJ:$DJ,'Area-Cabang'!$B97,'CWO Bulan Ini'!$DH:$DH,'Area-Cabang'!$E97,'CWO Bulan Ini'!$CZ:$CZ,'Area-Cabang'!BD$41)</f>
        <v>0</v>
      </c>
      <c r="BE97" s="42">
        <f>SUMIFS('CWO Bulan Ini'!$DD:$DD,'CWO Bulan Ini'!$DJ:$DJ,'Area-Cabang'!$B97,'CWO Bulan Ini'!$DH:$DH,'Area-Cabang'!$E97,'CWO Bulan Ini'!$CZ:$CZ,'Area-Cabang'!BE$41)</f>
        <v>0</v>
      </c>
      <c r="BF97" s="42">
        <f>SUMIFS('CWO Bulan Ini'!$DD:$DD,'CWO Bulan Ini'!$DJ:$DJ,'Area-Cabang'!$B97,'CWO Bulan Ini'!$DH:$DH,'Area-Cabang'!$E97,'CWO Bulan Ini'!$CZ:$CZ,'Area-Cabang'!BF$41)</f>
        <v>0</v>
      </c>
      <c r="BG97" s="42">
        <f>SUMIFS('CWO Bulan Ini'!$DD:$DD,'CWO Bulan Ini'!$DJ:$DJ,'Area-Cabang'!$B97,'CWO Bulan Ini'!$DH:$DH,'Area-Cabang'!$E97,'CWO Bulan Ini'!$CZ:$CZ,'Area-Cabang'!BG$41)</f>
        <v>0</v>
      </c>
      <c r="BH97" s="42">
        <f>SUMIFS('CWO Bulan Ini'!$DD:$DD,'CWO Bulan Ini'!$DJ:$DJ,'Area-Cabang'!$B97,'CWO Bulan Ini'!$DH:$DH,'Area-Cabang'!$E97,'CWO Bulan Ini'!$CZ:$CZ,'Area-Cabang'!BH$41)</f>
        <v>0</v>
      </c>
      <c r="BI97" s="42">
        <f>SUMIFS('CWO Bulan Ini'!$DD:$DD,'CWO Bulan Ini'!$DJ:$DJ,'Area-Cabang'!$B97,'CWO Bulan Ini'!$DH:$DH,'Area-Cabang'!$E97,'CWO Bulan Ini'!$CZ:$CZ,'Area-Cabang'!BI$41)</f>
        <v>0</v>
      </c>
      <c r="BJ97" s="42">
        <f>SUMIFS('CWO Bulan Ini'!$DD:$DD,'CWO Bulan Ini'!$DJ:$DJ,'Area-Cabang'!$B97,'CWO Bulan Ini'!$DH:$DH,'Area-Cabang'!$E97,'CWO Bulan Ini'!$CZ:$CZ,'Area-Cabang'!BJ$41)</f>
        <v>0</v>
      </c>
      <c r="BK97" s="42">
        <f>SUMIFS('CWO Bulan Ini'!$DD:$DD,'CWO Bulan Ini'!$DJ:$DJ,'Area-Cabang'!$B97,'CWO Bulan Ini'!$DH:$DH,'Area-Cabang'!$E97,'CWO Bulan Ini'!$CZ:$CZ,'Area-Cabang'!BK$41)</f>
        <v>0</v>
      </c>
      <c r="BL97" s="42">
        <f>SUMIFS('CWO Bulan Ini'!$DD:$DD,'CWO Bulan Ini'!$DJ:$DJ,'Area-Cabang'!$B97,'CWO Bulan Ini'!$DH:$DH,'Area-Cabang'!$E97,'CWO Bulan Ini'!$CZ:$CZ,'Area-Cabang'!BL$41)</f>
        <v>0</v>
      </c>
      <c r="BM97" s="42">
        <f>SUMIFS('CWO Bulan Ini'!$DD:$DD,'CWO Bulan Ini'!$DJ:$DJ,'Area-Cabang'!$B97,'CWO Bulan Ini'!$DH:$DH,'Area-Cabang'!$E97,'CWO Bulan Ini'!$CZ:$CZ,'Area-Cabang'!BM$41)</f>
        <v>0</v>
      </c>
      <c r="BN97" s="42">
        <f>SUMIFS('CWO Bulan Ini'!$DD:$DD,'CWO Bulan Ini'!$DJ:$DJ,'Area-Cabang'!$B97,'CWO Bulan Ini'!$DH:$DH,'Area-Cabang'!$E97,'CWO Bulan Ini'!$CZ:$CZ,'Area-Cabang'!BN$41)</f>
        <v>0</v>
      </c>
      <c r="BO97" s="43">
        <f>SUMIFS('CWO Bulan Ini'!$DD:$DD,'CWO Bulan Ini'!$DJ:$DJ,'Area-Cabang'!$B97,'CWO Bulan Ini'!$DH:$DH,'Area-Cabang'!$E97,'CWO Bulan Ini'!$CZ:$CZ,'Area-Cabang'!BO$41)</f>
        <v>0</v>
      </c>
      <c r="BP97" s="41">
        <f>SUMIFS('CWO Bulan Ini'!$DC:$DC,'CWO Bulan Ini'!$DJ:$DJ,'Area-Cabang'!$B97,'CWO Bulan Ini'!$DH:$DH,'Area-Cabang'!$E97,'CWO Bulan Ini'!$CZ:$CZ,'Area-Cabang'!BP$41)</f>
        <v>0</v>
      </c>
      <c r="BQ97" s="42">
        <f>SUMIFS('CWO Bulan Ini'!$DC:$DC,'CWO Bulan Ini'!$DJ:$DJ,'Area-Cabang'!$B97,'CWO Bulan Ini'!$DH:$DH,'Area-Cabang'!$E97,'CWO Bulan Ini'!$CZ:$CZ,'Area-Cabang'!BQ$41)</f>
        <v>0</v>
      </c>
      <c r="BR97" s="42">
        <f>SUMIFS('CWO Bulan Ini'!$DC:$DC,'CWO Bulan Ini'!$DJ:$DJ,'Area-Cabang'!$B97,'CWO Bulan Ini'!$DH:$DH,'Area-Cabang'!$E97,'CWO Bulan Ini'!$CZ:$CZ,'Area-Cabang'!BR$41)</f>
        <v>0</v>
      </c>
      <c r="BS97" s="42">
        <f>SUMIFS('CWO Bulan Ini'!$DC:$DC,'CWO Bulan Ini'!$DJ:$DJ,'Area-Cabang'!$B97,'CWO Bulan Ini'!$DH:$DH,'Area-Cabang'!$E97,'CWO Bulan Ini'!$CZ:$CZ,'Area-Cabang'!BS$41)</f>
        <v>0</v>
      </c>
      <c r="BT97" s="42">
        <f>SUMIFS('CWO Bulan Ini'!$DC:$DC,'CWO Bulan Ini'!$DJ:$DJ,'Area-Cabang'!$B97,'CWO Bulan Ini'!$DH:$DH,'Area-Cabang'!$E97,'CWO Bulan Ini'!$CZ:$CZ,'Area-Cabang'!BT$41)</f>
        <v>0</v>
      </c>
      <c r="BU97" s="42">
        <f>SUMIFS('CWO Bulan Ini'!$DC:$DC,'CWO Bulan Ini'!$DJ:$DJ,'Area-Cabang'!$B97,'CWO Bulan Ini'!$DH:$DH,'Area-Cabang'!$E97,'CWO Bulan Ini'!$CZ:$CZ,'Area-Cabang'!BU$41)</f>
        <v>0</v>
      </c>
      <c r="BV97" s="42">
        <f>SUMIFS('CWO Bulan Ini'!$DC:$DC,'CWO Bulan Ini'!$DJ:$DJ,'Area-Cabang'!$B97,'CWO Bulan Ini'!$DH:$DH,'Area-Cabang'!$E97,'CWO Bulan Ini'!$CZ:$CZ,'Area-Cabang'!BV$41)</f>
        <v>0</v>
      </c>
      <c r="BW97" s="42">
        <f>SUMIFS('CWO Bulan Ini'!$DC:$DC,'CWO Bulan Ini'!$DJ:$DJ,'Area-Cabang'!$B97,'CWO Bulan Ini'!$DH:$DH,'Area-Cabang'!$E97,'CWO Bulan Ini'!$CZ:$CZ,'Area-Cabang'!BW$41)</f>
        <v>0</v>
      </c>
      <c r="BX97" s="42">
        <f>SUMIFS('CWO Bulan Ini'!$DC:$DC,'CWO Bulan Ini'!$DJ:$DJ,'Area-Cabang'!$B97,'CWO Bulan Ini'!$DH:$DH,'Area-Cabang'!$E97,'CWO Bulan Ini'!$CZ:$CZ,'Area-Cabang'!BX$41)</f>
        <v>0</v>
      </c>
      <c r="BY97" s="42">
        <f>SUMIFS('CWO Bulan Ini'!$DC:$DC,'CWO Bulan Ini'!$DJ:$DJ,'Area-Cabang'!$B97,'CWO Bulan Ini'!$DH:$DH,'Area-Cabang'!$E97,'CWO Bulan Ini'!$CZ:$CZ,'Area-Cabang'!BY$41)</f>
        <v>0</v>
      </c>
      <c r="BZ97" s="42">
        <f>SUMIFS('CWO Bulan Ini'!$DC:$DC,'CWO Bulan Ini'!$DJ:$DJ,'Area-Cabang'!$B97,'CWO Bulan Ini'!$DH:$DH,'Area-Cabang'!$E97,'CWO Bulan Ini'!$CZ:$CZ,'Area-Cabang'!BZ$41)</f>
        <v>0</v>
      </c>
      <c r="CA97" s="42">
        <f>SUMIFS('CWO Bulan Ini'!$DC:$DC,'CWO Bulan Ini'!$DJ:$DJ,'Area-Cabang'!$B97,'CWO Bulan Ini'!$DH:$DH,'Area-Cabang'!$E97,'CWO Bulan Ini'!$CZ:$CZ,'Area-Cabang'!CA$41)</f>
        <v>0</v>
      </c>
      <c r="CB97" s="42">
        <f>SUMIFS('CWO Bulan Ini'!$DC:$DC,'CWO Bulan Ini'!$DJ:$DJ,'Area-Cabang'!$B97,'CWO Bulan Ini'!$DH:$DH,'Area-Cabang'!$E97,'CWO Bulan Ini'!$CZ:$CZ,'Area-Cabang'!CB$41)</f>
        <v>0</v>
      </c>
      <c r="CC97" s="42">
        <f>SUMIFS('CWO Bulan Ini'!$DC:$DC,'CWO Bulan Ini'!$DJ:$DJ,'Area-Cabang'!$B97,'CWO Bulan Ini'!$DH:$DH,'Area-Cabang'!$E97,'CWO Bulan Ini'!$CZ:$CZ,'Area-Cabang'!CC$41)</f>
        <v>0</v>
      </c>
      <c r="CD97" s="42">
        <f>SUMIFS('CWO Bulan Ini'!$DC:$DC,'CWO Bulan Ini'!$DJ:$DJ,'Area-Cabang'!$B97,'CWO Bulan Ini'!$DH:$DH,'Area-Cabang'!$E97,'CWO Bulan Ini'!$CZ:$CZ,'Area-Cabang'!CD$41)</f>
        <v>0</v>
      </c>
      <c r="CE97" s="42">
        <f>SUMIFS('CWO Bulan Ini'!$DC:$DC,'CWO Bulan Ini'!$DJ:$DJ,'Area-Cabang'!$B97,'CWO Bulan Ini'!$DH:$DH,'Area-Cabang'!$E97,'CWO Bulan Ini'!$CZ:$CZ,'Area-Cabang'!CE$41)</f>
        <v>0</v>
      </c>
      <c r="CF97" s="42">
        <f>SUMIFS('CWO Bulan Ini'!$DC:$DC,'CWO Bulan Ini'!$DJ:$DJ,'Area-Cabang'!$B97,'CWO Bulan Ini'!$DH:$DH,'Area-Cabang'!$E97,'CWO Bulan Ini'!$CZ:$CZ,'Area-Cabang'!CF$41)</f>
        <v>0</v>
      </c>
      <c r="CG97" s="42">
        <f>SUMIFS('CWO Bulan Ini'!$DC:$DC,'CWO Bulan Ini'!$DJ:$DJ,'Area-Cabang'!$B97,'CWO Bulan Ini'!$DH:$DH,'Area-Cabang'!$E97,'CWO Bulan Ini'!$CZ:$CZ,'Area-Cabang'!CG$41)</f>
        <v>0</v>
      </c>
      <c r="CH97" s="42">
        <f>SUMIFS('CWO Bulan Ini'!$DC:$DC,'CWO Bulan Ini'!$DJ:$DJ,'Area-Cabang'!$B97,'CWO Bulan Ini'!$DH:$DH,'Area-Cabang'!$E97,'CWO Bulan Ini'!$CZ:$CZ,'Area-Cabang'!CH$41)</f>
        <v>0</v>
      </c>
      <c r="CI97" s="42">
        <f>SUMIFS('CWO Bulan Ini'!$DC:$DC,'CWO Bulan Ini'!$DJ:$DJ,'Area-Cabang'!$B97,'CWO Bulan Ini'!$DH:$DH,'Area-Cabang'!$E97,'CWO Bulan Ini'!$CZ:$CZ,'Area-Cabang'!CI$41)</f>
        <v>0</v>
      </c>
      <c r="CJ97" s="42">
        <f>SUMIFS('CWO Bulan Ini'!$DC:$DC,'CWO Bulan Ini'!$DJ:$DJ,'Area-Cabang'!$B97,'CWO Bulan Ini'!$DH:$DH,'Area-Cabang'!$E97,'CWO Bulan Ini'!$CZ:$CZ,'Area-Cabang'!CJ$41)</f>
        <v>0</v>
      </c>
      <c r="CK97" s="42">
        <f>SUMIFS('CWO Bulan Ini'!$DC:$DC,'CWO Bulan Ini'!$DJ:$DJ,'Area-Cabang'!$B97,'CWO Bulan Ini'!$DH:$DH,'Area-Cabang'!$E97,'CWO Bulan Ini'!$CZ:$CZ,'Area-Cabang'!CK$41)</f>
        <v>0</v>
      </c>
      <c r="CL97" s="42">
        <f>SUMIFS('CWO Bulan Ini'!$DC:$DC,'CWO Bulan Ini'!$DJ:$DJ,'Area-Cabang'!$B97,'CWO Bulan Ini'!$DH:$DH,'Area-Cabang'!$E97,'CWO Bulan Ini'!$CZ:$CZ,'Area-Cabang'!CL$41)</f>
        <v>0</v>
      </c>
      <c r="CM97" s="42">
        <f>SUMIFS('CWO Bulan Ini'!$DC:$DC,'CWO Bulan Ini'!$DJ:$DJ,'Area-Cabang'!$B97,'CWO Bulan Ini'!$DH:$DH,'Area-Cabang'!$E97,'CWO Bulan Ini'!$CZ:$CZ,'Area-Cabang'!CM$41)</f>
        <v>0</v>
      </c>
      <c r="CN97" s="42">
        <f>SUMIFS('CWO Bulan Ini'!$DC:$DC,'CWO Bulan Ini'!$DJ:$DJ,'Area-Cabang'!$B97,'CWO Bulan Ini'!$DH:$DH,'Area-Cabang'!$E97,'CWO Bulan Ini'!$CZ:$CZ,'Area-Cabang'!CN$41)</f>
        <v>0</v>
      </c>
      <c r="CO97" s="42">
        <f>SUMIFS('CWO Bulan Ini'!$DC:$DC,'CWO Bulan Ini'!$DJ:$DJ,'Area-Cabang'!$B97,'CWO Bulan Ini'!$DH:$DH,'Area-Cabang'!$E97,'CWO Bulan Ini'!$CZ:$CZ,'Area-Cabang'!CO$41)</f>
        <v>0</v>
      </c>
      <c r="CP97" s="42">
        <f>SUMIFS('CWO Bulan Ini'!$DC:$DC,'CWO Bulan Ini'!$DJ:$DJ,'Area-Cabang'!$B97,'CWO Bulan Ini'!$DH:$DH,'Area-Cabang'!$E97,'CWO Bulan Ini'!$CZ:$CZ,'Area-Cabang'!CP$41)</f>
        <v>0</v>
      </c>
      <c r="CQ97" s="42">
        <f>SUMIFS('CWO Bulan Ini'!$DC:$DC,'CWO Bulan Ini'!$DJ:$DJ,'Area-Cabang'!$B97,'CWO Bulan Ini'!$DH:$DH,'Area-Cabang'!$E97,'CWO Bulan Ini'!$CZ:$CZ,'Area-Cabang'!CQ$41)</f>
        <v>0</v>
      </c>
      <c r="CR97" s="42">
        <f>SUMIFS('CWO Bulan Ini'!$DC:$DC,'CWO Bulan Ini'!$DJ:$DJ,'Area-Cabang'!$B97,'CWO Bulan Ini'!$DH:$DH,'Area-Cabang'!$E97,'CWO Bulan Ini'!$CZ:$CZ,'Area-Cabang'!CR$41)</f>
        <v>0</v>
      </c>
      <c r="CS97" s="42">
        <f>SUMIFS('CWO Bulan Ini'!$DC:$DC,'CWO Bulan Ini'!$DJ:$DJ,'Area-Cabang'!$B97,'CWO Bulan Ini'!$DH:$DH,'Area-Cabang'!$E97,'CWO Bulan Ini'!$CZ:$CZ,'Area-Cabang'!CS$41)</f>
        <v>0</v>
      </c>
      <c r="CT97" s="43">
        <f>SUMIFS('CWO Bulan Ini'!$DC:$DC,'CWO Bulan Ini'!$DJ:$DJ,'Area-Cabang'!$B97,'CWO Bulan Ini'!$DH:$DH,'Area-Cabang'!$E97,'CWO Bulan Ini'!$CZ:$CZ,'Area-Cabang'!CT$41)</f>
        <v>0</v>
      </c>
      <c r="CV97" s="96">
        <f t="shared" si="2835"/>
        <v>2.910882</v>
      </c>
      <c r="CW97" s="93">
        <f t="shared" si="2836"/>
        <v>0.62155158999999993</v>
      </c>
      <c r="CX97" s="93">
        <f t="shared" si="2837"/>
        <v>0</v>
      </c>
      <c r="CY97" s="93">
        <f t="shared" si="2838"/>
        <v>2.2893304099999998</v>
      </c>
      <c r="CZ97" s="106">
        <f t="shared" si="2839"/>
        <v>2.910882</v>
      </c>
    </row>
    <row r="98" spans="1:104" ht="15" customHeight="1" x14ac:dyDescent="0.25">
      <c r="A98" s="58" t="s">
        <v>469</v>
      </c>
      <c r="B98" s="53" t="s">
        <v>825</v>
      </c>
      <c r="C98" s="250"/>
      <c r="D98" s="227" t="s">
        <v>825</v>
      </c>
      <c r="E98" s="228"/>
      <c r="F98" s="219">
        <f t="shared" ref="F98" si="2840">SUM(F96:F97)</f>
        <v>0</v>
      </c>
      <c r="G98" s="220">
        <f t="shared" ref="G98" si="2841">SUM(G96:G97)</f>
        <v>0</v>
      </c>
      <c r="H98" s="220">
        <f t="shared" ref="H98" si="2842">SUM(H96:H97)</f>
        <v>0</v>
      </c>
      <c r="I98" s="220">
        <f t="shared" ref="I98" si="2843">SUM(I96:I97)</f>
        <v>67.282055809999989</v>
      </c>
      <c r="J98" s="220">
        <f t="shared" ref="J98" si="2844">SUM(J96:J97)</f>
        <v>0</v>
      </c>
      <c r="K98" s="220">
        <f t="shared" ref="K98" si="2845">SUM(K96:K97)</f>
        <v>0</v>
      </c>
      <c r="L98" s="220">
        <f t="shared" ref="L98" si="2846">SUM(L96:L97)</f>
        <v>0</v>
      </c>
      <c r="M98" s="220">
        <f t="shared" ref="M98" si="2847">SUM(M96:M97)</f>
        <v>0</v>
      </c>
      <c r="N98" s="220">
        <f t="shared" ref="N98" si="2848">SUM(N96:N97)</f>
        <v>0</v>
      </c>
      <c r="O98" s="220">
        <f t="shared" ref="O98" si="2849">SUM(O96:O97)</f>
        <v>0</v>
      </c>
      <c r="P98" s="220">
        <f t="shared" ref="P98" si="2850">SUM(P96:P97)</f>
        <v>0</v>
      </c>
      <c r="Q98" s="220">
        <f t="shared" ref="Q98" si="2851">SUM(Q96:Q97)</f>
        <v>2.2893304100000003</v>
      </c>
      <c r="R98" s="220">
        <f t="shared" ref="R98" si="2852">SUM(R96:R97)</f>
        <v>0</v>
      </c>
      <c r="S98" s="220">
        <f t="shared" ref="S98" si="2853">SUM(S96:S97)</f>
        <v>0</v>
      </c>
      <c r="T98" s="220">
        <f t="shared" ref="T98" si="2854">SUM(T96:T97)</f>
        <v>0</v>
      </c>
      <c r="U98" s="220">
        <f t="shared" ref="U98" si="2855">SUM(U96:U97)</f>
        <v>0</v>
      </c>
      <c r="V98" s="220">
        <f t="shared" ref="V98" si="2856">SUM(V96:V97)</f>
        <v>0</v>
      </c>
      <c r="W98" s="220">
        <f t="shared" ref="W98" si="2857">SUM(W96:W97)</f>
        <v>0</v>
      </c>
      <c r="X98" s="220">
        <f t="shared" ref="X98" si="2858">SUM(X96:X97)</f>
        <v>0</v>
      </c>
      <c r="Y98" s="220">
        <f t="shared" ref="Y98" si="2859">SUM(Y96:Y97)</f>
        <v>0</v>
      </c>
      <c r="Z98" s="220">
        <f t="shared" ref="Z98" si="2860">SUM(Z96:Z97)</f>
        <v>0</v>
      </c>
      <c r="AA98" s="220">
        <f t="shared" ref="AA98" si="2861">SUM(AA96:AA97)</f>
        <v>0</v>
      </c>
      <c r="AB98" s="220">
        <f t="shared" ref="AB98" si="2862">SUM(AB96:AB97)</f>
        <v>0</v>
      </c>
      <c r="AC98" s="220">
        <f t="shared" ref="AC98" si="2863">SUM(AC96:AC97)</f>
        <v>117.34439656999999</v>
      </c>
      <c r="AD98" s="220">
        <f t="shared" ref="AD98" si="2864">SUM(AD96:AD97)</f>
        <v>0</v>
      </c>
      <c r="AE98" s="220">
        <f t="shared" ref="AE98" si="2865">SUM(AE96:AE97)</f>
        <v>0</v>
      </c>
      <c r="AF98" s="220">
        <f t="shared" ref="AF98" si="2866">SUM(AF96:AF97)</f>
        <v>0</v>
      </c>
      <c r="AG98" s="220">
        <f t="shared" ref="AG98" si="2867">SUM(AG96:AG97)</f>
        <v>0</v>
      </c>
      <c r="AH98" s="220">
        <f t="shared" ref="AH98" si="2868">SUM(AH96:AH97)</f>
        <v>0</v>
      </c>
      <c r="AI98" s="220">
        <f t="shared" ref="AI98" si="2869">SUM(AI96:AI97)</f>
        <v>0</v>
      </c>
      <c r="AJ98" s="220">
        <f t="shared" ref="AJ98" si="2870">SUM(AJ96:AJ97)</f>
        <v>0</v>
      </c>
      <c r="AK98" s="219">
        <f t="shared" ref="AK98" si="2871">SUM(AK96:AK97)</f>
        <v>0</v>
      </c>
      <c r="AL98" s="220">
        <f t="shared" ref="AL98" si="2872">SUM(AL96:AL97)</f>
        <v>0</v>
      </c>
      <c r="AM98" s="220">
        <f t="shared" ref="AM98" si="2873">SUM(AM96:AM97)</f>
        <v>0</v>
      </c>
      <c r="AN98" s="220">
        <f t="shared" ref="AN98" si="2874">SUM(AN96:AN97)</f>
        <v>67.282055809999989</v>
      </c>
      <c r="AO98" s="220">
        <f t="shared" ref="AO98" si="2875">SUM(AO96:AO97)</f>
        <v>0</v>
      </c>
      <c r="AP98" s="220">
        <f t="shared" ref="AP98" si="2876">SUM(AP96:AP97)</f>
        <v>0</v>
      </c>
      <c r="AQ98" s="220">
        <f t="shared" ref="AQ98" si="2877">SUM(AQ96:AQ97)</f>
        <v>0</v>
      </c>
      <c r="AR98" s="220">
        <f t="shared" ref="AR98" si="2878">SUM(AR96:AR97)</f>
        <v>0</v>
      </c>
      <c r="AS98" s="220">
        <f t="shared" ref="AS98" si="2879">SUM(AS96:AS97)</f>
        <v>0</v>
      </c>
      <c r="AT98" s="220">
        <f t="shared" ref="AT98" si="2880">SUM(AT96:AT97)</f>
        <v>0</v>
      </c>
      <c r="AU98" s="220">
        <f t="shared" ref="AU98" si="2881">SUM(AU96:AU97)</f>
        <v>0</v>
      </c>
      <c r="AV98" s="220">
        <f t="shared" ref="AV98" si="2882">SUM(AV96:AV97)</f>
        <v>0</v>
      </c>
      <c r="AW98" s="220">
        <f t="shared" ref="AW98" si="2883">SUM(AW96:AW97)</f>
        <v>0</v>
      </c>
      <c r="AX98" s="220">
        <f t="shared" ref="AX98" si="2884">SUM(AX96:AX97)</f>
        <v>0</v>
      </c>
      <c r="AY98" s="220">
        <f t="shared" ref="AY98" si="2885">SUM(AY96:AY97)</f>
        <v>0</v>
      </c>
      <c r="AZ98" s="220">
        <f t="shared" ref="AZ98" si="2886">SUM(AZ96:AZ97)</f>
        <v>0</v>
      </c>
      <c r="BA98" s="220">
        <f t="shared" ref="BA98" si="2887">SUM(BA96:BA97)</f>
        <v>0</v>
      </c>
      <c r="BB98" s="220">
        <f t="shared" ref="BB98" si="2888">SUM(BB96:BB97)</f>
        <v>0</v>
      </c>
      <c r="BC98" s="220">
        <f t="shared" ref="BC98" si="2889">SUM(BC96:BC97)</f>
        <v>0</v>
      </c>
      <c r="BD98" s="220">
        <f t="shared" ref="BD98" si="2890">SUM(BD96:BD97)</f>
        <v>0</v>
      </c>
      <c r="BE98" s="220">
        <f t="shared" ref="BE98" si="2891">SUM(BE96:BE97)</f>
        <v>0</v>
      </c>
      <c r="BF98" s="220">
        <f t="shared" ref="BF98" si="2892">SUM(BF96:BF97)</f>
        <v>0</v>
      </c>
      <c r="BG98" s="220">
        <f t="shared" ref="BG98" si="2893">SUM(BG96:BG97)</f>
        <v>0</v>
      </c>
      <c r="BH98" s="220">
        <f t="shared" ref="BH98" si="2894">SUM(BH96:BH97)</f>
        <v>0</v>
      </c>
      <c r="BI98" s="220">
        <f t="shared" ref="BI98" si="2895">SUM(BI96:BI97)</f>
        <v>0</v>
      </c>
      <c r="BJ98" s="220">
        <f t="shared" ref="BJ98" si="2896">SUM(BJ96:BJ97)</f>
        <v>0</v>
      </c>
      <c r="BK98" s="220">
        <f t="shared" ref="BK98" si="2897">SUM(BK96:BK97)</f>
        <v>0</v>
      </c>
      <c r="BL98" s="220">
        <f t="shared" ref="BL98" si="2898">SUM(BL96:BL97)</f>
        <v>0</v>
      </c>
      <c r="BM98" s="220">
        <f t="shared" ref="BM98" si="2899">SUM(BM96:BM97)</f>
        <v>0</v>
      </c>
      <c r="BN98" s="220">
        <f t="shared" ref="BN98" si="2900">SUM(BN96:BN97)</f>
        <v>0</v>
      </c>
      <c r="BO98" s="221">
        <f t="shared" ref="BO98" si="2901">SUM(BO96:BO97)</f>
        <v>0</v>
      </c>
      <c r="BP98" s="219">
        <f t="shared" ref="BP98" si="2902">SUM(BP96:BP97)</f>
        <v>0</v>
      </c>
      <c r="BQ98" s="220">
        <f t="shared" ref="BQ98" si="2903">SUM(BQ96:BQ97)</f>
        <v>0</v>
      </c>
      <c r="BR98" s="220">
        <f t="shared" ref="BR98" si="2904">SUM(BR96:BR97)</f>
        <v>0</v>
      </c>
      <c r="BS98" s="220">
        <f t="shared" ref="BS98" si="2905">SUM(BS96:BS97)</f>
        <v>0</v>
      </c>
      <c r="BT98" s="220">
        <f t="shared" ref="BT98" si="2906">SUM(BT96:BT97)</f>
        <v>0</v>
      </c>
      <c r="BU98" s="220">
        <f t="shared" ref="BU98" si="2907">SUM(BU96:BU97)</f>
        <v>0</v>
      </c>
      <c r="BV98" s="220">
        <f t="shared" ref="BV98" si="2908">SUM(BV96:BV97)</f>
        <v>0</v>
      </c>
      <c r="BW98" s="220">
        <f t="shared" ref="BW98" si="2909">SUM(BW96:BW97)</f>
        <v>0</v>
      </c>
      <c r="BX98" s="220">
        <f t="shared" ref="BX98" si="2910">SUM(BX96:BX97)</f>
        <v>0</v>
      </c>
      <c r="BY98" s="220">
        <f t="shared" ref="BY98" si="2911">SUM(BY96:BY97)</f>
        <v>0</v>
      </c>
      <c r="BZ98" s="220">
        <f t="shared" ref="BZ98" si="2912">SUM(BZ96:BZ97)</f>
        <v>0</v>
      </c>
      <c r="CA98" s="220">
        <f t="shared" ref="CA98" si="2913">SUM(CA96:CA97)</f>
        <v>0</v>
      </c>
      <c r="CB98" s="220">
        <f t="shared" ref="CB98" si="2914">SUM(CB96:CB97)</f>
        <v>0</v>
      </c>
      <c r="CC98" s="220">
        <f t="shared" ref="CC98" si="2915">SUM(CC96:CC97)</f>
        <v>0</v>
      </c>
      <c r="CD98" s="220">
        <f t="shared" ref="CD98" si="2916">SUM(CD96:CD97)</f>
        <v>0</v>
      </c>
      <c r="CE98" s="220">
        <f t="shared" ref="CE98" si="2917">SUM(CE96:CE97)</f>
        <v>0</v>
      </c>
      <c r="CF98" s="220">
        <f t="shared" ref="CF98" si="2918">SUM(CF96:CF97)</f>
        <v>0</v>
      </c>
      <c r="CG98" s="220">
        <f t="shared" ref="CG98" si="2919">SUM(CG96:CG97)</f>
        <v>0</v>
      </c>
      <c r="CH98" s="220">
        <f t="shared" ref="CH98" si="2920">SUM(CH96:CH97)</f>
        <v>0</v>
      </c>
      <c r="CI98" s="220">
        <f t="shared" ref="CI98" si="2921">SUM(CI96:CI97)</f>
        <v>0</v>
      </c>
      <c r="CJ98" s="220">
        <f t="shared" ref="CJ98" si="2922">SUM(CJ96:CJ97)</f>
        <v>0</v>
      </c>
      <c r="CK98" s="220">
        <f t="shared" ref="CK98" si="2923">SUM(CK96:CK97)</f>
        <v>0</v>
      </c>
      <c r="CL98" s="220">
        <f t="shared" ref="CL98" si="2924">SUM(CL96:CL97)</f>
        <v>0</v>
      </c>
      <c r="CM98" s="220">
        <f t="shared" ref="CM98" si="2925">SUM(CM96:CM97)</f>
        <v>0</v>
      </c>
      <c r="CN98" s="220">
        <f t="shared" ref="CN98" si="2926">SUM(CN96:CN97)</f>
        <v>0</v>
      </c>
      <c r="CO98" s="220">
        <f t="shared" ref="CO98" si="2927">SUM(CO96:CO97)</f>
        <v>0</v>
      </c>
      <c r="CP98" s="220">
        <f t="shared" ref="CP98" si="2928">SUM(CP96:CP97)</f>
        <v>0</v>
      </c>
      <c r="CQ98" s="220">
        <f t="shared" ref="CQ98" si="2929">SUM(CQ96:CQ97)</f>
        <v>0</v>
      </c>
      <c r="CR98" s="220">
        <f t="shared" ref="CR98" si="2930">SUM(CR96:CR97)</f>
        <v>0</v>
      </c>
      <c r="CS98" s="220">
        <f t="shared" ref="CS98" si="2931">SUM(CS96:CS97)</f>
        <v>0</v>
      </c>
      <c r="CT98" s="221">
        <f t="shared" ref="CT98" si="2932">SUM(CT96:CT97)</f>
        <v>0</v>
      </c>
      <c r="CU98" s="226"/>
      <c r="CV98" s="219">
        <f t="shared" ref="CV98" si="2933">SUM(CV96:CV97)</f>
        <v>186.91578278999995</v>
      </c>
      <c r="CW98" s="220">
        <f t="shared" ref="CW98" si="2934">SUM(CW96:CW97)</f>
        <v>67.282055809999989</v>
      </c>
      <c r="CX98" s="220">
        <f t="shared" ref="CX98" si="2935">SUM(CX96:CX97)</f>
        <v>0</v>
      </c>
      <c r="CY98" s="220">
        <f t="shared" ref="CY98" si="2936">SUM(CY96:CY97)</f>
        <v>119.63372697999998</v>
      </c>
      <c r="CZ98" s="222">
        <f t="shared" ref="CZ98" si="2937">SUM(CZ96:CZ97)</f>
        <v>186.91578278999995</v>
      </c>
    </row>
    <row r="99" spans="1:104" ht="15" customHeight="1" x14ac:dyDescent="0.25">
      <c r="A99" s="58" t="s">
        <v>469</v>
      </c>
      <c r="B99" s="53" t="s">
        <v>209</v>
      </c>
      <c r="C99" s="250"/>
      <c r="D99" s="245" t="s">
        <v>209</v>
      </c>
      <c r="E99" s="85" t="s">
        <v>132</v>
      </c>
      <c r="F99" s="55">
        <f>SUMIFS('CWO Bulan Ini'!$DA:$DA,'CWO Bulan Ini'!$DJ:$DJ,'Area-Cabang'!$B99,'CWO Bulan Ini'!$DH:$DH,'Area-Cabang'!$E99,'CWO Bulan Ini'!$CZ:$CZ,'Area-Cabang'!F$41)</f>
        <v>0</v>
      </c>
      <c r="G99" s="56">
        <f>SUMIFS('CWO Bulan Ini'!$DA:$DA,'CWO Bulan Ini'!$DJ:$DJ,'Area-Cabang'!$B99,'CWO Bulan Ini'!$DH:$DH,'Area-Cabang'!$E99,'CWO Bulan Ini'!$CZ:$CZ,'Area-Cabang'!G$41)</f>
        <v>0</v>
      </c>
      <c r="H99" s="56">
        <f>SUMIFS('CWO Bulan Ini'!$DA:$DA,'CWO Bulan Ini'!$DJ:$DJ,'Area-Cabang'!$B99,'CWO Bulan Ini'!$DH:$DH,'Area-Cabang'!$E99,'CWO Bulan Ini'!$CZ:$CZ,'Area-Cabang'!H$41)</f>
        <v>0</v>
      </c>
      <c r="I99" s="56">
        <f>SUMIFS('CWO Bulan Ini'!$DA:$DA,'CWO Bulan Ini'!$DJ:$DJ,'Area-Cabang'!$B99,'CWO Bulan Ini'!$DH:$DH,'Area-Cabang'!$E99,'CWO Bulan Ini'!$CZ:$CZ,'Area-Cabang'!I$41)</f>
        <v>0</v>
      </c>
      <c r="J99" s="56">
        <f>SUMIFS('CWO Bulan Ini'!$DA:$DA,'CWO Bulan Ini'!$DJ:$DJ,'Area-Cabang'!$B99,'CWO Bulan Ini'!$DH:$DH,'Area-Cabang'!$E99,'CWO Bulan Ini'!$CZ:$CZ,'Area-Cabang'!J$41)</f>
        <v>0</v>
      </c>
      <c r="K99" s="56">
        <f>SUMIFS('CWO Bulan Ini'!$DA:$DA,'CWO Bulan Ini'!$DJ:$DJ,'Area-Cabang'!$B99,'CWO Bulan Ini'!$DH:$DH,'Area-Cabang'!$E99,'CWO Bulan Ini'!$CZ:$CZ,'Area-Cabang'!K$41)</f>
        <v>0</v>
      </c>
      <c r="L99" s="56">
        <f>SUMIFS('CWO Bulan Ini'!$DA:$DA,'CWO Bulan Ini'!$DJ:$DJ,'Area-Cabang'!$B99,'CWO Bulan Ini'!$DH:$DH,'Area-Cabang'!$E99,'CWO Bulan Ini'!$CZ:$CZ,'Area-Cabang'!L$41)</f>
        <v>0</v>
      </c>
      <c r="M99" s="56">
        <f>SUMIFS('CWO Bulan Ini'!$DA:$DA,'CWO Bulan Ini'!$DJ:$DJ,'Area-Cabang'!$B99,'CWO Bulan Ini'!$DH:$DH,'Area-Cabang'!$E99,'CWO Bulan Ini'!$CZ:$CZ,'Area-Cabang'!M$41)</f>
        <v>0</v>
      </c>
      <c r="N99" s="56">
        <f>SUMIFS('CWO Bulan Ini'!$DA:$DA,'CWO Bulan Ini'!$DJ:$DJ,'Area-Cabang'!$B99,'CWO Bulan Ini'!$DH:$DH,'Area-Cabang'!$E99,'CWO Bulan Ini'!$CZ:$CZ,'Area-Cabang'!N$41)</f>
        <v>0</v>
      </c>
      <c r="O99" s="56">
        <f>SUMIFS('CWO Bulan Ini'!$DA:$DA,'CWO Bulan Ini'!$DJ:$DJ,'Area-Cabang'!$B99,'CWO Bulan Ini'!$DH:$DH,'Area-Cabang'!$E99,'CWO Bulan Ini'!$CZ:$CZ,'Area-Cabang'!O$41)</f>
        <v>0</v>
      </c>
      <c r="P99" s="56">
        <f>SUMIFS('CWO Bulan Ini'!$DA:$DA,'CWO Bulan Ini'!$DJ:$DJ,'Area-Cabang'!$B99,'CWO Bulan Ini'!$DH:$DH,'Area-Cabang'!$E99,'CWO Bulan Ini'!$CZ:$CZ,'Area-Cabang'!P$41)</f>
        <v>0</v>
      </c>
      <c r="Q99" s="56">
        <f>SUMIFS('CWO Bulan Ini'!$DA:$DA,'CWO Bulan Ini'!$DJ:$DJ,'Area-Cabang'!$B99,'CWO Bulan Ini'!$DH:$DH,'Area-Cabang'!$E99,'CWO Bulan Ini'!$CZ:$CZ,'Area-Cabang'!Q$41)</f>
        <v>0</v>
      </c>
      <c r="R99" s="56">
        <f>SUMIFS('CWO Bulan Ini'!$DA:$DA,'CWO Bulan Ini'!$DJ:$DJ,'Area-Cabang'!$B99,'CWO Bulan Ini'!$DH:$DH,'Area-Cabang'!$E99,'CWO Bulan Ini'!$CZ:$CZ,'Area-Cabang'!R$41)</f>
        <v>0</v>
      </c>
      <c r="S99" s="56">
        <f>SUMIFS('CWO Bulan Ini'!$DA:$DA,'CWO Bulan Ini'!$DJ:$DJ,'Area-Cabang'!$B99,'CWO Bulan Ini'!$DH:$DH,'Area-Cabang'!$E99,'CWO Bulan Ini'!$CZ:$CZ,'Area-Cabang'!S$41)</f>
        <v>0</v>
      </c>
      <c r="T99" s="56">
        <f>SUMIFS('CWO Bulan Ini'!$DA:$DA,'CWO Bulan Ini'!$DJ:$DJ,'Area-Cabang'!$B99,'CWO Bulan Ini'!$DH:$DH,'Area-Cabang'!$E99,'CWO Bulan Ini'!$CZ:$CZ,'Area-Cabang'!T$41)</f>
        <v>0</v>
      </c>
      <c r="U99" s="56">
        <f>SUMIFS('CWO Bulan Ini'!$DA:$DA,'CWO Bulan Ini'!$DJ:$DJ,'Area-Cabang'!$B99,'CWO Bulan Ini'!$DH:$DH,'Area-Cabang'!$E99,'CWO Bulan Ini'!$CZ:$CZ,'Area-Cabang'!U$41)</f>
        <v>0</v>
      </c>
      <c r="V99" s="56">
        <f>SUMIFS('CWO Bulan Ini'!$DA:$DA,'CWO Bulan Ini'!$DJ:$DJ,'Area-Cabang'!$B99,'CWO Bulan Ini'!$DH:$DH,'Area-Cabang'!$E99,'CWO Bulan Ini'!$CZ:$CZ,'Area-Cabang'!V$41)</f>
        <v>0</v>
      </c>
      <c r="W99" s="56">
        <f>SUMIFS('CWO Bulan Ini'!$DA:$DA,'CWO Bulan Ini'!$DJ:$DJ,'Area-Cabang'!$B99,'CWO Bulan Ini'!$DH:$DH,'Area-Cabang'!$E99,'CWO Bulan Ini'!$CZ:$CZ,'Area-Cabang'!W$41)</f>
        <v>0</v>
      </c>
      <c r="X99" s="56">
        <f>SUMIFS('CWO Bulan Ini'!$DA:$DA,'CWO Bulan Ini'!$DJ:$DJ,'Area-Cabang'!$B99,'CWO Bulan Ini'!$DH:$DH,'Area-Cabang'!$E99,'CWO Bulan Ini'!$CZ:$CZ,'Area-Cabang'!X$41)</f>
        <v>0</v>
      </c>
      <c r="Y99" s="56">
        <f>SUMIFS('CWO Bulan Ini'!$DA:$DA,'CWO Bulan Ini'!$DJ:$DJ,'Area-Cabang'!$B99,'CWO Bulan Ini'!$DH:$DH,'Area-Cabang'!$E99,'CWO Bulan Ini'!$CZ:$CZ,'Area-Cabang'!Y$41)</f>
        <v>0</v>
      </c>
      <c r="Z99" s="56">
        <f>SUMIFS('CWO Bulan Ini'!$DA:$DA,'CWO Bulan Ini'!$DJ:$DJ,'Area-Cabang'!$B99,'CWO Bulan Ini'!$DH:$DH,'Area-Cabang'!$E99,'CWO Bulan Ini'!$CZ:$CZ,'Area-Cabang'!Z$41)</f>
        <v>0</v>
      </c>
      <c r="AA99" s="56">
        <f>SUMIFS('CWO Bulan Ini'!$DA:$DA,'CWO Bulan Ini'!$DJ:$DJ,'Area-Cabang'!$B99,'CWO Bulan Ini'!$DH:$DH,'Area-Cabang'!$E99,'CWO Bulan Ini'!$CZ:$CZ,'Area-Cabang'!AA$41)</f>
        <v>0</v>
      </c>
      <c r="AB99" s="56">
        <f>SUMIFS('CWO Bulan Ini'!$DA:$DA,'CWO Bulan Ini'!$DJ:$DJ,'Area-Cabang'!$B99,'CWO Bulan Ini'!$DH:$DH,'Area-Cabang'!$E99,'CWO Bulan Ini'!$CZ:$CZ,'Area-Cabang'!AB$41)</f>
        <v>0</v>
      </c>
      <c r="AC99" s="56">
        <f>SUMIFS('CWO Bulan Ini'!$DA:$DA,'CWO Bulan Ini'!$DJ:$DJ,'Area-Cabang'!$B99,'CWO Bulan Ini'!$DH:$DH,'Area-Cabang'!$E99,'CWO Bulan Ini'!$CZ:$CZ,'Area-Cabang'!AC$41)</f>
        <v>0</v>
      </c>
      <c r="AD99" s="56">
        <f>SUMIFS('CWO Bulan Ini'!$DA:$DA,'CWO Bulan Ini'!$DJ:$DJ,'Area-Cabang'!$B99,'CWO Bulan Ini'!$DH:$DH,'Area-Cabang'!$E99,'CWO Bulan Ini'!$CZ:$CZ,'Area-Cabang'!AD$41)</f>
        <v>0</v>
      </c>
      <c r="AE99" s="56">
        <f>SUMIFS('CWO Bulan Ini'!$DA:$DA,'CWO Bulan Ini'!$DJ:$DJ,'Area-Cabang'!$B99,'CWO Bulan Ini'!$DH:$DH,'Area-Cabang'!$E99,'CWO Bulan Ini'!$CZ:$CZ,'Area-Cabang'!AE$41)</f>
        <v>0</v>
      </c>
      <c r="AF99" s="56">
        <f>SUMIFS('CWO Bulan Ini'!$DA:$DA,'CWO Bulan Ini'!$DJ:$DJ,'Area-Cabang'!$B99,'CWO Bulan Ini'!$DH:$DH,'Area-Cabang'!$E99,'CWO Bulan Ini'!$CZ:$CZ,'Area-Cabang'!AF$41)</f>
        <v>0</v>
      </c>
      <c r="AG99" s="56">
        <f>SUMIFS('CWO Bulan Ini'!$DA:$DA,'CWO Bulan Ini'!$DJ:$DJ,'Area-Cabang'!$B99,'CWO Bulan Ini'!$DH:$DH,'Area-Cabang'!$E99,'CWO Bulan Ini'!$CZ:$CZ,'Area-Cabang'!AG$41)</f>
        <v>0</v>
      </c>
      <c r="AH99" s="56">
        <f>SUMIFS('CWO Bulan Ini'!$DA:$DA,'CWO Bulan Ini'!$DJ:$DJ,'Area-Cabang'!$B99,'CWO Bulan Ini'!$DH:$DH,'Area-Cabang'!$E99,'CWO Bulan Ini'!$CZ:$CZ,'Area-Cabang'!AH$41)</f>
        <v>0</v>
      </c>
      <c r="AI99" s="56">
        <f>SUMIFS('CWO Bulan Ini'!$DA:$DA,'CWO Bulan Ini'!$DJ:$DJ,'Area-Cabang'!$B99,'CWO Bulan Ini'!$DH:$DH,'Area-Cabang'!$E99,'CWO Bulan Ini'!$CZ:$CZ,'Area-Cabang'!AI$41)</f>
        <v>0</v>
      </c>
      <c r="AJ99" s="56">
        <f>SUMIFS('CWO Bulan Ini'!$DA:$DA,'CWO Bulan Ini'!$DJ:$DJ,'Area-Cabang'!$B99,'CWO Bulan Ini'!$DH:$DH,'Area-Cabang'!$E99,'CWO Bulan Ini'!$CZ:$CZ,'Area-Cabang'!AJ$41)</f>
        <v>0</v>
      </c>
      <c r="AK99" s="55">
        <f>SUMIFS('CWO Bulan Ini'!$DD:$DD,'CWO Bulan Ini'!$DJ:$DJ,'Area-Cabang'!$B99,'CWO Bulan Ini'!$DH:$DH,'Area-Cabang'!$E99,'CWO Bulan Ini'!$CZ:$CZ,'Area-Cabang'!AK$41)</f>
        <v>0</v>
      </c>
      <c r="AL99" s="56">
        <f>SUMIFS('CWO Bulan Ini'!$DD:$DD,'CWO Bulan Ini'!$DJ:$DJ,'Area-Cabang'!$B99,'CWO Bulan Ini'!$DH:$DH,'Area-Cabang'!$E99,'CWO Bulan Ini'!$CZ:$CZ,'Area-Cabang'!AL$41)</f>
        <v>0</v>
      </c>
      <c r="AM99" s="56">
        <f>SUMIFS('CWO Bulan Ini'!$DD:$DD,'CWO Bulan Ini'!$DJ:$DJ,'Area-Cabang'!$B99,'CWO Bulan Ini'!$DH:$DH,'Area-Cabang'!$E99,'CWO Bulan Ini'!$CZ:$CZ,'Area-Cabang'!AM$41)</f>
        <v>0</v>
      </c>
      <c r="AN99" s="56">
        <f>SUMIFS('CWO Bulan Ini'!$DD:$DD,'CWO Bulan Ini'!$DJ:$DJ,'Area-Cabang'!$B99,'CWO Bulan Ini'!$DH:$DH,'Area-Cabang'!$E99,'CWO Bulan Ini'!$CZ:$CZ,'Area-Cabang'!AN$41)</f>
        <v>0</v>
      </c>
      <c r="AO99" s="56">
        <f>SUMIFS('CWO Bulan Ini'!$DD:$DD,'CWO Bulan Ini'!$DJ:$DJ,'Area-Cabang'!$B99,'CWO Bulan Ini'!$DH:$DH,'Area-Cabang'!$E99,'CWO Bulan Ini'!$CZ:$CZ,'Area-Cabang'!AO$41)</f>
        <v>0</v>
      </c>
      <c r="AP99" s="56">
        <f>SUMIFS('CWO Bulan Ini'!$DD:$DD,'CWO Bulan Ini'!$DJ:$DJ,'Area-Cabang'!$B99,'CWO Bulan Ini'!$DH:$DH,'Area-Cabang'!$E99,'CWO Bulan Ini'!$CZ:$CZ,'Area-Cabang'!AP$41)</f>
        <v>0</v>
      </c>
      <c r="AQ99" s="56">
        <f>SUMIFS('CWO Bulan Ini'!$DD:$DD,'CWO Bulan Ini'!$DJ:$DJ,'Area-Cabang'!$B99,'CWO Bulan Ini'!$DH:$DH,'Area-Cabang'!$E99,'CWO Bulan Ini'!$CZ:$CZ,'Area-Cabang'!AQ$41)</f>
        <v>0</v>
      </c>
      <c r="AR99" s="56">
        <f>SUMIFS('CWO Bulan Ini'!$DD:$DD,'CWO Bulan Ini'!$DJ:$DJ,'Area-Cabang'!$B99,'CWO Bulan Ini'!$DH:$DH,'Area-Cabang'!$E99,'CWO Bulan Ini'!$CZ:$CZ,'Area-Cabang'!AR$41)</f>
        <v>0</v>
      </c>
      <c r="AS99" s="56">
        <f>SUMIFS('CWO Bulan Ini'!$DD:$DD,'CWO Bulan Ini'!$DJ:$DJ,'Area-Cabang'!$B99,'CWO Bulan Ini'!$DH:$DH,'Area-Cabang'!$E99,'CWO Bulan Ini'!$CZ:$CZ,'Area-Cabang'!AS$41)</f>
        <v>0</v>
      </c>
      <c r="AT99" s="56">
        <f>SUMIFS('CWO Bulan Ini'!$DD:$DD,'CWO Bulan Ini'!$DJ:$DJ,'Area-Cabang'!$B99,'CWO Bulan Ini'!$DH:$DH,'Area-Cabang'!$E99,'CWO Bulan Ini'!$CZ:$CZ,'Area-Cabang'!AT$41)</f>
        <v>0</v>
      </c>
      <c r="AU99" s="56">
        <f>SUMIFS('CWO Bulan Ini'!$DD:$DD,'CWO Bulan Ini'!$DJ:$DJ,'Area-Cabang'!$B99,'CWO Bulan Ini'!$DH:$DH,'Area-Cabang'!$E99,'CWO Bulan Ini'!$CZ:$CZ,'Area-Cabang'!AU$41)</f>
        <v>0</v>
      </c>
      <c r="AV99" s="56">
        <f>SUMIFS('CWO Bulan Ini'!$DD:$DD,'CWO Bulan Ini'!$DJ:$DJ,'Area-Cabang'!$B99,'CWO Bulan Ini'!$DH:$DH,'Area-Cabang'!$E99,'CWO Bulan Ini'!$CZ:$CZ,'Area-Cabang'!AV$41)</f>
        <v>0</v>
      </c>
      <c r="AW99" s="56">
        <f>SUMIFS('CWO Bulan Ini'!$DD:$DD,'CWO Bulan Ini'!$DJ:$DJ,'Area-Cabang'!$B99,'CWO Bulan Ini'!$DH:$DH,'Area-Cabang'!$E99,'CWO Bulan Ini'!$CZ:$CZ,'Area-Cabang'!AW$41)</f>
        <v>0</v>
      </c>
      <c r="AX99" s="56">
        <f>SUMIFS('CWO Bulan Ini'!$DD:$DD,'CWO Bulan Ini'!$DJ:$DJ,'Area-Cabang'!$B99,'CWO Bulan Ini'!$DH:$DH,'Area-Cabang'!$E99,'CWO Bulan Ini'!$CZ:$CZ,'Area-Cabang'!AX$41)</f>
        <v>0</v>
      </c>
      <c r="AY99" s="56">
        <f>SUMIFS('CWO Bulan Ini'!$DD:$DD,'CWO Bulan Ini'!$DJ:$DJ,'Area-Cabang'!$B99,'CWO Bulan Ini'!$DH:$DH,'Area-Cabang'!$E99,'CWO Bulan Ini'!$CZ:$CZ,'Area-Cabang'!AY$41)</f>
        <v>0</v>
      </c>
      <c r="AZ99" s="56">
        <f>SUMIFS('CWO Bulan Ini'!$DD:$DD,'CWO Bulan Ini'!$DJ:$DJ,'Area-Cabang'!$B99,'CWO Bulan Ini'!$DH:$DH,'Area-Cabang'!$E99,'CWO Bulan Ini'!$CZ:$CZ,'Area-Cabang'!AZ$41)</f>
        <v>0</v>
      </c>
      <c r="BA99" s="56">
        <f>SUMIFS('CWO Bulan Ini'!$DD:$DD,'CWO Bulan Ini'!$DJ:$DJ,'Area-Cabang'!$B99,'CWO Bulan Ini'!$DH:$DH,'Area-Cabang'!$E99,'CWO Bulan Ini'!$CZ:$CZ,'Area-Cabang'!BA$41)</f>
        <v>0</v>
      </c>
      <c r="BB99" s="56">
        <f>SUMIFS('CWO Bulan Ini'!$DD:$DD,'CWO Bulan Ini'!$DJ:$DJ,'Area-Cabang'!$B99,'CWO Bulan Ini'!$DH:$DH,'Area-Cabang'!$E99,'CWO Bulan Ini'!$CZ:$CZ,'Area-Cabang'!BB$41)</f>
        <v>0</v>
      </c>
      <c r="BC99" s="56">
        <f>SUMIFS('CWO Bulan Ini'!$DD:$DD,'CWO Bulan Ini'!$DJ:$DJ,'Area-Cabang'!$B99,'CWO Bulan Ini'!$DH:$DH,'Area-Cabang'!$E99,'CWO Bulan Ini'!$CZ:$CZ,'Area-Cabang'!BC$41)</f>
        <v>0</v>
      </c>
      <c r="BD99" s="56">
        <f>SUMIFS('CWO Bulan Ini'!$DD:$DD,'CWO Bulan Ini'!$DJ:$DJ,'Area-Cabang'!$B99,'CWO Bulan Ini'!$DH:$DH,'Area-Cabang'!$E99,'CWO Bulan Ini'!$CZ:$CZ,'Area-Cabang'!BD$41)</f>
        <v>0</v>
      </c>
      <c r="BE99" s="56">
        <f>SUMIFS('CWO Bulan Ini'!$DD:$DD,'CWO Bulan Ini'!$DJ:$DJ,'Area-Cabang'!$B99,'CWO Bulan Ini'!$DH:$DH,'Area-Cabang'!$E99,'CWO Bulan Ini'!$CZ:$CZ,'Area-Cabang'!BE$41)</f>
        <v>0</v>
      </c>
      <c r="BF99" s="56">
        <f>SUMIFS('CWO Bulan Ini'!$DD:$DD,'CWO Bulan Ini'!$DJ:$DJ,'Area-Cabang'!$B99,'CWO Bulan Ini'!$DH:$DH,'Area-Cabang'!$E99,'CWO Bulan Ini'!$CZ:$CZ,'Area-Cabang'!BF$41)</f>
        <v>0</v>
      </c>
      <c r="BG99" s="56">
        <f>SUMIFS('CWO Bulan Ini'!$DD:$DD,'CWO Bulan Ini'!$DJ:$DJ,'Area-Cabang'!$B99,'CWO Bulan Ini'!$DH:$DH,'Area-Cabang'!$E99,'CWO Bulan Ini'!$CZ:$CZ,'Area-Cabang'!BG$41)</f>
        <v>0</v>
      </c>
      <c r="BH99" s="56">
        <f>SUMIFS('CWO Bulan Ini'!$DD:$DD,'CWO Bulan Ini'!$DJ:$DJ,'Area-Cabang'!$B99,'CWO Bulan Ini'!$DH:$DH,'Area-Cabang'!$E99,'CWO Bulan Ini'!$CZ:$CZ,'Area-Cabang'!BH$41)</f>
        <v>0</v>
      </c>
      <c r="BI99" s="56">
        <f>SUMIFS('CWO Bulan Ini'!$DD:$DD,'CWO Bulan Ini'!$DJ:$DJ,'Area-Cabang'!$B99,'CWO Bulan Ini'!$DH:$DH,'Area-Cabang'!$E99,'CWO Bulan Ini'!$CZ:$CZ,'Area-Cabang'!BI$41)</f>
        <v>0</v>
      </c>
      <c r="BJ99" s="56">
        <f>SUMIFS('CWO Bulan Ini'!$DD:$DD,'CWO Bulan Ini'!$DJ:$DJ,'Area-Cabang'!$B99,'CWO Bulan Ini'!$DH:$DH,'Area-Cabang'!$E99,'CWO Bulan Ini'!$CZ:$CZ,'Area-Cabang'!BJ$41)</f>
        <v>0</v>
      </c>
      <c r="BK99" s="56">
        <f>SUMIFS('CWO Bulan Ini'!$DD:$DD,'CWO Bulan Ini'!$DJ:$DJ,'Area-Cabang'!$B99,'CWO Bulan Ini'!$DH:$DH,'Area-Cabang'!$E99,'CWO Bulan Ini'!$CZ:$CZ,'Area-Cabang'!BK$41)</f>
        <v>0</v>
      </c>
      <c r="BL99" s="56">
        <f>SUMIFS('CWO Bulan Ini'!$DD:$DD,'CWO Bulan Ini'!$DJ:$DJ,'Area-Cabang'!$B99,'CWO Bulan Ini'!$DH:$DH,'Area-Cabang'!$E99,'CWO Bulan Ini'!$CZ:$CZ,'Area-Cabang'!BL$41)</f>
        <v>0</v>
      </c>
      <c r="BM99" s="56">
        <f>SUMIFS('CWO Bulan Ini'!$DD:$DD,'CWO Bulan Ini'!$DJ:$DJ,'Area-Cabang'!$B99,'CWO Bulan Ini'!$DH:$DH,'Area-Cabang'!$E99,'CWO Bulan Ini'!$CZ:$CZ,'Area-Cabang'!BM$41)</f>
        <v>0</v>
      </c>
      <c r="BN99" s="56">
        <f>SUMIFS('CWO Bulan Ini'!$DD:$DD,'CWO Bulan Ini'!$DJ:$DJ,'Area-Cabang'!$B99,'CWO Bulan Ini'!$DH:$DH,'Area-Cabang'!$E99,'CWO Bulan Ini'!$CZ:$CZ,'Area-Cabang'!BN$41)</f>
        <v>0</v>
      </c>
      <c r="BO99" s="57">
        <f>SUMIFS('CWO Bulan Ini'!$DD:$DD,'CWO Bulan Ini'!$DJ:$DJ,'Area-Cabang'!$B99,'CWO Bulan Ini'!$DH:$DH,'Area-Cabang'!$E99,'CWO Bulan Ini'!$CZ:$CZ,'Area-Cabang'!BO$41)</f>
        <v>0</v>
      </c>
      <c r="BP99" s="55">
        <f>SUMIFS('CWO Bulan Ini'!$DC:$DC,'CWO Bulan Ini'!$DJ:$DJ,'Area-Cabang'!$B99,'CWO Bulan Ini'!$DH:$DH,'Area-Cabang'!$E99,'CWO Bulan Ini'!$CZ:$CZ,'Area-Cabang'!BP$41)</f>
        <v>0</v>
      </c>
      <c r="BQ99" s="56">
        <f>SUMIFS('CWO Bulan Ini'!$DC:$DC,'CWO Bulan Ini'!$DJ:$DJ,'Area-Cabang'!$B99,'CWO Bulan Ini'!$DH:$DH,'Area-Cabang'!$E99,'CWO Bulan Ini'!$CZ:$CZ,'Area-Cabang'!BQ$41)</f>
        <v>0</v>
      </c>
      <c r="BR99" s="56">
        <f>SUMIFS('CWO Bulan Ini'!$DC:$DC,'CWO Bulan Ini'!$DJ:$DJ,'Area-Cabang'!$B99,'CWO Bulan Ini'!$DH:$DH,'Area-Cabang'!$E99,'CWO Bulan Ini'!$CZ:$CZ,'Area-Cabang'!BR$41)</f>
        <v>0</v>
      </c>
      <c r="BS99" s="56">
        <f>SUMIFS('CWO Bulan Ini'!$DC:$DC,'CWO Bulan Ini'!$DJ:$DJ,'Area-Cabang'!$B99,'CWO Bulan Ini'!$DH:$DH,'Area-Cabang'!$E99,'CWO Bulan Ini'!$CZ:$CZ,'Area-Cabang'!BS$41)</f>
        <v>0</v>
      </c>
      <c r="BT99" s="56">
        <f>SUMIFS('CWO Bulan Ini'!$DC:$DC,'CWO Bulan Ini'!$DJ:$DJ,'Area-Cabang'!$B99,'CWO Bulan Ini'!$DH:$DH,'Area-Cabang'!$E99,'CWO Bulan Ini'!$CZ:$CZ,'Area-Cabang'!BT$41)</f>
        <v>0</v>
      </c>
      <c r="BU99" s="56">
        <f>SUMIFS('CWO Bulan Ini'!$DC:$DC,'CWO Bulan Ini'!$DJ:$DJ,'Area-Cabang'!$B99,'CWO Bulan Ini'!$DH:$DH,'Area-Cabang'!$E99,'CWO Bulan Ini'!$CZ:$CZ,'Area-Cabang'!BU$41)</f>
        <v>0</v>
      </c>
      <c r="BV99" s="56">
        <f>SUMIFS('CWO Bulan Ini'!$DC:$DC,'CWO Bulan Ini'!$DJ:$DJ,'Area-Cabang'!$B99,'CWO Bulan Ini'!$DH:$DH,'Area-Cabang'!$E99,'CWO Bulan Ini'!$CZ:$CZ,'Area-Cabang'!BV$41)</f>
        <v>0</v>
      </c>
      <c r="BW99" s="56">
        <f>SUMIFS('CWO Bulan Ini'!$DC:$DC,'CWO Bulan Ini'!$DJ:$DJ,'Area-Cabang'!$B99,'CWO Bulan Ini'!$DH:$DH,'Area-Cabang'!$E99,'CWO Bulan Ini'!$CZ:$CZ,'Area-Cabang'!BW$41)</f>
        <v>0</v>
      </c>
      <c r="BX99" s="56">
        <f>SUMIFS('CWO Bulan Ini'!$DC:$DC,'CWO Bulan Ini'!$DJ:$DJ,'Area-Cabang'!$B99,'CWO Bulan Ini'!$DH:$DH,'Area-Cabang'!$E99,'CWO Bulan Ini'!$CZ:$CZ,'Area-Cabang'!BX$41)</f>
        <v>0</v>
      </c>
      <c r="BY99" s="56">
        <f>SUMIFS('CWO Bulan Ini'!$DC:$DC,'CWO Bulan Ini'!$DJ:$DJ,'Area-Cabang'!$B99,'CWO Bulan Ini'!$DH:$DH,'Area-Cabang'!$E99,'CWO Bulan Ini'!$CZ:$CZ,'Area-Cabang'!BY$41)</f>
        <v>0</v>
      </c>
      <c r="BZ99" s="56">
        <f>SUMIFS('CWO Bulan Ini'!$DC:$DC,'CWO Bulan Ini'!$DJ:$DJ,'Area-Cabang'!$B99,'CWO Bulan Ini'!$DH:$DH,'Area-Cabang'!$E99,'CWO Bulan Ini'!$CZ:$CZ,'Area-Cabang'!BZ$41)</f>
        <v>0</v>
      </c>
      <c r="CA99" s="56">
        <f>SUMIFS('CWO Bulan Ini'!$DC:$DC,'CWO Bulan Ini'!$DJ:$DJ,'Area-Cabang'!$B99,'CWO Bulan Ini'!$DH:$DH,'Area-Cabang'!$E99,'CWO Bulan Ini'!$CZ:$CZ,'Area-Cabang'!CA$41)</f>
        <v>0</v>
      </c>
      <c r="CB99" s="56">
        <f>SUMIFS('CWO Bulan Ini'!$DC:$DC,'CWO Bulan Ini'!$DJ:$DJ,'Area-Cabang'!$B99,'CWO Bulan Ini'!$DH:$DH,'Area-Cabang'!$E99,'CWO Bulan Ini'!$CZ:$CZ,'Area-Cabang'!CB$41)</f>
        <v>0</v>
      </c>
      <c r="CC99" s="56">
        <f>SUMIFS('CWO Bulan Ini'!$DC:$DC,'CWO Bulan Ini'!$DJ:$DJ,'Area-Cabang'!$B99,'CWO Bulan Ini'!$DH:$DH,'Area-Cabang'!$E99,'CWO Bulan Ini'!$CZ:$CZ,'Area-Cabang'!CC$41)</f>
        <v>0</v>
      </c>
      <c r="CD99" s="56">
        <f>SUMIFS('CWO Bulan Ini'!$DC:$DC,'CWO Bulan Ini'!$DJ:$DJ,'Area-Cabang'!$B99,'CWO Bulan Ini'!$DH:$DH,'Area-Cabang'!$E99,'CWO Bulan Ini'!$CZ:$CZ,'Area-Cabang'!CD$41)</f>
        <v>0</v>
      </c>
      <c r="CE99" s="56">
        <f>SUMIFS('CWO Bulan Ini'!$DC:$DC,'CWO Bulan Ini'!$DJ:$DJ,'Area-Cabang'!$B99,'CWO Bulan Ini'!$DH:$DH,'Area-Cabang'!$E99,'CWO Bulan Ini'!$CZ:$CZ,'Area-Cabang'!CE$41)</f>
        <v>0</v>
      </c>
      <c r="CF99" s="56">
        <f>SUMIFS('CWO Bulan Ini'!$DC:$DC,'CWO Bulan Ini'!$DJ:$DJ,'Area-Cabang'!$B99,'CWO Bulan Ini'!$DH:$DH,'Area-Cabang'!$E99,'CWO Bulan Ini'!$CZ:$CZ,'Area-Cabang'!CF$41)</f>
        <v>0</v>
      </c>
      <c r="CG99" s="56">
        <f>SUMIFS('CWO Bulan Ini'!$DC:$DC,'CWO Bulan Ini'!$DJ:$DJ,'Area-Cabang'!$B99,'CWO Bulan Ini'!$DH:$DH,'Area-Cabang'!$E99,'CWO Bulan Ini'!$CZ:$CZ,'Area-Cabang'!CG$41)</f>
        <v>0</v>
      </c>
      <c r="CH99" s="56">
        <f>SUMIFS('CWO Bulan Ini'!$DC:$DC,'CWO Bulan Ini'!$DJ:$DJ,'Area-Cabang'!$B99,'CWO Bulan Ini'!$DH:$DH,'Area-Cabang'!$E99,'CWO Bulan Ini'!$CZ:$CZ,'Area-Cabang'!CH$41)</f>
        <v>0</v>
      </c>
      <c r="CI99" s="56">
        <f>SUMIFS('CWO Bulan Ini'!$DC:$DC,'CWO Bulan Ini'!$DJ:$DJ,'Area-Cabang'!$B99,'CWO Bulan Ini'!$DH:$DH,'Area-Cabang'!$E99,'CWO Bulan Ini'!$CZ:$CZ,'Area-Cabang'!CI$41)</f>
        <v>0</v>
      </c>
      <c r="CJ99" s="56">
        <f>SUMIFS('CWO Bulan Ini'!$DC:$DC,'CWO Bulan Ini'!$DJ:$DJ,'Area-Cabang'!$B99,'CWO Bulan Ini'!$DH:$DH,'Area-Cabang'!$E99,'CWO Bulan Ini'!$CZ:$CZ,'Area-Cabang'!CJ$41)</f>
        <v>0</v>
      </c>
      <c r="CK99" s="56">
        <f>SUMIFS('CWO Bulan Ini'!$DC:$DC,'CWO Bulan Ini'!$DJ:$DJ,'Area-Cabang'!$B99,'CWO Bulan Ini'!$DH:$DH,'Area-Cabang'!$E99,'CWO Bulan Ini'!$CZ:$CZ,'Area-Cabang'!CK$41)</f>
        <v>0</v>
      </c>
      <c r="CL99" s="56">
        <f>SUMIFS('CWO Bulan Ini'!$DC:$DC,'CWO Bulan Ini'!$DJ:$DJ,'Area-Cabang'!$B99,'CWO Bulan Ini'!$DH:$DH,'Area-Cabang'!$E99,'CWO Bulan Ini'!$CZ:$CZ,'Area-Cabang'!CL$41)</f>
        <v>0</v>
      </c>
      <c r="CM99" s="56">
        <f>SUMIFS('CWO Bulan Ini'!$DC:$DC,'CWO Bulan Ini'!$DJ:$DJ,'Area-Cabang'!$B99,'CWO Bulan Ini'!$DH:$DH,'Area-Cabang'!$E99,'CWO Bulan Ini'!$CZ:$CZ,'Area-Cabang'!CM$41)</f>
        <v>0</v>
      </c>
      <c r="CN99" s="56">
        <f>SUMIFS('CWO Bulan Ini'!$DC:$DC,'CWO Bulan Ini'!$DJ:$DJ,'Area-Cabang'!$B99,'CWO Bulan Ini'!$DH:$DH,'Area-Cabang'!$E99,'CWO Bulan Ini'!$CZ:$CZ,'Area-Cabang'!CN$41)</f>
        <v>0</v>
      </c>
      <c r="CO99" s="56">
        <f>SUMIFS('CWO Bulan Ini'!$DC:$DC,'CWO Bulan Ini'!$DJ:$DJ,'Area-Cabang'!$B99,'CWO Bulan Ini'!$DH:$DH,'Area-Cabang'!$E99,'CWO Bulan Ini'!$CZ:$CZ,'Area-Cabang'!CO$41)</f>
        <v>0</v>
      </c>
      <c r="CP99" s="56">
        <f>SUMIFS('CWO Bulan Ini'!$DC:$DC,'CWO Bulan Ini'!$DJ:$DJ,'Area-Cabang'!$B99,'CWO Bulan Ini'!$DH:$DH,'Area-Cabang'!$E99,'CWO Bulan Ini'!$CZ:$CZ,'Area-Cabang'!CP$41)</f>
        <v>0</v>
      </c>
      <c r="CQ99" s="56">
        <f>SUMIFS('CWO Bulan Ini'!$DC:$DC,'CWO Bulan Ini'!$DJ:$DJ,'Area-Cabang'!$B99,'CWO Bulan Ini'!$DH:$DH,'Area-Cabang'!$E99,'CWO Bulan Ini'!$CZ:$CZ,'Area-Cabang'!CQ$41)</f>
        <v>0</v>
      </c>
      <c r="CR99" s="56">
        <f>SUMIFS('CWO Bulan Ini'!$DC:$DC,'CWO Bulan Ini'!$DJ:$DJ,'Area-Cabang'!$B99,'CWO Bulan Ini'!$DH:$DH,'Area-Cabang'!$E99,'CWO Bulan Ini'!$CZ:$CZ,'Area-Cabang'!CR$41)</f>
        <v>0</v>
      </c>
      <c r="CS99" s="56">
        <f>SUMIFS('CWO Bulan Ini'!$DC:$DC,'CWO Bulan Ini'!$DJ:$DJ,'Area-Cabang'!$B99,'CWO Bulan Ini'!$DH:$DH,'Area-Cabang'!$E99,'CWO Bulan Ini'!$CZ:$CZ,'Area-Cabang'!CS$41)</f>
        <v>0</v>
      </c>
      <c r="CT99" s="57">
        <f>SUMIFS('CWO Bulan Ini'!$DC:$DC,'CWO Bulan Ini'!$DJ:$DJ,'Area-Cabang'!$B99,'CWO Bulan Ini'!$DH:$DH,'Area-Cabang'!$E99,'CWO Bulan Ini'!$CZ:$CZ,'Area-Cabang'!CT$41)</f>
        <v>0</v>
      </c>
      <c r="CV99" s="97">
        <f t="shared" ref="CV99:CV100" si="2938">SUM(F99:AJ99)</f>
        <v>0</v>
      </c>
      <c r="CW99" s="98">
        <f t="shared" ref="CW99:CW100" si="2939">SUM(AK99:BO99)</f>
        <v>0</v>
      </c>
      <c r="CX99" s="98">
        <f t="shared" ref="CX99:CX100" si="2940">SUM(BP99:CT99)</f>
        <v>0</v>
      </c>
      <c r="CY99" s="98">
        <f t="shared" ref="CY99:CY100" si="2941">CV99-CW99-CX99</f>
        <v>0</v>
      </c>
      <c r="CZ99" s="105">
        <f t="shared" ref="CZ99:CZ100" si="2942">CY99+CW99</f>
        <v>0</v>
      </c>
    </row>
    <row r="100" spans="1:104" ht="15" customHeight="1" x14ac:dyDescent="0.25">
      <c r="A100" s="58" t="s">
        <v>469</v>
      </c>
      <c r="B100" s="58" t="s">
        <v>209</v>
      </c>
      <c r="C100" s="250"/>
      <c r="D100" s="244"/>
      <c r="E100" s="40" t="s">
        <v>349</v>
      </c>
      <c r="F100" s="41">
        <f>SUMIFS('CWO Bulan Ini'!$DA:$DA,'CWO Bulan Ini'!$DJ:$DJ,'Area-Cabang'!$B100,'CWO Bulan Ini'!$DH:$DH,'Area-Cabang'!$E100,'CWO Bulan Ini'!$CZ:$CZ,'Area-Cabang'!F$41)</f>
        <v>0</v>
      </c>
      <c r="G100" s="42">
        <f>SUMIFS('CWO Bulan Ini'!$DA:$DA,'CWO Bulan Ini'!$DJ:$DJ,'Area-Cabang'!$B100,'CWO Bulan Ini'!$DH:$DH,'Area-Cabang'!$E100,'CWO Bulan Ini'!$CZ:$CZ,'Area-Cabang'!G$41)</f>
        <v>0</v>
      </c>
      <c r="H100" s="42">
        <f>SUMIFS('CWO Bulan Ini'!$DA:$DA,'CWO Bulan Ini'!$DJ:$DJ,'Area-Cabang'!$B100,'CWO Bulan Ini'!$DH:$DH,'Area-Cabang'!$E100,'CWO Bulan Ini'!$CZ:$CZ,'Area-Cabang'!H$41)</f>
        <v>0</v>
      </c>
      <c r="I100" s="42">
        <f>SUMIFS('CWO Bulan Ini'!$DA:$DA,'CWO Bulan Ini'!$DJ:$DJ,'Area-Cabang'!$B100,'CWO Bulan Ini'!$DH:$DH,'Area-Cabang'!$E100,'CWO Bulan Ini'!$CZ:$CZ,'Area-Cabang'!I$41)</f>
        <v>0</v>
      </c>
      <c r="J100" s="42">
        <f>SUMIFS('CWO Bulan Ini'!$DA:$DA,'CWO Bulan Ini'!$DJ:$DJ,'Area-Cabang'!$B100,'CWO Bulan Ini'!$DH:$DH,'Area-Cabang'!$E100,'CWO Bulan Ini'!$CZ:$CZ,'Area-Cabang'!J$41)</f>
        <v>0</v>
      </c>
      <c r="K100" s="42">
        <f>SUMIFS('CWO Bulan Ini'!$DA:$DA,'CWO Bulan Ini'!$DJ:$DJ,'Area-Cabang'!$B100,'CWO Bulan Ini'!$DH:$DH,'Area-Cabang'!$E100,'CWO Bulan Ini'!$CZ:$CZ,'Area-Cabang'!K$41)</f>
        <v>0</v>
      </c>
      <c r="L100" s="42">
        <f>SUMIFS('CWO Bulan Ini'!$DA:$DA,'CWO Bulan Ini'!$DJ:$DJ,'Area-Cabang'!$B100,'CWO Bulan Ini'!$DH:$DH,'Area-Cabang'!$E100,'CWO Bulan Ini'!$CZ:$CZ,'Area-Cabang'!L$41)</f>
        <v>0</v>
      </c>
      <c r="M100" s="42">
        <f>SUMIFS('CWO Bulan Ini'!$DA:$DA,'CWO Bulan Ini'!$DJ:$DJ,'Area-Cabang'!$B100,'CWO Bulan Ini'!$DH:$DH,'Area-Cabang'!$E100,'CWO Bulan Ini'!$CZ:$CZ,'Area-Cabang'!M$41)</f>
        <v>0</v>
      </c>
      <c r="N100" s="42">
        <f>SUMIFS('CWO Bulan Ini'!$DA:$DA,'CWO Bulan Ini'!$DJ:$DJ,'Area-Cabang'!$B100,'CWO Bulan Ini'!$DH:$DH,'Area-Cabang'!$E100,'CWO Bulan Ini'!$CZ:$CZ,'Area-Cabang'!N$41)</f>
        <v>0</v>
      </c>
      <c r="O100" s="42">
        <f>SUMIFS('CWO Bulan Ini'!$DA:$DA,'CWO Bulan Ini'!$DJ:$DJ,'Area-Cabang'!$B100,'CWO Bulan Ini'!$DH:$DH,'Area-Cabang'!$E100,'CWO Bulan Ini'!$CZ:$CZ,'Area-Cabang'!O$41)</f>
        <v>0</v>
      </c>
      <c r="P100" s="42">
        <f>SUMIFS('CWO Bulan Ini'!$DA:$DA,'CWO Bulan Ini'!$DJ:$DJ,'Area-Cabang'!$B100,'CWO Bulan Ini'!$DH:$DH,'Area-Cabang'!$E100,'CWO Bulan Ini'!$CZ:$CZ,'Area-Cabang'!P$41)</f>
        <v>0</v>
      </c>
      <c r="Q100" s="42">
        <f>SUMIFS('CWO Bulan Ini'!$DA:$DA,'CWO Bulan Ini'!$DJ:$DJ,'Area-Cabang'!$B100,'CWO Bulan Ini'!$DH:$DH,'Area-Cabang'!$E100,'CWO Bulan Ini'!$CZ:$CZ,'Area-Cabang'!Q$41)</f>
        <v>0</v>
      </c>
      <c r="R100" s="42">
        <f>SUMIFS('CWO Bulan Ini'!$DA:$DA,'CWO Bulan Ini'!$DJ:$DJ,'Area-Cabang'!$B100,'CWO Bulan Ini'!$DH:$DH,'Area-Cabang'!$E100,'CWO Bulan Ini'!$CZ:$CZ,'Area-Cabang'!R$41)</f>
        <v>0</v>
      </c>
      <c r="S100" s="42">
        <f>SUMIFS('CWO Bulan Ini'!$DA:$DA,'CWO Bulan Ini'!$DJ:$DJ,'Area-Cabang'!$B100,'CWO Bulan Ini'!$DH:$DH,'Area-Cabang'!$E100,'CWO Bulan Ini'!$CZ:$CZ,'Area-Cabang'!S$41)</f>
        <v>0</v>
      </c>
      <c r="T100" s="42">
        <f>SUMIFS('CWO Bulan Ini'!$DA:$DA,'CWO Bulan Ini'!$DJ:$DJ,'Area-Cabang'!$B100,'CWO Bulan Ini'!$DH:$DH,'Area-Cabang'!$E100,'CWO Bulan Ini'!$CZ:$CZ,'Area-Cabang'!T$41)</f>
        <v>0</v>
      </c>
      <c r="U100" s="42">
        <f>SUMIFS('CWO Bulan Ini'!$DA:$DA,'CWO Bulan Ini'!$DJ:$DJ,'Area-Cabang'!$B100,'CWO Bulan Ini'!$DH:$DH,'Area-Cabang'!$E100,'CWO Bulan Ini'!$CZ:$CZ,'Area-Cabang'!U$41)</f>
        <v>0</v>
      </c>
      <c r="V100" s="42">
        <f>SUMIFS('CWO Bulan Ini'!$DA:$DA,'CWO Bulan Ini'!$DJ:$DJ,'Area-Cabang'!$B100,'CWO Bulan Ini'!$DH:$DH,'Area-Cabang'!$E100,'CWO Bulan Ini'!$CZ:$CZ,'Area-Cabang'!V$41)</f>
        <v>0</v>
      </c>
      <c r="W100" s="42">
        <f>SUMIFS('CWO Bulan Ini'!$DA:$DA,'CWO Bulan Ini'!$DJ:$DJ,'Area-Cabang'!$B100,'CWO Bulan Ini'!$DH:$DH,'Area-Cabang'!$E100,'CWO Bulan Ini'!$CZ:$CZ,'Area-Cabang'!W$41)</f>
        <v>0</v>
      </c>
      <c r="X100" s="42">
        <f>SUMIFS('CWO Bulan Ini'!$DA:$DA,'CWO Bulan Ini'!$DJ:$DJ,'Area-Cabang'!$B100,'CWO Bulan Ini'!$DH:$DH,'Area-Cabang'!$E100,'CWO Bulan Ini'!$CZ:$CZ,'Area-Cabang'!X$41)</f>
        <v>0</v>
      </c>
      <c r="Y100" s="42">
        <f>SUMIFS('CWO Bulan Ini'!$DA:$DA,'CWO Bulan Ini'!$DJ:$DJ,'Area-Cabang'!$B100,'CWO Bulan Ini'!$DH:$DH,'Area-Cabang'!$E100,'CWO Bulan Ini'!$CZ:$CZ,'Area-Cabang'!Y$41)</f>
        <v>0</v>
      </c>
      <c r="Z100" s="42">
        <f>SUMIFS('CWO Bulan Ini'!$DA:$DA,'CWO Bulan Ini'!$DJ:$DJ,'Area-Cabang'!$B100,'CWO Bulan Ini'!$DH:$DH,'Area-Cabang'!$E100,'CWO Bulan Ini'!$CZ:$CZ,'Area-Cabang'!Z$41)</f>
        <v>0</v>
      </c>
      <c r="AA100" s="42">
        <f>SUMIFS('CWO Bulan Ini'!$DA:$DA,'CWO Bulan Ini'!$DJ:$DJ,'Area-Cabang'!$B100,'CWO Bulan Ini'!$DH:$DH,'Area-Cabang'!$E100,'CWO Bulan Ini'!$CZ:$CZ,'Area-Cabang'!AA$41)</f>
        <v>0</v>
      </c>
      <c r="AB100" s="42">
        <f>SUMIFS('CWO Bulan Ini'!$DA:$DA,'CWO Bulan Ini'!$DJ:$DJ,'Area-Cabang'!$B100,'CWO Bulan Ini'!$DH:$DH,'Area-Cabang'!$E100,'CWO Bulan Ini'!$CZ:$CZ,'Area-Cabang'!AB$41)</f>
        <v>2.0403898599999999</v>
      </c>
      <c r="AC100" s="42">
        <f>SUMIFS('CWO Bulan Ini'!$DA:$DA,'CWO Bulan Ini'!$DJ:$DJ,'Area-Cabang'!$B100,'CWO Bulan Ini'!$DH:$DH,'Area-Cabang'!$E100,'CWO Bulan Ini'!$CZ:$CZ,'Area-Cabang'!AC$41)</f>
        <v>0</v>
      </c>
      <c r="AD100" s="42">
        <f>SUMIFS('CWO Bulan Ini'!$DA:$DA,'CWO Bulan Ini'!$DJ:$DJ,'Area-Cabang'!$B100,'CWO Bulan Ini'!$DH:$DH,'Area-Cabang'!$E100,'CWO Bulan Ini'!$CZ:$CZ,'Area-Cabang'!AD$41)</f>
        <v>0</v>
      </c>
      <c r="AE100" s="42">
        <f>SUMIFS('CWO Bulan Ini'!$DA:$DA,'CWO Bulan Ini'!$DJ:$DJ,'Area-Cabang'!$B100,'CWO Bulan Ini'!$DH:$DH,'Area-Cabang'!$E100,'CWO Bulan Ini'!$CZ:$CZ,'Area-Cabang'!AE$41)</f>
        <v>0</v>
      </c>
      <c r="AF100" s="42">
        <f>SUMIFS('CWO Bulan Ini'!$DA:$DA,'CWO Bulan Ini'!$DJ:$DJ,'Area-Cabang'!$B100,'CWO Bulan Ini'!$DH:$DH,'Area-Cabang'!$E100,'CWO Bulan Ini'!$CZ:$CZ,'Area-Cabang'!AF$41)</f>
        <v>0</v>
      </c>
      <c r="AG100" s="42">
        <f>SUMIFS('CWO Bulan Ini'!$DA:$DA,'CWO Bulan Ini'!$DJ:$DJ,'Area-Cabang'!$B100,'CWO Bulan Ini'!$DH:$DH,'Area-Cabang'!$E100,'CWO Bulan Ini'!$CZ:$CZ,'Area-Cabang'!AG$41)</f>
        <v>0</v>
      </c>
      <c r="AH100" s="42">
        <f>SUMIFS('CWO Bulan Ini'!$DA:$DA,'CWO Bulan Ini'!$DJ:$DJ,'Area-Cabang'!$B100,'CWO Bulan Ini'!$DH:$DH,'Area-Cabang'!$E100,'CWO Bulan Ini'!$CZ:$CZ,'Area-Cabang'!AH$41)</f>
        <v>0</v>
      </c>
      <c r="AI100" s="42">
        <f>SUMIFS('CWO Bulan Ini'!$DA:$DA,'CWO Bulan Ini'!$DJ:$DJ,'Area-Cabang'!$B100,'CWO Bulan Ini'!$DH:$DH,'Area-Cabang'!$E100,'CWO Bulan Ini'!$CZ:$CZ,'Area-Cabang'!AI$41)</f>
        <v>0</v>
      </c>
      <c r="AJ100" s="42">
        <f>SUMIFS('CWO Bulan Ini'!$DA:$DA,'CWO Bulan Ini'!$DJ:$DJ,'Area-Cabang'!$B100,'CWO Bulan Ini'!$DH:$DH,'Area-Cabang'!$E100,'CWO Bulan Ini'!$CZ:$CZ,'Area-Cabang'!AJ$41)</f>
        <v>0</v>
      </c>
      <c r="AK100" s="41">
        <f>SUMIFS('CWO Bulan Ini'!$DD:$DD,'CWO Bulan Ini'!$DJ:$DJ,'Area-Cabang'!$B100,'CWO Bulan Ini'!$DH:$DH,'Area-Cabang'!$E100,'CWO Bulan Ini'!$CZ:$CZ,'Area-Cabang'!AK$41)</f>
        <v>0</v>
      </c>
      <c r="AL100" s="42">
        <f>SUMIFS('CWO Bulan Ini'!$DD:$DD,'CWO Bulan Ini'!$DJ:$DJ,'Area-Cabang'!$B100,'CWO Bulan Ini'!$DH:$DH,'Area-Cabang'!$E100,'CWO Bulan Ini'!$CZ:$CZ,'Area-Cabang'!AL$41)</f>
        <v>0</v>
      </c>
      <c r="AM100" s="42">
        <f>SUMIFS('CWO Bulan Ini'!$DD:$DD,'CWO Bulan Ini'!$DJ:$DJ,'Area-Cabang'!$B100,'CWO Bulan Ini'!$DH:$DH,'Area-Cabang'!$E100,'CWO Bulan Ini'!$CZ:$CZ,'Area-Cabang'!AM$41)</f>
        <v>0</v>
      </c>
      <c r="AN100" s="42">
        <f>SUMIFS('CWO Bulan Ini'!$DD:$DD,'CWO Bulan Ini'!$DJ:$DJ,'Area-Cabang'!$B100,'CWO Bulan Ini'!$DH:$DH,'Area-Cabang'!$E100,'CWO Bulan Ini'!$CZ:$CZ,'Area-Cabang'!AN$41)</f>
        <v>0</v>
      </c>
      <c r="AO100" s="42">
        <f>SUMIFS('CWO Bulan Ini'!$DD:$DD,'CWO Bulan Ini'!$DJ:$DJ,'Area-Cabang'!$B100,'CWO Bulan Ini'!$DH:$DH,'Area-Cabang'!$E100,'CWO Bulan Ini'!$CZ:$CZ,'Area-Cabang'!AO$41)</f>
        <v>0</v>
      </c>
      <c r="AP100" s="42">
        <f>SUMIFS('CWO Bulan Ini'!$DD:$DD,'CWO Bulan Ini'!$DJ:$DJ,'Area-Cabang'!$B100,'CWO Bulan Ini'!$DH:$DH,'Area-Cabang'!$E100,'CWO Bulan Ini'!$CZ:$CZ,'Area-Cabang'!AP$41)</f>
        <v>0</v>
      </c>
      <c r="AQ100" s="42">
        <f>SUMIFS('CWO Bulan Ini'!$DD:$DD,'CWO Bulan Ini'!$DJ:$DJ,'Area-Cabang'!$B100,'CWO Bulan Ini'!$DH:$DH,'Area-Cabang'!$E100,'CWO Bulan Ini'!$CZ:$CZ,'Area-Cabang'!AQ$41)</f>
        <v>0</v>
      </c>
      <c r="AR100" s="42">
        <f>SUMIFS('CWO Bulan Ini'!$DD:$DD,'CWO Bulan Ini'!$DJ:$DJ,'Area-Cabang'!$B100,'CWO Bulan Ini'!$DH:$DH,'Area-Cabang'!$E100,'CWO Bulan Ini'!$CZ:$CZ,'Area-Cabang'!AR$41)</f>
        <v>0</v>
      </c>
      <c r="AS100" s="42">
        <f>SUMIFS('CWO Bulan Ini'!$DD:$DD,'CWO Bulan Ini'!$DJ:$DJ,'Area-Cabang'!$B100,'CWO Bulan Ini'!$DH:$DH,'Area-Cabang'!$E100,'CWO Bulan Ini'!$CZ:$CZ,'Area-Cabang'!AS$41)</f>
        <v>0</v>
      </c>
      <c r="AT100" s="42">
        <f>SUMIFS('CWO Bulan Ini'!$DD:$DD,'CWO Bulan Ini'!$DJ:$DJ,'Area-Cabang'!$B100,'CWO Bulan Ini'!$DH:$DH,'Area-Cabang'!$E100,'CWO Bulan Ini'!$CZ:$CZ,'Area-Cabang'!AT$41)</f>
        <v>0</v>
      </c>
      <c r="AU100" s="42">
        <f>SUMIFS('CWO Bulan Ini'!$DD:$DD,'CWO Bulan Ini'!$DJ:$DJ,'Area-Cabang'!$B100,'CWO Bulan Ini'!$DH:$DH,'Area-Cabang'!$E100,'CWO Bulan Ini'!$CZ:$CZ,'Area-Cabang'!AU$41)</f>
        <v>0</v>
      </c>
      <c r="AV100" s="42">
        <f>SUMIFS('CWO Bulan Ini'!$DD:$DD,'CWO Bulan Ini'!$DJ:$DJ,'Area-Cabang'!$B100,'CWO Bulan Ini'!$DH:$DH,'Area-Cabang'!$E100,'CWO Bulan Ini'!$CZ:$CZ,'Area-Cabang'!AV$41)</f>
        <v>0</v>
      </c>
      <c r="AW100" s="42">
        <f>SUMIFS('CWO Bulan Ini'!$DD:$DD,'CWO Bulan Ini'!$DJ:$DJ,'Area-Cabang'!$B100,'CWO Bulan Ini'!$DH:$DH,'Area-Cabang'!$E100,'CWO Bulan Ini'!$CZ:$CZ,'Area-Cabang'!AW$41)</f>
        <v>0</v>
      </c>
      <c r="AX100" s="42">
        <f>SUMIFS('CWO Bulan Ini'!$DD:$DD,'CWO Bulan Ini'!$DJ:$DJ,'Area-Cabang'!$B100,'CWO Bulan Ini'!$DH:$DH,'Area-Cabang'!$E100,'CWO Bulan Ini'!$CZ:$CZ,'Area-Cabang'!AX$41)</f>
        <v>0</v>
      </c>
      <c r="AY100" s="42">
        <f>SUMIFS('CWO Bulan Ini'!$DD:$DD,'CWO Bulan Ini'!$DJ:$DJ,'Area-Cabang'!$B100,'CWO Bulan Ini'!$DH:$DH,'Area-Cabang'!$E100,'CWO Bulan Ini'!$CZ:$CZ,'Area-Cabang'!AY$41)</f>
        <v>0</v>
      </c>
      <c r="AZ100" s="42">
        <f>SUMIFS('CWO Bulan Ini'!$DD:$DD,'CWO Bulan Ini'!$DJ:$DJ,'Area-Cabang'!$B100,'CWO Bulan Ini'!$DH:$DH,'Area-Cabang'!$E100,'CWO Bulan Ini'!$CZ:$CZ,'Area-Cabang'!AZ$41)</f>
        <v>0</v>
      </c>
      <c r="BA100" s="42">
        <f>SUMIFS('CWO Bulan Ini'!$DD:$DD,'CWO Bulan Ini'!$DJ:$DJ,'Area-Cabang'!$B100,'CWO Bulan Ini'!$DH:$DH,'Area-Cabang'!$E100,'CWO Bulan Ini'!$CZ:$CZ,'Area-Cabang'!BA$41)</f>
        <v>0</v>
      </c>
      <c r="BB100" s="42">
        <f>SUMIFS('CWO Bulan Ini'!$DD:$DD,'CWO Bulan Ini'!$DJ:$DJ,'Area-Cabang'!$B100,'CWO Bulan Ini'!$DH:$DH,'Area-Cabang'!$E100,'CWO Bulan Ini'!$CZ:$CZ,'Area-Cabang'!BB$41)</f>
        <v>0</v>
      </c>
      <c r="BC100" s="42">
        <f>SUMIFS('CWO Bulan Ini'!$DD:$DD,'CWO Bulan Ini'!$DJ:$DJ,'Area-Cabang'!$B100,'CWO Bulan Ini'!$DH:$DH,'Area-Cabang'!$E100,'CWO Bulan Ini'!$CZ:$CZ,'Area-Cabang'!BC$41)</f>
        <v>0</v>
      </c>
      <c r="BD100" s="42">
        <f>SUMIFS('CWO Bulan Ini'!$DD:$DD,'CWO Bulan Ini'!$DJ:$DJ,'Area-Cabang'!$B100,'CWO Bulan Ini'!$DH:$DH,'Area-Cabang'!$E100,'CWO Bulan Ini'!$CZ:$CZ,'Area-Cabang'!BD$41)</f>
        <v>0</v>
      </c>
      <c r="BE100" s="42">
        <f>SUMIFS('CWO Bulan Ini'!$DD:$DD,'CWO Bulan Ini'!$DJ:$DJ,'Area-Cabang'!$B100,'CWO Bulan Ini'!$DH:$DH,'Area-Cabang'!$E100,'CWO Bulan Ini'!$CZ:$CZ,'Area-Cabang'!BE$41)</f>
        <v>0</v>
      </c>
      <c r="BF100" s="42">
        <f>SUMIFS('CWO Bulan Ini'!$DD:$DD,'CWO Bulan Ini'!$DJ:$DJ,'Area-Cabang'!$B100,'CWO Bulan Ini'!$DH:$DH,'Area-Cabang'!$E100,'CWO Bulan Ini'!$CZ:$CZ,'Area-Cabang'!BF$41)</f>
        <v>0</v>
      </c>
      <c r="BG100" s="42">
        <f>SUMIFS('CWO Bulan Ini'!$DD:$DD,'CWO Bulan Ini'!$DJ:$DJ,'Area-Cabang'!$B100,'CWO Bulan Ini'!$DH:$DH,'Area-Cabang'!$E100,'CWO Bulan Ini'!$CZ:$CZ,'Area-Cabang'!BG$41)</f>
        <v>0</v>
      </c>
      <c r="BH100" s="42">
        <f>SUMIFS('CWO Bulan Ini'!$DD:$DD,'CWO Bulan Ini'!$DJ:$DJ,'Area-Cabang'!$B100,'CWO Bulan Ini'!$DH:$DH,'Area-Cabang'!$E100,'CWO Bulan Ini'!$CZ:$CZ,'Area-Cabang'!BH$41)</f>
        <v>0</v>
      </c>
      <c r="BI100" s="42">
        <f>SUMIFS('CWO Bulan Ini'!$DD:$DD,'CWO Bulan Ini'!$DJ:$DJ,'Area-Cabang'!$B100,'CWO Bulan Ini'!$DH:$DH,'Area-Cabang'!$E100,'CWO Bulan Ini'!$CZ:$CZ,'Area-Cabang'!BI$41)</f>
        <v>0</v>
      </c>
      <c r="BJ100" s="42">
        <f>SUMIFS('CWO Bulan Ini'!$DD:$DD,'CWO Bulan Ini'!$DJ:$DJ,'Area-Cabang'!$B100,'CWO Bulan Ini'!$DH:$DH,'Area-Cabang'!$E100,'CWO Bulan Ini'!$CZ:$CZ,'Area-Cabang'!BJ$41)</f>
        <v>0</v>
      </c>
      <c r="BK100" s="42">
        <f>SUMIFS('CWO Bulan Ini'!$DD:$DD,'CWO Bulan Ini'!$DJ:$DJ,'Area-Cabang'!$B100,'CWO Bulan Ini'!$DH:$DH,'Area-Cabang'!$E100,'CWO Bulan Ini'!$CZ:$CZ,'Area-Cabang'!BK$41)</f>
        <v>0</v>
      </c>
      <c r="BL100" s="42">
        <f>SUMIFS('CWO Bulan Ini'!$DD:$DD,'CWO Bulan Ini'!$DJ:$DJ,'Area-Cabang'!$B100,'CWO Bulan Ini'!$DH:$DH,'Area-Cabang'!$E100,'CWO Bulan Ini'!$CZ:$CZ,'Area-Cabang'!BL$41)</f>
        <v>0</v>
      </c>
      <c r="BM100" s="42">
        <f>SUMIFS('CWO Bulan Ini'!$DD:$DD,'CWO Bulan Ini'!$DJ:$DJ,'Area-Cabang'!$B100,'CWO Bulan Ini'!$DH:$DH,'Area-Cabang'!$E100,'CWO Bulan Ini'!$CZ:$CZ,'Area-Cabang'!BM$41)</f>
        <v>0</v>
      </c>
      <c r="BN100" s="42">
        <f>SUMIFS('CWO Bulan Ini'!$DD:$DD,'CWO Bulan Ini'!$DJ:$DJ,'Area-Cabang'!$B100,'CWO Bulan Ini'!$DH:$DH,'Area-Cabang'!$E100,'CWO Bulan Ini'!$CZ:$CZ,'Area-Cabang'!BN$41)</f>
        <v>0</v>
      </c>
      <c r="BO100" s="43">
        <f>SUMIFS('CWO Bulan Ini'!$DD:$DD,'CWO Bulan Ini'!$DJ:$DJ,'Area-Cabang'!$B100,'CWO Bulan Ini'!$DH:$DH,'Area-Cabang'!$E100,'CWO Bulan Ini'!$CZ:$CZ,'Area-Cabang'!BO$41)</f>
        <v>0</v>
      </c>
      <c r="BP100" s="41">
        <f>SUMIFS('CWO Bulan Ini'!$DC:$DC,'CWO Bulan Ini'!$DJ:$DJ,'Area-Cabang'!$B100,'CWO Bulan Ini'!$DH:$DH,'Area-Cabang'!$E100,'CWO Bulan Ini'!$CZ:$CZ,'Area-Cabang'!BP$41)</f>
        <v>0</v>
      </c>
      <c r="BQ100" s="42">
        <f>SUMIFS('CWO Bulan Ini'!$DC:$DC,'CWO Bulan Ini'!$DJ:$DJ,'Area-Cabang'!$B100,'CWO Bulan Ini'!$DH:$DH,'Area-Cabang'!$E100,'CWO Bulan Ini'!$CZ:$CZ,'Area-Cabang'!BQ$41)</f>
        <v>0</v>
      </c>
      <c r="BR100" s="42">
        <f>SUMIFS('CWO Bulan Ini'!$DC:$DC,'CWO Bulan Ini'!$DJ:$DJ,'Area-Cabang'!$B100,'CWO Bulan Ini'!$DH:$DH,'Area-Cabang'!$E100,'CWO Bulan Ini'!$CZ:$CZ,'Area-Cabang'!BR$41)</f>
        <v>0</v>
      </c>
      <c r="BS100" s="42">
        <f>SUMIFS('CWO Bulan Ini'!$DC:$DC,'CWO Bulan Ini'!$DJ:$DJ,'Area-Cabang'!$B100,'CWO Bulan Ini'!$DH:$DH,'Area-Cabang'!$E100,'CWO Bulan Ini'!$CZ:$CZ,'Area-Cabang'!BS$41)</f>
        <v>0</v>
      </c>
      <c r="BT100" s="42">
        <f>SUMIFS('CWO Bulan Ini'!$DC:$DC,'CWO Bulan Ini'!$DJ:$DJ,'Area-Cabang'!$B100,'CWO Bulan Ini'!$DH:$DH,'Area-Cabang'!$E100,'CWO Bulan Ini'!$CZ:$CZ,'Area-Cabang'!BT$41)</f>
        <v>0</v>
      </c>
      <c r="BU100" s="42">
        <f>SUMIFS('CWO Bulan Ini'!$DC:$DC,'CWO Bulan Ini'!$DJ:$DJ,'Area-Cabang'!$B100,'CWO Bulan Ini'!$DH:$DH,'Area-Cabang'!$E100,'CWO Bulan Ini'!$CZ:$CZ,'Area-Cabang'!BU$41)</f>
        <v>0</v>
      </c>
      <c r="BV100" s="42">
        <f>SUMIFS('CWO Bulan Ini'!$DC:$DC,'CWO Bulan Ini'!$DJ:$DJ,'Area-Cabang'!$B100,'CWO Bulan Ini'!$DH:$DH,'Area-Cabang'!$E100,'CWO Bulan Ini'!$CZ:$CZ,'Area-Cabang'!BV$41)</f>
        <v>0</v>
      </c>
      <c r="BW100" s="42">
        <f>SUMIFS('CWO Bulan Ini'!$DC:$DC,'CWO Bulan Ini'!$DJ:$DJ,'Area-Cabang'!$B100,'CWO Bulan Ini'!$DH:$DH,'Area-Cabang'!$E100,'CWO Bulan Ini'!$CZ:$CZ,'Area-Cabang'!BW$41)</f>
        <v>0</v>
      </c>
      <c r="BX100" s="42">
        <f>SUMIFS('CWO Bulan Ini'!$DC:$DC,'CWO Bulan Ini'!$DJ:$DJ,'Area-Cabang'!$B100,'CWO Bulan Ini'!$DH:$DH,'Area-Cabang'!$E100,'CWO Bulan Ini'!$CZ:$CZ,'Area-Cabang'!BX$41)</f>
        <v>0</v>
      </c>
      <c r="BY100" s="42">
        <f>SUMIFS('CWO Bulan Ini'!$DC:$DC,'CWO Bulan Ini'!$DJ:$DJ,'Area-Cabang'!$B100,'CWO Bulan Ini'!$DH:$DH,'Area-Cabang'!$E100,'CWO Bulan Ini'!$CZ:$CZ,'Area-Cabang'!BY$41)</f>
        <v>0</v>
      </c>
      <c r="BZ100" s="42">
        <f>SUMIFS('CWO Bulan Ini'!$DC:$DC,'CWO Bulan Ini'!$DJ:$DJ,'Area-Cabang'!$B100,'CWO Bulan Ini'!$DH:$DH,'Area-Cabang'!$E100,'CWO Bulan Ini'!$CZ:$CZ,'Area-Cabang'!BZ$41)</f>
        <v>0</v>
      </c>
      <c r="CA100" s="42">
        <f>SUMIFS('CWO Bulan Ini'!$DC:$DC,'CWO Bulan Ini'!$DJ:$DJ,'Area-Cabang'!$B100,'CWO Bulan Ini'!$DH:$DH,'Area-Cabang'!$E100,'CWO Bulan Ini'!$CZ:$CZ,'Area-Cabang'!CA$41)</f>
        <v>0</v>
      </c>
      <c r="CB100" s="42">
        <f>SUMIFS('CWO Bulan Ini'!$DC:$DC,'CWO Bulan Ini'!$DJ:$DJ,'Area-Cabang'!$B100,'CWO Bulan Ini'!$DH:$DH,'Area-Cabang'!$E100,'CWO Bulan Ini'!$CZ:$CZ,'Area-Cabang'!CB$41)</f>
        <v>0</v>
      </c>
      <c r="CC100" s="42">
        <f>SUMIFS('CWO Bulan Ini'!$DC:$DC,'CWO Bulan Ini'!$DJ:$DJ,'Area-Cabang'!$B100,'CWO Bulan Ini'!$DH:$DH,'Area-Cabang'!$E100,'CWO Bulan Ini'!$CZ:$CZ,'Area-Cabang'!CC$41)</f>
        <v>0</v>
      </c>
      <c r="CD100" s="42">
        <f>SUMIFS('CWO Bulan Ini'!$DC:$DC,'CWO Bulan Ini'!$DJ:$DJ,'Area-Cabang'!$B100,'CWO Bulan Ini'!$DH:$DH,'Area-Cabang'!$E100,'CWO Bulan Ini'!$CZ:$CZ,'Area-Cabang'!CD$41)</f>
        <v>0</v>
      </c>
      <c r="CE100" s="42">
        <f>SUMIFS('CWO Bulan Ini'!$DC:$DC,'CWO Bulan Ini'!$DJ:$DJ,'Area-Cabang'!$B100,'CWO Bulan Ini'!$DH:$DH,'Area-Cabang'!$E100,'CWO Bulan Ini'!$CZ:$CZ,'Area-Cabang'!CE$41)</f>
        <v>0</v>
      </c>
      <c r="CF100" s="42">
        <f>SUMIFS('CWO Bulan Ini'!$DC:$DC,'CWO Bulan Ini'!$DJ:$DJ,'Area-Cabang'!$B100,'CWO Bulan Ini'!$DH:$DH,'Area-Cabang'!$E100,'CWO Bulan Ini'!$CZ:$CZ,'Area-Cabang'!CF$41)</f>
        <v>0</v>
      </c>
      <c r="CG100" s="42">
        <f>SUMIFS('CWO Bulan Ini'!$DC:$DC,'CWO Bulan Ini'!$DJ:$DJ,'Area-Cabang'!$B100,'CWO Bulan Ini'!$DH:$DH,'Area-Cabang'!$E100,'CWO Bulan Ini'!$CZ:$CZ,'Area-Cabang'!CG$41)</f>
        <v>0</v>
      </c>
      <c r="CH100" s="42">
        <f>SUMIFS('CWO Bulan Ini'!$DC:$DC,'CWO Bulan Ini'!$DJ:$DJ,'Area-Cabang'!$B100,'CWO Bulan Ini'!$DH:$DH,'Area-Cabang'!$E100,'CWO Bulan Ini'!$CZ:$CZ,'Area-Cabang'!CH$41)</f>
        <v>0</v>
      </c>
      <c r="CI100" s="42">
        <f>SUMIFS('CWO Bulan Ini'!$DC:$DC,'CWO Bulan Ini'!$DJ:$DJ,'Area-Cabang'!$B100,'CWO Bulan Ini'!$DH:$DH,'Area-Cabang'!$E100,'CWO Bulan Ini'!$CZ:$CZ,'Area-Cabang'!CI$41)</f>
        <v>0</v>
      </c>
      <c r="CJ100" s="42">
        <f>SUMIFS('CWO Bulan Ini'!$DC:$DC,'CWO Bulan Ini'!$DJ:$DJ,'Area-Cabang'!$B100,'CWO Bulan Ini'!$DH:$DH,'Area-Cabang'!$E100,'CWO Bulan Ini'!$CZ:$CZ,'Area-Cabang'!CJ$41)</f>
        <v>0</v>
      </c>
      <c r="CK100" s="42">
        <f>SUMIFS('CWO Bulan Ini'!$DC:$DC,'CWO Bulan Ini'!$DJ:$DJ,'Area-Cabang'!$B100,'CWO Bulan Ini'!$DH:$DH,'Area-Cabang'!$E100,'CWO Bulan Ini'!$CZ:$CZ,'Area-Cabang'!CK$41)</f>
        <v>0</v>
      </c>
      <c r="CL100" s="42">
        <f>SUMIFS('CWO Bulan Ini'!$DC:$DC,'CWO Bulan Ini'!$DJ:$DJ,'Area-Cabang'!$B100,'CWO Bulan Ini'!$DH:$DH,'Area-Cabang'!$E100,'CWO Bulan Ini'!$CZ:$CZ,'Area-Cabang'!CL$41)</f>
        <v>2.0403898599999999</v>
      </c>
      <c r="CM100" s="42">
        <f>SUMIFS('CWO Bulan Ini'!$DC:$DC,'CWO Bulan Ini'!$DJ:$DJ,'Area-Cabang'!$B100,'CWO Bulan Ini'!$DH:$DH,'Area-Cabang'!$E100,'CWO Bulan Ini'!$CZ:$CZ,'Area-Cabang'!CM$41)</f>
        <v>0</v>
      </c>
      <c r="CN100" s="42">
        <f>SUMIFS('CWO Bulan Ini'!$DC:$DC,'CWO Bulan Ini'!$DJ:$DJ,'Area-Cabang'!$B100,'CWO Bulan Ini'!$DH:$DH,'Area-Cabang'!$E100,'CWO Bulan Ini'!$CZ:$CZ,'Area-Cabang'!CN$41)</f>
        <v>0</v>
      </c>
      <c r="CO100" s="42">
        <f>SUMIFS('CWO Bulan Ini'!$DC:$DC,'CWO Bulan Ini'!$DJ:$DJ,'Area-Cabang'!$B100,'CWO Bulan Ini'!$DH:$DH,'Area-Cabang'!$E100,'CWO Bulan Ini'!$CZ:$CZ,'Area-Cabang'!CO$41)</f>
        <v>0</v>
      </c>
      <c r="CP100" s="42">
        <f>SUMIFS('CWO Bulan Ini'!$DC:$DC,'CWO Bulan Ini'!$DJ:$DJ,'Area-Cabang'!$B100,'CWO Bulan Ini'!$DH:$DH,'Area-Cabang'!$E100,'CWO Bulan Ini'!$CZ:$CZ,'Area-Cabang'!CP$41)</f>
        <v>0</v>
      </c>
      <c r="CQ100" s="42">
        <f>SUMIFS('CWO Bulan Ini'!$DC:$DC,'CWO Bulan Ini'!$DJ:$DJ,'Area-Cabang'!$B100,'CWO Bulan Ini'!$DH:$DH,'Area-Cabang'!$E100,'CWO Bulan Ini'!$CZ:$CZ,'Area-Cabang'!CQ$41)</f>
        <v>0</v>
      </c>
      <c r="CR100" s="42">
        <f>SUMIFS('CWO Bulan Ini'!$DC:$DC,'CWO Bulan Ini'!$DJ:$DJ,'Area-Cabang'!$B100,'CWO Bulan Ini'!$DH:$DH,'Area-Cabang'!$E100,'CWO Bulan Ini'!$CZ:$CZ,'Area-Cabang'!CR$41)</f>
        <v>0</v>
      </c>
      <c r="CS100" s="42">
        <f>SUMIFS('CWO Bulan Ini'!$DC:$DC,'CWO Bulan Ini'!$DJ:$DJ,'Area-Cabang'!$B100,'CWO Bulan Ini'!$DH:$DH,'Area-Cabang'!$E100,'CWO Bulan Ini'!$CZ:$CZ,'Area-Cabang'!CS$41)</f>
        <v>0</v>
      </c>
      <c r="CT100" s="43">
        <f>SUMIFS('CWO Bulan Ini'!$DC:$DC,'CWO Bulan Ini'!$DJ:$DJ,'Area-Cabang'!$B100,'CWO Bulan Ini'!$DH:$DH,'Area-Cabang'!$E100,'CWO Bulan Ini'!$CZ:$CZ,'Area-Cabang'!CT$41)</f>
        <v>0</v>
      </c>
      <c r="CV100" s="96">
        <f t="shared" si="2938"/>
        <v>2.0403898599999999</v>
      </c>
      <c r="CW100" s="93">
        <f t="shared" si="2939"/>
        <v>0</v>
      </c>
      <c r="CX100" s="93">
        <f t="shared" si="2940"/>
        <v>2.0403898599999999</v>
      </c>
      <c r="CY100" s="93">
        <f t="shared" si="2941"/>
        <v>0</v>
      </c>
      <c r="CZ100" s="106">
        <f t="shared" si="2942"/>
        <v>0</v>
      </c>
    </row>
    <row r="101" spans="1:104" ht="15" customHeight="1" x14ac:dyDescent="0.25">
      <c r="A101" s="58" t="s">
        <v>469</v>
      </c>
      <c r="B101" s="53" t="s">
        <v>826</v>
      </c>
      <c r="C101" s="250"/>
      <c r="D101" s="227" t="s">
        <v>826</v>
      </c>
      <c r="E101" s="228"/>
      <c r="F101" s="219">
        <f t="shared" ref="F101" si="2943">SUM(F99:F100)</f>
        <v>0</v>
      </c>
      <c r="G101" s="220">
        <f t="shared" ref="G101" si="2944">SUM(G99:G100)</f>
        <v>0</v>
      </c>
      <c r="H101" s="220">
        <f t="shared" ref="H101" si="2945">SUM(H99:H100)</f>
        <v>0</v>
      </c>
      <c r="I101" s="220">
        <f t="shared" ref="I101" si="2946">SUM(I99:I100)</f>
        <v>0</v>
      </c>
      <c r="J101" s="220">
        <f t="shared" ref="J101" si="2947">SUM(J99:J100)</f>
        <v>0</v>
      </c>
      <c r="K101" s="220">
        <f t="shared" ref="K101" si="2948">SUM(K99:K100)</f>
        <v>0</v>
      </c>
      <c r="L101" s="220">
        <f t="shared" ref="L101" si="2949">SUM(L99:L100)</f>
        <v>0</v>
      </c>
      <c r="M101" s="220">
        <f t="shared" ref="M101" si="2950">SUM(M99:M100)</f>
        <v>0</v>
      </c>
      <c r="N101" s="220">
        <f t="shared" ref="N101" si="2951">SUM(N99:N100)</f>
        <v>0</v>
      </c>
      <c r="O101" s="220">
        <f t="shared" ref="O101" si="2952">SUM(O99:O100)</f>
        <v>0</v>
      </c>
      <c r="P101" s="220">
        <f t="shared" ref="P101" si="2953">SUM(P99:P100)</f>
        <v>0</v>
      </c>
      <c r="Q101" s="220">
        <f t="shared" ref="Q101" si="2954">SUM(Q99:Q100)</f>
        <v>0</v>
      </c>
      <c r="R101" s="220">
        <f t="shared" ref="R101" si="2955">SUM(R99:R100)</f>
        <v>0</v>
      </c>
      <c r="S101" s="220">
        <f t="shared" ref="S101" si="2956">SUM(S99:S100)</f>
        <v>0</v>
      </c>
      <c r="T101" s="220">
        <f t="shared" ref="T101" si="2957">SUM(T99:T100)</f>
        <v>0</v>
      </c>
      <c r="U101" s="220">
        <f t="shared" ref="U101" si="2958">SUM(U99:U100)</f>
        <v>0</v>
      </c>
      <c r="V101" s="220">
        <f t="shared" ref="V101" si="2959">SUM(V99:V100)</f>
        <v>0</v>
      </c>
      <c r="W101" s="220">
        <f t="shared" ref="W101" si="2960">SUM(W99:W100)</f>
        <v>0</v>
      </c>
      <c r="X101" s="220">
        <f t="shared" ref="X101" si="2961">SUM(X99:X100)</f>
        <v>0</v>
      </c>
      <c r="Y101" s="220">
        <f t="shared" ref="Y101" si="2962">SUM(Y99:Y100)</f>
        <v>0</v>
      </c>
      <c r="Z101" s="220">
        <f t="shared" ref="Z101" si="2963">SUM(Z99:Z100)</f>
        <v>0</v>
      </c>
      <c r="AA101" s="220">
        <f t="shared" ref="AA101" si="2964">SUM(AA99:AA100)</f>
        <v>0</v>
      </c>
      <c r="AB101" s="220">
        <f t="shared" ref="AB101" si="2965">SUM(AB99:AB100)</f>
        <v>2.0403898599999999</v>
      </c>
      <c r="AC101" s="220">
        <f t="shared" ref="AC101" si="2966">SUM(AC99:AC100)</f>
        <v>0</v>
      </c>
      <c r="AD101" s="220">
        <f t="shared" ref="AD101" si="2967">SUM(AD99:AD100)</f>
        <v>0</v>
      </c>
      <c r="AE101" s="220">
        <f t="shared" ref="AE101" si="2968">SUM(AE99:AE100)</f>
        <v>0</v>
      </c>
      <c r="AF101" s="220">
        <f t="shared" ref="AF101" si="2969">SUM(AF99:AF100)</f>
        <v>0</v>
      </c>
      <c r="AG101" s="220">
        <f t="shared" ref="AG101" si="2970">SUM(AG99:AG100)</f>
        <v>0</v>
      </c>
      <c r="AH101" s="220">
        <f t="shared" ref="AH101" si="2971">SUM(AH99:AH100)</f>
        <v>0</v>
      </c>
      <c r="AI101" s="220">
        <f t="shared" ref="AI101" si="2972">SUM(AI99:AI100)</f>
        <v>0</v>
      </c>
      <c r="AJ101" s="220">
        <f t="shared" ref="AJ101" si="2973">SUM(AJ99:AJ100)</f>
        <v>0</v>
      </c>
      <c r="AK101" s="219">
        <f t="shared" ref="AK101" si="2974">SUM(AK99:AK100)</f>
        <v>0</v>
      </c>
      <c r="AL101" s="220">
        <f t="shared" ref="AL101" si="2975">SUM(AL99:AL100)</f>
        <v>0</v>
      </c>
      <c r="AM101" s="220">
        <f t="shared" ref="AM101" si="2976">SUM(AM99:AM100)</f>
        <v>0</v>
      </c>
      <c r="AN101" s="220">
        <f t="shared" ref="AN101" si="2977">SUM(AN99:AN100)</f>
        <v>0</v>
      </c>
      <c r="AO101" s="220">
        <f t="shared" ref="AO101" si="2978">SUM(AO99:AO100)</f>
        <v>0</v>
      </c>
      <c r="AP101" s="220">
        <f t="shared" ref="AP101" si="2979">SUM(AP99:AP100)</f>
        <v>0</v>
      </c>
      <c r="AQ101" s="220">
        <f t="shared" ref="AQ101" si="2980">SUM(AQ99:AQ100)</f>
        <v>0</v>
      </c>
      <c r="AR101" s="220">
        <f t="shared" ref="AR101" si="2981">SUM(AR99:AR100)</f>
        <v>0</v>
      </c>
      <c r="AS101" s="220">
        <f t="shared" ref="AS101" si="2982">SUM(AS99:AS100)</f>
        <v>0</v>
      </c>
      <c r="AT101" s="220">
        <f t="shared" ref="AT101" si="2983">SUM(AT99:AT100)</f>
        <v>0</v>
      </c>
      <c r="AU101" s="220">
        <f t="shared" ref="AU101" si="2984">SUM(AU99:AU100)</f>
        <v>0</v>
      </c>
      <c r="AV101" s="220">
        <f t="shared" ref="AV101" si="2985">SUM(AV99:AV100)</f>
        <v>0</v>
      </c>
      <c r="AW101" s="220">
        <f t="shared" ref="AW101" si="2986">SUM(AW99:AW100)</f>
        <v>0</v>
      </c>
      <c r="AX101" s="220">
        <f t="shared" ref="AX101" si="2987">SUM(AX99:AX100)</f>
        <v>0</v>
      </c>
      <c r="AY101" s="220">
        <f t="shared" ref="AY101" si="2988">SUM(AY99:AY100)</f>
        <v>0</v>
      </c>
      <c r="AZ101" s="220">
        <f t="shared" ref="AZ101" si="2989">SUM(AZ99:AZ100)</f>
        <v>0</v>
      </c>
      <c r="BA101" s="220">
        <f t="shared" ref="BA101" si="2990">SUM(BA99:BA100)</f>
        <v>0</v>
      </c>
      <c r="BB101" s="220">
        <f t="shared" ref="BB101" si="2991">SUM(BB99:BB100)</f>
        <v>0</v>
      </c>
      <c r="BC101" s="220">
        <f t="shared" ref="BC101" si="2992">SUM(BC99:BC100)</f>
        <v>0</v>
      </c>
      <c r="BD101" s="220">
        <f t="shared" ref="BD101" si="2993">SUM(BD99:BD100)</f>
        <v>0</v>
      </c>
      <c r="BE101" s="220">
        <f t="shared" ref="BE101" si="2994">SUM(BE99:BE100)</f>
        <v>0</v>
      </c>
      <c r="BF101" s="220">
        <f t="shared" ref="BF101" si="2995">SUM(BF99:BF100)</f>
        <v>0</v>
      </c>
      <c r="BG101" s="220">
        <f t="shared" ref="BG101" si="2996">SUM(BG99:BG100)</f>
        <v>0</v>
      </c>
      <c r="BH101" s="220">
        <f t="shared" ref="BH101" si="2997">SUM(BH99:BH100)</f>
        <v>0</v>
      </c>
      <c r="BI101" s="220">
        <f t="shared" ref="BI101" si="2998">SUM(BI99:BI100)</f>
        <v>0</v>
      </c>
      <c r="BJ101" s="220">
        <f t="shared" ref="BJ101" si="2999">SUM(BJ99:BJ100)</f>
        <v>0</v>
      </c>
      <c r="BK101" s="220">
        <f t="shared" ref="BK101" si="3000">SUM(BK99:BK100)</f>
        <v>0</v>
      </c>
      <c r="BL101" s="220">
        <f t="shared" ref="BL101" si="3001">SUM(BL99:BL100)</f>
        <v>0</v>
      </c>
      <c r="BM101" s="220">
        <f t="shared" ref="BM101" si="3002">SUM(BM99:BM100)</f>
        <v>0</v>
      </c>
      <c r="BN101" s="220">
        <f t="shared" ref="BN101" si="3003">SUM(BN99:BN100)</f>
        <v>0</v>
      </c>
      <c r="BO101" s="221">
        <f t="shared" ref="BO101" si="3004">SUM(BO99:BO100)</f>
        <v>0</v>
      </c>
      <c r="BP101" s="219">
        <f t="shared" ref="BP101" si="3005">SUM(BP99:BP100)</f>
        <v>0</v>
      </c>
      <c r="BQ101" s="220">
        <f t="shared" ref="BQ101" si="3006">SUM(BQ99:BQ100)</f>
        <v>0</v>
      </c>
      <c r="BR101" s="220">
        <f t="shared" ref="BR101" si="3007">SUM(BR99:BR100)</f>
        <v>0</v>
      </c>
      <c r="BS101" s="220">
        <f t="shared" ref="BS101" si="3008">SUM(BS99:BS100)</f>
        <v>0</v>
      </c>
      <c r="BT101" s="220">
        <f t="shared" ref="BT101" si="3009">SUM(BT99:BT100)</f>
        <v>0</v>
      </c>
      <c r="BU101" s="220">
        <f t="shared" ref="BU101" si="3010">SUM(BU99:BU100)</f>
        <v>0</v>
      </c>
      <c r="BV101" s="220">
        <f t="shared" ref="BV101" si="3011">SUM(BV99:BV100)</f>
        <v>0</v>
      </c>
      <c r="BW101" s="220">
        <f t="shared" ref="BW101" si="3012">SUM(BW99:BW100)</f>
        <v>0</v>
      </c>
      <c r="BX101" s="220">
        <f t="shared" ref="BX101" si="3013">SUM(BX99:BX100)</f>
        <v>0</v>
      </c>
      <c r="BY101" s="220">
        <f t="shared" ref="BY101" si="3014">SUM(BY99:BY100)</f>
        <v>0</v>
      </c>
      <c r="BZ101" s="220">
        <f t="shared" ref="BZ101" si="3015">SUM(BZ99:BZ100)</f>
        <v>0</v>
      </c>
      <c r="CA101" s="220">
        <f t="shared" ref="CA101" si="3016">SUM(CA99:CA100)</f>
        <v>0</v>
      </c>
      <c r="CB101" s="220">
        <f t="shared" ref="CB101" si="3017">SUM(CB99:CB100)</f>
        <v>0</v>
      </c>
      <c r="CC101" s="220">
        <f t="shared" ref="CC101" si="3018">SUM(CC99:CC100)</f>
        <v>0</v>
      </c>
      <c r="CD101" s="220">
        <f t="shared" ref="CD101" si="3019">SUM(CD99:CD100)</f>
        <v>0</v>
      </c>
      <c r="CE101" s="220">
        <f t="shared" ref="CE101" si="3020">SUM(CE99:CE100)</f>
        <v>0</v>
      </c>
      <c r="CF101" s="220">
        <f t="shared" ref="CF101" si="3021">SUM(CF99:CF100)</f>
        <v>0</v>
      </c>
      <c r="CG101" s="220">
        <f t="shared" ref="CG101" si="3022">SUM(CG99:CG100)</f>
        <v>0</v>
      </c>
      <c r="CH101" s="220">
        <f t="shared" ref="CH101" si="3023">SUM(CH99:CH100)</f>
        <v>0</v>
      </c>
      <c r="CI101" s="220">
        <f t="shared" ref="CI101" si="3024">SUM(CI99:CI100)</f>
        <v>0</v>
      </c>
      <c r="CJ101" s="220">
        <f t="shared" ref="CJ101" si="3025">SUM(CJ99:CJ100)</f>
        <v>0</v>
      </c>
      <c r="CK101" s="220">
        <f t="shared" ref="CK101" si="3026">SUM(CK99:CK100)</f>
        <v>0</v>
      </c>
      <c r="CL101" s="220">
        <f t="shared" ref="CL101" si="3027">SUM(CL99:CL100)</f>
        <v>2.0403898599999999</v>
      </c>
      <c r="CM101" s="220">
        <f t="shared" ref="CM101" si="3028">SUM(CM99:CM100)</f>
        <v>0</v>
      </c>
      <c r="CN101" s="220">
        <f t="shared" ref="CN101" si="3029">SUM(CN99:CN100)</f>
        <v>0</v>
      </c>
      <c r="CO101" s="220">
        <f t="shared" ref="CO101" si="3030">SUM(CO99:CO100)</f>
        <v>0</v>
      </c>
      <c r="CP101" s="220">
        <f t="shared" ref="CP101" si="3031">SUM(CP99:CP100)</f>
        <v>0</v>
      </c>
      <c r="CQ101" s="220">
        <f t="shared" ref="CQ101" si="3032">SUM(CQ99:CQ100)</f>
        <v>0</v>
      </c>
      <c r="CR101" s="220">
        <f t="shared" ref="CR101" si="3033">SUM(CR99:CR100)</f>
        <v>0</v>
      </c>
      <c r="CS101" s="220">
        <f t="shared" ref="CS101" si="3034">SUM(CS99:CS100)</f>
        <v>0</v>
      </c>
      <c r="CT101" s="221">
        <f t="shared" ref="CT101" si="3035">SUM(CT99:CT100)</f>
        <v>0</v>
      </c>
      <c r="CU101" s="226"/>
      <c r="CV101" s="219">
        <f t="shared" ref="CV101" si="3036">SUM(CV99:CV100)</f>
        <v>2.0403898599999999</v>
      </c>
      <c r="CW101" s="220">
        <f t="shared" ref="CW101" si="3037">SUM(CW99:CW100)</f>
        <v>0</v>
      </c>
      <c r="CX101" s="220">
        <f t="shared" ref="CX101" si="3038">SUM(CX99:CX100)</f>
        <v>2.0403898599999999</v>
      </c>
      <c r="CY101" s="220">
        <f t="shared" ref="CY101" si="3039">SUM(CY99:CY100)</f>
        <v>0</v>
      </c>
      <c r="CZ101" s="222">
        <f t="shared" ref="CZ101" si="3040">SUM(CZ99:CZ100)</f>
        <v>0</v>
      </c>
    </row>
    <row r="102" spans="1:104" ht="15" customHeight="1" x14ac:dyDescent="0.25">
      <c r="A102" s="58" t="s">
        <v>469</v>
      </c>
      <c r="B102" s="53" t="s">
        <v>138</v>
      </c>
      <c r="C102" s="250"/>
      <c r="D102" s="245" t="s">
        <v>138</v>
      </c>
      <c r="E102" s="85" t="s">
        <v>132</v>
      </c>
      <c r="F102" s="55">
        <f>SUMIFS('CWO Bulan Ini'!$DA:$DA,'CWO Bulan Ini'!$DJ:$DJ,'Area-Cabang'!$B102,'CWO Bulan Ini'!$DH:$DH,'Area-Cabang'!$E102,'CWO Bulan Ini'!$CZ:$CZ,'Area-Cabang'!F$41)</f>
        <v>0</v>
      </c>
      <c r="G102" s="56">
        <f>SUMIFS('CWO Bulan Ini'!$DA:$DA,'CWO Bulan Ini'!$DJ:$DJ,'Area-Cabang'!$B102,'CWO Bulan Ini'!$DH:$DH,'Area-Cabang'!$E102,'CWO Bulan Ini'!$CZ:$CZ,'Area-Cabang'!G$41)</f>
        <v>0</v>
      </c>
      <c r="H102" s="56">
        <f>SUMIFS('CWO Bulan Ini'!$DA:$DA,'CWO Bulan Ini'!$DJ:$DJ,'Area-Cabang'!$B102,'CWO Bulan Ini'!$DH:$DH,'Area-Cabang'!$E102,'CWO Bulan Ini'!$CZ:$CZ,'Area-Cabang'!H$41)</f>
        <v>0</v>
      </c>
      <c r="I102" s="56">
        <f>SUMIFS('CWO Bulan Ini'!$DA:$DA,'CWO Bulan Ini'!$DJ:$DJ,'Area-Cabang'!$B102,'CWO Bulan Ini'!$DH:$DH,'Area-Cabang'!$E102,'CWO Bulan Ini'!$CZ:$CZ,'Area-Cabang'!I$41)</f>
        <v>0</v>
      </c>
      <c r="J102" s="56">
        <f>SUMIFS('CWO Bulan Ini'!$DA:$DA,'CWO Bulan Ini'!$DJ:$DJ,'Area-Cabang'!$B102,'CWO Bulan Ini'!$DH:$DH,'Area-Cabang'!$E102,'CWO Bulan Ini'!$CZ:$CZ,'Area-Cabang'!J$41)</f>
        <v>0</v>
      </c>
      <c r="K102" s="56">
        <f>SUMIFS('CWO Bulan Ini'!$DA:$DA,'CWO Bulan Ini'!$DJ:$DJ,'Area-Cabang'!$B102,'CWO Bulan Ini'!$DH:$DH,'Area-Cabang'!$E102,'CWO Bulan Ini'!$CZ:$CZ,'Area-Cabang'!K$41)</f>
        <v>0</v>
      </c>
      <c r="L102" s="56">
        <f>SUMIFS('CWO Bulan Ini'!$DA:$DA,'CWO Bulan Ini'!$DJ:$DJ,'Area-Cabang'!$B102,'CWO Bulan Ini'!$DH:$DH,'Area-Cabang'!$E102,'CWO Bulan Ini'!$CZ:$CZ,'Area-Cabang'!L$41)</f>
        <v>0</v>
      </c>
      <c r="M102" s="56">
        <f>SUMIFS('CWO Bulan Ini'!$DA:$DA,'CWO Bulan Ini'!$DJ:$DJ,'Area-Cabang'!$B102,'CWO Bulan Ini'!$DH:$DH,'Area-Cabang'!$E102,'CWO Bulan Ini'!$CZ:$CZ,'Area-Cabang'!M$41)</f>
        <v>0</v>
      </c>
      <c r="N102" s="56">
        <f>SUMIFS('CWO Bulan Ini'!$DA:$DA,'CWO Bulan Ini'!$DJ:$DJ,'Area-Cabang'!$B102,'CWO Bulan Ini'!$DH:$DH,'Area-Cabang'!$E102,'CWO Bulan Ini'!$CZ:$CZ,'Area-Cabang'!N$41)</f>
        <v>0</v>
      </c>
      <c r="O102" s="56">
        <f>SUMIFS('CWO Bulan Ini'!$DA:$DA,'CWO Bulan Ini'!$DJ:$DJ,'Area-Cabang'!$B102,'CWO Bulan Ini'!$DH:$DH,'Area-Cabang'!$E102,'CWO Bulan Ini'!$CZ:$CZ,'Area-Cabang'!O$41)</f>
        <v>0</v>
      </c>
      <c r="P102" s="56">
        <f>SUMIFS('CWO Bulan Ini'!$DA:$DA,'CWO Bulan Ini'!$DJ:$DJ,'Area-Cabang'!$B102,'CWO Bulan Ini'!$DH:$DH,'Area-Cabang'!$E102,'CWO Bulan Ini'!$CZ:$CZ,'Area-Cabang'!P$41)</f>
        <v>0</v>
      </c>
      <c r="Q102" s="56">
        <f>SUMIFS('CWO Bulan Ini'!$DA:$DA,'CWO Bulan Ini'!$DJ:$DJ,'Area-Cabang'!$B102,'CWO Bulan Ini'!$DH:$DH,'Area-Cabang'!$E102,'CWO Bulan Ini'!$CZ:$CZ,'Area-Cabang'!Q$41)</f>
        <v>0</v>
      </c>
      <c r="R102" s="56">
        <f>SUMIFS('CWO Bulan Ini'!$DA:$DA,'CWO Bulan Ini'!$DJ:$DJ,'Area-Cabang'!$B102,'CWO Bulan Ini'!$DH:$DH,'Area-Cabang'!$E102,'CWO Bulan Ini'!$CZ:$CZ,'Area-Cabang'!R$41)</f>
        <v>0</v>
      </c>
      <c r="S102" s="56">
        <f>SUMIFS('CWO Bulan Ini'!$DA:$DA,'CWO Bulan Ini'!$DJ:$DJ,'Area-Cabang'!$B102,'CWO Bulan Ini'!$DH:$DH,'Area-Cabang'!$E102,'CWO Bulan Ini'!$CZ:$CZ,'Area-Cabang'!S$41)</f>
        <v>0</v>
      </c>
      <c r="T102" s="56">
        <f>SUMIFS('CWO Bulan Ini'!$DA:$DA,'CWO Bulan Ini'!$DJ:$DJ,'Area-Cabang'!$B102,'CWO Bulan Ini'!$DH:$DH,'Area-Cabang'!$E102,'CWO Bulan Ini'!$CZ:$CZ,'Area-Cabang'!T$41)</f>
        <v>0</v>
      </c>
      <c r="U102" s="56">
        <f>SUMIFS('CWO Bulan Ini'!$DA:$DA,'CWO Bulan Ini'!$DJ:$DJ,'Area-Cabang'!$B102,'CWO Bulan Ini'!$DH:$DH,'Area-Cabang'!$E102,'CWO Bulan Ini'!$CZ:$CZ,'Area-Cabang'!U$41)</f>
        <v>0</v>
      </c>
      <c r="V102" s="56">
        <f>SUMIFS('CWO Bulan Ini'!$DA:$DA,'CWO Bulan Ini'!$DJ:$DJ,'Area-Cabang'!$B102,'CWO Bulan Ini'!$DH:$DH,'Area-Cabang'!$E102,'CWO Bulan Ini'!$CZ:$CZ,'Area-Cabang'!V$41)</f>
        <v>0</v>
      </c>
      <c r="W102" s="56">
        <f>SUMIFS('CWO Bulan Ini'!$DA:$DA,'CWO Bulan Ini'!$DJ:$DJ,'Area-Cabang'!$B102,'CWO Bulan Ini'!$DH:$DH,'Area-Cabang'!$E102,'CWO Bulan Ini'!$CZ:$CZ,'Area-Cabang'!W$41)</f>
        <v>0</v>
      </c>
      <c r="X102" s="56">
        <f>SUMIFS('CWO Bulan Ini'!$DA:$DA,'CWO Bulan Ini'!$DJ:$DJ,'Area-Cabang'!$B102,'CWO Bulan Ini'!$DH:$DH,'Area-Cabang'!$E102,'CWO Bulan Ini'!$CZ:$CZ,'Area-Cabang'!X$41)</f>
        <v>0</v>
      </c>
      <c r="Y102" s="56">
        <f>SUMIFS('CWO Bulan Ini'!$DA:$DA,'CWO Bulan Ini'!$DJ:$DJ,'Area-Cabang'!$B102,'CWO Bulan Ini'!$DH:$DH,'Area-Cabang'!$E102,'CWO Bulan Ini'!$CZ:$CZ,'Area-Cabang'!Y$41)</f>
        <v>0</v>
      </c>
      <c r="Z102" s="56">
        <f>SUMIFS('CWO Bulan Ini'!$DA:$DA,'CWO Bulan Ini'!$DJ:$DJ,'Area-Cabang'!$B102,'CWO Bulan Ini'!$DH:$DH,'Area-Cabang'!$E102,'CWO Bulan Ini'!$CZ:$CZ,'Area-Cabang'!Z$41)</f>
        <v>0</v>
      </c>
      <c r="AA102" s="56">
        <f>SUMIFS('CWO Bulan Ini'!$DA:$DA,'CWO Bulan Ini'!$DJ:$DJ,'Area-Cabang'!$B102,'CWO Bulan Ini'!$DH:$DH,'Area-Cabang'!$E102,'CWO Bulan Ini'!$CZ:$CZ,'Area-Cabang'!AA$41)</f>
        <v>0</v>
      </c>
      <c r="AB102" s="56">
        <f>SUMIFS('CWO Bulan Ini'!$DA:$DA,'CWO Bulan Ini'!$DJ:$DJ,'Area-Cabang'!$B102,'CWO Bulan Ini'!$DH:$DH,'Area-Cabang'!$E102,'CWO Bulan Ini'!$CZ:$CZ,'Area-Cabang'!AB$41)</f>
        <v>0</v>
      </c>
      <c r="AC102" s="56">
        <f>SUMIFS('CWO Bulan Ini'!$DA:$DA,'CWO Bulan Ini'!$DJ:$DJ,'Area-Cabang'!$B102,'CWO Bulan Ini'!$DH:$DH,'Area-Cabang'!$E102,'CWO Bulan Ini'!$CZ:$CZ,'Area-Cabang'!AC$41)</f>
        <v>0</v>
      </c>
      <c r="AD102" s="56">
        <f>SUMIFS('CWO Bulan Ini'!$DA:$DA,'CWO Bulan Ini'!$DJ:$DJ,'Area-Cabang'!$B102,'CWO Bulan Ini'!$DH:$DH,'Area-Cabang'!$E102,'CWO Bulan Ini'!$CZ:$CZ,'Area-Cabang'!AD$41)</f>
        <v>0</v>
      </c>
      <c r="AE102" s="56">
        <f>SUMIFS('CWO Bulan Ini'!$DA:$DA,'CWO Bulan Ini'!$DJ:$DJ,'Area-Cabang'!$B102,'CWO Bulan Ini'!$DH:$DH,'Area-Cabang'!$E102,'CWO Bulan Ini'!$CZ:$CZ,'Area-Cabang'!AE$41)</f>
        <v>0</v>
      </c>
      <c r="AF102" s="56">
        <f>SUMIFS('CWO Bulan Ini'!$DA:$DA,'CWO Bulan Ini'!$DJ:$DJ,'Area-Cabang'!$B102,'CWO Bulan Ini'!$DH:$DH,'Area-Cabang'!$E102,'CWO Bulan Ini'!$CZ:$CZ,'Area-Cabang'!AF$41)</f>
        <v>0</v>
      </c>
      <c r="AG102" s="56">
        <f>SUMIFS('CWO Bulan Ini'!$DA:$DA,'CWO Bulan Ini'!$DJ:$DJ,'Area-Cabang'!$B102,'CWO Bulan Ini'!$DH:$DH,'Area-Cabang'!$E102,'CWO Bulan Ini'!$CZ:$CZ,'Area-Cabang'!AG$41)</f>
        <v>0</v>
      </c>
      <c r="AH102" s="56">
        <f>SUMIFS('CWO Bulan Ini'!$DA:$DA,'CWO Bulan Ini'!$DJ:$DJ,'Area-Cabang'!$B102,'CWO Bulan Ini'!$DH:$DH,'Area-Cabang'!$E102,'CWO Bulan Ini'!$CZ:$CZ,'Area-Cabang'!AH$41)</f>
        <v>0</v>
      </c>
      <c r="AI102" s="56">
        <f>SUMIFS('CWO Bulan Ini'!$DA:$DA,'CWO Bulan Ini'!$DJ:$DJ,'Area-Cabang'!$B102,'CWO Bulan Ini'!$DH:$DH,'Area-Cabang'!$E102,'CWO Bulan Ini'!$CZ:$CZ,'Area-Cabang'!AI$41)</f>
        <v>0</v>
      </c>
      <c r="AJ102" s="56">
        <f>SUMIFS('CWO Bulan Ini'!$DA:$DA,'CWO Bulan Ini'!$DJ:$DJ,'Area-Cabang'!$B102,'CWO Bulan Ini'!$DH:$DH,'Area-Cabang'!$E102,'CWO Bulan Ini'!$CZ:$CZ,'Area-Cabang'!AJ$41)</f>
        <v>0</v>
      </c>
      <c r="AK102" s="55">
        <f>SUMIFS('CWO Bulan Ini'!$DD:$DD,'CWO Bulan Ini'!$DJ:$DJ,'Area-Cabang'!$B102,'CWO Bulan Ini'!$DH:$DH,'Area-Cabang'!$E102,'CWO Bulan Ini'!$CZ:$CZ,'Area-Cabang'!AK$41)</f>
        <v>0</v>
      </c>
      <c r="AL102" s="56">
        <f>SUMIFS('CWO Bulan Ini'!$DD:$DD,'CWO Bulan Ini'!$DJ:$DJ,'Area-Cabang'!$B102,'CWO Bulan Ini'!$DH:$DH,'Area-Cabang'!$E102,'CWO Bulan Ini'!$CZ:$CZ,'Area-Cabang'!AL$41)</f>
        <v>0</v>
      </c>
      <c r="AM102" s="56">
        <f>SUMIFS('CWO Bulan Ini'!$DD:$DD,'CWO Bulan Ini'!$DJ:$DJ,'Area-Cabang'!$B102,'CWO Bulan Ini'!$DH:$DH,'Area-Cabang'!$E102,'CWO Bulan Ini'!$CZ:$CZ,'Area-Cabang'!AM$41)</f>
        <v>0</v>
      </c>
      <c r="AN102" s="56">
        <f>SUMIFS('CWO Bulan Ini'!$DD:$DD,'CWO Bulan Ini'!$DJ:$DJ,'Area-Cabang'!$B102,'CWO Bulan Ini'!$DH:$DH,'Area-Cabang'!$E102,'CWO Bulan Ini'!$CZ:$CZ,'Area-Cabang'!AN$41)</f>
        <v>0</v>
      </c>
      <c r="AO102" s="56">
        <f>SUMIFS('CWO Bulan Ini'!$DD:$DD,'CWO Bulan Ini'!$DJ:$DJ,'Area-Cabang'!$B102,'CWO Bulan Ini'!$DH:$DH,'Area-Cabang'!$E102,'CWO Bulan Ini'!$CZ:$CZ,'Area-Cabang'!AO$41)</f>
        <v>0</v>
      </c>
      <c r="AP102" s="56">
        <f>SUMIFS('CWO Bulan Ini'!$DD:$DD,'CWO Bulan Ini'!$DJ:$DJ,'Area-Cabang'!$B102,'CWO Bulan Ini'!$DH:$DH,'Area-Cabang'!$E102,'CWO Bulan Ini'!$CZ:$CZ,'Area-Cabang'!AP$41)</f>
        <v>0</v>
      </c>
      <c r="AQ102" s="56">
        <f>SUMIFS('CWO Bulan Ini'!$DD:$DD,'CWO Bulan Ini'!$DJ:$DJ,'Area-Cabang'!$B102,'CWO Bulan Ini'!$DH:$DH,'Area-Cabang'!$E102,'CWO Bulan Ini'!$CZ:$CZ,'Area-Cabang'!AQ$41)</f>
        <v>0</v>
      </c>
      <c r="AR102" s="56">
        <f>SUMIFS('CWO Bulan Ini'!$DD:$DD,'CWO Bulan Ini'!$DJ:$DJ,'Area-Cabang'!$B102,'CWO Bulan Ini'!$DH:$DH,'Area-Cabang'!$E102,'CWO Bulan Ini'!$CZ:$CZ,'Area-Cabang'!AR$41)</f>
        <v>0</v>
      </c>
      <c r="AS102" s="56">
        <f>SUMIFS('CWO Bulan Ini'!$DD:$DD,'CWO Bulan Ini'!$DJ:$DJ,'Area-Cabang'!$B102,'CWO Bulan Ini'!$DH:$DH,'Area-Cabang'!$E102,'CWO Bulan Ini'!$CZ:$CZ,'Area-Cabang'!AS$41)</f>
        <v>0</v>
      </c>
      <c r="AT102" s="56">
        <f>SUMIFS('CWO Bulan Ini'!$DD:$DD,'CWO Bulan Ini'!$DJ:$DJ,'Area-Cabang'!$B102,'CWO Bulan Ini'!$DH:$DH,'Area-Cabang'!$E102,'CWO Bulan Ini'!$CZ:$CZ,'Area-Cabang'!AT$41)</f>
        <v>0</v>
      </c>
      <c r="AU102" s="56">
        <f>SUMIFS('CWO Bulan Ini'!$DD:$DD,'CWO Bulan Ini'!$DJ:$DJ,'Area-Cabang'!$B102,'CWO Bulan Ini'!$DH:$DH,'Area-Cabang'!$E102,'CWO Bulan Ini'!$CZ:$CZ,'Area-Cabang'!AU$41)</f>
        <v>0</v>
      </c>
      <c r="AV102" s="56">
        <f>SUMIFS('CWO Bulan Ini'!$DD:$DD,'CWO Bulan Ini'!$DJ:$DJ,'Area-Cabang'!$B102,'CWO Bulan Ini'!$DH:$DH,'Area-Cabang'!$E102,'CWO Bulan Ini'!$CZ:$CZ,'Area-Cabang'!AV$41)</f>
        <v>0</v>
      </c>
      <c r="AW102" s="56">
        <f>SUMIFS('CWO Bulan Ini'!$DD:$DD,'CWO Bulan Ini'!$DJ:$DJ,'Area-Cabang'!$B102,'CWO Bulan Ini'!$DH:$DH,'Area-Cabang'!$E102,'CWO Bulan Ini'!$CZ:$CZ,'Area-Cabang'!AW$41)</f>
        <v>0</v>
      </c>
      <c r="AX102" s="56">
        <f>SUMIFS('CWO Bulan Ini'!$DD:$DD,'CWO Bulan Ini'!$DJ:$DJ,'Area-Cabang'!$B102,'CWO Bulan Ini'!$DH:$DH,'Area-Cabang'!$E102,'CWO Bulan Ini'!$CZ:$CZ,'Area-Cabang'!AX$41)</f>
        <v>0</v>
      </c>
      <c r="AY102" s="56">
        <f>SUMIFS('CWO Bulan Ini'!$DD:$DD,'CWO Bulan Ini'!$DJ:$DJ,'Area-Cabang'!$B102,'CWO Bulan Ini'!$DH:$DH,'Area-Cabang'!$E102,'CWO Bulan Ini'!$CZ:$CZ,'Area-Cabang'!AY$41)</f>
        <v>0</v>
      </c>
      <c r="AZ102" s="56">
        <f>SUMIFS('CWO Bulan Ini'!$DD:$DD,'CWO Bulan Ini'!$DJ:$DJ,'Area-Cabang'!$B102,'CWO Bulan Ini'!$DH:$DH,'Area-Cabang'!$E102,'CWO Bulan Ini'!$CZ:$CZ,'Area-Cabang'!AZ$41)</f>
        <v>0</v>
      </c>
      <c r="BA102" s="56">
        <f>SUMIFS('CWO Bulan Ini'!$DD:$DD,'CWO Bulan Ini'!$DJ:$DJ,'Area-Cabang'!$B102,'CWO Bulan Ini'!$DH:$DH,'Area-Cabang'!$E102,'CWO Bulan Ini'!$CZ:$CZ,'Area-Cabang'!BA$41)</f>
        <v>0</v>
      </c>
      <c r="BB102" s="56">
        <f>SUMIFS('CWO Bulan Ini'!$DD:$DD,'CWO Bulan Ini'!$DJ:$DJ,'Area-Cabang'!$B102,'CWO Bulan Ini'!$DH:$DH,'Area-Cabang'!$E102,'CWO Bulan Ini'!$CZ:$CZ,'Area-Cabang'!BB$41)</f>
        <v>0</v>
      </c>
      <c r="BC102" s="56">
        <f>SUMIFS('CWO Bulan Ini'!$DD:$DD,'CWO Bulan Ini'!$DJ:$DJ,'Area-Cabang'!$B102,'CWO Bulan Ini'!$DH:$DH,'Area-Cabang'!$E102,'CWO Bulan Ini'!$CZ:$CZ,'Area-Cabang'!BC$41)</f>
        <v>0</v>
      </c>
      <c r="BD102" s="56">
        <f>SUMIFS('CWO Bulan Ini'!$DD:$DD,'CWO Bulan Ini'!$DJ:$DJ,'Area-Cabang'!$B102,'CWO Bulan Ini'!$DH:$DH,'Area-Cabang'!$E102,'CWO Bulan Ini'!$CZ:$CZ,'Area-Cabang'!BD$41)</f>
        <v>0</v>
      </c>
      <c r="BE102" s="56">
        <f>SUMIFS('CWO Bulan Ini'!$DD:$DD,'CWO Bulan Ini'!$DJ:$DJ,'Area-Cabang'!$B102,'CWO Bulan Ini'!$DH:$DH,'Area-Cabang'!$E102,'CWO Bulan Ini'!$CZ:$CZ,'Area-Cabang'!BE$41)</f>
        <v>0</v>
      </c>
      <c r="BF102" s="56">
        <f>SUMIFS('CWO Bulan Ini'!$DD:$DD,'CWO Bulan Ini'!$DJ:$DJ,'Area-Cabang'!$B102,'CWO Bulan Ini'!$DH:$DH,'Area-Cabang'!$E102,'CWO Bulan Ini'!$CZ:$CZ,'Area-Cabang'!BF$41)</f>
        <v>0</v>
      </c>
      <c r="BG102" s="56">
        <f>SUMIFS('CWO Bulan Ini'!$DD:$DD,'CWO Bulan Ini'!$DJ:$DJ,'Area-Cabang'!$B102,'CWO Bulan Ini'!$DH:$DH,'Area-Cabang'!$E102,'CWO Bulan Ini'!$CZ:$CZ,'Area-Cabang'!BG$41)</f>
        <v>0</v>
      </c>
      <c r="BH102" s="56">
        <f>SUMIFS('CWO Bulan Ini'!$DD:$DD,'CWO Bulan Ini'!$DJ:$DJ,'Area-Cabang'!$B102,'CWO Bulan Ini'!$DH:$DH,'Area-Cabang'!$E102,'CWO Bulan Ini'!$CZ:$CZ,'Area-Cabang'!BH$41)</f>
        <v>0</v>
      </c>
      <c r="BI102" s="56">
        <f>SUMIFS('CWO Bulan Ini'!$DD:$DD,'CWO Bulan Ini'!$DJ:$DJ,'Area-Cabang'!$B102,'CWO Bulan Ini'!$DH:$DH,'Area-Cabang'!$E102,'CWO Bulan Ini'!$CZ:$CZ,'Area-Cabang'!BI$41)</f>
        <v>0</v>
      </c>
      <c r="BJ102" s="56">
        <f>SUMIFS('CWO Bulan Ini'!$DD:$DD,'CWO Bulan Ini'!$DJ:$DJ,'Area-Cabang'!$B102,'CWO Bulan Ini'!$DH:$DH,'Area-Cabang'!$E102,'CWO Bulan Ini'!$CZ:$CZ,'Area-Cabang'!BJ$41)</f>
        <v>0</v>
      </c>
      <c r="BK102" s="56">
        <f>SUMIFS('CWO Bulan Ini'!$DD:$DD,'CWO Bulan Ini'!$DJ:$DJ,'Area-Cabang'!$B102,'CWO Bulan Ini'!$DH:$DH,'Area-Cabang'!$E102,'CWO Bulan Ini'!$CZ:$CZ,'Area-Cabang'!BK$41)</f>
        <v>0</v>
      </c>
      <c r="BL102" s="56">
        <f>SUMIFS('CWO Bulan Ini'!$DD:$DD,'CWO Bulan Ini'!$DJ:$DJ,'Area-Cabang'!$B102,'CWO Bulan Ini'!$DH:$DH,'Area-Cabang'!$E102,'CWO Bulan Ini'!$CZ:$CZ,'Area-Cabang'!BL$41)</f>
        <v>0</v>
      </c>
      <c r="BM102" s="56">
        <f>SUMIFS('CWO Bulan Ini'!$DD:$DD,'CWO Bulan Ini'!$DJ:$DJ,'Area-Cabang'!$B102,'CWO Bulan Ini'!$DH:$DH,'Area-Cabang'!$E102,'CWO Bulan Ini'!$CZ:$CZ,'Area-Cabang'!BM$41)</f>
        <v>0</v>
      </c>
      <c r="BN102" s="56">
        <f>SUMIFS('CWO Bulan Ini'!$DD:$DD,'CWO Bulan Ini'!$DJ:$DJ,'Area-Cabang'!$B102,'CWO Bulan Ini'!$DH:$DH,'Area-Cabang'!$E102,'CWO Bulan Ini'!$CZ:$CZ,'Area-Cabang'!BN$41)</f>
        <v>0</v>
      </c>
      <c r="BO102" s="57">
        <f>SUMIFS('CWO Bulan Ini'!$DD:$DD,'CWO Bulan Ini'!$DJ:$DJ,'Area-Cabang'!$B102,'CWO Bulan Ini'!$DH:$DH,'Area-Cabang'!$E102,'CWO Bulan Ini'!$CZ:$CZ,'Area-Cabang'!BO$41)</f>
        <v>0</v>
      </c>
      <c r="BP102" s="55">
        <f>SUMIFS('CWO Bulan Ini'!$DC:$DC,'CWO Bulan Ini'!$DJ:$DJ,'Area-Cabang'!$B102,'CWO Bulan Ini'!$DH:$DH,'Area-Cabang'!$E102,'CWO Bulan Ini'!$CZ:$CZ,'Area-Cabang'!BP$41)</f>
        <v>0</v>
      </c>
      <c r="BQ102" s="56">
        <f>SUMIFS('CWO Bulan Ini'!$DC:$DC,'CWO Bulan Ini'!$DJ:$DJ,'Area-Cabang'!$B102,'CWO Bulan Ini'!$DH:$DH,'Area-Cabang'!$E102,'CWO Bulan Ini'!$CZ:$CZ,'Area-Cabang'!BQ$41)</f>
        <v>0</v>
      </c>
      <c r="BR102" s="56">
        <f>SUMIFS('CWO Bulan Ini'!$DC:$DC,'CWO Bulan Ini'!$DJ:$DJ,'Area-Cabang'!$B102,'CWO Bulan Ini'!$DH:$DH,'Area-Cabang'!$E102,'CWO Bulan Ini'!$CZ:$CZ,'Area-Cabang'!BR$41)</f>
        <v>0</v>
      </c>
      <c r="BS102" s="56">
        <f>SUMIFS('CWO Bulan Ini'!$DC:$DC,'CWO Bulan Ini'!$DJ:$DJ,'Area-Cabang'!$B102,'CWO Bulan Ini'!$DH:$DH,'Area-Cabang'!$E102,'CWO Bulan Ini'!$CZ:$CZ,'Area-Cabang'!BS$41)</f>
        <v>0</v>
      </c>
      <c r="BT102" s="56">
        <f>SUMIFS('CWO Bulan Ini'!$DC:$DC,'CWO Bulan Ini'!$DJ:$DJ,'Area-Cabang'!$B102,'CWO Bulan Ini'!$DH:$DH,'Area-Cabang'!$E102,'CWO Bulan Ini'!$CZ:$CZ,'Area-Cabang'!BT$41)</f>
        <v>0</v>
      </c>
      <c r="BU102" s="56">
        <f>SUMIFS('CWO Bulan Ini'!$DC:$DC,'CWO Bulan Ini'!$DJ:$DJ,'Area-Cabang'!$B102,'CWO Bulan Ini'!$DH:$DH,'Area-Cabang'!$E102,'CWO Bulan Ini'!$CZ:$CZ,'Area-Cabang'!BU$41)</f>
        <v>0</v>
      </c>
      <c r="BV102" s="56">
        <f>SUMIFS('CWO Bulan Ini'!$DC:$DC,'CWO Bulan Ini'!$DJ:$DJ,'Area-Cabang'!$B102,'CWO Bulan Ini'!$DH:$DH,'Area-Cabang'!$E102,'CWO Bulan Ini'!$CZ:$CZ,'Area-Cabang'!BV$41)</f>
        <v>0</v>
      </c>
      <c r="BW102" s="56">
        <f>SUMIFS('CWO Bulan Ini'!$DC:$DC,'CWO Bulan Ini'!$DJ:$DJ,'Area-Cabang'!$B102,'CWO Bulan Ini'!$DH:$DH,'Area-Cabang'!$E102,'CWO Bulan Ini'!$CZ:$CZ,'Area-Cabang'!BW$41)</f>
        <v>0</v>
      </c>
      <c r="BX102" s="56">
        <f>SUMIFS('CWO Bulan Ini'!$DC:$DC,'CWO Bulan Ini'!$DJ:$DJ,'Area-Cabang'!$B102,'CWO Bulan Ini'!$DH:$DH,'Area-Cabang'!$E102,'CWO Bulan Ini'!$CZ:$CZ,'Area-Cabang'!BX$41)</f>
        <v>0</v>
      </c>
      <c r="BY102" s="56">
        <f>SUMIFS('CWO Bulan Ini'!$DC:$DC,'CWO Bulan Ini'!$DJ:$DJ,'Area-Cabang'!$B102,'CWO Bulan Ini'!$DH:$DH,'Area-Cabang'!$E102,'CWO Bulan Ini'!$CZ:$CZ,'Area-Cabang'!BY$41)</f>
        <v>0</v>
      </c>
      <c r="BZ102" s="56">
        <f>SUMIFS('CWO Bulan Ini'!$DC:$DC,'CWO Bulan Ini'!$DJ:$DJ,'Area-Cabang'!$B102,'CWO Bulan Ini'!$DH:$DH,'Area-Cabang'!$E102,'CWO Bulan Ini'!$CZ:$CZ,'Area-Cabang'!BZ$41)</f>
        <v>0</v>
      </c>
      <c r="CA102" s="56">
        <f>SUMIFS('CWO Bulan Ini'!$DC:$DC,'CWO Bulan Ini'!$DJ:$DJ,'Area-Cabang'!$B102,'CWO Bulan Ini'!$DH:$DH,'Area-Cabang'!$E102,'CWO Bulan Ini'!$CZ:$CZ,'Area-Cabang'!CA$41)</f>
        <v>0</v>
      </c>
      <c r="CB102" s="56">
        <f>SUMIFS('CWO Bulan Ini'!$DC:$DC,'CWO Bulan Ini'!$DJ:$DJ,'Area-Cabang'!$B102,'CWO Bulan Ini'!$DH:$DH,'Area-Cabang'!$E102,'CWO Bulan Ini'!$CZ:$CZ,'Area-Cabang'!CB$41)</f>
        <v>0</v>
      </c>
      <c r="CC102" s="56">
        <f>SUMIFS('CWO Bulan Ini'!$DC:$DC,'CWO Bulan Ini'!$DJ:$DJ,'Area-Cabang'!$B102,'CWO Bulan Ini'!$DH:$DH,'Area-Cabang'!$E102,'CWO Bulan Ini'!$CZ:$CZ,'Area-Cabang'!CC$41)</f>
        <v>0</v>
      </c>
      <c r="CD102" s="56">
        <f>SUMIFS('CWO Bulan Ini'!$DC:$DC,'CWO Bulan Ini'!$DJ:$DJ,'Area-Cabang'!$B102,'CWO Bulan Ini'!$DH:$DH,'Area-Cabang'!$E102,'CWO Bulan Ini'!$CZ:$CZ,'Area-Cabang'!CD$41)</f>
        <v>0</v>
      </c>
      <c r="CE102" s="56">
        <f>SUMIFS('CWO Bulan Ini'!$DC:$DC,'CWO Bulan Ini'!$DJ:$DJ,'Area-Cabang'!$B102,'CWO Bulan Ini'!$DH:$DH,'Area-Cabang'!$E102,'CWO Bulan Ini'!$CZ:$CZ,'Area-Cabang'!CE$41)</f>
        <v>0</v>
      </c>
      <c r="CF102" s="56">
        <f>SUMIFS('CWO Bulan Ini'!$DC:$DC,'CWO Bulan Ini'!$DJ:$DJ,'Area-Cabang'!$B102,'CWO Bulan Ini'!$DH:$DH,'Area-Cabang'!$E102,'CWO Bulan Ini'!$CZ:$CZ,'Area-Cabang'!CF$41)</f>
        <v>0</v>
      </c>
      <c r="CG102" s="56">
        <f>SUMIFS('CWO Bulan Ini'!$DC:$DC,'CWO Bulan Ini'!$DJ:$DJ,'Area-Cabang'!$B102,'CWO Bulan Ini'!$DH:$DH,'Area-Cabang'!$E102,'CWO Bulan Ini'!$CZ:$CZ,'Area-Cabang'!CG$41)</f>
        <v>0</v>
      </c>
      <c r="CH102" s="56">
        <f>SUMIFS('CWO Bulan Ini'!$DC:$DC,'CWO Bulan Ini'!$DJ:$DJ,'Area-Cabang'!$B102,'CWO Bulan Ini'!$DH:$DH,'Area-Cabang'!$E102,'CWO Bulan Ini'!$CZ:$CZ,'Area-Cabang'!CH$41)</f>
        <v>0</v>
      </c>
      <c r="CI102" s="56">
        <f>SUMIFS('CWO Bulan Ini'!$DC:$DC,'CWO Bulan Ini'!$DJ:$DJ,'Area-Cabang'!$B102,'CWO Bulan Ini'!$DH:$DH,'Area-Cabang'!$E102,'CWO Bulan Ini'!$CZ:$CZ,'Area-Cabang'!CI$41)</f>
        <v>0</v>
      </c>
      <c r="CJ102" s="56">
        <f>SUMIFS('CWO Bulan Ini'!$DC:$DC,'CWO Bulan Ini'!$DJ:$DJ,'Area-Cabang'!$B102,'CWO Bulan Ini'!$DH:$DH,'Area-Cabang'!$E102,'CWO Bulan Ini'!$CZ:$CZ,'Area-Cabang'!CJ$41)</f>
        <v>0</v>
      </c>
      <c r="CK102" s="56">
        <f>SUMIFS('CWO Bulan Ini'!$DC:$DC,'CWO Bulan Ini'!$DJ:$DJ,'Area-Cabang'!$B102,'CWO Bulan Ini'!$DH:$DH,'Area-Cabang'!$E102,'CWO Bulan Ini'!$CZ:$CZ,'Area-Cabang'!CK$41)</f>
        <v>0</v>
      </c>
      <c r="CL102" s="56">
        <f>SUMIFS('CWO Bulan Ini'!$DC:$DC,'CWO Bulan Ini'!$DJ:$DJ,'Area-Cabang'!$B102,'CWO Bulan Ini'!$DH:$DH,'Area-Cabang'!$E102,'CWO Bulan Ini'!$CZ:$CZ,'Area-Cabang'!CL$41)</f>
        <v>0</v>
      </c>
      <c r="CM102" s="56">
        <f>SUMIFS('CWO Bulan Ini'!$DC:$DC,'CWO Bulan Ini'!$DJ:$DJ,'Area-Cabang'!$B102,'CWO Bulan Ini'!$DH:$DH,'Area-Cabang'!$E102,'CWO Bulan Ini'!$CZ:$CZ,'Area-Cabang'!CM$41)</f>
        <v>0</v>
      </c>
      <c r="CN102" s="56">
        <f>SUMIFS('CWO Bulan Ini'!$DC:$DC,'CWO Bulan Ini'!$DJ:$DJ,'Area-Cabang'!$B102,'CWO Bulan Ini'!$DH:$DH,'Area-Cabang'!$E102,'CWO Bulan Ini'!$CZ:$CZ,'Area-Cabang'!CN$41)</f>
        <v>0</v>
      </c>
      <c r="CO102" s="56">
        <f>SUMIFS('CWO Bulan Ini'!$DC:$DC,'CWO Bulan Ini'!$DJ:$DJ,'Area-Cabang'!$B102,'CWO Bulan Ini'!$DH:$DH,'Area-Cabang'!$E102,'CWO Bulan Ini'!$CZ:$CZ,'Area-Cabang'!CO$41)</f>
        <v>0</v>
      </c>
      <c r="CP102" s="56">
        <f>SUMIFS('CWO Bulan Ini'!$DC:$DC,'CWO Bulan Ini'!$DJ:$DJ,'Area-Cabang'!$B102,'CWO Bulan Ini'!$DH:$DH,'Area-Cabang'!$E102,'CWO Bulan Ini'!$CZ:$CZ,'Area-Cabang'!CP$41)</f>
        <v>0</v>
      </c>
      <c r="CQ102" s="56">
        <f>SUMIFS('CWO Bulan Ini'!$DC:$DC,'CWO Bulan Ini'!$DJ:$DJ,'Area-Cabang'!$B102,'CWO Bulan Ini'!$DH:$DH,'Area-Cabang'!$E102,'CWO Bulan Ini'!$CZ:$CZ,'Area-Cabang'!CQ$41)</f>
        <v>0</v>
      </c>
      <c r="CR102" s="56">
        <f>SUMIFS('CWO Bulan Ini'!$DC:$DC,'CWO Bulan Ini'!$DJ:$DJ,'Area-Cabang'!$B102,'CWO Bulan Ini'!$DH:$DH,'Area-Cabang'!$E102,'CWO Bulan Ini'!$CZ:$CZ,'Area-Cabang'!CR$41)</f>
        <v>0</v>
      </c>
      <c r="CS102" s="56">
        <f>SUMIFS('CWO Bulan Ini'!$DC:$DC,'CWO Bulan Ini'!$DJ:$DJ,'Area-Cabang'!$B102,'CWO Bulan Ini'!$DH:$DH,'Area-Cabang'!$E102,'CWO Bulan Ini'!$CZ:$CZ,'Area-Cabang'!CS$41)</f>
        <v>0</v>
      </c>
      <c r="CT102" s="57">
        <f>SUMIFS('CWO Bulan Ini'!$DC:$DC,'CWO Bulan Ini'!$DJ:$DJ,'Area-Cabang'!$B102,'CWO Bulan Ini'!$DH:$DH,'Area-Cabang'!$E102,'CWO Bulan Ini'!$CZ:$CZ,'Area-Cabang'!CT$41)</f>
        <v>0</v>
      </c>
      <c r="CV102" s="97">
        <f t="shared" ref="CV102:CV103" si="3041">SUM(F102:AJ102)</f>
        <v>0</v>
      </c>
      <c r="CW102" s="98">
        <f t="shared" ref="CW102:CW103" si="3042">SUM(AK102:BO102)</f>
        <v>0</v>
      </c>
      <c r="CX102" s="98">
        <f t="shared" ref="CX102:CX103" si="3043">SUM(BP102:CT102)</f>
        <v>0</v>
      </c>
      <c r="CY102" s="98">
        <f t="shared" ref="CY102:CY103" si="3044">CV102-CW102-CX102</f>
        <v>0</v>
      </c>
      <c r="CZ102" s="105">
        <f t="shared" ref="CZ102:CZ103" si="3045">CY102+CW102</f>
        <v>0</v>
      </c>
    </row>
    <row r="103" spans="1:104" ht="15" customHeight="1" x14ac:dyDescent="0.25">
      <c r="A103" s="58" t="s">
        <v>469</v>
      </c>
      <c r="B103" s="58" t="s">
        <v>138</v>
      </c>
      <c r="C103" s="250"/>
      <c r="D103" s="244"/>
      <c r="E103" s="40" t="s">
        <v>349</v>
      </c>
      <c r="F103" s="41">
        <f>SUMIFS('CWO Bulan Ini'!$DA:$DA,'CWO Bulan Ini'!$DJ:$DJ,'Area-Cabang'!$B103,'CWO Bulan Ini'!$DH:$DH,'Area-Cabang'!$E103,'CWO Bulan Ini'!$CZ:$CZ,'Area-Cabang'!F$41)</f>
        <v>0</v>
      </c>
      <c r="G103" s="42">
        <f>SUMIFS('CWO Bulan Ini'!$DA:$DA,'CWO Bulan Ini'!$DJ:$DJ,'Area-Cabang'!$B103,'CWO Bulan Ini'!$DH:$DH,'Area-Cabang'!$E103,'CWO Bulan Ini'!$CZ:$CZ,'Area-Cabang'!G$41)</f>
        <v>0</v>
      </c>
      <c r="H103" s="42">
        <f>SUMIFS('CWO Bulan Ini'!$DA:$DA,'CWO Bulan Ini'!$DJ:$DJ,'Area-Cabang'!$B103,'CWO Bulan Ini'!$DH:$DH,'Area-Cabang'!$E103,'CWO Bulan Ini'!$CZ:$CZ,'Area-Cabang'!H$41)</f>
        <v>0</v>
      </c>
      <c r="I103" s="42">
        <f>SUMIFS('CWO Bulan Ini'!$DA:$DA,'CWO Bulan Ini'!$DJ:$DJ,'Area-Cabang'!$B103,'CWO Bulan Ini'!$DH:$DH,'Area-Cabang'!$E103,'CWO Bulan Ini'!$CZ:$CZ,'Area-Cabang'!I$41)</f>
        <v>0</v>
      </c>
      <c r="J103" s="42">
        <f>SUMIFS('CWO Bulan Ini'!$DA:$DA,'CWO Bulan Ini'!$DJ:$DJ,'Area-Cabang'!$B103,'CWO Bulan Ini'!$DH:$DH,'Area-Cabang'!$E103,'CWO Bulan Ini'!$CZ:$CZ,'Area-Cabang'!J$41)</f>
        <v>0</v>
      </c>
      <c r="K103" s="42">
        <f>SUMIFS('CWO Bulan Ini'!$DA:$DA,'CWO Bulan Ini'!$DJ:$DJ,'Area-Cabang'!$B103,'CWO Bulan Ini'!$DH:$DH,'Area-Cabang'!$E103,'CWO Bulan Ini'!$CZ:$CZ,'Area-Cabang'!K$41)</f>
        <v>0</v>
      </c>
      <c r="L103" s="42">
        <f>SUMIFS('CWO Bulan Ini'!$DA:$DA,'CWO Bulan Ini'!$DJ:$DJ,'Area-Cabang'!$B103,'CWO Bulan Ini'!$DH:$DH,'Area-Cabang'!$E103,'CWO Bulan Ini'!$CZ:$CZ,'Area-Cabang'!L$41)</f>
        <v>0</v>
      </c>
      <c r="M103" s="42">
        <f>SUMIFS('CWO Bulan Ini'!$DA:$DA,'CWO Bulan Ini'!$DJ:$DJ,'Area-Cabang'!$B103,'CWO Bulan Ini'!$DH:$DH,'Area-Cabang'!$E103,'CWO Bulan Ini'!$CZ:$CZ,'Area-Cabang'!M$41)</f>
        <v>0</v>
      </c>
      <c r="N103" s="42">
        <f>SUMIFS('CWO Bulan Ini'!$DA:$DA,'CWO Bulan Ini'!$DJ:$DJ,'Area-Cabang'!$B103,'CWO Bulan Ini'!$DH:$DH,'Area-Cabang'!$E103,'CWO Bulan Ini'!$CZ:$CZ,'Area-Cabang'!N$41)</f>
        <v>0</v>
      </c>
      <c r="O103" s="42">
        <f>SUMIFS('CWO Bulan Ini'!$DA:$DA,'CWO Bulan Ini'!$DJ:$DJ,'Area-Cabang'!$B103,'CWO Bulan Ini'!$DH:$DH,'Area-Cabang'!$E103,'CWO Bulan Ini'!$CZ:$CZ,'Area-Cabang'!O$41)</f>
        <v>0</v>
      </c>
      <c r="P103" s="42">
        <f>SUMIFS('CWO Bulan Ini'!$DA:$DA,'CWO Bulan Ini'!$DJ:$DJ,'Area-Cabang'!$B103,'CWO Bulan Ini'!$DH:$DH,'Area-Cabang'!$E103,'CWO Bulan Ini'!$CZ:$CZ,'Area-Cabang'!P$41)</f>
        <v>0</v>
      </c>
      <c r="Q103" s="42">
        <f>SUMIFS('CWO Bulan Ini'!$DA:$DA,'CWO Bulan Ini'!$DJ:$DJ,'Area-Cabang'!$B103,'CWO Bulan Ini'!$DH:$DH,'Area-Cabang'!$E103,'CWO Bulan Ini'!$CZ:$CZ,'Area-Cabang'!Q$41)</f>
        <v>0</v>
      </c>
      <c r="R103" s="42">
        <f>SUMIFS('CWO Bulan Ini'!$DA:$DA,'CWO Bulan Ini'!$DJ:$DJ,'Area-Cabang'!$B103,'CWO Bulan Ini'!$DH:$DH,'Area-Cabang'!$E103,'CWO Bulan Ini'!$CZ:$CZ,'Area-Cabang'!R$41)</f>
        <v>0</v>
      </c>
      <c r="S103" s="42">
        <f>SUMIFS('CWO Bulan Ini'!$DA:$DA,'CWO Bulan Ini'!$DJ:$DJ,'Area-Cabang'!$B103,'CWO Bulan Ini'!$DH:$DH,'Area-Cabang'!$E103,'CWO Bulan Ini'!$CZ:$CZ,'Area-Cabang'!S$41)</f>
        <v>0</v>
      </c>
      <c r="T103" s="42">
        <f>SUMIFS('CWO Bulan Ini'!$DA:$DA,'CWO Bulan Ini'!$DJ:$DJ,'Area-Cabang'!$B103,'CWO Bulan Ini'!$DH:$DH,'Area-Cabang'!$E103,'CWO Bulan Ini'!$CZ:$CZ,'Area-Cabang'!T$41)</f>
        <v>0</v>
      </c>
      <c r="U103" s="42">
        <f>SUMIFS('CWO Bulan Ini'!$DA:$DA,'CWO Bulan Ini'!$DJ:$DJ,'Area-Cabang'!$B103,'CWO Bulan Ini'!$DH:$DH,'Area-Cabang'!$E103,'CWO Bulan Ini'!$CZ:$CZ,'Area-Cabang'!U$41)</f>
        <v>0</v>
      </c>
      <c r="V103" s="42">
        <f>SUMIFS('CWO Bulan Ini'!$DA:$DA,'CWO Bulan Ini'!$DJ:$DJ,'Area-Cabang'!$B103,'CWO Bulan Ini'!$DH:$DH,'Area-Cabang'!$E103,'CWO Bulan Ini'!$CZ:$CZ,'Area-Cabang'!V$41)</f>
        <v>0</v>
      </c>
      <c r="W103" s="42">
        <f>SUMIFS('CWO Bulan Ini'!$DA:$DA,'CWO Bulan Ini'!$DJ:$DJ,'Area-Cabang'!$B103,'CWO Bulan Ini'!$DH:$DH,'Area-Cabang'!$E103,'CWO Bulan Ini'!$CZ:$CZ,'Area-Cabang'!W$41)</f>
        <v>0</v>
      </c>
      <c r="X103" s="42">
        <f>SUMIFS('CWO Bulan Ini'!$DA:$DA,'CWO Bulan Ini'!$DJ:$DJ,'Area-Cabang'!$B103,'CWO Bulan Ini'!$DH:$DH,'Area-Cabang'!$E103,'CWO Bulan Ini'!$CZ:$CZ,'Area-Cabang'!X$41)</f>
        <v>0</v>
      </c>
      <c r="Y103" s="42">
        <f>SUMIFS('CWO Bulan Ini'!$DA:$DA,'CWO Bulan Ini'!$DJ:$DJ,'Area-Cabang'!$B103,'CWO Bulan Ini'!$DH:$DH,'Area-Cabang'!$E103,'CWO Bulan Ini'!$CZ:$CZ,'Area-Cabang'!Y$41)</f>
        <v>0</v>
      </c>
      <c r="Z103" s="42">
        <f>SUMIFS('CWO Bulan Ini'!$DA:$DA,'CWO Bulan Ini'!$DJ:$DJ,'Area-Cabang'!$B103,'CWO Bulan Ini'!$DH:$DH,'Area-Cabang'!$E103,'CWO Bulan Ini'!$CZ:$CZ,'Area-Cabang'!Z$41)</f>
        <v>2.87146342</v>
      </c>
      <c r="AA103" s="42">
        <f>SUMIFS('CWO Bulan Ini'!$DA:$DA,'CWO Bulan Ini'!$DJ:$DJ,'Area-Cabang'!$B103,'CWO Bulan Ini'!$DH:$DH,'Area-Cabang'!$E103,'CWO Bulan Ini'!$CZ:$CZ,'Area-Cabang'!AA$41)</f>
        <v>0</v>
      </c>
      <c r="AB103" s="42">
        <f>SUMIFS('CWO Bulan Ini'!$DA:$DA,'CWO Bulan Ini'!$DJ:$DJ,'Area-Cabang'!$B103,'CWO Bulan Ini'!$DH:$DH,'Area-Cabang'!$E103,'CWO Bulan Ini'!$CZ:$CZ,'Area-Cabang'!AB$41)</f>
        <v>0</v>
      </c>
      <c r="AC103" s="42">
        <f>SUMIFS('CWO Bulan Ini'!$DA:$DA,'CWO Bulan Ini'!$DJ:$DJ,'Area-Cabang'!$B103,'CWO Bulan Ini'!$DH:$DH,'Area-Cabang'!$E103,'CWO Bulan Ini'!$CZ:$CZ,'Area-Cabang'!AC$41)</f>
        <v>0</v>
      </c>
      <c r="AD103" s="42">
        <f>SUMIFS('CWO Bulan Ini'!$DA:$DA,'CWO Bulan Ini'!$DJ:$DJ,'Area-Cabang'!$B103,'CWO Bulan Ini'!$DH:$DH,'Area-Cabang'!$E103,'CWO Bulan Ini'!$CZ:$CZ,'Area-Cabang'!AD$41)</f>
        <v>0</v>
      </c>
      <c r="AE103" s="42">
        <f>SUMIFS('CWO Bulan Ini'!$DA:$DA,'CWO Bulan Ini'!$DJ:$DJ,'Area-Cabang'!$B103,'CWO Bulan Ini'!$DH:$DH,'Area-Cabang'!$E103,'CWO Bulan Ini'!$CZ:$CZ,'Area-Cabang'!AE$41)</f>
        <v>0</v>
      </c>
      <c r="AF103" s="42">
        <f>SUMIFS('CWO Bulan Ini'!$DA:$DA,'CWO Bulan Ini'!$DJ:$DJ,'Area-Cabang'!$B103,'CWO Bulan Ini'!$DH:$DH,'Area-Cabang'!$E103,'CWO Bulan Ini'!$CZ:$CZ,'Area-Cabang'!AF$41)</f>
        <v>0</v>
      </c>
      <c r="AG103" s="42">
        <f>SUMIFS('CWO Bulan Ini'!$DA:$DA,'CWO Bulan Ini'!$DJ:$DJ,'Area-Cabang'!$B103,'CWO Bulan Ini'!$DH:$DH,'Area-Cabang'!$E103,'CWO Bulan Ini'!$CZ:$CZ,'Area-Cabang'!AG$41)</f>
        <v>0</v>
      </c>
      <c r="AH103" s="42">
        <f>SUMIFS('CWO Bulan Ini'!$DA:$DA,'CWO Bulan Ini'!$DJ:$DJ,'Area-Cabang'!$B103,'CWO Bulan Ini'!$DH:$DH,'Area-Cabang'!$E103,'CWO Bulan Ini'!$CZ:$CZ,'Area-Cabang'!AH$41)</f>
        <v>0</v>
      </c>
      <c r="AI103" s="42">
        <f>SUMIFS('CWO Bulan Ini'!$DA:$DA,'CWO Bulan Ini'!$DJ:$DJ,'Area-Cabang'!$B103,'CWO Bulan Ini'!$DH:$DH,'Area-Cabang'!$E103,'CWO Bulan Ini'!$CZ:$CZ,'Area-Cabang'!AI$41)</f>
        <v>0</v>
      </c>
      <c r="AJ103" s="42">
        <f>SUMIFS('CWO Bulan Ini'!$DA:$DA,'CWO Bulan Ini'!$DJ:$DJ,'Area-Cabang'!$B103,'CWO Bulan Ini'!$DH:$DH,'Area-Cabang'!$E103,'CWO Bulan Ini'!$CZ:$CZ,'Area-Cabang'!AJ$41)</f>
        <v>0</v>
      </c>
      <c r="AK103" s="41">
        <f>SUMIFS('CWO Bulan Ini'!$DD:$DD,'CWO Bulan Ini'!$DJ:$DJ,'Area-Cabang'!$B103,'CWO Bulan Ini'!$DH:$DH,'Area-Cabang'!$E103,'CWO Bulan Ini'!$CZ:$CZ,'Area-Cabang'!AK$41)</f>
        <v>0</v>
      </c>
      <c r="AL103" s="42">
        <f>SUMIFS('CWO Bulan Ini'!$DD:$DD,'CWO Bulan Ini'!$DJ:$DJ,'Area-Cabang'!$B103,'CWO Bulan Ini'!$DH:$DH,'Area-Cabang'!$E103,'CWO Bulan Ini'!$CZ:$CZ,'Area-Cabang'!AL$41)</f>
        <v>0</v>
      </c>
      <c r="AM103" s="42">
        <f>SUMIFS('CWO Bulan Ini'!$DD:$DD,'CWO Bulan Ini'!$DJ:$DJ,'Area-Cabang'!$B103,'CWO Bulan Ini'!$DH:$DH,'Area-Cabang'!$E103,'CWO Bulan Ini'!$CZ:$CZ,'Area-Cabang'!AM$41)</f>
        <v>0</v>
      </c>
      <c r="AN103" s="42">
        <f>SUMIFS('CWO Bulan Ini'!$DD:$DD,'CWO Bulan Ini'!$DJ:$DJ,'Area-Cabang'!$B103,'CWO Bulan Ini'!$DH:$DH,'Area-Cabang'!$E103,'CWO Bulan Ini'!$CZ:$CZ,'Area-Cabang'!AN$41)</f>
        <v>0</v>
      </c>
      <c r="AO103" s="42">
        <f>SUMIFS('CWO Bulan Ini'!$DD:$DD,'CWO Bulan Ini'!$DJ:$DJ,'Area-Cabang'!$B103,'CWO Bulan Ini'!$DH:$DH,'Area-Cabang'!$E103,'CWO Bulan Ini'!$CZ:$CZ,'Area-Cabang'!AO$41)</f>
        <v>0</v>
      </c>
      <c r="AP103" s="42">
        <f>SUMIFS('CWO Bulan Ini'!$DD:$DD,'CWO Bulan Ini'!$DJ:$DJ,'Area-Cabang'!$B103,'CWO Bulan Ini'!$DH:$DH,'Area-Cabang'!$E103,'CWO Bulan Ini'!$CZ:$CZ,'Area-Cabang'!AP$41)</f>
        <v>0</v>
      </c>
      <c r="AQ103" s="42">
        <f>SUMIFS('CWO Bulan Ini'!$DD:$DD,'CWO Bulan Ini'!$DJ:$DJ,'Area-Cabang'!$B103,'CWO Bulan Ini'!$DH:$DH,'Area-Cabang'!$E103,'CWO Bulan Ini'!$CZ:$CZ,'Area-Cabang'!AQ$41)</f>
        <v>0</v>
      </c>
      <c r="AR103" s="42">
        <f>SUMIFS('CWO Bulan Ini'!$DD:$DD,'CWO Bulan Ini'!$DJ:$DJ,'Area-Cabang'!$B103,'CWO Bulan Ini'!$DH:$DH,'Area-Cabang'!$E103,'CWO Bulan Ini'!$CZ:$CZ,'Area-Cabang'!AR$41)</f>
        <v>0</v>
      </c>
      <c r="AS103" s="42">
        <f>SUMIFS('CWO Bulan Ini'!$DD:$DD,'CWO Bulan Ini'!$DJ:$DJ,'Area-Cabang'!$B103,'CWO Bulan Ini'!$DH:$DH,'Area-Cabang'!$E103,'CWO Bulan Ini'!$CZ:$CZ,'Area-Cabang'!AS$41)</f>
        <v>0</v>
      </c>
      <c r="AT103" s="42">
        <f>SUMIFS('CWO Bulan Ini'!$DD:$DD,'CWO Bulan Ini'!$DJ:$DJ,'Area-Cabang'!$B103,'CWO Bulan Ini'!$DH:$DH,'Area-Cabang'!$E103,'CWO Bulan Ini'!$CZ:$CZ,'Area-Cabang'!AT$41)</f>
        <v>0</v>
      </c>
      <c r="AU103" s="42">
        <f>SUMIFS('CWO Bulan Ini'!$DD:$DD,'CWO Bulan Ini'!$DJ:$DJ,'Area-Cabang'!$B103,'CWO Bulan Ini'!$DH:$DH,'Area-Cabang'!$E103,'CWO Bulan Ini'!$CZ:$CZ,'Area-Cabang'!AU$41)</f>
        <v>0</v>
      </c>
      <c r="AV103" s="42">
        <f>SUMIFS('CWO Bulan Ini'!$DD:$DD,'CWO Bulan Ini'!$DJ:$DJ,'Area-Cabang'!$B103,'CWO Bulan Ini'!$DH:$DH,'Area-Cabang'!$E103,'CWO Bulan Ini'!$CZ:$CZ,'Area-Cabang'!AV$41)</f>
        <v>0</v>
      </c>
      <c r="AW103" s="42">
        <f>SUMIFS('CWO Bulan Ini'!$DD:$DD,'CWO Bulan Ini'!$DJ:$DJ,'Area-Cabang'!$B103,'CWO Bulan Ini'!$DH:$DH,'Area-Cabang'!$E103,'CWO Bulan Ini'!$CZ:$CZ,'Area-Cabang'!AW$41)</f>
        <v>0</v>
      </c>
      <c r="AX103" s="42">
        <f>SUMIFS('CWO Bulan Ini'!$DD:$DD,'CWO Bulan Ini'!$DJ:$DJ,'Area-Cabang'!$B103,'CWO Bulan Ini'!$DH:$DH,'Area-Cabang'!$E103,'CWO Bulan Ini'!$CZ:$CZ,'Area-Cabang'!AX$41)</f>
        <v>0</v>
      </c>
      <c r="AY103" s="42">
        <f>SUMIFS('CWO Bulan Ini'!$DD:$DD,'CWO Bulan Ini'!$DJ:$DJ,'Area-Cabang'!$B103,'CWO Bulan Ini'!$DH:$DH,'Area-Cabang'!$E103,'CWO Bulan Ini'!$CZ:$CZ,'Area-Cabang'!AY$41)</f>
        <v>0</v>
      </c>
      <c r="AZ103" s="42">
        <f>SUMIFS('CWO Bulan Ini'!$DD:$DD,'CWO Bulan Ini'!$DJ:$DJ,'Area-Cabang'!$B103,'CWO Bulan Ini'!$DH:$DH,'Area-Cabang'!$E103,'CWO Bulan Ini'!$CZ:$CZ,'Area-Cabang'!AZ$41)</f>
        <v>0</v>
      </c>
      <c r="BA103" s="42">
        <f>SUMIFS('CWO Bulan Ini'!$DD:$DD,'CWO Bulan Ini'!$DJ:$DJ,'Area-Cabang'!$B103,'CWO Bulan Ini'!$DH:$DH,'Area-Cabang'!$E103,'CWO Bulan Ini'!$CZ:$CZ,'Area-Cabang'!BA$41)</f>
        <v>0</v>
      </c>
      <c r="BB103" s="42">
        <f>SUMIFS('CWO Bulan Ini'!$DD:$DD,'CWO Bulan Ini'!$DJ:$DJ,'Area-Cabang'!$B103,'CWO Bulan Ini'!$DH:$DH,'Area-Cabang'!$E103,'CWO Bulan Ini'!$CZ:$CZ,'Area-Cabang'!BB$41)</f>
        <v>0</v>
      </c>
      <c r="BC103" s="42">
        <f>SUMIFS('CWO Bulan Ini'!$DD:$DD,'CWO Bulan Ini'!$DJ:$DJ,'Area-Cabang'!$B103,'CWO Bulan Ini'!$DH:$DH,'Area-Cabang'!$E103,'CWO Bulan Ini'!$CZ:$CZ,'Area-Cabang'!BC$41)</f>
        <v>0</v>
      </c>
      <c r="BD103" s="42">
        <f>SUMIFS('CWO Bulan Ini'!$DD:$DD,'CWO Bulan Ini'!$DJ:$DJ,'Area-Cabang'!$B103,'CWO Bulan Ini'!$DH:$DH,'Area-Cabang'!$E103,'CWO Bulan Ini'!$CZ:$CZ,'Area-Cabang'!BD$41)</f>
        <v>0</v>
      </c>
      <c r="BE103" s="42">
        <f>SUMIFS('CWO Bulan Ini'!$DD:$DD,'CWO Bulan Ini'!$DJ:$DJ,'Area-Cabang'!$B103,'CWO Bulan Ini'!$DH:$DH,'Area-Cabang'!$E103,'CWO Bulan Ini'!$CZ:$CZ,'Area-Cabang'!BE$41)</f>
        <v>0</v>
      </c>
      <c r="BF103" s="42">
        <f>SUMIFS('CWO Bulan Ini'!$DD:$DD,'CWO Bulan Ini'!$DJ:$DJ,'Area-Cabang'!$B103,'CWO Bulan Ini'!$DH:$DH,'Area-Cabang'!$E103,'CWO Bulan Ini'!$CZ:$CZ,'Area-Cabang'!BF$41)</f>
        <v>0</v>
      </c>
      <c r="BG103" s="42">
        <f>SUMIFS('CWO Bulan Ini'!$DD:$DD,'CWO Bulan Ini'!$DJ:$DJ,'Area-Cabang'!$B103,'CWO Bulan Ini'!$DH:$DH,'Area-Cabang'!$E103,'CWO Bulan Ini'!$CZ:$CZ,'Area-Cabang'!BG$41)</f>
        <v>0</v>
      </c>
      <c r="BH103" s="42">
        <f>SUMIFS('CWO Bulan Ini'!$DD:$DD,'CWO Bulan Ini'!$DJ:$DJ,'Area-Cabang'!$B103,'CWO Bulan Ini'!$DH:$DH,'Area-Cabang'!$E103,'CWO Bulan Ini'!$CZ:$CZ,'Area-Cabang'!BH$41)</f>
        <v>0</v>
      </c>
      <c r="BI103" s="42">
        <f>SUMIFS('CWO Bulan Ini'!$DD:$DD,'CWO Bulan Ini'!$DJ:$DJ,'Area-Cabang'!$B103,'CWO Bulan Ini'!$DH:$DH,'Area-Cabang'!$E103,'CWO Bulan Ini'!$CZ:$CZ,'Area-Cabang'!BI$41)</f>
        <v>0</v>
      </c>
      <c r="BJ103" s="42">
        <f>SUMIFS('CWO Bulan Ini'!$DD:$DD,'CWO Bulan Ini'!$DJ:$DJ,'Area-Cabang'!$B103,'CWO Bulan Ini'!$DH:$DH,'Area-Cabang'!$E103,'CWO Bulan Ini'!$CZ:$CZ,'Area-Cabang'!BJ$41)</f>
        <v>0</v>
      </c>
      <c r="BK103" s="42">
        <f>SUMIFS('CWO Bulan Ini'!$DD:$DD,'CWO Bulan Ini'!$DJ:$DJ,'Area-Cabang'!$B103,'CWO Bulan Ini'!$DH:$DH,'Area-Cabang'!$E103,'CWO Bulan Ini'!$CZ:$CZ,'Area-Cabang'!BK$41)</f>
        <v>0</v>
      </c>
      <c r="BL103" s="42">
        <f>SUMIFS('CWO Bulan Ini'!$DD:$DD,'CWO Bulan Ini'!$DJ:$DJ,'Area-Cabang'!$B103,'CWO Bulan Ini'!$DH:$DH,'Area-Cabang'!$E103,'CWO Bulan Ini'!$CZ:$CZ,'Area-Cabang'!BL$41)</f>
        <v>0</v>
      </c>
      <c r="BM103" s="42">
        <f>SUMIFS('CWO Bulan Ini'!$DD:$DD,'CWO Bulan Ini'!$DJ:$DJ,'Area-Cabang'!$B103,'CWO Bulan Ini'!$DH:$DH,'Area-Cabang'!$E103,'CWO Bulan Ini'!$CZ:$CZ,'Area-Cabang'!BM$41)</f>
        <v>0</v>
      </c>
      <c r="BN103" s="42">
        <f>SUMIFS('CWO Bulan Ini'!$DD:$DD,'CWO Bulan Ini'!$DJ:$DJ,'Area-Cabang'!$B103,'CWO Bulan Ini'!$DH:$DH,'Area-Cabang'!$E103,'CWO Bulan Ini'!$CZ:$CZ,'Area-Cabang'!BN$41)</f>
        <v>0</v>
      </c>
      <c r="BO103" s="43">
        <f>SUMIFS('CWO Bulan Ini'!$DD:$DD,'CWO Bulan Ini'!$DJ:$DJ,'Area-Cabang'!$B103,'CWO Bulan Ini'!$DH:$DH,'Area-Cabang'!$E103,'CWO Bulan Ini'!$CZ:$CZ,'Area-Cabang'!BO$41)</f>
        <v>0</v>
      </c>
      <c r="BP103" s="41">
        <f>SUMIFS('CWO Bulan Ini'!$DC:$DC,'CWO Bulan Ini'!$DJ:$DJ,'Area-Cabang'!$B103,'CWO Bulan Ini'!$DH:$DH,'Area-Cabang'!$E103,'CWO Bulan Ini'!$CZ:$CZ,'Area-Cabang'!BP$41)</f>
        <v>0</v>
      </c>
      <c r="BQ103" s="42">
        <f>SUMIFS('CWO Bulan Ini'!$DC:$DC,'CWO Bulan Ini'!$DJ:$DJ,'Area-Cabang'!$B103,'CWO Bulan Ini'!$DH:$DH,'Area-Cabang'!$E103,'CWO Bulan Ini'!$CZ:$CZ,'Area-Cabang'!BQ$41)</f>
        <v>0</v>
      </c>
      <c r="BR103" s="42">
        <f>SUMIFS('CWO Bulan Ini'!$DC:$DC,'CWO Bulan Ini'!$DJ:$DJ,'Area-Cabang'!$B103,'CWO Bulan Ini'!$DH:$DH,'Area-Cabang'!$E103,'CWO Bulan Ini'!$CZ:$CZ,'Area-Cabang'!BR$41)</f>
        <v>0</v>
      </c>
      <c r="BS103" s="42">
        <f>SUMIFS('CWO Bulan Ini'!$DC:$DC,'CWO Bulan Ini'!$DJ:$DJ,'Area-Cabang'!$B103,'CWO Bulan Ini'!$DH:$DH,'Area-Cabang'!$E103,'CWO Bulan Ini'!$CZ:$CZ,'Area-Cabang'!BS$41)</f>
        <v>0</v>
      </c>
      <c r="BT103" s="42">
        <f>SUMIFS('CWO Bulan Ini'!$DC:$DC,'CWO Bulan Ini'!$DJ:$DJ,'Area-Cabang'!$B103,'CWO Bulan Ini'!$DH:$DH,'Area-Cabang'!$E103,'CWO Bulan Ini'!$CZ:$CZ,'Area-Cabang'!BT$41)</f>
        <v>0</v>
      </c>
      <c r="BU103" s="42">
        <f>SUMIFS('CWO Bulan Ini'!$DC:$DC,'CWO Bulan Ini'!$DJ:$DJ,'Area-Cabang'!$B103,'CWO Bulan Ini'!$DH:$DH,'Area-Cabang'!$E103,'CWO Bulan Ini'!$CZ:$CZ,'Area-Cabang'!BU$41)</f>
        <v>0</v>
      </c>
      <c r="BV103" s="42">
        <f>SUMIFS('CWO Bulan Ini'!$DC:$DC,'CWO Bulan Ini'!$DJ:$DJ,'Area-Cabang'!$B103,'CWO Bulan Ini'!$DH:$DH,'Area-Cabang'!$E103,'CWO Bulan Ini'!$CZ:$CZ,'Area-Cabang'!BV$41)</f>
        <v>0</v>
      </c>
      <c r="BW103" s="42">
        <f>SUMIFS('CWO Bulan Ini'!$DC:$DC,'CWO Bulan Ini'!$DJ:$DJ,'Area-Cabang'!$B103,'CWO Bulan Ini'!$DH:$DH,'Area-Cabang'!$E103,'CWO Bulan Ini'!$CZ:$CZ,'Area-Cabang'!BW$41)</f>
        <v>0</v>
      </c>
      <c r="BX103" s="42">
        <f>SUMIFS('CWO Bulan Ini'!$DC:$DC,'CWO Bulan Ini'!$DJ:$DJ,'Area-Cabang'!$B103,'CWO Bulan Ini'!$DH:$DH,'Area-Cabang'!$E103,'CWO Bulan Ini'!$CZ:$CZ,'Area-Cabang'!BX$41)</f>
        <v>0</v>
      </c>
      <c r="BY103" s="42">
        <f>SUMIFS('CWO Bulan Ini'!$DC:$DC,'CWO Bulan Ini'!$DJ:$DJ,'Area-Cabang'!$B103,'CWO Bulan Ini'!$DH:$DH,'Area-Cabang'!$E103,'CWO Bulan Ini'!$CZ:$CZ,'Area-Cabang'!BY$41)</f>
        <v>0</v>
      </c>
      <c r="BZ103" s="42">
        <f>SUMIFS('CWO Bulan Ini'!$DC:$DC,'CWO Bulan Ini'!$DJ:$DJ,'Area-Cabang'!$B103,'CWO Bulan Ini'!$DH:$DH,'Area-Cabang'!$E103,'CWO Bulan Ini'!$CZ:$CZ,'Area-Cabang'!BZ$41)</f>
        <v>0</v>
      </c>
      <c r="CA103" s="42">
        <f>SUMIFS('CWO Bulan Ini'!$DC:$DC,'CWO Bulan Ini'!$DJ:$DJ,'Area-Cabang'!$B103,'CWO Bulan Ini'!$DH:$DH,'Area-Cabang'!$E103,'CWO Bulan Ini'!$CZ:$CZ,'Area-Cabang'!CA$41)</f>
        <v>0</v>
      </c>
      <c r="CB103" s="42">
        <f>SUMIFS('CWO Bulan Ini'!$DC:$DC,'CWO Bulan Ini'!$DJ:$DJ,'Area-Cabang'!$B103,'CWO Bulan Ini'!$DH:$DH,'Area-Cabang'!$E103,'CWO Bulan Ini'!$CZ:$CZ,'Area-Cabang'!CB$41)</f>
        <v>0</v>
      </c>
      <c r="CC103" s="42">
        <f>SUMIFS('CWO Bulan Ini'!$DC:$DC,'CWO Bulan Ini'!$DJ:$DJ,'Area-Cabang'!$B103,'CWO Bulan Ini'!$DH:$DH,'Area-Cabang'!$E103,'CWO Bulan Ini'!$CZ:$CZ,'Area-Cabang'!CC$41)</f>
        <v>0</v>
      </c>
      <c r="CD103" s="42">
        <f>SUMIFS('CWO Bulan Ini'!$DC:$DC,'CWO Bulan Ini'!$DJ:$DJ,'Area-Cabang'!$B103,'CWO Bulan Ini'!$DH:$DH,'Area-Cabang'!$E103,'CWO Bulan Ini'!$CZ:$CZ,'Area-Cabang'!CD$41)</f>
        <v>0</v>
      </c>
      <c r="CE103" s="42">
        <f>SUMIFS('CWO Bulan Ini'!$DC:$DC,'CWO Bulan Ini'!$DJ:$DJ,'Area-Cabang'!$B103,'CWO Bulan Ini'!$DH:$DH,'Area-Cabang'!$E103,'CWO Bulan Ini'!$CZ:$CZ,'Area-Cabang'!CE$41)</f>
        <v>0</v>
      </c>
      <c r="CF103" s="42">
        <f>SUMIFS('CWO Bulan Ini'!$DC:$DC,'CWO Bulan Ini'!$DJ:$DJ,'Area-Cabang'!$B103,'CWO Bulan Ini'!$DH:$DH,'Area-Cabang'!$E103,'CWO Bulan Ini'!$CZ:$CZ,'Area-Cabang'!CF$41)</f>
        <v>0</v>
      </c>
      <c r="CG103" s="42">
        <f>SUMIFS('CWO Bulan Ini'!$DC:$DC,'CWO Bulan Ini'!$DJ:$DJ,'Area-Cabang'!$B103,'CWO Bulan Ini'!$DH:$DH,'Area-Cabang'!$E103,'CWO Bulan Ini'!$CZ:$CZ,'Area-Cabang'!CG$41)</f>
        <v>0</v>
      </c>
      <c r="CH103" s="42">
        <f>SUMIFS('CWO Bulan Ini'!$DC:$DC,'CWO Bulan Ini'!$DJ:$DJ,'Area-Cabang'!$B103,'CWO Bulan Ini'!$DH:$DH,'Area-Cabang'!$E103,'CWO Bulan Ini'!$CZ:$CZ,'Area-Cabang'!CH$41)</f>
        <v>0</v>
      </c>
      <c r="CI103" s="42">
        <f>SUMIFS('CWO Bulan Ini'!$DC:$DC,'CWO Bulan Ini'!$DJ:$DJ,'Area-Cabang'!$B103,'CWO Bulan Ini'!$DH:$DH,'Area-Cabang'!$E103,'CWO Bulan Ini'!$CZ:$CZ,'Area-Cabang'!CI$41)</f>
        <v>0</v>
      </c>
      <c r="CJ103" s="42">
        <f>SUMIFS('CWO Bulan Ini'!$DC:$DC,'CWO Bulan Ini'!$DJ:$DJ,'Area-Cabang'!$B103,'CWO Bulan Ini'!$DH:$DH,'Area-Cabang'!$E103,'CWO Bulan Ini'!$CZ:$CZ,'Area-Cabang'!CJ$41)</f>
        <v>0</v>
      </c>
      <c r="CK103" s="42">
        <f>SUMIFS('CWO Bulan Ini'!$DC:$DC,'CWO Bulan Ini'!$DJ:$DJ,'Area-Cabang'!$B103,'CWO Bulan Ini'!$DH:$DH,'Area-Cabang'!$E103,'CWO Bulan Ini'!$CZ:$CZ,'Area-Cabang'!CK$41)</f>
        <v>0</v>
      </c>
      <c r="CL103" s="42">
        <f>SUMIFS('CWO Bulan Ini'!$DC:$DC,'CWO Bulan Ini'!$DJ:$DJ,'Area-Cabang'!$B103,'CWO Bulan Ini'!$DH:$DH,'Area-Cabang'!$E103,'CWO Bulan Ini'!$CZ:$CZ,'Area-Cabang'!CL$41)</f>
        <v>0</v>
      </c>
      <c r="CM103" s="42">
        <f>SUMIFS('CWO Bulan Ini'!$DC:$DC,'CWO Bulan Ini'!$DJ:$DJ,'Area-Cabang'!$B103,'CWO Bulan Ini'!$DH:$DH,'Area-Cabang'!$E103,'CWO Bulan Ini'!$CZ:$CZ,'Area-Cabang'!CM$41)</f>
        <v>0</v>
      </c>
      <c r="CN103" s="42">
        <f>SUMIFS('CWO Bulan Ini'!$DC:$DC,'CWO Bulan Ini'!$DJ:$DJ,'Area-Cabang'!$B103,'CWO Bulan Ini'!$DH:$DH,'Area-Cabang'!$E103,'CWO Bulan Ini'!$CZ:$CZ,'Area-Cabang'!CN$41)</f>
        <v>0</v>
      </c>
      <c r="CO103" s="42">
        <f>SUMIFS('CWO Bulan Ini'!$DC:$DC,'CWO Bulan Ini'!$DJ:$DJ,'Area-Cabang'!$B103,'CWO Bulan Ini'!$DH:$DH,'Area-Cabang'!$E103,'CWO Bulan Ini'!$CZ:$CZ,'Area-Cabang'!CO$41)</f>
        <v>0</v>
      </c>
      <c r="CP103" s="42">
        <f>SUMIFS('CWO Bulan Ini'!$DC:$DC,'CWO Bulan Ini'!$DJ:$DJ,'Area-Cabang'!$B103,'CWO Bulan Ini'!$DH:$DH,'Area-Cabang'!$E103,'CWO Bulan Ini'!$CZ:$CZ,'Area-Cabang'!CP$41)</f>
        <v>0</v>
      </c>
      <c r="CQ103" s="42">
        <f>SUMIFS('CWO Bulan Ini'!$DC:$DC,'CWO Bulan Ini'!$DJ:$DJ,'Area-Cabang'!$B103,'CWO Bulan Ini'!$DH:$DH,'Area-Cabang'!$E103,'CWO Bulan Ini'!$CZ:$CZ,'Area-Cabang'!CQ$41)</f>
        <v>0</v>
      </c>
      <c r="CR103" s="42">
        <f>SUMIFS('CWO Bulan Ini'!$DC:$DC,'CWO Bulan Ini'!$DJ:$DJ,'Area-Cabang'!$B103,'CWO Bulan Ini'!$DH:$DH,'Area-Cabang'!$E103,'CWO Bulan Ini'!$CZ:$CZ,'Area-Cabang'!CR$41)</f>
        <v>0</v>
      </c>
      <c r="CS103" s="42">
        <f>SUMIFS('CWO Bulan Ini'!$DC:$DC,'CWO Bulan Ini'!$DJ:$DJ,'Area-Cabang'!$B103,'CWO Bulan Ini'!$DH:$DH,'Area-Cabang'!$E103,'CWO Bulan Ini'!$CZ:$CZ,'Area-Cabang'!CS$41)</f>
        <v>0</v>
      </c>
      <c r="CT103" s="43">
        <f>SUMIFS('CWO Bulan Ini'!$DC:$DC,'CWO Bulan Ini'!$DJ:$DJ,'Area-Cabang'!$B103,'CWO Bulan Ini'!$DH:$DH,'Area-Cabang'!$E103,'CWO Bulan Ini'!$CZ:$CZ,'Area-Cabang'!CT$41)</f>
        <v>0</v>
      </c>
      <c r="CV103" s="96">
        <f t="shared" si="3041"/>
        <v>2.87146342</v>
      </c>
      <c r="CW103" s="93">
        <f t="shared" si="3042"/>
        <v>0</v>
      </c>
      <c r="CX103" s="93">
        <f t="shared" si="3043"/>
        <v>0</v>
      </c>
      <c r="CY103" s="93">
        <f t="shared" si="3044"/>
        <v>2.87146342</v>
      </c>
      <c r="CZ103" s="106">
        <f t="shared" si="3045"/>
        <v>2.87146342</v>
      </c>
    </row>
    <row r="104" spans="1:104" ht="15" customHeight="1" x14ac:dyDescent="0.25">
      <c r="A104" s="58" t="s">
        <v>469</v>
      </c>
      <c r="B104" s="53" t="s">
        <v>827</v>
      </c>
      <c r="C104" s="252"/>
      <c r="D104" s="227" t="s">
        <v>827</v>
      </c>
      <c r="E104" s="228"/>
      <c r="F104" s="219">
        <f t="shared" ref="F104" si="3046">SUM(F102:F103)</f>
        <v>0</v>
      </c>
      <c r="G104" s="220">
        <f t="shared" ref="G104" si="3047">SUM(G102:G103)</f>
        <v>0</v>
      </c>
      <c r="H104" s="220">
        <f t="shared" ref="H104" si="3048">SUM(H102:H103)</f>
        <v>0</v>
      </c>
      <c r="I104" s="220">
        <f t="shared" ref="I104" si="3049">SUM(I102:I103)</f>
        <v>0</v>
      </c>
      <c r="J104" s="220">
        <f t="shared" ref="J104" si="3050">SUM(J102:J103)</f>
        <v>0</v>
      </c>
      <c r="K104" s="220">
        <f t="shared" ref="K104" si="3051">SUM(K102:K103)</f>
        <v>0</v>
      </c>
      <c r="L104" s="220">
        <f t="shared" ref="L104" si="3052">SUM(L102:L103)</f>
        <v>0</v>
      </c>
      <c r="M104" s="220">
        <f t="shared" ref="M104" si="3053">SUM(M102:M103)</f>
        <v>0</v>
      </c>
      <c r="N104" s="220">
        <f t="shared" ref="N104" si="3054">SUM(N102:N103)</f>
        <v>0</v>
      </c>
      <c r="O104" s="220">
        <f t="shared" ref="O104" si="3055">SUM(O102:O103)</f>
        <v>0</v>
      </c>
      <c r="P104" s="220">
        <f t="shared" ref="P104" si="3056">SUM(P102:P103)</f>
        <v>0</v>
      </c>
      <c r="Q104" s="220">
        <f t="shared" ref="Q104" si="3057">SUM(Q102:Q103)</f>
        <v>0</v>
      </c>
      <c r="R104" s="220">
        <f t="shared" ref="R104" si="3058">SUM(R102:R103)</f>
        <v>0</v>
      </c>
      <c r="S104" s="220">
        <f t="shared" ref="S104" si="3059">SUM(S102:S103)</f>
        <v>0</v>
      </c>
      <c r="T104" s="220">
        <f t="shared" ref="T104" si="3060">SUM(T102:T103)</f>
        <v>0</v>
      </c>
      <c r="U104" s="220">
        <f t="shared" ref="U104" si="3061">SUM(U102:U103)</f>
        <v>0</v>
      </c>
      <c r="V104" s="220">
        <f t="shared" ref="V104" si="3062">SUM(V102:V103)</f>
        <v>0</v>
      </c>
      <c r="W104" s="220">
        <f t="shared" ref="W104" si="3063">SUM(W102:W103)</f>
        <v>0</v>
      </c>
      <c r="X104" s="220">
        <f t="shared" ref="X104" si="3064">SUM(X102:X103)</f>
        <v>0</v>
      </c>
      <c r="Y104" s="220">
        <f t="shared" ref="Y104" si="3065">SUM(Y102:Y103)</f>
        <v>0</v>
      </c>
      <c r="Z104" s="220">
        <f t="shared" ref="Z104" si="3066">SUM(Z102:Z103)</f>
        <v>2.87146342</v>
      </c>
      <c r="AA104" s="220">
        <f t="shared" ref="AA104" si="3067">SUM(AA102:AA103)</f>
        <v>0</v>
      </c>
      <c r="AB104" s="220">
        <f t="shared" ref="AB104" si="3068">SUM(AB102:AB103)</f>
        <v>0</v>
      </c>
      <c r="AC104" s="220">
        <f t="shared" ref="AC104" si="3069">SUM(AC102:AC103)</f>
        <v>0</v>
      </c>
      <c r="AD104" s="220">
        <f t="shared" ref="AD104" si="3070">SUM(AD102:AD103)</f>
        <v>0</v>
      </c>
      <c r="AE104" s="220">
        <f t="shared" ref="AE104" si="3071">SUM(AE102:AE103)</f>
        <v>0</v>
      </c>
      <c r="AF104" s="220">
        <f t="shared" ref="AF104" si="3072">SUM(AF102:AF103)</f>
        <v>0</v>
      </c>
      <c r="AG104" s="220">
        <f t="shared" ref="AG104" si="3073">SUM(AG102:AG103)</f>
        <v>0</v>
      </c>
      <c r="AH104" s="220">
        <f t="shared" ref="AH104" si="3074">SUM(AH102:AH103)</f>
        <v>0</v>
      </c>
      <c r="AI104" s="220">
        <f t="shared" ref="AI104" si="3075">SUM(AI102:AI103)</f>
        <v>0</v>
      </c>
      <c r="AJ104" s="220">
        <f t="shared" ref="AJ104" si="3076">SUM(AJ102:AJ103)</f>
        <v>0</v>
      </c>
      <c r="AK104" s="219">
        <f t="shared" ref="AK104" si="3077">SUM(AK102:AK103)</f>
        <v>0</v>
      </c>
      <c r="AL104" s="220">
        <f t="shared" ref="AL104" si="3078">SUM(AL102:AL103)</f>
        <v>0</v>
      </c>
      <c r="AM104" s="220">
        <f t="shared" ref="AM104" si="3079">SUM(AM102:AM103)</f>
        <v>0</v>
      </c>
      <c r="AN104" s="220">
        <f t="shared" ref="AN104" si="3080">SUM(AN102:AN103)</f>
        <v>0</v>
      </c>
      <c r="AO104" s="220">
        <f t="shared" ref="AO104" si="3081">SUM(AO102:AO103)</f>
        <v>0</v>
      </c>
      <c r="AP104" s="220">
        <f t="shared" ref="AP104" si="3082">SUM(AP102:AP103)</f>
        <v>0</v>
      </c>
      <c r="AQ104" s="220">
        <f t="shared" ref="AQ104" si="3083">SUM(AQ102:AQ103)</f>
        <v>0</v>
      </c>
      <c r="AR104" s="220">
        <f t="shared" ref="AR104" si="3084">SUM(AR102:AR103)</f>
        <v>0</v>
      </c>
      <c r="AS104" s="220">
        <f t="shared" ref="AS104" si="3085">SUM(AS102:AS103)</f>
        <v>0</v>
      </c>
      <c r="AT104" s="220">
        <f t="shared" ref="AT104" si="3086">SUM(AT102:AT103)</f>
        <v>0</v>
      </c>
      <c r="AU104" s="220">
        <f t="shared" ref="AU104" si="3087">SUM(AU102:AU103)</f>
        <v>0</v>
      </c>
      <c r="AV104" s="220">
        <f t="shared" ref="AV104" si="3088">SUM(AV102:AV103)</f>
        <v>0</v>
      </c>
      <c r="AW104" s="220">
        <f t="shared" ref="AW104" si="3089">SUM(AW102:AW103)</f>
        <v>0</v>
      </c>
      <c r="AX104" s="220">
        <f t="shared" ref="AX104" si="3090">SUM(AX102:AX103)</f>
        <v>0</v>
      </c>
      <c r="AY104" s="220">
        <f t="shared" ref="AY104" si="3091">SUM(AY102:AY103)</f>
        <v>0</v>
      </c>
      <c r="AZ104" s="220">
        <f t="shared" ref="AZ104" si="3092">SUM(AZ102:AZ103)</f>
        <v>0</v>
      </c>
      <c r="BA104" s="220">
        <f t="shared" ref="BA104" si="3093">SUM(BA102:BA103)</f>
        <v>0</v>
      </c>
      <c r="BB104" s="220">
        <f t="shared" ref="BB104" si="3094">SUM(BB102:BB103)</f>
        <v>0</v>
      </c>
      <c r="BC104" s="220">
        <f t="shared" ref="BC104" si="3095">SUM(BC102:BC103)</f>
        <v>0</v>
      </c>
      <c r="BD104" s="220">
        <f t="shared" ref="BD104" si="3096">SUM(BD102:BD103)</f>
        <v>0</v>
      </c>
      <c r="BE104" s="220">
        <f t="shared" ref="BE104" si="3097">SUM(BE102:BE103)</f>
        <v>0</v>
      </c>
      <c r="BF104" s="220">
        <f t="shared" ref="BF104" si="3098">SUM(BF102:BF103)</f>
        <v>0</v>
      </c>
      <c r="BG104" s="220">
        <f t="shared" ref="BG104" si="3099">SUM(BG102:BG103)</f>
        <v>0</v>
      </c>
      <c r="BH104" s="220">
        <f t="shared" ref="BH104" si="3100">SUM(BH102:BH103)</f>
        <v>0</v>
      </c>
      <c r="BI104" s="220">
        <f t="shared" ref="BI104" si="3101">SUM(BI102:BI103)</f>
        <v>0</v>
      </c>
      <c r="BJ104" s="220">
        <f t="shared" ref="BJ104" si="3102">SUM(BJ102:BJ103)</f>
        <v>0</v>
      </c>
      <c r="BK104" s="220">
        <f t="shared" ref="BK104" si="3103">SUM(BK102:BK103)</f>
        <v>0</v>
      </c>
      <c r="BL104" s="220">
        <f t="shared" ref="BL104" si="3104">SUM(BL102:BL103)</f>
        <v>0</v>
      </c>
      <c r="BM104" s="220">
        <f t="shared" ref="BM104" si="3105">SUM(BM102:BM103)</f>
        <v>0</v>
      </c>
      <c r="BN104" s="220">
        <f t="shared" ref="BN104" si="3106">SUM(BN102:BN103)</f>
        <v>0</v>
      </c>
      <c r="BO104" s="221">
        <f t="shared" ref="BO104" si="3107">SUM(BO102:BO103)</f>
        <v>0</v>
      </c>
      <c r="BP104" s="219">
        <f t="shared" ref="BP104" si="3108">SUM(BP102:BP103)</f>
        <v>0</v>
      </c>
      <c r="BQ104" s="220">
        <f t="shared" ref="BQ104" si="3109">SUM(BQ102:BQ103)</f>
        <v>0</v>
      </c>
      <c r="BR104" s="220">
        <f t="shared" ref="BR104" si="3110">SUM(BR102:BR103)</f>
        <v>0</v>
      </c>
      <c r="BS104" s="220">
        <f t="shared" ref="BS104" si="3111">SUM(BS102:BS103)</f>
        <v>0</v>
      </c>
      <c r="BT104" s="220">
        <f t="shared" ref="BT104" si="3112">SUM(BT102:BT103)</f>
        <v>0</v>
      </c>
      <c r="BU104" s="220">
        <f t="shared" ref="BU104" si="3113">SUM(BU102:BU103)</f>
        <v>0</v>
      </c>
      <c r="BV104" s="220">
        <f t="shared" ref="BV104" si="3114">SUM(BV102:BV103)</f>
        <v>0</v>
      </c>
      <c r="BW104" s="220">
        <f t="shared" ref="BW104" si="3115">SUM(BW102:BW103)</f>
        <v>0</v>
      </c>
      <c r="BX104" s="220">
        <f t="shared" ref="BX104" si="3116">SUM(BX102:BX103)</f>
        <v>0</v>
      </c>
      <c r="BY104" s="220">
        <f t="shared" ref="BY104" si="3117">SUM(BY102:BY103)</f>
        <v>0</v>
      </c>
      <c r="BZ104" s="220">
        <f t="shared" ref="BZ104" si="3118">SUM(BZ102:BZ103)</f>
        <v>0</v>
      </c>
      <c r="CA104" s="220">
        <f t="shared" ref="CA104" si="3119">SUM(CA102:CA103)</f>
        <v>0</v>
      </c>
      <c r="CB104" s="220">
        <f t="shared" ref="CB104" si="3120">SUM(CB102:CB103)</f>
        <v>0</v>
      </c>
      <c r="CC104" s="220">
        <f t="shared" ref="CC104" si="3121">SUM(CC102:CC103)</f>
        <v>0</v>
      </c>
      <c r="CD104" s="220">
        <f t="shared" ref="CD104" si="3122">SUM(CD102:CD103)</f>
        <v>0</v>
      </c>
      <c r="CE104" s="220">
        <f t="shared" ref="CE104" si="3123">SUM(CE102:CE103)</f>
        <v>0</v>
      </c>
      <c r="CF104" s="220">
        <f t="shared" ref="CF104" si="3124">SUM(CF102:CF103)</f>
        <v>0</v>
      </c>
      <c r="CG104" s="220">
        <f t="shared" ref="CG104" si="3125">SUM(CG102:CG103)</f>
        <v>0</v>
      </c>
      <c r="CH104" s="220">
        <f t="shared" ref="CH104" si="3126">SUM(CH102:CH103)</f>
        <v>0</v>
      </c>
      <c r="CI104" s="220">
        <f t="shared" ref="CI104" si="3127">SUM(CI102:CI103)</f>
        <v>0</v>
      </c>
      <c r="CJ104" s="220">
        <f t="shared" ref="CJ104" si="3128">SUM(CJ102:CJ103)</f>
        <v>0</v>
      </c>
      <c r="CK104" s="220">
        <f t="shared" ref="CK104" si="3129">SUM(CK102:CK103)</f>
        <v>0</v>
      </c>
      <c r="CL104" s="220">
        <f t="shared" ref="CL104" si="3130">SUM(CL102:CL103)</f>
        <v>0</v>
      </c>
      <c r="CM104" s="220">
        <f t="shared" ref="CM104" si="3131">SUM(CM102:CM103)</f>
        <v>0</v>
      </c>
      <c r="CN104" s="220">
        <f t="shared" ref="CN104" si="3132">SUM(CN102:CN103)</f>
        <v>0</v>
      </c>
      <c r="CO104" s="220">
        <f t="shared" ref="CO104" si="3133">SUM(CO102:CO103)</f>
        <v>0</v>
      </c>
      <c r="CP104" s="220">
        <f t="shared" ref="CP104" si="3134">SUM(CP102:CP103)</f>
        <v>0</v>
      </c>
      <c r="CQ104" s="220">
        <f t="shared" ref="CQ104" si="3135">SUM(CQ102:CQ103)</f>
        <v>0</v>
      </c>
      <c r="CR104" s="220">
        <f t="shared" ref="CR104" si="3136">SUM(CR102:CR103)</f>
        <v>0</v>
      </c>
      <c r="CS104" s="220">
        <f t="shared" ref="CS104" si="3137">SUM(CS102:CS103)</f>
        <v>0</v>
      </c>
      <c r="CT104" s="221">
        <f t="shared" ref="CT104" si="3138">SUM(CT102:CT103)</f>
        <v>0</v>
      </c>
      <c r="CU104" s="226"/>
      <c r="CV104" s="219">
        <f t="shared" ref="CV104" si="3139">SUM(CV102:CV103)</f>
        <v>2.87146342</v>
      </c>
      <c r="CW104" s="220">
        <f t="shared" ref="CW104" si="3140">SUM(CW102:CW103)</f>
        <v>0</v>
      </c>
      <c r="CX104" s="220">
        <f t="shared" ref="CX104" si="3141">SUM(CX102:CX103)</f>
        <v>0</v>
      </c>
      <c r="CY104" s="220">
        <f t="shared" ref="CY104" si="3142">SUM(CY102:CY103)</f>
        <v>2.87146342</v>
      </c>
      <c r="CZ104" s="222">
        <f t="shared" ref="CZ104" si="3143">SUM(CZ102:CZ103)</f>
        <v>2.87146342</v>
      </c>
    </row>
    <row r="105" spans="1:104" ht="15" customHeight="1" x14ac:dyDescent="0.25">
      <c r="A105" s="53" t="s">
        <v>448</v>
      </c>
      <c r="B105" s="53" t="s">
        <v>256</v>
      </c>
      <c r="C105" s="249" t="s">
        <v>448</v>
      </c>
      <c r="D105" s="245" t="s">
        <v>256</v>
      </c>
      <c r="E105" s="85" t="s">
        <v>132</v>
      </c>
      <c r="F105" s="55">
        <f>SUMIFS('CWO Bulan Ini'!$DA:$DA,'CWO Bulan Ini'!$DJ:$DJ,'Area-Cabang'!$B105,'CWO Bulan Ini'!$DH:$DH,'Area-Cabang'!$E105,'CWO Bulan Ini'!$CZ:$CZ,'Area-Cabang'!F$41)</f>
        <v>0</v>
      </c>
      <c r="G105" s="56">
        <f>SUMIFS('CWO Bulan Ini'!$DA:$DA,'CWO Bulan Ini'!$DJ:$DJ,'Area-Cabang'!$B105,'CWO Bulan Ini'!$DH:$DH,'Area-Cabang'!$E105,'CWO Bulan Ini'!$CZ:$CZ,'Area-Cabang'!G$41)</f>
        <v>0</v>
      </c>
      <c r="H105" s="56">
        <f>SUMIFS('CWO Bulan Ini'!$DA:$DA,'CWO Bulan Ini'!$DJ:$DJ,'Area-Cabang'!$B105,'CWO Bulan Ini'!$DH:$DH,'Area-Cabang'!$E105,'CWO Bulan Ini'!$CZ:$CZ,'Area-Cabang'!H$41)</f>
        <v>0</v>
      </c>
      <c r="I105" s="56">
        <f>SUMIFS('CWO Bulan Ini'!$DA:$DA,'CWO Bulan Ini'!$DJ:$DJ,'Area-Cabang'!$B105,'CWO Bulan Ini'!$DH:$DH,'Area-Cabang'!$E105,'CWO Bulan Ini'!$CZ:$CZ,'Area-Cabang'!I$41)</f>
        <v>229.43116389000002</v>
      </c>
      <c r="J105" s="56">
        <f>SUMIFS('CWO Bulan Ini'!$DA:$DA,'CWO Bulan Ini'!$DJ:$DJ,'Area-Cabang'!$B105,'CWO Bulan Ini'!$DH:$DH,'Area-Cabang'!$E105,'CWO Bulan Ini'!$CZ:$CZ,'Area-Cabang'!J$41)</f>
        <v>0</v>
      </c>
      <c r="K105" s="56">
        <f>SUMIFS('CWO Bulan Ini'!$DA:$DA,'CWO Bulan Ini'!$DJ:$DJ,'Area-Cabang'!$B105,'CWO Bulan Ini'!$DH:$DH,'Area-Cabang'!$E105,'CWO Bulan Ini'!$CZ:$CZ,'Area-Cabang'!K$41)</f>
        <v>0</v>
      </c>
      <c r="L105" s="56">
        <f>SUMIFS('CWO Bulan Ini'!$DA:$DA,'CWO Bulan Ini'!$DJ:$DJ,'Area-Cabang'!$B105,'CWO Bulan Ini'!$DH:$DH,'Area-Cabang'!$E105,'CWO Bulan Ini'!$CZ:$CZ,'Area-Cabang'!L$41)</f>
        <v>0</v>
      </c>
      <c r="M105" s="56">
        <f>SUMIFS('CWO Bulan Ini'!$DA:$DA,'CWO Bulan Ini'!$DJ:$DJ,'Area-Cabang'!$B105,'CWO Bulan Ini'!$DH:$DH,'Area-Cabang'!$E105,'CWO Bulan Ini'!$CZ:$CZ,'Area-Cabang'!M$41)</f>
        <v>0</v>
      </c>
      <c r="N105" s="56">
        <f>SUMIFS('CWO Bulan Ini'!$DA:$DA,'CWO Bulan Ini'!$DJ:$DJ,'Area-Cabang'!$B105,'CWO Bulan Ini'!$DH:$DH,'Area-Cabang'!$E105,'CWO Bulan Ini'!$CZ:$CZ,'Area-Cabang'!N$41)</f>
        <v>0</v>
      </c>
      <c r="O105" s="56">
        <f>SUMIFS('CWO Bulan Ini'!$DA:$DA,'CWO Bulan Ini'!$DJ:$DJ,'Area-Cabang'!$B105,'CWO Bulan Ini'!$DH:$DH,'Area-Cabang'!$E105,'CWO Bulan Ini'!$CZ:$CZ,'Area-Cabang'!O$41)</f>
        <v>84.137101939999994</v>
      </c>
      <c r="P105" s="56">
        <f>SUMIFS('CWO Bulan Ini'!$DA:$DA,'CWO Bulan Ini'!$DJ:$DJ,'Area-Cabang'!$B105,'CWO Bulan Ini'!$DH:$DH,'Area-Cabang'!$E105,'CWO Bulan Ini'!$CZ:$CZ,'Area-Cabang'!P$41)</f>
        <v>0</v>
      </c>
      <c r="Q105" s="56">
        <f>SUMIFS('CWO Bulan Ini'!$DA:$DA,'CWO Bulan Ini'!$DJ:$DJ,'Area-Cabang'!$B105,'CWO Bulan Ini'!$DH:$DH,'Area-Cabang'!$E105,'CWO Bulan Ini'!$CZ:$CZ,'Area-Cabang'!Q$41)</f>
        <v>0</v>
      </c>
      <c r="R105" s="56">
        <f>SUMIFS('CWO Bulan Ini'!$DA:$DA,'CWO Bulan Ini'!$DJ:$DJ,'Area-Cabang'!$B105,'CWO Bulan Ini'!$DH:$DH,'Area-Cabang'!$E105,'CWO Bulan Ini'!$CZ:$CZ,'Area-Cabang'!R$41)</f>
        <v>0</v>
      </c>
      <c r="S105" s="56">
        <f>SUMIFS('CWO Bulan Ini'!$DA:$DA,'CWO Bulan Ini'!$DJ:$DJ,'Area-Cabang'!$B105,'CWO Bulan Ini'!$DH:$DH,'Area-Cabang'!$E105,'CWO Bulan Ini'!$CZ:$CZ,'Area-Cabang'!S$41)</f>
        <v>0</v>
      </c>
      <c r="T105" s="56">
        <f>SUMIFS('CWO Bulan Ini'!$DA:$DA,'CWO Bulan Ini'!$DJ:$DJ,'Area-Cabang'!$B105,'CWO Bulan Ini'!$DH:$DH,'Area-Cabang'!$E105,'CWO Bulan Ini'!$CZ:$CZ,'Area-Cabang'!T$41)</f>
        <v>0</v>
      </c>
      <c r="U105" s="56">
        <f>SUMIFS('CWO Bulan Ini'!$DA:$DA,'CWO Bulan Ini'!$DJ:$DJ,'Area-Cabang'!$B105,'CWO Bulan Ini'!$DH:$DH,'Area-Cabang'!$E105,'CWO Bulan Ini'!$CZ:$CZ,'Area-Cabang'!U$41)</f>
        <v>0</v>
      </c>
      <c r="V105" s="56">
        <f>SUMIFS('CWO Bulan Ini'!$DA:$DA,'CWO Bulan Ini'!$DJ:$DJ,'Area-Cabang'!$B105,'CWO Bulan Ini'!$DH:$DH,'Area-Cabang'!$E105,'CWO Bulan Ini'!$CZ:$CZ,'Area-Cabang'!V$41)</f>
        <v>0</v>
      </c>
      <c r="W105" s="56">
        <f>SUMIFS('CWO Bulan Ini'!$DA:$DA,'CWO Bulan Ini'!$DJ:$DJ,'Area-Cabang'!$B105,'CWO Bulan Ini'!$DH:$DH,'Area-Cabang'!$E105,'CWO Bulan Ini'!$CZ:$CZ,'Area-Cabang'!W$41)</f>
        <v>95.816002810000001</v>
      </c>
      <c r="X105" s="56">
        <f>SUMIFS('CWO Bulan Ini'!$DA:$DA,'CWO Bulan Ini'!$DJ:$DJ,'Area-Cabang'!$B105,'CWO Bulan Ini'!$DH:$DH,'Area-Cabang'!$E105,'CWO Bulan Ini'!$CZ:$CZ,'Area-Cabang'!X$41)</f>
        <v>0</v>
      </c>
      <c r="Y105" s="56">
        <f>SUMIFS('CWO Bulan Ini'!$DA:$DA,'CWO Bulan Ini'!$DJ:$DJ,'Area-Cabang'!$B105,'CWO Bulan Ini'!$DH:$DH,'Area-Cabang'!$E105,'CWO Bulan Ini'!$CZ:$CZ,'Area-Cabang'!Y$41)</f>
        <v>0</v>
      </c>
      <c r="Z105" s="56">
        <f>SUMIFS('CWO Bulan Ini'!$DA:$DA,'CWO Bulan Ini'!$DJ:$DJ,'Area-Cabang'!$B105,'CWO Bulan Ini'!$DH:$DH,'Area-Cabang'!$E105,'CWO Bulan Ini'!$CZ:$CZ,'Area-Cabang'!Z$41)</f>
        <v>0</v>
      </c>
      <c r="AA105" s="56">
        <f>SUMIFS('CWO Bulan Ini'!$DA:$DA,'CWO Bulan Ini'!$DJ:$DJ,'Area-Cabang'!$B105,'CWO Bulan Ini'!$DH:$DH,'Area-Cabang'!$E105,'CWO Bulan Ini'!$CZ:$CZ,'Area-Cabang'!AA$41)</f>
        <v>0</v>
      </c>
      <c r="AB105" s="56">
        <f>SUMIFS('CWO Bulan Ini'!$DA:$DA,'CWO Bulan Ini'!$DJ:$DJ,'Area-Cabang'!$B105,'CWO Bulan Ini'!$DH:$DH,'Area-Cabang'!$E105,'CWO Bulan Ini'!$CZ:$CZ,'Area-Cabang'!AB$41)</f>
        <v>0</v>
      </c>
      <c r="AC105" s="56">
        <f>SUMIFS('CWO Bulan Ini'!$DA:$DA,'CWO Bulan Ini'!$DJ:$DJ,'Area-Cabang'!$B105,'CWO Bulan Ini'!$DH:$DH,'Area-Cabang'!$E105,'CWO Bulan Ini'!$CZ:$CZ,'Area-Cabang'!AC$41)</f>
        <v>0</v>
      </c>
      <c r="AD105" s="56">
        <f>SUMIFS('CWO Bulan Ini'!$DA:$DA,'CWO Bulan Ini'!$DJ:$DJ,'Area-Cabang'!$B105,'CWO Bulan Ini'!$DH:$DH,'Area-Cabang'!$E105,'CWO Bulan Ini'!$CZ:$CZ,'Area-Cabang'!AD$41)</f>
        <v>0</v>
      </c>
      <c r="AE105" s="56">
        <f>SUMIFS('CWO Bulan Ini'!$DA:$DA,'CWO Bulan Ini'!$DJ:$DJ,'Area-Cabang'!$B105,'CWO Bulan Ini'!$DH:$DH,'Area-Cabang'!$E105,'CWO Bulan Ini'!$CZ:$CZ,'Area-Cabang'!AE$41)</f>
        <v>0</v>
      </c>
      <c r="AF105" s="56">
        <f>SUMIFS('CWO Bulan Ini'!$DA:$DA,'CWO Bulan Ini'!$DJ:$DJ,'Area-Cabang'!$B105,'CWO Bulan Ini'!$DH:$DH,'Area-Cabang'!$E105,'CWO Bulan Ini'!$CZ:$CZ,'Area-Cabang'!AF$41)</f>
        <v>0</v>
      </c>
      <c r="AG105" s="56">
        <f>SUMIFS('CWO Bulan Ini'!$DA:$DA,'CWO Bulan Ini'!$DJ:$DJ,'Area-Cabang'!$B105,'CWO Bulan Ini'!$DH:$DH,'Area-Cabang'!$E105,'CWO Bulan Ini'!$CZ:$CZ,'Area-Cabang'!AG$41)</f>
        <v>0</v>
      </c>
      <c r="AH105" s="56">
        <f>SUMIFS('CWO Bulan Ini'!$DA:$DA,'CWO Bulan Ini'!$DJ:$DJ,'Area-Cabang'!$B105,'CWO Bulan Ini'!$DH:$DH,'Area-Cabang'!$E105,'CWO Bulan Ini'!$CZ:$CZ,'Area-Cabang'!AH$41)</f>
        <v>0</v>
      </c>
      <c r="AI105" s="56">
        <f>SUMIFS('CWO Bulan Ini'!$DA:$DA,'CWO Bulan Ini'!$DJ:$DJ,'Area-Cabang'!$B105,'CWO Bulan Ini'!$DH:$DH,'Area-Cabang'!$E105,'CWO Bulan Ini'!$CZ:$CZ,'Area-Cabang'!AI$41)</f>
        <v>0</v>
      </c>
      <c r="AJ105" s="56">
        <f>SUMIFS('CWO Bulan Ini'!$DA:$DA,'CWO Bulan Ini'!$DJ:$DJ,'Area-Cabang'!$B105,'CWO Bulan Ini'!$DH:$DH,'Area-Cabang'!$E105,'CWO Bulan Ini'!$CZ:$CZ,'Area-Cabang'!AJ$41)</f>
        <v>0</v>
      </c>
      <c r="AK105" s="55">
        <f>SUMIFS('CWO Bulan Ini'!$DD:$DD,'CWO Bulan Ini'!$DJ:$DJ,'Area-Cabang'!$B105,'CWO Bulan Ini'!$DH:$DH,'Area-Cabang'!$E105,'CWO Bulan Ini'!$CZ:$CZ,'Area-Cabang'!AK$41)</f>
        <v>0</v>
      </c>
      <c r="AL105" s="56">
        <f>SUMIFS('CWO Bulan Ini'!$DD:$DD,'CWO Bulan Ini'!$DJ:$DJ,'Area-Cabang'!$B105,'CWO Bulan Ini'!$DH:$DH,'Area-Cabang'!$E105,'CWO Bulan Ini'!$CZ:$CZ,'Area-Cabang'!AL$41)</f>
        <v>0</v>
      </c>
      <c r="AM105" s="56">
        <f>SUMIFS('CWO Bulan Ini'!$DD:$DD,'CWO Bulan Ini'!$DJ:$DJ,'Area-Cabang'!$B105,'CWO Bulan Ini'!$DH:$DH,'Area-Cabang'!$E105,'CWO Bulan Ini'!$CZ:$CZ,'Area-Cabang'!AM$41)</f>
        <v>0</v>
      </c>
      <c r="AN105" s="56">
        <f>SUMIFS('CWO Bulan Ini'!$DD:$DD,'CWO Bulan Ini'!$DJ:$DJ,'Area-Cabang'!$B105,'CWO Bulan Ini'!$DH:$DH,'Area-Cabang'!$E105,'CWO Bulan Ini'!$CZ:$CZ,'Area-Cabang'!AN$41)</f>
        <v>229.43116389000002</v>
      </c>
      <c r="AO105" s="56">
        <f>SUMIFS('CWO Bulan Ini'!$DD:$DD,'CWO Bulan Ini'!$DJ:$DJ,'Area-Cabang'!$B105,'CWO Bulan Ini'!$DH:$DH,'Area-Cabang'!$E105,'CWO Bulan Ini'!$CZ:$CZ,'Area-Cabang'!AO$41)</f>
        <v>0</v>
      </c>
      <c r="AP105" s="56">
        <f>SUMIFS('CWO Bulan Ini'!$DD:$DD,'CWO Bulan Ini'!$DJ:$DJ,'Area-Cabang'!$B105,'CWO Bulan Ini'!$DH:$DH,'Area-Cabang'!$E105,'CWO Bulan Ini'!$CZ:$CZ,'Area-Cabang'!AP$41)</f>
        <v>0</v>
      </c>
      <c r="AQ105" s="56">
        <f>SUMIFS('CWO Bulan Ini'!$DD:$DD,'CWO Bulan Ini'!$DJ:$DJ,'Area-Cabang'!$B105,'CWO Bulan Ini'!$DH:$DH,'Area-Cabang'!$E105,'CWO Bulan Ini'!$CZ:$CZ,'Area-Cabang'!AQ$41)</f>
        <v>0</v>
      </c>
      <c r="AR105" s="56">
        <f>SUMIFS('CWO Bulan Ini'!$DD:$DD,'CWO Bulan Ini'!$DJ:$DJ,'Area-Cabang'!$B105,'CWO Bulan Ini'!$DH:$DH,'Area-Cabang'!$E105,'CWO Bulan Ini'!$CZ:$CZ,'Area-Cabang'!AR$41)</f>
        <v>0</v>
      </c>
      <c r="AS105" s="56">
        <f>SUMIFS('CWO Bulan Ini'!$DD:$DD,'CWO Bulan Ini'!$DJ:$DJ,'Area-Cabang'!$B105,'CWO Bulan Ini'!$DH:$DH,'Area-Cabang'!$E105,'CWO Bulan Ini'!$CZ:$CZ,'Area-Cabang'!AS$41)</f>
        <v>0</v>
      </c>
      <c r="AT105" s="56">
        <f>SUMIFS('CWO Bulan Ini'!$DD:$DD,'CWO Bulan Ini'!$DJ:$DJ,'Area-Cabang'!$B105,'CWO Bulan Ini'!$DH:$DH,'Area-Cabang'!$E105,'CWO Bulan Ini'!$CZ:$CZ,'Area-Cabang'!AT$41)</f>
        <v>0</v>
      </c>
      <c r="AU105" s="56">
        <f>SUMIFS('CWO Bulan Ini'!$DD:$DD,'CWO Bulan Ini'!$DJ:$DJ,'Area-Cabang'!$B105,'CWO Bulan Ini'!$DH:$DH,'Area-Cabang'!$E105,'CWO Bulan Ini'!$CZ:$CZ,'Area-Cabang'!AU$41)</f>
        <v>0</v>
      </c>
      <c r="AV105" s="56">
        <f>SUMIFS('CWO Bulan Ini'!$DD:$DD,'CWO Bulan Ini'!$DJ:$DJ,'Area-Cabang'!$B105,'CWO Bulan Ini'!$DH:$DH,'Area-Cabang'!$E105,'CWO Bulan Ini'!$CZ:$CZ,'Area-Cabang'!AV$41)</f>
        <v>0</v>
      </c>
      <c r="AW105" s="56">
        <f>SUMIFS('CWO Bulan Ini'!$DD:$DD,'CWO Bulan Ini'!$DJ:$DJ,'Area-Cabang'!$B105,'CWO Bulan Ini'!$DH:$DH,'Area-Cabang'!$E105,'CWO Bulan Ini'!$CZ:$CZ,'Area-Cabang'!AW$41)</f>
        <v>0</v>
      </c>
      <c r="AX105" s="56">
        <f>SUMIFS('CWO Bulan Ini'!$DD:$DD,'CWO Bulan Ini'!$DJ:$DJ,'Area-Cabang'!$B105,'CWO Bulan Ini'!$DH:$DH,'Area-Cabang'!$E105,'CWO Bulan Ini'!$CZ:$CZ,'Area-Cabang'!AX$41)</f>
        <v>0</v>
      </c>
      <c r="AY105" s="56">
        <f>SUMIFS('CWO Bulan Ini'!$DD:$DD,'CWO Bulan Ini'!$DJ:$DJ,'Area-Cabang'!$B105,'CWO Bulan Ini'!$DH:$DH,'Area-Cabang'!$E105,'CWO Bulan Ini'!$CZ:$CZ,'Area-Cabang'!AY$41)</f>
        <v>0</v>
      </c>
      <c r="AZ105" s="56">
        <f>SUMIFS('CWO Bulan Ini'!$DD:$DD,'CWO Bulan Ini'!$DJ:$DJ,'Area-Cabang'!$B105,'CWO Bulan Ini'!$DH:$DH,'Area-Cabang'!$E105,'CWO Bulan Ini'!$CZ:$CZ,'Area-Cabang'!AZ$41)</f>
        <v>0</v>
      </c>
      <c r="BA105" s="56">
        <f>SUMIFS('CWO Bulan Ini'!$DD:$DD,'CWO Bulan Ini'!$DJ:$DJ,'Area-Cabang'!$B105,'CWO Bulan Ini'!$DH:$DH,'Area-Cabang'!$E105,'CWO Bulan Ini'!$CZ:$CZ,'Area-Cabang'!BA$41)</f>
        <v>0</v>
      </c>
      <c r="BB105" s="56">
        <f>SUMIFS('CWO Bulan Ini'!$DD:$DD,'CWO Bulan Ini'!$DJ:$DJ,'Area-Cabang'!$B105,'CWO Bulan Ini'!$DH:$DH,'Area-Cabang'!$E105,'CWO Bulan Ini'!$CZ:$CZ,'Area-Cabang'!BB$41)</f>
        <v>0</v>
      </c>
      <c r="BC105" s="56">
        <f>SUMIFS('CWO Bulan Ini'!$DD:$DD,'CWO Bulan Ini'!$DJ:$DJ,'Area-Cabang'!$B105,'CWO Bulan Ini'!$DH:$DH,'Area-Cabang'!$E105,'CWO Bulan Ini'!$CZ:$CZ,'Area-Cabang'!BC$41)</f>
        <v>0</v>
      </c>
      <c r="BD105" s="56">
        <f>SUMIFS('CWO Bulan Ini'!$DD:$DD,'CWO Bulan Ini'!$DJ:$DJ,'Area-Cabang'!$B105,'CWO Bulan Ini'!$DH:$DH,'Area-Cabang'!$E105,'CWO Bulan Ini'!$CZ:$CZ,'Area-Cabang'!BD$41)</f>
        <v>0</v>
      </c>
      <c r="BE105" s="56">
        <f>SUMIFS('CWO Bulan Ini'!$DD:$DD,'CWO Bulan Ini'!$DJ:$DJ,'Area-Cabang'!$B105,'CWO Bulan Ini'!$DH:$DH,'Area-Cabang'!$E105,'CWO Bulan Ini'!$CZ:$CZ,'Area-Cabang'!BE$41)</f>
        <v>0</v>
      </c>
      <c r="BF105" s="56">
        <f>SUMIFS('CWO Bulan Ini'!$DD:$DD,'CWO Bulan Ini'!$DJ:$DJ,'Area-Cabang'!$B105,'CWO Bulan Ini'!$DH:$DH,'Area-Cabang'!$E105,'CWO Bulan Ini'!$CZ:$CZ,'Area-Cabang'!BF$41)</f>
        <v>0</v>
      </c>
      <c r="BG105" s="56">
        <f>SUMIFS('CWO Bulan Ini'!$DD:$DD,'CWO Bulan Ini'!$DJ:$DJ,'Area-Cabang'!$B105,'CWO Bulan Ini'!$DH:$DH,'Area-Cabang'!$E105,'CWO Bulan Ini'!$CZ:$CZ,'Area-Cabang'!BG$41)</f>
        <v>0</v>
      </c>
      <c r="BH105" s="56">
        <f>SUMIFS('CWO Bulan Ini'!$DD:$DD,'CWO Bulan Ini'!$DJ:$DJ,'Area-Cabang'!$B105,'CWO Bulan Ini'!$DH:$DH,'Area-Cabang'!$E105,'CWO Bulan Ini'!$CZ:$CZ,'Area-Cabang'!BH$41)</f>
        <v>0</v>
      </c>
      <c r="BI105" s="56">
        <f>SUMIFS('CWO Bulan Ini'!$DD:$DD,'CWO Bulan Ini'!$DJ:$DJ,'Area-Cabang'!$B105,'CWO Bulan Ini'!$DH:$DH,'Area-Cabang'!$E105,'CWO Bulan Ini'!$CZ:$CZ,'Area-Cabang'!BI$41)</f>
        <v>0</v>
      </c>
      <c r="BJ105" s="56">
        <f>SUMIFS('CWO Bulan Ini'!$DD:$DD,'CWO Bulan Ini'!$DJ:$DJ,'Area-Cabang'!$B105,'CWO Bulan Ini'!$DH:$DH,'Area-Cabang'!$E105,'CWO Bulan Ini'!$CZ:$CZ,'Area-Cabang'!BJ$41)</f>
        <v>0</v>
      </c>
      <c r="BK105" s="56">
        <f>SUMIFS('CWO Bulan Ini'!$DD:$DD,'CWO Bulan Ini'!$DJ:$DJ,'Area-Cabang'!$B105,'CWO Bulan Ini'!$DH:$DH,'Area-Cabang'!$E105,'CWO Bulan Ini'!$CZ:$CZ,'Area-Cabang'!BK$41)</f>
        <v>0</v>
      </c>
      <c r="BL105" s="56">
        <f>SUMIFS('CWO Bulan Ini'!$DD:$DD,'CWO Bulan Ini'!$DJ:$DJ,'Area-Cabang'!$B105,'CWO Bulan Ini'!$DH:$DH,'Area-Cabang'!$E105,'CWO Bulan Ini'!$CZ:$CZ,'Area-Cabang'!BL$41)</f>
        <v>0</v>
      </c>
      <c r="BM105" s="56">
        <f>SUMIFS('CWO Bulan Ini'!$DD:$DD,'CWO Bulan Ini'!$DJ:$DJ,'Area-Cabang'!$B105,'CWO Bulan Ini'!$DH:$DH,'Area-Cabang'!$E105,'CWO Bulan Ini'!$CZ:$CZ,'Area-Cabang'!BM$41)</f>
        <v>0</v>
      </c>
      <c r="BN105" s="56">
        <f>SUMIFS('CWO Bulan Ini'!$DD:$DD,'CWO Bulan Ini'!$DJ:$DJ,'Area-Cabang'!$B105,'CWO Bulan Ini'!$DH:$DH,'Area-Cabang'!$E105,'CWO Bulan Ini'!$CZ:$CZ,'Area-Cabang'!BN$41)</f>
        <v>0</v>
      </c>
      <c r="BO105" s="57">
        <f>SUMIFS('CWO Bulan Ini'!$DD:$DD,'CWO Bulan Ini'!$DJ:$DJ,'Area-Cabang'!$B105,'CWO Bulan Ini'!$DH:$DH,'Area-Cabang'!$E105,'CWO Bulan Ini'!$CZ:$CZ,'Area-Cabang'!BO$41)</f>
        <v>0</v>
      </c>
      <c r="BP105" s="55">
        <f>SUMIFS('CWO Bulan Ini'!$DC:$DC,'CWO Bulan Ini'!$DJ:$DJ,'Area-Cabang'!$B105,'CWO Bulan Ini'!$DH:$DH,'Area-Cabang'!$E105,'CWO Bulan Ini'!$CZ:$CZ,'Area-Cabang'!BP$41)</f>
        <v>0</v>
      </c>
      <c r="BQ105" s="56">
        <f>SUMIFS('CWO Bulan Ini'!$DC:$DC,'CWO Bulan Ini'!$DJ:$DJ,'Area-Cabang'!$B105,'CWO Bulan Ini'!$DH:$DH,'Area-Cabang'!$E105,'CWO Bulan Ini'!$CZ:$CZ,'Area-Cabang'!BQ$41)</f>
        <v>0</v>
      </c>
      <c r="BR105" s="56">
        <f>SUMIFS('CWO Bulan Ini'!$DC:$DC,'CWO Bulan Ini'!$DJ:$DJ,'Area-Cabang'!$B105,'CWO Bulan Ini'!$DH:$DH,'Area-Cabang'!$E105,'CWO Bulan Ini'!$CZ:$CZ,'Area-Cabang'!BR$41)</f>
        <v>0</v>
      </c>
      <c r="BS105" s="56">
        <f>SUMIFS('CWO Bulan Ini'!$DC:$DC,'CWO Bulan Ini'!$DJ:$DJ,'Area-Cabang'!$B105,'CWO Bulan Ini'!$DH:$DH,'Area-Cabang'!$E105,'CWO Bulan Ini'!$CZ:$CZ,'Area-Cabang'!BS$41)</f>
        <v>0</v>
      </c>
      <c r="BT105" s="56">
        <f>SUMIFS('CWO Bulan Ini'!$DC:$DC,'CWO Bulan Ini'!$DJ:$DJ,'Area-Cabang'!$B105,'CWO Bulan Ini'!$DH:$DH,'Area-Cabang'!$E105,'CWO Bulan Ini'!$CZ:$CZ,'Area-Cabang'!BT$41)</f>
        <v>0</v>
      </c>
      <c r="BU105" s="56">
        <f>SUMIFS('CWO Bulan Ini'!$DC:$DC,'CWO Bulan Ini'!$DJ:$DJ,'Area-Cabang'!$B105,'CWO Bulan Ini'!$DH:$DH,'Area-Cabang'!$E105,'CWO Bulan Ini'!$CZ:$CZ,'Area-Cabang'!BU$41)</f>
        <v>0</v>
      </c>
      <c r="BV105" s="56">
        <f>SUMIFS('CWO Bulan Ini'!$DC:$DC,'CWO Bulan Ini'!$DJ:$DJ,'Area-Cabang'!$B105,'CWO Bulan Ini'!$DH:$DH,'Area-Cabang'!$E105,'CWO Bulan Ini'!$CZ:$CZ,'Area-Cabang'!BV$41)</f>
        <v>0</v>
      </c>
      <c r="BW105" s="56">
        <f>SUMIFS('CWO Bulan Ini'!$DC:$DC,'CWO Bulan Ini'!$DJ:$DJ,'Area-Cabang'!$B105,'CWO Bulan Ini'!$DH:$DH,'Area-Cabang'!$E105,'CWO Bulan Ini'!$CZ:$CZ,'Area-Cabang'!BW$41)</f>
        <v>0</v>
      </c>
      <c r="BX105" s="56">
        <f>SUMIFS('CWO Bulan Ini'!$DC:$DC,'CWO Bulan Ini'!$DJ:$DJ,'Area-Cabang'!$B105,'CWO Bulan Ini'!$DH:$DH,'Area-Cabang'!$E105,'CWO Bulan Ini'!$CZ:$CZ,'Area-Cabang'!BX$41)</f>
        <v>0</v>
      </c>
      <c r="BY105" s="56">
        <f>SUMIFS('CWO Bulan Ini'!$DC:$DC,'CWO Bulan Ini'!$DJ:$DJ,'Area-Cabang'!$B105,'CWO Bulan Ini'!$DH:$DH,'Area-Cabang'!$E105,'CWO Bulan Ini'!$CZ:$CZ,'Area-Cabang'!BY$41)</f>
        <v>0</v>
      </c>
      <c r="BZ105" s="56">
        <f>SUMIFS('CWO Bulan Ini'!$DC:$DC,'CWO Bulan Ini'!$DJ:$DJ,'Area-Cabang'!$B105,'CWO Bulan Ini'!$DH:$DH,'Area-Cabang'!$E105,'CWO Bulan Ini'!$CZ:$CZ,'Area-Cabang'!BZ$41)</f>
        <v>0</v>
      </c>
      <c r="CA105" s="56">
        <f>SUMIFS('CWO Bulan Ini'!$DC:$DC,'CWO Bulan Ini'!$DJ:$DJ,'Area-Cabang'!$B105,'CWO Bulan Ini'!$DH:$DH,'Area-Cabang'!$E105,'CWO Bulan Ini'!$CZ:$CZ,'Area-Cabang'!CA$41)</f>
        <v>0</v>
      </c>
      <c r="CB105" s="56">
        <f>SUMIFS('CWO Bulan Ini'!$DC:$DC,'CWO Bulan Ini'!$DJ:$DJ,'Area-Cabang'!$B105,'CWO Bulan Ini'!$DH:$DH,'Area-Cabang'!$E105,'CWO Bulan Ini'!$CZ:$CZ,'Area-Cabang'!CB$41)</f>
        <v>0</v>
      </c>
      <c r="CC105" s="56">
        <f>SUMIFS('CWO Bulan Ini'!$DC:$DC,'CWO Bulan Ini'!$DJ:$DJ,'Area-Cabang'!$B105,'CWO Bulan Ini'!$DH:$DH,'Area-Cabang'!$E105,'CWO Bulan Ini'!$CZ:$CZ,'Area-Cabang'!CC$41)</f>
        <v>0</v>
      </c>
      <c r="CD105" s="56">
        <f>SUMIFS('CWO Bulan Ini'!$DC:$DC,'CWO Bulan Ini'!$DJ:$DJ,'Area-Cabang'!$B105,'CWO Bulan Ini'!$DH:$DH,'Area-Cabang'!$E105,'CWO Bulan Ini'!$CZ:$CZ,'Area-Cabang'!CD$41)</f>
        <v>0</v>
      </c>
      <c r="CE105" s="56">
        <f>SUMIFS('CWO Bulan Ini'!$DC:$DC,'CWO Bulan Ini'!$DJ:$DJ,'Area-Cabang'!$B105,'CWO Bulan Ini'!$DH:$DH,'Area-Cabang'!$E105,'CWO Bulan Ini'!$CZ:$CZ,'Area-Cabang'!CE$41)</f>
        <v>0</v>
      </c>
      <c r="CF105" s="56">
        <f>SUMIFS('CWO Bulan Ini'!$DC:$DC,'CWO Bulan Ini'!$DJ:$DJ,'Area-Cabang'!$B105,'CWO Bulan Ini'!$DH:$DH,'Area-Cabang'!$E105,'CWO Bulan Ini'!$CZ:$CZ,'Area-Cabang'!CF$41)</f>
        <v>0</v>
      </c>
      <c r="CG105" s="56">
        <f>SUMIFS('CWO Bulan Ini'!$DC:$DC,'CWO Bulan Ini'!$DJ:$DJ,'Area-Cabang'!$B105,'CWO Bulan Ini'!$DH:$DH,'Area-Cabang'!$E105,'CWO Bulan Ini'!$CZ:$CZ,'Area-Cabang'!CG$41)</f>
        <v>0</v>
      </c>
      <c r="CH105" s="56">
        <f>SUMIFS('CWO Bulan Ini'!$DC:$DC,'CWO Bulan Ini'!$DJ:$DJ,'Area-Cabang'!$B105,'CWO Bulan Ini'!$DH:$DH,'Area-Cabang'!$E105,'CWO Bulan Ini'!$CZ:$CZ,'Area-Cabang'!CH$41)</f>
        <v>0</v>
      </c>
      <c r="CI105" s="56">
        <f>SUMIFS('CWO Bulan Ini'!$DC:$DC,'CWO Bulan Ini'!$DJ:$DJ,'Area-Cabang'!$B105,'CWO Bulan Ini'!$DH:$DH,'Area-Cabang'!$E105,'CWO Bulan Ini'!$CZ:$CZ,'Area-Cabang'!CI$41)</f>
        <v>0</v>
      </c>
      <c r="CJ105" s="56">
        <f>SUMIFS('CWO Bulan Ini'!$DC:$DC,'CWO Bulan Ini'!$DJ:$DJ,'Area-Cabang'!$B105,'CWO Bulan Ini'!$DH:$DH,'Area-Cabang'!$E105,'CWO Bulan Ini'!$CZ:$CZ,'Area-Cabang'!CJ$41)</f>
        <v>0</v>
      </c>
      <c r="CK105" s="56">
        <f>SUMIFS('CWO Bulan Ini'!$DC:$DC,'CWO Bulan Ini'!$DJ:$DJ,'Area-Cabang'!$B105,'CWO Bulan Ini'!$DH:$DH,'Area-Cabang'!$E105,'CWO Bulan Ini'!$CZ:$CZ,'Area-Cabang'!CK$41)</f>
        <v>0</v>
      </c>
      <c r="CL105" s="56">
        <f>SUMIFS('CWO Bulan Ini'!$DC:$DC,'CWO Bulan Ini'!$DJ:$DJ,'Area-Cabang'!$B105,'CWO Bulan Ini'!$DH:$DH,'Area-Cabang'!$E105,'CWO Bulan Ini'!$CZ:$CZ,'Area-Cabang'!CL$41)</f>
        <v>0</v>
      </c>
      <c r="CM105" s="56">
        <f>SUMIFS('CWO Bulan Ini'!$DC:$DC,'CWO Bulan Ini'!$DJ:$DJ,'Area-Cabang'!$B105,'CWO Bulan Ini'!$DH:$DH,'Area-Cabang'!$E105,'CWO Bulan Ini'!$CZ:$CZ,'Area-Cabang'!CM$41)</f>
        <v>0</v>
      </c>
      <c r="CN105" s="56">
        <f>SUMIFS('CWO Bulan Ini'!$DC:$DC,'CWO Bulan Ini'!$DJ:$DJ,'Area-Cabang'!$B105,'CWO Bulan Ini'!$DH:$DH,'Area-Cabang'!$E105,'CWO Bulan Ini'!$CZ:$CZ,'Area-Cabang'!CN$41)</f>
        <v>0</v>
      </c>
      <c r="CO105" s="56">
        <f>SUMIFS('CWO Bulan Ini'!$DC:$DC,'CWO Bulan Ini'!$DJ:$DJ,'Area-Cabang'!$B105,'CWO Bulan Ini'!$DH:$DH,'Area-Cabang'!$E105,'CWO Bulan Ini'!$CZ:$CZ,'Area-Cabang'!CO$41)</f>
        <v>0</v>
      </c>
      <c r="CP105" s="56">
        <f>SUMIFS('CWO Bulan Ini'!$DC:$DC,'CWO Bulan Ini'!$DJ:$DJ,'Area-Cabang'!$B105,'CWO Bulan Ini'!$DH:$DH,'Area-Cabang'!$E105,'CWO Bulan Ini'!$CZ:$CZ,'Area-Cabang'!CP$41)</f>
        <v>0</v>
      </c>
      <c r="CQ105" s="56">
        <f>SUMIFS('CWO Bulan Ini'!$DC:$DC,'CWO Bulan Ini'!$DJ:$DJ,'Area-Cabang'!$B105,'CWO Bulan Ini'!$DH:$DH,'Area-Cabang'!$E105,'CWO Bulan Ini'!$CZ:$CZ,'Area-Cabang'!CQ$41)</f>
        <v>0</v>
      </c>
      <c r="CR105" s="56">
        <f>SUMIFS('CWO Bulan Ini'!$DC:$DC,'CWO Bulan Ini'!$DJ:$DJ,'Area-Cabang'!$B105,'CWO Bulan Ini'!$DH:$DH,'Area-Cabang'!$E105,'CWO Bulan Ini'!$CZ:$CZ,'Area-Cabang'!CR$41)</f>
        <v>0</v>
      </c>
      <c r="CS105" s="56">
        <f>SUMIFS('CWO Bulan Ini'!$DC:$DC,'CWO Bulan Ini'!$DJ:$DJ,'Area-Cabang'!$B105,'CWO Bulan Ini'!$DH:$DH,'Area-Cabang'!$E105,'CWO Bulan Ini'!$CZ:$CZ,'Area-Cabang'!CS$41)</f>
        <v>0</v>
      </c>
      <c r="CT105" s="57">
        <f>SUMIFS('CWO Bulan Ini'!$DC:$DC,'CWO Bulan Ini'!$DJ:$DJ,'Area-Cabang'!$B105,'CWO Bulan Ini'!$DH:$DH,'Area-Cabang'!$E105,'CWO Bulan Ini'!$CZ:$CZ,'Area-Cabang'!CT$41)</f>
        <v>0</v>
      </c>
      <c r="CV105" s="97">
        <f t="shared" ref="CV105:CV106" si="3144">SUM(F105:AJ105)</f>
        <v>409.38426864000002</v>
      </c>
      <c r="CW105" s="98">
        <f t="shared" ref="CW105:CW106" si="3145">SUM(AK105:BO105)</f>
        <v>229.43116389000002</v>
      </c>
      <c r="CX105" s="98">
        <f t="shared" ref="CX105:CX106" si="3146">SUM(BP105:CT105)</f>
        <v>0</v>
      </c>
      <c r="CY105" s="98">
        <f t="shared" ref="CY105:CY106" si="3147">CV105-CW105-CX105</f>
        <v>179.95310474999999</v>
      </c>
      <c r="CZ105" s="105">
        <f t="shared" ref="CZ105:CZ106" si="3148">CY105+CW105</f>
        <v>409.38426864000002</v>
      </c>
    </row>
    <row r="106" spans="1:104" ht="15" customHeight="1" x14ac:dyDescent="0.25">
      <c r="A106" s="58" t="s">
        <v>448</v>
      </c>
      <c r="B106" s="58" t="s">
        <v>256</v>
      </c>
      <c r="C106" s="250"/>
      <c r="D106" s="244"/>
      <c r="E106" s="40" t="s">
        <v>349</v>
      </c>
      <c r="F106" s="41">
        <f>SUMIFS('CWO Bulan Ini'!$DA:$DA,'CWO Bulan Ini'!$DJ:$DJ,'Area-Cabang'!$B106,'CWO Bulan Ini'!$DH:$DH,'Area-Cabang'!$E106,'CWO Bulan Ini'!$CZ:$CZ,'Area-Cabang'!F$41)</f>
        <v>0</v>
      </c>
      <c r="G106" s="42">
        <f>SUMIFS('CWO Bulan Ini'!$DA:$DA,'CWO Bulan Ini'!$DJ:$DJ,'Area-Cabang'!$B106,'CWO Bulan Ini'!$DH:$DH,'Area-Cabang'!$E106,'CWO Bulan Ini'!$CZ:$CZ,'Area-Cabang'!G$41)</f>
        <v>0</v>
      </c>
      <c r="H106" s="42">
        <f>SUMIFS('CWO Bulan Ini'!$DA:$DA,'CWO Bulan Ini'!$DJ:$DJ,'Area-Cabang'!$B106,'CWO Bulan Ini'!$DH:$DH,'Area-Cabang'!$E106,'CWO Bulan Ini'!$CZ:$CZ,'Area-Cabang'!H$41)</f>
        <v>0</v>
      </c>
      <c r="I106" s="42">
        <f>SUMIFS('CWO Bulan Ini'!$DA:$DA,'CWO Bulan Ini'!$DJ:$DJ,'Area-Cabang'!$B106,'CWO Bulan Ini'!$DH:$DH,'Area-Cabang'!$E106,'CWO Bulan Ini'!$CZ:$CZ,'Area-Cabang'!I$41)</f>
        <v>0</v>
      </c>
      <c r="J106" s="42">
        <f>SUMIFS('CWO Bulan Ini'!$DA:$DA,'CWO Bulan Ini'!$DJ:$DJ,'Area-Cabang'!$B106,'CWO Bulan Ini'!$DH:$DH,'Area-Cabang'!$E106,'CWO Bulan Ini'!$CZ:$CZ,'Area-Cabang'!J$41)</f>
        <v>0</v>
      </c>
      <c r="K106" s="42">
        <f>SUMIFS('CWO Bulan Ini'!$DA:$DA,'CWO Bulan Ini'!$DJ:$DJ,'Area-Cabang'!$B106,'CWO Bulan Ini'!$DH:$DH,'Area-Cabang'!$E106,'CWO Bulan Ini'!$CZ:$CZ,'Area-Cabang'!K$41)</f>
        <v>0</v>
      </c>
      <c r="L106" s="42">
        <f>SUMIFS('CWO Bulan Ini'!$DA:$DA,'CWO Bulan Ini'!$DJ:$DJ,'Area-Cabang'!$B106,'CWO Bulan Ini'!$DH:$DH,'Area-Cabang'!$E106,'CWO Bulan Ini'!$CZ:$CZ,'Area-Cabang'!L$41)</f>
        <v>0</v>
      </c>
      <c r="M106" s="42">
        <f>SUMIFS('CWO Bulan Ini'!$DA:$DA,'CWO Bulan Ini'!$DJ:$DJ,'Area-Cabang'!$B106,'CWO Bulan Ini'!$DH:$DH,'Area-Cabang'!$E106,'CWO Bulan Ini'!$CZ:$CZ,'Area-Cabang'!M$41)</f>
        <v>0</v>
      </c>
      <c r="N106" s="42">
        <f>SUMIFS('CWO Bulan Ini'!$DA:$DA,'CWO Bulan Ini'!$DJ:$DJ,'Area-Cabang'!$B106,'CWO Bulan Ini'!$DH:$DH,'Area-Cabang'!$E106,'CWO Bulan Ini'!$CZ:$CZ,'Area-Cabang'!N$41)</f>
        <v>0</v>
      </c>
      <c r="O106" s="42">
        <f>SUMIFS('CWO Bulan Ini'!$DA:$DA,'CWO Bulan Ini'!$DJ:$DJ,'Area-Cabang'!$B106,'CWO Bulan Ini'!$DH:$DH,'Area-Cabang'!$E106,'CWO Bulan Ini'!$CZ:$CZ,'Area-Cabang'!O$41)</f>
        <v>0</v>
      </c>
      <c r="P106" s="42">
        <f>SUMIFS('CWO Bulan Ini'!$DA:$DA,'CWO Bulan Ini'!$DJ:$DJ,'Area-Cabang'!$B106,'CWO Bulan Ini'!$DH:$DH,'Area-Cabang'!$E106,'CWO Bulan Ini'!$CZ:$CZ,'Area-Cabang'!P$41)</f>
        <v>0</v>
      </c>
      <c r="Q106" s="42">
        <f>SUMIFS('CWO Bulan Ini'!$DA:$DA,'CWO Bulan Ini'!$DJ:$DJ,'Area-Cabang'!$B106,'CWO Bulan Ini'!$DH:$DH,'Area-Cabang'!$E106,'CWO Bulan Ini'!$CZ:$CZ,'Area-Cabang'!Q$41)</f>
        <v>0</v>
      </c>
      <c r="R106" s="42">
        <f>SUMIFS('CWO Bulan Ini'!$DA:$DA,'CWO Bulan Ini'!$DJ:$DJ,'Area-Cabang'!$B106,'CWO Bulan Ini'!$DH:$DH,'Area-Cabang'!$E106,'CWO Bulan Ini'!$CZ:$CZ,'Area-Cabang'!R$41)</f>
        <v>0</v>
      </c>
      <c r="S106" s="42">
        <f>SUMIFS('CWO Bulan Ini'!$DA:$DA,'CWO Bulan Ini'!$DJ:$DJ,'Area-Cabang'!$B106,'CWO Bulan Ini'!$DH:$DH,'Area-Cabang'!$E106,'CWO Bulan Ini'!$CZ:$CZ,'Area-Cabang'!S$41)</f>
        <v>0</v>
      </c>
      <c r="T106" s="42">
        <f>SUMIFS('CWO Bulan Ini'!$DA:$DA,'CWO Bulan Ini'!$DJ:$DJ,'Area-Cabang'!$B106,'CWO Bulan Ini'!$DH:$DH,'Area-Cabang'!$E106,'CWO Bulan Ini'!$CZ:$CZ,'Area-Cabang'!T$41)</f>
        <v>0</v>
      </c>
      <c r="U106" s="42">
        <f>SUMIFS('CWO Bulan Ini'!$DA:$DA,'CWO Bulan Ini'!$DJ:$DJ,'Area-Cabang'!$B106,'CWO Bulan Ini'!$DH:$DH,'Area-Cabang'!$E106,'CWO Bulan Ini'!$CZ:$CZ,'Area-Cabang'!U$41)</f>
        <v>0</v>
      </c>
      <c r="V106" s="42">
        <f>SUMIFS('CWO Bulan Ini'!$DA:$DA,'CWO Bulan Ini'!$DJ:$DJ,'Area-Cabang'!$B106,'CWO Bulan Ini'!$DH:$DH,'Area-Cabang'!$E106,'CWO Bulan Ini'!$CZ:$CZ,'Area-Cabang'!V$41)</f>
        <v>0</v>
      </c>
      <c r="W106" s="42">
        <f>SUMIFS('CWO Bulan Ini'!$DA:$DA,'CWO Bulan Ini'!$DJ:$DJ,'Area-Cabang'!$B106,'CWO Bulan Ini'!$DH:$DH,'Area-Cabang'!$E106,'CWO Bulan Ini'!$CZ:$CZ,'Area-Cabang'!W$41)</f>
        <v>0</v>
      </c>
      <c r="X106" s="42">
        <f>SUMIFS('CWO Bulan Ini'!$DA:$DA,'CWO Bulan Ini'!$DJ:$DJ,'Area-Cabang'!$B106,'CWO Bulan Ini'!$DH:$DH,'Area-Cabang'!$E106,'CWO Bulan Ini'!$CZ:$CZ,'Area-Cabang'!X$41)</f>
        <v>0</v>
      </c>
      <c r="Y106" s="42">
        <f>SUMIFS('CWO Bulan Ini'!$DA:$DA,'CWO Bulan Ini'!$DJ:$DJ,'Area-Cabang'!$B106,'CWO Bulan Ini'!$DH:$DH,'Area-Cabang'!$E106,'CWO Bulan Ini'!$CZ:$CZ,'Area-Cabang'!Y$41)</f>
        <v>0</v>
      </c>
      <c r="Z106" s="42">
        <f>SUMIFS('CWO Bulan Ini'!$DA:$DA,'CWO Bulan Ini'!$DJ:$DJ,'Area-Cabang'!$B106,'CWO Bulan Ini'!$DH:$DH,'Area-Cabang'!$E106,'CWO Bulan Ini'!$CZ:$CZ,'Area-Cabang'!Z$41)</f>
        <v>0</v>
      </c>
      <c r="AA106" s="42">
        <f>SUMIFS('CWO Bulan Ini'!$DA:$DA,'CWO Bulan Ini'!$DJ:$DJ,'Area-Cabang'!$B106,'CWO Bulan Ini'!$DH:$DH,'Area-Cabang'!$E106,'CWO Bulan Ini'!$CZ:$CZ,'Area-Cabang'!AA$41)</f>
        <v>0</v>
      </c>
      <c r="AB106" s="42">
        <f>SUMIFS('CWO Bulan Ini'!$DA:$DA,'CWO Bulan Ini'!$DJ:$DJ,'Area-Cabang'!$B106,'CWO Bulan Ini'!$DH:$DH,'Area-Cabang'!$E106,'CWO Bulan Ini'!$CZ:$CZ,'Area-Cabang'!AB$41)</f>
        <v>0</v>
      </c>
      <c r="AC106" s="42">
        <f>SUMIFS('CWO Bulan Ini'!$DA:$DA,'CWO Bulan Ini'!$DJ:$DJ,'Area-Cabang'!$B106,'CWO Bulan Ini'!$DH:$DH,'Area-Cabang'!$E106,'CWO Bulan Ini'!$CZ:$CZ,'Area-Cabang'!AC$41)</f>
        <v>0</v>
      </c>
      <c r="AD106" s="42">
        <f>SUMIFS('CWO Bulan Ini'!$DA:$DA,'CWO Bulan Ini'!$DJ:$DJ,'Area-Cabang'!$B106,'CWO Bulan Ini'!$DH:$DH,'Area-Cabang'!$E106,'CWO Bulan Ini'!$CZ:$CZ,'Area-Cabang'!AD$41)</f>
        <v>0</v>
      </c>
      <c r="AE106" s="42">
        <f>SUMIFS('CWO Bulan Ini'!$DA:$DA,'CWO Bulan Ini'!$DJ:$DJ,'Area-Cabang'!$B106,'CWO Bulan Ini'!$DH:$DH,'Area-Cabang'!$E106,'CWO Bulan Ini'!$CZ:$CZ,'Area-Cabang'!AE$41)</f>
        <v>0</v>
      </c>
      <c r="AF106" s="42">
        <f>SUMIFS('CWO Bulan Ini'!$DA:$DA,'CWO Bulan Ini'!$DJ:$DJ,'Area-Cabang'!$B106,'CWO Bulan Ini'!$DH:$DH,'Area-Cabang'!$E106,'CWO Bulan Ini'!$CZ:$CZ,'Area-Cabang'!AF$41)</f>
        <v>0</v>
      </c>
      <c r="AG106" s="42">
        <f>SUMIFS('CWO Bulan Ini'!$DA:$DA,'CWO Bulan Ini'!$DJ:$DJ,'Area-Cabang'!$B106,'CWO Bulan Ini'!$DH:$DH,'Area-Cabang'!$E106,'CWO Bulan Ini'!$CZ:$CZ,'Area-Cabang'!AG$41)</f>
        <v>0</v>
      </c>
      <c r="AH106" s="42">
        <f>SUMIFS('CWO Bulan Ini'!$DA:$DA,'CWO Bulan Ini'!$DJ:$DJ,'Area-Cabang'!$B106,'CWO Bulan Ini'!$DH:$DH,'Area-Cabang'!$E106,'CWO Bulan Ini'!$CZ:$CZ,'Area-Cabang'!AH$41)</f>
        <v>0</v>
      </c>
      <c r="AI106" s="42">
        <f>SUMIFS('CWO Bulan Ini'!$DA:$DA,'CWO Bulan Ini'!$DJ:$DJ,'Area-Cabang'!$B106,'CWO Bulan Ini'!$DH:$DH,'Area-Cabang'!$E106,'CWO Bulan Ini'!$CZ:$CZ,'Area-Cabang'!AI$41)</f>
        <v>0</v>
      </c>
      <c r="AJ106" s="42">
        <f>SUMIFS('CWO Bulan Ini'!$DA:$DA,'CWO Bulan Ini'!$DJ:$DJ,'Area-Cabang'!$B106,'CWO Bulan Ini'!$DH:$DH,'Area-Cabang'!$E106,'CWO Bulan Ini'!$CZ:$CZ,'Area-Cabang'!AJ$41)</f>
        <v>0</v>
      </c>
      <c r="AK106" s="41">
        <f>SUMIFS('CWO Bulan Ini'!$DD:$DD,'CWO Bulan Ini'!$DJ:$DJ,'Area-Cabang'!$B106,'CWO Bulan Ini'!$DH:$DH,'Area-Cabang'!$E106,'CWO Bulan Ini'!$CZ:$CZ,'Area-Cabang'!AK$41)</f>
        <v>0</v>
      </c>
      <c r="AL106" s="42">
        <f>SUMIFS('CWO Bulan Ini'!$DD:$DD,'CWO Bulan Ini'!$DJ:$DJ,'Area-Cabang'!$B106,'CWO Bulan Ini'!$DH:$DH,'Area-Cabang'!$E106,'CWO Bulan Ini'!$CZ:$CZ,'Area-Cabang'!AL$41)</f>
        <v>0</v>
      </c>
      <c r="AM106" s="42">
        <f>SUMIFS('CWO Bulan Ini'!$DD:$DD,'CWO Bulan Ini'!$DJ:$DJ,'Area-Cabang'!$B106,'CWO Bulan Ini'!$DH:$DH,'Area-Cabang'!$E106,'CWO Bulan Ini'!$CZ:$CZ,'Area-Cabang'!AM$41)</f>
        <v>0</v>
      </c>
      <c r="AN106" s="42">
        <f>SUMIFS('CWO Bulan Ini'!$DD:$DD,'CWO Bulan Ini'!$DJ:$DJ,'Area-Cabang'!$B106,'CWO Bulan Ini'!$DH:$DH,'Area-Cabang'!$E106,'CWO Bulan Ini'!$CZ:$CZ,'Area-Cabang'!AN$41)</f>
        <v>0</v>
      </c>
      <c r="AO106" s="42">
        <f>SUMIFS('CWO Bulan Ini'!$DD:$DD,'CWO Bulan Ini'!$DJ:$DJ,'Area-Cabang'!$B106,'CWO Bulan Ini'!$DH:$DH,'Area-Cabang'!$E106,'CWO Bulan Ini'!$CZ:$CZ,'Area-Cabang'!AO$41)</f>
        <v>0</v>
      </c>
      <c r="AP106" s="42">
        <f>SUMIFS('CWO Bulan Ini'!$DD:$DD,'CWO Bulan Ini'!$DJ:$DJ,'Area-Cabang'!$B106,'CWO Bulan Ini'!$DH:$DH,'Area-Cabang'!$E106,'CWO Bulan Ini'!$CZ:$CZ,'Area-Cabang'!AP$41)</f>
        <v>0</v>
      </c>
      <c r="AQ106" s="42">
        <f>SUMIFS('CWO Bulan Ini'!$DD:$DD,'CWO Bulan Ini'!$DJ:$DJ,'Area-Cabang'!$B106,'CWO Bulan Ini'!$DH:$DH,'Area-Cabang'!$E106,'CWO Bulan Ini'!$CZ:$CZ,'Area-Cabang'!AQ$41)</f>
        <v>0</v>
      </c>
      <c r="AR106" s="42">
        <f>SUMIFS('CWO Bulan Ini'!$DD:$DD,'CWO Bulan Ini'!$DJ:$DJ,'Area-Cabang'!$B106,'CWO Bulan Ini'!$DH:$DH,'Area-Cabang'!$E106,'CWO Bulan Ini'!$CZ:$CZ,'Area-Cabang'!AR$41)</f>
        <v>0</v>
      </c>
      <c r="AS106" s="42">
        <f>SUMIFS('CWO Bulan Ini'!$DD:$DD,'CWO Bulan Ini'!$DJ:$DJ,'Area-Cabang'!$B106,'CWO Bulan Ini'!$DH:$DH,'Area-Cabang'!$E106,'CWO Bulan Ini'!$CZ:$CZ,'Area-Cabang'!AS$41)</f>
        <v>0</v>
      </c>
      <c r="AT106" s="42">
        <f>SUMIFS('CWO Bulan Ini'!$DD:$DD,'CWO Bulan Ini'!$DJ:$DJ,'Area-Cabang'!$B106,'CWO Bulan Ini'!$DH:$DH,'Area-Cabang'!$E106,'CWO Bulan Ini'!$CZ:$CZ,'Area-Cabang'!AT$41)</f>
        <v>0</v>
      </c>
      <c r="AU106" s="42">
        <f>SUMIFS('CWO Bulan Ini'!$DD:$DD,'CWO Bulan Ini'!$DJ:$DJ,'Area-Cabang'!$B106,'CWO Bulan Ini'!$DH:$DH,'Area-Cabang'!$E106,'CWO Bulan Ini'!$CZ:$CZ,'Area-Cabang'!AU$41)</f>
        <v>0</v>
      </c>
      <c r="AV106" s="42">
        <f>SUMIFS('CWO Bulan Ini'!$DD:$DD,'CWO Bulan Ini'!$DJ:$DJ,'Area-Cabang'!$B106,'CWO Bulan Ini'!$DH:$DH,'Area-Cabang'!$E106,'CWO Bulan Ini'!$CZ:$CZ,'Area-Cabang'!AV$41)</f>
        <v>0</v>
      </c>
      <c r="AW106" s="42">
        <f>SUMIFS('CWO Bulan Ini'!$DD:$DD,'CWO Bulan Ini'!$DJ:$DJ,'Area-Cabang'!$B106,'CWO Bulan Ini'!$DH:$DH,'Area-Cabang'!$E106,'CWO Bulan Ini'!$CZ:$CZ,'Area-Cabang'!AW$41)</f>
        <v>0</v>
      </c>
      <c r="AX106" s="42">
        <f>SUMIFS('CWO Bulan Ini'!$DD:$DD,'CWO Bulan Ini'!$DJ:$DJ,'Area-Cabang'!$B106,'CWO Bulan Ini'!$DH:$DH,'Area-Cabang'!$E106,'CWO Bulan Ini'!$CZ:$CZ,'Area-Cabang'!AX$41)</f>
        <v>0</v>
      </c>
      <c r="AY106" s="42">
        <f>SUMIFS('CWO Bulan Ini'!$DD:$DD,'CWO Bulan Ini'!$DJ:$DJ,'Area-Cabang'!$B106,'CWO Bulan Ini'!$DH:$DH,'Area-Cabang'!$E106,'CWO Bulan Ini'!$CZ:$CZ,'Area-Cabang'!AY$41)</f>
        <v>0</v>
      </c>
      <c r="AZ106" s="42">
        <f>SUMIFS('CWO Bulan Ini'!$DD:$DD,'CWO Bulan Ini'!$DJ:$DJ,'Area-Cabang'!$B106,'CWO Bulan Ini'!$DH:$DH,'Area-Cabang'!$E106,'CWO Bulan Ini'!$CZ:$CZ,'Area-Cabang'!AZ$41)</f>
        <v>0</v>
      </c>
      <c r="BA106" s="42">
        <f>SUMIFS('CWO Bulan Ini'!$DD:$DD,'CWO Bulan Ini'!$DJ:$DJ,'Area-Cabang'!$B106,'CWO Bulan Ini'!$DH:$DH,'Area-Cabang'!$E106,'CWO Bulan Ini'!$CZ:$CZ,'Area-Cabang'!BA$41)</f>
        <v>0</v>
      </c>
      <c r="BB106" s="42">
        <f>SUMIFS('CWO Bulan Ini'!$DD:$DD,'CWO Bulan Ini'!$DJ:$DJ,'Area-Cabang'!$B106,'CWO Bulan Ini'!$DH:$DH,'Area-Cabang'!$E106,'CWO Bulan Ini'!$CZ:$CZ,'Area-Cabang'!BB$41)</f>
        <v>0</v>
      </c>
      <c r="BC106" s="42">
        <f>SUMIFS('CWO Bulan Ini'!$DD:$DD,'CWO Bulan Ini'!$DJ:$DJ,'Area-Cabang'!$B106,'CWO Bulan Ini'!$DH:$DH,'Area-Cabang'!$E106,'CWO Bulan Ini'!$CZ:$CZ,'Area-Cabang'!BC$41)</f>
        <v>0</v>
      </c>
      <c r="BD106" s="42">
        <f>SUMIFS('CWO Bulan Ini'!$DD:$DD,'CWO Bulan Ini'!$DJ:$DJ,'Area-Cabang'!$B106,'CWO Bulan Ini'!$DH:$DH,'Area-Cabang'!$E106,'CWO Bulan Ini'!$CZ:$CZ,'Area-Cabang'!BD$41)</f>
        <v>0</v>
      </c>
      <c r="BE106" s="42">
        <f>SUMIFS('CWO Bulan Ini'!$DD:$DD,'CWO Bulan Ini'!$DJ:$DJ,'Area-Cabang'!$B106,'CWO Bulan Ini'!$DH:$DH,'Area-Cabang'!$E106,'CWO Bulan Ini'!$CZ:$CZ,'Area-Cabang'!BE$41)</f>
        <v>0</v>
      </c>
      <c r="BF106" s="42">
        <f>SUMIFS('CWO Bulan Ini'!$DD:$DD,'CWO Bulan Ini'!$DJ:$DJ,'Area-Cabang'!$B106,'CWO Bulan Ini'!$DH:$DH,'Area-Cabang'!$E106,'CWO Bulan Ini'!$CZ:$CZ,'Area-Cabang'!BF$41)</f>
        <v>0</v>
      </c>
      <c r="BG106" s="42">
        <f>SUMIFS('CWO Bulan Ini'!$DD:$DD,'CWO Bulan Ini'!$DJ:$DJ,'Area-Cabang'!$B106,'CWO Bulan Ini'!$DH:$DH,'Area-Cabang'!$E106,'CWO Bulan Ini'!$CZ:$CZ,'Area-Cabang'!BG$41)</f>
        <v>0</v>
      </c>
      <c r="BH106" s="42">
        <f>SUMIFS('CWO Bulan Ini'!$DD:$DD,'CWO Bulan Ini'!$DJ:$DJ,'Area-Cabang'!$B106,'CWO Bulan Ini'!$DH:$DH,'Area-Cabang'!$E106,'CWO Bulan Ini'!$CZ:$CZ,'Area-Cabang'!BH$41)</f>
        <v>0</v>
      </c>
      <c r="BI106" s="42">
        <f>SUMIFS('CWO Bulan Ini'!$DD:$DD,'CWO Bulan Ini'!$DJ:$DJ,'Area-Cabang'!$B106,'CWO Bulan Ini'!$DH:$DH,'Area-Cabang'!$E106,'CWO Bulan Ini'!$CZ:$CZ,'Area-Cabang'!BI$41)</f>
        <v>0</v>
      </c>
      <c r="BJ106" s="42">
        <f>SUMIFS('CWO Bulan Ini'!$DD:$DD,'CWO Bulan Ini'!$DJ:$DJ,'Area-Cabang'!$B106,'CWO Bulan Ini'!$DH:$DH,'Area-Cabang'!$E106,'CWO Bulan Ini'!$CZ:$CZ,'Area-Cabang'!BJ$41)</f>
        <v>0</v>
      </c>
      <c r="BK106" s="42">
        <f>SUMIFS('CWO Bulan Ini'!$DD:$DD,'CWO Bulan Ini'!$DJ:$DJ,'Area-Cabang'!$B106,'CWO Bulan Ini'!$DH:$DH,'Area-Cabang'!$E106,'CWO Bulan Ini'!$CZ:$CZ,'Area-Cabang'!BK$41)</f>
        <v>0</v>
      </c>
      <c r="BL106" s="42">
        <f>SUMIFS('CWO Bulan Ini'!$DD:$DD,'CWO Bulan Ini'!$DJ:$DJ,'Area-Cabang'!$B106,'CWO Bulan Ini'!$DH:$DH,'Area-Cabang'!$E106,'CWO Bulan Ini'!$CZ:$CZ,'Area-Cabang'!BL$41)</f>
        <v>0</v>
      </c>
      <c r="BM106" s="42">
        <f>SUMIFS('CWO Bulan Ini'!$DD:$DD,'CWO Bulan Ini'!$DJ:$DJ,'Area-Cabang'!$B106,'CWO Bulan Ini'!$DH:$DH,'Area-Cabang'!$E106,'CWO Bulan Ini'!$CZ:$CZ,'Area-Cabang'!BM$41)</f>
        <v>0</v>
      </c>
      <c r="BN106" s="42">
        <f>SUMIFS('CWO Bulan Ini'!$DD:$DD,'CWO Bulan Ini'!$DJ:$DJ,'Area-Cabang'!$B106,'CWO Bulan Ini'!$DH:$DH,'Area-Cabang'!$E106,'CWO Bulan Ini'!$CZ:$CZ,'Area-Cabang'!BN$41)</f>
        <v>0</v>
      </c>
      <c r="BO106" s="43">
        <f>SUMIFS('CWO Bulan Ini'!$DD:$DD,'CWO Bulan Ini'!$DJ:$DJ,'Area-Cabang'!$B106,'CWO Bulan Ini'!$DH:$DH,'Area-Cabang'!$E106,'CWO Bulan Ini'!$CZ:$CZ,'Area-Cabang'!BO$41)</f>
        <v>0</v>
      </c>
      <c r="BP106" s="41">
        <f>SUMIFS('CWO Bulan Ini'!$DC:$DC,'CWO Bulan Ini'!$DJ:$DJ,'Area-Cabang'!$B106,'CWO Bulan Ini'!$DH:$DH,'Area-Cabang'!$E106,'CWO Bulan Ini'!$CZ:$CZ,'Area-Cabang'!BP$41)</f>
        <v>0</v>
      </c>
      <c r="BQ106" s="42">
        <f>SUMIFS('CWO Bulan Ini'!$DC:$DC,'CWO Bulan Ini'!$DJ:$DJ,'Area-Cabang'!$B106,'CWO Bulan Ini'!$DH:$DH,'Area-Cabang'!$E106,'CWO Bulan Ini'!$CZ:$CZ,'Area-Cabang'!BQ$41)</f>
        <v>0</v>
      </c>
      <c r="BR106" s="42">
        <f>SUMIFS('CWO Bulan Ini'!$DC:$DC,'CWO Bulan Ini'!$DJ:$DJ,'Area-Cabang'!$B106,'CWO Bulan Ini'!$DH:$DH,'Area-Cabang'!$E106,'CWO Bulan Ini'!$CZ:$CZ,'Area-Cabang'!BR$41)</f>
        <v>0</v>
      </c>
      <c r="BS106" s="42">
        <f>SUMIFS('CWO Bulan Ini'!$DC:$DC,'CWO Bulan Ini'!$DJ:$DJ,'Area-Cabang'!$B106,'CWO Bulan Ini'!$DH:$DH,'Area-Cabang'!$E106,'CWO Bulan Ini'!$CZ:$CZ,'Area-Cabang'!BS$41)</f>
        <v>0</v>
      </c>
      <c r="BT106" s="42">
        <f>SUMIFS('CWO Bulan Ini'!$DC:$DC,'CWO Bulan Ini'!$DJ:$DJ,'Area-Cabang'!$B106,'CWO Bulan Ini'!$DH:$DH,'Area-Cabang'!$E106,'CWO Bulan Ini'!$CZ:$CZ,'Area-Cabang'!BT$41)</f>
        <v>0</v>
      </c>
      <c r="BU106" s="42">
        <f>SUMIFS('CWO Bulan Ini'!$DC:$DC,'CWO Bulan Ini'!$DJ:$DJ,'Area-Cabang'!$B106,'CWO Bulan Ini'!$DH:$DH,'Area-Cabang'!$E106,'CWO Bulan Ini'!$CZ:$CZ,'Area-Cabang'!BU$41)</f>
        <v>0</v>
      </c>
      <c r="BV106" s="42">
        <f>SUMIFS('CWO Bulan Ini'!$DC:$DC,'CWO Bulan Ini'!$DJ:$DJ,'Area-Cabang'!$B106,'CWO Bulan Ini'!$DH:$DH,'Area-Cabang'!$E106,'CWO Bulan Ini'!$CZ:$CZ,'Area-Cabang'!BV$41)</f>
        <v>0</v>
      </c>
      <c r="BW106" s="42">
        <f>SUMIFS('CWO Bulan Ini'!$DC:$DC,'CWO Bulan Ini'!$DJ:$DJ,'Area-Cabang'!$B106,'CWO Bulan Ini'!$DH:$DH,'Area-Cabang'!$E106,'CWO Bulan Ini'!$CZ:$CZ,'Area-Cabang'!BW$41)</f>
        <v>0</v>
      </c>
      <c r="BX106" s="42">
        <f>SUMIFS('CWO Bulan Ini'!$DC:$DC,'CWO Bulan Ini'!$DJ:$DJ,'Area-Cabang'!$B106,'CWO Bulan Ini'!$DH:$DH,'Area-Cabang'!$E106,'CWO Bulan Ini'!$CZ:$CZ,'Area-Cabang'!BX$41)</f>
        <v>0</v>
      </c>
      <c r="BY106" s="42">
        <f>SUMIFS('CWO Bulan Ini'!$DC:$DC,'CWO Bulan Ini'!$DJ:$DJ,'Area-Cabang'!$B106,'CWO Bulan Ini'!$DH:$DH,'Area-Cabang'!$E106,'CWO Bulan Ini'!$CZ:$CZ,'Area-Cabang'!BY$41)</f>
        <v>0</v>
      </c>
      <c r="BZ106" s="42">
        <f>SUMIFS('CWO Bulan Ini'!$DC:$DC,'CWO Bulan Ini'!$DJ:$DJ,'Area-Cabang'!$B106,'CWO Bulan Ini'!$DH:$DH,'Area-Cabang'!$E106,'CWO Bulan Ini'!$CZ:$CZ,'Area-Cabang'!BZ$41)</f>
        <v>0</v>
      </c>
      <c r="CA106" s="42">
        <f>SUMIFS('CWO Bulan Ini'!$DC:$DC,'CWO Bulan Ini'!$DJ:$DJ,'Area-Cabang'!$B106,'CWO Bulan Ini'!$DH:$DH,'Area-Cabang'!$E106,'CWO Bulan Ini'!$CZ:$CZ,'Area-Cabang'!CA$41)</f>
        <v>0</v>
      </c>
      <c r="CB106" s="42">
        <f>SUMIFS('CWO Bulan Ini'!$DC:$DC,'CWO Bulan Ini'!$DJ:$DJ,'Area-Cabang'!$B106,'CWO Bulan Ini'!$DH:$DH,'Area-Cabang'!$E106,'CWO Bulan Ini'!$CZ:$CZ,'Area-Cabang'!CB$41)</f>
        <v>0</v>
      </c>
      <c r="CC106" s="42">
        <f>SUMIFS('CWO Bulan Ini'!$DC:$DC,'CWO Bulan Ini'!$DJ:$DJ,'Area-Cabang'!$B106,'CWO Bulan Ini'!$DH:$DH,'Area-Cabang'!$E106,'CWO Bulan Ini'!$CZ:$CZ,'Area-Cabang'!CC$41)</f>
        <v>0</v>
      </c>
      <c r="CD106" s="42">
        <f>SUMIFS('CWO Bulan Ini'!$DC:$DC,'CWO Bulan Ini'!$DJ:$DJ,'Area-Cabang'!$B106,'CWO Bulan Ini'!$DH:$DH,'Area-Cabang'!$E106,'CWO Bulan Ini'!$CZ:$CZ,'Area-Cabang'!CD$41)</f>
        <v>0</v>
      </c>
      <c r="CE106" s="42">
        <f>SUMIFS('CWO Bulan Ini'!$DC:$DC,'CWO Bulan Ini'!$DJ:$DJ,'Area-Cabang'!$B106,'CWO Bulan Ini'!$DH:$DH,'Area-Cabang'!$E106,'CWO Bulan Ini'!$CZ:$CZ,'Area-Cabang'!CE$41)</f>
        <v>0</v>
      </c>
      <c r="CF106" s="42">
        <f>SUMIFS('CWO Bulan Ini'!$DC:$DC,'CWO Bulan Ini'!$DJ:$DJ,'Area-Cabang'!$B106,'CWO Bulan Ini'!$DH:$DH,'Area-Cabang'!$E106,'CWO Bulan Ini'!$CZ:$CZ,'Area-Cabang'!CF$41)</f>
        <v>0</v>
      </c>
      <c r="CG106" s="42">
        <f>SUMIFS('CWO Bulan Ini'!$DC:$DC,'CWO Bulan Ini'!$DJ:$DJ,'Area-Cabang'!$B106,'CWO Bulan Ini'!$DH:$DH,'Area-Cabang'!$E106,'CWO Bulan Ini'!$CZ:$CZ,'Area-Cabang'!CG$41)</f>
        <v>0</v>
      </c>
      <c r="CH106" s="42">
        <f>SUMIFS('CWO Bulan Ini'!$DC:$DC,'CWO Bulan Ini'!$DJ:$DJ,'Area-Cabang'!$B106,'CWO Bulan Ini'!$DH:$DH,'Area-Cabang'!$E106,'CWO Bulan Ini'!$CZ:$CZ,'Area-Cabang'!CH$41)</f>
        <v>0</v>
      </c>
      <c r="CI106" s="42">
        <f>SUMIFS('CWO Bulan Ini'!$DC:$DC,'CWO Bulan Ini'!$DJ:$DJ,'Area-Cabang'!$B106,'CWO Bulan Ini'!$DH:$DH,'Area-Cabang'!$E106,'CWO Bulan Ini'!$CZ:$CZ,'Area-Cabang'!CI$41)</f>
        <v>0</v>
      </c>
      <c r="CJ106" s="42">
        <f>SUMIFS('CWO Bulan Ini'!$DC:$DC,'CWO Bulan Ini'!$DJ:$DJ,'Area-Cabang'!$B106,'CWO Bulan Ini'!$DH:$DH,'Area-Cabang'!$E106,'CWO Bulan Ini'!$CZ:$CZ,'Area-Cabang'!CJ$41)</f>
        <v>0</v>
      </c>
      <c r="CK106" s="42">
        <f>SUMIFS('CWO Bulan Ini'!$DC:$DC,'CWO Bulan Ini'!$DJ:$DJ,'Area-Cabang'!$B106,'CWO Bulan Ini'!$DH:$DH,'Area-Cabang'!$E106,'CWO Bulan Ini'!$CZ:$CZ,'Area-Cabang'!CK$41)</f>
        <v>0</v>
      </c>
      <c r="CL106" s="42">
        <f>SUMIFS('CWO Bulan Ini'!$DC:$DC,'CWO Bulan Ini'!$DJ:$DJ,'Area-Cabang'!$B106,'CWO Bulan Ini'!$DH:$DH,'Area-Cabang'!$E106,'CWO Bulan Ini'!$CZ:$CZ,'Area-Cabang'!CL$41)</f>
        <v>0</v>
      </c>
      <c r="CM106" s="42">
        <f>SUMIFS('CWO Bulan Ini'!$DC:$DC,'CWO Bulan Ini'!$DJ:$DJ,'Area-Cabang'!$B106,'CWO Bulan Ini'!$DH:$DH,'Area-Cabang'!$E106,'CWO Bulan Ini'!$CZ:$CZ,'Area-Cabang'!CM$41)</f>
        <v>0</v>
      </c>
      <c r="CN106" s="42">
        <f>SUMIFS('CWO Bulan Ini'!$DC:$DC,'CWO Bulan Ini'!$DJ:$DJ,'Area-Cabang'!$B106,'CWO Bulan Ini'!$DH:$DH,'Area-Cabang'!$E106,'CWO Bulan Ini'!$CZ:$CZ,'Area-Cabang'!CN$41)</f>
        <v>0</v>
      </c>
      <c r="CO106" s="42">
        <f>SUMIFS('CWO Bulan Ini'!$DC:$DC,'CWO Bulan Ini'!$DJ:$DJ,'Area-Cabang'!$B106,'CWO Bulan Ini'!$DH:$DH,'Area-Cabang'!$E106,'CWO Bulan Ini'!$CZ:$CZ,'Area-Cabang'!CO$41)</f>
        <v>0</v>
      </c>
      <c r="CP106" s="42">
        <f>SUMIFS('CWO Bulan Ini'!$DC:$DC,'CWO Bulan Ini'!$DJ:$DJ,'Area-Cabang'!$B106,'CWO Bulan Ini'!$DH:$DH,'Area-Cabang'!$E106,'CWO Bulan Ini'!$CZ:$CZ,'Area-Cabang'!CP$41)</f>
        <v>0</v>
      </c>
      <c r="CQ106" s="42">
        <f>SUMIFS('CWO Bulan Ini'!$DC:$DC,'CWO Bulan Ini'!$DJ:$DJ,'Area-Cabang'!$B106,'CWO Bulan Ini'!$DH:$DH,'Area-Cabang'!$E106,'CWO Bulan Ini'!$CZ:$CZ,'Area-Cabang'!CQ$41)</f>
        <v>0</v>
      </c>
      <c r="CR106" s="42">
        <f>SUMIFS('CWO Bulan Ini'!$DC:$DC,'CWO Bulan Ini'!$DJ:$DJ,'Area-Cabang'!$B106,'CWO Bulan Ini'!$DH:$DH,'Area-Cabang'!$E106,'CWO Bulan Ini'!$CZ:$CZ,'Area-Cabang'!CR$41)</f>
        <v>0</v>
      </c>
      <c r="CS106" s="42">
        <f>SUMIFS('CWO Bulan Ini'!$DC:$DC,'CWO Bulan Ini'!$DJ:$DJ,'Area-Cabang'!$B106,'CWO Bulan Ini'!$DH:$DH,'Area-Cabang'!$E106,'CWO Bulan Ini'!$CZ:$CZ,'Area-Cabang'!CS$41)</f>
        <v>0</v>
      </c>
      <c r="CT106" s="43">
        <f>SUMIFS('CWO Bulan Ini'!$DC:$DC,'CWO Bulan Ini'!$DJ:$DJ,'Area-Cabang'!$B106,'CWO Bulan Ini'!$DH:$DH,'Area-Cabang'!$E106,'CWO Bulan Ini'!$CZ:$CZ,'Area-Cabang'!CT$41)</f>
        <v>0</v>
      </c>
      <c r="CV106" s="96">
        <f t="shared" si="3144"/>
        <v>0</v>
      </c>
      <c r="CW106" s="93">
        <f t="shared" si="3145"/>
        <v>0</v>
      </c>
      <c r="CX106" s="93">
        <f t="shared" si="3146"/>
        <v>0</v>
      </c>
      <c r="CY106" s="93">
        <f t="shared" si="3147"/>
        <v>0</v>
      </c>
      <c r="CZ106" s="106">
        <f t="shared" si="3148"/>
        <v>0</v>
      </c>
    </row>
    <row r="107" spans="1:104" ht="15" customHeight="1" x14ac:dyDescent="0.25">
      <c r="A107" s="58" t="s">
        <v>448</v>
      </c>
      <c r="B107" s="53" t="s">
        <v>828</v>
      </c>
      <c r="C107" s="250"/>
      <c r="D107" s="227" t="s">
        <v>828</v>
      </c>
      <c r="E107" s="228"/>
      <c r="F107" s="219">
        <f t="shared" ref="F107" si="3149">SUM(F105:F106)</f>
        <v>0</v>
      </c>
      <c r="G107" s="220">
        <f t="shared" ref="G107" si="3150">SUM(G105:G106)</f>
        <v>0</v>
      </c>
      <c r="H107" s="220">
        <f t="shared" ref="H107" si="3151">SUM(H105:H106)</f>
        <v>0</v>
      </c>
      <c r="I107" s="220">
        <f t="shared" ref="I107" si="3152">SUM(I105:I106)</f>
        <v>229.43116389000002</v>
      </c>
      <c r="J107" s="220">
        <f t="shared" ref="J107" si="3153">SUM(J105:J106)</f>
        <v>0</v>
      </c>
      <c r="K107" s="220">
        <f t="shared" ref="K107" si="3154">SUM(K105:K106)</f>
        <v>0</v>
      </c>
      <c r="L107" s="220">
        <f t="shared" ref="L107" si="3155">SUM(L105:L106)</f>
        <v>0</v>
      </c>
      <c r="M107" s="220">
        <f t="shared" ref="M107" si="3156">SUM(M105:M106)</f>
        <v>0</v>
      </c>
      <c r="N107" s="220">
        <f t="shared" ref="N107" si="3157">SUM(N105:N106)</f>
        <v>0</v>
      </c>
      <c r="O107" s="220">
        <f t="shared" ref="O107" si="3158">SUM(O105:O106)</f>
        <v>84.137101939999994</v>
      </c>
      <c r="P107" s="220">
        <f t="shared" ref="P107" si="3159">SUM(P105:P106)</f>
        <v>0</v>
      </c>
      <c r="Q107" s="220">
        <f t="shared" ref="Q107" si="3160">SUM(Q105:Q106)</f>
        <v>0</v>
      </c>
      <c r="R107" s="220">
        <f t="shared" ref="R107" si="3161">SUM(R105:R106)</f>
        <v>0</v>
      </c>
      <c r="S107" s="220">
        <f t="shared" ref="S107" si="3162">SUM(S105:S106)</f>
        <v>0</v>
      </c>
      <c r="T107" s="220">
        <f t="shared" ref="T107" si="3163">SUM(T105:T106)</f>
        <v>0</v>
      </c>
      <c r="U107" s="220">
        <f t="shared" ref="U107" si="3164">SUM(U105:U106)</f>
        <v>0</v>
      </c>
      <c r="V107" s="220">
        <f t="shared" ref="V107" si="3165">SUM(V105:V106)</f>
        <v>0</v>
      </c>
      <c r="W107" s="220">
        <f t="shared" ref="W107" si="3166">SUM(W105:W106)</f>
        <v>95.816002810000001</v>
      </c>
      <c r="X107" s="220">
        <f t="shared" ref="X107" si="3167">SUM(X105:X106)</f>
        <v>0</v>
      </c>
      <c r="Y107" s="220">
        <f t="shared" ref="Y107" si="3168">SUM(Y105:Y106)</f>
        <v>0</v>
      </c>
      <c r="Z107" s="220">
        <f t="shared" ref="Z107" si="3169">SUM(Z105:Z106)</f>
        <v>0</v>
      </c>
      <c r="AA107" s="220">
        <f t="shared" ref="AA107" si="3170">SUM(AA105:AA106)</f>
        <v>0</v>
      </c>
      <c r="AB107" s="220">
        <f t="shared" ref="AB107" si="3171">SUM(AB105:AB106)</f>
        <v>0</v>
      </c>
      <c r="AC107" s="220">
        <f t="shared" ref="AC107" si="3172">SUM(AC105:AC106)</f>
        <v>0</v>
      </c>
      <c r="AD107" s="220">
        <f t="shared" ref="AD107" si="3173">SUM(AD105:AD106)</f>
        <v>0</v>
      </c>
      <c r="AE107" s="220">
        <f t="shared" ref="AE107" si="3174">SUM(AE105:AE106)</f>
        <v>0</v>
      </c>
      <c r="AF107" s="220">
        <f t="shared" ref="AF107" si="3175">SUM(AF105:AF106)</f>
        <v>0</v>
      </c>
      <c r="AG107" s="220">
        <f t="shared" ref="AG107" si="3176">SUM(AG105:AG106)</f>
        <v>0</v>
      </c>
      <c r="AH107" s="220">
        <f t="shared" ref="AH107" si="3177">SUM(AH105:AH106)</f>
        <v>0</v>
      </c>
      <c r="AI107" s="220">
        <f t="shared" ref="AI107" si="3178">SUM(AI105:AI106)</f>
        <v>0</v>
      </c>
      <c r="AJ107" s="220">
        <f t="shared" ref="AJ107" si="3179">SUM(AJ105:AJ106)</f>
        <v>0</v>
      </c>
      <c r="AK107" s="219">
        <f t="shared" ref="AK107" si="3180">SUM(AK105:AK106)</f>
        <v>0</v>
      </c>
      <c r="AL107" s="220">
        <f t="shared" ref="AL107" si="3181">SUM(AL105:AL106)</f>
        <v>0</v>
      </c>
      <c r="AM107" s="220">
        <f t="shared" ref="AM107" si="3182">SUM(AM105:AM106)</f>
        <v>0</v>
      </c>
      <c r="AN107" s="220">
        <f t="shared" ref="AN107" si="3183">SUM(AN105:AN106)</f>
        <v>229.43116389000002</v>
      </c>
      <c r="AO107" s="220">
        <f t="shared" ref="AO107" si="3184">SUM(AO105:AO106)</f>
        <v>0</v>
      </c>
      <c r="AP107" s="220">
        <f t="shared" ref="AP107" si="3185">SUM(AP105:AP106)</f>
        <v>0</v>
      </c>
      <c r="AQ107" s="220">
        <f t="shared" ref="AQ107" si="3186">SUM(AQ105:AQ106)</f>
        <v>0</v>
      </c>
      <c r="AR107" s="220">
        <f t="shared" ref="AR107" si="3187">SUM(AR105:AR106)</f>
        <v>0</v>
      </c>
      <c r="AS107" s="220">
        <f t="shared" ref="AS107" si="3188">SUM(AS105:AS106)</f>
        <v>0</v>
      </c>
      <c r="AT107" s="220">
        <f t="shared" ref="AT107" si="3189">SUM(AT105:AT106)</f>
        <v>0</v>
      </c>
      <c r="AU107" s="220">
        <f t="shared" ref="AU107" si="3190">SUM(AU105:AU106)</f>
        <v>0</v>
      </c>
      <c r="AV107" s="220">
        <f t="shared" ref="AV107" si="3191">SUM(AV105:AV106)</f>
        <v>0</v>
      </c>
      <c r="AW107" s="220">
        <f t="shared" ref="AW107" si="3192">SUM(AW105:AW106)</f>
        <v>0</v>
      </c>
      <c r="AX107" s="220">
        <f t="shared" ref="AX107" si="3193">SUM(AX105:AX106)</f>
        <v>0</v>
      </c>
      <c r="AY107" s="220">
        <f t="shared" ref="AY107" si="3194">SUM(AY105:AY106)</f>
        <v>0</v>
      </c>
      <c r="AZ107" s="220">
        <f t="shared" ref="AZ107" si="3195">SUM(AZ105:AZ106)</f>
        <v>0</v>
      </c>
      <c r="BA107" s="220">
        <f t="shared" ref="BA107" si="3196">SUM(BA105:BA106)</f>
        <v>0</v>
      </c>
      <c r="BB107" s="220">
        <f t="shared" ref="BB107" si="3197">SUM(BB105:BB106)</f>
        <v>0</v>
      </c>
      <c r="BC107" s="220">
        <f t="shared" ref="BC107" si="3198">SUM(BC105:BC106)</f>
        <v>0</v>
      </c>
      <c r="BD107" s="220">
        <f t="shared" ref="BD107" si="3199">SUM(BD105:BD106)</f>
        <v>0</v>
      </c>
      <c r="BE107" s="220">
        <f t="shared" ref="BE107" si="3200">SUM(BE105:BE106)</f>
        <v>0</v>
      </c>
      <c r="BF107" s="220">
        <f t="shared" ref="BF107" si="3201">SUM(BF105:BF106)</f>
        <v>0</v>
      </c>
      <c r="BG107" s="220">
        <f t="shared" ref="BG107" si="3202">SUM(BG105:BG106)</f>
        <v>0</v>
      </c>
      <c r="BH107" s="220">
        <f t="shared" ref="BH107" si="3203">SUM(BH105:BH106)</f>
        <v>0</v>
      </c>
      <c r="BI107" s="220">
        <f t="shared" ref="BI107" si="3204">SUM(BI105:BI106)</f>
        <v>0</v>
      </c>
      <c r="BJ107" s="220">
        <f t="shared" ref="BJ107" si="3205">SUM(BJ105:BJ106)</f>
        <v>0</v>
      </c>
      <c r="BK107" s="220">
        <f t="shared" ref="BK107" si="3206">SUM(BK105:BK106)</f>
        <v>0</v>
      </c>
      <c r="BL107" s="220">
        <f t="shared" ref="BL107" si="3207">SUM(BL105:BL106)</f>
        <v>0</v>
      </c>
      <c r="BM107" s="220">
        <f t="shared" ref="BM107" si="3208">SUM(BM105:BM106)</f>
        <v>0</v>
      </c>
      <c r="BN107" s="220">
        <f t="shared" ref="BN107" si="3209">SUM(BN105:BN106)</f>
        <v>0</v>
      </c>
      <c r="BO107" s="221">
        <f t="shared" ref="BO107" si="3210">SUM(BO105:BO106)</f>
        <v>0</v>
      </c>
      <c r="BP107" s="219">
        <f t="shared" ref="BP107" si="3211">SUM(BP105:BP106)</f>
        <v>0</v>
      </c>
      <c r="BQ107" s="220">
        <f t="shared" ref="BQ107" si="3212">SUM(BQ105:BQ106)</f>
        <v>0</v>
      </c>
      <c r="BR107" s="220">
        <f t="shared" ref="BR107" si="3213">SUM(BR105:BR106)</f>
        <v>0</v>
      </c>
      <c r="BS107" s="220">
        <f t="shared" ref="BS107" si="3214">SUM(BS105:BS106)</f>
        <v>0</v>
      </c>
      <c r="BT107" s="220">
        <f t="shared" ref="BT107" si="3215">SUM(BT105:BT106)</f>
        <v>0</v>
      </c>
      <c r="BU107" s="220">
        <f t="shared" ref="BU107" si="3216">SUM(BU105:BU106)</f>
        <v>0</v>
      </c>
      <c r="BV107" s="220">
        <f t="shared" ref="BV107" si="3217">SUM(BV105:BV106)</f>
        <v>0</v>
      </c>
      <c r="BW107" s="220">
        <f t="shared" ref="BW107" si="3218">SUM(BW105:BW106)</f>
        <v>0</v>
      </c>
      <c r="BX107" s="220">
        <f t="shared" ref="BX107" si="3219">SUM(BX105:BX106)</f>
        <v>0</v>
      </c>
      <c r="BY107" s="220">
        <f t="shared" ref="BY107" si="3220">SUM(BY105:BY106)</f>
        <v>0</v>
      </c>
      <c r="BZ107" s="220">
        <f t="shared" ref="BZ107" si="3221">SUM(BZ105:BZ106)</f>
        <v>0</v>
      </c>
      <c r="CA107" s="220">
        <f t="shared" ref="CA107" si="3222">SUM(CA105:CA106)</f>
        <v>0</v>
      </c>
      <c r="CB107" s="220">
        <f t="shared" ref="CB107" si="3223">SUM(CB105:CB106)</f>
        <v>0</v>
      </c>
      <c r="CC107" s="220">
        <f t="shared" ref="CC107" si="3224">SUM(CC105:CC106)</f>
        <v>0</v>
      </c>
      <c r="CD107" s="220">
        <f t="shared" ref="CD107" si="3225">SUM(CD105:CD106)</f>
        <v>0</v>
      </c>
      <c r="CE107" s="220">
        <f t="shared" ref="CE107" si="3226">SUM(CE105:CE106)</f>
        <v>0</v>
      </c>
      <c r="CF107" s="220">
        <f t="shared" ref="CF107" si="3227">SUM(CF105:CF106)</f>
        <v>0</v>
      </c>
      <c r="CG107" s="220">
        <f t="shared" ref="CG107" si="3228">SUM(CG105:CG106)</f>
        <v>0</v>
      </c>
      <c r="CH107" s="220">
        <f t="shared" ref="CH107" si="3229">SUM(CH105:CH106)</f>
        <v>0</v>
      </c>
      <c r="CI107" s="220">
        <f t="shared" ref="CI107" si="3230">SUM(CI105:CI106)</f>
        <v>0</v>
      </c>
      <c r="CJ107" s="220">
        <f t="shared" ref="CJ107" si="3231">SUM(CJ105:CJ106)</f>
        <v>0</v>
      </c>
      <c r="CK107" s="220">
        <f t="shared" ref="CK107" si="3232">SUM(CK105:CK106)</f>
        <v>0</v>
      </c>
      <c r="CL107" s="220">
        <f t="shared" ref="CL107" si="3233">SUM(CL105:CL106)</f>
        <v>0</v>
      </c>
      <c r="CM107" s="220">
        <f t="shared" ref="CM107" si="3234">SUM(CM105:CM106)</f>
        <v>0</v>
      </c>
      <c r="CN107" s="220">
        <f t="shared" ref="CN107" si="3235">SUM(CN105:CN106)</f>
        <v>0</v>
      </c>
      <c r="CO107" s="220">
        <f t="shared" ref="CO107" si="3236">SUM(CO105:CO106)</f>
        <v>0</v>
      </c>
      <c r="CP107" s="220">
        <f t="shared" ref="CP107" si="3237">SUM(CP105:CP106)</f>
        <v>0</v>
      </c>
      <c r="CQ107" s="220">
        <f t="shared" ref="CQ107" si="3238">SUM(CQ105:CQ106)</f>
        <v>0</v>
      </c>
      <c r="CR107" s="220">
        <f t="shared" ref="CR107" si="3239">SUM(CR105:CR106)</f>
        <v>0</v>
      </c>
      <c r="CS107" s="220">
        <f t="shared" ref="CS107" si="3240">SUM(CS105:CS106)</f>
        <v>0</v>
      </c>
      <c r="CT107" s="221">
        <f t="shared" ref="CT107" si="3241">SUM(CT105:CT106)</f>
        <v>0</v>
      </c>
      <c r="CU107" s="226"/>
      <c r="CV107" s="219">
        <f t="shared" ref="CV107" si="3242">SUM(CV105:CV106)</f>
        <v>409.38426864000002</v>
      </c>
      <c r="CW107" s="220">
        <f t="shared" ref="CW107" si="3243">SUM(CW105:CW106)</f>
        <v>229.43116389000002</v>
      </c>
      <c r="CX107" s="220">
        <f t="shared" ref="CX107" si="3244">SUM(CX105:CX106)</f>
        <v>0</v>
      </c>
      <c r="CY107" s="220">
        <f t="shared" ref="CY107" si="3245">SUM(CY105:CY106)</f>
        <v>179.95310474999999</v>
      </c>
      <c r="CZ107" s="222">
        <f t="shared" ref="CZ107" si="3246">SUM(CZ105:CZ106)</f>
        <v>409.38426864000002</v>
      </c>
    </row>
    <row r="108" spans="1:104" ht="15" customHeight="1" x14ac:dyDescent="0.25">
      <c r="A108" s="58" t="s">
        <v>448</v>
      </c>
      <c r="B108" s="53" t="s">
        <v>280</v>
      </c>
      <c r="C108" s="250"/>
      <c r="D108" s="245" t="s">
        <v>280</v>
      </c>
      <c r="E108" s="85" t="s">
        <v>132</v>
      </c>
      <c r="F108" s="55">
        <f>SUMIFS('CWO Bulan Ini'!$DA:$DA,'CWO Bulan Ini'!$DJ:$DJ,'Area-Cabang'!$B108,'CWO Bulan Ini'!$DH:$DH,'Area-Cabang'!$E108,'CWO Bulan Ini'!$CZ:$CZ,'Area-Cabang'!F$41)</f>
        <v>0</v>
      </c>
      <c r="G108" s="56">
        <f>SUMIFS('CWO Bulan Ini'!$DA:$DA,'CWO Bulan Ini'!$DJ:$DJ,'Area-Cabang'!$B108,'CWO Bulan Ini'!$DH:$DH,'Area-Cabang'!$E108,'CWO Bulan Ini'!$CZ:$CZ,'Area-Cabang'!G$41)</f>
        <v>0</v>
      </c>
      <c r="H108" s="56">
        <f>SUMIFS('CWO Bulan Ini'!$DA:$DA,'CWO Bulan Ini'!$DJ:$DJ,'Area-Cabang'!$B108,'CWO Bulan Ini'!$DH:$DH,'Area-Cabang'!$E108,'CWO Bulan Ini'!$CZ:$CZ,'Area-Cabang'!H$41)</f>
        <v>0</v>
      </c>
      <c r="I108" s="56">
        <f>SUMIFS('CWO Bulan Ini'!$DA:$DA,'CWO Bulan Ini'!$DJ:$DJ,'Area-Cabang'!$B108,'CWO Bulan Ini'!$DH:$DH,'Area-Cabang'!$E108,'CWO Bulan Ini'!$CZ:$CZ,'Area-Cabang'!I$41)</f>
        <v>0</v>
      </c>
      <c r="J108" s="56">
        <f>SUMIFS('CWO Bulan Ini'!$DA:$DA,'CWO Bulan Ini'!$DJ:$DJ,'Area-Cabang'!$B108,'CWO Bulan Ini'!$DH:$DH,'Area-Cabang'!$E108,'CWO Bulan Ini'!$CZ:$CZ,'Area-Cabang'!J$41)</f>
        <v>0</v>
      </c>
      <c r="K108" s="56">
        <f>SUMIFS('CWO Bulan Ini'!$DA:$DA,'CWO Bulan Ini'!$DJ:$DJ,'Area-Cabang'!$B108,'CWO Bulan Ini'!$DH:$DH,'Area-Cabang'!$E108,'CWO Bulan Ini'!$CZ:$CZ,'Area-Cabang'!K$41)</f>
        <v>0</v>
      </c>
      <c r="L108" s="56">
        <f>SUMIFS('CWO Bulan Ini'!$DA:$DA,'CWO Bulan Ini'!$DJ:$DJ,'Area-Cabang'!$B108,'CWO Bulan Ini'!$DH:$DH,'Area-Cabang'!$E108,'CWO Bulan Ini'!$CZ:$CZ,'Area-Cabang'!L$41)</f>
        <v>146.98150742999999</v>
      </c>
      <c r="M108" s="56">
        <f>SUMIFS('CWO Bulan Ini'!$DA:$DA,'CWO Bulan Ini'!$DJ:$DJ,'Area-Cabang'!$B108,'CWO Bulan Ini'!$DH:$DH,'Area-Cabang'!$E108,'CWO Bulan Ini'!$CZ:$CZ,'Area-Cabang'!M$41)</f>
        <v>0</v>
      </c>
      <c r="N108" s="56">
        <f>SUMIFS('CWO Bulan Ini'!$DA:$DA,'CWO Bulan Ini'!$DJ:$DJ,'Area-Cabang'!$B108,'CWO Bulan Ini'!$DH:$DH,'Area-Cabang'!$E108,'CWO Bulan Ini'!$CZ:$CZ,'Area-Cabang'!N$41)</f>
        <v>0</v>
      </c>
      <c r="O108" s="56">
        <f>SUMIFS('CWO Bulan Ini'!$DA:$DA,'CWO Bulan Ini'!$DJ:$DJ,'Area-Cabang'!$B108,'CWO Bulan Ini'!$DH:$DH,'Area-Cabang'!$E108,'CWO Bulan Ini'!$CZ:$CZ,'Area-Cabang'!O$41)</f>
        <v>96.622118959999995</v>
      </c>
      <c r="P108" s="56">
        <f>SUMIFS('CWO Bulan Ini'!$DA:$DA,'CWO Bulan Ini'!$DJ:$DJ,'Area-Cabang'!$B108,'CWO Bulan Ini'!$DH:$DH,'Area-Cabang'!$E108,'CWO Bulan Ini'!$CZ:$CZ,'Area-Cabang'!P$41)</f>
        <v>0</v>
      </c>
      <c r="Q108" s="56">
        <f>SUMIFS('CWO Bulan Ini'!$DA:$DA,'CWO Bulan Ini'!$DJ:$DJ,'Area-Cabang'!$B108,'CWO Bulan Ini'!$DH:$DH,'Area-Cabang'!$E108,'CWO Bulan Ini'!$CZ:$CZ,'Area-Cabang'!Q$41)</f>
        <v>0</v>
      </c>
      <c r="R108" s="56">
        <f>SUMIFS('CWO Bulan Ini'!$DA:$DA,'CWO Bulan Ini'!$DJ:$DJ,'Area-Cabang'!$B108,'CWO Bulan Ini'!$DH:$DH,'Area-Cabang'!$E108,'CWO Bulan Ini'!$CZ:$CZ,'Area-Cabang'!R$41)</f>
        <v>0</v>
      </c>
      <c r="S108" s="56">
        <f>SUMIFS('CWO Bulan Ini'!$DA:$DA,'CWO Bulan Ini'!$DJ:$DJ,'Area-Cabang'!$B108,'CWO Bulan Ini'!$DH:$DH,'Area-Cabang'!$E108,'CWO Bulan Ini'!$CZ:$CZ,'Area-Cabang'!S$41)</f>
        <v>57.360339500000002</v>
      </c>
      <c r="T108" s="56">
        <f>SUMIFS('CWO Bulan Ini'!$DA:$DA,'CWO Bulan Ini'!$DJ:$DJ,'Area-Cabang'!$B108,'CWO Bulan Ini'!$DH:$DH,'Area-Cabang'!$E108,'CWO Bulan Ini'!$CZ:$CZ,'Area-Cabang'!T$41)</f>
        <v>0</v>
      </c>
      <c r="U108" s="56">
        <f>SUMIFS('CWO Bulan Ini'!$DA:$DA,'CWO Bulan Ini'!$DJ:$DJ,'Area-Cabang'!$B108,'CWO Bulan Ini'!$DH:$DH,'Area-Cabang'!$E108,'CWO Bulan Ini'!$CZ:$CZ,'Area-Cabang'!U$41)</f>
        <v>0</v>
      </c>
      <c r="V108" s="56">
        <f>SUMIFS('CWO Bulan Ini'!$DA:$DA,'CWO Bulan Ini'!$DJ:$DJ,'Area-Cabang'!$B108,'CWO Bulan Ini'!$DH:$DH,'Area-Cabang'!$E108,'CWO Bulan Ini'!$CZ:$CZ,'Area-Cabang'!V$41)</f>
        <v>0</v>
      </c>
      <c r="W108" s="56">
        <f>SUMIFS('CWO Bulan Ini'!$DA:$DA,'CWO Bulan Ini'!$DJ:$DJ,'Area-Cabang'!$B108,'CWO Bulan Ini'!$DH:$DH,'Area-Cabang'!$E108,'CWO Bulan Ini'!$CZ:$CZ,'Area-Cabang'!W$41)</f>
        <v>0</v>
      </c>
      <c r="X108" s="56">
        <f>SUMIFS('CWO Bulan Ini'!$DA:$DA,'CWO Bulan Ini'!$DJ:$DJ,'Area-Cabang'!$B108,'CWO Bulan Ini'!$DH:$DH,'Area-Cabang'!$E108,'CWO Bulan Ini'!$CZ:$CZ,'Area-Cabang'!X$41)</f>
        <v>0</v>
      </c>
      <c r="Y108" s="56">
        <f>SUMIFS('CWO Bulan Ini'!$DA:$DA,'CWO Bulan Ini'!$DJ:$DJ,'Area-Cabang'!$B108,'CWO Bulan Ini'!$DH:$DH,'Area-Cabang'!$E108,'CWO Bulan Ini'!$CZ:$CZ,'Area-Cabang'!Y$41)</f>
        <v>0</v>
      </c>
      <c r="Z108" s="56">
        <f>SUMIFS('CWO Bulan Ini'!$DA:$DA,'CWO Bulan Ini'!$DJ:$DJ,'Area-Cabang'!$B108,'CWO Bulan Ini'!$DH:$DH,'Area-Cabang'!$E108,'CWO Bulan Ini'!$CZ:$CZ,'Area-Cabang'!Z$41)</f>
        <v>0</v>
      </c>
      <c r="AA108" s="56">
        <f>SUMIFS('CWO Bulan Ini'!$DA:$DA,'CWO Bulan Ini'!$DJ:$DJ,'Area-Cabang'!$B108,'CWO Bulan Ini'!$DH:$DH,'Area-Cabang'!$E108,'CWO Bulan Ini'!$CZ:$CZ,'Area-Cabang'!AA$41)</f>
        <v>0</v>
      </c>
      <c r="AB108" s="56">
        <f>SUMIFS('CWO Bulan Ini'!$DA:$DA,'CWO Bulan Ini'!$DJ:$DJ,'Area-Cabang'!$B108,'CWO Bulan Ini'!$DH:$DH,'Area-Cabang'!$E108,'CWO Bulan Ini'!$CZ:$CZ,'Area-Cabang'!AB$41)</f>
        <v>0</v>
      </c>
      <c r="AC108" s="56">
        <f>SUMIFS('CWO Bulan Ini'!$DA:$DA,'CWO Bulan Ini'!$DJ:$DJ,'Area-Cabang'!$B108,'CWO Bulan Ini'!$DH:$DH,'Area-Cabang'!$E108,'CWO Bulan Ini'!$CZ:$CZ,'Area-Cabang'!AC$41)</f>
        <v>0</v>
      </c>
      <c r="AD108" s="56">
        <f>SUMIFS('CWO Bulan Ini'!$DA:$DA,'CWO Bulan Ini'!$DJ:$DJ,'Area-Cabang'!$B108,'CWO Bulan Ini'!$DH:$DH,'Area-Cabang'!$E108,'CWO Bulan Ini'!$CZ:$CZ,'Area-Cabang'!AD$41)</f>
        <v>0</v>
      </c>
      <c r="AE108" s="56">
        <f>SUMIFS('CWO Bulan Ini'!$DA:$DA,'CWO Bulan Ini'!$DJ:$DJ,'Area-Cabang'!$B108,'CWO Bulan Ini'!$DH:$DH,'Area-Cabang'!$E108,'CWO Bulan Ini'!$CZ:$CZ,'Area-Cabang'!AE$41)</f>
        <v>0</v>
      </c>
      <c r="AF108" s="56">
        <f>SUMIFS('CWO Bulan Ini'!$DA:$DA,'CWO Bulan Ini'!$DJ:$DJ,'Area-Cabang'!$B108,'CWO Bulan Ini'!$DH:$DH,'Area-Cabang'!$E108,'CWO Bulan Ini'!$CZ:$CZ,'Area-Cabang'!AF$41)</f>
        <v>0</v>
      </c>
      <c r="AG108" s="56">
        <f>SUMIFS('CWO Bulan Ini'!$DA:$DA,'CWO Bulan Ini'!$DJ:$DJ,'Area-Cabang'!$B108,'CWO Bulan Ini'!$DH:$DH,'Area-Cabang'!$E108,'CWO Bulan Ini'!$CZ:$CZ,'Area-Cabang'!AG$41)</f>
        <v>0</v>
      </c>
      <c r="AH108" s="56">
        <f>SUMIFS('CWO Bulan Ini'!$DA:$DA,'CWO Bulan Ini'!$DJ:$DJ,'Area-Cabang'!$B108,'CWO Bulan Ini'!$DH:$DH,'Area-Cabang'!$E108,'CWO Bulan Ini'!$CZ:$CZ,'Area-Cabang'!AH$41)</f>
        <v>0</v>
      </c>
      <c r="AI108" s="56">
        <f>SUMIFS('CWO Bulan Ini'!$DA:$DA,'CWO Bulan Ini'!$DJ:$DJ,'Area-Cabang'!$B108,'CWO Bulan Ini'!$DH:$DH,'Area-Cabang'!$E108,'CWO Bulan Ini'!$CZ:$CZ,'Area-Cabang'!AI$41)</f>
        <v>0</v>
      </c>
      <c r="AJ108" s="56">
        <f>SUMIFS('CWO Bulan Ini'!$DA:$DA,'CWO Bulan Ini'!$DJ:$DJ,'Area-Cabang'!$B108,'CWO Bulan Ini'!$DH:$DH,'Area-Cabang'!$E108,'CWO Bulan Ini'!$CZ:$CZ,'Area-Cabang'!AJ$41)</f>
        <v>0</v>
      </c>
      <c r="AK108" s="55">
        <f>SUMIFS('CWO Bulan Ini'!$DD:$DD,'CWO Bulan Ini'!$DJ:$DJ,'Area-Cabang'!$B108,'CWO Bulan Ini'!$DH:$DH,'Area-Cabang'!$E108,'CWO Bulan Ini'!$CZ:$CZ,'Area-Cabang'!AK$41)</f>
        <v>0</v>
      </c>
      <c r="AL108" s="56">
        <f>SUMIFS('CWO Bulan Ini'!$DD:$DD,'CWO Bulan Ini'!$DJ:$DJ,'Area-Cabang'!$B108,'CWO Bulan Ini'!$DH:$DH,'Area-Cabang'!$E108,'CWO Bulan Ini'!$CZ:$CZ,'Area-Cabang'!AL$41)</f>
        <v>0</v>
      </c>
      <c r="AM108" s="56">
        <f>SUMIFS('CWO Bulan Ini'!$DD:$DD,'CWO Bulan Ini'!$DJ:$DJ,'Area-Cabang'!$B108,'CWO Bulan Ini'!$DH:$DH,'Area-Cabang'!$E108,'CWO Bulan Ini'!$CZ:$CZ,'Area-Cabang'!AM$41)</f>
        <v>0</v>
      </c>
      <c r="AN108" s="56">
        <f>SUMIFS('CWO Bulan Ini'!$DD:$DD,'CWO Bulan Ini'!$DJ:$DJ,'Area-Cabang'!$B108,'CWO Bulan Ini'!$DH:$DH,'Area-Cabang'!$E108,'CWO Bulan Ini'!$CZ:$CZ,'Area-Cabang'!AN$41)</f>
        <v>0</v>
      </c>
      <c r="AO108" s="56">
        <f>SUMIFS('CWO Bulan Ini'!$DD:$DD,'CWO Bulan Ini'!$DJ:$DJ,'Area-Cabang'!$B108,'CWO Bulan Ini'!$DH:$DH,'Area-Cabang'!$E108,'CWO Bulan Ini'!$CZ:$CZ,'Area-Cabang'!AO$41)</f>
        <v>0</v>
      </c>
      <c r="AP108" s="56">
        <f>SUMIFS('CWO Bulan Ini'!$DD:$DD,'CWO Bulan Ini'!$DJ:$DJ,'Area-Cabang'!$B108,'CWO Bulan Ini'!$DH:$DH,'Area-Cabang'!$E108,'CWO Bulan Ini'!$CZ:$CZ,'Area-Cabang'!AP$41)</f>
        <v>0</v>
      </c>
      <c r="AQ108" s="56">
        <f>SUMIFS('CWO Bulan Ini'!$DD:$DD,'CWO Bulan Ini'!$DJ:$DJ,'Area-Cabang'!$B108,'CWO Bulan Ini'!$DH:$DH,'Area-Cabang'!$E108,'CWO Bulan Ini'!$CZ:$CZ,'Area-Cabang'!AQ$41)</f>
        <v>146.98150742999999</v>
      </c>
      <c r="AR108" s="56">
        <f>SUMIFS('CWO Bulan Ini'!$DD:$DD,'CWO Bulan Ini'!$DJ:$DJ,'Area-Cabang'!$B108,'CWO Bulan Ini'!$DH:$DH,'Area-Cabang'!$E108,'CWO Bulan Ini'!$CZ:$CZ,'Area-Cabang'!AR$41)</f>
        <v>0</v>
      </c>
      <c r="AS108" s="56">
        <f>SUMIFS('CWO Bulan Ini'!$DD:$DD,'CWO Bulan Ini'!$DJ:$DJ,'Area-Cabang'!$B108,'CWO Bulan Ini'!$DH:$DH,'Area-Cabang'!$E108,'CWO Bulan Ini'!$CZ:$CZ,'Area-Cabang'!AS$41)</f>
        <v>0</v>
      </c>
      <c r="AT108" s="56">
        <f>SUMIFS('CWO Bulan Ini'!$DD:$DD,'CWO Bulan Ini'!$DJ:$DJ,'Area-Cabang'!$B108,'CWO Bulan Ini'!$DH:$DH,'Area-Cabang'!$E108,'CWO Bulan Ini'!$CZ:$CZ,'Area-Cabang'!AT$41)</f>
        <v>0</v>
      </c>
      <c r="AU108" s="56">
        <f>SUMIFS('CWO Bulan Ini'!$DD:$DD,'CWO Bulan Ini'!$DJ:$DJ,'Area-Cabang'!$B108,'CWO Bulan Ini'!$DH:$DH,'Area-Cabang'!$E108,'CWO Bulan Ini'!$CZ:$CZ,'Area-Cabang'!AU$41)</f>
        <v>0</v>
      </c>
      <c r="AV108" s="56">
        <f>SUMIFS('CWO Bulan Ini'!$DD:$DD,'CWO Bulan Ini'!$DJ:$DJ,'Area-Cabang'!$B108,'CWO Bulan Ini'!$DH:$DH,'Area-Cabang'!$E108,'CWO Bulan Ini'!$CZ:$CZ,'Area-Cabang'!AV$41)</f>
        <v>0</v>
      </c>
      <c r="AW108" s="56">
        <f>SUMIFS('CWO Bulan Ini'!$DD:$DD,'CWO Bulan Ini'!$DJ:$DJ,'Area-Cabang'!$B108,'CWO Bulan Ini'!$DH:$DH,'Area-Cabang'!$E108,'CWO Bulan Ini'!$CZ:$CZ,'Area-Cabang'!AW$41)</f>
        <v>0</v>
      </c>
      <c r="AX108" s="56">
        <f>SUMIFS('CWO Bulan Ini'!$DD:$DD,'CWO Bulan Ini'!$DJ:$DJ,'Area-Cabang'!$B108,'CWO Bulan Ini'!$DH:$DH,'Area-Cabang'!$E108,'CWO Bulan Ini'!$CZ:$CZ,'Area-Cabang'!AX$41)</f>
        <v>0</v>
      </c>
      <c r="AY108" s="56">
        <f>SUMIFS('CWO Bulan Ini'!$DD:$DD,'CWO Bulan Ini'!$DJ:$DJ,'Area-Cabang'!$B108,'CWO Bulan Ini'!$DH:$DH,'Area-Cabang'!$E108,'CWO Bulan Ini'!$CZ:$CZ,'Area-Cabang'!AY$41)</f>
        <v>0</v>
      </c>
      <c r="AZ108" s="56">
        <f>SUMIFS('CWO Bulan Ini'!$DD:$DD,'CWO Bulan Ini'!$DJ:$DJ,'Area-Cabang'!$B108,'CWO Bulan Ini'!$DH:$DH,'Area-Cabang'!$E108,'CWO Bulan Ini'!$CZ:$CZ,'Area-Cabang'!AZ$41)</f>
        <v>0</v>
      </c>
      <c r="BA108" s="56">
        <f>SUMIFS('CWO Bulan Ini'!$DD:$DD,'CWO Bulan Ini'!$DJ:$DJ,'Area-Cabang'!$B108,'CWO Bulan Ini'!$DH:$DH,'Area-Cabang'!$E108,'CWO Bulan Ini'!$CZ:$CZ,'Area-Cabang'!BA$41)</f>
        <v>0</v>
      </c>
      <c r="BB108" s="56">
        <f>SUMIFS('CWO Bulan Ini'!$DD:$DD,'CWO Bulan Ini'!$DJ:$DJ,'Area-Cabang'!$B108,'CWO Bulan Ini'!$DH:$DH,'Area-Cabang'!$E108,'CWO Bulan Ini'!$CZ:$CZ,'Area-Cabang'!BB$41)</f>
        <v>0</v>
      </c>
      <c r="BC108" s="56">
        <f>SUMIFS('CWO Bulan Ini'!$DD:$DD,'CWO Bulan Ini'!$DJ:$DJ,'Area-Cabang'!$B108,'CWO Bulan Ini'!$DH:$DH,'Area-Cabang'!$E108,'CWO Bulan Ini'!$CZ:$CZ,'Area-Cabang'!BC$41)</f>
        <v>0</v>
      </c>
      <c r="BD108" s="56">
        <f>SUMIFS('CWO Bulan Ini'!$DD:$DD,'CWO Bulan Ini'!$DJ:$DJ,'Area-Cabang'!$B108,'CWO Bulan Ini'!$DH:$DH,'Area-Cabang'!$E108,'CWO Bulan Ini'!$CZ:$CZ,'Area-Cabang'!BD$41)</f>
        <v>0</v>
      </c>
      <c r="BE108" s="56">
        <f>SUMIFS('CWO Bulan Ini'!$DD:$DD,'CWO Bulan Ini'!$DJ:$DJ,'Area-Cabang'!$B108,'CWO Bulan Ini'!$DH:$DH,'Area-Cabang'!$E108,'CWO Bulan Ini'!$CZ:$CZ,'Area-Cabang'!BE$41)</f>
        <v>0</v>
      </c>
      <c r="BF108" s="56">
        <f>SUMIFS('CWO Bulan Ini'!$DD:$DD,'CWO Bulan Ini'!$DJ:$DJ,'Area-Cabang'!$B108,'CWO Bulan Ini'!$DH:$DH,'Area-Cabang'!$E108,'CWO Bulan Ini'!$CZ:$CZ,'Area-Cabang'!BF$41)</f>
        <v>0</v>
      </c>
      <c r="BG108" s="56">
        <f>SUMIFS('CWO Bulan Ini'!$DD:$DD,'CWO Bulan Ini'!$DJ:$DJ,'Area-Cabang'!$B108,'CWO Bulan Ini'!$DH:$DH,'Area-Cabang'!$E108,'CWO Bulan Ini'!$CZ:$CZ,'Area-Cabang'!BG$41)</f>
        <v>0</v>
      </c>
      <c r="BH108" s="56">
        <f>SUMIFS('CWO Bulan Ini'!$DD:$DD,'CWO Bulan Ini'!$DJ:$DJ,'Area-Cabang'!$B108,'CWO Bulan Ini'!$DH:$DH,'Area-Cabang'!$E108,'CWO Bulan Ini'!$CZ:$CZ,'Area-Cabang'!BH$41)</f>
        <v>0</v>
      </c>
      <c r="BI108" s="56">
        <f>SUMIFS('CWO Bulan Ini'!$DD:$DD,'CWO Bulan Ini'!$DJ:$DJ,'Area-Cabang'!$B108,'CWO Bulan Ini'!$DH:$DH,'Area-Cabang'!$E108,'CWO Bulan Ini'!$CZ:$CZ,'Area-Cabang'!BI$41)</f>
        <v>0</v>
      </c>
      <c r="BJ108" s="56">
        <f>SUMIFS('CWO Bulan Ini'!$DD:$DD,'CWO Bulan Ini'!$DJ:$DJ,'Area-Cabang'!$B108,'CWO Bulan Ini'!$DH:$DH,'Area-Cabang'!$E108,'CWO Bulan Ini'!$CZ:$CZ,'Area-Cabang'!BJ$41)</f>
        <v>0</v>
      </c>
      <c r="BK108" s="56">
        <f>SUMIFS('CWO Bulan Ini'!$DD:$DD,'CWO Bulan Ini'!$DJ:$DJ,'Area-Cabang'!$B108,'CWO Bulan Ini'!$DH:$DH,'Area-Cabang'!$E108,'CWO Bulan Ini'!$CZ:$CZ,'Area-Cabang'!BK$41)</f>
        <v>0</v>
      </c>
      <c r="BL108" s="56">
        <f>SUMIFS('CWO Bulan Ini'!$DD:$DD,'CWO Bulan Ini'!$DJ:$DJ,'Area-Cabang'!$B108,'CWO Bulan Ini'!$DH:$DH,'Area-Cabang'!$E108,'CWO Bulan Ini'!$CZ:$CZ,'Area-Cabang'!BL$41)</f>
        <v>0</v>
      </c>
      <c r="BM108" s="56">
        <f>SUMIFS('CWO Bulan Ini'!$DD:$DD,'CWO Bulan Ini'!$DJ:$DJ,'Area-Cabang'!$B108,'CWO Bulan Ini'!$DH:$DH,'Area-Cabang'!$E108,'CWO Bulan Ini'!$CZ:$CZ,'Area-Cabang'!BM$41)</f>
        <v>0</v>
      </c>
      <c r="BN108" s="56">
        <f>SUMIFS('CWO Bulan Ini'!$DD:$DD,'CWO Bulan Ini'!$DJ:$DJ,'Area-Cabang'!$B108,'CWO Bulan Ini'!$DH:$DH,'Area-Cabang'!$E108,'CWO Bulan Ini'!$CZ:$CZ,'Area-Cabang'!BN$41)</f>
        <v>0</v>
      </c>
      <c r="BO108" s="57">
        <f>SUMIFS('CWO Bulan Ini'!$DD:$DD,'CWO Bulan Ini'!$DJ:$DJ,'Area-Cabang'!$B108,'CWO Bulan Ini'!$DH:$DH,'Area-Cabang'!$E108,'CWO Bulan Ini'!$CZ:$CZ,'Area-Cabang'!BO$41)</f>
        <v>0</v>
      </c>
      <c r="BP108" s="55">
        <f>SUMIFS('CWO Bulan Ini'!$DC:$DC,'CWO Bulan Ini'!$DJ:$DJ,'Area-Cabang'!$B108,'CWO Bulan Ini'!$DH:$DH,'Area-Cabang'!$E108,'CWO Bulan Ini'!$CZ:$CZ,'Area-Cabang'!BP$41)</f>
        <v>0</v>
      </c>
      <c r="BQ108" s="56">
        <f>SUMIFS('CWO Bulan Ini'!$DC:$DC,'CWO Bulan Ini'!$DJ:$DJ,'Area-Cabang'!$B108,'CWO Bulan Ini'!$DH:$DH,'Area-Cabang'!$E108,'CWO Bulan Ini'!$CZ:$CZ,'Area-Cabang'!BQ$41)</f>
        <v>0</v>
      </c>
      <c r="BR108" s="56">
        <f>SUMIFS('CWO Bulan Ini'!$DC:$DC,'CWO Bulan Ini'!$DJ:$DJ,'Area-Cabang'!$B108,'CWO Bulan Ini'!$DH:$DH,'Area-Cabang'!$E108,'CWO Bulan Ini'!$CZ:$CZ,'Area-Cabang'!BR$41)</f>
        <v>0</v>
      </c>
      <c r="BS108" s="56">
        <f>SUMIFS('CWO Bulan Ini'!$DC:$DC,'CWO Bulan Ini'!$DJ:$DJ,'Area-Cabang'!$B108,'CWO Bulan Ini'!$DH:$DH,'Area-Cabang'!$E108,'CWO Bulan Ini'!$CZ:$CZ,'Area-Cabang'!BS$41)</f>
        <v>0</v>
      </c>
      <c r="BT108" s="56">
        <f>SUMIFS('CWO Bulan Ini'!$DC:$DC,'CWO Bulan Ini'!$DJ:$DJ,'Area-Cabang'!$B108,'CWO Bulan Ini'!$DH:$DH,'Area-Cabang'!$E108,'CWO Bulan Ini'!$CZ:$CZ,'Area-Cabang'!BT$41)</f>
        <v>0</v>
      </c>
      <c r="BU108" s="56">
        <f>SUMIFS('CWO Bulan Ini'!$DC:$DC,'CWO Bulan Ini'!$DJ:$DJ,'Area-Cabang'!$B108,'CWO Bulan Ini'!$DH:$DH,'Area-Cabang'!$E108,'CWO Bulan Ini'!$CZ:$CZ,'Area-Cabang'!BU$41)</f>
        <v>0</v>
      </c>
      <c r="BV108" s="56">
        <f>SUMIFS('CWO Bulan Ini'!$DC:$DC,'CWO Bulan Ini'!$DJ:$DJ,'Area-Cabang'!$B108,'CWO Bulan Ini'!$DH:$DH,'Area-Cabang'!$E108,'CWO Bulan Ini'!$CZ:$CZ,'Area-Cabang'!BV$41)</f>
        <v>0</v>
      </c>
      <c r="BW108" s="56">
        <f>SUMIFS('CWO Bulan Ini'!$DC:$DC,'CWO Bulan Ini'!$DJ:$DJ,'Area-Cabang'!$B108,'CWO Bulan Ini'!$DH:$DH,'Area-Cabang'!$E108,'CWO Bulan Ini'!$CZ:$CZ,'Area-Cabang'!BW$41)</f>
        <v>0</v>
      </c>
      <c r="BX108" s="56">
        <f>SUMIFS('CWO Bulan Ini'!$DC:$DC,'CWO Bulan Ini'!$DJ:$DJ,'Area-Cabang'!$B108,'CWO Bulan Ini'!$DH:$DH,'Area-Cabang'!$E108,'CWO Bulan Ini'!$CZ:$CZ,'Area-Cabang'!BX$41)</f>
        <v>0</v>
      </c>
      <c r="BY108" s="56">
        <f>SUMIFS('CWO Bulan Ini'!$DC:$DC,'CWO Bulan Ini'!$DJ:$DJ,'Area-Cabang'!$B108,'CWO Bulan Ini'!$DH:$DH,'Area-Cabang'!$E108,'CWO Bulan Ini'!$CZ:$CZ,'Area-Cabang'!BY$41)</f>
        <v>0</v>
      </c>
      <c r="BZ108" s="56">
        <f>SUMIFS('CWO Bulan Ini'!$DC:$DC,'CWO Bulan Ini'!$DJ:$DJ,'Area-Cabang'!$B108,'CWO Bulan Ini'!$DH:$DH,'Area-Cabang'!$E108,'CWO Bulan Ini'!$CZ:$CZ,'Area-Cabang'!BZ$41)</f>
        <v>0</v>
      </c>
      <c r="CA108" s="56">
        <f>SUMIFS('CWO Bulan Ini'!$DC:$DC,'CWO Bulan Ini'!$DJ:$DJ,'Area-Cabang'!$B108,'CWO Bulan Ini'!$DH:$DH,'Area-Cabang'!$E108,'CWO Bulan Ini'!$CZ:$CZ,'Area-Cabang'!CA$41)</f>
        <v>0</v>
      </c>
      <c r="CB108" s="56">
        <f>SUMIFS('CWO Bulan Ini'!$DC:$DC,'CWO Bulan Ini'!$DJ:$DJ,'Area-Cabang'!$B108,'CWO Bulan Ini'!$DH:$DH,'Area-Cabang'!$E108,'CWO Bulan Ini'!$CZ:$CZ,'Area-Cabang'!CB$41)</f>
        <v>0</v>
      </c>
      <c r="CC108" s="56">
        <f>SUMIFS('CWO Bulan Ini'!$DC:$DC,'CWO Bulan Ini'!$DJ:$DJ,'Area-Cabang'!$B108,'CWO Bulan Ini'!$DH:$DH,'Area-Cabang'!$E108,'CWO Bulan Ini'!$CZ:$CZ,'Area-Cabang'!CC$41)</f>
        <v>0</v>
      </c>
      <c r="CD108" s="56">
        <f>SUMIFS('CWO Bulan Ini'!$DC:$DC,'CWO Bulan Ini'!$DJ:$DJ,'Area-Cabang'!$B108,'CWO Bulan Ini'!$DH:$DH,'Area-Cabang'!$E108,'CWO Bulan Ini'!$CZ:$CZ,'Area-Cabang'!CD$41)</f>
        <v>0</v>
      </c>
      <c r="CE108" s="56">
        <f>SUMIFS('CWO Bulan Ini'!$DC:$DC,'CWO Bulan Ini'!$DJ:$DJ,'Area-Cabang'!$B108,'CWO Bulan Ini'!$DH:$DH,'Area-Cabang'!$E108,'CWO Bulan Ini'!$CZ:$CZ,'Area-Cabang'!CE$41)</f>
        <v>0</v>
      </c>
      <c r="CF108" s="56">
        <f>SUMIFS('CWO Bulan Ini'!$DC:$DC,'CWO Bulan Ini'!$DJ:$DJ,'Area-Cabang'!$B108,'CWO Bulan Ini'!$DH:$DH,'Area-Cabang'!$E108,'CWO Bulan Ini'!$CZ:$CZ,'Area-Cabang'!CF$41)</f>
        <v>0</v>
      </c>
      <c r="CG108" s="56">
        <f>SUMIFS('CWO Bulan Ini'!$DC:$DC,'CWO Bulan Ini'!$DJ:$DJ,'Area-Cabang'!$B108,'CWO Bulan Ini'!$DH:$DH,'Area-Cabang'!$E108,'CWO Bulan Ini'!$CZ:$CZ,'Area-Cabang'!CG$41)</f>
        <v>0</v>
      </c>
      <c r="CH108" s="56">
        <f>SUMIFS('CWO Bulan Ini'!$DC:$DC,'CWO Bulan Ini'!$DJ:$DJ,'Area-Cabang'!$B108,'CWO Bulan Ini'!$DH:$DH,'Area-Cabang'!$E108,'CWO Bulan Ini'!$CZ:$CZ,'Area-Cabang'!CH$41)</f>
        <v>0</v>
      </c>
      <c r="CI108" s="56">
        <f>SUMIFS('CWO Bulan Ini'!$DC:$DC,'CWO Bulan Ini'!$DJ:$DJ,'Area-Cabang'!$B108,'CWO Bulan Ini'!$DH:$DH,'Area-Cabang'!$E108,'CWO Bulan Ini'!$CZ:$CZ,'Area-Cabang'!CI$41)</f>
        <v>0</v>
      </c>
      <c r="CJ108" s="56">
        <f>SUMIFS('CWO Bulan Ini'!$DC:$DC,'CWO Bulan Ini'!$DJ:$DJ,'Area-Cabang'!$B108,'CWO Bulan Ini'!$DH:$DH,'Area-Cabang'!$E108,'CWO Bulan Ini'!$CZ:$CZ,'Area-Cabang'!CJ$41)</f>
        <v>0</v>
      </c>
      <c r="CK108" s="56">
        <f>SUMIFS('CWO Bulan Ini'!$DC:$DC,'CWO Bulan Ini'!$DJ:$DJ,'Area-Cabang'!$B108,'CWO Bulan Ini'!$DH:$DH,'Area-Cabang'!$E108,'CWO Bulan Ini'!$CZ:$CZ,'Area-Cabang'!CK$41)</f>
        <v>0</v>
      </c>
      <c r="CL108" s="56">
        <f>SUMIFS('CWO Bulan Ini'!$DC:$DC,'CWO Bulan Ini'!$DJ:$DJ,'Area-Cabang'!$B108,'CWO Bulan Ini'!$DH:$DH,'Area-Cabang'!$E108,'CWO Bulan Ini'!$CZ:$CZ,'Area-Cabang'!CL$41)</f>
        <v>0</v>
      </c>
      <c r="CM108" s="56">
        <f>SUMIFS('CWO Bulan Ini'!$DC:$DC,'CWO Bulan Ini'!$DJ:$DJ,'Area-Cabang'!$B108,'CWO Bulan Ini'!$DH:$DH,'Area-Cabang'!$E108,'CWO Bulan Ini'!$CZ:$CZ,'Area-Cabang'!CM$41)</f>
        <v>0</v>
      </c>
      <c r="CN108" s="56">
        <f>SUMIFS('CWO Bulan Ini'!$DC:$DC,'CWO Bulan Ini'!$DJ:$DJ,'Area-Cabang'!$B108,'CWO Bulan Ini'!$DH:$DH,'Area-Cabang'!$E108,'CWO Bulan Ini'!$CZ:$CZ,'Area-Cabang'!CN$41)</f>
        <v>0</v>
      </c>
      <c r="CO108" s="56">
        <f>SUMIFS('CWO Bulan Ini'!$DC:$DC,'CWO Bulan Ini'!$DJ:$DJ,'Area-Cabang'!$B108,'CWO Bulan Ini'!$DH:$DH,'Area-Cabang'!$E108,'CWO Bulan Ini'!$CZ:$CZ,'Area-Cabang'!CO$41)</f>
        <v>0</v>
      </c>
      <c r="CP108" s="56">
        <f>SUMIFS('CWO Bulan Ini'!$DC:$DC,'CWO Bulan Ini'!$DJ:$DJ,'Area-Cabang'!$B108,'CWO Bulan Ini'!$DH:$DH,'Area-Cabang'!$E108,'CWO Bulan Ini'!$CZ:$CZ,'Area-Cabang'!CP$41)</f>
        <v>0</v>
      </c>
      <c r="CQ108" s="56">
        <f>SUMIFS('CWO Bulan Ini'!$DC:$DC,'CWO Bulan Ini'!$DJ:$DJ,'Area-Cabang'!$B108,'CWO Bulan Ini'!$DH:$DH,'Area-Cabang'!$E108,'CWO Bulan Ini'!$CZ:$CZ,'Area-Cabang'!CQ$41)</f>
        <v>0</v>
      </c>
      <c r="CR108" s="56">
        <f>SUMIFS('CWO Bulan Ini'!$DC:$DC,'CWO Bulan Ini'!$DJ:$DJ,'Area-Cabang'!$B108,'CWO Bulan Ini'!$DH:$DH,'Area-Cabang'!$E108,'CWO Bulan Ini'!$CZ:$CZ,'Area-Cabang'!CR$41)</f>
        <v>0</v>
      </c>
      <c r="CS108" s="56">
        <f>SUMIFS('CWO Bulan Ini'!$DC:$DC,'CWO Bulan Ini'!$DJ:$DJ,'Area-Cabang'!$B108,'CWO Bulan Ini'!$DH:$DH,'Area-Cabang'!$E108,'CWO Bulan Ini'!$CZ:$CZ,'Area-Cabang'!CS$41)</f>
        <v>0</v>
      </c>
      <c r="CT108" s="57">
        <f>SUMIFS('CWO Bulan Ini'!$DC:$DC,'CWO Bulan Ini'!$DJ:$DJ,'Area-Cabang'!$B108,'CWO Bulan Ini'!$DH:$DH,'Area-Cabang'!$E108,'CWO Bulan Ini'!$CZ:$CZ,'Area-Cabang'!CT$41)</f>
        <v>0</v>
      </c>
      <c r="CV108" s="97">
        <f t="shared" ref="CV108:CV109" si="3247">SUM(F108:AJ108)</f>
        <v>300.96396589</v>
      </c>
      <c r="CW108" s="98">
        <f t="shared" ref="CW108:CW109" si="3248">SUM(AK108:BO108)</f>
        <v>146.98150742999999</v>
      </c>
      <c r="CX108" s="98">
        <f t="shared" ref="CX108:CX109" si="3249">SUM(BP108:CT108)</f>
        <v>0</v>
      </c>
      <c r="CY108" s="98">
        <f t="shared" ref="CY108:CY109" si="3250">CV108-CW108-CX108</f>
        <v>153.98245846</v>
      </c>
      <c r="CZ108" s="105">
        <f t="shared" ref="CZ108:CZ109" si="3251">CY108+CW108</f>
        <v>300.96396589</v>
      </c>
    </row>
    <row r="109" spans="1:104" ht="15" customHeight="1" x14ac:dyDescent="0.25">
      <c r="A109" s="58" t="s">
        <v>448</v>
      </c>
      <c r="B109" s="58" t="s">
        <v>280</v>
      </c>
      <c r="C109" s="250"/>
      <c r="D109" s="244"/>
      <c r="E109" s="40" t="s">
        <v>349</v>
      </c>
      <c r="F109" s="41">
        <f>SUMIFS('CWO Bulan Ini'!$DA:$DA,'CWO Bulan Ini'!$DJ:$DJ,'Area-Cabang'!$B109,'CWO Bulan Ini'!$DH:$DH,'Area-Cabang'!$E109,'CWO Bulan Ini'!$CZ:$CZ,'Area-Cabang'!F$41)</f>
        <v>0</v>
      </c>
      <c r="G109" s="42">
        <f>SUMIFS('CWO Bulan Ini'!$DA:$DA,'CWO Bulan Ini'!$DJ:$DJ,'Area-Cabang'!$B109,'CWO Bulan Ini'!$DH:$DH,'Area-Cabang'!$E109,'CWO Bulan Ini'!$CZ:$CZ,'Area-Cabang'!G$41)</f>
        <v>0</v>
      </c>
      <c r="H109" s="42">
        <f>SUMIFS('CWO Bulan Ini'!$DA:$DA,'CWO Bulan Ini'!$DJ:$DJ,'Area-Cabang'!$B109,'CWO Bulan Ini'!$DH:$DH,'Area-Cabang'!$E109,'CWO Bulan Ini'!$CZ:$CZ,'Area-Cabang'!H$41)</f>
        <v>0</v>
      </c>
      <c r="I109" s="42">
        <f>SUMIFS('CWO Bulan Ini'!$DA:$DA,'CWO Bulan Ini'!$DJ:$DJ,'Area-Cabang'!$B109,'CWO Bulan Ini'!$DH:$DH,'Area-Cabang'!$E109,'CWO Bulan Ini'!$CZ:$CZ,'Area-Cabang'!I$41)</f>
        <v>36.314189150000004</v>
      </c>
      <c r="J109" s="42">
        <f>SUMIFS('CWO Bulan Ini'!$DA:$DA,'CWO Bulan Ini'!$DJ:$DJ,'Area-Cabang'!$B109,'CWO Bulan Ini'!$DH:$DH,'Area-Cabang'!$E109,'CWO Bulan Ini'!$CZ:$CZ,'Area-Cabang'!J$41)</f>
        <v>0</v>
      </c>
      <c r="K109" s="42">
        <f>SUMIFS('CWO Bulan Ini'!$DA:$DA,'CWO Bulan Ini'!$DJ:$DJ,'Area-Cabang'!$B109,'CWO Bulan Ini'!$DH:$DH,'Area-Cabang'!$E109,'CWO Bulan Ini'!$CZ:$CZ,'Area-Cabang'!K$41)</f>
        <v>0</v>
      </c>
      <c r="L109" s="42">
        <f>SUMIFS('CWO Bulan Ini'!$DA:$DA,'CWO Bulan Ini'!$DJ:$DJ,'Area-Cabang'!$B109,'CWO Bulan Ini'!$DH:$DH,'Area-Cabang'!$E109,'CWO Bulan Ini'!$CZ:$CZ,'Area-Cabang'!L$41)</f>
        <v>0</v>
      </c>
      <c r="M109" s="42">
        <f>SUMIFS('CWO Bulan Ini'!$DA:$DA,'CWO Bulan Ini'!$DJ:$DJ,'Area-Cabang'!$B109,'CWO Bulan Ini'!$DH:$DH,'Area-Cabang'!$E109,'CWO Bulan Ini'!$CZ:$CZ,'Area-Cabang'!M$41)</f>
        <v>0</v>
      </c>
      <c r="N109" s="42">
        <f>SUMIFS('CWO Bulan Ini'!$DA:$DA,'CWO Bulan Ini'!$DJ:$DJ,'Area-Cabang'!$B109,'CWO Bulan Ini'!$DH:$DH,'Area-Cabang'!$E109,'CWO Bulan Ini'!$CZ:$CZ,'Area-Cabang'!N$41)</f>
        <v>0</v>
      </c>
      <c r="O109" s="42">
        <f>SUMIFS('CWO Bulan Ini'!$DA:$DA,'CWO Bulan Ini'!$DJ:$DJ,'Area-Cabang'!$B109,'CWO Bulan Ini'!$DH:$DH,'Area-Cabang'!$E109,'CWO Bulan Ini'!$CZ:$CZ,'Area-Cabang'!O$41)</f>
        <v>0</v>
      </c>
      <c r="P109" s="42">
        <f>SUMIFS('CWO Bulan Ini'!$DA:$DA,'CWO Bulan Ini'!$DJ:$DJ,'Area-Cabang'!$B109,'CWO Bulan Ini'!$DH:$DH,'Area-Cabang'!$E109,'CWO Bulan Ini'!$CZ:$CZ,'Area-Cabang'!P$41)</f>
        <v>0</v>
      </c>
      <c r="Q109" s="42">
        <f>SUMIFS('CWO Bulan Ini'!$DA:$DA,'CWO Bulan Ini'!$DJ:$DJ,'Area-Cabang'!$B109,'CWO Bulan Ini'!$DH:$DH,'Area-Cabang'!$E109,'CWO Bulan Ini'!$CZ:$CZ,'Area-Cabang'!Q$41)</f>
        <v>0</v>
      </c>
      <c r="R109" s="42">
        <f>SUMIFS('CWO Bulan Ini'!$DA:$DA,'CWO Bulan Ini'!$DJ:$DJ,'Area-Cabang'!$B109,'CWO Bulan Ini'!$DH:$DH,'Area-Cabang'!$E109,'CWO Bulan Ini'!$CZ:$CZ,'Area-Cabang'!R$41)</f>
        <v>0</v>
      </c>
      <c r="S109" s="42">
        <f>SUMIFS('CWO Bulan Ini'!$DA:$DA,'CWO Bulan Ini'!$DJ:$DJ,'Area-Cabang'!$B109,'CWO Bulan Ini'!$DH:$DH,'Area-Cabang'!$E109,'CWO Bulan Ini'!$CZ:$CZ,'Area-Cabang'!S$41)</f>
        <v>0</v>
      </c>
      <c r="T109" s="42">
        <f>SUMIFS('CWO Bulan Ini'!$DA:$DA,'CWO Bulan Ini'!$DJ:$DJ,'Area-Cabang'!$B109,'CWO Bulan Ini'!$DH:$DH,'Area-Cabang'!$E109,'CWO Bulan Ini'!$CZ:$CZ,'Area-Cabang'!T$41)</f>
        <v>0</v>
      </c>
      <c r="U109" s="42">
        <f>SUMIFS('CWO Bulan Ini'!$DA:$DA,'CWO Bulan Ini'!$DJ:$DJ,'Area-Cabang'!$B109,'CWO Bulan Ini'!$DH:$DH,'Area-Cabang'!$E109,'CWO Bulan Ini'!$CZ:$CZ,'Area-Cabang'!U$41)</f>
        <v>0</v>
      </c>
      <c r="V109" s="42">
        <f>SUMIFS('CWO Bulan Ini'!$DA:$DA,'CWO Bulan Ini'!$DJ:$DJ,'Area-Cabang'!$B109,'CWO Bulan Ini'!$DH:$DH,'Area-Cabang'!$E109,'CWO Bulan Ini'!$CZ:$CZ,'Area-Cabang'!V$41)</f>
        <v>0</v>
      </c>
      <c r="W109" s="42">
        <f>SUMIFS('CWO Bulan Ini'!$DA:$DA,'CWO Bulan Ini'!$DJ:$DJ,'Area-Cabang'!$B109,'CWO Bulan Ini'!$DH:$DH,'Area-Cabang'!$E109,'CWO Bulan Ini'!$CZ:$CZ,'Area-Cabang'!W$41)</f>
        <v>0</v>
      </c>
      <c r="X109" s="42">
        <f>SUMIFS('CWO Bulan Ini'!$DA:$DA,'CWO Bulan Ini'!$DJ:$DJ,'Area-Cabang'!$B109,'CWO Bulan Ini'!$DH:$DH,'Area-Cabang'!$E109,'CWO Bulan Ini'!$CZ:$CZ,'Area-Cabang'!X$41)</f>
        <v>0</v>
      </c>
      <c r="Y109" s="42">
        <f>SUMIFS('CWO Bulan Ini'!$DA:$DA,'CWO Bulan Ini'!$DJ:$DJ,'Area-Cabang'!$B109,'CWO Bulan Ini'!$DH:$DH,'Area-Cabang'!$E109,'CWO Bulan Ini'!$CZ:$CZ,'Area-Cabang'!Y$41)</f>
        <v>0</v>
      </c>
      <c r="Z109" s="42">
        <f>SUMIFS('CWO Bulan Ini'!$DA:$DA,'CWO Bulan Ini'!$DJ:$DJ,'Area-Cabang'!$B109,'CWO Bulan Ini'!$DH:$DH,'Area-Cabang'!$E109,'CWO Bulan Ini'!$CZ:$CZ,'Area-Cabang'!Z$41)</f>
        <v>0</v>
      </c>
      <c r="AA109" s="42">
        <f>SUMIFS('CWO Bulan Ini'!$DA:$DA,'CWO Bulan Ini'!$DJ:$DJ,'Area-Cabang'!$B109,'CWO Bulan Ini'!$DH:$DH,'Area-Cabang'!$E109,'CWO Bulan Ini'!$CZ:$CZ,'Area-Cabang'!AA$41)</f>
        <v>0</v>
      </c>
      <c r="AB109" s="42">
        <f>SUMIFS('CWO Bulan Ini'!$DA:$DA,'CWO Bulan Ini'!$DJ:$DJ,'Area-Cabang'!$B109,'CWO Bulan Ini'!$DH:$DH,'Area-Cabang'!$E109,'CWO Bulan Ini'!$CZ:$CZ,'Area-Cabang'!AB$41)</f>
        <v>0</v>
      </c>
      <c r="AC109" s="42">
        <f>SUMIFS('CWO Bulan Ini'!$DA:$DA,'CWO Bulan Ini'!$DJ:$DJ,'Area-Cabang'!$B109,'CWO Bulan Ini'!$DH:$DH,'Area-Cabang'!$E109,'CWO Bulan Ini'!$CZ:$CZ,'Area-Cabang'!AC$41)</f>
        <v>0</v>
      </c>
      <c r="AD109" s="42">
        <f>SUMIFS('CWO Bulan Ini'!$DA:$DA,'CWO Bulan Ini'!$DJ:$DJ,'Area-Cabang'!$B109,'CWO Bulan Ini'!$DH:$DH,'Area-Cabang'!$E109,'CWO Bulan Ini'!$CZ:$CZ,'Area-Cabang'!AD$41)</f>
        <v>0</v>
      </c>
      <c r="AE109" s="42">
        <f>SUMIFS('CWO Bulan Ini'!$DA:$DA,'CWO Bulan Ini'!$DJ:$DJ,'Area-Cabang'!$B109,'CWO Bulan Ini'!$DH:$DH,'Area-Cabang'!$E109,'CWO Bulan Ini'!$CZ:$CZ,'Area-Cabang'!AE$41)</f>
        <v>0</v>
      </c>
      <c r="AF109" s="42">
        <f>SUMIFS('CWO Bulan Ini'!$DA:$DA,'CWO Bulan Ini'!$DJ:$DJ,'Area-Cabang'!$B109,'CWO Bulan Ini'!$DH:$DH,'Area-Cabang'!$E109,'CWO Bulan Ini'!$CZ:$CZ,'Area-Cabang'!AF$41)</f>
        <v>0</v>
      </c>
      <c r="AG109" s="42">
        <f>SUMIFS('CWO Bulan Ini'!$DA:$DA,'CWO Bulan Ini'!$DJ:$DJ,'Area-Cabang'!$B109,'CWO Bulan Ini'!$DH:$DH,'Area-Cabang'!$E109,'CWO Bulan Ini'!$CZ:$CZ,'Area-Cabang'!AG$41)</f>
        <v>0</v>
      </c>
      <c r="AH109" s="42">
        <f>SUMIFS('CWO Bulan Ini'!$DA:$DA,'CWO Bulan Ini'!$DJ:$DJ,'Area-Cabang'!$B109,'CWO Bulan Ini'!$DH:$DH,'Area-Cabang'!$E109,'CWO Bulan Ini'!$CZ:$CZ,'Area-Cabang'!AH$41)</f>
        <v>0</v>
      </c>
      <c r="AI109" s="42">
        <f>SUMIFS('CWO Bulan Ini'!$DA:$DA,'CWO Bulan Ini'!$DJ:$DJ,'Area-Cabang'!$B109,'CWO Bulan Ini'!$DH:$DH,'Area-Cabang'!$E109,'CWO Bulan Ini'!$CZ:$CZ,'Area-Cabang'!AI$41)</f>
        <v>0</v>
      </c>
      <c r="AJ109" s="42">
        <f>SUMIFS('CWO Bulan Ini'!$DA:$DA,'CWO Bulan Ini'!$DJ:$DJ,'Area-Cabang'!$B109,'CWO Bulan Ini'!$DH:$DH,'Area-Cabang'!$E109,'CWO Bulan Ini'!$CZ:$CZ,'Area-Cabang'!AJ$41)</f>
        <v>0</v>
      </c>
      <c r="AK109" s="41">
        <f>SUMIFS('CWO Bulan Ini'!$DD:$DD,'CWO Bulan Ini'!$DJ:$DJ,'Area-Cabang'!$B109,'CWO Bulan Ini'!$DH:$DH,'Area-Cabang'!$E109,'CWO Bulan Ini'!$CZ:$CZ,'Area-Cabang'!AK$41)</f>
        <v>0</v>
      </c>
      <c r="AL109" s="42">
        <f>SUMIFS('CWO Bulan Ini'!$DD:$DD,'CWO Bulan Ini'!$DJ:$DJ,'Area-Cabang'!$B109,'CWO Bulan Ini'!$DH:$DH,'Area-Cabang'!$E109,'CWO Bulan Ini'!$CZ:$CZ,'Area-Cabang'!AL$41)</f>
        <v>0</v>
      </c>
      <c r="AM109" s="42">
        <f>SUMIFS('CWO Bulan Ini'!$DD:$DD,'CWO Bulan Ini'!$DJ:$DJ,'Area-Cabang'!$B109,'CWO Bulan Ini'!$DH:$DH,'Area-Cabang'!$E109,'CWO Bulan Ini'!$CZ:$CZ,'Area-Cabang'!AM$41)</f>
        <v>0</v>
      </c>
      <c r="AN109" s="42">
        <f>SUMIFS('CWO Bulan Ini'!$DD:$DD,'CWO Bulan Ini'!$DJ:$DJ,'Area-Cabang'!$B109,'CWO Bulan Ini'!$DH:$DH,'Area-Cabang'!$E109,'CWO Bulan Ini'!$CZ:$CZ,'Area-Cabang'!AN$41)</f>
        <v>36.314189150000004</v>
      </c>
      <c r="AO109" s="42">
        <f>SUMIFS('CWO Bulan Ini'!$DD:$DD,'CWO Bulan Ini'!$DJ:$DJ,'Area-Cabang'!$B109,'CWO Bulan Ini'!$DH:$DH,'Area-Cabang'!$E109,'CWO Bulan Ini'!$CZ:$CZ,'Area-Cabang'!AO$41)</f>
        <v>0</v>
      </c>
      <c r="AP109" s="42">
        <f>SUMIFS('CWO Bulan Ini'!$DD:$DD,'CWO Bulan Ini'!$DJ:$DJ,'Area-Cabang'!$B109,'CWO Bulan Ini'!$DH:$DH,'Area-Cabang'!$E109,'CWO Bulan Ini'!$CZ:$CZ,'Area-Cabang'!AP$41)</f>
        <v>0</v>
      </c>
      <c r="AQ109" s="42">
        <f>SUMIFS('CWO Bulan Ini'!$DD:$DD,'CWO Bulan Ini'!$DJ:$DJ,'Area-Cabang'!$B109,'CWO Bulan Ini'!$DH:$DH,'Area-Cabang'!$E109,'CWO Bulan Ini'!$CZ:$CZ,'Area-Cabang'!AQ$41)</f>
        <v>0</v>
      </c>
      <c r="AR109" s="42">
        <f>SUMIFS('CWO Bulan Ini'!$DD:$DD,'CWO Bulan Ini'!$DJ:$DJ,'Area-Cabang'!$B109,'CWO Bulan Ini'!$DH:$DH,'Area-Cabang'!$E109,'CWO Bulan Ini'!$CZ:$CZ,'Area-Cabang'!AR$41)</f>
        <v>0</v>
      </c>
      <c r="AS109" s="42">
        <f>SUMIFS('CWO Bulan Ini'!$DD:$DD,'CWO Bulan Ini'!$DJ:$DJ,'Area-Cabang'!$B109,'CWO Bulan Ini'!$DH:$DH,'Area-Cabang'!$E109,'CWO Bulan Ini'!$CZ:$CZ,'Area-Cabang'!AS$41)</f>
        <v>0</v>
      </c>
      <c r="AT109" s="42">
        <f>SUMIFS('CWO Bulan Ini'!$DD:$DD,'CWO Bulan Ini'!$DJ:$DJ,'Area-Cabang'!$B109,'CWO Bulan Ini'!$DH:$DH,'Area-Cabang'!$E109,'CWO Bulan Ini'!$CZ:$CZ,'Area-Cabang'!AT$41)</f>
        <v>0</v>
      </c>
      <c r="AU109" s="42">
        <f>SUMIFS('CWO Bulan Ini'!$DD:$DD,'CWO Bulan Ini'!$DJ:$DJ,'Area-Cabang'!$B109,'CWO Bulan Ini'!$DH:$DH,'Area-Cabang'!$E109,'CWO Bulan Ini'!$CZ:$CZ,'Area-Cabang'!AU$41)</f>
        <v>0</v>
      </c>
      <c r="AV109" s="42">
        <f>SUMIFS('CWO Bulan Ini'!$DD:$DD,'CWO Bulan Ini'!$DJ:$DJ,'Area-Cabang'!$B109,'CWO Bulan Ini'!$DH:$DH,'Area-Cabang'!$E109,'CWO Bulan Ini'!$CZ:$CZ,'Area-Cabang'!AV$41)</f>
        <v>0</v>
      </c>
      <c r="AW109" s="42">
        <f>SUMIFS('CWO Bulan Ini'!$DD:$DD,'CWO Bulan Ini'!$DJ:$DJ,'Area-Cabang'!$B109,'CWO Bulan Ini'!$DH:$DH,'Area-Cabang'!$E109,'CWO Bulan Ini'!$CZ:$CZ,'Area-Cabang'!AW$41)</f>
        <v>0</v>
      </c>
      <c r="AX109" s="42">
        <f>SUMIFS('CWO Bulan Ini'!$DD:$DD,'CWO Bulan Ini'!$DJ:$DJ,'Area-Cabang'!$B109,'CWO Bulan Ini'!$DH:$DH,'Area-Cabang'!$E109,'CWO Bulan Ini'!$CZ:$CZ,'Area-Cabang'!AX$41)</f>
        <v>0</v>
      </c>
      <c r="AY109" s="42">
        <f>SUMIFS('CWO Bulan Ini'!$DD:$DD,'CWO Bulan Ini'!$DJ:$DJ,'Area-Cabang'!$B109,'CWO Bulan Ini'!$DH:$DH,'Area-Cabang'!$E109,'CWO Bulan Ini'!$CZ:$CZ,'Area-Cabang'!AY$41)</f>
        <v>0</v>
      </c>
      <c r="AZ109" s="42">
        <f>SUMIFS('CWO Bulan Ini'!$DD:$DD,'CWO Bulan Ini'!$DJ:$DJ,'Area-Cabang'!$B109,'CWO Bulan Ini'!$DH:$DH,'Area-Cabang'!$E109,'CWO Bulan Ini'!$CZ:$CZ,'Area-Cabang'!AZ$41)</f>
        <v>0</v>
      </c>
      <c r="BA109" s="42">
        <f>SUMIFS('CWO Bulan Ini'!$DD:$DD,'CWO Bulan Ini'!$DJ:$DJ,'Area-Cabang'!$B109,'CWO Bulan Ini'!$DH:$DH,'Area-Cabang'!$E109,'CWO Bulan Ini'!$CZ:$CZ,'Area-Cabang'!BA$41)</f>
        <v>0</v>
      </c>
      <c r="BB109" s="42">
        <f>SUMIFS('CWO Bulan Ini'!$DD:$DD,'CWO Bulan Ini'!$DJ:$DJ,'Area-Cabang'!$B109,'CWO Bulan Ini'!$DH:$DH,'Area-Cabang'!$E109,'CWO Bulan Ini'!$CZ:$CZ,'Area-Cabang'!BB$41)</f>
        <v>0</v>
      </c>
      <c r="BC109" s="42">
        <f>SUMIFS('CWO Bulan Ini'!$DD:$DD,'CWO Bulan Ini'!$DJ:$DJ,'Area-Cabang'!$B109,'CWO Bulan Ini'!$DH:$DH,'Area-Cabang'!$E109,'CWO Bulan Ini'!$CZ:$CZ,'Area-Cabang'!BC$41)</f>
        <v>0</v>
      </c>
      <c r="BD109" s="42">
        <f>SUMIFS('CWO Bulan Ini'!$DD:$DD,'CWO Bulan Ini'!$DJ:$DJ,'Area-Cabang'!$B109,'CWO Bulan Ini'!$DH:$DH,'Area-Cabang'!$E109,'CWO Bulan Ini'!$CZ:$CZ,'Area-Cabang'!BD$41)</f>
        <v>0</v>
      </c>
      <c r="BE109" s="42">
        <f>SUMIFS('CWO Bulan Ini'!$DD:$DD,'CWO Bulan Ini'!$DJ:$DJ,'Area-Cabang'!$B109,'CWO Bulan Ini'!$DH:$DH,'Area-Cabang'!$E109,'CWO Bulan Ini'!$CZ:$CZ,'Area-Cabang'!BE$41)</f>
        <v>0</v>
      </c>
      <c r="BF109" s="42">
        <f>SUMIFS('CWO Bulan Ini'!$DD:$DD,'CWO Bulan Ini'!$DJ:$DJ,'Area-Cabang'!$B109,'CWO Bulan Ini'!$DH:$DH,'Area-Cabang'!$E109,'CWO Bulan Ini'!$CZ:$CZ,'Area-Cabang'!BF$41)</f>
        <v>0</v>
      </c>
      <c r="BG109" s="42">
        <f>SUMIFS('CWO Bulan Ini'!$DD:$DD,'CWO Bulan Ini'!$DJ:$DJ,'Area-Cabang'!$B109,'CWO Bulan Ini'!$DH:$DH,'Area-Cabang'!$E109,'CWO Bulan Ini'!$CZ:$CZ,'Area-Cabang'!BG$41)</f>
        <v>0</v>
      </c>
      <c r="BH109" s="42">
        <f>SUMIFS('CWO Bulan Ini'!$DD:$DD,'CWO Bulan Ini'!$DJ:$DJ,'Area-Cabang'!$B109,'CWO Bulan Ini'!$DH:$DH,'Area-Cabang'!$E109,'CWO Bulan Ini'!$CZ:$CZ,'Area-Cabang'!BH$41)</f>
        <v>0</v>
      </c>
      <c r="BI109" s="42">
        <f>SUMIFS('CWO Bulan Ini'!$DD:$DD,'CWO Bulan Ini'!$DJ:$DJ,'Area-Cabang'!$B109,'CWO Bulan Ini'!$DH:$DH,'Area-Cabang'!$E109,'CWO Bulan Ini'!$CZ:$CZ,'Area-Cabang'!BI$41)</f>
        <v>0</v>
      </c>
      <c r="BJ109" s="42">
        <f>SUMIFS('CWO Bulan Ini'!$DD:$DD,'CWO Bulan Ini'!$DJ:$DJ,'Area-Cabang'!$B109,'CWO Bulan Ini'!$DH:$DH,'Area-Cabang'!$E109,'CWO Bulan Ini'!$CZ:$CZ,'Area-Cabang'!BJ$41)</f>
        <v>0</v>
      </c>
      <c r="BK109" s="42">
        <f>SUMIFS('CWO Bulan Ini'!$DD:$DD,'CWO Bulan Ini'!$DJ:$DJ,'Area-Cabang'!$B109,'CWO Bulan Ini'!$DH:$DH,'Area-Cabang'!$E109,'CWO Bulan Ini'!$CZ:$CZ,'Area-Cabang'!BK$41)</f>
        <v>0</v>
      </c>
      <c r="BL109" s="42">
        <f>SUMIFS('CWO Bulan Ini'!$DD:$DD,'CWO Bulan Ini'!$DJ:$DJ,'Area-Cabang'!$B109,'CWO Bulan Ini'!$DH:$DH,'Area-Cabang'!$E109,'CWO Bulan Ini'!$CZ:$CZ,'Area-Cabang'!BL$41)</f>
        <v>0</v>
      </c>
      <c r="BM109" s="42">
        <f>SUMIFS('CWO Bulan Ini'!$DD:$DD,'CWO Bulan Ini'!$DJ:$DJ,'Area-Cabang'!$B109,'CWO Bulan Ini'!$DH:$DH,'Area-Cabang'!$E109,'CWO Bulan Ini'!$CZ:$CZ,'Area-Cabang'!BM$41)</f>
        <v>0</v>
      </c>
      <c r="BN109" s="42">
        <f>SUMIFS('CWO Bulan Ini'!$DD:$DD,'CWO Bulan Ini'!$DJ:$DJ,'Area-Cabang'!$B109,'CWO Bulan Ini'!$DH:$DH,'Area-Cabang'!$E109,'CWO Bulan Ini'!$CZ:$CZ,'Area-Cabang'!BN$41)</f>
        <v>0</v>
      </c>
      <c r="BO109" s="43">
        <f>SUMIFS('CWO Bulan Ini'!$DD:$DD,'CWO Bulan Ini'!$DJ:$DJ,'Area-Cabang'!$B109,'CWO Bulan Ini'!$DH:$DH,'Area-Cabang'!$E109,'CWO Bulan Ini'!$CZ:$CZ,'Area-Cabang'!BO$41)</f>
        <v>0</v>
      </c>
      <c r="BP109" s="41">
        <f>SUMIFS('CWO Bulan Ini'!$DC:$DC,'CWO Bulan Ini'!$DJ:$DJ,'Area-Cabang'!$B109,'CWO Bulan Ini'!$DH:$DH,'Area-Cabang'!$E109,'CWO Bulan Ini'!$CZ:$CZ,'Area-Cabang'!BP$41)</f>
        <v>0</v>
      </c>
      <c r="BQ109" s="42">
        <f>SUMIFS('CWO Bulan Ini'!$DC:$DC,'CWO Bulan Ini'!$DJ:$DJ,'Area-Cabang'!$B109,'CWO Bulan Ini'!$DH:$DH,'Area-Cabang'!$E109,'CWO Bulan Ini'!$CZ:$CZ,'Area-Cabang'!BQ$41)</f>
        <v>0</v>
      </c>
      <c r="BR109" s="42">
        <f>SUMIFS('CWO Bulan Ini'!$DC:$DC,'CWO Bulan Ini'!$DJ:$DJ,'Area-Cabang'!$B109,'CWO Bulan Ini'!$DH:$DH,'Area-Cabang'!$E109,'CWO Bulan Ini'!$CZ:$CZ,'Area-Cabang'!BR$41)</f>
        <v>0</v>
      </c>
      <c r="BS109" s="42">
        <f>SUMIFS('CWO Bulan Ini'!$DC:$DC,'CWO Bulan Ini'!$DJ:$DJ,'Area-Cabang'!$B109,'CWO Bulan Ini'!$DH:$DH,'Area-Cabang'!$E109,'CWO Bulan Ini'!$CZ:$CZ,'Area-Cabang'!BS$41)</f>
        <v>0</v>
      </c>
      <c r="BT109" s="42">
        <f>SUMIFS('CWO Bulan Ini'!$DC:$DC,'CWO Bulan Ini'!$DJ:$DJ,'Area-Cabang'!$B109,'CWO Bulan Ini'!$DH:$DH,'Area-Cabang'!$E109,'CWO Bulan Ini'!$CZ:$CZ,'Area-Cabang'!BT$41)</f>
        <v>0</v>
      </c>
      <c r="BU109" s="42">
        <f>SUMIFS('CWO Bulan Ini'!$DC:$DC,'CWO Bulan Ini'!$DJ:$DJ,'Area-Cabang'!$B109,'CWO Bulan Ini'!$DH:$DH,'Area-Cabang'!$E109,'CWO Bulan Ini'!$CZ:$CZ,'Area-Cabang'!BU$41)</f>
        <v>0</v>
      </c>
      <c r="BV109" s="42">
        <f>SUMIFS('CWO Bulan Ini'!$DC:$DC,'CWO Bulan Ini'!$DJ:$DJ,'Area-Cabang'!$B109,'CWO Bulan Ini'!$DH:$DH,'Area-Cabang'!$E109,'CWO Bulan Ini'!$CZ:$CZ,'Area-Cabang'!BV$41)</f>
        <v>0</v>
      </c>
      <c r="BW109" s="42">
        <f>SUMIFS('CWO Bulan Ini'!$DC:$DC,'CWO Bulan Ini'!$DJ:$DJ,'Area-Cabang'!$B109,'CWO Bulan Ini'!$DH:$DH,'Area-Cabang'!$E109,'CWO Bulan Ini'!$CZ:$CZ,'Area-Cabang'!BW$41)</f>
        <v>0</v>
      </c>
      <c r="BX109" s="42">
        <f>SUMIFS('CWO Bulan Ini'!$DC:$DC,'CWO Bulan Ini'!$DJ:$DJ,'Area-Cabang'!$B109,'CWO Bulan Ini'!$DH:$DH,'Area-Cabang'!$E109,'CWO Bulan Ini'!$CZ:$CZ,'Area-Cabang'!BX$41)</f>
        <v>0</v>
      </c>
      <c r="BY109" s="42">
        <f>SUMIFS('CWO Bulan Ini'!$DC:$DC,'CWO Bulan Ini'!$DJ:$DJ,'Area-Cabang'!$B109,'CWO Bulan Ini'!$DH:$DH,'Area-Cabang'!$E109,'CWO Bulan Ini'!$CZ:$CZ,'Area-Cabang'!BY$41)</f>
        <v>0</v>
      </c>
      <c r="BZ109" s="42">
        <f>SUMIFS('CWO Bulan Ini'!$DC:$DC,'CWO Bulan Ini'!$DJ:$DJ,'Area-Cabang'!$B109,'CWO Bulan Ini'!$DH:$DH,'Area-Cabang'!$E109,'CWO Bulan Ini'!$CZ:$CZ,'Area-Cabang'!BZ$41)</f>
        <v>0</v>
      </c>
      <c r="CA109" s="42">
        <f>SUMIFS('CWO Bulan Ini'!$DC:$DC,'CWO Bulan Ini'!$DJ:$DJ,'Area-Cabang'!$B109,'CWO Bulan Ini'!$DH:$DH,'Area-Cabang'!$E109,'CWO Bulan Ini'!$CZ:$CZ,'Area-Cabang'!CA$41)</f>
        <v>0</v>
      </c>
      <c r="CB109" s="42">
        <f>SUMIFS('CWO Bulan Ini'!$DC:$DC,'CWO Bulan Ini'!$DJ:$DJ,'Area-Cabang'!$B109,'CWO Bulan Ini'!$DH:$DH,'Area-Cabang'!$E109,'CWO Bulan Ini'!$CZ:$CZ,'Area-Cabang'!CB$41)</f>
        <v>0</v>
      </c>
      <c r="CC109" s="42">
        <f>SUMIFS('CWO Bulan Ini'!$DC:$DC,'CWO Bulan Ini'!$DJ:$DJ,'Area-Cabang'!$B109,'CWO Bulan Ini'!$DH:$DH,'Area-Cabang'!$E109,'CWO Bulan Ini'!$CZ:$CZ,'Area-Cabang'!CC$41)</f>
        <v>0</v>
      </c>
      <c r="CD109" s="42">
        <f>SUMIFS('CWO Bulan Ini'!$DC:$DC,'CWO Bulan Ini'!$DJ:$DJ,'Area-Cabang'!$B109,'CWO Bulan Ini'!$DH:$DH,'Area-Cabang'!$E109,'CWO Bulan Ini'!$CZ:$CZ,'Area-Cabang'!CD$41)</f>
        <v>0</v>
      </c>
      <c r="CE109" s="42">
        <f>SUMIFS('CWO Bulan Ini'!$DC:$DC,'CWO Bulan Ini'!$DJ:$DJ,'Area-Cabang'!$B109,'CWO Bulan Ini'!$DH:$DH,'Area-Cabang'!$E109,'CWO Bulan Ini'!$CZ:$CZ,'Area-Cabang'!CE$41)</f>
        <v>0</v>
      </c>
      <c r="CF109" s="42">
        <f>SUMIFS('CWO Bulan Ini'!$DC:$DC,'CWO Bulan Ini'!$DJ:$DJ,'Area-Cabang'!$B109,'CWO Bulan Ini'!$DH:$DH,'Area-Cabang'!$E109,'CWO Bulan Ini'!$CZ:$CZ,'Area-Cabang'!CF$41)</f>
        <v>0</v>
      </c>
      <c r="CG109" s="42">
        <f>SUMIFS('CWO Bulan Ini'!$DC:$DC,'CWO Bulan Ini'!$DJ:$DJ,'Area-Cabang'!$B109,'CWO Bulan Ini'!$DH:$DH,'Area-Cabang'!$E109,'CWO Bulan Ini'!$CZ:$CZ,'Area-Cabang'!CG$41)</f>
        <v>0</v>
      </c>
      <c r="CH109" s="42">
        <f>SUMIFS('CWO Bulan Ini'!$DC:$DC,'CWO Bulan Ini'!$DJ:$DJ,'Area-Cabang'!$B109,'CWO Bulan Ini'!$DH:$DH,'Area-Cabang'!$E109,'CWO Bulan Ini'!$CZ:$CZ,'Area-Cabang'!CH$41)</f>
        <v>0</v>
      </c>
      <c r="CI109" s="42">
        <f>SUMIFS('CWO Bulan Ini'!$DC:$DC,'CWO Bulan Ini'!$DJ:$DJ,'Area-Cabang'!$B109,'CWO Bulan Ini'!$DH:$DH,'Area-Cabang'!$E109,'CWO Bulan Ini'!$CZ:$CZ,'Area-Cabang'!CI$41)</f>
        <v>0</v>
      </c>
      <c r="CJ109" s="42">
        <f>SUMIFS('CWO Bulan Ini'!$DC:$DC,'CWO Bulan Ini'!$DJ:$DJ,'Area-Cabang'!$B109,'CWO Bulan Ini'!$DH:$DH,'Area-Cabang'!$E109,'CWO Bulan Ini'!$CZ:$CZ,'Area-Cabang'!CJ$41)</f>
        <v>0</v>
      </c>
      <c r="CK109" s="42">
        <f>SUMIFS('CWO Bulan Ini'!$DC:$DC,'CWO Bulan Ini'!$DJ:$DJ,'Area-Cabang'!$B109,'CWO Bulan Ini'!$DH:$DH,'Area-Cabang'!$E109,'CWO Bulan Ini'!$CZ:$CZ,'Area-Cabang'!CK$41)</f>
        <v>0</v>
      </c>
      <c r="CL109" s="42">
        <f>SUMIFS('CWO Bulan Ini'!$DC:$DC,'CWO Bulan Ini'!$DJ:$DJ,'Area-Cabang'!$B109,'CWO Bulan Ini'!$DH:$DH,'Area-Cabang'!$E109,'CWO Bulan Ini'!$CZ:$CZ,'Area-Cabang'!CL$41)</f>
        <v>0</v>
      </c>
      <c r="CM109" s="42">
        <f>SUMIFS('CWO Bulan Ini'!$DC:$DC,'CWO Bulan Ini'!$DJ:$DJ,'Area-Cabang'!$B109,'CWO Bulan Ini'!$DH:$DH,'Area-Cabang'!$E109,'CWO Bulan Ini'!$CZ:$CZ,'Area-Cabang'!CM$41)</f>
        <v>0</v>
      </c>
      <c r="CN109" s="42">
        <f>SUMIFS('CWO Bulan Ini'!$DC:$DC,'CWO Bulan Ini'!$DJ:$DJ,'Area-Cabang'!$B109,'CWO Bulan Ini'!$DH:$DH,'Area-Cabang'!$E109,'CWO Bulan Ini'!$CZ:$CZ,'Area-Cabang'!CN$41)</f>
        <v>0</v>
      </c>
      <c r="CO109" s="42">
        <f>SUMIFS('CWO Bulan Ini'!$DC:$DC,'CWO Bulan Ini'!$DJ:$DJ,'Area-Cabang'!$B109,'CWO Bulan Ini'!$DH:$DH,'Area-Cabang'!$E109,'CWO Bulan Ini'!$CZ:$CZ,'Area-Cabang'!CO$41)</f>
        <v>0</v>
      </c>
      <c r="CP109" s="42">
        <f>SUMIFS('CWO Bulan Ini'!$DC:$DC,'CWO Bulan Ini'!$DJ:$DJ,'Area-Cabang'!$B109,'CWO Bulan Ini'!$DH:$DH,'Area-Cabang'!$E109,'CWO Bulan Ini'!$CZ:$CZ,'Area-Cabang'!CP$41)</f>
        <v>0</v>
      </c>
      <c r="CQ109" s="42">
        <f>SUMIFS('CWO Bulan Ini'!$DC:$DC,'CWO Bulan Ini'!$DJ:$DJ,'Area-Cabang'!$B109,'CWO Bulan Ini'!$DH:$DH,'Area-Cabang'!$E109,'CWO Bulan Ini'!$CZ:$CZ,'Area-Cabang'!CQ$41)</f>
        <v>0</v>
      </c>
      <c r="CR109" s="42">
        <f>SUMIFS('CWO Bulan Ini'!$DC:$DC,'CWO Bulan Ini'!$DJ:$DJ,'Area-Cabang'!$B109,'CWO Bulan Ini'!$DH:$DH,'Area-Cabang'!$E109,'CWO Bulan Ini'!$CZ:$CZ,'Area-Cabang'!CR$41)</f>
        <v>0</v>
      </c>
      <c r="CS109" s="42">
        <f>SUMIFS('CWO Bulan Ini'!$DC:$DC,'CWO Bulan Ini'!$DJ:$DJ,'Area-Cabang'!$B109,'CWO Bulan Ini'!$DH:$DH,'Area-Cabang'!$E109,'CWO Bulan Ini'!$CZ:$CZ,'Area-Cabang'!CS$41)</f>
        <v>0</v>
      </c>
      <c r="CT109" s="43">
        <f>SUMIFS('CWO Bulan Ini'!$DC:$DC,'CWO Bulan Ini'!$DJ:$DJ,'Area-Cabang'!$B109,'CWO Bulan Ini'!$DH:$DH,'Area-Cabang'!$E109,'CWO Bulan Ini'!$CZ:$CZ,'Area-Cabang'!CT$41)</f>
        <v>0</v>
      </c>
      <c r="CV109" s="96">
        <f t="shared" si="3247"/>
        <v>36.314189150000004</v>
      </c>
      <c r="CW109" s="93">
        <f t="shared" si="3248"/>
        <v>36.314189150000004</v>
      </c>
      <c r="CX109" s="93">
        <f t="shared" si="3249"/>
        <v>0</v>
      </c>
      <c r="CY109" s="93">
        <f t="shared" si="3250"/>
        <v>0</v>
      </c>
      <c r="CZ109" s="106">
        <f t="shared" si="3251"/>
        <v>36.314189150000004</v>
      </c>
    </row>
    <row r="110" spans="1:104" ht="15" customHeight="1" x14ac:dyDescent="0.25">
      <c r="A110" s="58" t="s">
        <v>448</v>
      </c>
      <c r="B110" s="53" t="s">
        <v>829</v>
      </c>
      <c r="C110" s="250"/>
      <c r="D110" s="227" t="s">
        <v>829</v>
      </c>
      <c r="E110" s="228"/>
      <c r="F110" s="219">
        <f t="shared" ref="F110" si="3252">SUM(F108:F109)</f>
        <v>0</v>
      </c>
      <c r="G110" s="220">
        <f t="shared" ref="G110" si="3253">SUM(G108:G109)</f>
        <v>0</v>
      </c>
      <c r="H110" s="220">
        <f t="shared" ref="H110" si="3254">SUM(H108:H109)</f>
        <v>0</v>
      </c>
      <c r="I110" s="220">
        <f t="shared" ref="I110" si="3255">SUM(I108:I109)</f>
        <v>36.314189150000004</v>
      </c>
      <c r="J110" s="220">
        <f t="shared" ref="J110" si="3256">SUM(J108:J109)</f>
        <v>0</v>
      </c>
      <c r="K110" s="220">
        <f t="shared" ref="K110" si="3257">SUM(K108:K109)</f>
        <v>0</v>
      </c>
      <c r="L110" s="220">
        <f t="shared" ref="L110" si="3258">SUM(L108:L109)</f>
        <v>146.98150742999999</v>
      </c>
      <c r="M110" s="220">
        <f t="shared" ref="M110" si="3259">SUM(M108:M109)</f>
        <v>0</v>
      </c>
      <c r="N110" s="220">
        <f t="shared" ref="N110" si="3260">SUM(N108:N109)</f>
        <v>0</v>
      </c>
      <c r="O110" s="220">
        <f t="shared" ref="O110" si="3261">SUM(O108:O109)</f>
        <v>96.622118959999995</v>
      </c>
      <c r="P110" s="220">
        <f t="shared" ref="P110" si="3262">SUM(P108:P109)</f>
        <v>0</v>
      </c>
      <c r="Q110" s="220">
        <f t="shared" ref="Q110" si="3263">SUM(Q108:Q109)</f>
        <v>0</v>
      </c>
      <c r="R110" s="220">
        <f t="shared" ref="R110" si="3264">SUM(R108:R109)</f>
        <v>0</v>
      </c>
      <c r="S110" s="220">
        <f t="shared" ref="S110" si="3265">SUM(S108:S109)</f>
        <v>57.360339500000002</v>
      </c>
      <c r="T110" s="220">
        <f t="shared" ref="T110" si="3266">SUM(T108:T109)</f>
        <v>0</v>
      </c>
      <c r="U110" s="220">
        <f t="shared" ref="U110" si="3267">SUM(U108:U109)</f>
        <v>0</v>
      </c>
      <c r="V110" s="220">
        <f t="shared" ref="V110" si="3268">SUM(V108:V109)</f>
        <v>0</v>
      </c>
      <c r="W110" s="220">
        <f t="shared" ref="W110" si="3269">SUM(W108:W109)</f>
        <v>0</v>
      </c>
      <c r="X110" s="220">
        <f t="shared" ref="X110" si="3270">SUM(X108:X109)</f>
        <v>0</v>
      </c>
      <c r="Y110" s="220">
        <f t="shared" ref="Y110" si="3271">SUM(Y108:Y109)</f>
        <v>0</v>
      </c>
      <c r="Z110" s="220">
        <f t="shared" ref="Z110" si="3272">SUM(Z108:Z109)</f>
        <v>0</v>
      </c>
      <c r="AA110" s="220">
        <f t="shared" ref="AA110" si="3273">SUM(AA108:AA109)</f>
        <v>0</v>
      </c>
      <c r="AB110" s="220">
        <f t="shared" ref="AB110" si="3274">SUM(AB108:AB109)</f>
        <v>0</v>
      </c>
      <c r="AC110" s="220">
        <f t="shared" ref="AC110" si="3275">SUM(AC108:AC109)</f>
        <v>0</v>
      </c>
      <c r="AD110" s="220">
        <f t="shared" ref="AD110" si="3276">SUM(AD108:AD109)</f>
        <v>0</v>
      </c>
      <c r="AE110" s="220">
        <f t="shared" ref="AE110" si="3277">SUM(AE108:AE109)</f>
        <v>0</v>
      </c>
      <c r="AF110" s="220">
        <f t="shared" ref="AF110" si="3278">SUM(AF108:AF109)</f>
        <v>0</v>
      </c>
      <c r="AG110" s="220">
        <f t="shared" ref="AG110" si="3279">SUM(AG108:AG109)</f>
        <v>0</v>
      </c>
      <c r="AH110" s="220">
        <f t="shared" ref="AH110" si="3280">SUM(AH108:AH109)</f>
        <v>0</v>
      </c>
      <c r="AI110" s="220">
        <f t="shared" ref="AI110" si="3281">SUM(AI108:AI109)</f>
        <v>0</v>
      </c>
      <c r="AJ110" s="220">
        <f t="shared" ref="AJ110" si="3282">SUM(AJ108:AJ109)</f>
        <v>0</v>
      </c>
      <c r="AK110" s="219">
        <f t="shared" ref="AK110" si="3283">SUM(AK108:AK109)</f>
        <v>0</v>
      </c>
      <c r="AL110" s="220">
        <f t="shared" ref="AL110" si="3284">SUM(AL108:AL109)</f>
        <v>0</v>
      </c>
      <c r="AM110" s="220">
        <f t="shared" ref="AM110" si="3285">SUM(AM108:AM109)</f>
        <v>0</v>
      </c>
      <c r="AN110" s="220">
        <f t="shared" ref="AN110" si="3286">SUM(AN108:AN109)</f>
        <v>36.314189150000004</v>
      </c>
      <c r="AO110" s="220">
        <f t="shared" ref="AO110" si="3287">SUM(AO108:AO109)</f>
        <v>0</v>
      </c>
      <c r="AP110" s="220">
        <f t="shared" ref="AP110" si="3288">SUM(AP108:AP109)</f>
        <v>0</v>
      </c>
      <c r="AQ110" s="220">
        <f t="shared" ref="AQ110" si="3289">SUM(AQ108:AQ109)</f>
        <v>146.98150742999999</v>
      </c>
      <c r="AR110" s="220">
        <f t="shared" ref="AR110" si="3290">SUM(AR108:AR109)</f>
        <v>0</v>
      </c>
      <c r="AS110" s="220">
        <f t="shared" ref="AS110" si="3291">SUM(AS108:AS109)</f>
        <v>0</v>
      </c>
      <c r="AT110" s="220">
        <f t="shared" ref="AT110" si="3292">SUM(AT108:AT109)</f>
        <v>0</v>
      </c>
      <c r="AU110" s="220">
        <f t="shared" ref="AU110" si="3293">SUM(AU108:AU109)</f>
        <v>0</v>
      </c>
      <c r="AV110" s="220">
        <f t="shared" ref="AV110" si="3294">SUM(AV108:AV109)</f>
        <v>0</v>
      </c>
      <c r="AW110" s="220">
        <f t="shared" ref="AW110" si="3295">SUM(AW108:AW109)</f>
        <v>0</v>
      </c>
      <c r="AX110" s="220">
        <f t="shared" ref="AX110" si="3296">SUM(AX108:AX109)</f>
        <v>0</v>
      </c>
      <c r="AY110" s="220">
        <f t="shared" ref="AY110" si="3297">SUM(AY108:AY109)</f>
        <v>0</v>
      </c>
      <c r="AZ110" s="220">
        <f t="shared" ref="AZ110" si="3298">SUM(AZ108:AZ109)</f>
        <v>0</v>
      </c>
      <c r="BA110" s="220">
        <f t="shared" ref="BA110" si="3299">SUM(BA108:BA109)</f>
        <v>0</v>
      </c>
      <c r="BB110" s="220">
        <f t="shared" ref="BB110" si="3300">SUM(BB108:BB109)</f>
        <v>0</v>
      </c>
      <c r="BC110" s="220">
        <f t="shared" ref="BC110" si="3301">SUM(BC108:BC109)</f>
        <v>0</v>
      </c>
      <c r="BD110" s="220">
        <f t="shared" ref="BD110" si="3302">SUM(BD108:BD109)</f>
        <v>0</v>
      </c>
      <c r="BE110" s="220">
        <f t="shared" ref="BE110" si="3303">SUM(BE108:BE109)</f>
        <v>0</v>
      </c>
      <c r="BF110" s="220">
        <f t="shared" ref="BF110" si="3304">SUM(BF108:BF109)</f>
        <v>0</v>
      </c>
      <c r="BG110" s="220">
        <f t="shared" ref="BG110" si="3305">SUM(BG108:BG109)</f>
        <v>0</v>
      </c>
      <c r="BH110" s="220">
        <f t="shared" ref="BH110" si="3306">SUM(BH108:BH109)</f>
        <v>0</v>
      </c>
      <c r="BI110" s="220">
        <f t="shared" ref="BI110" si="3307">SUM(BI108:BI109)</f>
        <v>0</v>
      </c>
      <c r="BJ110" s="220">
        <f t="shared" ref="BJ110" si="3308">SUM(BJ108:BJ109)</f>
        <v>0</v>
      </c>
      <c r="BK110" s="220">
        <f t="shared" ref="BK110" si="3309">SUM(BK108:BK109)</f>
        <v>0</v>
      </c>
      <c r="BL110" s="220">
        <f t="shared" ref="BL110" si="3310">SUM(BL108:BL109)</f>
        <v>0</v>
      </c>
      <c r="BM110" s="220">
        <f t="shared" ref="BM110" si="3311">SUM(BM108:BM109)</f>
        <v>0</v>
      </c>
      <c r="BN110" s="220">
        <f t="shared" ref="BN110" si="3312">SUM(BN108:BN109)</f>
        <v>0</v>
      </c>
      <c r="BO110" s="221">
        <f t="shared" ref="BO110" si="3313">SUM(BO108:BO109)</f>
        <v>0</v>
      </c>
      <c r="BP110" s="219">
        <f t="shared" ref="BP110" si="3314">SUM(BP108:BP109)</f>
        <v>0</v>
      </c>
      <c r="BQ110" s="220">
        <f t="shared" ref="BQ110" si="3315">SUM(BQ108:BQ109)</f>
        <v>0</v>
      </c>
      <c r="BR110" s="220">
        <f t="shared" ref="BR110" si="3316">SUM(BR108:BR109)</f>
        <v>0</v>
      </c>
      <c r="BS110" s="220">
        <f t="shared" ref="BS110" si="3317">SUM(BS108:BS109)</f>
        <v>0</v>
      </c>
      <c r="BT110" s="220">
        <f t="shared" ref="BT110" si="3318">SUM(BT108:BT109)</f>
        <v>0</v>
      </c>
      <c r="BU110" s="220">
        <f t="shared" ref="BU110" si="3319">SUM(BU108:BU109)</f>
        <v>0</v>
      </c>
      <c r="BV110" s="220">
        <f t="shared" ref="BV110" si="3320">SUM(BV108:BV109)</f>
        <v>0</v>
      </c>
      <c r="BW110" s="220">
        <f t="shared" ref="BW110" si="3321">SUM(BW108:BW109)</f>
        <v>0</v>
      </c>
      <c r="BX110" s="220">
        <f t="shared" ref="BX110" si="3322">SUM(BX108:BX109)</f>
        <v>0</v>
      </c>
      <c r="BY110" s="220">
        <f t="shared" ref="BY110" si="3323">SUM(BY108:BY109)</f>
        <v>0</v>
      </c>
      <c r="BZ110" s="220">
        <f t="shared" ref="BZ110" si="3324">SUM(BZ108:BZ109)</f>
        <v>0</v>
      </c>
      <c r="CA110" s="220">
        <f t="shared" ref="CA110" si="3325">SUM(CA108:CA109)</f>
        <v>0</v>
      </c>
      <c r="CB110" s="220">
        <f t="shared" ref="CB110" si="3326">SUM(CB108:CB109)</f>
        <v>0</v>
      </c>
      <c r="CC110" s="220">
        <f t="shared" ref="CC110" si="3327">SUM(CC108:CC109)</f>
        <v>0</v>
      </c>
      <c r="CD110" s="220">
        <f t="shared" ref="CD110" si="3328">SUM(CD108:CD109)</f>
        <v>0</v>
      </c>
      <c r="CE110" s="220">
        <f t="shared" ref="CE110" si="3329">SUM(CE108:CE109)</f>
        <v>0</v>
      </c>
      <c r="CF110" s="220">
        <f t="shared" ref="CF110" si="3330">SUM(CF108:CF109)</f>
        <v>0</v>
      </c>
      <c r="CG110" s="220">
        <f t="shared" ref="CG110" si="3331">SUM(CG108:CG109)</f>
        <v>0</v>
      </c>
      <c r="CH110" s="220">
        <f t="shared" ref="CH110" si="3332">SUM(CH108:CH109)</f>
        <v>0</v>
      </c>
      <c r="CI110" s="220">
        <f t="shared" ref="CI110" si="3333">SUM(CI108:CI109)</f>
        <v>0</v>
      </c>
      <c r="CJ110" s="220">
        <f t="shared" ref="CJ110" si="3334">SUM(CJ108:CJ109)</f>
        <v>0</v>
      </c>
      <c r="CK110" s="220">
        <f t="shared" ref="CK110" si="3335">SUM(CK108:CK109)</f>
        <v>0</v>
      </c>
      <c r="CL110" s="220">
        <f t="shared" ref="CL110" si="3336">SUM(CL108:CL109)</f>
        <v>0</v>
      </c>
      <c r="CM110" s="220">
        <f t="shared" ref="CM110" si="3337">SUM(CM108:CM109)</f>
        <v>0</v>
      </c>
      <c r="CN110" s="220">
        <f t="shared" ref="CN110" si="3338">SUM(CN108:CN109)</f>
        <v>0</v>
      </c>
      <c r="CO110" s="220">
        <f t="shared" ref="CO110" si="3339">SUM(CO108:CO109)</f>
        <v>0</v>
      </c>
      <c r="CP110" s="220">
        <f t="shared" ref="CP110" si="3340">SUM(CP108:CP109)</f>
        <v>0</v>
      </c>
      <c r="CQ110" s="220">
        <f t="shared" ref="CQ110" si="3341">SUM(CQ108:CQ109)</f>
        <v>0</v>
      </c>
      <c r="CR110" s="220">
        <f t="shared" ref="CR110" si="3342">SUM(CR108:CR109)</f>
        <v>0</v>
      </c>
      <c r="CS110" s="220">
        <f t="shared" ref="CS110" si="3343">SUM(CS108:CS109)</f>
        <v>0</v>
      </c>
      <c r="CT110" s="221">
        <f t="shared" ref="CT110" si="3344">SUM(CT108:CT109)</f>
        <v>0</v>
      </c>
      <c r="CU110" s="226"/>
      <c r="CV110" s="219">
        <f t="shared" ref="CV110" si="3345">SUM(CV108:CV109)</f>
        <v>337.27815504</v>
      </c>
      <c r="CW110" s="220">
        <f t="shared" ref="CW110" si="3346">SUM(CW108:CW109)</f>
        <v>183.29569658</v>
      </c>
      <c r="CX110" s="220">
        <f t="shared" ref="CX110" si="3347">SUM(CX108:CX109)</f>
        <v>0</v>
      </c>
      <c r="CY110" s="220">
        <f t="shared" ref="CY110" si="3348">SUM(CY108:CY109)</f>
        <v>153.98245846</v>
      </c>
      <c r="CZ110" s="222">
        <f t="shared" ref="CZ110" si="3349">SUM(CZ108:CZ109)</f>
        <v>337.27815504</v>
      </c>
    </row>
    <row r="111" spans="1:104" ht="15" customHeight="1" x14ac:dyDescent="0.25">
      <c r="A111" s="58" t="s">
        <v>448</v>
      </c>
      <c r="B111" s="53" t="s">
        <v>393</v>
      </c>
      <c r="C111" s="250"/>
      <c r="D111" s="245" t="s">
        <v>393</v>
      </c>
      <c r="E111" s="85" t="s">
        <v>132</v>
      </c>
      <c r="F111" s="55">
        <f>SUMIFS('CWO Bulan Ini'!$DA:$DA,'CWO Bulan Ini'!$DJ:$DJ,'Area-Cabang'!$B111,'CWO Bulan Ini'!$DH:$DH,'Area-Cabang'!$E111,'CWO Bulan Ini'!$CZ:$CZ,'Area-Cabang'!F$41)</f>
        <v>0</v>
      </c>
      <c r="G111" s="56">
        <f>SUMIFS('CWO Bulan Ini'!$DA:$DA,'CWO Bulan Ini'!$DJ:$DJ,'Area-Cabang'!$B111,'CWO Bulan Ini'!$DH:$DH,'Area-Cabang'!$E111,'CWO Bulan Ini'!$CZ:$CZ,'Area-Cabang'!G$41)</f>
        <v>0</v>
      </c>
      <c r="H111" s="56">
        <f>SUMIFS('CWO Bulan Ini'!$DA:$DA,'CWO Bulan Ini'!$DJ:$DJ,'Area-Cabang'!$B111,'CWO Bulan Ini'!$DH:$DH,'Area-Cabang'!$E111,'CWO Bulan Ini'!$CZ:$CZ,'Area-Cabang'!H$41)</f>
        <v>0</v>
      </c>
      <c r="I111" s="56">
        <f>SUMIFS('CWO Bulan Ini'!$DA:$DA,'CWO Bulan Ini'!$DJ:$DJ,'Area-Cabang'!$B111,'CWO Bulan Ini'!$DH:$DH,'Area-Cabang'!$E111,'CWO Bulan Ini'!$CZ:$CZ,'Area-Cabang'!I$41)</f>
        <v>122.00644890000001</v>
      </c>
      <c r="J111" s="56">
        <f>SUMIFS('CWO Bulan Ini'!$DA:$DA,'CWO Bulan Ini'!$DJ:$DJ,'Area-Cabang'!$B111,'CWO Bulan Ini'!$DH:$DH,'Area-Cabang'!$E111,'CWO Bulan Ini'!$CZ:$CZ,'Area-Cabang'!J$41)</f>
        <v>0</v>
      </c>
      <c r="K111" s="56">
        <f>SUMIFS('CWO Bulan Ini'!$DA:$DA,'CWO Bulan Ini'!$DJ:$DJ,'Area-Cabang'!$B111,'CWO Bulan Ini'!$DH:$DH,'Area-Cabang'!$E111,'CWO Bulan Ini'!$CZ:$CZ,'Area-Cabang'!K$41)</f>
        <v>0</v>
      </c>
      <c r="L111" s="56">
        <f>SUMIFS('CWO Bulan Ini'!$DA:$DA,'CWO Bulan Ini'!$DJ:$DJ,'Area-Cabang'!$B111,'CWO Bulan Ini'!$DH:$DH,'Area-Cabang'!$E111,'CWO Bulan Ini'!$CZ:$CZ,'Area-Cabang'!L$41)</f>
        <v>0</v>
      </c>
      <c r="M111" s="56">
        <f>SUMIFS('CWO Bulan Ini'!$DA:$DA,'CWO Bulan Ini'!$DJ:$DJ,'Area-Cabang'!$B111,'CWO Bulan Ini'!$DH:$DH,'Area-Cabang'!$E111,'CWO Bulan Ini'!$CZ:$CZ,'Area-Cabang'!M$41)</f>
        <v>0</v>
      </c>
      <c r="N111" s="56">
        <f>SUMIFS('CWO Bulan Ini'!$DA:$DA,'CWO Bulan Ini'!$DJ:$DJ,'Area-Cabang'!$B111,'CWO Bulan Ini'!$DH:$DH,'Area-Cabang'!$E111,'CWO Bulan Ini'!$CZ:$CZ,'Area-Cabang'!N$41)</f>
        <v>0</v>
      </c>
      <c r="O111" s="56">
        <f>SUMIFS('CWO Bulan Ini'!$DA:$DA,'CWO Bulan Ini'!$DJ:$DJ,'Area-Cabang'!$B111,'CWO Bulan Ini'!$DH:$DH,'Area-Cabang'!$E111,'CWO Bulan Ini'!$CZ:$CZ,'Area-Cabang'!O$41)</f>
        <v>0</v>
      </c>
      <c r="P111" s="56">
        <f>SUMIFS('CWO Bulan Ini'!$DA:$DA,'CWO Bulan Ini'!$DJ:$DJ,'Area-Cabang'!$B111,'CWO Bulan Ini'!$DH:$DH,'Area-Cabang'!$E111,'CWO Bulan Ini'!$CZ:$CZ,'Area-Cabang'!P$41)</f>
        <v>0</v>
      </c>
      <c r="Q111" s="56">
        <f>SUMIFS('CWO Bulan Ini'!$DA:$DA,'CWO Bulan Ini'!$DJ:$DJ,'Area-Cabang'!$B111,'CWO Bulan Ini'!$DH:$DH,'Area-Cabang'!$E111,'CWO Bulan Ini'!$CZ:$CZ,'Area-Cabang'!Q$41)</f>
        <v>0</v>
      </c>
      <c r="R111" s="56">
        <f>SUMIFS('CWO Bulan Ini'!$DA:$DA,'CWO Bulan Ini'!$DJ:$DJ,'Area-Cabang'!$B111,'CWO Bulan Ini'!$DH:$DH,'Area-Cabang'!$E111,'CWO Bulan Ini'!$CZ:$CZ,'Area-Cabang'!R$41)</f>
        <v>0</v>
      </c>
      <c r="S111" s="56">
        <f>SUMIFS('CWO Bulan Ini'!$DA:$DA,'CWO Bulan Ini'!$DJ:$DJ,'Area-Cabang'!$B111,'CWO Bulan Ini'!$DH:$DH,'Area-Cabang'!$E111,'CWO Bulan Ini'!$CZ:$CZ,'Area-Cabang'!S$41)</f>
        <v>0</v>
      </c>
      <c r="T111" s="56">
        <f>SUMIFS('CWO Bulan Ini'!$DA:$DA,'CWO Bulan Ini'!$DJ:$DJ,'Area-Cabang'!$B111,'CWO Bulan Ini'!$DH:$DH,'Area-Cabang'!$E111,'CWO Bulan Ini'!$CZ:$CZ,'Area-Cabang'!T$41)</f>
        <v>0</v>
      </c>
      <c r="U111" s="56">
        <f>SUMIFS('CWO Bulan Ini'!$DA:$DA,'CWO Bulan Ini'!$DJ:$DJ,'Area-Cabang'!$B111,'CWO Bulan Ini'!$DH:$DH,'Area-Cabang'!$E111,'CWO Bulan Ini'!$CZ:$CZ,'Area-Cabang'!U$41)</f>
        <v>0</v>
      </c>
      <c r="V111" s="56">
        <f>SUMIFS('CWO Bulan Ini'!$DA:$DA,'CWO Bulan Ini'!$DJ:$DJ,'Area-Cabang'!$B111,'CWO Bulan Ini'!$DH:$DH,'Area-Cabang'!$E111,'CWO Bulan Ini'!$CZ:$CZ,'Area-Cabang'!V$41)</f>
        <v>0</v>
      </c>
      <c r="W111" s="56">
        <f>SUMIFS('CWO Bulan Ini'!$DA:$DA,'CWO Bulan Ini'!$DJ:$DJ,'Area-Cabang'!$B111,'CWO Bulan Ini'!$DH:$DH,'Area-Cabang'!$E111,'CWO Bulan Ini'!$CZ:$CZ,'Area-Cabang'!W$41)</f>
        <v>0</v>
      </c>
      <c r="X111" s="56">
        <f>SUMIFS('CWO Bulan Ini'!$DA:$DA,'CWO Bulan Ini'!$DJ:$DJ,'Area-Cabang'!$B111,'CWO Bulan Ini'!$DH:$DH,'Area-Cabang'!$E111,'CWO Bulan Ini'!$CZ:$CZ,'Area-Cabang'!X$41)</f>
        <v>0</v>
      </c>
      <c r="Y111" s="56">
        <f>SUMIFS('CWO Bulan Ini'!$DA:$DA,'CWO Bulan Ini'!$DJ:$DJ,'Area-Cabang'!$B111,'CWO Bulan Ini'!$DH:$DH,'Area-Cabang'!$E111,'CWO Bulan Ini'!$CZ:$CZ,'Area-Cabang'!Y$41)</f>
        <v>0</v>
      </c>
      <c r="Z111" s="56">
        <f>SUMIFS('CWO Bulan Ini'!$DA:$DA,'CWO Bulan Ini'!$DJ:$DJ,'Area-Cabang'!$B111,'CWO Bulan Ini'!$DH:$DH,'Area-Cabang'!$E111,'CWO Bulan Ini'!$CZ:$CZ,'Area-Cabang'!Z$41)</f>
        <v>0</v>
      </c>
      <c r="AA111" s="56">
        <f>SUMIFS('CWO Bulan Ini'!$DA:$DA,'CWO Bulan Ini'!$DJ:$DJ,'Area-Cabang'!$B111,'CWO Bulan Ini'!$DH:$DH,'Area-Cabang'!$E111,'CWO Bulan Ini'!$CZ:$CZ,'Area-Cabang'!AA$41)</f>
        <v>0</v>
      </c>
      <c r="AB111" s="56">
        <f>SUMIFS('CWO Bulan Ini'!$DA:$DA,'CWO Bulan Ini'!$DJ:$DJ,'Area-Cabang'!$B111,'CWO Bulan Ini'!$DH:$DH,'Area-Cabang'!$E111,'CWO Bulan Ini'!$CZ:$CZ,'Area-Cabang'!AB$41)</f>
        <v>5.0331234500000006</v>
      </c>
      <c r="AC111" s="56">
        <f>SUMIFS('CWO Bulan Ini'!$DA:$DA,'CWO Bulan Ini'!$DJ:$DJ,'Area-Cabang'!$B111,'CWO Bulan Ini'!$DH:$DH,'Area-Cabang'!$E111,'CWO Bulan Ini'!$CZ:$CZ,'Area-Cabang'!AC$41)</f>
        <v>0</v>
      </c>
      <c r="AD111" s="56">
        <f>SUMIFS('CWO Bulan Ini'!$DA:$DA,'CWO Bulan Ini'!$DJ:$DJ,'Area-Cabang'!$B111,'CWO Bulan Ini'!$DH:$DH,'Area-Cabang'!$E111,'CWO Bulan Ini'!$CZ:$CZ,'Area-Cabang'!AD$41)</f>
        <v>0</v>
      </c>
      <c r="AE111" s="56">
        <f>SUMIFS('CWO Bulan Ini'!$DA:$DA,'CWO Bulan Ini'!$DJ:$DJ,'Area-Cabang'!$B111,'CWO Bulan Ini'!$DH:$DH,'Area-Cabang'!$E111,'CWO Bulan Ini'!$CZ:$CZ,'Area-Cabang'!AE$41)</f>
        <v>0</v>
      </c>
      <c r="AF111" s="56">
        <f>SUMIFS('CWO Bulan Ini'!$DA:$DA,'CWO Bulan Ini'!$DJ:$DJ,'Area-Cabang'!$B111,'CWO Bulan Ini'!$DH:$DH,'Area-Cabang'!$E111,'CWO Bulan Ini'!$CZ:$CZ,'Area-Cabang'!AF$41)</f>
        <v>0</v>
      </c>
      <c r="AG111" s="56">
        <f>SUMIFS('CWO Bulan Ini'!$DA:$DA,'CWO Bulan Ini'!$DJ:$DJ,'Area-Cabang'!$B111,'CWO Bulan Ini'!$DH:$DH,'Area-Cabang'!$E111,'CWO Bulan Ini'!$CZ:$CZ,'Area-Cabang'!AG$41)</f>
        <v>0</v>
      </c>
      <c r="AH111" s="56">
        <f>SUMIFS('CWO Bulan Ini'!$DA:$DA,'CWO Bulan Ini'!$DJ:$DJ,'Area-Cabang'!$B111,'CWO Bulan Ini'!$DH:$DH,'Area-Cabang'!$E111,'CWO Bulan Ini'!$CZ:$CZ,'Area-Cabang'!AH$41)</f>
        <v>0</v>
      </c>
      <c r="AI111" s="56">
        <f>SUMIFS('CWO Bulan Ini'!$DA:$DA,'CWO Bulan Ini'!$DJ:$DJ,'Area-Cabang'!$B111,'CWO Bulan Ini'!$DH:$DH,'Area-Cabang'!$E111,'CWO Bulan Ini'!$CZ:$CZ,'Area-Cabang'!AI$41)</f>
        <v>0</v>
      </c>
      <c r="AJ111" s="56">
        <f>SUMIFS('CWO Bulan Ini'!$DA:$DA,'CWO Bulan Ini'!$DJ:$DJ,'Area-Cabang'!$B111,'CWO Bulan Ini'!$DH:$DH,'Area-Cabang'!$E111,'CWO Bulan Ini'!$CZ:$CZ,'Area-Cabang'!AJ$41)</f>
        <v>0</v>
      </c>
      <c r="AK111" s="55">
        <f>SUMIFS('CWO Bulan Ini'!$DD:$DD,'CWO Bulan Ini'!$DJ:$DJ,'Area-Cabang'!$B111,'CWO Bulan Ini'!$DH:$DH,'Area-Cabang'!$E111,'CWO Bulan Ini'!$CZ:$CZ,'Area-Cabang'!AK$41)</f>
        <v>0</v>
      </c>
      <c r="AL111" s="56">
        <f>SUMIFS('CWO Bulan Ini'!$DD:$DD,'CWO Bulan Ini'!$DJ:$DJ,'Area-Cabang'!$B111,'CWO Bulan Ini'!$DH:$DH,'Area-Cabang'!$E111,'CWO Bulan Ini'!$CZ:$CZ,'Area-Cabang'!AL$41)</f>
        <v>0</v>
      </c>
      <c r="AM111" s="56">
        <f>SUMIFS('CWO Bulan Ini'!$DD:$DD,'CWO Bulan Ini'!$DJ:$DJ,'Area-Cabang'!$B111,'CWO Bulan Ini'!$DH:$DH,'Area-Cabang'!$E111,'CWO Bulan Ini'!$CZ:$CZ,'Area-Cabang'!AM$41)</f>
        <v>0</v>
      </c>
      <c r="AN111" s="56">
        <f>SUMIFS('CWO Bulan Ini'!$DD:$DD,'CWO Bulan Ini'!$DJ:$DJ,'Area-Cabang'!$B111,'CWO Bulan Ini'!$DH:$DH,'Area-Cabang'!$E111,'CWO Bulan Ini'!$CZ:$CZ,'Area-Cabang'!AN$41)</f>
        <v>122.00644890000001</v>
      </c>
      <c r="AO111" s="56">
        <f>SUMIFS('CWO Bulan Ini'!$DD:$DD,'CWO Bulan Ini'!$DJ:$DJ,'Area-Cabang'!$B111,'CWO Bulan Ini'!$DH:$DH,'Area-Cabang'!$E111,'CWO Bulan Ini'!$CZ:$CZ,'Area-Cabang'!AO$41)</f>
        <v>0</v>
      </c>
      <c r="AP111" s="56">
        <f>SUMIFS('CWO Bulan Ini'!$DD:$DD,'CWO Bulan Ini'!$DJ:$DJ,'Area-Cabang'!$B111,'CWO Bulan Ini'!$DH:$DH,'Area-Cabang'!$E111,'CWO Bulan Ini'!$CZ:$CZ,'Area-Cabang'!AP$41)</f>
        <v>0</v>
      </c>
      <c r="AQ111" s="56">
        <f>SUMIFS('CWO Bulan Ini'!$DD:$DD,'CWO Bulan Ini'!$DJ:$DJ,'Area-Cabang'!$B111,'CWO Bulan Ini'!$DH:$DH,'Area-Cabang'!$E111,'CWO Bulan Ini'!$CZ:$CZ,'Area-Cabang'!AQ$41)</f>
        <v>0</v>
      </c>
      <c r="AR111" s="56">
        <f>SUMIFS('CWO Bulan Ini'!$DD:$DD,'CWO Bulan Ini'!$DJ:$DJ,'Area-Cabang'!$B111,'CWO Bulan Ini'!$DH:$DH,'Area-Cabang'!$E111,'CWO Bulan Ini'!$CZ:$CZ,'Area-Cabang'!AR$41)</f>
        <v>0</v>
      </c>
      <c r="AS111" s="56">
        <f>SUMIFS('CWO Bulan Ini'!$DD:$DD,'CWO Bulan Ini'!$DJ:$DJ,'Area-Cabang'!$B111,'CWO Bulan Ini'!$DH:$DH,'Area-Cabang'!$E111,'CWO Bulan Ini'!$CZ:$CZ,'Area-Cabang'!AS$41)</f>
        <v>0</v>
      </c>
      <c r="AT111" s="56">
        <f>SUMIFS('CWO Bulan Ini'!$DD:$DD,'CWO Bulan Ini'!$DJ:$DJ,'Area-Cabang'!$B111,'CWO Bulan Ini'!$DH:$DH,'Area-Cabang'!$E111,'CWO Bulan Ini'!$CZ:$CZ,'Area-Cabang'!AT$41)</f>
        <v>0</v>
      </c>
      <c r="AU111" s="56">
        <f>SUMIFS('CWO Bulan Ini'!$DD:$DD,'CWO Bulan Ini'!$DJ:$DJ,'Area-Cabang'!$B111,'CWO Bulan Ini'!$DH:$DH,'Area-Cabang'!$E111,'CWO Bulan Ini'!$CZ:$CZ,'Area-Cabang'!AU$41)</f>
        <v>0</v>
      </c>
      <c r="AV111" s="56">
        <f>SUMIFS('CWO Bulan Ini'!$DD:$DD,'CWO Bulan Ini'!$DJ:$DJ,'Area-Cabang'!$B111,'CWO Bulan Ini'!$DH:$DH,'Area-Cabang'!$E111,'CWO Bulan Ini'!$CZ:$CZ,'Area-Cabang'!AV$41)</f>
        <v>0</v>
      </c>
      <c r="AW111" s="56">
        <f>SUMIFS('CWO Bulan Ini'!$DD:$DD,'CWO Bulan Ini'!$DJ:$DJ,'Area-Cabang'!$B111,'CWO Bulan Ini'!$DH:$DH,'Area-Cabang'!$E111,'CWO Bulan Ini'!$CZ:$CZ,'Area-Cabang'!AW$41)</f>
        <v>0</v>
      </c>
      <c r="AX111" s="56">
        <f>SUMIFS('CWO Bulan Ini'!$DD:$DD,'CWO Bulan Ini'!$DJ:$DJ,'Area-Cabang'!$B111,'CWO Bulan Ini'!$DH:$DH,'Area-Cabang'!$E111,'CWO Bulan Ini'!$CZ:$CZ,'Area-Cabang'!AX$41)</f>
        <v>0</v>
      </c>
      <c r="AY111" s="56">
        <f>SUMIFS('CWO Bulan Ini'!$DD:$DD,'CWO Bulan Ini'!$DJ:$DJ,'Area-Cabang'!$B111,'CWO Bulan Ini'!$DH:$DH,'Area-Cabang'!$E111,'CWO Bulan Ini'!$CZ:$CZ,'Area-Cabang'!AY$41)</f>
        <v>0</v>
      </c>
      <c r="AZ111" s="56">
        <f>SUMIFS('CWO Bulan Ini'!$DD:$DD,'CWO Bulan Ini'!$DJ:$DJ,'Area-Cabang'!$B111,'CWO Bulan Ini'!$DH:$DH,'Area-Cabang'!$E111,'CWO Bulan Ini'!$CZ:$CZ,'Area-Cabang'!AZ$41)</f>
        <v>0</v>
      </c>
      <c r="BA111" s="56">
        <f>SUMIFS('CWO Bulan Ini'!$DD:$DD,'CWO Bulan Ini'!$DJ:$DJ,'Area-Cabang'!$B111,'CWO Bulan Ini'!$DH:$DH,'Area-Cabang'!$E111,'CWO Bulan Ini'!$CZ:$CZ,'Area-Cabang'!BA$41)</f>
        <v>0</v>
      </c>
      <c r="BB111" s="56">
        <f>SUMIFS('CWO Bulan Ini'!$DD:$DD,'CWO Bulan Ini'!$DJ:$DJ,'Area-Cabang'!$B111,'CWO Bulan Ini'!$DH:$DH,'Area-Cabang'!$E111,'CWO Bulan Ini'!$CZ:$CZ,'Area-Cabang'!BB$41)</f>
        <v>0</v>
      </c>
      <c r="BC111" s="56">
        <f>SUMIFS('CWO Bulan Ini'!$DD:$DD,'CWO Bulan Ini'!$DJ:$DJ,'Area-Cabang'!$B111,'CWO Bulan Ini'!$DH:$DH,'Area-Cabang'!$E111,'CWO Bulan Ini'!$CZ:$CZ,'Area-Cabang'!BC$41)</f>
        <v>0</v>
      </c>
      <c r="BD111" s="56">
        <f>SUMIFS('CWO Bulan Ini'!$DD:$DD,'CWO Bulan Ini'!$DJ:$DJ,'Area-Cabang'!$B111,'CWO Bulan Ini'!$DH:$DH,'Area-Cabang'!$E111,'CWO Bulan Ini'!$CZ:$CZ,'Area-Cabang'!BD$41)</f>
        <v>0</v>
      </c>
      <c r="BE111" s="56">
        <f>SUMIFS('CWO Bulan Ini'!$DD:$DD,'CWO Bulan Ini'!$DJ:$DJ,'Area-Cabang'!$B111,'CWO Bulan Ini'!$DH:$DH,'Area-Cabang'!$E111,'CWO Bulan Ini'!$CZ:$CZ,'Area-Cabang'!BE$41)</f>
        <v>0</v>
      </c>
      <c r="BF111" s="56">
        <f>SUMIFS('CWO Bulan Ini'!$DD:$DD,'CWO Bulan Ini'!$DJ:$DJ,'Area-Cabang'!$B111,'CWO Bulan Ini'!$DH:$DH,'Area-Cabang'!$E111,'CWO Bulan Ini'!$CZ:$CZ,'Area-Cabang'!BF$41)</f>
        <v>0</v>
      </c>
      <c r="BG111" s="56">
        <f>SUMIFS('CWO Bulan Ini'!$DD:$DD,'CWO Bulan Ini'!$DJ:$DJ,'Area-Cabang'!$B111,'CWO Bulan Ini'!$DH:$DH,'Area-Cabang'!$E111,'CWO Bulan Ini'!$CZ:$CZ,'Area-Cabang'!BG$41)</f>
        <v>0</v>
      </c>
      <c r="BH111" s="56">
        <f>SUMIFS('CWO Bulan Ini'!$DD:$DD,'CWO Bulan Ini'!$DJ:$DJ,'Area-Cabang'!$B111,'CWO Bulan Ini'!$DH:$DH,'Area-Cabang'!$E111,'CWO Bulan Ini'!$CZ:$CZ,'Area-Cabang'!BH$41)</f>
        <v>0</v>
      </c>
      <c r="BI111" s="56">
        <f>SUMIFS('CWO Bulan Ini'!$DD:$DD,'CWO Bulan Ini'!$DJ:$DJ,'Area-Cabang'!$B111,'CWO Bulan Ini'!$DH:$DH,'Area-Cabang'!$E111,'CWO Bulan Ini'!$CZ:$CZ,'Area-Cabang'!BI$41)</f>
        <v>0</v>
      </c>
      <c r="BJ111" s="56">
        <f>SUMIFS('CWO Bulan Ini'!$DD:$DD,'CWO Bulan Ini'!$DJ:$DJ,'Area-Cabang'!$B111,'CWO Bulan Ini'!$DH:$DH,'Area-Cabang'!$E111,'CWO Bulan Ini'!$CZ:$CZ,'Area-Cabang'!BJ$41)</f>
        <v>0</v>
      </c>
      <c r="BK111" s="56">
        <f>SUMIFS('CWO Bulan Ini'!$DD:$DD,'CWO Bulan Ini'!$DJ:$DJ,'Area-Cabang'!$B111,'CWO Bulan Ini'!$DH:$DH,'Area-Cabang'!$E111,'CWO Bulan Ini'!$CZ:$CZ,'Area-Cabang'!BK$41)</f>
        <v>0</v>
      </c>
      <c r="BL111" s="56">
        <f>SUMIFS('CWO Bulan Ini'!$DD:$DD,'CWO Bulan Ini'!$DJ:$DJ,'Area-Cabang'!$B111,'CWO Bulan Ini'!$DH:$DH,'Area-Cabang'!$E111,'CWO Bulan Ini'!$CZ:$CZ,'Area-Cabang'!BL$41)</f>
        <v>0</v>
      </c>
      <c r="BM111" s="56">
        <f>SUMIFS('CWO Bulan Ini'!$DD:$DD,'CWO Bulan Ini'!$DJ:$DJ,'Area-Cabang'!$B111,'CWO Bulan Ini'!$DH:$DH,'Area-Cabang'!$E111,'CWO Bulan Ini'!$CZ:$CZ,'Area-Cabang'!BM$41)</f>
        <v>0</v>
      </c>
      <c r="BN111" s="56">
        <f>SUMIFS('CWO Bulan Ini'!$DD:$DD,'CWO Bulan Ini'!$DJ:$DJ,'Area-Cabang'!$B111,'CWO Bulan Ini'!$DH:$DH,'Area-Cabang'!$E111,'CWO Bulan Ini'!$CZ:$CZ,'Area-Cabang'!BN$41)</f>
        <v>0</v>
      </c>
      <c r="BO111" s="57">
        <f>SUMIFS('CWO Bulan Ini'!$DD:$DD,'CWO Bulan Ini'!$DJ:$DJ,'Area-Cabang'!$B111,'CWO Bulan Ini'!$DH:$DH,'Area-Cabang'!$E111,'CWO Bulan Ini'!$CZ:$CZ,'Area-Cabang'!BO$41)</f>
        <v>0</v>
      </c>
      <c r="BP111" s="55">
        <f>SUMIFS('CWO Bulan Ini'!$DC:$DC,'CWO Bulan Ini'!$DJ:$DJ,'Area-Cabang'!$B111,'CWO Bulan Ini'!$DH:$DH,'Area-Cabang'!$E111,'CWO Bulan Ini'!$CZ:$CZ,'Area-Cabang'!BP$41)</f>
        <v>0</v>
      </c>
      <c r="BQ111" s="56">
        <f>SUMIFS('CWO Bulan Ini'!$DC:$DC,'CWO Bulan Ini'!$DJ:$DJ,'Area-Cabang'!$B111,'CWO Bulan Ini'!$DH:$DH,'Area-Cabang'!$E111,'CWO Bulan Ini'!$CZ:$CZ,'Area-Cabang'!BQ$41)</f>
        <v>0</v>
      </c>
      <c r="BR111" s="56">
        <f>SUMIFS('CWO Bulan Ini'!$DC:$DC,'CWO Bulan Ini'!$DJ:$DJ,'Area-Cabang'!$B111,'CWO Bulan Ini'!$DH:$DH,'Area-Cabang'!$E111,'CWO Bulan Ini'!$CZ:$CZ,'Area-Cabang'!BR$41)</f>
        <v>0</v>
      </c>
      <c r="BS111" s="56">
        <f>SUMIFS('CWO Bulan Ini'!$DC:$DC,'CWO Bulan Ini'!$DJ:$DJ,'Area-Cabang'!$B111,'CWO Bulan Ini'!$DH:$DH,'Area-Cabang'!$E111,'CWO Bulan Ini'!$CZ:$CZ,'Area-Cabang'!BS$41)</f>
        <v>0</v>
      </c>
      <c r="BT111" s="56">
        <f>SUMIFS('CWO Bulan Ini'!$DC:$DC,'CWO Bulan Ini'!$DJ:$DJ,'Area-Cabang'!$B111,'CWO Bulan Ini'!$DH:$DH,'Area-Cabang'!$E111,'CWO Bulan Ini'!$CZ:$CZ,'Area-Cabang'!BT$41)</f>
        <v>0</v>
      </c>
      <c r="BU111" s="56">
        <f>SUMIFS('CWO Bulan Ini'!$DC:$DC,'CWO Bulan Ini'!$DJ:$DJ,'Area-Cabang'!$B111,'CWO Bulan Ini'!$DH:$DH,'Area-Cabang'!$E111,'CWO Bulan Ini'!$CZ:$CZ,'Area-Cabang'!BU$41)</f>
        <v>0</v>
      </c>
      <c r="BV111" s="56">
        <f>SUMIFS('CWO Bulan Ini'!$DC:$DC,'CWO Bulan Ini'!$DJ:$DJ,'Area-Cabang'!$B111,'CWO Bulan Ini'!$DH:$DH,'Area-Cabang'!$E111,'CWO Bulan Ini'!$CZ:$CZ,'Area-Cabang'!BV$41)</f>
        <v>0</v>
      </c>
      <c r="BW111" s="56">
        <f>SUMIFS('CWO Bulan Ini'!$DC:$DC,'CWO Bulan Ini'!$DJ:$DJ,'Area-Cabang'!$B111,'CWO Bulan Ini'!$DH:$DH,'Area-Cabang'!$E111,'CWO Bulan Ini'!$CZ:$CZ,'Area-Cabang'!BW$41)</f>
        <v>0</v>
      </c>
      <c r="BX111" s="56">
        <f>SUMIFS('CWO Bulan Ini'!$DC:$DC,'CWO Bulan Ini'!$DJ:$DJ,'Area-Cabang'!$B111,'CWO Bulan Ini'!$DH:$DH,'Area-Cabang'!$E111,'CWO Bulan Ini'!$CZ:$CZ,'Area-Cabang'!BX$41)</f>
        <v>0</v>
      </c>
      <c r="BY111" s="56">
        <f>SUMIFS('CWO Bulan Ini'!$DC:$DC,'CWO Bulan Ini'!$DJ:$DJ,'Area-Cabang'!$B111,'CWO Bulan Ini'!$DH:$DH,'Area-Cabang'!$E111,'CWO Bulan Ini'!$CZ:$CZ,'Area-Cabang'!BY$41)</f>
        <v>0</v>
      </c>
      <c r="BZ111" s="56">
        <f>SUMIFS('CWO Bulan Ini'!$DC:$DC,'CWO Bulan Ini'!$DJ:$DJ,'Area-Cabang'!$B111,'CWO Bulan Ini'!$DH:$DH,'Area-Cabang'!$E111,'CWO Bulan Ini'!$CZ:$CZ,'Area-Cabang'!BZ$41)</f>
        <v>0</v>
      </c>
      <c r="CA111" s="56">
        <f>SUMIFS('CWO Bulan Ini'!$DC:$DC,'CWO Bulan Ini'!$DJ:$DJ,'Area-Cabang'!$B111,'CWO Bulan Ini'!$DH:$DH,'Area-Cabang'!$E111,'CWO Bulan Ini'!$CZ:$CZ,'Area-Cabang'!CA$41)</f>
        <v>0</v>
      </c>
      <c r="CB111" s="56">
        <f>SUMIFS('CWO Bulan Ini'!$DC:$DC,'CWO Bulan Ini'!$DJ:$DJ,'Area-Cabang'!$B111,'CWO Bulan Ini'!$DH:$DH,'Area-Cabang'!$E111,'CWO Bulan Ini'!$CZ:$CZ,'Area-Cabang'!CB$41)</f>
        <v>0</v>
      </c>
      <c r="CC111" s="56">
        <f>SUMIFS('CWO Bulan Ini'!$DC:$DC,'CWO Bulan Ini'!$DJ:$DJ,'Area-Cabang'!$B111,'CWO Bulan Ini'!$DH:$DH,'Area-Cabang'!$E111,'CWO Bulan Ini'!$CZ:$CZ,'Area-Cabang'!CC$41)</f>
        <v>0</v>
      </c>
      <c r="CD111" s="56">
        <f>SUMIFS('CWO Bulan Ini'!$DC:$DC,'CWO Bulan Ini'!$DJ:$DJ,'Area-Cabang'!$B111,'CWO Bulan Ini'!$DH:$DH,'Area-Cabang'!$E111,'CWO Bulan Ini'!$CZ:$CZ,'Area-Cabang'!CD$41)</f>
        <v>0</v>
      </c>
      <c r="CE111" s="56">
        <f>SUMIFS('CWO Bulan Ini'!$DC:$DC,'CWO Bulan Ini'!$DJ:$DJ,'Area-Cabang'!$B111,'CWO Bulan Ini'!$DH:$DH,'Area-Cabang'!$E111,'CWO Bulan Ini'!$CZ:$CZ,'Area-Cabang'!CE$41)</f>
        <v>0</v>
      </c>
      <c r="CF111" s="56">
        <f>SUMIFS('CWO Bulan Ini'!$DC:$DC,'CWO Bulan Ini'!$DJ:$DJ,'Area-Cabang'!$B111,'CWO Bulan Ini'!$DH:$DH,'Area-Cabang'!$E111,'CWO Bulan Ini'!$CZ:$CZ,'Area-Cabang'!CF$41)</f>
        <v>0</v>
      </c>
      <c r="CG111" s="56">
        <f>SUMIFS('CWO Bulan Ini'!$DC:$DC,'CWO Bulan Ini'!$DJ:$DJ,'Area-Cabang'!$B111,'CWO Bulan Ini'!$DH:$DH,'Area-Cabang'!$E111,'CWO Bulan Ini'!$CZ:$CZ,'Area-Cabang'!CG$41)</f>
        <v>0</v>
      </c>
      <c r="CH111" s="56">
        <f>SUMIFS('CWO Bulan Ini'!$DC:$DC,'CWO Bulan Ini'!$DJ:$DJ,'Area-Cabang'!$B111,'CWO Bulan Ini'!$DH:$DH,'Area-Cabang'!$E111,'CWO Bulan Ini'!$CZ:$CZ,'Area-Cabang'!CH$41)</f>
        <v>0</v>
      </c>
      <c r="CI111" s="56">
        <f>SUMIFS('CWO Bulan Ini'!$DC:$DC,'CWO Bulan Ini'!$DJ:$DJ,'Area-Cabang'!$B111,'CWO Bulan Ini'!$DH:$DH,'Area-Cabang'!$E111,'CWO Bulan Ini'!$CZ:$CZ,'Area-Cabang'!CI$41)</f>
        <v>0</v>
      </c>
      <c r="CJ111" s="56">
        <f>SUMIFS('CWO Bulan Ini'!$DC:$DC,'CWO Bulan Ini'!$DJ:$DJ,'Area-Cabang'!$B111,'CWO Bulan Ini'!$DH:$DH,'Area-Cabang'!$E111,'CWO Bulan Ini'!$CZ:$CZ,'Area-Cabang'!CJ$41)</f>
        <v>0</v>
      </c>
      <c r="CK111" s="56">
        <f>SUMIFS('CWO Bulan Ini'!$DC:$DC,'CWO Bulan Ini'!$DJ:$DJ,'Area-Cabang'!$B111,'CWO Bulan Ini'!$DH:$DH,'Area-Cabang'!$E111,'CWO Bulan Ini'!$CZ:$CZ,'Area-Cabang'!CK$41)</f>
        <v>0</v>
      </c>
      <c r="CL111" s="56">
        <f>SUMIFS('CWO Bulan Ini'!$DC:$DC,'CWO Bulan Ini'!$DJ:$DJ,'Area-Cabang'!$B111,'CWO Bulan Ini'!$DH:$DH,'Area-Cabang'!$E111,'CWO Bulan Ini'!$CZ:$CZ,'Area-Cabang'!CL$41)</f>
        <v>5.0331234500000006</v>
      </c>
      <c r="CM111" s="56">
        <f>SUMIFS('CWO Bulan Ini'!$DC:$DC,'CWO Bulan Ini'!$DJ:$DJ,'Area-Cabang'!$B111,'CWO Bulan Ini'!$DH:$DH,'Area-Cabang'!$E111,'CWO Bulan Ini'!$CZ:$CZ,'Area-Cabang'!CM$41)</f>
        <v>0</v>
      </c>
      <c r="CN111" s="56">
        <f>SUMIFS('CWO Bulan Ini'!$DC:$DC,'CWO Bulan Ini'!$DJ:$DJ,'Area-Cabang'!$B111,'CWO Bulan Ini'!$DH:$DH,'Area-Cabang'!$E111,'CWO Bulan Ini'!$CZ:$CZ,'Area-Cabang'!CN$41)</f>
        <v>0</v>
      </c>
      <c r="CO111" s="56">
        <f>SUMIFS('CWO Bulan Ini'!$DC:$DC,'CWO Bulan Ini'!$DJ:$DJ,'Area-Cabang'!$B111,'CWO Bulan Ini'!$DH:$DH,'Area-Cabang'!$E111,'CWO Bulan Ini'!$CZ:$CZ,'Area-Cabang'!CO$41)</f>
        <v>0</v>
      </c>
      <c r="CP111" s="56">
        <f>SUMIFS('CWO Bulan Ini'!$DC:$DC,'CWO Bulan Ini'!$DJ:$DJ,'Area-Cabang'!$B111,'CWO Bulan Ini'!$DH:$DH,'Area-Cabang'!$E111,'CWO Bulan Ini'!$CZ:$CZ,'Area-Cabang'!CP$41)</f>
        <v>0</v>
      </c>
      <c r="CQ111" s="56">
        <f>SUMIFS('CWO Bulan Ini'!$DC:$DC,'CWO Bulan Ini'!$DJ:$DJ,'Area-Cabang'!$B111,'CWO Bulan Ini'!$DH:$DH,'Area-Cabang'!$E111,'CWO Bulan Ini'!$CZ:$CZ,'Area-Cabang'!CQ$41)</f>
        <v>0</v>
      </c>
      <c r="CR111" s="56">
        <f>SUMIFS('CWO Bulan Ini'!$DC:$DC,'CWO Bulan Ini'!$DJ:$DJ,'Area-Cabang'!$B111,'CWO Bulan Ini'!$DH:$DH,'Area-Cabang'!$E111,'CWO Bulan Ini'!$CZ:$CZ,'Area-Cabang'!CR$41)</f>
        <v>0</v>
      </c>
      <c r="CS111" s="56">
        <f>SUMIFS('CWO Bulan Ini'!$DC:$DC,'CWO Bulan Ini'!$DJ:$DJ,'Area-Cabang'!$B111,'CWO Bulan Ini'!$DH:$DH,'Area-Cabang'!$E111,'CWO Bulan Ini'!$CZ:$CZ,'Area-Cabang'!CS$41)</f>
        <v>0</v>
      </c>
      <c r="CT111" s="57">
        <f>SUMIFS('CWO Bulan Ini'!$DC:$DC,'CWO Bulan Ini'!$DJ:$DJ,'Area-Cabang'!$B111,'CWO Bulan Ini'!$DH:$DH,'Area-Cabang'!$E111,'CWO Bulan Ini'!$CZ:$CZ,'Area-Cabang'!CT$41)</f>
        <v>0</v>
      </c>
      <c r="CV111" s="97">
        <f t="shared" ref="CV111:CV112" si="3350">SUM(F111:AJ111)</f>
        <v>127.03957235000001</v>
      </c>
      <c r="CW111" s="98">
        <f t="shared" ref="CW111:CW112" si="3351">SUM(AK111:BO111)</f>
        <v>122.00644890000001</v>
      </c>
      <c r="CX111" s="98">
        <f t="shared" ref="CX111:CX112" si="3352">SUM(BP111:CT111)</f>
        <v>5.0331234500000006</v>
      </c>
      <c r="CY111" s="98">
        <f t="shared" ref="CY111:CY112" si="3353">CV111-CW111-CX111</f>
        <v>0</v>
      </c>
      <c r="CZ111" s="105">
        <f t="shared" ref="CZ111:CZ112" si="3354">CY111+CW111</f>
        <v>122.00644890000001</v>
      </c>
    </row>
    <row r="112" spans="1:104" ht="15" customHeight="1" x14ac:dyDescent="0.25">
      <c r="A112" s="58" t="s">
        <v>448</v>
      </c>
      <c r="B112" s="58" t="s">
        <v>393</v>
      </c>
      <c r="C112" s="250"/>
      <c r="D112" s="244"/>
      <c r="E112" s="40" t="s">
        <v>349</v>
      </c>
      <c r="F112" s="41">
        <f>SUMIFS('CWO Bulan Ini'!$DA:$DA,'CWO Bulan Ini'!$DJ:$DJ,'Area-Cabang'!$B112,'CWO Bulan Ini'!$DH:$DH,'Area-Cabang'!$E112,'CWO Bulan Ini'!$CZ:$CZ,'Area-Cabang'!F$41)</f>
        <v>0</v>
      </c>
      <c r="G112" s="42">
        <f>SUMIFS('CWO Bulan Ini'!$DA:$DA,'CWO Bulan Ini'!$DJ:$DJ,'Area-Cabang'!$B112,'CWO Bulan Ini'!$DH:$DH,'Area-Cabang'!$E112,'CWO Bulan Ini'!$CZ:$CZ,'Area-Cabang'!G$41)</f>
        <v>0</v>
      </c>
      <c r="H112" s="42">
        <f>SUMIFS('CWO Bulan Ini'!$DA:$DA,'CWO Bulan Ini'!$DJ:$DJ,'Area-Cabang'!$B112,'CWO Bulan Ini'!$DH:$DH,'Area-Cabang'!$E112,'CWO Bulan Ini'!$CZ:$CZ,'Area-Cabang'!H$41)</f>
        <v>0</v>
      </c>
      <c r="I112" s="42">
        <f>SUMIFS('CWO Bulan Ini'!$DA:$DA,'CWO Bulan Ini'!$DJ:$DJ,'Area-Cabang'!$B112,'CWO Bulan Ini'!$DH:$DH,'Area-Cabang'!$E112,'CWO Bulan Ini'!$CZ:$CZ,'Area-Cabang'!I$41)</f>
        <v>0</v>
      </c>
      <c r="J112" s="42">
        <f>SUMIFS('CWO Bulan Ini'!$DA:$DA,'CWO Bulan Ini'!$DJ:$DJ,'Area-Cabang'!$B112,'CWO Bulan Ini'!$DH:$DH,'Area-Cabang'!$E112,'CWO Bulan Ini'!$CZ:$CZ,'Area-Cabang'!J$41)</f>
        <v>0</v>
      </c>
      <c r="K112" s="42">
        <f>SUMIFS('CWO Bulan Ini'!$DA:$DA,'CWO Bulan Ini'!$DJ:$DJ,'Area-Cabang'!$B112,'CWO Bulan Ini'!$DH:$DH,'Area-Cabang'!$E112,'CWO Bulan Ini'!$CZ:$CZ,'Area-Cabang'!K$41)</f>
        <v>0</v>
      </c>
      <c r="L112" s="42">
        <f>SUMIFS('CWO Bulan Ini'!$DA:$DA,'CWO Bulan Ini'!$DJ:$DJ,'Area-Cabang'!$B112,'CWO Bulan Ini'!$DH:$DH,'Area-Cabang'!$E112,'CWO Bulan Ini'!$CZ:$CZ,'Area-Cabang'!L$41)</f>
        <v>0</v>
      </c>
      <c r="M112" s="42">
        <f>SUMIFS('CWO Bulan Ini'!$DA:$DA,'CWO Bulan Ini'!$DJ:$DJ,'Area-Cabang'!$B112,'CWO Bulan Ini'!$DH:$DH,'Area-Cabang'!$E112,'CWO Bulan Ini'!$CZ:$CZ,'Area-Cabang'!M$41)</f>
        <v>0</v>
      </c>
      <c r="N112" s="42">
        <f>SUMIFS('CWO Bulan Ini'!$DA:$DA,'CWO Bulan Ini'!$DJ:$DJ,'Area-Cabang'!$B112,'CWO Bulan Ini'!$DH:$DH,'Area-Cabang'!$E112,'CWO Bulan Ini'!$CZ:$CZ,'Area-Cabang'!N$41)</f>
        <v>0</v>
      </c>
      <c r="O112" s="42">
        <f>SUMIFS('CWO Bulan Ini'!$DA:$DA,'CWO Bulan Ini'!$DJ:$DJ,'Area-Cabang'!$B112,'CWO Bulan Ini'!$DH:$DH,'Area-Cabang'!$E112,'CWO Bulan Ini'!$CZ:$CZ,'Area-Cabang'!O$41)</f>
        <v>0</v>
      </c>
      <c r="P112" s="42">
        <f>SUMIFS('CWO Bulan Ini'!$DA:$DA,'CWO Bulan Ini'!$DJ:$DJ,'Area-Cabang'!$B112,'CWO Bulan Ini'!$DH:$DH,'Area-Cabang'!$E112,'CWO Bulan Ini'!$CZ:$CZ,'Area-Cabang'!P$41)</f>
        <v>0</v>
      </c>
      <c r="Q112" s="42">
        <f>SUMIFS('CWO Bulan Ini'!$DA:$DA,'CWO Bulan Ini'!$DJ:$DJ,'Area-Cabang'!$B112,'CWO Bulan Ini'!$DH:$DH,'Area-Cabang'!$E112,'CWO Bulan Ini'!$CZ:$CZ,'Area-Cabang'!Q$41)</f>
        <v>0</v>
      </c>
      <c r="R112" s="42">
        <f>SUMIFS('CWO Bulan Ini'!$DA:$DA,'CWO Bulan Ini'!$DJ:$DJ,'Area-Cabang'!$B112,'CWO Bulan Ini'!$DH:$DH,'Area-Cabang'!$E112,'CWO Bulan Ini'!$CZ:$CZ,'Area-Cabang'!R$41)</f>
        <v>0</v>
      </c>
      <c r="S112" s="42">
        <f>SUMIFS('CWO Bulan Ini'!$DA:$DA,'CWO Bulan Ini'!$DJ:$DJ,'Area-Cabang'!$B112,'CWO Bulan Ini'!$DH:$DH,'Area-Cabang'!$E112,'CWO Bulan Ini'!$CZ:$CZ,'Area-Cabang'!S$41)</f>
        <v>0</v>
      </c>
      <c r="T112" s="42">
        <f>SUMIFS('CWO Bulan Ini'!$DA:$DA,'CWO Bulan Ini'!$DJ:$DJ,'Area-Cabang'!$B112,'CWO Bulan Ini'!$DH:$DH,'Area-Cabang'!$E112,'CWO Bulan Ini'!$CZ:$CZ,'Area-Cabang'!T$41)</f>
        <v>0</v>
      </c>
      <c r="U112" s="42">
        <f>SUMIFS('CWO Bulan Ini'!$DA:$DA,'CWO Bulan Ini'!$DJ:$DJ,'Area-Cabang'!$B112,'CWO Bulan Ini'!$DH:$DH,'Area-Cabang'!$E112,'CWO Bulan Ini'!$CZ:$CZ,'Area-Cabang'!U$41)</f>
        <v>0</v>
      </c>
      <c r="V112" s="42">
        <f>SUMIFS('CWO Bulan Ini'!$DA:$DA,'CWO Bulan Ini'!$DJ:$DJ,'Area-Cabang'!$B112,'CWO Bulan Ini'!$DH:$DH,'Area-Cabang'!$E112,'CWO Bulan Ini'!$CZ:$CZ,'Area-Cabang'!V$41)</f>
        <v>0</v>
      </c>
      <c r="W112" s="42">
        <f>SUMIFS('CWO Bulan Ini'!$DA:$DA,'CWO Bulan Ini'!$DJ:$DJ,'Area-Cabang'!$B112,'CWO Bulan Ini'!$DH:$DH,'Area-Cabang'!$E112,'CWO Bulan Ini'!$CZ:$CZ,'Area-Cabang'!W$41)</f>
        <v>0</v>
      </c>
      <c r="X112" s="42">
        <f>SUMIFS('CWO Bulan Ini'!$DA:$DA,'CWO Bulan Ini'!$DJ:$DJ,'Area-Cabang'!$B112,'CWO Bulan Ini'!$DH:$DH,'Area-Cabang'!$E112,'CWO Bulan Ini'!$CZ:$CZ,'Area-Cabang'!X$41)</f>
        <v>0</v>
      </c>
      <c r="Y112" s="42">
        <f>SUMIFS('CWO Bulan Ini'!$DA:$DA,'CWO Bulan Ini'!$DJ:$DJ,'Area-Cabang'!$B112,'CWO Bulan Ini'!$DH:$DH,'Area-Cabang'!$E112,'CWO Bulan Ini'!$CZ:$CZ,'Area-Cabang'!Y$41)</f>
        <v>0</v>
      </c>
      <c r="Z112" s="42">
        <f>SUMIFS('CWO Bulan Ini'!$DA:$DA,'CWO Bulan Ini'!$DJ:$DJ,'Area-Cabang'!$B112,'CWO Bulan Ini'!$DH:$DH,'Area-Cabang'!$E112,'CWO Bulan Ini'!$CZ:$CZ,'Area-Cabang'!Z$41)</f>
        <v>0</v>
      </c>
      <c r="AA112" s="42">
        <f>SUMIFS('CWO Bulan Ini'!$DA:$DA,'CWO Bulan Ini'!$DJ:$DJ,'Area-Cabang'!$B112,'CWO Bulan Ini'!$DH:$DH,'Area-Cabang'!$E112,'CWO Bulan Ini'!$CZ:$CZ,'Area-Cabang'!AA$41)</f>
        <v>0</v>
      </c>
      <c r="AB112" s="42">
        <f>SUMIFS('CWO Bulan Ini'!$DA:$DA,'CWO Bulan Ini'!$DJ:$DJ,'Area-Cabang'!$B112,'CWO Bulan Ini'!$DH:$DH,'Area-Cabang'!$E112,'CWO Bulan Ini'!$CZ:$CZ,'Area-Cabang'!AB$41)</f>
        <v>0</v>
      </c>
      <c r="AC112" s="42">
        <f>SUMIFS('CWO Bulan Ini'!$DA:$DA,'CWO Bulan Ini'!$DJ:$DJ,'Area-Cabang'!$B112,'CWO Bulan Ini'!$DH:$DH,'Area-Cabang'!$E112,'CWO Bulan Ini'!$CZ:$CZ,'Area-Cabang'!AC$41)</f>
        <v>0</v>
      </c>
      <c r="AD112" s="42">
        <f>SUMIFS('CWO Bulan Ini'!$DA:$DA,'CWO Bulan Ini'!$DJ:$DJ,'Area-Cabang'!$B112,'CWO Bulan Ini'!$DH:$DH,'Area-Cabang'!$E112,'CWO Bulan Ini'!$CZ:$CZ,'Area-Cabang'!AD$41)</f>
        <v>0</v>
      </c>
      <c r="AE112" s="42">
        <f>SUMIFS('CWO Bulan Ini'!$DA:$DA,'CWO Bulan Ini'!$DJ:$DJ,'Area-Cabang'!$B112,'CWO Bulan Ini'!$DH:$DH,'Area-Cabang'!$E112,'CWO Bulan Ini'!$CZ:$CZ,'Area-Cabang'!AE$41)</f>
        <v>0</v>
      </c>
      <c r="AF112" s="42">
        <f>SUMIFS('CWO Bulan Ini'!$DA:$DA,'CWO Bulan Ini'!$DJ:$DJ,'Area-Cabang'!$B112,'CWO Bulan Ini'!$DH:$DH,'Area-Cabang'!$E112,'CWO Bulan Ini'!$CZ:$CZ,'Area-Cabang'!AF$41)</f>
        <v>0</v>
      </c>
      <c r="AG112" s="42">
        <f>SUMIFS('CWO Bulan Ini'!$DA:$DA,'CWO Bulan Ini'!$DJ:$DJ,'Area-Cabang'!$B112,'CWO Bulan Ini'!$DH:$DH,'Area-Cabang'!$E112,'CWO Bulan Ini'!$CZ:$CZ,'Area-Cabang'!AG$41)</f>
        <v>0</v>
      </c>
      <c r="AH112" s="42">
        <f>SUMIFS('CWO Bulan Ini'!$DA:$DA,'CWO Bulan Ini'!$DJ:$DJ,'Area-Cabang'!$B112,'CWO Bulan Ini'!$DH:$DH,'Area-Cabang'!$E112,'CWO Bulan Ini'!$CZ:$CZ,'Area-Cabang'!AH$41)</f>
        <v>0</v>
      </c>
      <c r="AI112" s="42">
        <f>SUMIFS('CWO Bulan Ini'!$DA:$DA,'CWO Bulan Ini'!$DJ:$DJ,'Area-Cabang'!$B112,'CWO Bulan Ini'!$DH:$DH,'Area-Cabang'!$E112,'CWO Bulan Ini'!$CZ:$CZ,'Area-Cabang'!AI$41)</f>
        <v>0</v>
      </c>
      <c r="AJ112" s="42">
        <f>SUMIFS('CWO Bulan Ini'!$DA:$DA,'CWO Bulan Ini'!$DJ:$DJ,'Area-Cabang'!$B112,'CWO Bulan Ini'!$DH:$DH,'Area-Cabang'!$E112,'CWO Bulan Ini'!$CZ:$CZ,'Area-Cabang'!AJ$41)</f>
        <v>0</v>
      </c>
      <c r="AK112" s="41">
        <f>SUMIFS('CWO Bulan Ini'!$DD:$DD,'CWO Bulan Ini'!$DJ:$DJ,'Area-Cabang'!$B112,'CWO Bulan Ini'!$DH:$DH,'Area-Cabang'!$E112,'CWO Bulan Ini'!$CZ:$CZ,'Area-Cabang'!AK$41)</f>
        <v>0</v>
      </c>
      <c r="AL112" s="42">
        <f>SUMIFS('CWO Bulan Ini'!$DD:$DD,'CWO Bulan Ini'!$DJ:$DJ,'Area-Cabang'!$B112,'CWO Bulan Ini'!$DH:$DH,'Area-Cabang'!$E112,'CWO Bulan Ini'!$CZ:$CZ,'Area-Cabang'!AL$41)</f>
        <v>0</v>
      </c>
      <c r="AM112" s="42">
        <f>SUMIFS('CWO Bulan Ini'!$DD:$DD,'CWO Bulan Ini'!$DJ:$DJ,'Area-Cabang'!$B112,'CWO Bulan Ini'!$DH:$DH,'Area-Cabang'!$E112,'CWO Bulan Ini'!$CZ:$CZ,'Area-Cabang'!AM$41)</f>
        <v>0</v>
      </c>
      <c r="AN112" s="42">
        <f>SUMIFS('CWO Bulan Ini'!$DD:$DD,'CWO Bulan Ini'!$DJ:$DJ,'Area-Cabang'!$B112,'CWO Bulan Ini'!$DH:$DH,'Area-Cabang'!$E112,'CWO Bulan Ini'!$CZ:$CZ,'Area-Cabang'!AN$41)</f>
        <v>0</v>
      </c>
      <c r="AO112" s="42">
        <f>SUMIFS('CWO Bulan Ini'!$DD:$DD,'CWO Bulan Ini'!$DJ:$DJ,'Area-Cabang'!$B112,'CWO Bulan Ini'!$DH:$DH,'Area-Cabang'!$E112,'CWO Bulan Ini'!$CZ:$CZ,'Area-Cabang'!AO$41)</f>
        <v>0</v>
      </c>
      <c r="AP112" s="42">
        <f>SUMIFS('CWO Bulan Ini'!$DD:$DD,'CWO Bulan Ini'!$DJ:$DJ,'Area-Cabang'!$B112,'CWO Bulan Ini'!$DH:$DH,'Area-Cabang'!$E112,'CWO Bulan Ini'!$CZ:$CZ,'Area-Cabang'!AP$41)</f>
        <v>0</v>
      </c>
      <c r="AQ112" s="42">
        <f>SUMIFS('CWO Bulan Ini'!$DD:$DD,'CWO Bulan Ini'!$DJ:$DJ,'Area-Cabang'!$B112,'CWO Bulan Ini'!$DH:$DH,'Area-Cabang'!$E112,'CWO Bulan Ini'!$CZ:$CZ,'Area-Cabang'!AQ$41)</f>
        <v>0</v>
      </c>
      <c r="AR112" s="42">
        <f>SUMIFS('CWO Bulan Ini'!$DD:$DD,'CWO Bulan Ini'!$DJ:$DJ,'Area-Cabang'!$B112,'CWO Bulan Ini'!$DH:$DH,'Area-Cabang'!$E112,'CWO Bulan Ini'!$CZ:$CZ,'Area-Cabang'!AR$41)</f>
        <v>0</v>
      </c>
      <c r="AS112" s="42">
        <f>SUMIFS('CWO Bulan Ini'!$DD:$DD,'CWO Bulan Ini'!$DJ:$DJ,'Area-Cabang'!$B112,'CWO Bulan Ini'!$DH:$DH,'Area-Cabang'!$E112,'CWO Bulan Ini'!$CZ:$CZ,'Area-Cabang'!AS$41)</f>
        <v>0</v>
      </c>
      <c r="AT112" s="42">
        <f>SUMIFS('CWO Bulan Ini'!$DD:$DD,'CWO Bulan Ini'!$DJ:$DJ,'Area-Cabang'!$B112,'CWO Bulan Ini'!$DH:$DH,'Area-Cabang'!$E112,'CWO Bulan Ini'!$CZ:$CZ,'Area-Cabang'!AT$41)</f>
        <v>0</v>
      </c>
      <c r="AU112" s="42">
        <f>SUMIFS('CWO Bulan Ini'!$DD:$DD,'CWO Bulan Ini'!$DJ:$DJ,'Area-Cabang'!$B112,'CWO Bulan Ini'!$DH:$DH,'Area-Cabang'!$E112,'CWO Bulan Ini'!$CZ:$CZ,'Area-Cabang'!AU$41)</f>
        <v>0</v>
      </c>
      <c r="AV112" s="42">
        <f>SUMIFS('CWO Bulan Ini'!$DD:$DD,'CWO Bulan Ini'!$DJ:$DJ,'Area-Cabang'!$B112,'CWO Bulan Ini'!$DH:$DH,'Area-Cabang'!$E112,'CWO Bulan Ini'!$CZ:$CZ,'Area-Cabang'!AV$41)</f>
        <v>0</v>
      </c>
      <c r="AW112" s="42">
        <f>SUMIFS('CWO Bulan Ini'!$DD:$DD,'CWO Bulan Ini'!$DJ:$DJ,'Area-Cabang'!$B112,'CWO Bulan Ini'!$DH:$DH,'Area-Cabang'!$E112,'CWO Bulan Ini'!$CZ:$CZ,'Area-Cabang'!AW$41)</f>
        <v>0</v>
      </c>
      <c r="AX112" s="42">
        <f>SUMIFS('CWO Bulan Ini'!$DD:$DD,'CWO Bulan Ini'!$DJ:$DJ,'Area-Cabang'!$B112,'CWO Bulan Ini'!$DH:$DH,'Area-Cabang'!$E112,'CWO Bulan Ini'!$CZ:$CZ,'Area-Cabang'!AX$41)</f>
        <v>0</v>
      </c>
      <c r="AY112" s="42">
        <f>SUMIFS('CWO Bulan Ini'!$DD:$DD,'CWO Bulan Ini'!$DJ:$DJ,'Area-Cabang'!$B112,'CWO Bulan Ini'!$DH:$DH,'Area-Cabang'!$E112,'CWO Bulan Ini'!$CZ:$CZ,'Area-Cabang'!AY$41)</f>
        <v>0</v>
      </c>
      <c r="AZ112" s="42">
        <f>SUMIFS('CWO Bulan Ini'!$DD:$DD,'CWO Bulan Ini'!$DJ:$DJ,'Area-Cabang'!$B112,'CWO Bulan Ini'!$DH:$DH,'Area-Cabang'!$E112,'CWO Bulan Ini'!$CZ:$CZ,'Area-Cabang'!AZ$41)</f>
        <v>0</v>
      </c>
      <c r="BA112" s="42">
        <f>SUMIFS('CWO Bulan Ini'!$DD:$DD,'CWO Bulan Ini'!$DJ:$DJ,'Area-Cabang'!$B112,'CWO Bulan Ini'!$DH:$DH,'Area-Cabang'!$E112,'CWO Bulan Ini'!$CZ:$CZ,'Area-Cabang'!BA$41)</f>
        <v>0</v>
      </c>
      <c r="BB112" s="42">
        <f>SUMIFS('CWO Bulan Ini'!$DD:$DD,'CWO Bulan Ini'!$DJ:$DJ,'Area-Cabang'!$B112,'CWO Bulan Ini'!$DH:$DH,'Area-Cabang'!$E112,'CWO Bulan Ini'!$CZ:$CZ,'Area-Cabang'!BB$41)</f>
        <v>0</v>
      </c>
      <c r="BC112" s="42">
        <f>SUMIFS('CWO Bulan Ini'!$DD:$DD,'CWO Bulan Ini'!$DJ:$DJ,'Area-Cabang'!$B112,'CWO Bulan Ini'!$DH:$DH,'Area-Cabang'!$E112,'CWO Bulan Ini'!$CZ:$CZ,'Area-Cabang'!BC$41)</f>
        <v>0</v>
      </c>
      <c r="BD112" s="42">
        <f>SUMIFS('CWO Bulan Ini'!$DD:$DD,'CWO Bulan Ini'!$DJ:$DJ,'Area-Cabang'!$B112,'CWO Bulan Ini'!$DH:$DH,'Area-Cabang'!$E112,'CWO Bulan Ini'!$CZ:$CZ,'Area-Cabang'!BD$41)</f>
        <v>0</v>
      </c>
      <c r="BE112" s="42">
        <f>SUMIFS('CWO Bulan Ini'!$DD:$DD,'CWO Bulan Ini'!$DJ:$DJ,'Area-Cabang'!$B112,'CWO Bulan Ini'!$DH:$DH,'Area-Cabang'!$E112,'CWO Bulan Ini'!$CZ:$CZ,'Area-Cabang'!BE$41)</f>
        <v>0</v>
      </c>
      <c r="BF112" s="42">
        <f>SUMIFS('CWO Bulan Ini'!$DD:$DD,'CWO Bulan Ini'!$DJ:$DJ,'Area-Cabang'!$B112,'CWO Bulan Ini'!$DH:$DH,'Area-Cabang'!$E112,'CWO Bulan Ini'!$CZ:$CZ,'Area-Cabang'!BF$41)</f>
        <v>0</v>
      </c>
      <c r="BG112" s="42">
        <f>SUMIFS('CWO Bulan Ini'!$DD:$DD,'CWO Bulan Ini'!$DJ:$DJ,'Area-Cabang'!$B112,'CWO Bulan Ini'!$DH:$DH,'Area-Cabang'!$E112,'CWO Bulan Ini'!$CZ:$CZ,'Area-Cabang'!BG$41)</f>
        <v>0</v>
      </c>
      <c r="BH112" s="42">
        <f>SUMIFS('CWO Bulan Ini'!$DD:$DD,'CWO Bulan Ini'!$DJ:$DJ,'Area-Cabang'!$B112,'CWO Bulan Ini'!$DH:$DH,'Area-Cabang'!$E112,'CWO Bulan Ini'!$CZ:$CZ,'Area-Cabang'!BH$41)</f>
        <v>0</v>
      </c>
      <c r="BI112" s="42">
        <f>SUMIFS('CWO Bulan Ini'!$DD:$DD,'CWO Bulan Ini'!$DJ:$DJ,'Area-Cabang'!$B112,'CWO Bulan Ini'!$DH:$DH,'Area-Cabang'!$E112,'CWO Bulan Ini'!$CZ:$CZ,'Area-Cabang'!BI$41)</f>
        <v>0</v>
      </c>
      <c r="BJ112" s="42">
        <f>SUMIFS('CWO Bulan Ini'!$DD:$DD,'CWO Bulan Ini'!$DJ:$DJ,'Area-Cabang'!$B112,'CWO Bulan Ini'!$DH:$DH,'Area-Cabang'!$E112,'CWO Bulan Ini'!$CZ:$CZ,'Area-Cabang'!BJ$41)</f>
        <v>0</v>
      </c>
      <c r="BK112" s="42">
        <f>SUMIFS('CWO Bulan Ini'!$DD:$DD,'CWO Bulan Ini'!$DJ:$DJ,'Area-Cabang'!$B112,'CWO Bulan Ini'!$DH:$DH,'Area-Cabang'!$E112,'CWO Bulan Ini'!$CZ:$CZ,'Area-Cabang'!BK$41)</f>
        <v>0</v>
      </c>
      <c r="BL112" s="42">
        <f>SUMIFS('CWO Bulan Ini'!$DD:$DD,'CWO Bulan Ini'!$DJ:$DJ,'Area-Cabang'!$B112,'CWO Bulan Ini'!$DH:$DH,'Area-Cabang'!$E112,'CWO Bulan Ini'!$CZ:$CZ,'Area-Cabang'!BL$41)</f>
        <v>0</v>
      </c>
      <c r="BM112" s="42">
        <f>SUMIFS('CWO Bulan Ini'!$DD:$DD,'CWO Bulan Ini'!$DJ:$DJ,'Area-Cabang'!$B112,'CWO Bulan Ini'!$DH:$DH,'Area-Cabang'!$E112,'CWO Bulan Ini'!$CZ:$CZ,'Area-Cabang'!BM$41)</f>
        <v>0</v>
      </c>
      <c r="BN112" s="42">
        <f>SUMIFS('CWO Bulan Ini'!$DD:$DD,'CWO Bulan Ini'!$DJ:$DJ,'Area-Cabang'!$B112,'CWO Bulan Ini'!$DH:$DH,'Area-Cabang'!$E112,'CWO Bulan Ini'!$CZ:$CZ,'Area-Cabang'!BN$41)</f>
        <v>0</v>
      </c>
      <c r="BO112" s="43">
        <f>SUMIFS('CWO Bulan Ini'!$DD:$DD,'CWO Bulan Ini'!$DJ:$DJ,'Area-Cabang'!$B112,'CWO Bulan Ini'!$DH:$DH,'Area-Cabang'!$E112,'CWO Bulan Ini'!$CZ:$CZ,'Area-Cabang'!BO$41)</f>
        <v>0</v>
      </c>
      <c r="BP112" s="41">
        <f>SUMIFS('CWO Bulan Ini'!$DC:$DC,'CWO Bulan Ini'!$DJ:$DJ,'Area-Cabang'!$B112,'CWO Bulan Ini'!$DH:$DH,'Area-Cabang'!$E112,'CWO Bulan Ini'!$CZ:$CZ,'Area-Cabang'!BP$41)</f>
        <v>0</v>
      </c>
      <c r="BQ112" s="42">
        <f>SUMIFS('CWO Bulan Ini'!$DC:$DC,'CWO Bulan Ini'!$DJ:$DJ,'Area-Cabang'!$B112,'CWO Bulan Ini'!$DH:$DH,'Area-Cabang'!$E112,'CWO Bulan Ini'!$CZ:$CZ,'Area-Cabang'!BQ$41)</f>
        <v>0</v>
      </c>
      <c r="BR112" s="42">
        <f>SUMIFS('CWO Bulan Ini'!$DC:$DC,'CWO Bulan Ini'!$DJ:$DJ,'Area-Cabang'!$B112,'CWO Bulan Ini'!$DH:$DH,'Area-Cabang'!$E112,'CWO Bulan Ini'!$CZ:$CZ,'Area-Cabang'!BR$41)</f>
        <v>0</v>
      </c>
      <c r="BS112" s="42">
        <f>SUMIFS('CWO Bulan Ini'!$DC:$DC,'CWO Bulan Ini'!$DJ:$DJ,'Area-Cabang'!$B112,'CWO Bulan Ini'!$DH:$DH,'Area-Cabang'!$E112,'CWO Bulan Ini'!$CZ:$CZ,'Area-Cabang'!BS$41)</f>
        <v>0</v>
      </c>
      <c r="BT112" s="42">
        <f>SUMIFS('CWO Bulan Ini'!$DC:$DC,'CWO Bulan Ini'!$DJ:$DJ,'Area-Cabang'!$B112,'CWO Bulan Ini'!$DH:$DH,'Area-Cabang'!$E112,'CWO Bulan Ini'!$CZ:$CZ,'Area-Cabang'!BT$41)</f>
        <v>0</v>
      </c>
      <c r="BU112" s="42">
        <f>SUMIFS('CWO Bulan Ini'!$DC:$DC,'CWO Bulan Ini'!$DJ:$DJ,'Area-Cabang'!$B112,'CWO Bulan Ini'!$DH:$DH,'Area-Cabang'!$E112,'CWO Bulan Ini'!$CZ:$CZ,'Area-Cabang'!BU$41)</f>
        <v>0</v>
      </c>
      <c r="BV112" s="42">
        <f>SUMIFS('CWO Bulan Ini'!$DC:$DC,'CWO Bulan Ini'!$DJ:$DJ,'Area-Cabang'!$B112,'CWO Bulan Ini'!$DH:$DH,'Area-Cabang'!$E112,'CWO Bulan Ini'!$CZ:$CZ,'Area-Cabang'!BV$41)</f>
        <v>0</v>
      </c>
      <c r="BW112" s="42">
        <f>SUMIFS('CWO Bulan Ini'!$DC:$DC,'CWO Bulan Ini'!$DJ:$DJ,'Area-Cabang'!$B112,'CWO Bulan Ini'!$DH:$DH,'Area-Cabang'!$E112,'CWO Bulan Ini'!$CZ:$CZ,'Area-Cabang'!BW$41)</f>
        <v>0</v>
      </c>
      <c r="BX112" s="42">
        <f>SUMIFS('CWO Bulan Ini'!$DC:$DC,'CWO Bulan Ini'!$DJ:$DJ,'Area-Cabang'!$B112,'CWO Bulan Ini'!$DH:$DH,'Area-Cabang'!$E112,'CWO Bulan Ini'!$CZ:$CZ,'Area-Cabang'!BX$41)</f>
        <v>0</v>
      </c>
      <c r="BY112" s="42">
        <f>SUMIFS('CWO Bulan Ini'!$DC:$DC,'CWO Bulan Ini'!$DJ:$DJ,'Area-Cabang'!$B112,'CWO Bulan Ini'!$DH:$DH,'Area-Cabang'!$E112,'CWO Bulan Ini'!$CZ:$CZ,'Area-Cabang'!BY$41)</f>
        <v>0</v>
      </c>
      <c r="BZ112" s="42">
        <f>SUMIFS('CWO Bulan Ini'!$DC:$DC,'CWO Bulan Ini'!$DJ:$DJ,'Area-Cabang'!$B112,'CWO Bulan Ini'!$DH:$DH,'Area-Cabang'!$E112,'CWO Bulan Ini'!$CZ:$CZ,'Area-Cabang'!BZ$41)</f>
        <v>0</v>
      </c>
      <c r="CA112" s="42">
        <f>SUMIFS('CWO Bulan Ini'!$DC:$DC,'CWO Bulan Ini'!$DJ:$DJ,'Area-Cabang'!$B112,'CWO Bulan Ini'!$DH:$DH,'Area-Cabang'!$E112,'CWO Bulan Ini'!$CZ:$CZ,'Area-Cabang'!CA$41)</f>
        <v>0</v>
      </c>
      <c r="CB112" s="42">
        <f>SUMIFS('CWO Bulan Ini'!$DC:$DC,'CWO Bulan Ini'!$DJ:$DJ,'Area-Cabang'!$B112,'CWO Bulan Ini'!$DH:$DH,'Area-Cabang'!$E112,'CWO Bulan Ini'!$CZ:$CZ,'Area-Cabang'!CB$41)</f>
        <v>0</v>
      </c>
      <c r="CC112" s="42">
        <f>SUMIFS('CWO Bulan Ini'!$DC:$DC,'CWO Bulan Ini'!$DJ:$DJ,'Area-Cabang'!$B112,'CWO Bulan Ini'!$DH:$DH,'Area-Cabang'!$E112,'CWO Bulan Ini'!$CZ:$CZ,'Area-Cabang'!CC$41)</f>
        <v>0</v>
      </c>
      <c r="CD112" s="42">
        <f>SUMIFS('CWO Bulan Ini'!$DC:$DC,'CWO Bulan Ini'!$DJ:$DJ,'Area-Cabang'!$B112,'CWO Bulan Ini'!$DH:$DH,'Area-Cabang'!$E112,'CWO Bulan Ini'!$CZ:$CZ,'Area-Cabang'!CD$41)</f>
        <v>0</v>
      </c>
      <c r="CE112" s="42">
        <f>SUMIFS('CWO Bulan Ini'!$DC:$DC,'CWO Bulan Ini'!$DJ:$DJ,'Area-Cabang'!$B112,'CWO Bulan Ini'!$DH:$DH,'Area-Cabang'!$E112,'CWO Bulan Ini'!$CZ:$CZ,'Area-Cabang'!CE$41)</f>
        <v>0</v>
      </c>
      <c r="CF112" s="42">
        <f>SUMIFS('CWO Bulan Ini'!$DC:$DC,'CWO Bulan Ini'!$DJ:$DJ,'Area-Cabang'!$B112,'CWO Bulan Ini'!$DH:$DH,'Area-Cabang'!$E112,'CWO Bulan Ini'!$CZ:$CZ,'Area-Cabang'!CF$41)</f>
        <v>0</v>
      </c>
      <c r="CG112" s="42">
        <f>SUMIFS('CWO Bulan Ini'!$DC:$DC,'CWO Bulan Ini'!$DJ:$DJ,'Area-Cabang'!$B112,'CWO Bulan Ini'!$DH:$DH,'Area-Cabang'!$E112,'CWO Bulan Ini'!$CZ:$CZ,'Area-Cabang'!CG$41)</f>
        <v>0</v>
      </c>
      <c r="CH112" s="42">
        <f>SUMIFS('CWO Bulan Ini'!$DC:$DC,'CWO Bulan Ini'!$DJ:$DJ,'Area-Cabang'!$B112,'CWO Bulan Ini'!$DH:$DH,'Area-Cabang'!$E112,'CWO Bulan Ini'!$CZ:$CZ,'Area-Cabang'!CH$41)</f>
        <v>0</v>
      </c>
      <c r="CI112" s="42">
        <f>SUMIFS('CWO Bulan Ini'!$DC:$DC,'CWO Bulan Ini'!$DJ:$DJ,'Area-Cabang'!$B112,'CWO Bulan Ini'!$DH:$DH,'Area-Cabang'!$E112,'CWO Bulan Ini'!$CZ:$CZ,'Area-Cabang'!CI$41)</f>
        <v>0</v>
      </c>
      <c r="CJ112" s="42">
        <f>SUMIFS('CWO Bulan Ini'!$DC:$DC,'CWO Bulan Ini'!$DJ:$DJ,'Area-Cabang'!$B112,'CWO Bulan Ini'!$DH:$DH,'Area-Cabang'!$E112,'CWO Bulan Ini'!$CZ:$CZ,'Area-Cabang'!CJ$41)</f>
        <v>0</v>
      </c>
      <c r="CK112" s="42">
        <f>SUMIFS('CWO Bulan Ini'!$DC:$DC,'CWO Bulan Ini'!$DJ:$DJ,'Area-Cabang'!$B112,'CWO Bulan Ini'!$DH:$DH,'Area-Cabang'!$E112,'CWO Bulan Ini'!$CZ:$CZ,'Area-Cabang'!CK$41)</f>
        <v>0</v>
      </c>
      <c r="CL112" s="42">
        <f>SUMIFS('CWO Bulan Ini'!$DC:$DC,'CWO Bulan Ini'!$DJ:$DJ,'Area-Cabang'!$B112,'CWO Bulan Ini'!$DH:$DH,'Area-Cabang'!$E112,'CWO Bulan Ini'!$CZ:$CZ,'Area-Cabang'!CL$41)</f>
        <v>0</v>
      </c>
      <c r="CM112" s="42">
        <f>SUMIFS('CWO Bulan Ini'!$DC:$DC,'CWO Bulan Ini'!$DJ:$DJ,'Area-Cabang'!$B112,'CWO Bulan Ini'!$DH:$DH,'Area-Cabang'!$E112,'CWO Bulan Ini'!$CZ:$CZ,'Area-Cabang'!CM$41)</f>
        <v>0</v>
      </c>
      <c r="CN112" s="42">
        <f>SUMIFS('CWO Bulan Ini'!$DC:$DC,'CWO Bulan Ini'!$DJ:$DJ,'Area-Cabang'!$B112,'CWO Bulan Ini'!$DH:$DH,'Area-Cabang'!$E112,'CWO Bulan Ini'!$CZ:$CZ,'Area-Cabang'!CN$41)</f>
        <v>0</v>
      </c>
      <c r="CO112" s="42">
        <f>SUMIFS('CWO Bulan Ini'!$DC:$DC,'CWO Bulan Ini'!$DJ:$DJ,'Area-Cabang'!$B112,'CWO Bulan Ini'!$DH:$DH,'Area-Cabang'!$E112,'CWO Bulan Ini'!$CZ:$CZ,'Area-Cabang'!CO$41)</f>
        <v>0</v>
      </c>
      <c r="CP112" s="42">
        <f>SUMIFS('CWO Bulan Ini'!$DC:$DC,'CWO Bulan Ini'!$DJ:$DJ,'Area-Cabang'!$B112,'CWO Bulan Ini'!$DH:$DH,'Area-Cabang'!$E112,'CWO Bulan Ini'!$CZ:$CZ,'Area-Cabang'!CP$41)</f>
        <v>0</v>
      </c>
      <c r="CQ112" s="42">
        <f>SUMIFS('CWO Bulan Ini'!$DC:$DC,'CWO Bulan Ini'!$DJ:$DJ,'Area-Cabang'!$B112,'CWO Bulan Ini'!$DH:$DH,'Area-Cabang'!$E112,'CWO Bulan Ini'!$CZ:$CZ,'Area-Cabang'!CQ$41)</f>
        <v>0</v>
      </c>
      <c r="CR112" s="42">
        <f>SUMIFS('CWO Bulan Ini'!$DC:$DC,'CWO Bulan Ini'!$DJ:$DJ,'Area-Cabang'!$B112,'CWO Bulan Ini'!$DH:$DH,'Area-Cabang'!$E112,'CWO Bulan Ini'!$CZ:$CZ,'Area-Cabang'!CR$41)</f>
        <v>0</v>
      </c>
      <c r="CS112" s="42">
        <f>SUMIFS('CWO Bulan Ini'!$DC:$DC,'CWO Bulan Ini'!$DJ:$DJ,'Area-Cabang'!$B112,'CWO Bulan Ini'!$DH:$DH,'Area-Cabang'!$E112,'CWO Bulan Ini'!$CZ:$CZ,'Area-Cabang'!CS$41)</f>
        <v>0</v>
      </c>
      <c r="CT112" s="43">
        <f>SUMIFS('CWO Bulan Ini'!$DC:$DC,'CWO Bulan Ini'!$DJ:$DJ,'Area-Cabang'!$B112,'CWO Bulan Ini'!$DH:$DH,'Area-Cabang'!$E112,'CWO Bulan Ini'!$CZ:$CZ,'Area-Cabang'!CT$41)</f>
        <v>0</v>
      </c>
      <c r="CV112" s="96">
        <f t="shared" si="3350"/>
        <v>0</v>
      </c>
      <c r="CW112" s="93">
        <f t="shared" si="3351"/>
        <v>0</v>
      </c>
      <c r="CX112" s="93">
        <f t="shared" si="3352"/>
        <v>0</v>
      </c>
      <c r="CY112" s="93">
        <f t="shared" si="3353"/>
        <v>0</v>
      </c>
      <c r="CZ112" s="106">
        <f t="shared" si="3354"/>
        <v>0</v>
      </c>
    </row>
    <row r="113" spans="1:104" ht="15" customHeight="1" x14ac:dyDescent="0.25">
      <c r="A113" s="58" t="s">
        <v>448</v>
      </c>
      <c r="B113" s="53" t="s">
        <v>830</v>
      </c>
      <c r="C113" s="250"/>
      <c r="D113" s="227" t="s">
        <v>830</v>
      </c>
      <c r="E113" s="228"/>
      <c r="F113" s="219">
        <f t="shared" ref="F113" si="3355">SUM(F111:F112)</f>
        <v>0</v>
      </c>
      <c r="G113" s="220">
        <f t="shared" ref="G113" si="3356">SUM(G111:G112)</f>
        <v>0</v>
      </c>
      <c r="H113" s="220">
        <f t="shared" ref="H113" si="3357">SUM(H111:H112)</f>
        <v>0</v>
      </c>
      <c r="I113" s="220">
        <f t="shared" ref="I113" si="3358">SUM(I111:I112)</f>
        <v>122.00644890000001</v>
      </c>
      <c r="J113" s="220">
        <f t="shared" ref="J113" si="3359">SUM(J111:J112)</f>
        <v>0</v>
      </c>
      <c r="K113" s="220">
        <f t="shared" ref="K113" si="3360">SUM(K111:K112)</f>
        <v>0</v>
      </c>
      <c r="L113" s="220">
        <f t="shared" ref="L113" si="3361">SUM(L111:L112)</f>
        <v>0</v>
      </c>
      <c r="M113" s="220">
        <f t="shared" ref="M113" si="3362">SUM(M111:M112)</f>
        <v>0</v>
      </c>
      <c r="N113" s="220">
        <f t="shared" ref="N113" si="3363">SUM(N111:N112)</f>
        <v>0</v>
      </c>
      <c r="O113" s="220">
        <f t="shared" ref="O113" si="3364">SUM(O111:O112)</f>
        <v>0</v>
      </c>
      <c r="P113" s="220">
        <f t="shared" ref="P113" si="3365">SUM(P111:P112)</f>
        <v>0</v>
      </c>
      <c r="Q113" s="220">
        <f t="shared" ref="Q113" si="3366">SUM(Q111:Q112)</f>
        <v>0</v>
      </c>
      <c r="R113" s="220">
        <f t="shared" ref="R113" si="3367">SUM(R111:R112)</f>
        <v>0</v>
      </c>
      <c r="S113" s="220">
        <f t="shared" ref="S113" si="3368">SUM(S111:S112)</f>
        <v>0</v>
      </c>
      <c r="T113" s="220">
        <f t="shared" ref="T113" si="3369">SUM(T111:T112)</f>
        <v>0</v>
      </c>
      <c r="U113" s="220">
        <f t="shared" ref="U113" si="3370">SUM(U111:U112)</f>
        <v>0</v>
      </c>
      <c r="V113" s="220">
        <f t="shared" ref="V113" si="3371">SUM(V111:V112)</f>
        <v>0</v>
      </c>
      <c r="W113" s="220">
        <f t="shared" ref="W113" si="3372">SUM(W111:W112)</f>
        <v>0</v>
      </c>
      <c r="X113" s="220">
        <f t="shared" ref="X113" si="3373">SUM(X111:X112)</f>
        <v>0</v>
      </c>
      <c r="Y113" s="220">
        <f t="shared" ref="Y113" si="3374">SUM(Y111:Y112)</f>
        <v>0</v>
      </c>
      <c r="Z113" s="220">
        <f t="shared" ref="Z113" si="3375">SUM(Z111:Z112)</f>
        <v>0</v>
      </c>
      <c r="AA113" s="220">
        <f t="shared" ref="AA113" si="3376">SUM(AA111:AA112)</f>
        <v>0</v>
      </c>
      <c r="AB113" s="220">
        <f t="shared" ref="AB113" si="3377">SUM(AB111:AB112)</f>
        <v>5.0331234500000006</v>
      </c>
      <c r="AC113" s="220">
        <f t="shared" ref="AC113" si="3378">SUM(AC111:AC112)</f>
        <v>0</v>
      </c>
      <c r="AD113" s="220">
        <f t="shared" ref="AD113" si="3379">SUM(AD111:AD112)</f>
        <v>0</v>
      </c>
      <c r="AE113" s="220">
        <f t="shared" ref="AE113" si="3380">SUM(AE111:AE112)</f>
        <v>0</v>
      </c>
      <c r="AF113" s="220">
        <f t="shared" ref="AF113" si="3381">SUM(AF111:AF112)</f>
        <v>0</v>
      </c>
      <c r="AG113" s="220">
        <f t="shared" ref="AG113" si="3382">SUM(AG111:AG112)</f>
        <v>0</v>
      </c>
      <c r="AH113" s="220">
        <f t="shared" ref="AH113" si="3383">SUM(AH111:AH112)</f>
        <v>0</v>
      </c>
      <c r="AI113" s="220">
        <f t="shared" ref="AI113" si="3384">SUM(AI111:AI112)</f>
        <v>0</v>
      </c>
      <c r="AJ113" s="220">
        <f t="shared" ref="AJ113" si="3385">SUM(AJ111:AJ112)</f>
        <v>0</v>
      </c>
      <c r="AK113" s="219">
        <f t="shared" ref="AK113" si="3386">SUM(AK111:AK112)</f>
        <v>0</v>
      </c>
      <c r="AL113" s="220">
        <f t="shared" ref="AL113" si="3387">SUM(AL111:AL112)</f>
        <v>0</v>
      </c>
      <c r="AM113" s="220">
        <f t="shared" ref="AM113" si="3388">SUM(AM111:AM112)</f>
        <v>0</v>
      </c>
      <c r="AN113" s="220">
        <f t="shared" ref="AN113" si="3389">SUM(AN111:AN112)</f>
        <v>122.00644890000001</v>
      </c>
      <c r="AO113" s="220">
        <f t="shared" ref="AO113" si="3390">SUM(AO111:AO112)</f>
        <v>0</v>
      </c>
      <c r="AP113" s="220">
        <f t="shared" ref="AP113" si="3391">SUM(AP111:AP112)</f>
        <v>0</v>
      </c>
      <c r="AQ113" s="220">
        <f t="shared" ref="AQ113" si="3392">SUM(AQ111:AQ112)</f>
        <v>0</v>
      </c>
      <c r="AR113" s="220">
        <f t="shared" ref="AR113" si="3393">SUM(AR111:AR112)</f>
        <v>0</v>
      </c>
      <c r="AS113" s="220">
        <f t="shared" ref="AS113" si="3394">SUM(AS111:AS112)</f>
        <v>0</v>
      </c>
      <c r="AT113" s="220">
        <f t="shared" ref="AT113" si="3395">SUM(AT111:AT112)</f>
        <v>0</v>
      </c>
      <c r="AU113" s="220">
        <f t="shared" ref="AU113" si="3396">SUM(AU111:AU112)</f>
        <v>0</v>
      </c>
      <c r="AV113" s="220">
        <f t="shared" ref="AV113" si="3397">SUM(AV111:AV112)</f>
        <v>0</v>
      </c>
      <c r="AW113" s="220">
        <f t="shared" ref="AW113" si="3398">SUM(AW111:AW112)</f>
        <v>0</v>
      </c>
      <c r="AX113" s="220">
        <f t="shared" ref="AX113" si="3399">SUM(AX111:AX112)</f>
        <v>0</v>
      </c>
      <c r="AY113" s="220">
        <f t="shared" ref="AY113" si="3400">SUM(AY111:AY112)</f>
        <v>0</v>
      </c>
      <c r="AZ113" s="220">
        <f t="shared" ref="AZ113" si="3401">SUM(AZ111:AZ112)</f>
        <v>0</v>
      </c>
      <c r="BA113" s="220">
        <f t="shared" ref="BA113" si="3402">SUM(BA111:BA112)</f>
        <v>0</v>
      </c>
      <c r="BB113" s="220">
        <f t="shared" ref="BB113" si="3403">SUM(BB111:BB112)</f>
        <v>0</v>
      </c>
      <c r="BC113" s="220">
        <f t="shared" ref="BC113" si="3404">SUM(BC111:BC112)</f>
        <v>0</v>
      </c>
      <c r="BD113" s="220">
        <f t="shared" ref="BD113" si="3405">SUM(BD111:BD112)</f>
        <v>0</v>
      </c>
      <c r="BE113" s="220">
        <f t="shared" ref="BE113" si="3406">SUM(BE111:BE112)</f>
        <v>0</v>
      </c>
      <c r="BF113" s="220">
        <f t="shared" ref="BF113" si="3407">SUM(BF111:BF112)</f>
        <v>0</v>
      </c>
      <c r="BG113" s="220">
        <f t="shared" ref="BG113" si="3408">SUM(BG111:BG112)</f>
        <v>0</v>
      </c>
      <c r="BH113" s="220">
        <f t="shared" ref="BH113" si="3409">SUM(BH111:BH112)</f>
        <v>0</v>
      </c>
      <c r="BI113" s="220">
        <f t="shared" ref="BI113" si="3410">SUM(BI111:BI112)</f>
        <v>0</v>
      </c>
      <c r="BJ113" s="220">
        <f t="shared" ref="BJ113" si="3411">SUM(BJ111:BJ112)</f>
        <v>0</v>
      </c>
      <c r="BK113" s="220">
        <f t="shared" ref="BK113" si="3412">SUM(BK111:BK112)</f>
        <v>0</v>
      </c>
      <c r="BL113" s="220">
        <f t="shared" ref="BL113" si="3413">SUM(BL111:BL112)</f>
        <v>0</v>
      </c>
      <c r="BM113" s="220">
        <f t="shared" ref="BM113" si="3414">SUM(BM111:BM112)</f>
        <v>0</v>
      </c>
      <c r="BN113" s="220">
        <f t="shared" ref="BN113" si="3415">SUM(BN111:BN112)</f>
        <v>0</v>
      </c>
      <c r="BO113" s="221">
        <f t="shared" ref="BO113" si="3416">SUM(BO111:BO112)</f>
        <v>0</v>
      </c>
      <c r="BP113" s="219">
        <f t="shared" ref="BP113" si="3417">SUM(BP111:BP112)</f>
        <v>0</v>
      </c>
      <c r="BQ113" s="220">
        <f t="shared" ref="BQ113" si="3418">SUM(BQ111:BQ112)</f>
        <v>0</v>
      </c>
      <c r="BR113" s="220">
        <f t="shared" ref="BR113" si="3419">SUM(BR111:BR112)</f>
        <v>0</v>
      </c>
      <c r="BS113" s="220">
        <f t="shared" ref="BS113" si="3420">SUM(BS111:BS112)</f>
        <v>0</v>
      </c>
      <c r="BT113" s="220">
        <f t="shared" ref="BT113" si="3421">SUM(BT111:BT112)</f>
        <v>0</v>
      </c>
      <c r="BU113" s="220">
        <f t="shared" ref="BU113" si="3422">SUM(BU111:BU112)</f>
        <v>0</v>
      </c>
      <c r="BV113" s="220">
        <f t="shared" ref="BV113" si="3423">SUM(BV111:BV112)</f>
        <v>0</v>
      </c>
      <c r="BW113" s="220">
        <f t="shared" ref="BW113" si="3424">SUM(BW111:BW112)</f>
        <v>0</v>
      </c>
      <c r="BX113" s="220">
        <f t="shared" ref="BX113" si="3425">SUM(BX111:BX112)</f>
        <v>0</v>
      </c>
      <c r="BY113" s="220">
        <f t="shared" ref="BY113" si="3426">SUM(BY111:BY112)</f>
        <v>0</v>
      </c>
      <c r="BZ113" s="220">
        <f t="shared" ref="BZ113" si="3427">SUM(BZ111:BZ112)</f>
        <v>0</v>
      </c>
      <c r="CA113" s="220">
        <f t="shared" ref="CA113" si="3428">SUM(CA111:CA112)</f>
        <v>0</v>
      </c>
      <c r="CB113" s="220">
        <f t="shared" ref="CB113" si="3429">SUM(CB111:CB112)</f>
        <v>0</v>
      </c>
      <c r="CC113" s="220">
        <f t="shared" ref="CC113" si="3430">SUM(CC111:CC112)</f>
        <v>0</v>
      </c>
      <c r="CD113" s="220">
        <f t="shared" ref="CD113" si="3431">SUM(CD111:CD112)</f>
        <v>0</v>
      </c>
      <c r="CE113" s="220">
        <f t="shared" ref="CE113" si="3432">SUM(CE111:CE112)</f>
        <v>0</v>
      </c>
      <c r="CF113" s="220">
        <f t="shared" ref="CF113" si="3433">SUM(CF111:CF112)</f>
        <v>0</v>
      </c>
      <c r="CG113" s="220">
        <f t="shared" ref="CG113" si="3434">SUM(CG111:CG112)</f>
        <v>0</v>
      </c>
      <c r="CH113" s="220">
        <f t="shared" ref="CH113" si="3435">SUM(CH111:CH112)</f>
        <v>0</v>
      </c>
      <c r="CI113" s="220">
        <f t="shared" ref="CI113" si="3436">SUM(CI111:CI112)</f>
        <v>0</v>
      </c>
      <c r="CJ113" s="220">
        <f t="shared" ref="CJ113" si="3437">SUM(CJ111:CJ112)</f>
        <v>0</v>
      </c>
      <c r="CK113" s="220">
        <f t="shared" ref="CK113" si="3438">SUM(CK111:CK112)</f>
        <v>0</v>
      </c>
      <c r="CL113" s="220">
        <f t="shared" ref="CL113" si="3439">SUM(CL111:CL112)</f>
        <v>5.0331234500000006</v>
      </c>
      <c r="CM113" s="220">
        <f t="shared" ref="CM113" si="3440">SUM(CM111:CM112)</f>
        <v>0</v>
      </c>
      <c r="CN113" s="220">
        <f t="shared" ref="CN113" si="3441">SUM(CN111:CN112)</f>
        <v>0</v>
      </c>
      <c r="CO113" s="220">
        <f t="shared" ref="CO113" si="3442">SUM(CO111:CO112)</f>
        <v>0</v>
      </c>
      <c r="CP113" s="220">
        <f t="shared" ref="CP113" si="3443">SUM(CP111:CP112)</f>
        <v>0</v>
      </c>
      <c r="CQ113" s="220">
        <f t="shared" ref="CQ113" si="3444">SUM(CQ111:CQ112)</f>
        <v>0</v>
      </c>
      <c r="CR113" s="220">
        <f t="shared" ref="CR113" si="3445">SUM(CR111:CR112)</f>
        <v>0</v>
      </c>
      <c r="CS113" s="220">
        <f t="shared" ref="CS113" si="3446">SUM(CS111:CS112)</f>
        <v>0</v>
      </c>
      <c r="CT113" s="221">
        <f t="shared" ref="CT113" si="3447">SUM(CT111:CT112)</f>
        <v>0</v>
      </c>
      <c r="CU113" s="226"/>
      <c r="CV113" s="219">
        <f t="shared" ref="CV113" si="3448">SUM(CV111:CV112)</f>
        <v>127.03957235000001</v>
      </c>
      <c r="CW113" s="220">
        <f t="shared" ref="CW113" si="3449">SUM(CW111:CW112)</f>
        <v>122.00644890000001</v>
      </c>
      <c r="CX113" s="220">
        <f t="shared" ref="CX113" si="3450">SUM(CX111:CX112)</f>
        <v>5.0331234500000006</v>
      </c>
      <c r="CY113" s="220">
        <f t="shared" ref="CY113" si="3451">SUM(CY111:CY112)</f>
        <v>0</v>
      </c>
      <c r="CZ113" s="222">
        <f t="shared" ref="CZ113" si="3452">SUM(CZ111:CZ112)</f>
        <v>122.00644890000001</v>
      </c>
    </row>
    <row r="114" spans="1:104" ht="15" customHeight="1" x14ac:dyDescent="0.25">
      <c r="A114" s="58" t="s">
        <v>448</v>
      </c>
      <c r="B114" s="53" t="s">
        <v>361</v>
      </c>
      <c r="C114" s="250"/>
      <c r="D114" s="245" t="s">
        <v>361</v>
      </c>
      <c r="E114" s="85" t="s">
        <v>132</v>
      </c>
      <c r="F114" s="55">
        <f>SUMIFS('CWO Bulan Ini'!$DA:$DA,'CWO Bulan Ini'!$DJ:$DJ,'Area-Cabang'!$B114,'CWO Bulan Ini'!$DH:$DH,'Area-Cabang'!$E114,'CWO Bulan Ini'!$CZ:$CZ,'Area-Cabang'!F$41)</f>
        <v>0</v>
      </c>
      <c r="G114" s="56">
        <f>SUMIFS('CWO Bulan Ini'!$DA:$DA,'CWO Bulan Ini'!$DJ:$DJ,'Area-Cabang'!$B114,'CWO Bulan Ini'!$DH:$DH,'Area-Cabang'!$E114,'CWO Bulan Ini'!$CZ:$CZ,'Area-Cabang'!G$41)</f>
        <v>0</v>
      </c>
      <c r="H114" s="56">
        <f>SUMIFS('CWO Bulan Ini'!$DA:$DA,'CWO Bulan Ini'!$DJ:$DJ,'Area-Cabang'!$B114,'CWO Bulan Ini'!$DH:$DH,'Area-Cabang'!$E114,'CWO Bulan Ini'!$CZ:$CZ,'Area-Cabang'!H$41)</f>
        <v>0</v>
      </c>
      <c r="I114" s="56">
        <f>SUMIFS('CWO Bulan Ini'!$DA:$DA,'CWO Bulan Ini'!$DJ:$DJ,'Area-Cabang'!$B114,'CWO Bulan Ini'!$DH:$DH,'Area-Cabang'!$E114,'CWO Bulan Ini'!$CZ:$CZ,'Area-Cabang'!I$41)</f>
        <v>0</v>
      </c>
      <c r="J114" s="56">
        <f>SUMIFS('CWO Bulan Ini'!$DA:$DA,'CWO Bulan Ini'!$DJ:$DJ,'Area-Cabang'!$B114,'CWO Bulan Ini'!$DH:$DH,'Area-Cabang'!$E114,'CWO Bulan Ini'!$CZ:$CZ,'Area-Cabang'!J$41)</f>
        <v>0</v>
      </c>
      <c r="K114" s="56">
        <f>SUMIFS('CWO Bulan Ini'!$DA:$DA,'CWO Bulan Ini'!$DJ:$DJ,'Area-Cabang'!$B114,'CWO Bulan Ini'!$DH:$DH,'Area-Cabang'!$E114,'CWO Bulan Ini'!$CZ:$CZ,'Area-Cabang'!K$41)</f>
        <v>0</v>
      </c>
      <c r="L114" s="56">
        <f>SUMIFS('CWO Bulan Ini'!$DA:$DA,'CWO Bulan Ini'!$DJ:$DJ,'Area-Cabang'!$B114,'CWO Bulan Ini'!$DH:$DH,'Area-Cabang'!$E114,'CWO Bulan Ini'!$CZ:$CZ,'Area-Cabang'!L$41)</f>
        <v>0</v>
      </c>
      <c r="M114" s="56">
        <f>SUMIFS('CWO Bulan Ini'!$DA:$DA,'CWO Bulan Ini'!$DJ:$DJ,'Area-Cabang'!$B114,'CWO Bulan Ini'!$DH:$DH,'Area-Cabang'!$E114,'CWO Bulan Ini'!$CZ:$CZ,'Area-Cabang'!M$41)</f>
        <v>0</v>
      </c>
      <c r="N114" s="56">
        <f>SUMIFS('CWO Bulan Ini'!$DA:$DA,'CWO Bulan Ini'!$DJ:$DJ,'Area-Cabang'!$B114,'CWO Bulan Ini'!$DH:$DH,'Area-Cabang'!$E114,'CWO Bulan Ini'!$CZ:$CZ,'Area-Cabang'!N$41)</f>
        <v>0</v>
      </c>
      <c r="O114" s="56">
        <f>SUMIFS('CWO Bulan Ini'!$DA:$DA,'CWO Bulan Ini'!$DJ:$DJ,'Area-Cabang'!$B114,'CWO Bulan Ini'!$DH:$DH,'Area-Cabang'!$E114,'CWO Bulan Ini'!$CZ:$CZ,'Area-Cabang'!O$41)</f>
        <v>0</v>
      </c>
      <c r="P114" s="56">
        <f>SUMIFS('CWO Bulan Ini'!$DA:$DA,'CWO Bulan Ini'!$DJ:$DJ,'Area-Cabang'!$B114,'CWO Bulan Ini'!$DH:$DH,'Area-Cabang'!$E114,'CWO Bulan Ini'!$CZ:$CZ,'Area-Cabang'!P$41)</f>
        <v>0</v>
      </c>
      <c r="Q114" s="56">
        <f>SUMIFS('CWO Bulan Ini'!$DA:$DA,'CWO Bulan Ini'!$DJ:$DJ,'Area-Cabang'!$B114,'CWO Bulan Ini'!$DH:$DH,'Area-Cabang'!$E114,'CWO Bulan Ini'!$CZ:$CZ,'Area-Cabang'!Q$41)</f>
        <v>0</v>
      </c>
      <c r="R114" s="56">
        <f>SUMIFS('CWO Bulan Ini'!$DA:$DA,'CWO Bulan Ini'!$DJ:$DJ,'Area-Cabang'!$B114,'CWO Bulan Ini'!$DH:$DH,'Area-Cabang'!$E114,'CWO Bulan Ini'!$CZ:$CZ,'Area-Cabang'!R$41)</f>
        <v>0</v>
      </c>
      <c r="S114" s="56">
        <f>SUMIFS('CWO Bulan Ini'!$DA:$DA,'CWO Bulan Ini'!$DJ:$DJ,'Area-Cabang'!$B114,'CWO Bulan Ini'!$DH:$DH,'Area-Cabang'!$E114,'CWO Bulan Ini'!$CZ:$CZ,'Area-Cabang'!S$41)</f>
        <v>0</v>
      </c>
      <c r="T114" s="56">
        <f>SUMIFS('CWO Bulan Ini'!$DA:$DA,'CWO Bulan Ini'!$DJ:$DJ,'Area-Cabang'!$B114,'CWO Bulan Ini'!$DH:$DH,'Area-Cabang'!$E114,'CWO Bulan Ini'!$CZ:$CZ,'Area-Cabang'!T$41)</f>
        <v>0</v>
      </c>
      <c r="U114" s="56">
        <f>SUMIFS('CWO Bulan Ini'!$DA:$DA,'CWO Bulan Ini'!$DJ:$DJ,'Area-Cabang'!$B114,'CWO Bulan Ini'!$DH:$DH,'Area-Cabang'!$E114,'CWO Bulan Ini'!$CZ:$CZ,'Area-Cabang'!U$41)</f>
        <v>0</v>
      </c>
      <c r="V114" s="56">
        <f>SUMIFS('CWO Bulan Ini'!$DA:$DA,'CWO Bulan Ini'!$DJ:$DJ,'Area-Cabang'!$B114,'CWO Bulan Ini'!$DH:$DH,'Area-Cabang'!$E114,'CWO Bulan Ini'!$CZ:$CZ,'Area-Cabang'!V$41)</f>
        <v>0</v>
      </c>
      <c r="W114" s="56">
        <f>SUMIFS('CWO Bulan Ini'!$DA:$DA,'CWO Bulan Ini'!$DJ:$DJ,'Area-Cabang'!$B114,'CWO Bulan Ini'!$DH:$DH,'Area-Cabang'!$E114,'CWO Bulan Ini'!$CZ:$CZ,'Area-Cabang'!W$41)</f>
        <v>0</v>
      </c>
      <c r="X114" s="56">
        <f>SUMIFS('CWO Bulan Ini'!$DA:$DA,'CWO Bulan Ini'!$DJ:$DJ,'Area-Cabang'!$B114,'CWO Bulan Ini'!$DH:$DH,'Area-Cabang'!$E114,'CWO Bulan Ini'!$CZ:$CZ,'Area-Cabang'!X$41)</f>
        <v>0</v>
      </c>
      <c r="Y114" s="56">
        <f>SUMIFS('CWO Bulan Ini'!$DA:$DA,'CWO Bulan Ini'!$DJ:$DJ,'Area-Cabang'!$B114,'CWO Bulan Ini'!$DH:$DH,'Area-Cabang'!$E114,'CWO Bulan Ini'!$CZ:$CZ,'Area-Cabang'!Y$41)</f>
        <v>0</v>
      </c>
      <c r="Z114" s="56">
        <f>SUMIFS('CWO Bulan Ini'!$DA:$DA,'CWO Bulan Ini'!$DJ:$DJ,'Area-Cabang'!$B114,'CWO Bulan Ini'!$DH:$DH,'Area-Cabang'!$E114,'CWO Bulan Ini'!$CZ:$CZ,'Area-Cabang'!Z$41)</f>
        <v>0</v>
      </c>
      <c r="AA114" s="56">
        <f>SUMIFS('CWO Bulan Ini'!$DA:$DA,'CWO Bulan Ini'!$DJ:$DJ,'Area-Cabang'!$B114,'CWO Bulan Ini'!$DH:$DH,'Area-Cabang'!$E114,'CWO Bulan Ini'!$CZ:$CZ,'Area-Cabang'!AA$41)</f>
        <v>0</v>
      </c>
      <c r="AB114" s="56">
        <f>SUMIFS('CWO Bulan Ini'!$DA:$DA,'CWO Bulan Ini'!$DJ:$DJ,'Area-Cabang'!$B114,'CWO Bulan Ini'!$DH:$DH,'Area-Cabang'!$E114,'CWO Bulan Ini'!$CZ:$CZ,'Area-Cabang'!AB$41)</f>
        <v>0</v>
      </c>
      <c r="AC114" s="56">
        <f>SUMIFS('CWO Bulan Ini'!$DA:$DA,'CWO Bulan Ini'!$DJ:$DJ,'Area-Cabang'!$B114,'CWO Bulan Ini'!$DH:$DH,'Area-Cabang'!$E114,'CWO Bulan Ini'!$CZ:$CZ,'Area-Cabang'!AC$41)</f>
        <v>0</v>
      </c>
      <c r="AD114" s="56">
        <f>SUMIFS('CWO Bulan Ini'!$DA:$DA,'CWO Bulan Ini'!$DJ:$DJ,'Area-Cabang'!$B114,'CWO Bulan Ini'!$DH:$DH,'Area-Cabang'!$E114,'CWO Bulan Ini'!$CZ:$CZ,'Area-Cabang'!AD$41)</f>
        <v>0</v>
      </c>
      <c r="AE114" s="56">
        <f>SUMIFS('CWO Bulan Ini'!$DA:$DA,'CWO Bulan Ini'!$DJ:$DJ,'Area-Cabang'!$B114,'CWO Bulan Ini'!$DH:$DH,'Area-Cabang'!$E114,'CWO Bulan Ini'!$CZ:$CZ,'Area-Cabang'!AE$41)</f>
        <v>0</v>
      </c>
      <c r="AF114" s="56">
        <f>SUMIFS('CWO Bulan Ini'!$DA:$DA,'CWO Bulan Ini'!$DJ:$DJ,'Area-Cabang'!$B114,'CWO Bulan Ini'!$DH:$DH,'Area-Cabang'!$E114,'CWO Bulan Ini'!$CZ:$CZ,'Area-Cabang'!AF$41)</f>
        <v>0</v>
      </c>
      <c r="AG114" s="56">
        <f>SUMIFS('CWO Bulan Ini'!$DA:$DA,'CWO Bulan Ini'!$DJ:$DJ,'Area-Cabang'!$B114,'CWO Bulan Ini'!$DH:$DH,'Area-Cabang'!$E114,'CWO Bulan Ini'!$CZ:$CZ,'Area-Cabang'!AG$41)</f>
        <v>0</v>
      </c>
      <c r="AH114" s="56">
        <f>SUMIFS('CWO Bulan Ini'!$DA:$DA,'CWO Bulan Ini'!$DJ:$DJ,'Area-Cabang'!$B114,'CWO Bulan Ini'!$DH:$DH,'Area-Cabang'!$E114,'CWO Bulan Ini'!$CZ:$CZ,'Area-Cabang'!AH$41)</f>
        <v>0</v>
      </c>
      <c r="AI114" s="56">
        <f>SUMIFS('CWO Bulan Ini'!$DA:$DA,'CWO Bulan Ini'!$DJ:$DJ,'Area-Cabang'!$B114,'CWO Bulan Ini'!$DH:$DH,'Area-Cabang'!$E114,'CWO Bulan Ini'!$CZ:$CZ,'Area-Cabang'!AI$41)</f>
        <v>0</v>
      </c>
      <c r="AJ114" s="56">
        <f>SUMIFS('CWO Bulan Ini'!$DA:$DA,'CWO Bulan Ini'!$DJ:$DJ,'Area-Cabang'!$B114,'CWO Bulan Ini'!$DH:$DH,'Area-Cabang'!$E114,'CWO Bulan Ini'!$CZ:$CZ,'Area-Cabang'!AJ$41)</f>
        <v>0</v>
      </c>
      <c r="AK114" s="55">
        <f>SUMIFS('CWO Bulan Ini'!$DD:$DD,'CWO Bulan Ini'!$DJ:$DJ,'Area-Cabang'!$B114,'CWO Bulan Ini'!$DH:$DH,'Area-Cabang'!$E114,'CWO Bulan Ini'!$CZ:$CZ,'Area-Cabang'!AK$41)</f>
        <v>0</v>
      </c>
      <c r="AL114" s="56">
        <f>SUMIFS('CWO Bulan Ini'!$DD:$DD,'CWO Bulan Ini'!$DJ:$DJ,'Area-Cabang'!$B114,'CWO Bulan Ini'!$DH:$DH,'Area-Cabang'!$E114,'CWO Bulan Ini'!$CZ:$CZ,'Area-Cabang'!AL$41)</f>
        <v>0</v>
      </c>
      <c r="AM114" s="56">
        <f>SUMIFS('CWO Bulan Ini'!$DD:$DD,'CWO Bulan Ini'!$DJ:$DJ,'Area-Cabang'!$B114,'CWO Bulan Ini'!$DH:$DH,'Area-Cabang'!$E114,'CWO Bulan Ini'!$CZ:$CZ,'Area-Cabang'!AM$41)</f>
        <v>0</v>
      </c>
      <c r="AN114" s="56">
        <f>SUMIFS('CWO Bulan Ini'!$DD:$DD,'CWO Bulan Ini'!$DJ:$DJ,'Area-Cabang'!$B114,'CWO Bulan Ini'!$DH:$DH,'Area-Cabang'!$E114,'CWO Bulan Ini'!$CZ:$CZ,'Area-Cabang'!AN$41)</f>
        <v>0</v>
      </c>
      <c r="AO114" s="56">
        <f>SUMIFS('CWO Bulan Ini'!$DD:$DD,'CWO Bulan Ini'!$DJ:$DJ,'Area-Cabang'!$B114,'CWO Bulan Ini'!$DH:$DH,'Area-Cabang'!$E114,'CWO Bulan Ini'!$CZ:$CZ,'Area-Cabang'!AO$41)</f>
        <v>0</v>
      </c>
      <c r="AP114" s="56">
        <f>SUMIFS('CWO Bulan Ini'!$DD:$DD,'CWO Bulan Ini'!$DJ:$DJ,'Area-Cabang'!$B114,'CWO Bulan Ini'!$DH:$DH,'Area-Cabang'!$E114,'CWO Bulan Ini'!$CZ:$CZ,'Area-Cabang'!AP$41)</f>
        <v>0</v>
      </c>
      <c r="AQ114" s="56">
        <f>SUMIFS('CWO Bulan Ini'!$DD:$DD,'CWO Bulan Ini'!$DJ:$DJ,'Area-Cabang'!$B114,'CWO Bulan Ini'!$DH:$DH,'Area-Cabang'!$E114,'CWO Bulan Ini'!$CZ:$CZ,'Area-Cabang'!AQ$41)</f>
        <v>0</v>
      </c>
      <c r="AR114" s="56">
        <f>SUMIFS('CWO Bulan Ini'!$DD:$DD,'CWO Bulan Ini'!$DJ:$DJ,'Area-Cabang'!$B114,'CWO Bulan Ini'!$DH:$DH,'Area-Cabang'!$E114,'CWO Bulan Ini'!$CZ:$CZ,'Area-Cabang'!AR$41)</f>
        <v>0</v>
      </c>
      <c r="AS114" s="56">
        <f>SUMIFS('CWO Bulan Ini'!$DD:$DD,'CWO Bulan Ini'!$DJ:$DJ,'Area-Cabang'!$B114,'CWO Bulan Ini'!$DH:$DH,'Area-Cabang'!$E114,'CWO Bulan Ini'!$CZ:$CZ,'Area-Cabang'!AS$41)</f>
        <v>0</v>
      </c>
      <c r="AT114" s="56">
        <f>SUMIFS('CWO Bulan Ini'!$DD:$DD,'CWO Bulan Ini'!$DJ:$DJ,'Area-Cabang'!$B114,'CWO Bulan Ini'!$DH:$DH,'Area-Cabang'!$E114,'CWO Bulan Ini'!$CZ:$CZ,'Area-Cabang'!AT$41)</f>
        <v>0</v>
      </c>
      <c r="AU114" s="56">
        <f>SUMIFS('CWO Bulan Ini'!$DD:$DD,'CWO Bulan Ini'!$DJ:$DJ,'Area-Cabang'!$B114,'CWO Bulan Ini'!$DH:$DH,'Area-Cabang'!$E114,'CWO Bulan Ini'!$CZ:$CZ,'Area-Cabang'!AU$41)</f>
        <v>0</v>
      </c>
      <c r="AV114" s="56">
        <f>SUMIFS('CWO Bulan Ini'!$DD:$DD,'CWO Bulan Ini'!$DJ:$DJ,'Area-Cabang'!$B114,'CWO Bulan Ini'!$DH:$DH,'Area-Cabang'!$E114,'CWO Bulan Ini'!$CZ:$CZ,'Area-Cabang'!AV$41)</f>
        <v>0</v>
      </c>
      <c r="AW114" s="56">
        <f>SUMIFS('CWO Bulan Ini'!$DD:$DD,'CWO Bulan Ini'!$DJ:$DJ,'Area-Cabang'!$B114,'CWO Bulan Ini'!$DH:$DH,'Area-Cabang'!$E114,'CWO Bulan Ini'!$CZ:$CZ,'Area-Cabang'!AW$41)</f>
        <v>0</v>
      </c>
      <c r="AX114" s="56">
        <f>SUMIFS('CWO Bulan Ini'!$DD:$DD,'CWO Bulan Ini'!$DJ:$DJ,'Area-Cabang'!$B114,'CWO Bulan Ini'!$DH:$DH,'Area-Cabang'!$E114,'CWO Bulan Ini'!$CZ:$CZ,'Area-Cabang'!AX$41)</f>
        <v>0</v>
      </c>
      <c r="AY114" s="56">
        <f>SUMIFS('CWO Bulan Ini'!$DD:$DD,'CWO Bulan Ini'!$DJ:$DJ,'Area-Cabang'!$B114,'CWO Bulan Ini'!$DH:$DH,'Area-Cabang'!$E114,'CWO Bulan Ini'!$CZ:$CZ,'Area-Cabang'!AY$41)</f>
        <v>0</v>
      </c>
      <c r="AZ114" s="56">
        <f>SUMIFS('CWO Bulan Ini'!$DD:$DD,'CWO Bulan Ini'!$DJ:$DJ,'Area-Cabang'!$B114,'CWO Bulan Ini'!$DH:$DH,'Area-Cabang'!$E114,'CWO Bulan Ini'!$CZ:$CZ,'Area-Cabang'!AZ$41)</f>
        <v>0</v>
      </c>
      <c r="BA114" s="56">
        <f>SUMIFS('CWO Bulan Ini'!$DD:$DD,'CWO Bulan Ini'!$DJ:$DJ,'Area-Cabang'!$B114,'CWO Bulan Ini'!$DH:$DH,'Area-Cabang'!$E114,'CWO Bulan Ini'!$CZ:$CZ,'Area-Cabang'!BA$41)</f>
        <v>0</v>
      </c>
      <c r="BB114" s="56">
        <f>SUMIFS('CWO Bulan Ini'!$DD:$DD,'CWO Bulan Ini'!$DJ:$DJ,'Area-Cabang'!$B114,'CWO Bulan Ini'!$DH:$DH,'Area-Cabang'!$E114,'CWO Bulan Ini'!$CZ:$CZ,'Area-Cabang'!BB$41)</f>
        <v>0</v>
      </c>
      <c r="BC114" s="56">
        <f>SUMIFS('CWO Bulan Ini'!$DD:$DD,'CWO Bulan Ini'!$DJ:$DJ,'Area-Cabang'!$B114,'CWO Bulan Ini'!$DH:$DH,'Area-Cabang'!$E114,'CWO Bulan Ini'!$CZ:$CZ,'Area-Cabang'!BC$41)</f>
        <v>0</v>
      </c>
      <c r="BD114" s="56">
        <f>SUMIFS('CWO Bulan Ini'!$DD:$DD,'CWO Bulan Ini'!$DJ:$DJ,'Area-Cabang'!$B114,'CWO Bulan Ini'!$DH:$DH,'Area-Cabang'!$E114,'CWO Bulan Ini'!$CZ:$CZ,'Area-Cabang'!BD$41)</f>
        <v>0</v>
      </c>
      <c r="BE114" s="56">
        <f>SUMIFS('CWO Bulan Ini'!$DD:$DD,'CWO Bulan Ini'!$DJ:$DJ,'Area-Cabang'!$B114,'CWO Bulan Ini'!$DH:$DH,'Area-Cabang'!$E114,'CWO Bulan Ini'!$CZ:$CZ,'Area-Cabang'!BE$41)</f>
        <v>0</v>
      </c>
      <c r="BF114" s="56">
        <f>SUMIFS('CWO Bulan Ini'!$DD:$DD,'CWO Bulan Ini'!$DJ:$DJ,'Area-Cabang'!$B114,'CWO Bulan Ini'!$DH:$DH,'Area-Cabang'!$E114,'CWO Bulan Ini'!$CZ:$CZ,'Area-Cabang'!BF$41)</f>
        <v>0</v>
      </c>
      <c r="BG114" s="56">
        <f>SUMIFS('CWO Bulan Ini'!$DD:$DD,'CWO Bulan Ini'!$DJ:$DJ,'Area-Cabang'!$B114,'CWO Bulan Ini'!$DH:$DH,'Area-Cabang'!$E114,'CWO Bulan Ini'!$CZ:$CZ,'Area-Cabang'!BG$41)</f>
        <v>0</v>
      </c>
      <c r="BH114" s="56">
        <f>SUMIFS('CWO Bulan Ini'!$DD:$DD,'CWO Bulan Ini'!$DJ:$DJ,'Area-Cabang'!$B114,'CWO Bulan Ini'!$DH:$DH,'Area-Cabang'!$E114,'CWO Bulan Ini'!$CZ:$CZ,'Area-Cabang'!BH$41)</f>
        <v>0</v>
      </c>
      <c r="BI114" s="56">
        <f>SUMIFS('CWO Bulan Ini'!$DD:$DD,'CWO Bulan Ini'!$DJ:$DJ,'Area-Cabang'!$B114,'CWO Bulan Ini'!$DH:$DH,'Area-Cabang'!$E114,'CWO Bulan Ini'!$CZ:$CZ,'Area-Cabang'!BI$41)</f>
        <v>0</v>
      </c>
      <c r="BJ114" s="56">
        <f>SUMIFS('CWO Bulan Ini'!$DD:$DD,'CWO Bulan Ini'!$DJ:$DJ,'Area-Cabang'!$B114,'CWO Bulan Ini'!$DH:$DH,'Area-Cabang'!$E114,'CWO Bulan Ini'!$CZ:$CZ,'Area-Cabang'!BJ$41)</f>
        <v>0</v>
      </c>
      <c r="BK114" s="56">
        <f>SUMIFS('CWO Bulan Ini'!$DD:$DD,'CWO Bulan Ini'!$DJ:$DJ,'Area-Cabang'!$B114,'CWO Bulan Ini'!$DH:$DH,'Area-Cabang'!$E114,'CWO Bulan Ini'!$CZ:$CZ,'Area-Cabang'!BK$41)</f>
        <v>0</v>
      </c>
      <c r="BL114" s="56">
        <f>SUMIFS('CWO Bulan Ini'!$DD:$DD,'CWO Bulan Ini'!$DJ:$DJ,'Area-Cabang'!$B114,'CWO Bulan Ini'!$DH:$DH,'Area-Cabang'!$E114,'CWO Bulan Ini'!$CZ:$CZ,'Area-Cabang'!BL$41)</f>
        <v>0</v>
      </c>
      <c r="BM114" s="56">
        <f>SUMIFS('CWO Bulan Ini'!$DD:$DD,'CWO Bulan Ini'!$DJ:$DJ,'Area-Cabang'!$B114,'CWO Bulan Ini'!$DH:$DH,'Area-Cabang'!$E114,'CWO Bulan Ini'!$CZ:$CZ,'Area-Cabang'!BM$41)</f>
        <v>0</v>
      </c>
      <c r="BN114" s="56">
        <f>SUMIFS('CWO Bulan Ini'!$DD:$DD,'CWO Bulan Ini'!$DJ:$DJ,'Area-Cabang'!$B114,'CWO Bulan Ini'!$DH:$DH,'Area-Cabang'!$E114,'CWO Bulan Ini'!$CZ:$CZ,'Area-Cabang'!BN$41)</f>
        <v>0</v>
      </c>
      <c r="BO114" s="57">
        <f>SUMIFS('CWO Bulan Ini'!$DD:$DD,'CWO Bulan Ini'!$DJ:$DJ,'Area-Cabang'!$B114,'CWO Bulan Ini'!$DH:$DH,'Area-Cabang'!$E114,'CWO Bulan Ini'!$CZ:$CZ,'Area-Cabang'!BO$41)</f>
        <v>0</v>
      </c>
      <c r="BP114" s="55">
        <f>SUMIFS('CWO Bulan Ini'!$DC:$DC,'CWO Bulan Ini'!$DJ:$DJ,'Area-Cabang'!$B114,'CWO Bulan Ini'!$DH:$DH,'Area-Cabang'!$E114,'CWO Bulan Ini'!$CZ:$CZ,'Area-Cabang'!BP$41)</f>
        <v>0</v>
      </c>
      <c r="BQ114" s="56">
        <f>SUMIFS('CWO Bulan Ini'!$DC:$DC,'CWO Bulan Ini'!$DJ:$DJ,'Area-Cabang'!$B114,'CWO Bulan Ini'!$DH:$DH,'Area-Cabang'!$E114,'CWO Bulan Ini'!$CZ:$CZ,'Area-Cabang'!BQ$41)</f>
        <v>0</v>
      </c>
      <c r="BR114" s="56">
        <f>SUMIFS('CWO Bulan Ini'!$DC:$DC,'CWO Bulan Ini'!$DJ:$DJ,'Area-Cabang'!$B114,'CWO Bulan Ini'!$DH:$DH,'Area-Cabang'!$E114,'CWO Bulan Ini'!$CZ:$CZ,'Area-Cabang'!BR$41)</f>
        <v>0</v>
      </c>
      <c r="BS114" s="56">
        <f>SUMIFS('CWO Bulan Ini'!$DC:$DC,'CWO Bulan Ini'!$DJ:$DJ,'Area-Cabang'!$B114,'CWO Bulan Ini'!$DH:$DH,'Area-Cabang'!$E114,'CWO Bulan Ini'!$CZ:$CZ,'Area-Cabang'!BS$41)</f>
        <v>0</v>
      </c>
      <c r="BT114" s="56">
        <f>SUMIFS('CWO Bulan Ini'!$DC:$DC,'CWO Bulan Ini'!$DJ:$DJ,'Area-Cabang'!$B114,'CWO Bulan Ini'!$DH:$DH,'Area-Cabang'!$E114,'CWO Bulan Ini'!$CZ:$CZ,'Area-Cabang'!BT$41)</f>
        <v>0</v>
      </c>
      <c r="BU114" s="56">
        <f>SUMIFS('CWO Bulan Ini'!$DC:$DC,'CWO Bulan Ini'!$DJ:$DJ,'Area-Cabang'!$B114,'CWO Bulan Ini'!$DH:$DH,'Area-Cabang'!$E114,'CWO Bulan Ini'!$CZ:$CZ,'Area-Cabang'!BU$41)</f>
        <v>0</v>
      </c>
      <c r="BV114" s="56">
        <f>SUMIFS('CWO Bulan Ini'!$DC:$DC,'CWO Bulan Ini'!$DJ:$DJ,'Area-Cabang'!$B114,'CWO Bulan Ini'!$DH:$DH,'Area-Cabang'!$E114,'CWO Bulan Ini'!$CZ:$CZ,'Area-Cabang'!BV$41)</f>
        <v>0</v>
      </c>
      <c r="BW114" s="56">
        <f>SUMIFS('CWO Bulan Ini'!$DC:$DC,'CWO Bulan Ini'!$DJ:$DJ,'Area-Cabang'!$B114,'CWO Bulan Ini'!$DH:$DH,'Area-Cabang'!$E114,'CWO Bulan Ini'!$CZ:$CZ,'Area-Cabang'!BW$41)</f>
        <v>0</v>
      </c>
      <c r="BX114" s="56">
        <f>SUMIFS('CWO Bulan Ini'!$DC:$DC,'CWO Bulan Ini'!$DJ:$DJ,'Area-Cabang'!$B114,'CWO Bulan Ini'!$DH:$DH,'Area-Cabang'!$E114,'CWO Bulan Ini'!$CZ:$CZ,'Area-Cabang'!BX$41)</f>
        <v>0</v>
      </c>
      <c r="BY114" s="56">
        <f>SUMIFS('CWO Bulan Ini'!$DC:$DC,'CWO Bulan Ini'!$DJ:$DJ,'Area-Cabang'!$B114,'CWO Bulan Ini'!$DH:$DH,'Area-Cabang'!$E114,'CWO Bulan Ini'!$CZ:$CZ,'Area-Cabang'!BY$41)</f>
        <v>0</v>
      </c>
      <c r="BZ114" s="56">
        <f>SUMIFS('CWO Bulan Ini'!$DC:$DC,'CWO Bulan Ini'!$DJ:$DJ,'Area-Cabang'!$B114,'CWO Bulan Ini'!$DH:$DH,'Area-Cabang'!$E114,'CWO Bulan Ini'!$CZ:$CZ,'Area-Cabang'!BZ$41)</f>
        <v>0</v>
      </c>
      <c r="CA114" s="56">
        <f>SUMIFS('CWO Bulan Ini'!$DC:$DC,'CWO Bulan Ini'!$DJ:$DJ,'Area-Cabang'!$B114,'CWO Bulan Ini'!$DH:$DH,'Area-Cabang'!$E114,'CWO Bulan Ini'!$CZ:$CZ,'Area-Cabang'!CA$41)</f>
        <v>0</v>
      </c>
      <c r="CB114" s="56">
        <f>SUMIFS('CWO Bulan Ini'!$DC:$DC,'CWO Bulan Ini'!$DJ:$DJ,'Area-Cabang'!$B114,'CWO Bulan Ini'!$DH:$DH,'Area-Cabang'!$E114,'CWO Bulan Ini'!$CZ:$CZ,'Area-Cabang'!CB$41)</f>
        <v>0</v>
      </c>
      <c r="CC114" s="56">
        <f>SUMIFS('CWO Bulan Ini'!$DC:$DC,'CWO Bulan Ini'!$DJ:$DJ,'Area-Cabang'!$B114,'CWO Bulan Ini'!$DH:$DH,'Area-Cabang'!$E114,'CWO Bulan Ini'!$CZ:$CZ,'Area-Cabang'!CC$41)</f>
        <v>0</v>
      </c>
      <c r="CD114" s="56">
        <f>SUMIFS('CWO Bulan Ini'!$DC:$DC,'CWO Bulan Ini'!$DJ:$DJ,'Area-Cabang'!$B114,'CWO Bulan Ini'!$DH:$DH,'Area-Cabang'!$E114,'CWO Bulan Ini'!$CZ:$CZ,'Area-Cabang'!CD$41)</f>
        <v>0</v>
      </c>
      <c r="CE114" s="56">
        <f>SUMIFS('CWO Bulan Ini'!$DC:$DC,'CWO Bulan Ini'!$DJ:$DJ,'Area-Cabang'!$B114,'CWO Bulan Ini'!$DH:$DH,'Area-Cabang'!$E114,'CWO Bulan Ini'!$CZ:$CZ,'Area-Cabang'!CE$41)</f>
        <v>0</v>
      </c>
      <c r="CF114" s="56">
        <f>SUMIFS('CWO Bulan Ini'!$DC:$DC,'CWO Bulan Ini'!$DJ:$DJ,'Area-Cabang'!$B114,'CWO Bulan Ini'!$DH:$DH,'Area-Cabang'!$E114,'CWO Bulan Ini'!$CZ:$CZ,'Area-Cabang'!CF$41)</f>
        <v>0</v>
      </c>
      <c r="CG114" s="56">
        <f>SUMIFS('CWO Bulan Ini'!$DC:$DC,'CWO Bulan Ini'!$DJ:$DJ,'Area-Cabang'!$B114,'CWO Bulan Ini'!$DH:$DH,'Area-Cabang'!$E114,'CWO Bulan Ini'!$CZ:$CZ,'Area-Cabang'!CG$41)</f>
        <v>0</v>
      </c>
      <c r="CH114" s="56">
        <f>SUMIFS('CWO Bulan Ini'!$DC:$DC,'CWO Bulan Ini'!$DJ:$DJ,'Area-Cabang'!$B114,'CWO Bulan Ini'!$DH:$DH,'Area-Cabang'!$E114,'CWO Bulan Ini'!$CZ:$CZ,'Area-Cabang'!CH$41)</f>
        <v>0</v>
      </c>
      <c r="CI114" s="56">
        <f>SUMIFS('CWO Bulan Ini'!$DC:$DC,'CWO Bulan Ini'!$DJ:$DJ,'Area-Cabang'!$B114,'CWO Bulan Ini'!$DH:$DH,'Area-Cabang'!$E114,'CWO Bulan Ini'!$CZ:$CZ,'Area-Cabang'!CI$41)</f>
        <v>0</v>
      </c>
      <c r="CJ114" s="56">
        <f>SUMIFS('CWO Bulan Ini'!$DC:$DC,'CWO Bulan Ini'!$DJ:$DJ,'Area-Cabang'!$B114,'CWO Bulan Ini'!$DH:$DH,'Area-Cabang'!$E114,'CWO Bulan Ini'!$CZ:$CZ,'Area-Cabang'!CJ$41)</f>
        <v>0</v>
      </c>
      <c r="CK114" s="56">
        <f>SUMIFS('CWO Bulan Ini'!$DC:$DC,'CWO Bulan Ini'!$DJ:$DJ,'Area-Cabang'!$B114,'CWO Bulan Ini'!$DH:$DH,'Area-Cabang'!$E114,'CWO Bulan Ini'!$CZ:$CZ,'Area-Cabang'!CK$41)</f>
        <v>0</v>
      </c>
      <c r="CL114" s="56">
        <f>SUMIFS('CWO Bulan Ini'!$DC:$DC,'CWO Bulan Ini'!$DJ:$DJ,'Area-Cabang'!$B114,'CWO Bulan Ini'!$DH:$DH,'Area-Cabang'!$E114,'CWO Bulan Ini'!$CZ:$CZ,'Area-Cabang'!CL$41)</f>
        <v>0</v>
      </c>
      <c r="CM114" s="56">
        <f>SUMIFS('CWO Bulan Ini'!$DC:$DC,'CWO Bulan Ini'!$DJ:$DJ,'Area-Cabang'!$B114,'CWO Bulan Ini'!$DH:$DH,'Area-Cabang'!$E114,'CWO Bulan Ini'!$CZ:$CZ,'Area-Cabang'!CM$41)</f>
        <v>0</v>
      </c>
      <c r="CN114" s="56">
        <f>SUMIFS('CWO Bulan Ini'!$DC:$DC,'CWO Bulan Ini'!$DJ:$DJ,'Area-Cabang'!$B114,'CWO Bulan Ini'!$DH:$DH,'Area-Cabang'!$E114,'CWO Bulan Ini'!$CZ:$CZ,'Area-Cabang'!CN$41)</f>
        <v>0</v>
      </c>
      <c r="CO114" s="56">
        <f>SUMIFS('CWO Bulan Ini'!$DC:$DC,'CWO Bulan Ini'!$DJ:$DJ,'Area-Cabang'!$B114,'CWO Bulan Ini'!$DH:$DH,'Area-Cabang'!$E114,'CWO Bulan Ini'!$CZ:$CZ,'Area-Cabang'!CO$41)</f>
        <v>0</v>
      </c>
      <c r="CP114" s="56">
        <f>SUMIFS('CWO Bulan Ini'!$DC:$DC,'CWO Bulan Ini'!$DJ:$DJ,'Area-Cabang'!$B114,'CWO Bulan Ini'!$DH:$DH,'Area-Cabang'!$E114,'CWO Bulan Ini'!$CZ:$CZ,'Area-Cabang'!CP$41)</f>
        <v>0</v>
      </c>
      <c r="CQ114" s="56">
        <f>SUMIFS('CWO Bulan Ini'!$DC:$DC,'CWO Bulan Ini'!$DJ:$DJ,'Area-Cabang'!$B114,'CWO Bulan Ini'!$DH:$DH,'Area-Cabang'!$E114,'CWO Bulan Ini'!$CZ:$CZ,'Area-Cabang'!CQ$41)</f>
        <v>0</v>
      </c>
      <c r="CR114" s="56">
        <f>SUMIFS('CWO Bulan Ini'!$DC:$DC,'CWO Bulan Ini'!$DJ:$DJ,'Area-Cabang'!$B114,'CWO Bulan Ini'!$DH:$DH,'Area-Cabang'!$E114,'CWO Bulan Ini'!$CZ:$CZ,'Area-Cabang'!CR$41)</f>
        <v>0</v>
      </c>
      <c r="CS114" s="56">
        <f>SUMIFS('CWO Bulan Ini'!$DC:$DC,'CWO Bulan Ini'!$DJ:$DJ,'Area-Cabang'!$B114,'CWO Bulan Ini'!$DH:$DH,'Area-Cabang'!$E114,'CWO Bulan Ini'!$CZ:$CZ,'Area-Cabang'!CS$41)</f>
        <v>0</v>
      </c>
      <c r="CT114" s="57">
        <f>SUMIFS('CWO Bulan Ini'!$DC:$DC,'CWO Bulan Ini'!$DJ:$DJ,'Area-Cabang'!$B114,'CWO Bulan Ini'!$DH:$DH,'Area-Cabang'!$E114,'CWO Bulan Ini'!$CZ:$CZ,'Area-Cabang'!CT$41)</f>
        <v>0</v>
      </c>
      <c r="CV114" s="97">
        <f t="shared" ref="CV114:CV115" si="3453">SUM(F114:AJ114)</f>
        <v>0</v>
      </c>
      <c r="CW114" s="98">
        <f t="shared" ref="CW114:CW115" si="3454">SUM(AK114:BO114)</f>
        <v>0</v>
      </c>
      <c r="CX114" s="98">
        <f t="shared" ref="CX114:CX115" si="3455">SUM(BP114:CT114)</f>
        <v>0</v>
      </c>
      <c r="CY114" s="98">
        <f t="shared" ref="CY114:CY115" si="3456">CV114-CW114-CX114</f>
        <v>0</v>
      </c>
      <c r="CZ114" s="105">
        <f t="shared" ref="CZ114:CZ115" si="3457">CY114+CW114</f>
        <v>0</v>
      </c>
    </row>
    <row r="115" spans="1:104" ht="15" customHeight="1" x14ac:dyDescent="0.25">
      <c r="A115" s="58" t="s">
        <v>448</v>
      </c>
      <c r="B115" s="58" t="s">
        <v>361</v>
      </c>
      <c r="C115" s="250"/>
      <c r="D115" s="244"/>
      <c r="E115" s="40" t="s">
        <v>349</v>
      </c>
      <c r="F115" s="41">
        <f>SUMIFS('CWO Bulan Ini'!$DA:$DA,'CWO Bulan Ini'!$DJ:$DJ,'Area-Cabang'!$B115,'CWO Bulan Ini'!$DH:$DH,'Area-Cabang'!$E115,'CWO Bulan Ini'!$CZ:$CZ,'Area-Cabang'!F$41)</f>
        <v>0</v>
      </c>
      <c r="G115" s="42">
        <f>SUMIFS('CWO Bulan Ini'!$DA:$DA,'CWO Bulan Ini'!$DJ:$DJ,'Area-Cabang'!$B115,'CWO Bulan Ini'!$DH:$DH,'Area-Cabang'!$E115,'CWO Bulan Ini'!$CZ:$CZ,'Area-Cabang'!G$41)</f>
        <v>0</v>
      </c>
      <c r="H115" s="42">
        <f>SUMIFS('CWO Bulan Ini'!$DA:$DA,'CWO Bulan Ini'!$DJ:$DJ,'Area-Cabang'!$B115,'CWO Bulan Ini'!$DH:$DH,'Area-Cabang'!$E115,'CWO Bulan Ini'!$CZ:$CZ,'Area-Cabang'!H$41)</f>
        <v>0</v>
      </c>
      <c r="I115" s="42">
        <f>SUMIFS('CWO Bulan Ini'!$DA:$DA,'CWO Bulan Ini'!$DJ:$DJ,'Area-Cabang'!$B115,'CWO Bulan Ini'!$DH:$DH,'Area-Cabang'!$E115,'CWO Bulan Ini'!$CZ:$CZ,'Area-Cabang'!I$41)</f>
        <v>0</v>
      </c>
      <c r="J115" s="42">
        <f>SUMIFS('CWO Bulan Ini'!$DA:$DA,'CWO Bulan Ini'!$DJ:$DJ,'Area-Cabang'!$B115,'CWO Bulan Ini'!$DH:$DH,'Area-Cabang'!$E115,'CWO Bulan Ini'!$CZ:$CZ,'Area-Cabang'!J$41)</f>
        <v>0</v>
      </c>
      <c r="K115" s="42">
        <f>SUMIFS('CWO Bulan Ini'!$DA:$DA,'CWO Bulan Ini'!$DJ:$DJ,'Area-Cabang'!$B115,'CWO Bulan Ini'!$DH:$DH,'Area-Cabang'!$E115,'CWO Bulan Ini'!$CZ:$CZ,'Area-Cabang'!K$41)</f>
        <v>0</v>
      </c>
      <c r="L115" s="42">
        <f>SUMIFS('CWO Bulan Ini'!$DA:$DA,'CWO Bulan Ini'!$DJ:$DJ,'Area-Cabang'!$B115,'CWO Bulan Ini'!$DH:$DH,'Area-Cabang'!$E115,'CWO Bulan Ini'!$CZ:$CZ,'Area-Cabang'!L$41)</f>
        <v>0</v>
      </c>
      <c r="M115" s="42">
        <f>SUMIFS('CWO Bulan Ini'!$DA:$DA,'CWO Bulan Ini'!$DJ:$DJ,'Area-Cabang'!$B115,'CWO Bulan Ini'!$DH:$DH,'Area-Cabang'!$E115,'CWO Bulan Ini'!$CZ:$CZ,'Area-Cabang'!M$41)</f>
        <v>0</v>
      </c>
      <c r="N115" s="42">
        <f>SUMIFS('CWO Bulan Ini'!$DA:$DA,'CWO Bulan Ini'!$DJ:$DJ,'Area-Cabang'!$B115,'CWO Bulan Ini'!$DH:$DH,'Area-Cabang'!$E115,'CWO Bulan Ini'!$CZ:$CZ,'Area-Cabang'!N$41)</f>
        <v>0</v>
      </c>
      <c r="O115" s="42">
        <f>SUMIFS('CWO Bulan Ini'!$DA:$DA,'CWO Bulan Ini'!$DJ:$DJ,'Area-Cabang'!$B115,'CWO Bulan Ini'!$DH:$DH,'Area-Cabang'!$E115,'CWO Bulan Ini'!$CZ:$CZ,'Area-Cabang'!O$41)</f>
        <v>0</v>
      </c>
      <c r="P115" s="42">
        <f>SUMIFS('CWO Bulan Ini'!$DA:$DA,'CWO Bulan Ini'!$DJ:$DJ,'Area-Cabang'!$B115,'CWO Bulan Ini'!$DH:$DH,'Area-Cabang'!$E115,'CWO Bulan Ini'!$CZ:$CZ,'Area-Cabang'!P$41)</f>
        <v>0</v>
      </c>
      <c r="Q115" s="42">
        <f>SUMIFS('CWO Bulan Ini'!$DA:$DA,'CWO Bulan Ini'!$DJ:$DJ,'Area-Cabang'!$B115,'CWO Bulan Ini'!$DH:$DH,'Area-Cabang'!$E115,'CWO Bulan Ini'!$CZ:$CZ,'Area-Cabang'!Q$41)</f>
        <v>0</v>
      </c>
      <c r="R115" s="42">
        <f>SUMIFS('CWO Bulan Ini'!$DA:$DA,'CWO Bulan Ini'!$DJ:$DJ,'Area-Cabang'!$B115,'CWO Bulan Ini'!$DH:$DH,'Area-Cabang'!$E115,'CWO Bulan Ini'!$CZ:$CZ,'Area-Cabang'!R$41)</f>
        <v>0</v>
      </c>
      <c r="S115" s="42">
        <f>SUMIFS('CWO Bulan Ini'!$DA:$DA,'CWO Bulan Ini'!$DJ:$DJ,'Area-Cabang'!$B115,'CWO Bulan Ini'!$DH:$DH,'Area-Cabang'!$E115,'CWO Bulan Ini'!$CZ:$CZ,'Area-Cabang'!S$41)</f>
        <v>0</v>
      </c>
      <c r="T115" s="42">
        <f>SUMIFS('CWO Bulan Ini'!$DA:$DA,'CWO Bulan Ini'!$DJ:$DJ,'Area-Cabang'!$B115,'CWO Bulan Ini'!$DH:$DH,'Area-Cabang'!$E115,'CWO Bulan Ini'!$CZ:$CZ,'Area-Cabang'!T$41)</f>
        <v>0</v>
      </c>
      <c r="U115" s="42">
        <f>SUMIFS('CWO Bulan Ini'!$DA:$DA,'CWO Bulan Ini'!$DJ:$DJ,'Area-Cabang'!$B115,'CWO Bulan Ini'!$DH:$DH,'Area-Cabang'!$E115,'CWO Bulan Ini'!$CZ:$CZ,'Area-Cabang'!U$41)</f>
        <v>0</v>
      </c>
      <c r="V115" s="42">
        <f>SUMIFS('CWO Bulan Ini'!$DA:$DA,'CWO Bulan Ini'!$DJ:$DJ,'Area-Cabang'!$B115,'CWO Bulan Ini'!$DH:$DH,'Area-Cabang'!$E115,'CWO Bulan Ini'!$CZ:$CZ,'Area-Cabang'!V$41)</f>
        <v>0</v>
      </c>
      <c r="W115" s="42">
        <f>SUMIFS('CWO Bulan Ini'!$DA:$DA,'CWO Bulan Ini'!$DJ:$DJ,'Area-Cabang'!$B115,'CWO Bulan Ini'!$DH:$DH,'Area-Cabang'!$E115,'CWO Bulan Ini'!$CZ:$CZ,'Area-Cabang'!W$41)</f>
        <v>0</v>
      </c>
      <c r="X115" s="42">
        <f>SUMIFS('CWO Bulan Ini'!$DA:$DA,'CWO Bulan Ini'!$DJ:$DJ,'Area-Cabang'!$B115,'CWO Bulan Ini'!$DH:$DH,'Area-Cabang'!$E115,'CWO Bulan Ini'!$CZ:$CZ,'Area-Cabang'!X$41)</f>
        <v>0</v>
      </c>
      <c r="Y115" s="42">
        <f>SUMIFS('CWO Bulan Ini'!$DA:$DA,'CWO Bulan Ini'!$DJ:$DJ,'Area-Cabang'!$B115,'CWO Bulan Ini'!$DH:$DH,'Area-Cabang'!$E115,'CWO Bulan Ini'!$CZ:$CZ,'Area-Cabang'!Y$41)</f>
        <v>0</v>
      </c>
      <c r="Z115" s="42">
        <f>SUMIFS('CWO Bulan Ini'!$DA:$DA,'CWO Bulan Ini'!$DJ:$DJ,'Area-Cabang'!$B115,'CWO Bulan Ini'!$DH:$DH,'Area-Cabang'!$E115,'CWO Bulan Ini'!$CZ:$CZ,'Area-Cabang'!Z$41)</f>
        <v>0</v>
      </c>
      <c r="AA115" s="42">
        <f>SUMIFS('CWO Bulan Ini'!$DA:$DA,'CWO Bulan Ini'!$DJ:$DJ,'Area-Cabang'!$B115,'CWO Bulan Ini'!$DH:$DH,'Area-Cabang'!$E115,'CWO Bulan Ini'!$CZ:$CZ,'Area-Cabang'!AA$41)</f>
        <v>0</v>
      </c>
      <c r="AB115" s="42">
        <f>SUMIFS('CWO Bulan Ini'!$DA:$DA,'CWO Bulan Ini'!$DJ:$DJ,'Area-Cabang'!$B115,'CWO Bulan Ini'!$DH:$DH,'Area-Cabang'!$E115,'CWO Bulan Ini'!$CZ:$CZ,'Area-Cabang'!AB$41)</f>
        <v>0</v>
      </c>
      <c r="AC115" s="42">
        <f>SUMIFS('CWO Bulan Ini'!$DA:$DA,'CWO Bulan Ini'!$DJ:$DJ,'Area-Cabang'!$B115,'CWO Bulan Ini'!$DH:$DH,'Area-Cabang'!$E115,'CWO Bulan Ini'!$CZ:$CZ,'Area-Cabang'!AC$41)</f>
        <v>0</v>
      </c>
      <c r="AD115" s="42">
        <f>SUMIFS('CWO Bulan Ini'!$DA:$DA,'CWO Bulan Ini'!$DJ:$DJ,'Area-Cabang'!$B115,'CWO Bulan Ini'!$DH:$DH,'Area-Cabang'!$E115,'CWO Bulan Ini'!$CZ:$CZ,'Area-Cabang'!AD$41)</f>
        <v>0</v>
      </c>
      <c r="AE115" s="42">
        <f>SUMIFS('CWO Bulan Ini'!$DA:$DA,'CWO Bulan Ini'!$DJ:$DJ,'Area-Cabang'!$B115,'CWO Bulan Ini'!$DH:$DH,'Area-Cabang'!$E115,'CWO Bulan Ini'!$CZ:$CZ,'Area-Cabang'!AE$41)</f>
        <v>0</v>
      </c>
      <c r="AF115" s="42">
        <f>SUMIFS('CWO Bulan Ini'!$DA:$DA,'CWO Bulan Ini'!$DJ:$DJ,'Area-Cabang'!$B115,'CWO Bulan Ini'!$DH:$DH,'Area-Cabang'!$E115,'CWO Bulan Ini'!$CZ:$CZ,'Area-Cabang'!AF$41)</f>
        <v>0</v>
      </c>
      <c r="AG115" s="42">
        <f>SUMIFS('CWO Bulan Ini'!$DA:$DA,'CWO Bulan Ini'!$DJ:$DJ,'Area-Cabang'!$B115,'CWO Bulan Ini'!$DH:$DH,'Area-Cabang'!$E115,'CWO Bulan Ini'!$CZ:$CZ,'Area-Cabang'!AG$41)</f>
        <v>0</v>
      </c>
      <c r="AH115" s="42">
        <f>SUMIFS('CWO Bulan Ini'!$DA:$DA,'CWO Bulan Ini'!$DJ:$DJ,'Area-Cabang'!$B115,'CWO Bulan Ini'!$DH:$DH,'Area-Cabang'!$E115,'CWO Bulan Ini'!$CZ:$CZ,'Area-Cabang'!AH$41)</f>
        <v>0</v>
      </c>
      <c r="AI115" s="42">
        <f>SUMIFS('CWO Bulan Ini'!$DA:$DA,'CWO Bulan Ini'!$DJ:$DJ,'Area-Cabang'!$B115,'CWO Bulan Ini'!$DH:$DH,'Area-Cabang'!$E115,'CWO Bulan Ini'!$CZ:$CZ,'Area-Cabang'!AI$41)</f>
        <v>0</v>
      </c>
      <c r="AJ115" s="42">
        <f>SUMIFS('CWO Bulan Ini'!$DA:$DA,'CWO Bulan Ini'!$DJ:$DJ,'Area-Cabang'!$B115,'CWO Bulan Ini'!$DH:$DH,'Area-Cabang'!$E115,'CWO Bulan Ini'!$CZ:$CZ,'Area-Cabang'!AJ$41)</f>
        <v>0</v>
      </c>
      <c r="AK115" s="41">
        <f>SUMIFS('CWO Bulan Ini'!$DD:$DD,'CWO Bulan Ini'!$DJ:$DJ,'Area-Cabang'!$B115,'CWO Bulan Ini'!$DH:$DH,'Area-Cabang'!$E115,'CWO Bulan Ini'!$CZ:$CZ,'Area-Cabang'!AK$41)</f>
        <v>0</v>
      </c>
      <c r="AL115" s="42">
        <f>SUMIFS('CWO Bulan Ini'!$DD:$DD,'CWO Bulan Ini'!$DJ:$DJ,'Area-Cabang'!$B115,'CWO Bulan Ini'!$DH:$DH,'Area-Cabang'!$E115,'CWO Bulan Ini'!$CZ:$CZ,'Area-Cabang'!AL$41)</f>
        <v>0</v>
      </c>
      <c r="AM115" s="42">
        <f>SUMIFS('CWO Bulan Ini'!$DD:$DD,'CWO Bulan Ini'!$DJ:$DJ,'Area-Cabang'!$B115,'CWO Bulan Ini'!$DH:$DH,'Area-Cabang'!$E115,'CWO Bulan Ini'!$CZ:$CZ,'Area-Cabang'!AM$41)</f>
        <v>0</v>
      </c>
      <c r="AN115" s="42">
        <f>SUMIFS('CWO Bulan Ini'!$DD:$DD,'CWO Bulan Ini'!$DJ:$DJ,'Area-Cabang'!$B115,'CWO Bulan Ini'!$DH:$DH,'Area-Cabang'!$E115,'CWO Bulan Ini'!$CZ:$CZ,'Area-Cabang'!AN$41)</f>
        <v>0</v>
      </c>
      <c r="AO115" s="42">
        <f>SUMIFS('CWO Bulan Ini'!$DD:$DD,'CWO Bulan Ini'!$DJ:$DJ,'Area-Cabang'!$B115,'CWO Bulan Ini'!$DH:$DH,'Area-Cabang'!$E115,'CWO Bulan Ini'!$CZ:$CZ,'Area-Cabang'!AO$41)</f>
        <v>0</v>
      </c>
      <c r="AP115" s="42">
        <f>SUMIFS('CWO Bulan Ini'!$DD:$DD,'CWO Bulan Ini'!$DJ:$DJ,'Area-Cabang'!$B115,'CWO Bulan Ini'!$DH:$DH,'Area-Cabang'!$E115,'CWO Bulan Ini'!$CZ:$CZ,'Area-Cabang'!AP$41)</f>
        <v>0</v>
      </c>
      <c r="AQ115" s="42">
        <f>SUMIFS('CWO Bulan Ini'!$DD:$DD,'CWO Bulan Ini'!$DJ:$DJ,'Area-Cabang'!$B115,'CWO Bulan Ini'!$DH:$DH,'Area-Cabang'!$E115,'CWO Bulan Ini'!$CZ:$CZ,'Area-Cabang'!AQ$41)</f>
        <v>0</v>
      </c>
      <c r="AR115" s="42">
        <f>SUMIFS('CWO Bulan Ini'!$DD:$DD,'CWO Bulan Ini'!$DJ:$DJ,'Area-Cabang'!$B115,'CWO Bulan Ini'!$DH:$DH,'Area-Cabang'!$E115,'CWO Bulan Ini'!$CZ:$CZ,'Area-Cabang'!AR$41)</f>
        <v>0</v>
      </c>
      <c r="AS115" s="42">
        <f>SUMIFS('CWO Bulan Ini'!$DD:$DD,'CWO Bulan Ini'!$DJ:$DJ,'Area-Cabang'!$B115,'CWO Bulan Ini'!$DH:$DH,'Area-Cabang'!$E115,'CWO Bulan Ini'!$CZ:$CZ,'Area-Cabang'!AS$41)</f>
        <v>0</v>
      </c>
      <c r="AT115" s="42">
        <f>SUMIFS('CWO Bulan Ini'!$DD:$DD,'CWO Bulan Ini'!$DJ:$DJ,'Area-Cabang'!$B115,'CWO Bulan Ini'!$DH:$DH,'Area-Cabang'!$E115,'CWO Bulan Ini'!$CZ:$CZ,'Area-Cabang'!AT$41)</f>
        <v>0</v>
      </c>
      <c r="AU115" s="42">
        <f>SUMIFS('CWO Bulan Ini'!$DD:$DD,'CWO Bulan Ini'!$DJ:$DJ,'Area-Cabang'!$B115,'CWO Bulan Ini'!$DH:$DH,'Area-Cabang'!$E115,'CWO Bulan Ini'!$CZ:$CZ,'Area-Cabang'!AU$41)</f>
        <v>0</v>
      </c>
      <c r="AV115" s="42">
        <f>SUMIFS('CWO Bulan Ini'!$DD:$DD,'CWO Bulan Ini'!$DJ:$DJ,'Area-Cabang'!$B115,'CWO Bulan Ini'!$DH:$DH,'Area-Cabang'!$E115,'CWO Bulan Ini'!$CZ:$CZ,'Area-Cabang'!AV$41)</f>
        <v>0</v>
      </c>
      <c r="AW115" s="42">
        <f>SUMIFS('CWO Bulan Ini'!$DD:$DD,'CWO Bulan Ini'!$DJ:$DJ,'Area-Cabang'!$B115,'CWO Bulan Ini'!$DH:$DH,'Area-Cabang'!$E115,'CWO Bulan Ini'!$CZ:$CZ,'Area-Cabang'!AW$41)</f>
        <v>0</v>
      </c>
      <c r="AX115" s="42">
        <f>SUMIFS('CWO Bulan Ini'!$DD:$DD,'CWO Bulan Ini'!$DJ:$DJ,'Area-Cabang'!$B115,'CWO Bulan Ini'!$DH:$DH,'Area-Cabang'!$E115,'CWO Bulan Ini'!$CZ:$CZ,'Area-Cabang'!AX$41)</f>
        <v>0</v>
      </c>
      <c r="AY115" s="42">
        <f>SUMIFS('CWO Bulan Ini'!$DD:$DD,'CWO Bulan Ini'!$DJ:$DJ,'Area-Cabang'!$B115,'CWO Bulan Ini'!$DH:$DH,'Area-Cabang'!$E115,'CWO Bulan Ini'!$CZ:$CZ,'Area-Cabang'!AY$41)</f>
        <v>0</v>
      </c>
      <c r="AZ115" s="42">
        <f>SUMIFS('CWO Bulan Ini'!$DD:$DD,'CWO Bulan Ini'!$DJ:$DJ,'Area-Cabang'!$B115,'CWO Bulan Ini'!$DH:$DH,'Area-Cabang'!$E115,'CWO Bulan Ini'!$CZ:$CZ,'Area-Cabang'!AZ$41)</f>
        <v>0</v>
      </c>
      <c r="BA115" s="42">
        <f>SUMIFS('CWO Bulan Ini'!$DD:$DD,'CWO Bulan Ini'!$DJ:$DJ,'Area-Cabang'!$B115,'CWO Bulan Ini'!$DH:$DH,'Area-Cabang'!$E115,'CWO Bulan Ini'!$CZ:$CZ,'Area-Cabang'!BA$41)</f>
        <v>0</v>
      </c>
      <c r="BB115" s="42">
        <f>SUMIFS('CWO Bulan Ini'!$DD:$DD,'CWO Bulan Ini'!$DJ:$DJ,'Area-Cabang'!$B115,'CWO Bulan Ini'!$DH:$DH,'Area-Cabang'!$E115,'CWO Bulan Ini'!$CZ:$CZ,'Area-Cabang'!BB$41)</f>
        <v>0</v>
      </c>
      <c r="BC115" s="42">
        <f>SUMIFS('CWO Bulan Ini'!$DD:$DD,'CWO Bulan Ini'!$DJ:$DJ,'Area-Cabang'!$B115,'CWO Bulan Ini'!$DH:$DH,'Area-Cabang'!$E115,'CWO Bulan Ini'!$CZ:$CZ,'Area-Cabang'!BC$41)</f>
        <v>0</v>
      </c>
      <c r="BD115" s="42">
        <f>SUMIFS('CWO Bulan Ini'!$DD:$DD,'CWO Bulan Ini'!$DJ:$DJ,'Area-Cabang'!$B115,'CWO Bulan Ini'!$DH:$DH,'Area-Cabang'!$E115,'CWO Bulan Ini'!$CZ:$CZ,'Area-Cabang'!BD$41)</f>
        <v>0</v>
      </c>
      <c r="BE115" s="42">
        <f>SUMIFS('CWO Bulan Ini'!$DD:$DD,'CWO Bulan Ini'!$DJ:$DJ,'Area-Cabang'!$B115,'CWO Bulan Ini'!$DH:$DH,'Area-Cabang'!$E115,'CWO Bulan Ini'!$CZ:$CZ,'Area-Cabang'!BE$41)</f>
        <v>0</v>
      </c>
      <c r="BF115" s="42">
        <f>SUMIFS('CWO Bulan Ini'!$DD:$DD,'CWO Bulan Ini'!$DJ:$DJ,'Area-Cabang'!$B115,'CWO Bulan Ini'!$DH:$DH,'Area-Cabang'!$E115,'CWO Bulan Ini'!$CZ:$CZ,'Area-Cabang'!BF$41)</f>
        <v>0</v>
      </c>
      <c r="BG115" s="42">
        <f>SUMIFS('CWO Bulan Ini'!$DD:$DD,'CWO Bulan Ini'!$DJ:$DJ,'Area-Cabang'!$B115,'CWO Bulan Ini'!$DH:$DH,'Area-Cabang'!$E115,'CWO Bulan Ini'!$CZ:$CZ,'Area-Cabang'!BG$41)</f>
        <v>0</v>
      </c>
      <c r="BH115" s="42">
        <f>SUMIFS('CWO Bulan Ini'!$DD:$DD,'CWO Bulan Ini'!$DJ:$DJ,'Area-Cabang'!$B115,'CWO Bulan Ini'!$DH:$DH,'Area-Cabang'!$E115,'CWO Bulan Ini'!$CZ:$CZ,'Area-Cabang'!BH$41)</f>
        <v>0</v>
      </c>
      <c r="BI115" s="42">
        <f>SUMIFS('CWO Bulan Ini'!$DD:$DD,'CWO Bulan Ini'!$DJ:$DJ,'Area-Cabang'!$B115,'CWO Bulan Ini'!$DH:$DH,'Area-Cabang'!$E115,'CWO Bulan Ini'!$CZ:$CZ,'Area-Cabang'!BI$41)</f>
        <v>0</v>
      </c>
      <c r="BJ115" s="42">
        <f>SUMIFS('CWO Bulan Ini'!$DD:$DD,'CWO Bulan Ini'!$DJ:$DJ,'Area-Cabang'!$B115,'CWO Bulan Ini'!$DH:$DH,'Area-Cabang'!$E115,'CWO Bulan Ini'!$CZ:$CZ,'Area-Cabang'!BJ$41)</f>
        <v>0</v>
      </c>
      <c r="BK115" s="42">
        <f>SUMIFS('CWO Bulan Ini'!$DD:$DD,'CWO Bulan Ini'!$DJ:$DJ,'Area-Cabang'!$B115,'CWO Bulan Ini'!$DH:$DH,'Area-Cabang'!$E115,'CWO Bulan Ini'!$CZ:$CZ,'Area-Cabang'!BK$41)</f>
        <v>0</v>
      </c>
      <c r="BL115" s="42">
        <f>SUMIFS('CWO Bulan Ini'!$DD:$DD,'CWO Bulan Ini'!$DJ:$DJ,'Area-Cabang'!$B115,'CWO Bulan Ini'!$DH:$DH,'Area-Cabang'!$E115,'CWO Bulan Ini'!$CZ:$CZ,'Area-Cabang'!BL$41)</f>
        <v>0</v>
      </c>
      <c r="BM115" s="42">
        <f>SUMIFS('CWO Bulan Ini'!$DD:$DD,'CWO Bulan Ini'!$DJ:$DJ,'Area-Cabang'!$B115,'CWO Bulan Ini'!$DH:$DH,'Area-Cabang'!$E115,'CWO Bulan Ini'!$CZ:$CZ,'Area-Cabang'!BM$41)</f>
        <v>0</v>
      </c>
      <c r="BN115" s="42">
        <f>SUMIFS('CWO Bulan Ini'!$DD:$DD,'CWO Bulan Ini'!$DJ:$DJ,'Area-Cabang'!$B115,'CWO Bulan Ini'!$DH:$DH,'Area-Cabang'!$E115,'CWO Bulan Ini'!$CZ:$CZ,'Area-Cabang'!BN$41)</f>
        <v>0</v>
      </c>
      <c r="BO115" s="43">
        <f>SUMIFS('CWO Bulan Ini'!$DD:$DD,'CWO Bulan Ini'!$DJ:$DJ,'Area-Cabang'!$B115,'CWO Bulan Ini'!$DH:$DH,'Area-Cabang'!$E115,'CWO Bulan Ini'!$CZ:$CZ,'Area-Cabang'!BO$41)</f>
        <v>0</v>
      </c>
      <c r="BP115" s="41">
        <f>SUMIFS('CWO Bulan Ini'!$DC:$DC,'CWO Bulan Ini'!$DJ:$DJ,'Area-Cabang'!$B115,'CWO Bulan Ini'!$DH:$DH,'Area-Cabang'!$E115,'CWO Bulan Ini'!$CZ:$CZ,'Area-Cabang'!BP$41)</f>
        <v>0</v>
      </c>
      <c r="BQ115" s="42">
        <f>SUMIFS('CWO Bulan Ini'!$DC:$DC,'CWO Bulan Ini'!$DJ:$DJ,'Area-Cabang'!$B115,'CWO Bulan Ini'!$DH:$DH,'Area-Cabang'!$E115,'CWO Bulan Ini'!$CZ:$CZ,'Area-Cabang'!BQ$41)</f>
        <v>0</v>
      </c>
      <c r="BR115" s="42">
        <f>SUMIFS('CWO Bulan Ini'!$DC:$DC,'CWO Bulan Ini'!$DJ:$DJ,'Area-Cabang'!$B115,'CWO Bulan Ini'!$DH:$DH,'Area-Cabang'!$E115,'CWO Bulan Ini'!$CZ:$CZ,'Area-Cabang'!BR$41)</f>
        <v>0</v>
      </c>
      <c r="BS115" s="42">
        <f>SUMIFS('CWO Bulan Ini'!$DC:$DC,'CWO Bulan Ini'!$DJ:$DJ,'Area-Cabang'!$B115,'CWO Bulan Ini'!$DH:$DH,'Area-Cabang'!$E115,'CWO Bulan Ini'!$CZ:$CZ,'Area-Cabang'!BS$41)</f>
        <v>0</v>
      </c>
      <c r="BT115" s="42">
        <f>SUMIFS('CWO Bulan Ini'!$DC:$DC,'CWO Bulan Ini'!$DJ:$DJ,'Area-Cabang'!$B115,'CWO Bulan Ini'!$DH:$DH,'Area-Cabang'!$E115,'CWO Bulan Ini'!$CZ:$CZ,'Area-Cabang'!BT$41)</f>
        <v>0</v>
      </c>
      <c r="BU115" s="42">
        <f>SUMIFS('CWO Bulan Ini'!$DC:$DC,'CWO Bulan Ini'!$DJ:$DJ,'Area-Cabang'!$B115,'CWO Bulan Ini'!$DH:$DH,'Area-Cabang'!$E115,'CWO Bulan Ini'!$CZ:$CZ,'Area-Cabang'!BU$41)</f>
        <v>0</v>
      </c>
      <c r="BV115" s="42">
        <f>SUMIFS('CWO Bulan Ini'!$DC:$DC,'CWO Bulan Ini'!$DJ:$DJ,'Area-Cabang'!$B115,'CWO Bulan Ini'!$DH:$DH,'Area-Cabang'!$E115,'CWO Bulan Ini'!$CZ:$CZ,'Area-Cabang'!BV$41)</f>
        <v>0</v>
      </c>
      <c r="BW115" s="42">
        <f>SUMIFS('CWO Bulan Ini'!$DC:$DC,'CWO Bulan Ini'!$DJ:$DJ,'Area-Cabang'!$B115,'CWO Bulan Ini'!$DH:$DH,'Area-Cabang'!$E115,'CWO Bulan Ini'!$CZ:$CZ,'Area-Cabang'!BW$41)</f>
        <v>0</v>
      </c>
      <c r="BX115" s="42">
        <f>SUMIFS('CWO Bulan Ini'!$DC:$DC,'CWO Bulan Ini'!$DJ:$DJ,'Area-Cabang'!$B115,'CWO Bulan Ini'!$DH:$DH,'Area-Cabang'!$E115,'CWO Bulan Ini'!$CZ:$CZ,'Area-Cabang'!BX$41)</f>
        <v>0</v>
      </c>
      <c r="BY115" s="42">
        <f>SUMIFS('CWO Bulan Ini'!$DC:$DC,'CWO Bulan Ini'!$DJ:$DJ,'Area-Cabang'!$B115,'CWO Bulan Ini'!$DH:$DH,'Area-Cabang'!$E115,'CWO Bulan Ini'!$CZ:$CZ,'Area-Cabang'!BY$41)</f>
        <v>0</v>
      </c>
      <c r="BZ115" s="42">
        <f>SUMIFS('CWO Bulan Ini'!$DC:$DC,'CWO Bulan Ini'!$DJ:$DJ,'Area-Cabang'!$B115,'CWO Bulan Ini'!$DH:$DH,'Area-Cabang'!$E115,'CWO Bulan Ini'!$CZ:$CZ,'Area-Cabang'!BZ$41)</f>
        <v>0</v>
      </c>
      <c r="CA115" s="42">
        <f>SUMIFS('CWO Bulan Ini'!$DC:$DC,'CWO Bulan Ini'!$DJ:$DJ,'Area-Cabang'!$B115,'CWO Bulan Ini'!$DH:$DH,'Area-Cabang'!$E115,'CWO Bulan Ini'!$CZ:$CZ,'Area-Cabang'!CA$41)</f>
        <v>0</v>
      </c>
      <c r="CB115" s="42">
        <f>SUMIFS('CWO Bulan Ini'!$DC:$DC,'CWO Bulan Ini'!$DJ:$DJ,'Area-Cabang'!$B115,'CWO Bulan Ini'!$DH:$DH,'Area-Cabang'!$E115,'CWO Bulan Ini'!$CZ:$CZ,'Area-Cabang'!CB$41)</f>
        <v>0</v>
      </c>
      <c r="CC115" s="42">
        <f>SUMIFS('CWO Bulan Ini'!$DC:$DC,'CWO Bulan Ini'!$DJ:$DJ,'Area-Cabang'!$B115,'CWO Bulan Ini'!$DH:$DH,'Area-Cabang'!$E115,'CWO Bulan Ini'!$CZ:$CZ,'Area-Cabang'!CC$41)</f>
        <v>0</v>
      </c>
      <c r="CD115" s="42">
        <f>SUMIFS('CWO Bulan Ini'!$DC:$DC,'CWO Bulan Ini'!$DJ:$DJ,'Area-Cabang'!$B115,'CWO Bulan Ini'!$DH:$DH,'Area-Cabang'!$E115,'CWO Bulan Ini'!$CZ:$CZ,'Area-Cabang'!CD$41)</f>
        <v>0</v>
      </c>
      <c r="CE115" s="42">
        <f>SUMIFS('CWO Bulan Ini'!$DC:$DC,'CWO Bulan Ini'!$DJ:$DJ,'Area-Cabang'!$B115,'CWO Bulan Ini'!$DH:$DH,'Area-Cabang'!$E115,'CWO Bulan Ini'!$CZ:$CZ,'Area-Cabang'!CE$41)</f>
        <v>0</v>
      </c>
      <c r="CF115" s="42">
        <f>SUMIFS('CWO Bulan Ini'!$DC:$DC,'CWO Bulan Ini'!$DJ:$DJ,'Area-Cabang'!$B115,'CWO Bulan Ini'!$DH:$DH,'Area-Cabang'!$E115,'CWO Bulan Ini'!$CZ:$CZ,'Area-Cabang'!CF$41)</f>
        <v>0</v>
      </c>
      <c r="CG115" s="42">
        <f>SUMIFS('CWO Bulan Ini'!$DC:$DC,'CWO Bulan Ini'!$DJ:$DJ,'Area-Cabang'!$B115,'CWO Bulan Ini'!$DH:$DH,'Area-Cabang'!$E115,'CWO Bulan Ini'!$CZ:$CZ,'Area-Cabang'!CG$41)</f>
        <v>0</v>
      </c>
      <c r="CH115" s="42">
        <f>SUMIFS('CWO Bulan Ini'!$DC:$DC,'CWO Bulan Ini'!$DJ:$DJ,'Area-Cabang'!$B115,'CWO Bulan Ini'!$DH:$DH,'Area-Cabang'!$E115,'CWO Bulan Ini'!$CZ:$CZ,'Area-Cabang'!CH$41)</f>
        <v>0</v>
      </c>
      <c r="CI115" s="42">
        <f>SUMIFS('CWO Bulan Ini'!$DC:$DC,'CWO Bulan Ini'!$DJ:$DJ,'Area-Cabang'!$B115,'CWO Bulan Ini'!$DH:$DH,'Area-Cabang'!$E115,'CWO Bulan Ini'!$CZ:$CZ,'Area-Cabang'!CI$41)</f>
        <v>0</v>
      </c>
      <c r="CJ115" s="42">
        <f>SUMIFS('CWO Bulan Ini'!$DC:$DC,'CWO Bulan Ini'!$DJ:$DJ,'Area-Cabang'!$B115,'CWO Bulan Ini'!$DH:$DH,'Area-Cabang'!$E115,'CWO Bulan Ini'!$CZ:$CZ,'Area-Cabang'!CJ$41)</f>
        <v>0</v>
      </c>
      <c r="CK115" s="42">
        <f>SUMIFS('CWO Bulan Ini'!$DC:$DC,'CWO Bulan Ini'!$DJ:$DJ,'Area-Cabang'!$B115,'CWO Bulan Ini'!$DH:$DH,'Area-Cabang'!$E115,'CWO Bulan Ini'!$CZ:$CZ,'Area-Cabang'!CK$41)</f>
        <v>0</v>
      </c>
      <c r="CL115" s="42">
        <f>SUMIFS('CWO Bulan Ini'!$DC:$DC,'CWO Bulan Ini'!$DJ:$DJ,'Area-Cabang'!$B115,'CWO Bulan Ini'!$DH:$DH,'Area-Cabang'!$E115,'CWO Bulan Ini'!$CZ:$CZ,'Area-Cabang'!CL$41)</f>
        <v>0</v>
      </c>
      <c r="CM115" s="42">
        <f>SUMIFS('CWO Bulan Ini'!$DC:$DC,'CWO Bulan Ini'!$DJ:$DJ,'Area-Cabang'!$B115,'CWO Bulan Ini'!$DH:$DH,'Area-Cabang'!$E115,'CWO Bulan Ini'!$CZ:$CZ,'Area-Cabang'!CM$41)</f>
        <v>0</v>
      </c>
      <c r="CN115" s="42">
        <f>SUMIFS('CWO Bulan Ini'!$DC:$DC,'CWO Bulan Ini'!$DJ:$DJ,'Area-Cabang'!$B115,'CWO Bulan Ini'!$DH:$DH,'Area-Cabang'!$E115,'CWO Bulan Ini'!$CZ:$CZ,'Area-Cabang'!CN$41)</f>
        <v>0</v>
      </c>
      <c r="CO115" s="42">
        <f>SUMIFS('CWO Bulan Ini'!$DC:$DC,'CWO Bulan Ini'!$DJ:$DJ,'Area-Cabang'!$B115,'CWO Bulan Ini'!$DH:$DH,'Area-Cabang'!$E115,'CWO Bulan Ini'!$CZ:$CZ,'Area-Cabang'!CO$41)</f>
        <v>0</v>
      </c>
      <c r="CP115" s="42">
        <f>SUMIFS('CWO Bulan Ini'!$DC:$DC,'CWO Bulan Ini'!$DJ:$DJ,'Area-Cabang'!$B115,'CWO Bulan Ini'!$DH:$DH,'Area-Cabang'!$E115,'CWO Bulan Ini'!$CZ:$CZ,'Area-Cabang'!CP$41)</f>
        <v>0</v>
      </c>
      <c r="CQ115" s="42">
        <f>SUMIFS('CWO Bulan Ini'!$DC:$DC,'CWO Bulan Ini'!$DJ:$DJ,'Area-Cabang'!$B115,'CWO Bulan Ini'!$DH:$DH,'Area-Cabang'!$E115,'CWO Bulan Ini'!$CZ:$CZ,'Area-Cabang'!CQ$41)</f>
        <v>0</v>
      </c>
      <c r="CR115" s="42">
        <f>SUMIFS('CWO Bulan Ini'!$DC:$DC,'CWO Bulan Ini'!$DJ:$DJ,'Area-Cabang'!$B115,'CWO Bulan Ini'!$DH:$DH,'Area-Cabang'!$E115,'CWO Bulan Ini'!$CZ:$CZ,'Area-Cabang'!CR$41)</f>
        <v>0</v>
      </c>
      <c r="CS115" s="42">
        <f>SUMIFS('CWO Bulan Ini'!$DC:$DC,'CWO Bulan Ini'!$DJ:$DJ,'Area-Cabang'!$B115,'CWO Bulan Ini'!$DH:$DH,'Area-Cabang'!$E115,'CWO Bulan Ini'!$CZ:$CZ,'Area-Cabang'!CS$41)</f>
        <v>0</v>
      </c>
      <c r="CT115" s="43">
        <f>SUMIFS('CWO Bulan Ini'!$DC:$DC,'CWO Bulan Ini'!$DJ:$DJ,'Area-Cabang'!$B115,'CWO Bulan Ini'!$DH:$DH,'Area-Cabang'!$E115,'CWO Bulan Ini'!$CZ:$CZ,'Area-Cabang'!CT$41)</f>
        <v>0</v>
      </c>
      <c r="CV115" s="96">
        <f t="shared" si="3453"/>
        <v>0</v>
      </c>
      <c r="CW115" s="93">
        <f t="shared" si="3454"/>
        <v>0</v>
      </c>
      <c r="CX115" s="93">
        <f t="shared" si="3455"/>
        <v>0</v>
      </c>
      <c r="CY115" s="93">
        <f t="shared" si="3456"/>
        <v>0</v>
      </c>
      <c r="CZ115" s="106">
        <f t="shared" si="3457"/>
        <v>0</v>
      </c>
    </row>
    <row r="116" spans="1:104" ht="15" customHeight="1" x14ac:dyDescent="0.25">
      <c r="A116" s="58" t="s">
        <v>448</v>
      </c>
      <c r="B116" s="53" t="s">
        <v>831</v>
      </c>
      <c r="C116" s="250"/>
      <c r="D116" s="227" t="s">
        <v>831</v>
      </c>
      <c r="E116" s="228"/>
      <c r="F116" s="219">
        <f t="shared" ref="F116" si="3458">SUM(F114:F115)</f>
        <v>0</v>
      </c>
      <c r="G116" s="220">
        <f t="shared" ref="G116" si="3459">SUM(G114:G115)</f>
        <v>0</v>
      </c>
      <c r="H116" s="220">
        <f t="shared" ref="H116" si="3460">SUM(H114:H115)</f>
        <v>0</v>
      </c>
      <c r="I116" s="220">
        <f t="shared" ref="I116" si="3461">SUM(I114:I115)</f>
        <v>0</v>
      </c>
      <c r="J116" s="220">
        <f t="shared" ref="J116" si="3462">SUM(J114:J115)</f>
        <v>0</v>
      </c>
      <c r="K116" s="220">
        <f t="shared" ref="K116" si="3463">SUM(K114:K115)</f>
        <v>0</v>
      </c>
      <c r="L116" s="220">
        <f t="shared" ref="L116" si="3464">SUM(L114:L115)</f>
        <v>0</v>
      </c>
      <c r="M116" s="220">
        <f t="shared" ref="M116" si="3465">SUM(M114:M115)</f>
        <v>0</v>
      </c>
      <c r="N116" s="220">
        <f t="shared" ref="N116" si="3466">SUM(N114:N115)</f>
        <v>0</v>
      </c>
      <c r="O116" s="220">
        <f t="shared" ref="O116" si="3467">SUM(O114:O115)</f>
        <v>0</v>
      </c>
      <c r="P116" s="220">
        <f t="shared" ref="P116" si="3468">SUM(P114:P115)</f>
        <v>0</v>
      </c>
      <c r="Q116" s="220">
        <f t="shared" ref="Q116" si="3469">SUM(Q114:Q115)</f>
        <v>0</v>
      </c>
      <c r="R116" s="220">
        <f t="shared" ref="R116" si="3470">SUM(R114:R115)</f>
        <v>0</v>
      </c>
      <c r="S116" s="220">
        <f t="shared" ref="S116" si="3471">SUM(S114:S115)</f>
        <v>0</v>
      </c>
      <c r="T116" s="220">
        <f t="shared" ref="T116" si="3472">SUM(T114:T115)</f>
        <v>0</v>
      </c>
      <c r="U116" s="220">
        <f t="shared" ref="U116" si="3473">SUM(U114:U115)</f>
        <v>0</v>
      </c>
      <c r="V116" s="220">
        <f t="shared" ref="V116" si="3474">SUM(V114:V115)</f>
        <v>0</v>
      </c>
      <c r="W116" s="220">
        <f t="shared" ref="W116" si="3475">SUM(W114:W115)</f>
        <v>0</v>
      </c>
      <c r="X116" s="220">
        <f t="shared" ref="X116" si="3476">SUM(X114:X115)</f>
        <v>0</v>
      </c>
      <c r="Y116" s="220">
        <f t="shared" ref="Y116" si="3477">SUM(Y114:Y115)</f>
        <v>0</v>
      </c>
      <c r="Z116" s="220">
        <f t="shared" ref="Z116" si="3478">SUM(Z114:Z115)</f>
        <v>0</v>
      </c>
      <c r="AA116" s="220">
        <f t="shared" ref="AA116" si="3479">SUM(AA114:AA115)</f>
        <v>0</v>
      </c>
      <c r="AB116" s="220">
        <f t="shared" ref="AB116" si="3480">SUM(AB114:AB115)</f>
        <v>0</v>
      </c>
      <c r="AC116" s="220">
        <f t="shared" ref="AC116" si="3481">SUM(AC114:AC115)</f>
        <v>0</v>
      </c>
      <c r="AD116" s="220">
        <f t="shared" ref="AD116" si="3482">SUM(AD114:AD115)</f>
        <v>0</v>
      </c>
      <c r="AE116" s="220">
        <f t="shared" ref="AE116" si="3483">SUM(AE114:AE115)</f>
        <v>0</v>
      </c>
      <c r="AF116" s="220">
        <f t="shared" ref="AF116" si="3484">SUM(AF114:AF115)</f>
        <v>0</v>
      </c>
      <c r="AG116" s="220">
        <f t="shared" ref="AG116" si="3485">SUM(AG114:AG115)</f>
        <v>0</v>
      </c>
      <c r="AH116" s="220">
        <f t="shared" ref="AH116" si="3486">SUM(AH114:AH115)</f>
        <v>0</v>
      </c>
      <c r="AI116" s="220">
        <f t="shared" ref="AI116" si="3487">SUM(AI114:AI115)</f>
        <v>0</v>
      </c>
      <c r="AJ116" s="220">
        <f t="shared" ref="AJ116" si="3488">SUM(AJ114:AJ115)</f>
        <v>0</v>
      </c>
      <c r="AK116" s="219">
        <f t="shared" ref="AK116" si="3489">SUM(AK114:AK115)</f>
        <v>0</v>
      </c>
      <c r="AL116" s="220">
        <f t="shared" ref="AL116" si="3490">SUM(AL114:AL115)</f>
        <v>0</v>
      </c>
      <c r="AM116" s="220">
        <f t="shared" ref="AM116" si="3491">SUM(AM114:AM115)</f>
        <v>0</v>
      </c>
      <c r="AN116" s="220">
        <f t="shared" ref="AN116" si="3492">SUM(AN114:AN115)</f>
        <v>0</v>
      </c>
      <c r="AO116" s="220">
        <f t="shared" ref="AO116" si="3493">SUM(AO114:AO115)</f>
        <v>0</v>
      </c>
      <c r="AP116" s="220">
        <f t="shared" ref="AP116" si="3494">SUM(AP114:AP115)</f>
        <v>0</v>
      </c>
      <c r="AQ116" s="220">
        <f t="shared" ref="AQ116" si="3495">SUM(AQ114:AQ115)</f>
        <v>0</v>
      </c>
      <c r="AR116" s="220">
        <f t="shared" ref="AR116" si="3496">SUM(AR114:AR115)</f>
        <v>0</v>
      </c>
      <c r="AS116" s="220">
        <f t="shared" ref="AS116" si="3497">SUM(AS114:AS115)</f>
        <v>0</v>
      </c>
      <c r="AT116" s="220">
        <f t="shared" ref="AT116" si="3498">SUM(AT114:AT115)</f>
        <v>0</v>
      </c>
      <c r="AU116" s="220">
        <f t="shared" ref="AU116" si="3499">SUM(AU114:AU115)</f>
        <v>0</v>
      </c>
      <c r="AV116" s="220">
        <f t="shared" ref="AV116" si="3500">SUM(AV114:AV115)</f>
        <v>0</v>
      </c>
      <c r="AW116" s="220">
        <f t="shared" ref="AW116" si="3501">SUM(AW114:AW115)</f>
        <v>0</v>
      </c>
      <c r="AX116" s="220">
        <f t="shared" ref="AX116" si="3502">SUM(AX114:AX115)</f>
        <v>0</v>
      </c>
      <c r="AY116" s="220">
        <f t="shared" ref="AY116" si="3503">SUM(AY114:AY115)</f>
        <v>0</v>
      </c>
      <c r="AZ116" s="220">
        <f t="shared" ref="AZ116" si="3504">SUM(AZ114:AZ115)</f>
        <v>0</v>
      </c>
      <c r="BA116" s="220">
        <f t="shared" ref="BA116" si="3505">SUM(BA114:BA115)</f>
        <v>0</v>
      </c>
      <c r="BB116" s="220">
        <f t="shared" ref="BB116" si="3506">SUM(BB114:BB115)</f>
        <v>0</v>
      </c>
      <c r="BC116" s="220">
        <f t="shared" ref="BC116" si="3507">SUM(BC114:BC115)</f>
        <v>0</v>
      </c>
      <c r="BD116" s="220">
        <f t="shared" ref="BD116" si="3508">SUM(BD114:BD115)</f>
        <v>0</v>
      </c>
      <c r="BE116" s="220">
        <f t="shared" ref="BE116" si="3509">SUM(BE114:BE115)</f>
        <v>0</v>
      </c>
      <c r="BF116" s="220">
        <f t="shared" ref="BF116" si="3510">SUM(BF114:BF115)</f>
        <v>0</v>
      </c>
      <c r="BG116" s="220">
        <f t="shared" ref="BG116" si="3511">SUM(BG114:BG115)</f>
        <v>0</v>
      </c>
      <c r="BH116" s="220">
        <f t="shared" ref="BH116" si="3512">SUM(BH114:BH115)</f>
        <v>0</v>
      </c>
      <c r="BI116" s="220">
        <f t="shared" ref="BI116" si="3513">SUM(BI114:BI115)</f>
        <v>0</v>
      </c>
      <c r="BJ116" s="220">
        <f t="shared" ref="BJ116" si="3514">SUM(BJ114:BJ115)</f>
        <v>0</v>
      </c>
      <c r="BK116" s="220">
        <f t="shared" ref="BK116" si="3515">SUM(BK114:BK115)</f>
        <v>0</v>
      </c>
      <c r="BL116" s="220">
        <f t="shared" ref="BL116" si="3516">SUM(BL114:BL115)</f>
        <v>0</v>
      </c>
      <c r="BM116" s="220">
        <f t="shared" ref="BM116" si="3517">SUM(BM114:BM115)</f>
        <v>0</v>
      </c>
      <c r="BN116" s="220">
        <f t="shared" ref="BN116" si="3518">SUM(BN114:BN115)</f>
        <v>0</v>
      </c>
      <c r="BO116" s="221">
        <f t="shared" ref="BO116" si="3519">SUM(BO114:BO115)</f>
        <v>0</v>
      </c>
      <c r="BP116" s="219">
        <f t="shared" ref="BP116" si="3520">SUM(BP114:BP115)</f>
        <v>0</v>
      </c>
      <c r="BQ116" s="220">
        <f t="shared" ref="BQ116" si="3521">SUM(BQ114:BQ115)</f>
        <v>0</v>
      </c>
      <c r="BR116" s="220">
        <f t="shared" ref="BR116" si="3522">SUM(BR114:BR115)</f>
        <v>0</v>
      </c>
      <c r="BS116" s="220">
        <f t="shared" ref="BS116" si="3523">SUM(BS114:BS115)</f>
        <v>0</v>
      </c>
      <c r="BT116" s="220">
        <f t="shared" ref="BT116" si="3524">SUM(BT114:BT115)</f>
        <v>0</v>
      </c>
      <c r="BU116" s="220">
        <f t="shared" ref="BU116" si="3525">SUM(BU114:BU115)</f>
        <v>0</v>
      </c>
      <c r="BV116" s="220">
        <f t="shared" ref="BV116" si="3526">SUM(BV114:BV115)</f>
        <v>0</v>
      </c>
      <c r="BW116" s="220">
        <f t="shared" ref="BW116" si="3527">SUM(BW114:BW115)</f>
        <v>0</v>
      </c>
      <c r="BX116" s="220">
        <f t="shared" ref="BX116" si="3528">SUM(BX114:BX115)</f>
        <v>0</v>
      </c>
      <c r="BY116" s="220">
        <f t="shared" ref="BY116" si="3529">SUM(BY114:BY115)</f>
        <v>0</v>
      </c>
      <c r="BZ116" s="220">
        <f t="shared" ref="BZ116" si="3530">SUM(BZ114:BZ115)</f>
        <v>0</v>
      </c>
      <c r="CA116" s="220">
        <f t="shared" ref="CA116" si="3531">SUM(CA114:CA115)</f>
        <v>0</v>
      </c>
      <c r="CB116" s="220">
        <f t="shared" ref="CB116" si="3532">SUM(CB114:CB115)</f>
        <v>0</v>
      </c>
      <c r="CC116" s="220">
        <f t="shared" ref="CC116" si="3533">SUM(CC114:CC115)</f>
        <v>0</v>
      </c>
      <c r="CD116" s="220">
        <f t="shared" ref="CD116" si="3534">SUM(CD114:CD115)</f>
        <v>0</v>
      </c>
      <c r="CE116" s="220">
        <f t="shared" ref="CE116" si="3535">SUM(CE114:CE115)</f>
        <v>0</v>
      </c>
      <c r="CF116" s="220">
        <f t="shared" ref="CF116" si="3536">SUM(CF114:CF115)</f>
        <v>0</v>
      </c>
      <c r="CG116" s="220">
        <f t="shared" ref="CG116" si="3537">SUM(CG114:CG115)</f>
        <v>0</v>
      </c>
      <c r="CH116" s="220">
        <f t="shared" ref="CH116" si="3538">SUM(CH114:CH115)</f>
        <v>0</v>
      </c>
      <c r="CI116" s="220">
        <f t="shared" ref="CI116" si="3539">SUM(CI114:CI115)</f>
        <v>0</v>
      </c>
      <c r="CJ116" s="220">
        <f t="shared" ref="CJ116" si="3540">SUM(CJ114:CJ115)</f>
        <v>0</v>
      </c>
      <c r="CK116" s="220">
        <f t="shared" ref="CK116" si="3541">SUM(CK114:CK115)</f>
        <v>0</v>
      </c>
      <c r="CL116" s="220">
        <f t="shared" ref="CL116" si="3542">SUM(CL114:CL115)</f>
        <v>0</v>
      </c>
      <c r="CM116" s="220">
        <f t="shared" ref="CM116" si="3543">SUM(CM114:CM115)</f>
        <v>0</v>
      </c>
      <c r="CN116" s="220">
        <f t="shared" ref="CN116" si="3544">SUM(CN114:CN115)</f>
        <v>0</v>
      </c>
      <c r="CO116" s="220">
        <f t="shared" ref="CO116" si="3545">SUM(CO114:CO115)</f>
        <v>0</v>
      </c>
      <c r="CP116" s="220">
        <f t="shared" ref="CP116" si="3546">SUM(CP114:CP115)</f>
        <v>0</v>
      </c>
      <c r="CQ116" s="220">
        <f t="shared" ref="CQ116" si="3547">SUM(CQ114:CQ115)</f>
        <v>0</v>
      </c>
      <c r="CR116" s="220">
        <f t="shared" ref="CR116" si="3548">SUM(CR114:CR115)</f>
        <v>0</v>
      </c>
      <c r="CS116" s="220">
        <f t="shared" ref="CS116" si="3549">SUM(CS114:CS115)</f>
        <v>0</v>
      </c>
      <c r="CT116" s="221">
        <f t="shared" ref="CT116" si="3550">SUM(CT114:CT115)</f>
        <v>0</v>
      </c>
      <c r="CU116" s="226"/>
      <c r="CV116" s="219">
        <f t="shared" ref="CV116" si="3551">SUM(CV114:CV115)</f>
        <v>0</v>
      </c>
      <c r="CW116" s="220">
        <f t="shared" ref="CW116" si="3552">SUM(CW114:CW115)</f>
        <v>0</v>
      </c>
      <c r="CX116" s="220">
        <f t="shared" ref="CX116" si="3553">SUM(CX114:CX115)</f>
        <v>0</v>
      </c>
      <c r="CY116" s="220">
        <f t="shared" ref="CY116" si="3554">SUM(CY114:CY115)</f>
        <v>0</v>
      </c>
      <c r="CZ116" s="222">
        <f t="shared" ref="CZ116" si="3555">SUM(CZ114:CZ115)</f>
        <v>0</v>
      </c>
    </row>
    <row r="117" spans="1:104" ht="15" customHeight="1" x14ac:dyDescent="0.25">
      <c r="A117" s="58" t="s">
        <v>448</v>
      </c>
      <c r="B117" s="53" t="s">
        <v>193</v>
      </c>
      <c r="C117" s="250"/>
      <c r="D117" s="245" t="s">
        <v>193</v>
      </c>
      <c r="E117" s="85" t="s">
        <v>132</v>
      </c>
      <c r="F117" s="55">
        <f>SUMIFS('CWO Bulan Ini'!$DA:$DA,'CWO Bulan Ini'!$DJ:$DJ,'Area-Cabang'!$B117,'CWO Bulan Ini'!$DH:$DH,'Area-Cabang'!$E117,'CWO Bulan Ini'!$CZ:$CZ,'Area-Cabang'!F$41)</f>
        <v>0</v>
      </c>
      <c r="G117" s="56">
        <f>SUMIFS('CWO Bulan Ini'!$DA:$DA,'CWO Bulan Ini'!$DJ:$DJ,'Area-Cabang'!$B117,'CWO Bulan Ini'!$DH:$DH,'Area-Cabang'!$E117,'CWO Bulan Ini'!$CZ:$CZ,'Area-Cabang'!G$41)</f>
        <v>0</v>
      </c>
      <c r="H117" s="56">
        <f>SUMIFS('CWO Bulan Ini'!$DA:$DA,'CWO Bulan Ini'!$DJ:$DJ,'Area-Cabang'!$B117,'CWO Bulan Ini'!$DH:$DH,'Area-Cabang'!$E117,'CWO Bulan Ini'!$CZ:$CZ,'Area-Cabang'!H$41)</f>
        <v>0</v>
      </c>
      <c r="I117" s="56">
        <f>SUMIFS('CWO Bulan Ini'!$DA:$DA,'CWO Bulan Ini'!$DJ:$DJ,'Area-Cabang'!$B117,'CWO Bulan Ini'!$DH:$DH,'Area-Cabang'!$E117,'CWO Bulan Ini'!$CZ:$CZ,'Area-Cabang'!I$41)</f>
        <v>0</v>
      </c>
      <c r="J117" s="56">
        <f>SUMIFS('CWO Bulan Ini'!$DA:$DA,'CWO Bulan Ini'!$DJ:$DJ,'Area-Cabang'!$B117,'CWO Bulan Ini'!$DH:$DH,'Area-Cabang'!$E117,'CWO Bulan Ini'!$CZ:$CZ,'Area-Cabang'!J$41)</f>
        <v>0</v>
      </c>
      <c r="K117" s="56">
        <f>SUMIFS('CWO Bulan Ini'!$DA:$DA,'CWO Bulan Ini'!$DJ:$DJ,'Area-Cabang'!$B117,'CWO Bulan Ini'!$DH:$DH,'Area-Cabang'!$E117,'CWO Bulan Ini'!$CZ:$CZ,'Area-Cabang'!K$41)</f>
        <v>0</v>
      </c>
      <c r="L117" s="56">
        <f>SUMIFS('CWO Bulan Ini'!$DA:$DA,'CWO Bulan Ini'!$DJ:$DJ,'Area-Cabang'!$B117,'CWO Bulan Ini'!$DH:$DH,'Area-Cabang'!$E117,'CWO Bulan Ini'!$CZ:$CZ,'Area-Cabang'!L$41)</f>
        <v>0</v>
      </c>
      <c r="M117" s="56">
        <f>SUMIFS('CWO Bulan Ini'!$DA:$DA,'CWO Bulan Ini'!$DJ:$DJ,'Area-Cabang'!$B117,'CWO Bulan Ini'!$DH:$DH,'Area-Cabang'!$E117,'CWO Bulan Ini'!$CZ:$CZ,'Area-Cabang'!M$41)</f>
        <v>0</v>
      </c>
      <c r="N117" s="56">
        <f>SUMIFS('CWO Bulan Ini'!$DA:$DA,'CWO Bulan Ini'!$DJ:$DJ,'Area-Cabang'!$B117,'CWO Bulan Ini'!$DH:$DH,'Area-Cabang'!$E117,'CWO Bulan Ini'!$CZ:$CZ,'Area-Cabang'!N$41)</f>
        <v>0</v>
      </c>
      <c r="O117" s="56">
        <f>SUMIFS('CWO Bulan Ini'!$DA:$DA,'CWO Bulan Ini'!$DJ:$DJ,'Area-Cabang'!$B117,'CWO Bulan Ini'!$DH:$DH,'Area-Cabang'!$E117,'CWO Bulan Ini'!$CZ:$CZ,'Area-Cabang'!O$41)</f>
        <v>0</v>
      </c>
      <c r="P117" s="56">
        <f>SUMIFS('CWO Bulan Ini'!$DA:$DA,'CWO Bulan Ini'!$DJ:$DJ,'Area-Cabang'!$B117,'CWO Bulan Ini'!$DH:$DH,'Area-Cabang'!$E117,'CWO Bulan Ini'!$CZ:$CZ,'Area-Cabang'!P$41)</f>
        <v>28.009723390000001</v>
      </c>
      <c r="Q117" s="56">
        <f>SUMIFS('CWO Bulan Ini'!$DA:$DA,'CWO Bulan Ini'!$DJ:$DJ,'Area-Cabang'!$B117,'CWO Bulan Ini'!$DH:$DH,'Area-Cabang'!$E117,'CWO Bulan Ini'!$CZ:$CZ,'Area-Cabang'!Q$41)</f>
        <v>75.409308680000009</v>
      </c>
      <c r="R117" s="56">
        <f>SUMIFS('CWO Bulan Ini'!$DA:$DA,'CWO Bulan Ini'!$DJ:$DJ,'Area-Cabang'!$B117,'CWO Bulan Ini'!$DH:$DH,'Area-Cabang'!$E117,'CWO Bulan Ini'!$CZ:$CZ,'Area-Cabang'!R$41)</f>
        <v>0</v>
      </c>
      <c r="S117" s="56">
        <f>SUMIFS('CWO Bulan Ini'!$DA:$DA,'CWO Bulan Ini'!$DJ:$DJ,'Area-Cabang'!$B117,'CWO Bulan Ini'!$DH:$DH,'Area-Cabang'!$E117,'CWO Bulan Ini'!$CZ:$CZ,'Area-Cabang'!S$41)</f>
        <v>0</v>
      </c>
      <c r="T117" s="56">
        <f>SUMIFS('CWO Bulan Ini'!$DA:$DA,'CWO Bulan Ini'!$DJ:$DJ,'Area-Cabang'!$B117,'CWO Bulan Ini'!$DH:$DH,'Area-Cabang'!$E117,'CWO Bulan Ini'!$CZ:$CZ,'Area-Cabang'!T$41)</f>
        <v>63.960013680000003</v>
      </c>
      <c r="U117" s="56">
        <f>SUMIFS('CWO Bulan Ini'!$DA:$DA,'CWO Bulan Ini'!$DJ:$DJ,'Area-Cabang'!$B117,'CWO Bulan Ini'!$DH:$DH,'Area-Cabang'!$E117,'CWO Bulan Ini'!$CZ:$CZ,'Area-Cabang'!U$41)</f>
        <v>0</v>
      </c>
      <c r="V117" s="56">
        <f>SUMIFS('CWO Bulan Ini'!$DA:$DA,'CWO Bulan Ini'!$DJ:$DJ,'Area-Cabang'!$B117,'CWO Bulan Ini'!$DH:$DH,'Area-Cabang'!$E117,'CWO Bulan Ini'!$CZ:$CZ,'Area-Cabang'!V$41)</f>
        <v>0</v>
      </c>
      <c r="W117" s="56">
        <f>SUMIFS('CWO Bulan Ini'!$DA:$DA,'CWO Bulan Ini'!$DJ:$DJ,'Area-Cabang'!$B117,'CWO Bulan Ini'!$DH:$DH,'Area-Cabang'!$E117,'CWO Bulan Ini'!$CZ:$CZ,'Area-Cabang'!W$41)</f>
        <v>0</v>
      </c>
      <c r="X117" s="56">
        <f>SUMIFS('CWO Bulan Ini'!$DA:$DA,'CWO Bulan Ini'!$DJ:$DJ,'Area-Cabang'!$B117,'CWO Bulan Ini'!$DH:$DH,'Area-Cabang'!$E117,'CWO Bulan Ini'!$CZ:$CZ,'Area-Cabang'!X$41)</f>
        <v>52.240353319999997</v>
      </c>
      <c r="Y117" s="56">
        <f>SUMIFS('CWO Bulan Ini'!$DA:$DA,'CWO Bulan Ini'!$DJ:$DJ,'Area-Cabang'!$B117,'CWO Bulan Ini'!$DH:$DH,'Area-Cabang'!$E117,'CWO Bulan Ini'!$CZ:$CZ,'Area-Cabang'!Y$41)</f>
        <v>0</v>
      </c>
      <c r="Z117" s="56">
        <f>SUMIFS('CWO Bulan Ini'!$DA:$DA,'CWO Bulan Ini'!$DJ:$DJ,'Area-Cabang'!$B117,'CWO Bulan Ini'!$DH:$DH,'Area-Cabang'!$E117,'CWO Bulan Ini'!$CZ:$CZ,'Area-Cabang'!Z$41)</f>
        <v>0</v>
      </c>
      <c r="AA117" s="56">
        <f>SUMIFS('CWO Bulan Ini'!$DA:$DA,'CWO Bulan Ini'!$DJ:$DJ,'Area-Cabang'!$B117,'CWO Bulan Ini'!$DH:$DH,'Area-Cabang'!$E117,'CWO Bulan Ini'!$CZ:$CZ,'Area-Cabang'!AA$41)</f>
        <v>0</v>
      </c>
      <c r="AB117" s="56">
        <f>SUMIFS('CWO Bulan Ini'!$DA:$DA,'CWO Bulan Ini'!$DJ:$DJ,'Area-Cabang'!$B117,'CWO Bulan Ini'!$DH:$DH,'Area-Cabang'!$E117,'CWO Bulan Ini'!$CZ:$CZ,'Area-Cabang'!AB$41)</f>
        <v>0</v>
      </c>
      <c r="AC117" s="56">
        <f>SUMIFS('CWO Bulan Ini'!$DA:$DA,'CWO Bulan Ini'!$DJ:$DJ,'Area-Cabang'!$B117,'CWO Bulan Ini'!$DH:$DH,'Area-Cabang'!$E117,'CWO Bulan Ini'!$CZ:$CZ,'Area-Cabang'!AC$41)</f>
        <v>0</v>
      </c>
      <c r="AD117" s="56">
        <f>SUMIFS('CWO Bulan Ini'!$DA:$DA,'CWO Bulan Ini'!$DJ:$DJ,'Area-Cabang'!$B117,'CWO Bulan Ini'!$DH:$DH,'Area-Cabang'!$E117,'CWO Bulan Ini'!$CZ:$CZ,'Area-Cabang'!AD$41)</f>
        <v>0</v>
      </c>
      <c r="AE117" s="56">
        <f>SUMIFS('CWO Bulan Ini'!$DA:$DA,'CWO Bulan Ini'!$DJ:$DJ,'Area-Cabang'!$B117,'CWO Bulan Ini'!$DH:$DH,'Area-Cabang'!$E117,'CWO Bulan Ini'!$CZ:$CZ,'Area-Cabang'!AE$41)</f>
        <v>0</v>
      </c>
      <c r="AF117" s="56">
        <f>SUMIFS('CWO Bulan Ini'!$DA:$DA,'CWO Bulan Ini'!$DJ:$DJ,'Area-Cabang'!$B117,'CWO Bulan Ini'!$DH:$DH,'Area-Cabang'!$E117,'CWO Bulan Ini'!$CZ:$CZ,'Area-Cabang'!AF$41)</f>
        <v>0</v>
      </c>
      <c r="AG117" s="56">
        <f>SUMIFS('CWO Bulan Ini'!$DA:$DA,'CWO Bulan Ini'!$DJ:$DJ,'Area-Cabang'!$B117,'CWO Bulan Ini'!$DH:$DH,'Area-Cabang'!$E117,'CWO Bulan Ini'!$CZ:$CZ,'Area-Cabang'!AG$41)</f>
        <v>0</v>
      </c>
      <c r="AH117" s="56">
        <f>SUMIFS('CWO Bulan Ini'!$DA:$DA,'CWO Bulan Ini'!$DJ:$DJ,'Area-Cabang'!$B117,'CWO Bulan Ini'!$DH:$DH,'Area-Cabang'!$E117,'CWO Bulan Ini'!$CZ:$CZ,'Area-Cabang'!AH$41)</f>
        <v>0</v>
      </c>
      <c r="AI117" s="56">
        <f>SUMIFS('CWO Bulan Ini'!$DA:$DA,'CWO Bulan Ini'!$DJ:$DJ,'Area-Cabang'!$B117,'CWO Bulan Ini'!$DH:$DH,'Area-Cabang'!$E117,'CWO Bulan Ini'!$CZ:$CZ,'Area-Cabang'!AI$41)</f>
        <v>0</v>
      </c>
      <c r="AJ117" s="56">
        <f>SUMIFS('CWO Bulan Ini'!$DA:$DA,'CWO Bulan Ini'!$DJ:$DJ,'Area-Cabang'!$B117,'CWO Bulan Ini'!$DH:$DH,'Area-Cabang'!$E117,'CWO Bulan Ini'!$CZ:$CZ,'Area-Cabang'!AJ$41)</f>
        <v>0</v>
      </c>
      <c r="AK117" s="55">
        <f>SUMIFS('CWO Bulan Ini'!$DD:$DD,'CWO Bulan Ini'!$DJ:$DJ,'Area-Cabang'!$B117,'CWO Bulan Ini'!$DH:$DH,'Area-Cabang'!$E117,'CWO Bulan Ini'!$CZ:$CZ,'Area-Cabang'!AK$41)</f>
        <v>0</v>
      </c>
      <c r="AL117" s="56">
        <f>SUMIFS('CWO Bulan Ini'!$DD:$DD,'CWO Bulan Ini'!$DJ:$DJ,'Area-Cabang'!$B117,'CWO Bulan Ini'!$DH:$DH,'Area-Cabang'!$E117,'CWO Bulan Ini'!$CZ:$CZ,'Area-Cabang'!AL$41)</f>
        <v>0</v>
      </c>
      <c r="AM117" s="56">
        <f>SUMIFS('CWO Bulan Ini'!$DD:$DD,'CWO Bulan Ini'!$DJ:$DJ,'Area-Cabang'!$B117,'CWO Bulan Ini'!$DH:$DH,'Area-Cabang'!$E117,'CWO Bulan Ini'!$CZ:$CZ,'Area-Cabang'!AM$41)</f>
        <v>0</v>
      </c>
      <c r="AN117" s="56">
        <f>SUMIFS('CWO Bulan Ini'!$DD:$DD,'CWO Bulan Ini'!$DJ:$DJ,'Area-Cabang'!$B117,'CWO Bulan Ini'!$DH:$DH,'Area-Cabang'!$E117,'CWO Bulan Ini'!$CZ:$CZ,'Area-Cabang'!AN$41)</f>
        <v>0</v>
      </c>
      <c r="AO117" s="56">
        <f>SUMIFS('CWO Bulan Ini'!$DD:$DD,'CWO Bulan Ini'!$DJ:$DJ,'Area-Cabang'!$B117,'CWO Bulan Ini'!$DH:$DH,'Area-Cabang'!$E117,'CWO Bulan Ini'!$CZ:$CZ,'Area-Cabang'!AO$41)</f>
        <v>0</v>
      </c>
      <c r="AP117" s="56">
        <f>SUMIFS('CWO Bulan Ini'!$DD:$DD,'CWO Bulan Ini'!$DJ:$DJ,'Area-Cabang'!$B117,'CWO Bulan Ini'!$DH:$DH,'Area-Cabang'!$E117,'CWO Bulan Ini'!$CZ:$CZ,'Area-Cabang'!AP$41)</f>
        <v>0</v>
      </c>
      <c r="AQ117" s="56">
        <f>SUMIFS('CWO Bulan Ini'!$DD:$DD,'CWO Bulan Ini'!$DJ:$DJ,'Area-Cabang'!$B117,'CWO Bulan Ini'!$DH:$DH,'Area-Cabang'!$E117,'CWO Bulan Ini'!$CZ:$CZ,'Area-Cabang'!AQ$41)</f>
        <v>0</v>
      </c>
      <c r="AR117" s="56">
        <f>SUMIFS('CWO Bulan Ini'!$DD:$DD,'CWO Bulan Ini'!$DJ:$DJ,'Area-Cabang'!$B117,'CWO Bulan Ini'!$DH:$DH,'Area-Cabang'!$E117,'CWO Bulan Ini'!$CZ:$CZ,'Area-Cabang'!AR$41)</f>
        <v>0</v>
      </c>
      <c r="AS117" s="56">
        <f>SUMIFS('CWO Bulan Ini'!$DD:$DD,'CWO Bulan Ini'!$DJ:$DJ,'Area-Cabang'!$B117,'CWO Bulan Ini'!$DH:$DH,'Area-Cabang'!$E117,'CWO Bulan Ini'!$CZ:$CZ,'Area-Cabang'!AS$41)</f>
        <v>0</v>
      </c>
      <c r="AT117" s="56">
        <f>SUMIFS('CWO Bulan Ini'!$DD:$DD,'CWO Bulan Ini'!$DJ:$DJ,'Area-Cabang'!$B117,'CWO Bulan Ini'!$DH:$DH,'Area-Cabang'!$E117,'CWO Bulan Ini'!$CZ:$CZ,'Area-Cabang'!AT$41)</f>
        <v>0</v>
      </c>
      <c r="AU117" s="56">
        <f>SUMIFS('CWO Bulan Ini'!$DD:$DD,'CWO Bulan Ini'!$DJ:$DJ,'Area-Cabang'!$B117,'CWO Bulan Ini'!$DH:$DH,'Area-Cabang'!$E117,'CWO Bulan Ini'!$CZ:$CZ,'Area-Cabang'!AU$41)</f>
        <v>0</v>
      </c>
      <c r="AV117" s="56">
        <f>SUMIFS('CWO Bulan Ini'!$DD:$DD,'CWO Bulan Ini'!$DJ:$DJ,'Area-Cabang'!$B117,'CWO Bulan Ini'!$DH:$DH,'Area-Cabang'!$E117,'CWO Bulan Ini'!$CZ:$CZ,'Area-Cabang'!AV$41)</f>
        <v>0</v>
      </c>
      <c r="AW117" s="56">
        <f>SUMIFS('CWO Bulan Ini'!$DD:$DD,'CWO Bulan Ini'!$DJ:$DJ,'Area-Cabang'!$B117,'CWO Bulan Ini'!$DH:$DH,'Area-Cabang'!$E117,'CWO Bulan Ini'!$CZ:$CZ,'Area-Cabang'!AW$41)</f>
        <v>0</v>
      </c>
      <c r="AX117" s="56">
        <f>SUMIFS('CWO Bulan Ini'!$DD:$DD,'CWO Bulan Ini'!$DJ:$DJ,'Area-Cabang'!$B117,'CWO Bulan Ini'!$DH:$DH,'Area-Cabang'!$E117,'CWO Bulan Ini'!$CZ:$CZ,'Area-Cabang'!AX$41)</f>
        <v>0</v>
      </c>
      <c r="AY117" s="56">
        <f>SUMIFS('CWO Bulan Ini'!$DD:$DD,'CWO Bulan Ini'!$DJ:$DJ,'Area-Cabang'!$B117,'CWO Bulan Ini'!$DH:$DH,'Area-Cabang'!$E117,'CWO Bulan Ini'!$CZ:$CZ,'Area-Cabang'!AY$41)</f>
        <v>0</v>
      </c>
      <c r="AZ117" s="56">
        <f>SUMIFS('CWO Bulan Ini'!$DD:$DD,'CWO Bulan Ini'!$DJ:$DJ,'Area-Cabang'!$B117,'CWO Bulan Ini'!$DH:$DH,'Area-Cabang'!$E117,'CWO Bulan Ini'!$CZ:$CZ,'Area-Cabang'!AZ$41)</f>
        <v>0</v>
      </c>
      <c r="BA117" s="56">
        <f>SUMIFS('CWO Bulan Ini'!$DD:$DD,'CWO Bulan Ini'!$DJ:$DJ,'Area-Cabang'!$B117,'CWO Bulan Ini'!$DH:$DH,'Area-Cabang'!$E117,'CWO Bulan Ini'!$CZ:$CZ,'Area-Cabang'!BA$41)</f>
        <v>0</v>
      </c>
      <c r="BB117" s="56">
        <f>SUMIFS('CWO Bulan Ini'!$DD:$DD,'CWO Bulan Ini'!$DJ:$DJ,'Area-Cabang'!$B117,'CWO Bulan Ini'!$DH:$DH,'Area-Cabang'!$E117,'CWO Bulan Ini'!$CZ:$CZ,'Area-Cabang'!BB$41)</f>
        <v>0</v>
      </c>
      <c r="BC117" s="56">
        <f>SUMIFS('CWO Bulan Ini'!$DD:$DD,'CWO Bulan Ini'!$DJ:$DJ,'Area-Cabang'!$B117,'CWO Bulan Ini'!$DH:$DH,'Area-Cabang'!$E117,'CWO Bulan Ini'!$CZ:$CZ,'Area-Cabang'!BC$41)</f>
        <v>0</v>
      </c>
      <c r="BD117" s="56">
        <f>SUMIFS('CWO Bulan Ini'!$DD:$DD,'CWO Bulan Ini'!$DJ:$DJ,'Area-Cabang'!$B117,'CWO Bulan Ini'!$DH:$DH,'Area-Cabang'!$E117,'CWO Bulan Ini'!$CZ:$CZ,'Area-Cabang'!BD$41)</f>
        <v>0</v>
      </c>
      <c r="BE117" s="56">
        <f>SUMIFS('CWO Bulan Ini'!$DD:$DD,'CWO Bulan Ini'!$DJ:$DJ,'Area-Cabang'!$B117,'CWO Bulan Ini'!$DH:$DH,'Area-Cabang'!$E117,'CWO Bulan Ini'!$CZ:$CZ,'Area-Cabang'!BE$41)</f>
        <v>0</v>
      </c>
      <c r="BF117" s="56">
        <f>SUMIFS('CWO Bulan Ini'!$DD:$DD,'CWO Bulan Ini'!$DJ:$DJ,'Area-Cabang'!$B117,'CWO Bulan Ini'!$DH:$DH,'Area-Cabang'!$E117,'CWO Bulan Ini'!$CZ:$CZ,'Area-Cabang'!BF$41)</f>
        <v>0</v>
      </c>
      <c r="BG117" s="56">
        <f>SUMIFS('CWO Bulan Ini'!$DD:$DD,'CWO Bulan Ini'!$DJ:$DJ,'Area-Cabang'!$B117,'CWO Bulan Ini'!$DH:$DH,'Area-Cabang'!$E117,'CWO Bulan Ini'!$CZ:$CZ,'Area-Cabang'!BG$41)</f>
        <v>0</v>
      </c>
      <c r="BH117" s="56">
        <f>SUMIFS('CWO Bulan Ini'!$DD:$DD,'CWO Bulan Ini'!$DJ:$DJ,'Area-Cabang'!$B117,'CWO Bulan Ini'!$DH:$DH,'Area-Cabang'!$E117,'CWO Bulan Ini'!$CZ:$CZ,'Area-Cabang'!BH$41)</f>
        <v>0</v>
      </c>
      <c r="BI117" s="56">
        <f>SUMIFS('CWO Bulan Ini'!$DD:$DD,'CWO Bulan Ini'!$DJ:$DJ,'Area-Cabang'!$B117,'CWO Bulan Ini'!$DH:$DH,'Area-Cabang'!$E117,'CWO Bulan Ini'!$CZ:$CZ,'Area-Cabang'!BI$41)</f>
        <v>0</v>
      </c>
      <c r="BJ117" s="56">
        <f>SUMIFS('CWO Bulan Ini'!$DD:$DD,'CWO Bulan Ini'!$DJ:$DJ,'Area-Cabang'!$B117,'CWO Bulan Ini'!$DH:$DH,'Area-Cabang'!$E117,'CWO Bulan Ini'!$CZ:$CZ,'Area-Cabang'!BJ$41)</f>
        <v>0</v>
      </c>
      <c r="BK117" s="56">
        <f>SUMIFS('CWO Bulan Ini'!$DD:$DD,'CWO Bulan Ini'!$DJ:$DJ,'Area-Cabang'!$B117,'CWO Bulan Ini'!$DH:$DH,'Area-Cabang'!$E117,'CWO Bulan Ini'!$CZ:$CZ,'Area-Cabang'!BK$41)</f>
        <v>0</v>
      </c>
      <c r="BL117" s="56">
        <f>SUMIFS('CWO Bulan Ini'!$DD:$DD,'CWO Bulan Ini'!$DJ:$DJ,'Area-Cabang'!$B117,'CWO Bulan Ini'!$DH:$DH,'Area-Cabang'!$E117,'CWO Bulan Ini'!$CZ:$CZ,'Area-Cabang'!BL$41)</f>
        <v>0</v>
      </c>
      <c r="BM117" s="56">
        <f>SUMIFS('CWO Bulan Ini'!$DD:$DD,'CWO Bulan Ini'!$DJ:$DJ,'Area-Cabang'!$B117,'CWO Bulan Ini'!$DH:$DH,'Area-Cabang'!$E117,'CWO Bulan Ini'!$CZ:$CZ,'Area-Cabang'!BM$41)</f>
        <v>0</v>
      </c>
      <c r="BN117" s="56">
        <f>SUMIFS('CWO Bulan Ini'!$DD:$DD,'CWO Bulan Ini'!$DJ:$DJ,'Area-Cabang'!$B117,'CWO Bulan Ini'!$DH:$DH,'Area-Cabang'!$E117,'CWO Bulan Ini'!$CZ:$CZ,'Area-Cabang'!BN$41)</f>
        <v>0</v>
      </c>
      <c r="BO117" s="57">
        <f>SUMIFS('CWO Bulan Ini'!$DD:$DD,'CWO Bulan Ini'!$DJ:$DJ,'Area-Cabang'!$B117,'CWO Bulan Ini'!$DH:$DH,'Area-Cabang'!$E117,'CWO Bulan Ini'!$CZ:$CZ,'Area-Cabang'!BO$41)</f>
        <v>0</v>
      </c>
      <c r="BP117" s="55">
        <f>SUMIFS('CWO Bulan Ini'!$DC:$DC,'CWO Bulan Ini'!$DJ:$DJ,'Area-Cabang'!$B117,'CWO Bulan Ini'!$DH:$DH,'Area-Cabang'!$E117,'CWO Bulan Ini'!$CZ:$CZ,'Area-Cabang'!BP$41)</f>
        <v>0</v>
      </c>
      <c r="BQ117" s="56">
        <f>SUMIFS('CWO Bulan Ini'!$DC:$DC,'CWO Bulan Ini'!$DJ:$DJ,'Area-Cabang'!$B117,'CWO Bulan Ini'!$DH:$DH,'Area-Cabang'!$E117,'CWO Bulan Ini'!$CZ:$CZ,'Area-Cabang'!BQ$41)</f>
        <v>0</v>
      </c>
      <c r="BR117" s="56">
        <f>SUMIFS('CWO Bulan Ini'!$DC:$DC,'CWO Bulan Ini'!$DJ:$DJ,'Area-Cabang'!$B117,'CWO Bulan Ini'!$DH:$DH,'Area-Cabang'!$E117,'CWO Bulan Ini'!$CZ:$CZ,'Area-Cabang'!BR$41)</f>
        <v>0</v>
      </c>
      <c r="BS117" s="56">
        <f>SUMIFS('CWO Bulan Ini'!$DC:$DC,'CWO Bulan Ini'!$DJ:$DJ,'Area-Cabang'!$B117,'CWO Bulan Ini'!$DH:$DH,'Area-Cabang'!$E117,'CWO Bulan Ini'!$CZ:$CZ,'Area-Cabang'!BS$41)</f>
        <v>0</v>
      </c>
      <c r="BT117" s="56">
        <f>SUMIFS('CWO Bulan Ini'!$DC:$DC,'CWO Bulan Ini'!$DJ:$DJ,'Area-Cabang'!$B117,'CWO Bulan Ini'!$DH:$DH,'Area-Cabang'!$E117,'CWO Bulan Ini'!$CZ:$CZ,'Area-Cabang'!BT$41)</f>
        <v>0</v>
      </c>
      <c r="BU117" s="56">
        <f>SUMIFS('CWO Bulan Ini'!$DC:$DC,'CWO Bulan Ini'!$DJ:$DJ,'Area-Cabang'!$B117,'CWO Bulan Ini'!$DH:$DH,'Area-Cabang'!$E117,'CWO Bulan Ini'!$CZ:$CZ,'Area-Cabang'!BU$41)</f>
        <v>0</v>
      </c>
      <c r="BV117" s="56">
        <f>SUMIFS('CWO Bulan Ini'!$DC:$DC,'CWO Bulan Ini'!$DJ:$DJ,'Area-Cabang'!$B117,'CWO Bulan Ini'!$DH:$DH,'Area-Cabang'!$E117,'CWO Bulan Ini'!$CZ:$CZ,'Area-Cabang'!BV$41)</f>
        <v>0</v>
      </c>
      <c r="BW117" s="56">
        <f>SUMIFS('CWO Bulan Ini'!$DC:$DC,'CWO Bulan Ini'!$DJ:$DJ,'Area-Cabang'!$B117,'CWO Bulan Ini'!$DH:$DH,'Area-Cabang'!$E117,'CWO Bulan Ini'!$CZ:$CZ,'Area-Cabang'!BW$41)</f>
        <v>0</v>
      </c>
      <c r="BX117" s="56">
        <f>SUMIFS('CWO Bulan Ini'!$DC:$DC,'CWO Bulan Ini'!$DJ:$DJ,'Area-Cabang'!$B117,'CWO Bulan Ini'!$DH:$DH,'Area-Cabang'!$E117,'CWO Bulan Ini'!$CZ:$CZ,'Area-Cabang'!BX$41)</f>
        <v>0</v>
      </c>
      <c r="BY117" s="56">
        <f>SUMIFS('CWO Bulan Ini'!$DC:$DC,'CWO Bulan Ini'!$DJ:$DJ,'Area-Cabang'!$B117,'CWO Bulan Ini'!$DH:$DH,'Area-Cabang'!$E117,'CWO Bulan Ini'!$CZ:$CZ,'Area-Cabang'!BY$41)</f>
        <v>0</v>
      </c>
      <c r="BZ117" s="56">
        <f>SUMIFS('CWO Bulan Ini'!$DC:$DC,'CWO Bulan Ini'!$DJ:$DJ,'Area-Cabang'!$B117,'CWO Bulan Ini'!$DH:$DH,'Area-Cabang'!$E117,'CWO Bulan Ini'!$CZ:$CZ,'Area-Cabang'!BZ$41)</f>
        <v>0</v>
      </c>
      <c r="CA117" s="56">
        <f>SUMIFS('CWO Bulan Ini'!$DC:$DC,'CWO Bulan Ini'!$DJ:$DJ,'Area-Cabang'!$B117,'CWO Bulan Ini'!$DH:$DH,'Area-Cabang'!$E117,'CWO Bulan Ini'!$CZ:$CZ,'Area-Cabang'!CA$41)</f>
        <v>0</v>
      </c>
      <c r="CB117" s="56">
        <f>SUMIFS('CWO Bulan Ini'!$DC:$DC,'CWO Bulan Ini'!$DJ:$DJ,'Area-Cabang'!$B117,'CWO Bulan Ini'!$DH:$DH,'Area-Cabang'!$E117,'CWO Bulan Ini'!$CZ:$CZ,'Area-Cabang'!CB$41)</f>
        <v>0</v>
      </c>
      <c r="CC117" s="56">
        <f>SUMIFS('CWO Bulan Ini'!$DC:$DC,'CWO Bulan Ini'!$DJ:$DJ,'Area-Cabang'!$B117,'CWO Bulan Ini'!$DH:$DH,'Area-Cabang'!$E117,'CWO Bulan Ini'!$CZ:$CZ,'Area-Cabang'!CC$41)</f>
        <v>0</v>
      </c>
      <c r="CD117" s="56">
        <f>SUMIFS('CWO Bulan Ini'!$DC:$DC,'CWO Bulan Ini'!$DJ:$DJ,'Area-Cabang'!$B117,'CWO Bulan Ini'!$DH:$DH,'Area-Cabang'!$E117,'CWO Bulan Ini'!$CZ:$CZ,'Area-Cabang'!CD$41)</f>
        <v>0</v>
      </c>
      <c r="CE117" s="56">
        <f>SUMIFS('CWO Bulan Ini'!$DC:$DC,'CWO Bulan Ini'!$DJ:$DJ,'Area-Cabang'!$B117,'CWO Bulan Ini'!$DH:$DH,'Area-Cabang'!$E117,'CWO Bulan Ini'!$CZ:$CZ,'Area-Cabang'!CE$41)</f>
        <v>0</v>
      </c>
      <c r="CF117" s="56">
        <f>SUMIFS('CWO Bulan Ini'!$DC:$DC,'CWO Bulan Ini'!$DJ:$DJ,'Area-Cabang'!$B117,'CWO Bulan Ini'!$DH:$DH,'Area-Cabang'!$E117,'CWO Bulan Ini'!$CZ:$CZ,'Area-Cabang'!CF$41)</f>
        <v>0</v>
      </c>
      <c r="CG117" s="56">
        <f>SUMIFS('CWO Bulan Ini'!$DC:$DC,'CWO Bulan Ini'!$DJ:$DJ,'Area-Cabang'!$B117,'CWO Bulan Ini'!$DH:$DH,'Area-Cabang'!$E117,'CWO Bulan Ini'!$CZ:$CZ,'Area-Cabang'!CG$41)</f>
        <v>0</v>
      </c>
      <c r="CH117" s="56">
        <f>SUMIFS('CWO Bulan Ini'!$DC:$DC,'CWO Bulan Ini'!$DJ:$DJ,'Area-Cabang'!$B117,'CWO Bulan Ini'!$DH:$DH,'Area-Cabang'!$E117,'CWO Bulan Ini'!$CZ:$CZ,'Area-Cabang'!CH$41)</f>
        <v>0</v>
      </c>
      <c r="CI117" s="56">
        <f>SUMIFS('CWO Bulan Ini'!$DC:$DC,'CWO Bulan Ini'!$DJ:$DJ,'Area-Cabang'!$B117,'CWO Bulan Ini'!$DH:$DH,'Area-Cabang'!$E117,'CWO Bulan Ini'!$CZ:$CZ,'Area-Cabang'!CI$41)</f>
        <v>0</v>
      </c>
      <c r="CJ117" s="56">
        <f>SUMIFS('CWO Bulan Ini'!$DC:$DC,'CWO Bulan Ini'!$DJ:$DJ,'Area-Cabang'!$B117,'CWO Bulan Ini'!$DH:$DH,'Area-Cabang'!$E117,'CWO Bulan Ini'!$CZ:$CZ,'Area-Cabang'!CJ$41)</f>
        <v>0</v>
      </c>
      <c r="CK117" s="56">
        <f>SUMIFS('CWO Bulan Ini'!$DC:$DC,'CWO Bulan Ini'!$DJ:$DJ,'Area-Cabang'!$B117,'CWO Bulan Ini'!$DH:$DH,'Area-Cabang'!$E117,'CWO Bulan Ini'!$CZ:$CZ,'Area-Cabang'!CK$41)</f>
        <v>0</v>
      </c>
      <c r="CL117" s="56">
        <f>SUMIFS('CWO Bulan Ini'!$DC:$DC,'CWO Bulan Ini'!$DJ:$DJ,'Area-Cabang'!$B117,'CWO Bulan Ini'!$DH:$DH,'Area-Cabang'!$E117,'CWO Bulan Ini'!$CZ:$CZ,'Area-Cabang'!CL$41)</f>
        <v>0</v>
      </c>
      <c r="CM117" s="56">
        <f>SUMIFS('CWO Bulan Ini'!$DC:$DC,'CWO Bulan Ini'!$DJ:$DJ,'Area-Cabang'!$B117,'CWO Bulan Ini'!$DH:$DH,'Area-Cabang'!$E117,'CWO Bulan Ini'!$CZ:$CZ,'Area-Cabang'!CM$41)</f>
        <v>0</v>
      </c>
      <c r="CN117" s="56">
        <f>SUMIFS('CWO Bulan Ini'!$DC:$DC,'CWO Bulan Ini'!$DJ:$DJ,'Area-Cabang'!$B117,'CWO Bulan Ini'!$DH:$DH,'Area-Cabang'!$E117,'CWO Bulan Ini'!$CZ:$CZ,'Area-Cabang'!CN$41)</f>
        <v>0</v>
      </c>
      <c r="CO117" s="56">
        <f>SUMIFS('CWO Bulan Ini'!$DC:$DC,'CWO Bulan Ini'!$DJ:$DJ,'Area-Cabang'!$B117,'CWO Bulan Ini'!$DH:$DH,'Area-Cabang'!$E117,'CWO Bulan Ini'!$CZ:$CZ,'Area-Cabang'!CO$41)</f>
        <v>0</v>
      </c>
      <c r="CP117" s="56">
        <f>SUMIFS('CWO Bulan Ini'!$DC:$DC,'CWO Bulan Ini'!$DJ:$DJ,'Area-Cabang'!$B117,'CWO Bulan Ini'!$DH:$DH,'Area-Cabang'!$E117,'CWO Bulan Ini'!$CZ:$CZ,'Area-Cabang'!CP$41)</f>
        <v>0</v>
      </c>
      <c r="CQ117" s="56">
        <f>SUMIFS('CWO Bulan Ini'!$DC:$DC,'CWO Bulan Ini'!$DJ:$DJ,'Area-Cabang'!$B117,'CWO Bulan Ini'!$DH:$DH,'Area-Cabang'!$E117,'CWO Bulan Ini'!$CZ:$CZ,'Area-Cabang'!CQ$41)</f>
        <v>0</v>
      </c>
      <c r="CR117" s="56">
        <f>SUMIFS('CWO Bulan Ini'!$DC:$DC,'CWO Bulan Ini'!$DJ:$DJ,'Area-Cabang'!$B117,'CWO Bulan Ini'!$DH:$DH,'Area-Cabang'!$E117,'CWO Bulan Ini'!$CZ:$CZ,'Area-Cabang'!CR$41)</f>
        <v>0</v>
      </c>
      <c r="CS117" s="56">
        <f>SUMIFS('CWO Bulan Ini'!$DC:$DC,'CWO Bulan Ini'!$DJ:$DJ,'Area-Cabang'!$B117,'CWO Bulan Ini'!$DH:$DH,'Area-Cabang'!$E117,'CWO Bulan Ini'!$CZ:$CZ,'Area-Cabang'!CS$41)</f>
        <v>0</v>
      </c>
      <c r="CT117" s="57">
        <f>SUMIFS('CWO Bulan Ini'!$DC:$DC,'CWO Bulan Ini'!$DJ:$DJ,'Area-Cabang'!$B117,'CWO Bulan Ini'!$DH:$DH,'Area-Cabang'!$E117,'CWO Bulan Ini'!$CZ:$CZ,'Area-Cabang'!CT$41)</f>
        <v>0</v>
      </c>
      <c r="CV117" s="97">
        <f t="shared" ref="CV117:CV118" si="3556">SUM(F117:AJ117)</f>
        <v>219.61939907000001</v>
      </c>
      <c r="CW117" s="98">
        <f t="shared" ref="CW117:CW118" si="3557">SUM(AK117:BO117)</f>
        <v>0</v>
      </c>
      <c r="CX117" s="98">
        <f t="shared" ref="CX117:CX118" si="3558">SUM(BP117:CT117)</f>
        <v>0</v>
      </c>
      <c r="CY117" s="98">
        <f t="shared" ref="CY117:CY118" si="3559">CV117-CW117-CX117</f>
        <v>219.61939907000001</v>
      </c>
      <c r="CZ117" s="105">
        <f t="shared" ref="CZ117:CZ118" si="3560">CY117+CW117</f>
        <v>219.61939907000001</v>
      </c>
    </row>
    <row r="118" spans="1:104" ht="15" customHeight="1" x14ac:dyDescent="0.25">
      <c r="A118" s="58" t="s">
        <v>448</v>
      </c>
      <c r="B118" s="58" t="s">
        <v>193</v>
      </c>
      <c r="C118" s="250"/>
      <c r="D118" s="244"/>
      <c r="E118" s="40" t="s">
        <v>349</v>
      </c>
      <c r="F118" s="41">
        <f>SUMIFS('CWO Bulan Ini'!$DA:$DA,'CWO Bulan Ini'!$DJ:$DJ,'Area-Cabang'!$B118,'CWO Bulan Ini'!$DH:$DH,'Area-Cabang'!$E118,'CWO Bulan Ini'!$CZ:$CZ,'Area-Cabang'!F$41)</f>
        <v>0</v>
      </c>
      <c r="G118" s="42">
        <f>SUMIFS('CWO Bulan Ini'!$DA:$DA,'CWO Bulan Ini'!$DJ:$DJ,'Area-Cabang'!$B118,'CWO Bulan Ini'!$DH:$DH,'Area-Cabang'!$E118,'CWO Bulan Ini'!$CZ:$CZ,'Area-Cabang'!G$41)</f>
        <v>0</v>
      </c>
      <c r="H118" s="42">
        <f>SUMIFS('CWO Bulan Ini'!$DA:$DA,'CWO Bulan Ini'!$DJ:$DJ,'Area-Cabang'!$B118,'CWO Bulan Ini'!$DH:$DH,'Area-Cabang'!$E118,'CWO Bulan Ini'!$CZ:$CZ,'Area-Cabang'!H$41)</f>
        <v>0</v>
      </c>
      <c r="I118" s="42">
        <f>SUMIFS('CWO Bulan Ini'!$DA:$DA,'CWO Bulan Ini'!$DJ:$DJ,'Area-Cabang'!$B118,'CWO Bulan Ini'!$DH:$DH,'Area-Cabang'!$E118,'CWO Bulan Ini'!$CZ:$CZ,'Area-Cabang'!I$41)</f>
        <v>0</v>
      </c>
      <c r="J118" s="42">
        <f>SUMIFS('CWO Bulan Ini'!$DA:$DA,'CWO Bulan Ini'!$DJ:$DJ,'Area-Cabang'!$B118,'CWO Bulan Ini'!$DH:$DH,'Area-Cabang'!$E118,'CWO Bulan Ini'!$CZ:$CZ,'Area-Cabang'!J$41)</f>
        <v>0</v>
      </c>
      <c r="K118" s="42">
        <f>SUMIFS('CWO Bulan Ini'!$DA:$DA,'CWO Bulan Ini'!$DJ:$DJ,'Area-Cabang'!$B118,'CWO Bulan Ini'!$DH:$DH,'Area-Cabang'!$E118,'CWO Bulan Ini'!$CZ:$CZ,'Area-Cabang'!K$41)</f>
        <v>0</v>
      </c>
      <c r="L118" s="42">
        <f>SUMIFS('CWO Bulan Ini'!$DA:$DA,'CWO Bulan Ini'!$DJ:$DJ,'Area-Cabang'!$B118,'CWO Bulan Ini'!$DH:$DH,'Area-Cabang'!$E118,'CWO Bulan Ini'!$CZ:$CZ,'Area-Cabang'!L$41)</f>
        <v>0</v>
      </c>
      <c r="M118" s="42">
        <f>SUMIFS('CWO Bulan Ini'!$DA:$DA,'CWO Bulan Ini'!$DJ:$DJ,'Area-Cabang'!$B118,'CWO Bulan Ini'!$DH:$DH,'Area-Cabang'!$E118,'CWO Bulan Ini'!$CZ:$CZ,'Area-Cabang'!M$41)</f>
        <v>0</v>
      </c>
      <c r="N118" s="42">
        <f>SUMIFS('CWO Bulan Ini'!$DA:$DA,'CWO Bulan Ini'!$DJ:$DJ,'Area-Cabang'!$B118,'CWO Bulan Ini'!$DH:$DH,'Area-Cabang'!$E118,'CWO Bulan Ini'!$CZ:$CZ,'Area-Cabang'!N$41)</f>
        <v>0</v>
      </c>
      <c r="O118" s="42">
        <f>SUMIFS('CWO Bulan Ini'!$DA:$DA,'CWO Bulan Ini'!$DJ:$DJ,'Area-Cabang'!$B118,'CWO Bulan Ini'!$DH:$DH,'Area-Cabang'!$E118,'CWO Bulan Ini'!$CZ:$CZ,'Area-Cabang'!O$41)</f>
        <v>0</v>
      </c>
      <c r="P118" s="42">
        <f>SUMIFS('CWO Bulan Ini'!$DA:$DA,'CWO Bulan Ini'!$DJ:$DJ,'Area-Cabang'!$B118,'CWO Bulan Ini'!$DH:$DH,'Area-Cabang'!$E118,'CWO Bulan Ini'!$CZ:$CZ,'Area-Cabang'!P$41)</f>
        <v>0</v>
      </c>
      <c r="Q118" s="42">
        <f>SUMIFS('CWO Bulan Ini'!$DA:$DA,'CWO Bulan Ini'!$DJ:$DJ,'Area-Cabang'!$B118,'CWO Bulan Ini'!$DH:$DH,'Area-Cabang'!$E118,'CWO Bulan Ini'!$CZ:$CZ,'Area-Cabang'!Q$41)</f>
        <v>0</v>
      </c>
      <c r="R118" s="42">
        <f>SUMIFS('CWO Bulan Ini'!$DA:$DA,'CWO Bulan Ini'!$DJ:$DJ,'Area-Cabang'!$B118,'CWO Bulan Ini'!$DH:$DH,'Area-Cabang'!$E118,'CWO Bulan Ini'!$CZ:$CZ,'Area-Cabang'!R$41)</f>
        <v>0</v>
      </c>
      <c r="S118" s="42">
        <f>SUMIFS('CWO Bulan Ini'!$DA:$DA,'CWO Bulan Ini'!$DJ:$DJ,'Area-Cabang'!$B118,'CWO Bulan Ini'!$DH:$DH,'Area-Cabang'!$E118,'CWO Bulan Ini'!$CZ:$CZ,'Area-Cabang'!S$41)</f>
        <v>0</v>
      </c>
      <c r="T118" s="42">
        <f>SUMIFS('CWO Bulan Ini'!$DA:$DA,'CWO Bulan Ini'!$DJ:$DJ,'Area-Cabang'!$B118,'CWO Bulan Ini'!$DH:$DH,'Area-Cabang'!$E118,'CWO Bulan Ini'!$CZ:$CZ,'Area-Cabang'!T$41)</f>
        <v>0</v>
      </c>
      <c r="U118" s="42">
        <f>SUMIFS('CWO Bulan Ini'!$DA:$DA,'CWO Bulan Ini'!$DJ:$DJ,'Area-Cabang'!$B118,'CWO Bulan Ini'!$DH:$DH,'Area-Cabang'!$E118,'CWO Bulan Ini'!$CZ:$CZ,'Area-Cabang'!U$41)</f>
        <v>0</v>
      </c>
      <c r="V118" s="42">
        <f>SUMIFS('CWO Bulan Ini'!$DA:$DA,'CWO Bulan Ini'!$DJ:$DJ,'Area-Cabang'!$B118,'CWO Bulan Ini'!$DH:$DH,'Area-Cabang'!$E118,'CWO Bulan Ini'!$CZ:$CZ,'Area-Cabang'!V$41)</f>
        <v>0</v>
      </c>
      <c r="W118" s="42">
        <f>SUMIFS('CWO Bulan Ini'!$DA:$DA,'CWO Bulan Ini'!$DJ:$DJ,'Area-Cabang'!$B118,'CWO Bulan Ini'!$DH:$DH,'Area-Cabang'!$E118,'CWO Bulan Ini'!$CZ:$CZ,'Area-Cabang'!W$41)</f>
        <v>0</v>
      </c>
      <c r="X118" s="42">
        <f>SUMIFS('CWO Bulan Ini'!$DA:$DA,'CWO Bulan Ini'!$DJ:$DJ,'Area-Cabang'!$B118,'CWO Bulan Ini'!$DH:$DH,'Area-Cabang'!$E118,'CWO Bulan Ini'!$CZ:$CZ,'Area-Cabang'!X$41)</f>
        <v>0</v>
      </c>
      <c r="Y118" s="42">
        <f>SUMIFS('CWO Bulan Ini'!$DA:$DA,'CWO Bulan Ini'!$DJ:$DJ,'Area-Cabang'!$B118,'CWO Bulan Ini'!$DH:$DH,'Area-Cabang'!$E118,'CWO Bulan Ini'!$CZ:$CZ,'Area-Cabang'!Y$41)</f>
        <v>0</v>
      </c>
      <c r="Z118" s="42">
        <f>SUMIFS('CWO Bulan Ini'!$DA:$DA,'CWO Bulan Ini'!$DJ:$DJ,'Area-Cabang'!$B118,'CWO Bulan Ini'!$DH:$DH,'Area-Cabang'!$E118,'CWO Bulan Ini'!$CZ:$CZ,'Area-Cabang'!Z$41)</f>
        <v>0</v>
      </c>
      <c r="AA118" s="42">
        <f>SUMIFS('CWO Bulan Ini'!$DA:$DA,'CWO Bulan Ini'!$DJ:$DJ,'Area-Cabang'!$B118,'CWO Bulan Ini'!$DH:$DH,'Area-Cabang'!$E118,'CWO Bulan Ini'!$CZ:$CZ,'Area-Cabang'!AA$41)</f>
        <v>4.5516993699999997</v>
      </c>
      <c r="AB118" s="42">
        <f>SUMIFS('CWO Bulan Ini'!$DA:$DA,'CWO Bulan Ini'!$DJ:$DJ,'Area-Cabang'!$B118,'CWO Bulan Ini'!$DH:$DH,'Area-Cabang'!$E118,'CWO Bulan Ini'!$CZ:$CZ,'Area-Cabang'!AB$41)</f>
        <v>0</v>
      </c>
      <c r="AC118" s="42">
        <f>SUMIFS('CWO Bulan Ini'!$DA:$DA,'CWO Bulan Ini'!$DJ:$DJ,'Area-Cabang'!$B118,'CWO Bulan Ini'!$DH:$DH,'Area-Cabang'!$E118,'CWO Bulan Ini'!$CZ:$CZ,'Area-Cabang'!AC$41)</f>
        <v>0</v>
      </c>
      <c r="AD118" s="42">
        <f>SUMIFS('CWO Bulan Ini'!$DA:$DA,'CWO Bulan Ini'!$DJ:$DJ,'Area-Cabang'!$B118,'CWO Bulan Ini'!$DH:$DH,'Area-Cabang'!$E118,'CWO Bulan Ini'!$CZ:$CZ,'Area-Cabang'!AD$41)</f>
        <v>0</v>
      </c>
      <c r="AE118" s="42">
        <f>SUMIFS('CWO Bulan Ini'!$DA:$DA,'CWO Bulan Ini'!$DJ:$DJ,'Area-Cabang'!$B118,'CWO Bulan Ini'!$DH:$DH,'Area-Cabang'!$E118,'CWO Bulan Ini'!$CZ:$CZ,'Area-Cabang'!AE$41)</f>
        <v>0</v>
      </c>
      <c r="AF118" s="42">
        <f>SUMIFS('CWO Bulan Ini'!$DA:$DA,'CWO Bulan Ini'!$DJ:$DJ,'Area-Cabang'!$B118,'CWO Bulan Ini'!$DH:$DH,'Area-Cabang'!$E118,'CWO Bulan Ini'!$CZ:$CZ,'Area-Cabang'!AF$41)</f>
        <v>0</v>
      </c>
      <c r="AG118" s="42">
        <f>SUMIFS('CWO Bulan Ini'!$DA:$DA,'CWO Bulan Ini'!$DJ:$DJ,'Area-Cabang'!$B118,'CWO Bulan Ini'!$DH:$DH,'Area-Cabang'!$E118,'CWO Bulan Ini'!$CZ:$CZ,'Area-Cabang'!AG$41)</f>
        <v>0</v>
      </c>
      <c r="AH118" s="42">
        <f>SUMIFS('CWO Bulan Ini'!$DA:$DA,'CWO Bulan Ini'!$DJ:$DJ,'Area-Cabang'!$B118,'CWO Bulan Ini'!$DH:$DH,'Area-Cabang'!$E118,'CWO Bulan Ini'!$CZ:$CZ,'Area-Cabang'!AH$41)</f>
        <v>0</v>
      </c>
      <c r="AI118" s="42">
        <f>SUMIFS('CWO Bulan Ini'!$DA:$DA,'CWO Bulan Ini'!$DJ:$DJ,'Area-Cabang'!$B118,'CWO Bulan Ini'!$DH:$DH,'Area-Cabang'!$E118,'CWO Bulan Ini'!$CZ:$CZ,'Area-Cabang'!AI$41)</f>
        <v>0</v>
      </c>
      <c r="AJ118" s="42">
        <f>SUMIFS('CWO Bulan Ini'!$DA:$DA,'CWO Bulan Ini'!$DJ:$DJ,'Area-Cabang'!$B118,'CWO Bulan Ini'!$DH:$DH,'Area-Cabang'!$E118,'CWO Bulan Ini'!$CZ:$CZ,'Area-Cabang'!AJ$41)</f>
        <v>0</v>
      </c>
      <c r="AK118" s="41">
        <f>SUMIFS('CWO Bulan Ini'!$DD:$DD,'CWO Bulan Ini'!$DJ:$DJ,'Area-Cabang'!$B118,'CWO Bulan Ini'!$DH:$DH,'Area-Cabang'!$E118,'CWO Bulan Ini'!$CZ:$CZ,'Area-Cabang'!AK$41)</f>
        <v>0</v>
      </c>
      <c r="AL118" s="42">
        <f>SUMIFS('CWO Bulan Ini'!$DD:$DD,'CWO Bulan Ini'!$DJ:$DJ,'Area-Cabang'!$B118,'CWO Bulan Ini'!$DH:$DH,'Area-Cabang'!$E118,'CWO Bulan Ini'!$CZ:$CZ,'Area-Cabang'!AL$41)</f>
        <v>0</v>
      </c>
      <c r="AM118" s="42">
        <f>SUMIFS('CWO Bulan Ini'!$DD:$DD,'CWO Bulan Ini'!$DJ:$DJ,'Area-Cabang'!$B118,'CWO Bulan Ini'!$DH:$DH,'Area-Cabang'!$E118,'CWO Bulan Ini'!$CZ:$CZ,'Area-Cabang'!AM$41)</f>
        <v>0</v>
      </c>
      <c r="AN118" s="42">
        <f>SUMIFS('CWO Bulan Ini'!$DD:$DD,'CWO Bulan Ini'!$DJ:$DJ,'Area-Cabang'!$B118,'CWO Bulan Ini'!$DH:$DH,'Area-Cabang'!$E118,'CWO Bulan Ini'!$CZ:$CZ,'Area-Cabang'!AN$41)</f>
        <v>0</v>
      </c>
      <c r="AO118" s="42">
        <f>SUMIFS('CWO Bulan Ini'!$DD:$DD,'CWO Bulan Ini'!$DJ:$DJ,'Area-Cabang'!$B118,'CWO Bulan Ini'!$DH:$DH,'Area-Cabang'!$E118,'CWO Bulan Ini'!$CZ:$CZ,'Area-Cabang'!AO$41)</f>
        <v>0</v>
      </c>
      <c r="AP118" s="42">
        <f>SUMIFS('CWO Bulan Ini'!$DD:$DD,'CWO Bulan Ini'!$DJ:$DJ,'Area-Cabang'!$B118,'CWO Bulan Ini'!$DH:$DH,'Area-Cabang'!$E118,'CWO Bulan Ini'!$CZ:$CZ,'Area-Cabang'!AP$41)</f>
        <v>0</v>
      </c>
      <c r="AQ118" s="42">
        <f>SUMIFS('CWO Bulan Ini'!$DD:$DD,'CWO Bulan Ini'!$DJ:$DJ,'Area-Cabang'!$B118,'CWO Bulan Ini'!$DH:$DH,'Area-Cabang'!$E118,'CWO Bulan Ini'!$CZ:$CZ,'Area-Cabang'!AQ$41)</f>
        <v>0</v>
      </c>
      <c r="AR118" s="42">
        <f>SUMIFS('CWO Bulan Ini'!$DD:$DD,'CWO Bulan Ini'!$DJ:$DJ,'Area-Cabang'!$B118,'CWO Bulan Ini'!$DH:$DH,'Area-Cabang'!$E118,'CWO Bulan Ini'!$CZ:$CZ,'Area-Cabang'!AR$41)</f>
        <v>0</v>
      </c>
      <c r="AS118" s="42">
        <f>SUMIFS('CWO Bulan Ini'!$DD:$DD,'CWO Bulan Ini'!$DJ:$DJ,'Area-Cabang'!$B118,'CWO Bulan Ini'!$DH:$DH,'Area-Cabang'!$E118,'CWO Bulan Ini'!$CZ:$CZ,'Area-Cabang'!AS$41)</f>
        <v>0</v>
      </c>
      <c r="AT118" s="42">
        <f>SUMIFS('CWO Bulan Ini'!$DD:$DD,'CWO Bulan Ini'!$DJ:$DJ,'Area-Cabang'!$B118,'CWO Bulan Ini'!$DH:$DH,'Area-Cabang'!$E118,'CWO Bulan Ini'!$CZ:$CZ,'Area-Cabang'!AT$41)</f>
        <v>0</v>
      </c>
      <c r="AU118" s="42">
        <f>SUMIFS('CWO Bulan Ini'!$DD:$DD,'CWO Bulan Ini'!$DJ:$DJ,'Area-Cabang'!$B118,'CWO Bulan Ini'!$DH:$DH,'Area-Cabang'!$E118,'CWO Bulan Ini'!$CZ:$CZ,'Area-Cabang'!AU$41)</f>
        <v>0</v>
      </c>
      <c r="AV118" s="42">
        <f>SUMIFS('CWO Bulan Ini'!$DD:$DD,'CWO Bulan Ini'!$DJ:$DJ,'Area-Cabang'!$B118,'CWO Bulan Ini'!$DH:$DH,'Area-Cabang'!$E118,'CWO Bulan Ini'!$CZ:$CZ,'Area-Cabang'!AV$41)</f>
        <v>0</v>
      </c>
      <c r="AW118" s="42">
        <f>SUMIFS('CWO Bulan Ini'!$DD:$DD,'CWO Bulan Ini'!$DJ:$DJ,'Area-Cabang'!$B118,'CWO Bulan Ini'!$DH:$DH,'Area-Cabang'!$E118,'CWO Bulan Ini'!$CZ:$CZ,'Area-Cabang'!AW$41)</f>
        <v>0</v>
      </c>
      <c r="AX118" s="42">
        <f>SUMIFS('CWO Bulan Ini'!$DD:$DD,'CWO Bulan Ini'!$DJ:$DJ,'Area-Cabang'!$B118,'CWO Bulan Ini'!$DH:$DH,'Area-Cabang'!$E118,'CWO Bulan Ini'!$CZ:$CZ,'Area-Cabang'!AX$41)</f>
        <v>0</v>
      </c>
      <c r="AY118" s="42">
        <f>SUMIFS('CWO Bulan Ini'!$DD:$DD,'CWO Bulan Ini'!$DJ:$DJ,'Area-Cabang'!$B118,'CWO Bulan Ini'!$DH:$DH,'Area-Cabang'!$E118,'CWO Bulan Ini'!$CZ:$CZ,'Area-Cabang'!AY$41)</f>
        <v>0</v>
      </c>
      <c r="AZ118" s="42">
        <f>SUMIFS('CWO Bulan Ini'!$DD:$DD,'CWO Bulan Ini'!$DJ:$DJ,'Area-Cabang'!$B118,'CWO Bulan Ini'!$DH:$DH,'Area-Cabang'!$E118,'CWO Bulan Ini'!$CZ:$CZ,'Area-Cabang'!AZ$41)</f>
        <v>0</v>
      </c>
      <c r="BA118" s="42">
        <f>SUMIFS('CWO Bulan Ini'!$DD:$DD,'CWO Bulan Ini'!$DJ:$DJ,'Area-Cabang'!$B118,'CWO Bulan Ini'!$DH:$DH,'Area-Cabang'!$E118,'CWO Bulan Ini'!$CZ:$CZ,'Area-Cabang'!BA$41)</f>
        <v>0</v>
      </c>
      <c r="BB118" s="42">
        <f>SUMIFS('CWO Bulan Ini'!$DD:$DD,'CWO Bulan Ini'!$DJ:$DJ,'Area-Cabang'!$B118,'CWO Bulan Ini'!$DH:$DH,'Area-Cabang'!$E118,'CWO Bulan Ini'!$CZ:$CZ,'Area-Cabang'!BB$41)</f>
        <v>0</v>
      </c>
      <c r="BC118" s="42">
        <f>SUMIFS('CWO Bulan Ini'!$DD:$DD,'CWO Bulan Ini'!$DJ:$DJ,'Area-Cabang'!$B118,'CWO Bulan Ini'!$DH:$DH,'Area-Cabang'!$E118,'CWO Bulan Ini'!$CZ:$CZ,'Area-Cabang'!BC$41)</f>
        <v>0</v>
      </c>
      <c r="BD118" s="42">
        <f>SUMIFS('CWO Bulan Ini'!$DD:$DD,'CWO Bulan Ini'!$DJ:$DJ,'Area-Cabang'!$B118,'CWO Bulan Ini'!$DH:$DH,'Area-Cabang'!$E118,'CWO Bulan Ini'!$CZ:$CZ,'Area-Cabang'!BD$41)</f>
        <v>0</v>
      </c>
      <c r="BE118" s="42">
        <f>SUMIFS('CWO Bulan Ini'!$DD:$DD,'CWO Bulan Ini'!$DJ:$DJ,'Area-Cabang'!$B118,'CWO Bulan Ini'!$DH:$DH,'Area-Cabang'!$E118,'CWO Bulan Ini'!$CZ:$CZ,'Area-Cabang'!BE$41)</f>
        <v>0</v>
      </c>
      <c r="BF118" s="42">
        <f>SUMIFS('CWO Bulan Ini'!$DD:$DD,'CWO Bulan Ini'!$DJ:$DJ,'Area-Cabang'!$B118,'CWO Bulan Ini'!$DH:$DH,'Area-Cabang'!$E118,'CWO Bulan Ini'!$CZ:$CZ,'Area-Cabang'!BF$41)</f>
        <v>0</v>
      </c>
      <c r="BG118" s="42">
        <f>SUMIFS('CWO Bulan Ini'!$DD:$DD,'CWO Bulan Ini'!$DJ:$DJ,'Area-Cabang'!$B118,'CWO Bulan Ini'!$DH:$DH,'Area-Cabang'!$E118,'CWO Bulan Ini'!$CZ:$CZ,'Area-Cabang'!BG$41)</f>
        <v>0</v>
      </c>
      <c r="BH118" s="42">
        <f>SUMIFS('CWO Bulan Ini'!$DD:$DD,'CWO Bulan Ini'!$DJ:$DJ,'Area-Cabang'!$B118,'CWO Bulan Ini'!$DH:$DH,'Area-Cabang'!$E118,'CWO Bulan Ini'!$CZ:$CZ,'Area-Cabang'!BH$41)</f>
        <v>0</v>
      </c>
      <c r="BI118" s="42">
        <f>SUMIFS('CWO Bulan Ini'!$DD:$DD,'CWO Bulan Ini'!$DJ:$DJ,'Area-Cabang'!$B118,'CWO Bulan Ini'!$DH:$DH,'Area-Cabang'!$E118,'CWO Bulan Ini'!$CZ:$CZ,'Area-Cabang'!BI$41)</f>
        <v>0</v>
      </c>
      <c r="BJ118" s="42">
        <f>SUMIFS('CWO Bulan Ini'!$DD:$DD,'CWO Bulan Ini'!$DJ:$DJ,'Area-Cabang'!$B118,'CWO Bulan Ini'!$DH:$DH,'Area-Cabang'!$E118,'CWO Bulan Ini'!$CZ:$CZ,'Area-Cabang'!BJ$41)</f>
        <v>0</v>
      </c>
      <c r="BK118" s="42">
        <f>SUMIFS('CWO Bulan Ini'!$DD:$DD,'CWO Bulan Ini'!$DJ:$DJ,'Area-Cabang'!$B118,'CWO Bulan Ini'!$DH:$DH,'Area-Cabang'!$E118,'CWO Bulan Ini'!$CZ:$CZ,'Area-Cabang'!BK$41)</f>
        <v>0</v>
      </c>
      <c r="BL118" s="42">
        <f>SUMIFS('CWO Bulan Ini'!$DD:$DD,'CWO Bulan Ini'!$DJ:$DJ,'Area-Cabang'!$B118,'CWO Bulan Ini'!$DH:$DH,'Area-Cabang'!$E118,'CWO Bulan Ini'!$CZ:$CZ,'Area-Cabang'!BL$41)</f>
        <v>0</v>
      </c>
      <c r="BM118" s="42">
        <f>SUMIFS('CWO Bulan Ini'!$DD:$DD,'CWO Bulan Ini'!$DJ:$DJ,'Area-Cabang'!$B118,'CWO Bulan Ini'!$DH:$DH,'Area-Cabang'!$E118,'CWO Bulan Ini'!$CZ:$CZ,'Area-Cabang'!BM$41)</f>
        <v>0</v>
      </c>
      <c r="BN118" s="42">
        <f>SUMIFS('CWO Bulan Ini'!$DD:$DD,'CWO Bulan Ini'!$DJ:$DJ,'Area-Cabang'!$B118,'CWO Bulan Ini'!$DH:$DH,'Area-Cabang'!$E118,'CWO Bulan Ini'!$CZ:$CZ,'Area-Cabang'!BN$41)</f>
        <v>0</v>
      </c>
      <c r="BO118" s="43">
        <f>SUMIFS('CWO Bulan Ini'!$DD:$DD,'CWO Bulan Ini'!$DJ:$DJ,'Area-Cabang'!$B118,'CWO Bulan Ini'!$DH:$DH,'Area-Cabang'!$E118,'CWO Bulan Ini'!$CZ:$CZ,'Area-Cabang'!BO$41)</f>
        <v>0</v>
      </c>
      <c r="BP118" s="41">
        <f>SUMIFS('CWO Bulan Ini'!$DC:$DC,'CWO Bulan Ini'!$DJ:$DJ,'Area-Cabang'!$B118,'CWO Bulan Ini'!$DH:$DH,'Area-Cabang'!$E118,'CWO Bulan Ini'!$CZ:$CZ,'Area-Cabang'!BP$41)</f>
        <v>0</v>
      </c>
      <c r="BQ118" s="42">
        <f>SUMIFS('CWO Bulan Ini'!$DC:$DC,'CWO Bulan Ini'!$DJ:$DJ,'Area-Cabang'!$B118,'CWO Bulan Ini'!$DH:$DH,'Area-Cabang'!$E118,'CWO Bulan Ini'!$CZ:$CZ,'Area-Cabang'!BQ$41)</f>
        <v>0</v>
      </c>
      <c r="BR118" s="42">
        <f>SUMIFS('CWO Bulan Ini'!$DC:$DC,'CWO Bulan Ini'!$DJ:$DJ,'Area-Cabang'!$B118,'CWO Bulan Ini'!$DH:$DH,'Area-Cabang'!$E118,'CWO Bulan Ini'!$CZ:$CZ,'Area-Cabang'!BR$41)</f>
        <v>0</v>
      </c>
      <c r="BS118" s="42">
        <f>SUMIFS('CWO Bulan Ini'!$DC:$DC,'CWO Bulan Ini'!$DJ:$DJ,'Area-Cabang'!$B118,'CWO Bulan Ini'!$DH:$DH,'Area-Cabang'!$E118,'CWO Bulan Ini'!$CZ:$CZ,'Area-Cabang'!BS$41)</f>
        <v>0</v>
      </c>
      <c r="BT118" s="42">
        <f>SUMIFS('CWO Bulan Ini'!$DC:$DC,'CWO Bulan Ini'!$DJ:$DJ,'Area-Cabang'!$B118,'CWO Bulan Ini'!$DH:$DH,'Area-Cabang'!$E118,'CWO Bulan Ini'!$CZ:$CZ,'Area-Cabang'!BT$41)</f>
        <v>0</v>
      </c>
      <c r="BU118" s="42">
        <f>SUMIFS('CWO Bulan Ini'!$DC:$DC,'CWO Bulan Ini'!$DJ:$DJ,'Area-Cabang'!$B118,'CWO Bulan Ini'!$DH:$DH,'Area-Cabang'!$E118,'CWO Bulan Ini'!$CZ:$CZ,'Area-Cabang'!BU$41)</f>
        <v>0</v>
      </c>
      <c r="BV118" s="42">
        <f>SUMIFS('CWO Bulan Ini'!$DC:$DC,'CWO Bulan Ini'!$DJ:$DJ,'Area-Cabang'!$B118,'CWO Bulan Ini'!$DH:$DH,'Area-Cabang'!$E118,'CWO Bulan Ini'!$CZ:$CZ,'Area-Cabang'!BV$41)</f>
        <v>0</v>
      </c>
      <c r="BW118" s="42">
        <f>SUMIFS('CWO Bulan Ini'!$DC:$DC,'CWO Bulan Ini'!$DJ:$DJ,'Area-Cabang'!$B118,'CWO Bulan Ini'!$DH:$DH,'Area-Cabang'!$E118,'CWO Bulan Ini'!$CZ:$CZ,'Area-Cabang'!BW$41)</f>
        <v>0</v>
      </c>
      <c r="BX118" s="42">
        <f>SUMIFS('CWO Bulan Ini'!$DC:$DC,'CWO Bulan Ini'!$DJ:$DJ,'Area-Cabang'!$B118,'CWO Bulan Ini'!$DH:$DH,'Area-Cabang'!$E118,'CWO Bulan Ini'!$CZ:$CZ,'Area-Cabang'!BX$41)</f>
        <v>0</v>
      </c>
      <c r="BY118" s="42">
        <f>SUMIFS('CWO Bulan Ini'!$DC:$DC,'CWO Bulan Ini'!$DJ:$DJ,'Area-Cabang'!$B118,'CWO Bulan Ini'!$DH:$DH,'Area-Cabang'!$E118,'CWO Bulan Ini'!$CZ:$CZ,'Area-Cabang'!BY$41)</f>
        <v>0</v>
      </c>
      <c r="BZ118" s="42">
        <f>SUMIFS('CWO Bulan Ini'!$DC:$DC,'CWO Bulan Ini'!$DJ:$DJ,'Area-Cabang'!$B118,'CWO Bulan Ini'!$DH:$DH,'Area-Cabang'!$E118,'CWO Bulan Ini'!$CZ:$CZ,'Area-Cabang'!BZ$41)</f>
        <v>0</v>
      </c>
      <c r="CA118" s="42">
        <f>SUMIFS('CWO Bulan Ini'!$DC:$DC,'CWO Bulan Ini'!$DJ:$DJ,'Area-Cabang'!$B118,'CWO Bulan Ini'!$DH:$DH,'Area-Cabang'!$E118,'CWO Bulan Ini'!$CZ:$CZ,'Area-Cabang'!CA$41)</f>
        <v>0</v>
      </c>
      <c r="CB118" s="42">
        <f>SUMIFS('CWO Bulan Ini'!$DC:$DC,'CWO Bulan Ini'!$DJ:$DJ,'Area-Cabang'!$B118,'CWO Bulan Ini'!$DH:$DH,'Area-Cabang'!$E118,'CWO Bulan Ini'!$CZ:$CZ,'Area-Cabang'!CB$41)</f>
        <v>0</v>
      </c>
      <c r="CC118" s="42">
        <f>SUMIFS('CWO Bulan Ini'!$DC:$DC,'CWO Bulan Ini'!$DJ:$DJ,'Area-Cabang'!$B118,'CWO Bulan Ini'!$DH:$DH,'Area-Cabang'!$E118,'CWO Bulan Ini'!$CZ:$CZ,'Area-Cabang'!CC$41)</f>
        <v>0</v>
      </c>
      <c r="CD118" s="42">
        <f>SUMIFS('CWO Bulan Ini'!$DC:$DC,'CWO Bulan Ini'!$DJ:$DJ,'Area-Cabang'!$B118,'CWO Bulan Ini'!$DH:$DH,'Area-Cabang'!$E118,'CWO Bulan Ini'!$CZ:$CZ,'Area-Cabang'!CD$41)</f>
        <v>0</v>
      </c>
      <c r="CE118" s="42">
        <f>SUMIFS('CWO Bulan Ini'!$DC:$DC,'CWO Bulan Ini'!$DJ:$DJ,'Area-Cabang'!$B118,'CWO Bulan Ini'!$DH:$DH,'Area-Cabang'!$E118,'CWO Bulan Ini'!$CZ:$CZ,'Area-Cabang'!CE$41)</f>
        <v>0</v>
      </c>
      <c r="CF118" s="42">
        <f>SUMIFS('CWO Bulan Ini'!$DC:$DC,'CWO Bulan Ini'!$DJ:$DJ,'Area-Cabang'!$B118,'CWO Bulan Ini'!$DH:$DH,'Area-Cabang'!$E118,'CWO Bulan Ini'!$CZ:$CZ,'Area-Cabang'!CF$41)</f>
        <v>0</v>
      </c>
      <c r="CG118" s="42">
        <f>SUMIFS('CWO Bulan Ini'!$DC:$DC,'CWO Bulan Ini'!$DJ:$DJ,'Area-Cabang'!$B118,'CWO Bulan Ini'!$DH:$DH,'Area-Cabang'!$E118,'CWO Bulan Ini'!$CZ:$CZ,'Area-Cabang'!CG$41)</f>
        <v>0</v>
      </c>
      <c r="CH118" s="42">
        <f>SUMIFS('CWO Bulan Ini'!$DC:$DC,'CWO Bulan Ini'!$DJ:$DJ,'Area-Cabang'!$B118,'CWO Bulan Ini'!$DH:$DH,'Area-Cabang'!$E118,'CWO Bulan Ini'!$CZ:$CZ,'Area-Cabang'!CH$41)</f>
        <v>0</v>
      </c>
      <c r="CI118" s="42">
        <f>SUMIFS('CWO Bulan Ini'!$DC:$DC,'CWO Bulan Ini'!$DJ:$DJ,'Area-Cabang'!$B118,'CWO Bulan Ini'!$DH:$DH,'Area-Cabang'!$E118,'CWO Bulan Ini'!$CZ:$CZ,'Area-Cabang'!CI$41)</f>
        <v>0</v>
      </c>
      <c r="CJ118" s="42">
        <f>SUMIFS('CWO Bulan Ini'!$DC:$DC,'CWO Bulan Ini'!$DJ:$DJ,'Area-Cabang'!$B118,'CWO Bulan Ini'!$DH:$DH,'Area-Cabang'!$E118,'CWO Bulan Ini'!$CZ:$CZ,'Area-Cabang'!CJ$41)</f>
        <v>0</v>
      </c>
      <c r="CK118" s="42">
        <f>SUMIFS('CWO Bulan Ini'!$DC:$DC,'CWO Bulan Ini'!$DJ:$DJ,'Area-Cabang'!$B118,'CWO Bulan Ini'!$DH:$DH,'Area-Cabang'!$E118,'CWO Bulan Ini'!$CZ:$CZ,'Area-Cabang'!CK$41)</f>
        <v>0</v>
      </c>
      <c r="CL118" s="42">
        <f>SUMIFS('CWO Bulan Ini'!$DC:$DC,'CWO Bulan Ini'!$DJ:$DJ,'Area-Cabang'!$B118,'CWO Bulan Ini'!$DH:$DH,'Area-Cabang'!$E118,'CWO Bulan Ini'!$CZ:$CZ,'Area-Cabang'!CL$41)</f>
        <v>0</v>
      </c>
      <c r="CM118" s="42">
        <f>SUMIFS('CWO Bulan Ini'!$DC:$DC,'CWO Bulan Ini'!$DJ:$DJ,'Area-Cabang'!$B118,'CWO Bulan Ini'!$DH:$DH,'Area-Cabang'!$E118,'CWO Bulan Ini'!$CZ:$CZ,'Area-Cabang'!CM$41)</f>
        <v>0</v>
      </c>
      <c r="CN118" s="42">
        <f>SUMIFS('CWO Bulan Ini'!$DC:$DC,'CWO Bulan Ini'!$DJ:$DJ,'Area-Cabang'!$B118,'CWO Bulan Ini'!$DH:$DH,'Area-Cabang'!$E118,'CWO Bulan Ini'!$CZ:$CZ,'Area-Cabang'!CN$41)</f>
        <v>0</v>
      </c>
      <c r="CO118" s="42">
        <f>SUMIFS('CWO Bulan Ini'!$DC:$DC,'CWO Bulan Ini'!$DJ:$DJ,'Area-Cabang'!$B118,'CWO Bulan Ini'!$DH:$DH,'Area-Cabang'!$E118,'CWO Bulan Ini'!$CZ:$CZ,'Area-Cabang'!CO$41)</f>
        <v>0</v>
      </c>
      <c r="CP118" s="42">
        <f>SUMIFS('CWO Bulan Ini'!$DC:$DC,'CWO Bulan Ini'!$DJ:$DJ,'Area-Cabang'!$B118,'CWO Bulan Ini'!$DH:$DH,'Area-Cabang'!$E118,'CWO Bulan Ini'!$CZ:$CZ,'Area-Cabang'!CP$41)</f>
        <v>0</v>
      </c>
      <c r="CQ118" s="42">
        <f>SUMIFS('CWO Bulan Ini'!$DC:$DC,'CWO Bulan Ini'!$DJ:$DJ,'Area-Cabang'!$B118,'CWO Bulan Ini'!$DH:$DH,'Area-Cabang'!$E118,'CWO Bulan Ini'!$CZ:$CZ,'Area-Cabang'!CQ$41)</f>
        <v>0</v>
      </c>
      <c r="CR118" s="42">
        <f>SUMIFS('CWO Bulan Ini'!$DC:$DC,'CWO Bulan Ini'!$DJ:$DJ,'Area-Cabang'!$B118,'CWO Bulan Ini'!$DH:$DH,'Area-Cabang'!$E118,'CWO Bulan Ini'!$CZ:$CZ,'Area-Cabang'!CR$41)</f>
        <v>0</v>
      </c>
      <c r="CS118" s="42">
        <f>SUMIFS('CWO Bulan Ini'!$DC:$DC,'CWO Bulan Ini'!$DJ:$DJ,'Area-Cabang'!$B118,'CWO Bulan Ini'!$DH:$DH,'Area-Cabang'!$E118,'CWO Bulan Ini'!$CZ:$CZ,'Area-Cabang'!CS$41)</f>
        <v>0</v>
      </c>
      <c r="CT118" s="43">
        <f>SUMIFS('CWO Bulan Ini'!$DC:$DC,'CWO Bulan Ini'!$DJ:$DJ,'Area-Cabang'!$B118,'CWO Bulan Ini'!$DH:$DH,'Area-Cabang'!$E118,'CWO Bulan Ini'!$CZ:$CZ,'Area-Cabang'!CT$41)</f>
        <v>0</v>
      </c>
      <c r="CV118" s="96">
        <f t="shared" si="3556"/>
        <v>4.5516993699999997</v>
      </c>
      <c r="CW118" s="93">
        <f t="shared" si="3557"/>
        <v>0</v>
      </c>
      <c r="CX118" s="93">
        <f t="shared" si="3558"/>
        <v>0</v>
      </c>
      <c r="CY118" s="93">
        <f t="shared" si="3559"/>
        <v>4.5516993699999997</v>
      </c>
      <c r="CZ118" s="106">
        <f t="shared" si="3560"/>
        <v>4.5516993699999997</v>
      </c>
    </row>
    <row r="119" spans="1:104" ht="15" customHeight="1" x14ac:dyDescent="0.25">
      <c r="A119" s="58" t="s">
        <v>448</v>
      </c>
      <c r="B119" s="53" t="s">
        <v>832</v>
      </c>
      <c r="C119" s="250"/>
      <c r="D119" s="227" t="s">
        <v>832</v>
      </c>
      <c r="E119" s="228"/>
      <c r="F119" s="219">
        <f t="shared" ref="F119" si="3561">SUM(F117:F118)</f>
        <v>0</v>
      </c>
      <c r="G119" s="220">
        <f t="shared" ref="G119" si="3562">SUM(G117:G118)</f>
        <v>0</v>
      </c>
      <c r="H119" s="220">
        <f t="shared" ref="H119" si="3563">SUM(H117:H118)</f>
        <v>0</v>
      </c>
      <c r="I119" s="220">
        <f t="shared" ref="I119" si="3564">SUM(I117:I118)</f>
        <v>0</v>
      </c>
      <c r="J119" s="220">
        <f t="shared" ref="J119" si="3565">SUM(J117:J118)</f>
        <v>0</v>
      </c>
      <c r="K119" s="220">
        <f t="shared" ref="K119" si="3566">SUM(K117:K118)</f>
        <v>0</v>
      </c>
      <c r="L119" s="220">
        <f t="shared" ref="L119" si="3567">SUM(L117:L118)</f>
        <v>0</v>
      </c>
      <c r="M119" s="220">
        <f t="shared" ref="M119" si="3568">SUM(M117:M118)</f>
        <v>0</v>
      </c>
      <c r="N119" s="220">
        <f t="shared" ref="N119" si="3569">SUM(N117:N118)</f>
        <v>0</v>
      </c>
      <c r="O119" s="220">
        <f t="shared" ref="O119" si="3570">SUM(O117:O118)</f>
        <v>0</v>
      </c>
      <c r="P119" s="220">
        <f t="shared" ref="P119" si="3571">SUM(P117:P118)</f>
        <v>28.009723390000001</v>
      </c>
      <c r="Q119" s="220">
        <f t="shared" ref="Q119" si="3572">SUM(Q117:Q118)</f>
        <v>75.409308680000009</v>
      </c>
      <c r="R119" s="220">
        <f t="shared" ref="R119" si="3573">SUM(R117:R118)</f>
        <v>0</v>
      </c>
      <c r="S119" s="220">
        <f t="shared" ref="S119" si="3574">SUM(S117:S118)</f>
        <v>0</v>
      </c>
      <c r="T119" s="220">
        <f t="shared" ref="T119" si="3575">SUM(T117:T118)</f>
        <v>63.960013680000003</v>
      </c>
      <c r="U119" s="220">
        <f t="shared" ref="U119" si="3576">SUM(U117:U118)</f>
        <v>0</v>
      </c>
      <c r="V119" s="220">
        <f t="shared" ref="V119" si="3577">SUM(V117:V118)</f>
        <v>0</v>
      </c>
      <c r="W119" s="220">
        <f t="shared" ref="W119" si="3578">SUM(W117:W118)</f>
        <v>0</v>
      </c>
      <c r="X119" s="220">
        <f t="shared" ref="X119" si="3579">SUM(X117:X118)</f>
        <v>52.240353319999997</v>
      </c>
      <c r="Y119" s="220">
        <f t="shared" ref="Y119" si="3580">SUM(Y117:Y118)</f>
        <v>0</v>
      </c>
      <c r="Z119" s="220">
        <f t="shared" ref="Z119" si="3581">SUM(Z117:Z118)</f>
        <v>0</v>
      </c>
      <c r="AA119" s="220">
        <f t="shared" ref="AA119" si="3582">SUM(AA117:AA118)</f>
        <v>4.5516993699999997</v>
      </c>
      <c r="AB119" s="220">
        <f t="shared" ref="AB119" si="3583">SUM(AB117:AB118)</f>
        <v>0</v>
      </c>
      <c r="AC119" s="220">
        <f t="shared" ref="AC119" si="3584">SUM(AC117:AC118)</f>
        <v>0</v>
      </c>
      <c r="AD119" s="220">
        <f t="shared" ref="AD119" si="3585">SUM(AD117:AD118)</f>
        <v>0</v>
      </c>
      <c r="AE119" s="220">
        <f t="shared" ref="AE119" si="3586">SUM(AE117:AE118)</f>
        <v>0</v>
      </c>
      <c r="AF119" s="220">
        <f t="shared" ref="AF119" si="3587">SUM(AF117:AF118)</f>
        <v>0</v>
      </c>
      <c r="AG119" s="220">
        <f t="shared" ref="AG119" si="3588">SUM(AG117:AG118)</f>
        <v>0</v>
      </c>
      <c r="AH119" s="220">
        <f t="shared" ref="AH119" si="3589">SUM(AH117:AH118)</f>
        <v>0</v>
      </c>
      <c r="AI119" s="220">
        <f t="shared" ref="AI119" si="3590">SUM(AI117:AI118)</f>
        <v>0</v>
      </c>
      <c r="AJ119" s="220">
        <f t="shared" ref="AJ119" si="3591">SUM(AJ117:AJ118)</f>
        <v>0</v>
      </c>
      <c r="AK119" s="219">
        <f t="shared" ref="AK119" si="3592">SUM(AK117:AK118)</f>
        <v>0</v>
      </c>
      <c r="AL119" s="220">
        <f t="shared" ref="AL119" si="3593">SUM(AL117:AL118)</f>
        <v>0</v>
      </c>
      <c r="AM119" s="220">
        <f t="shared" ref="AM119" si="3594">SUM(AM117:AM118)</f>
        <v>0</v>
      </c>
      <c r="AN119" s="220">
        <f t="shared" ref="AN119" si="3595">SUM(AN117:AN118)</f>
        <v>0</v>
      </c>
      <c r="AO119" s="220">
        <f t="shared" ref="AO119" si="3596">SUM(AO117:AO118)</f>
        <v>0</v>
      </c>
      <c r="AP119" s="220">
        <f t="shared" ref="AP119" si="3597">SUM(AP117:AP118)</f>
        <v>0</v>
      </c>
      <c r="AQ119" s="220">
        <f t="shared" ref="AQ119" si="3598">SUM(AQ117:AQ118)</f>
        <v>0</v>
      </c>
      <c r="AR119" s="220">
        <f t="shared" ref="AR119" si="3599">SUM(AR117:AR118)</f>
        <v>0</v>
      </c>
      <c r="AS119" s="220">
        <f t="shared" ref="AS119" si="3600">SUM(AS117:AS118)</f>
        <v>0</v>
      </c>
      <c r="AT119" s="220">
        <f t="shared" ref="AT119" si="3601">SUM(AT117:AT118)</f>
        <v>0</v>
      </c>
      <c r="AU119" s="220">
        <f t="shared" ref="AU119" si="3602">SUM(AU117:AU118)</f>
        <v>0</v>
      </c>
      <c r="AV119" s="220">
        <f t="shared" ref="AV119" si="3603">SUM(AV117:AV118)</f>
        <v>0</v>
      </c>
      <c r="AW119" s="220">
        <f t="shared" ref="AW119" si="3604">SUM(AW117:AW118)</f>
        <v>0</v>
      </c>
      <c r="AX119" s="220">
        <f t="shared" ref="AX119" si="3605">SUM(AX117:AX118)</f>
        <v>0</v>
      </c>
      <c r="AY119" s="220">
        <f t="shared" ref="AY119" si="3606">SUM(AY117:AY118)</f>
        <v>0</v>
      </c>
      <c r="AZ119" s="220">
        <f t="shared" ref="AZ119" si="3607">SUM(AZ117:AZ118)</f>
        <v>0</v>
      </c>
      <c r="BA119" s="220">
        <f t="shared" ref="BA119" si="3608">SUM(BA117:BA118)</f>
        <v>0</v>
      </c>
      <c r="BB119" s="220">
        <f t="shared" ref="BB119" si="3609">SUM(BB117:BB118)</f>
        <v>0</v>
      </c>
      <c r="BC119" s="220">
        <f t="shared" ref="BC119" si="3610">SUM(BC117:BC118)</f>
        <v>0</v>
      </c>
      <c r="BD119" s="220">
        <f t="shared" ref="BD119" si="3611">SUM(BD117:BD118)</f>
        <v>0</v>
      </c>
      <c r="BE119" s="220">
        <f t="shared" ref="BE119" si="3612">SUM(BE117:BE118)</f>
        <v>0</v>
      </c>
      <c r="BF119" s="220">
        <f t="shared" ref="BF119" si="3613">SUM(BF117:BF118)</f>
        <v>0</v>
      </c>
      <c r="BG119" s="220">
        <f t="shared" ref="BG119" si="3614">SUM(BG117:BG118)</f>
        <v>0</v>
      </c>
      <c r="BH119" s="220">
        <f t="shared" ref="BH119" si="3615">SUM(BH117:BH118)</f>
        <v>0</v>
      </c>
      <c r="BI119" s="220">
        <f t="shared" ref="BI119" si="3616">SUM(BI117:BI118)</f>
        <v>0</v>
      </c>
      <c r="BJ119" s="220">
        <f t="shared" ref="BJ119" si="3617">SUM(BJ117:BJ118)</f>
        <v>0</v>
      </c>
      <c r="BK119" s="220">
        <f t="shared" ref="BK119" si="3618">SUM(BK117:BK118)</f>
        <v>0</v>
      </c>
      <c r="BL119" s="220">
        <f t="shared" ref="BL119" si="3619">SUM(BL117:BL118)</f>
        <v>0</v>
      </c>
      <c r="BM119" s="220">
        <f t="shared" ref="BM119" si="3620">SUM(BM117:BM118)</f>
        <v>0</v>
      </c>
      <c r="BN119" s="220">
        <f t="shared" ref="BN119" si="3621">SUM(BN117:BN118)</f>
        <v>0</v>
      </c>
      <c r="BO119" s="221">
        <f t="shared" ref="BO119" si="3622">SUM(BO117:BO118)</f>
        <v>0</v>
      </c>
      <c r="BP119" s="219">
        <f t="shared" ref="BP119" si="3623">SUM(BP117:BP118)</f>
        <v>0</v>
      </c>
      <c r="BQ119" s="220">
        <f t="shared" ref="BQ119" si="3624">SUM(BQ117:BQ118)</f>
        <v>0</v>
      </c>
      <c r="BR119" s="220">
        <f t="shared" ref="BR119" si="3625">SUM(BR117:BR118)</f>
        <v>0</v>
      </c>
      <c r="BS119" s="220">
        <f t="shared" ref="BS119" si="3626">SUM(BS117:BS118)</f>
        <v>0</v>
      </c>
      <c r="BT119" s="220">
        <f t="shared" ref="BT119" si="3627">SUM(BT117:BT118)</f>
        <v>0</v>
      </c>
      <c r="BU119" s="220">
        <f t="shared" ref="BU119" si="3628">SUM(BU117:BU118)</f>
        <v>0</v>
      </c>
      <c r="BV119" s="220">
        <f t="shared" ref="BV119" si="3629">SUM(BV117:BV118)</f>
        <v>0</v>
      </c>
      <c r="BW119" s="220">
        <f t="shared" ref="BW119" si="3630">SUM(BW117:BW118)</f>
        <v>0</v>
      </c>
      <c r="BX119" s="220">
        <f t="shared" ref="BX119" si="3631">SUM(BX117:BX118)</f>
        <v>0</v>
      </c>
      <c r="BY119" s="220">
        <f t="shared" ref="BY119" si="3632">SUM(BY117:BY118)</f>
        <v>0</v>
      </c>
      <c r="BZ119" s="220">
        <f t="shared" ref="BZ119" si="3633">SUM(BZ117:BZ118)</f>
        <v>0</v>
      </c>
      <c r="CA119" s="220">
        <f t="shared" ref="CA119" si="3634">SUM(CA117:CA118)</f>
        <v>0</v>
      </c>
      <c r="CB119" s="220">
        <f t="shared" ref="CB119" si="3635">SUM(CB117:CB118)</f>
        <v>0</v>
      </c>
      <c r="CC119" s="220">
        <f t="shared" ref="CC119" si="3636">SUM(CC117:CC118)</f>
        <v>0</v>
      </c>
      <c r="CD119" s="220">
        <f t="shared" ref="CD119" si="3637">SUM(CD117:CD118)</f>
        <v>0</v>
      </c>
      <c r="CE119" s="220">
        <f t="shared" ref="CE119" si="3638">SUM(CE117:CE118)</f>
        <v>0</v>
      </c>
      <c r="CF119" s="220">
        <f t="shared" ref="CF119" si="3639">SUM(CF117:CF118)</f>
        <v>0</v>
      </c>
      <c r="CG119" s="220">
        <f t="shared" ref="CG119" si="3640">SUM(CG117:CG118)</f>
        <v>0</v>
      </c>
      <c r="CH119" s="220">
        <f t="shared" ref="CH119" si="3641">SUM(CH117:CH118)</f>
        <v>0</v>
      </c>
      <c r="CI119" s="220">
        <f t="shared" ref="CI119" si="3642">SUM(CI117:CI118)</f>
        <v>0</v>
      </c>
      <c r="CJ119" s="220">
        <f t="shared" ref="CJ119" si="3643">SUM(CJ117:CJ118)</f>
        <v>0</v>
      </c>
      <c r="CK119" s="220">
        <f t="shared" ref="CK119" si="3644">SUM(CK117:CK118)</f>
        <v>0</v>
      </c>
      <c r="CL119" s="220">
        <f t="shared" ref="CL119" si="3645">SUM(CL117:CL118)</f>
        <v>0</v>
      </c>
      <c r="CM119" s="220">
        <f t="shared" ref="CM119" si="3646">SUM(CM117:CM118)</f>
        <v>0</v>
      </c>
      <c r="CN119" s="220">
        <f t="shared" ref="CN119" si="3647">SUM(CN117:CN118)</f>
        <v>0</v>
      </c>
      <c r="CO119" s="220">
        <f t="shared" ref="CO119" si="3648">SUM(CO117:CO118)</f>
        <v>0</v>
      </c>
      <c r="CP119" s="220">
        <f t="shared" ref="CP119" si="3649">SUM(CP117:CP118)</f>
        <v>0</v>
      </c>
      <c r="CQ119" s="220">
        <f t="shared" ref="CQ119" si="3650">SUM(CQ117:CQ118)</f>
        <v>0</v>
      </c>
      <c r="CR119" s="220">
        <f t="shared" ref="CR119" si="3651">SUM(CR117:CR118)</f>
        <v>0</v>
      </c>
      <c r="CS119" s="220">
        <f t="shared" ref="CS119" si="3652">SUM(CS117:CS118)</f>
        <v>0</v>
      </c>
      <c r="CT119" s="221">
        <f t="shared" ref="CT119" si="3653">SUM(CT117:CT118)</f>
        <v>0</v>
      </c>
      <c r="CU119" s="226"/>
      <c r="CV119" s="219">
        <f t="shared" ref="CV119" si="3654">SUM(CV117:CV118)</f>
        <v>224.17109844000001</v>
      </c>
      <c r="CW119" s="220">
        <f t="shared" ref="CW119" si="3655">SUM(CW117:CW118)</f>
        <v>0</v>
      </c>
      <c r="CX119" s="220">
        <f t="shared" ref="CX119" si="3656">SUM(CX117:CX118)</f>
        <v>0</v>
      </c>
      <c r="CY119" s="220">
        <f t="shared" ref="CY119" si="3657">SUM(CY117:CY118)</f>
        <v>224.17109844000001</v>
      </c>
      <c r="CZ119" s="222">
        <f t="shared" ref="CZ119" si="3658">SUM(CZ117:CZ118)</f>
        <v>224.17109844000001</v>
      </c>
    </row>
    <row r="120" spans="1:104" ht="15" customHeight="1" x14ac:dyDescent="0.25">
      <c r="A120" s="58" t="s">
        <v>448</v>
      </c>
      <c r="B120" s="53" t="s">
        <v>343</v>
      </c>
      <c r="C120" s="250"/>
      <c r="D120" s="245" t="s">
        <v>343</v>
      </c>
      <c r="E120" s="85" t="s">
        <v>132</v>
      </c>
      <c r="F120" s="55">
        <f>SUMIFS('CWO Bulan Ini'!$DA:$DA,'CWO Bulan Ini'!$DJ:$DJ,'Area-Cabang'!$B120,'CWO Bulan Ini'!$DH:$DH,'Area-Cabang'!$E120,'CWO Bulan Ini'!$CZ:$CZ,'Area-Cabang'!F$41)</f>
        <v>0</v>
      </c>
      <c r="G120" s="56">
        <f>SUMIFS('CWO Bulan Ini'!$DA:$DA,'CWO Bulan Ini'!$DJ:$DJ,'Area-Cabang'!$B120,'CWO Bulan Ini'!$DH:$DH,'Area-Cabang'!$E120,'CWO Bulan Ini'!$CZ:$CZ,'Area-Cabang'!G$41)</f>
        <v>0</v>
      </c>
      <c r="H120" s="56">
        <f>SUMIFS('CWO Bulan Ini'!$DA:$DA,'CWO Bulan Ini'!$DJ:$DJ,'Area-Cabang'!$B120,'CWO Bulan Ini'!$DH:$DH,'Area-Cabang'!$E120,'CWO Bulan Ini'!$CZ:$CZ,'Area-Cabang'!H$41)</f>
        <v>0</v>
      </c>
      <c r="I120" s="56">
        <f>SUMIFS('CWO Bulan Ini'!$DA:$DA,'CWO Bulan Ini'!$DJ:$DJ,'Area-Cabang'!$B120,'CWO Bulan Ini'!$DH:$DH,'Area-Cabang'!$E120,'CWO Bulan Ini'!$CZ:$CZ,'Area-Cabang'!I$41)</f>
        <v>36.055194929999999</v>
      </c>
      <c r="J120" s="56">
        <f>SUMIFS('CWO Bulan Ini'!$DA:$DA,'CWO Bulan Ini'!$DJ:$DJ,'Area-Cabang'!$B120,'CWO Bulan Ini'!$DH:$DH,'Area-Cabang'!$E120,'CWO Bulan Ini'!$CZ:$CZ,'Area-Cabang'!J$41)</f>
        <v>0</v>
      </c>
      <c r="K120" s="56">
        <f>SUMIFS('CWO Bulan Ini'!$DA:$DA,'CWO Bulan Ini'!$DJ:$DJ,'Area-Cabang'!$B120,'CWO Bulan Ini'!$DH:$DH,'Area-Cabang'!$E120,'CWO Bulan Ini'!$CZ:$CZ,'Area-Cabang'!K$41)</f>
        <v>0</v>
      </c>
      <c r="L120" s="56">
        <f>SUMIFS('CWO Bulan Ini'!$DA:$DA,'CWO Bulan Ini'!$DJ:$DJ,'Area-Cabang'!$B120,'CWO Bulan Ini'!$DH:$DH,'Area-Cabang'!$E120,'CWO Bulan Ini'!$CZ:$CZ,'Area-Cabang'!L$41)</f>
        <v>0</v>
      </c>
      <c r="M120" s="56">
        <f>SUMIFS('CWO Bulan Ini'!$DA:$DA,'CWO Bulan Ini'!$DJ:$DJ,'Area-Cabang'!$B120,'CWO Bulan Ini'!$DH:$DH,'Area-Cabang'!$E120,'CWO Bulan Ini'!$CZ:$CZ,'Area-Cabang'!M$41)</f>
        <v>0</v>
      </c>
      <c r="N120" s="56">
        <f>SUMIFS('CWO Bulan Ini'!$DA:$DA,'CWO Bulan Ini'!$DJ:$DJ,'Area-Cabang'!$B120,'CWO Bulan Ini'!$DH:$DH,'Area-Cabang'!$E120,'CWO Bulan Ini'!$CZ:$CZ,'Area-Cabang'!N$41)</f>
        <v>0</v>
      </c>
      <c r="O120" s="56">
        <f>SUMIFS('CWO Bulan Ini'!$DA:$DA,'CWO Bulan Ini'!$DJ:$DJ,'Area-Cabang'!$B120,'CWO Bulan Ini'!$DH:$DH,'Area-Cabang'!$E120,'CWO Bulan Ini'!$CZ:$CZ,'Area-Cabang'!O$41)</f>
        <v>0</v>
      </c>
      <c r="P120" s="56">
        <f>SUMIFS('CWO Bulan Ini'!$DA:$DA,'CWO Bulan Ini'!$DJ:$DJ,'Area-Cabang'!$B120,'CWO Bulan Ini'!$DH:$DH,'Area-Cabang'!$E120,'CWO Bulan Ini'!$CZ:$CZ,'Area-Cabang'!P$41)</f>
        <v>0</v>
      </c>
      <c r="Q120" s="56">
        <f>SUMIFS('CWO Bulan Ini'!$DA:$DA,'CWO Bulan Ini'!$DJ:$DJ,'Area-Cabang'!$B120,'CWO Bulan Ini'!$DH:$DH,'Area-Cabang'!$E120,'CWO Bulan Ini'!$CZ:$CZ,'Area-Cabang'!Q$41)</f>
        <v>0</v>
      </c>
      <c r="R120" s="56">
        <f>SUMIFS('CWO Bulan Ini'!$DA:$DA,'CWO Bulan Ini'!$DJ:$DJ,'Area-Cabang'!$B120,'CWO Bulan Ini'!$DH:$DH,'Area-Cabang'!$E120,'CWO Bulan Ini'!$CZ:$CZ,'Area-Cabang'!R$41)</f>
        <v>0</v>
      </c>
      <c r="S120" s="56">
        <f>SUMIFS('CWO Bulan Ini'!$DA:$DA,'CWO Bulan Ini'!$DJ:$DJ,'Area-Cabang'!$B120,'CWO Bulan Ini'!$DH:$DH,'Area-Cabang'!$E120,'CWO Bulan Ini'!$CZ:$CZ,'Area-Cabang'!S$41)</f>
        <v>0</v>
      </c>
      <c r="T120" s="56">
        <f>SUMIFS('CWO Bulan Ini'!$DA:$DA,'CWO Bulan Ini'!$DJ:$DJ,'Area-Cabang'!$B120,'CWO Bulan Ini'!$DH:$DH,'Area-Cabang'!$E120,'CWO Bulan Ini'!$CZ:$CZ,'Area-Cabang'!T$41)</f>
        <v>0</v>
      </c>
      <c r="U120" s="56">
        <f>SUMIFS('CWO Bulan Ini'!$DA:$DA,'CWO Bulan Ini'!$DJ:$DJ,'Area-Cabang'!$B120,'CWO Bulan Ini'!$DH:$DH,'Area-Cabang'!$E120,'CWO Bulan Ini'!$CZ:$CZ,'Area-Cabang'!U$41)</f>
        <v>0</v>
      </c>
      <c r="V120" s="56">
        <f>SUMIFS('CWO Bulan Ini'!$DA:$DA,'CWO Bulan Ini'!$DJ:$DJ,'Area-Cabang'!$B120,'CWO Bulan Ini'!$DH:$DH,'Area-Cabang'!$E120,'CWO Bulan Ini'!$CZ:$CZ,'Area-Cabang'!V$41)</f>
        <v>0</v>
      </c>
      <c r="W120" s="56">
        <f>SUMIFS('CWO Bulan Ini'!$DA:$DA,'CWO Bulan Ini'!$DJ:$DJ,'Area-Cabang'!$B120,'CWO Bulan Ini'!$DH:$DH,'Area-Cabang'!$E120,'CWO Bulan Ini'!$CZ:$CZ,'Area-Cabang'!W$41)</f>
        <v>0</v>
      </c>
      <c r="X120" s="56">
        <f>SUMIFS('CWO Bulan Ini'!$DA:$DA,'CWO Bulan Ini'!$DJ:$DJ,'Area-Cabang'!$B120,'CWO Bulan Ini'!$DH:$DH,'Area-Cabang'!$E120,'CWO Bulan Ini'!$CZ:$CZ,'Area-Cabang'!X$41)</f>
        <v>0</v>
      </c>
      <c r="Y120" s="56">
        <f>SUMIFS('CWO Bulan Ini'!$DA:$DA,'CWO Bulan Ini'!$DJ:$DJ,'Area-Cabang'!$B120,'CWO Bulan Ini'!$DH:$DH,'Area-Cabang'!$E120,'CWO Bulan Ini'!$CZ:$CZ,'Area-Cabang'!Y$41)</f>
        <v>0</v>
      </c>
      <c r="Z120" s="56">
        <f>SUMIFS('CWO Bulan Ini'!$DA:$DA,'CWO Bulan Ini'!$DJ:$DJ,'Area-Cabang'!$B120,'CWO Bulan Ini'!$DH:$DH,'Area-Cabang'!$E120,'CWO Bulan Ini'!$CZ:$CZ,'Area-Cabang'!Z$41)</f>
        <v>0</v>
      </c>
      <c r="AA120" s="56">
        <f>SUMIFS('CWO Bulan Ini'!$DA:$DA,'CWO Bulan Ini'!$DJ:$DJ,'Area-Cabang'!$B120,'CWO Bulan Ini'!$DH:$DH,'Area-Cabang'!$E120,'CWO Bulan Ini'!$CZ:$CZ,'Area-Cabang'!AA$41)</f>
        <v>0</v>
      </c>
      <c r="AB120" s="56">
        <f>SUMIFS('CWO Bulan Ini'!$DA:$DA,'CWO Bulan Ini'!$DJ:$DJ,'Area-Cabang'!$B120,'CWO Bulan Ini'!$DH:$DH,'Area-Cabang'!$E120,'CWO Bulan Ini'!$CZ:$CZ,'Area-Cabang'!AB$41)</f>
        <v>0</v>
      </c>
      <c r="AC120" s="56">
        <f>SUMIFS('CWO Bulan Ini'!$DA:$DA,'CWO Bulan Ini'!$DJ:$DJ,'Area-Cabang'!$B120,'CWO Bulan Ini'!$DH:$DH,'Area-Cabang'!$E120,'CWO Bulan Ini'!$CZ:$CZ,'Area-Cabang'!AC$41)</f>
        <v>0</v>
      </c>
      <c r="AD120" s="56">
        <f>SUMIFS('CWO Bulan Ini'!$DA:$DA,'CWO Bulan Ini'!$DJ:$DJ,'Area-Cabang'!$B120,'CWO Bulan Ini'!$DH:$DH,'Area-Cabang'!$E120,'CWO Bulan Ini'!$CZ:$CZ,'Area-Cabang'!AD$41)</f>
        <v>0</v>
      </c>
      <c r="AE120" s="56">
        <f>SUMIFS('CWO Bulan Ini'!$DA:$DA,'CWO Bulan Ini'!$DJ:$DJ,'Area-Cabang'!$B120,'CWO Bulan Ini'!$DH:$DH,'Area-Cabang'!$E120,'CWO Bulan Ini'!$CZ:$CZ,'Area-Cabang'!AE$41)</f>
        <v>0</v>
      </c>
      <c r="AF120" s="56">
        <f>SUMIFS('CWO Bulan Ini'!$DA:$DA,'CWO Bulan Ini'!$DJ:$DJ,'Area-Cabang'!$B120,'CWO Bulan Ini'!$DH:$DH,'Area-Cabang'!$E120,'CWO Bulan Ini'!$CZ:$CZ,'Area-Cabang'!AF$41)</f>
        <v>0</v>
      </c>
      <c r="AG120" s="56">
        <f>SUMIFS('CWO Bulan Ini'!$DA:$DA,'CWO Bulan Ini'!$DJ:$DJ,'Area-Cabang'!$B120,'CWO Bulan Ini'!$DH:$DH,'Area-Cabang'!$E120,'CWO Bulan Ini'!$CZ:$CZ,'Area-Cabang'!AG$41)</f>
        <v>0</v>
      </c>
      <c r="AH120" s="56">
        <f>SUMIFS('CWO Bulan Ini'!$DA:$DA,'CWO Bulan Ini'!$DJ:$DJ,'Area-Cabang'!$B120,'CWO Bulan Ini'!$DH:$DH,'Area-Cabang'!$E120,'CWO Bulan Ini'!$CZ:$CZ,'Area-Cabang'!AH$41)</f>
        <v>0</v>
      </c>
      <c r="AI120" s="56">
        <f>SUMIFS('CWO Bulan Ini'!$DA:$DA,'CWO Bulan Ini'!$DJ:$DJ,'Area-Cabang'!$B120,'CWO Bulan Ini'!$DH:$DH,'Area-Cabang'!$E120,'CWO Bulan Ini'!$CZ:$CZ,'Area-Cabang'!AI$41)</f>
        <v>0</v>
      </c>
      <c r="AJ120" s="56">
        <f>SUMIFS('CWO Bulan Ini'!$DA:$DA,'CWO Bulan Ini'!$DJ:$DJ,'Area-Cabang'!$B120,'CWO Bulan Ini'!$DH:$DH,'Area-Cabang'!$E120,'CWO Bulan Ini'!$CZ:$CZ,'Area-Cabang'!AJ$41)</f>
        <v>0</v>
      </c>
      <c r="AK120" s="55">
        <f>SUMIFS('CWO Bulan Ini'!$DD:$DD,'CWO Bulan Ini'!$DJ:$DJ,'Area-Cabang'!$B120,'CWO Bulan Ini'!$DH:$DH,'Area-Cabang'!$E120,'CWO Bulan Ini'!$CZ:$CZ,'Area-Cabang'!AK$41)</f>
        <v>0</v>
      </c>
      <c r="AL120" s="56">
        <f>SUMIFS('CWO Bulan Ini'!$DD:$DD,'CWO Bulan Ini'!$DJ:$DJ,'Area-Cabang'!$B120,'CWO Bulan Ini'!$DH:$DH,'Area-Cabang'!$E120,'CWO Bulan Ini'!$CZ:$CZ,'Area-Cabang'!AL$41)</f>
        <v>0</v>
      </c>
      <c r="AM120" s="56">
        <f>SUMIFS('CWO Bulan Ini'!$DD:$DD,'CWO Bulan Ini'!$DJ:$DJ,'Area-Cabang'!$B120,'CWO Bulan Ini'!$DH:$DH,'Area-Cabang'!$E120,'CWO Bulan Ini'!$CZ:$CZ,'Area-Cabang'!AM$41)</f>
        <v>0</v>
      </c>
      <c r="AN120" s="56">
        <f>SUMIFS('CWO Bulan Ini'!$DD:$DD,'CWO Bulan Ini'!$DJ:$DJ,'Area-Cabang'!$B120,'CWO Bulan Ini'!$DH:$DH,'Area-Cabang'!$E120,'CWO Bulan Ini'!$CZ:$CZ,'Area-Cabang'!AN$41)</f>
        <v>36.055194929999999</v>
      </c>
      <c r="AO120" s="56">
        <f>SUMIFS('CWO Bulan Ini'!$DD:$DD,'CWO Bulan Ini'!$DJ:$DJ,'Area-Cabang'!$B120,'CWO Bulan Ini'!$DH:$DH,'Area-Cabang'!$E120,'CWO Bulan Ini'!$CZ:$CZ,'Area-Cabang'!AO$41)</f>
        <v>0</v>
      </c>
      <c r="AP120" s="56">
        <f>SUMIFS('CWO Bulan Ini'!$DD:$DD,'CWO Bulan Ini'!$DJ:$DJ,'Area-Cabang'!$B120,'CWO Bulan Ini'!$DH:$DH,'Area-Cabang'!$E120,'CWO Bulan Ini'!$CZ:$CZ,'Area-Cabang'!AP$41)</f>
        <v>0</v>
      </c>
      <c r="AQ120" s="56">
        <f>SUMIFS('CWO Bulan Ini'!$DD:$DD,'CWO Bulan Ini'!$DJ:$DJ,'Area-Cabang'!$B120,'CWO Bulan Ini'!$DH:$DH,'Area-Cabang'!$E120,'CWO Bulan Ini'!$CZ:$CZ,'Area-Cabang'!AQ$41)</f>
        <v>0</v>
      </c>
      <c r="AR120" s="56">
        <f>SUMIFS('CWO Bulan Ini'!$DD:$DD,'CWO Bulan Ini'!$DJ:$DJ,'Area-Cabang'!$B120,'CWO Bulan Ini'!$DH:$DH,'Area-Cabang'!$E120,'CWO Bulan Ini'!$CZ:$CZ,'Area-Cabang'!AR$41)</f>
        <v>0</v>
      </c>
      <c r="AS120" s="56">
        <f>SUMIFS('CWO Bulan Ini'!$DD:$DD,'CWO Bulan Ini'!$DJ:$DJ,'Area-Cabang'!$B120,'CWO Bulan Ini'!$DH:$DH,'Area-Cabang'!$E120,'CWO Bulan Ini'!$CZ:$CZ,'Area-Cabang'!AS$41)</f>
        <v>0</v>
      </c>
      <c r="AT120" s="56">
        <f>SUMIFS('CWO Bulan Ini'!$DD:$DD,'CWO Bulan Ini'!$DJ:$DJ,'Area-Cabang'!$B120,'CWO Bulan Ini'!$DH:$DH,'Area-Cabang'!$E120,'CWO Bulan Ini'!$CZ:$CZ,'Area-Cabang'!AT$41)</f>
        <v>0</v>
      </c>
      <c r="AU120" s="56">
        <f>SUMIFS('CWO Bulan Ini'!$DD:$DD,'CWO Bulan Ini'!$DJ:$DJ,'Area-Cabang'!$B120,'CWO Bulan Ini'!$DH:$DH,'Area-Cabang'!$E120,'CWO Bulan Ini'!$CZ:$CZ,'Area-Cabang'!AU$41)</f>
        <v>0</v>
      </c>
      <c r="AV120" s="56">
        <f>SUMIFS('CWO Bulan Ini'!$DD:$DD,'CWO Bulan Ini'!$DJ:$DJ,'Area-Cabang'!$B120,'CWO Bulan Ini'!$DH:$DH,'Area-Cabang'!$E120,'CWO Bulan Ini'!$CZ:$CZ,'Area-Cabang'!AV$41)</f>
        <v>0</v>
      </c>
      <c r="AW120" s="56">
        <f>SUMIFS('CWO Bulan Ini'!$DD:$DD,'CWO Bulan Ini'!$DJ:$DJ,'Area-Cabang'!$B120,'CWO Bulan Ini'!$DH:$DH,'Area-Cabang'!$E120,'CWO Bulan Ini'!$CZ:$CZ,'Area-Cabang'!AW$41)</f>
        <v>0</v>
      </c>
      <c r="AX120" s="56">
        <f>SUMIFS('CWO Bulan Ini'!$DD:$DD,'CWO Bulan Ini'!$DJ:$DJ,'Area-Cabang'!$B120,'CWO Bulan Ini'!$DH:$DH,'Area-Cabang'!$E120,'CWO Bulan Ini'!$CZ:$CZ,'Area-Cabang'!AX$41)</f>
        <v>0</v>
      </c>
      <c r="AY120" s="56">
        <f>SUMIFS('CWO Bulan Ini'!$DD:$DD,'CWO Bulan Ini'!$DJ:$DJ,'Area-Cabang'!$B120,'CWO Bulan Ini'!$DH:$DH,'Area-Cabang'!$E120,'CWO Bulan Ini'!$CZ:$CZ,'Area-Cabang'!AY$41)</f>
        <v>0</v>
      </c>
      <c r="AZ120" s="56">
        <f>SUMIFS('CWO Bulan Ini'!$DD:$DD,'CWO Bulan Ini'!$DJ:$DJ,'Area-Cabang'!$B120,'CWO Bulan Ini'!$DH:$DH,'Area-Cabang'!$E120,'CWO Bulan Ini'!$CZ:$CZ,'Area-Cabang'!AZ$41)</f>
        <v>0</v>
      </c>
      <c r="BA120" s="56">
        <f>SUMIFS('CWO Bulan Ini'!$DD:$DD,'CWO Bulan Ini'!$DJ:$DJ,'Area-Cabang'!$B120,'CWO Bulan Ini'!$DH:$DH,'Area-Cabang'!$E120,'CWO Bulan Ini'!$CZ:$CZ,'Area-Cabang'!BA$41)</f>
        <v>0</v>
      </c>
      <c r="BB120" s="56">
        <f>SUMIFS('CWO Bulan Ini'!$DD:$DD,'CWO Bulan Ini'!$DJ:$DJ,'Area-Cabang'!$B120,'CWO Bulan Ini'!$DH:$DH,'Area-Cabang'!$E120,'CWO Bulan Ini'!$CZ:$CZ,'Area-Cabang'!BB$41)</f>
        <v>0</v>
      </c>
      <c r="BC120" s="56">
        <f>SUMIFS('CWO Bulan Ini'!$DD:$DD,'CWO Bulan Ini'!$DJ:$DJ,'Area-Cabang'!$B120,'CWO Bulan Ini'!$DH:$DH,'Area-Cabang'!$E120,'CWO Bulan Ini'!$CZ:$CZ,'Area-Cabang'!BC$41)</f>
        <v>0</v>
      </c>
      <c r="BD120" s="56">
        <f>SUMIFS('CWO Bulan Ini'!$DD:$DD,'CWO Bulan Ini'!$DJ:$DJ,'Area-Cabang'!$B120,'CWO Bulan Ini'!$DH:$DH,'Area-Cabang'!$E120,'CWO Bulan Ini'!$CZ:$CZ,'Area-Cabang'!BD$41)</f>
        <v>0</v>
      </c>
      <c r="BE120" s="56">
        <f>SUMIFS('CWO Bulan Ini'!$DD:$DD,'CWO Bulan Ini'!$DJ:$DJ,'Area-Cabang'!$B120,'CWO Bulan Ini'!$DH:$DH,'Area-Cabang'!$E120,'CWO Bulan Ini'!$CZ:$CZ,'Area-Cabang'!BE$41)</f>
        <v>0</v>
      </c>
      <c r="BF120" s="56">
        <f>SUMIFS('CWO Bulan Ini'!$DD:$DD,'CWO Bulan Ini'!$DJ:$DJ,'Area-Cabang'!$B120,'CWO Bulan Ini'!$DH:$DH,'Area-Cabang'!$E120,'CWO Bulan Ini'!$CZ:$CZ,'Area-Cabang'!BF$41)</f>
        <v>0</v>
      </c>
      <c r="BG120" s="56">
        <f>SUMIFS('CWO Bulan Ini'!$DD:$DD,'CWO Bulan Ini'!$DJ:$DJ,'Area-Cabang'!$B120,'CWO Bulan Ini'!$DH:$DH,'Area-Cabang'!$E120,'CWO Bulan Ini'!$CZ:$CZ,'Area-Cabang'!BG$41)</f>
        <v>0</v>
      </c>
      <c r="BH120" s="56">
        <f>SUMIFS('CWO Bulan Ini'!$DD:$DD,'CWO Bulan Ini'!$DJ:$DJ,'Area-Cabang'!$B120,'CWO Bulan Ini'!$DH:$DH,'Area-Cabang'!$E120,'CWO Bulan Ini'!$CZ:$CZ,'Area-Cabang'!BH$41)</f>
        <v>0</v>
      </c>
      <c r="BI120" s="56">
        <f>SUMIFS('CWO Bulan Ini'!$DD:$DD,'CWO Bulan Ini'!$DJ:$DJ,'Area-Cabang'!$B120,'CWO Bulan Ini'!$DH:$DH,'Area-Cabang'!$E120,'CWO Bulan Ini'!$CZ:$CZ,'Area-Cabang'!BI$41)</f>
        <v>0</v>
      </c>
      <c r="BJ120" s="56">
        <f>SUMIFS('CWO Bulan Ini'!$DD:$DD,'CWO Bulan Ini'!$DJ:$DJ,'Area-Cabang'!$B120,'CWO Bulan Ini'!$DH:$DH,'Area-Cabang'!$E120,'CWO Bulan Ini'!$CZ:$CZ,'Area-Cabang'!BJ$41)</f>
        <v>0</v>
      </c>
      <c r="BK120" s="56">
        <f>SUMIFS('CWO Bulan Ini'!$DD:$DD,'CWO Bulan Ini'!$DJ:$DJ,'Area-Cabang'!$B120,'CWO Bulan Ini'!$DH:$DH,'Area-Cabang'!$E120,'CWO Bulan Ini'!$CZ:$CZ,'Area-Cabang'!BK$41)</f>
        <v>0</v>
      </c>
      <c r="BL120" s="56">
        <f>SUMIFS('CWO Bulan Ini'!$DD:$DD,'CWO Bulan Ini'!$DJ:$DJ,'Area-Cabang'!$B120,'CWO Bulan Ini'!$DH:$DH,'Area-Cabang'!$E120,'CWO Bulan Ini'!$CZ:$CZ,'Area-Cabang'!BL$41)</f>
        <v>0</v>
      </c>
      <c r="BM120" s="56">
        <f>SUMIFS('CWO Bulan Ini'!$DD:$DD,'CWO Bulan Ini'!$DJ:$DJ,'Area-Cabang'!$B120,'CWO Bulan Ini'!$DH:$DH,'Area-Cabang'!$E120,'CWO Bulan Ini'!$CZ:$CZ,'Area-Cabang'!BM$41)</f>
        <v>0</v>
      </c>
      <c r="BN120" s="56">
        <f>SUMIFS('CWO Bulan Ini'!$DD:$DD,'CWO Bulan Ini'!$DJ:$DJ,'Area-Cabang'!$B120,'CWO Bulan Ini'!$DH:$DH,'Area-Cabang'!$E120,'CWO Bulan Ini'!$CZ:$CZ,'Area-Cabang'!BN$41)</f>
        <v>0</v>
      </c>
      <c r="BO120" s="57">
        <f>SUMIFS('CWO Bulan Ini'!$DD:$DD,'CWO Bulan Ini'!$DJ:$DJ,'Area-Cabang'!$B120,'CWO Bulan Ini'!$DH:$DH,'Area-Cabang'!$E120,'CWO Bulan Ini'!$CZ:$CZ,'Area-Cabang'!BO$41)</f>
        <v>0</v>
      </c>
      <c r="BP120" s="55">
        <f>SUMIFS('CWO Bulan Ini'!$DC:$DC,'CWO Bulan Ini'!$DJ:$DJ,'Area-Cabang'!$B120,'CWO Bulan Ini'!$DH:$DH,'Area-Cabang'!$E120,'CWO Bulan Ini'!$CZ:$CZ,'Area-Cabang'!BP$41)</f>
        <v>0</v>
      </c>
      <c r="BQ120" s="56">
        <f>SUMIFS('CWO Bulan Ini'!$DC:$DC,'CWO Bulan Ini'!$DJ:$DJ,'Area-Cabang'!$B120,'CWO Bulan Ini'!$DH:$DH,'Area-Cabang'!$E120,'CWO Bulan Ini'!$CZ:$CZ,'Area-Cabang'!BQ$41)</f>
        <v>0</v>
      </c>
      <c r="BR120" s="56">
        <f>SUMIFS('CWO Bulan Ini'!$DC:$DC,'CWO Bulan Ini'!$DJ:$DJ,'Area-Cabang'!$B120,'CWO Bulan Ini'!$DH:$DH,'Area-Cabang'!$E120,'CWO Bulan Ini'!$CZ:$CZ,'Area-Cabang'!BR$41)</f>
        <v>0</v>
      </c>
      <c r="BS120" s="56">
        <f>SUMIFS('CWO Bulan Ini'!$DC:$DC,'CWO Bulan Ini'!$DJ:$DJ,'Area-Cabang'!$B120,'CWO Bulan Ini'!$DH:$DH,'Area-Cabang'!$E120,'CWO Bulan Ini'!$CZ:$CZ,'Area-Cabang'!BS$41)</f>
        <v>0</v>
      </c>
      <c r="BT120" s="56">
        <f>SUMIFS('CWO Bulan Ini'!$DC:$DC,'CWO Bulan Ini'!$DJ:$DJ,'Area-Cabang'!$B120,'CWO Bulan Ini'!$DH:$DH,'Area-Cabang'!$E120,'CWO Bulan Ini'!$CZ:$CZ,'Area-Cabang'!BT$41)</f>
        <v>0</v>
      </c>
      <c r="BU120" s="56">
        <f>SUMIFS('CWO Bulan Ini'!$DC:$DC,'CWO Bulan Ini'!$DJ:$DJ,'Area-Cabang'!$B120,'CWO Bulan Ini'!$DH:$DH,'Area-Cabang'!$E120,'CWO Bulan Ini'!$CZ:$CZ,'Area-Cabang'!BU$41)</f>
        <v>0</v>
      </c>
      <c r="BV120" s="56">
        <f>SUMIFS('CWO Bulan Ini'!$DC:$DC,'CWO Bulan Ini'!$DJ:$DJ,'Area-Cabang'!$B120,'CWO Bulan Ini'!$DH:$DH,'Area-Cabang'!$E120,'CWO Bulan Ini'!$CZ:$CZ,'Area-Cabang'!BV$41)</f>
        <v>0</v>
      </c>
      <c r="BW120" s="56">
        <f>SUMIFS('CWO Bulan Ini'!$DC:$DC,'CWO Bulan Ini'!$DJ:$DJ,'Area-Cabang'!$B120,'CWO Bulan Ini'!$DH:$DH,'Area-Cabang'!$E120,'CWO Bulan Ini'!$CZ:$CZ,'Area-Cabang'!BW$41)</f>
        <v>0</v>
      </c>
      <c r="BX120" s="56">
        <f>SUMIFS('CWO Bulan Ini'!$DC:$DC,'CWO Bulan Ini'!$DJ:$DJ,'Area-Cabang'!$B120,'CWO Bulan Ini'!$DH:$DH,'Area-Cabang'!$E120,'CWO Bulan Ini'!$CZ:$CZ,'Area-Cabang'!BX$41)</f>
        <v>0</v>
      </c>
      <c r="BY120" s="56">
        <f>SUMIFS('CWO Bulan Ini'!$DC:$DC,'CWO Bulan Ini'!$DJ:$DJ,'Area-Cabang'!$B120,'CWO Bulan Ini'!$DH:$DH,'Area-Cabang'!$E120,'CWO Bulan Ini'!$CZ:$CZ,'Area-Cabang'!BY$41)</f>
        <v>0</v>
      </c>
      <c r="BZ120" s="56">
        <f>SUMIFS('CWO Bulan Ini'!$DC:$DC,'CWO Bulan Ini'!$DJ:$DJ,'Area-Cabang'!$B120,'CWO Bulan Ini'!$DH:$DH,'Area-Cabang'!$E120,'CWO Bulan Ini'!$CZ:$CZ,'Area-Cabang'!BZ$41)</f>
        <v>0</v>
      </c>
      <c r="CA120" s="56">
        <f>SUMIFS('CWO Bulan Ini'!$DC:$DC,'CWO Bulan Ini'!$DJ:$DJ,'Area-Cabang'!$B120,'CWO Bulan Ini'!$DH:$DH,'Area-Cabang'!$E120,'CWO Bulan Ini'!$CZ:$CZ,'Area-Cabang'!CA$41)</f>
        <v>0</v>
      </c>
      <c r="CB120" s="56">
        <f>SUMIFS('CWO Bulan Ini'!$DC:$DC,'CWO Bulan Ini'!$DJ:$DJ,'Area-Cabang'!$B120,'CWO Bulan Ini'!$DH:$DH,'Area-Cabang'!$E120,'CWO Bulan Ini'!$CZ:$CZ,'Area-Cabang'!CB$41)</f>
        <v>0</v>
      </c>
      <c r="CC120" s="56">
        <f>SUMIFS('CWO Bulan Ini'!$DC:$DC,'CWO Bulan Ini'!$DJ:$DJ,'Area-Cabang'!$B120,'CWO Bulan Ini'!$DH:$DH,'Area-Cabang'!$E120,'CWO Bulan Ini'!$CZ:$CZ,'Area-Cabang'!CC$41)</f>
        <v>0</v>
      </c>
      <c r="CD120" s="56">
        <f>SUMIFS('CWO Bulan Ini'!$DC:$DC,'CWO Bulan Ini'!$DJ:$DJ,'Area-Cabang'!$B120,'CWO Bulan Ini'!$DH:$DH,'Area-Cabang'!$E120,'CWO Bulan Ini'!$CZ:$CZ,'Area-Cabang'!CD$41)</f>
        <v>0</v>
      </c>
      <c r="CE120" s="56">
        <f>SUMIFS('CWO Bulan Ini'!$DC:$DC,'CWO Bulan Ini'!$DJ:$DJ,'Area-Cabang'!$B120,'CWO Bulan Ini'!$DH:$DH,'Area-Cabang'!$E120,'CWO Bulan Ini'!$CZ:$CZ,'Area-Cabang'!CE$41)</f>
        <v>0</v>
      </c>
      <c r="CF120" s="56">
        <f>SUMIFS('CWO Bulan Ini'!$DC:$DC,'CWO Bulan Ini'!$DJ:$DJ,'Area-Cabang'!$B120,'CWO Bulan Ini'!$DH:$DH,'Area-Cabang'!$E120,'CWO Bulan Ini'!$CZ:$CZ,'Area-Cabang'!CF$41)</f>
        <v>0</v>
      </c>
      <c r="CG120" s="56">
        <f>SUMIFS('CWO Bulan Ini'!$DC:$DC,'CWO Bulan Ini'!$DJ:$DJ,'Area-Cabang'!$B120,'CWO Bulan Ini'!$DH:$DH,'Area-Cabang'!$E120,'CWO Bulan Ini'!$CZ:$CZ,'Area-Cabang'!CG$41)</f>
        <v>0</v>
      </c>
      <c r="CH120" s="56">
        <f>SUMIFS('CWO Bulan Ini'!$DC:$DC,'CWO Bulan Ini'!$DJ:$DJ,'Area-Cabang'!$B120,'CWO Bulan Ini'!$DH:$DH,'Area-Cabang'!$E120,'CWO Bulan Ini'!$CZ:$CZ,'Area-Cabang'!CH$41)</f>
        <v>0</v>
      </c>
      <c r="CI120" s="56">
        <f>SUMIFS('CWO Bulan Ini'!$DC:$DC,'CWO Bulan Ini'!$DJ:$DJ,'Area-Cabang'!$B120,'CWO Bulan Ini'!$DH:$DH,'Area-Cabang'!$E120,'CWO Bulan Ini'!$CZ:$CZ,'Area-Cabang'!CI$41)</f>
        <v>0</v>
      </c>
      <c r="CJ120" s="56">
        <f>SUMIFS('CWO Bulan Ini'!$DC:$DC,'CWO Bulan Ini'!$DJ:$DJ,'Area-Cabang'!$B120,'CWO Bulan Ini'!$DH:$DH,'Area-Cabang'!$E120,'CWO Bulan Ini'!$CZ:$CZ,'Area-Cabang'!CJ$41)</f>
        <v>0</v>
      </c>
      <c r="CK120" s="56">
        <f>SUMIFS('CWO Bulan Ini'!$DC:$DC,'CWO Bulan Ini'!$DJ:$DJ,'Area-Cabang'!$B120,'CWO Bulan Ini'!$DH:$DH,'Area-Cabang'!$E120,'CWO Bulan Ini'!$CZ:$CZ,'Area-Cabang'!CK$41)</f>
        <v>0</v>
      </c>
      <c r="CL120" s="56">
        <f>SUMIFS('CWO Bulan Ini'!$DC:$DC,'CWO Bulan Ini'!$DJ:$DJ,'Area-Cabang'!$B120,'CWO Bulan Ini'!$DH:$DH,'Area-Cabang'!$E120,'CWO Bulan Ini'!$CZ:$CZ,'Area-Cabang'!CL$41)</f>
        <v>0</v>
      </c>
      <c r="CM120" s="56">
        <f>SUMIFS('CWO Bulan Ini'!$DC:$DC,'CWO Bulan Ini'!$DJ:$DJ,'Area-Cabang'!$B120,'CWO Bulan Ini'!$DH:$DH,'Area-Cabang'!$E120,'CWO Bulan Ini'!$CZ:$CZ,'Area-Cabang'!CM$41)</f>
        <v>0</v>
      </c>
      <c r="CN120" s="56">
        <f>SUMIFS('CWO Bulan Ini'!$DC:$DC,'CWO Bulan Ini'!$DJ:$DJ,'Area-Cabang'!$B120,'CWO Bulan Ini'!$DH:$DH,'Area-Cabang'!$E120,'CWO Bulan Ini'!$CZ:$CZ,'Area-Cabang'!CN$41)</f>
        <v>0</v>
      </c>
      <c r="CO120" s="56">
        <f>SUMIFS('CWO Bulan Ini'!$DC:$DC,'CWO Bulan Ini'!$DJ:$DJ,'Area-Cabang'!$B120,'CWO Bulan Ini'!$DH:$DH,'Area-Cabang'!$E120,'CWO Bulan Ini'!$CZ:$CZ,'Area-Cabang'!CO$41)</f>
        <v>0</v>
      </c>
      <c r="CP120" s="56">
        <f>SUMIFS('CWO Bulan Ini'!$DC:$DC,'CWO Bulan Ini'!$DJ:$DJ,'Area-Cabang'!$B120,'CWO Bulan Ini'!$DH:$DH,'Area-Cabang'!$E120,'CWO Bulan Ini'!$CZ:$CZ,'Area-Cabang'!CP$41)</f>
        <v>0</v>
      </c>
      <c r="CQ120" s="56">
        <f>SUMIFS('CWO Bulan Ini'!$DC:$DC,'CWO Bulan Ini'!$DJ:$DJ,'Area-Cabang'!$B120,'CWO Bulan Ini'!$DH:$DH,'Area-Cabang'!$E120,'CWO Bulan Ini'!$CZ:$CZ,'Area-Cabang'!CQ$41)</f>
        <v>0</v>
      </c>
      <c r="CR120" s="56">
        <f>SUMIFS('CWO Bulan Ini'!$DC:$DC,'CWO Bulan Ini'!$DJ:$DJ,'Area-Cabang'!$B120,'CWO Bulan Ini'!$DH:$DH,'Area-Cabang'!$E120,'CWO Bulan Ini'!$CZ:$CZ,'Area-Cabang'!CR$41)</f>
        <v>0</v>
      </c>
      <c r="CS120" s="56">
        <f>SUMIFS('CWO Bulan Ini'!$DC:$DC,'CWO Bulan Ini'!$DJ:$DJ,'Area-Cabang'!$B120,'CWO Bulan Ini'!$DH:$DH,'Area-Cabang'!$E120,'CWO Bulan Ini'!$CZ:$CZ,'Area-Cabang'!CS$41)</f>
        <v>0</v>
      </c>
      <c r="CT120" s="57">
        <f>SUMIFS('CWO Bulan Ini'!$DC:$DC,'CWO Bulan Ini'!$DJ:$DJ,'Area-Cabang'!$B120,'CWO Bulan Ini'!$DH:$DH,'Area-Cabang'!$E120,'CWO Bulan Ini'!$CZ:$CZ,'Area-Cabang'!CT$41)</f>
        <v>0</v>
      </c>
      <c r="CV120" s="97">
        <f t="shared" ref="CV120:CV121" si="3659">SUM(F120:AJ120)</f>
        <v>36.055194929999999</v>
      </c>
      <c r="CW120" s="98">
        <f t="shared" ref="CW120:CW121" si="3660">SUM(AK120:BO120)</f>
        <v>36.055194929999999</v>
      </c>
      <c r="CX120" s="98">
        <f t="shared" ref="CX120:CX121" si="3661">SUM(BP120:CT120)</f>
        <v>0</v>
      </c>
      <c r="CY120" s="98">
        <f t="shared" ref="CY120:CY121" si="3662">CV120-CW120-CX120</f>
        <v>0</v>
      </c>
      <c r="CZ120" s="105">
        <f t="shared" ref="CZ120:CZ121" si="3663">CY120+CW120</f>
        <v>36.055194929999999</v>
      </c>
    </row>
    <row r="121" spans="1:104" ht="15" customHeight="1" x14ac:dyDescent="0.25">
      <c r="A121" s="58" t="s">
        <v>448</v>
      </c>
      <c r="B121" s="58" t="s">
        <v>343</v>
      </c>
      <c r="C121" s="250"/>
      <c r="D121" s="244"/>
      <c r="E121" s="40" t="s">
        <v>349</v>
      </c>
      <c r="F121" s="41">
        <f>SUMIFS('CWO Bulan Ini'!$DA:$DA,'CWO Bulan Ini'!$DJ:$DJ,'Area-Cabang'!$B121,'CWO Bulan Ini'!$DH:$DH,'Area-Cabang'!$E121,'CWO Bulan Ini'!$CZ:$CZ,'Area-Cabang'!F$41)</f>
        <v>0</v>
      </c>
      <c r="G121" s="42">
        <f>SUMIFS('CWO Bulan Ini'!$DA:$DA,'CWO Bulan Ini'!$DJ:$DJ,'Area-Cabang'!$B121,'CWO Bulan Ini'!$DH:$DH,'Area-Cabang'!$E121,'CWO Bulan Ini'!$CZ:$CZ,'Area-Cabang'!G$41)</f>
        <v>0</v>
      </c>
      <c r="H121" s="42">
        <f>SUMIFS('CWO Bulan Ini'!$DA:$DA,'CWO Bulan Ini'!$DJ:$DJ,'Area-Cabang'!$B121,'CWO Bulan Ini'!$DH:$DH,'Area-Cabang'!$E121,'CWO Bulan Ini'!$CZ:$CZ,'Area-Cabang'!H$41)</f>
        <v>0</v>
      </c>
      <c r="I121" s="42">
        <f>SUMIFS('CWO Bulan Ini'!$DA:$DA,'CWO Bulan Ini'!$DJ:$DJ,'Area-Cabang'!$B121,'CWO Bulan Ini'!$DH:$DH,'Area-Cabang'!$E121,'CWO Bulan Ini'!$CZ:$CZ,'Area-Cabang'!I$41)</f>
        <v>0</v>
      </c>
      <c r="J121" s="42">
        <f>SUMIFS('CWO Bulan Ini'!$DA:$DA,'CWO Bulan Ini'!$DJ:$DJ,'Area-Cabang'!$B121,'CWO Bulan Ini'!$DH:$DH,'Area-Cabang'!$E121,'CWO Bulan Ini'!$CZ:$CZ,'Area-Cabang'!J$41)</f>
        <v>0</v>
      </c>
      <c r="K121" s="42">
        <f>SUMIFS('CWO Bulan Ini'!$DA:$DA,'CWO Bulan Ini'!$DJ:$DJ,'Area-Cabang'!$B121,'CWO Bulan Ini'!$DH:$DH,'Area-Cabang'!$E121,'CWO Bulan Ini'!$CZ:$CZ,'Area-Cabang'!K$41)</f>
        <v>0</v>
      </c>
      <c r="L121" s="42">
        <f>SUMIFS('CWO Bulan Ini'!$DA:$DA,'CWO Bulan Ini'!$DJ:$DJ,'Area-Cabang'!$B121,'CWO Bulan Ini'!$DH:$DH,'Area-Cabang'!$E121,'CWO Bulan Ini'!$CZ:$CZ,'Area-Cabang'!L$41)</f>
        <v>0</v>
      </c>
      <c r="M121" s="42">
        <f>SUMIFS('CWO Bulan Ini'!$DA:$DA,'CWO Bulan Ini'!$DJ:$DJ,'Area-Cabang'!$B121,'CWO Bulan Ini'!$DH:$DH,'Area-Cabang'!$E121,'CWO Bulan Ini'!$CZ:$CZ,'Area-Cabang'!M$41)</f>
        <v>0</v>
      </c>
      <c r="N121" s="42">
        <f>SUMIFS('CWO Bulan Ini'!$DA:$DA,'CWO Bulan Ini'!$DJ:$DJ,'Area-Cabang'!$B121,'CWO Bulan Ini'!$DH:$DH,'Area-Cabang'!$E121,'CWO Bulan Ini'!$CZ:$CZ,'Area-Cabang'!N$41)</f>
        <v>0</v>
      </c>
      <c r="O121" s="42">
        <f>SUMIFS('CWO Bulan Ini'!$DA:$DA,'CWO Bulan Ini'!$DJ:$DJ,'Area-Cabang'!$B121,'CWO Bulan Ini'!$DH:$DH,'Area-Cabang'!$E121,'CWO Bulan Ini'!$CZ:$CZ,'Area-Cabang'!O$41)</f>
        <v>0</v>
      </c>
      <c r="P121" s="42">
        <f>SUMIFS('CWO Bulan Ini'!$DA:$DA,'CWO Bulan Ini'!$DJ:$DJ,'Area-Cabang'!$B121,'CWO Bulan Ini'!$DH:$DH,'Area-Cabang'!$E121,'CWO Bulan Ini'!$CZ:$CZ,'Area-Cabang'!P$41)</f>
        <v>0</v>
      </c>
      <c r="Q121" s="42">
        <f>SUMIFS('CWO Bulan Ini'!$DA:$DA,'CWO Bulan Ini'!$DJ:$DJ,'Area-Cabang'!$B121,'CWO Bulan Ini'!$DH:$DH,'Area-Cabang'!$E121,'CWO Bulan Ini'!$CZ:$CZ,'Area-Cabang'!Q$41)</f>
        <v>0</v>
      </c>
      <c r="R121" s="42">
        <f>SUMIFS('CWO Bulan Ini'!$DA:$DA,'CWO Bulan Ini'!$DJ:$DJ,'Area-Cabang'!$B121,'CWO Bulan Ini'!$DH:$DH,'Area-Cabang'!$E121,'CWO Bulan Ini'!$CZ:$CZ,'Area-Cabang'!R$41)</f>
        <v>0</v>
      </c>
      <c r="S121" s="42">
        <f>SUMIFS('CWO Bulan Ini'!$DA:$DA,'CWO Bulan Ini'!$DJ:$DJ,'Area-Cabang'!$B121,'CWO Bulan Ini'!$DH:$DH,'Area-Cabang'!$E121,'CWO Bulan Ini'!$CZ:$CZ,'Area-Cabang'!S$41)</f>
        <v>0</v>
      </c>
      <c r="T121" s="42">
        <f>SUMIFS('CWO Bulan Ini'!$DA:$DA,'CWO Bulan Ini'!$DJ:$DJ,'Area-Cabang'!$B121,'CWO Bulan Ini'!$DH:$DH,'Area-Cabang'!$E121,'CWO Bulan Ini'!$CZ:$CZ,'Area-Cabang'!T$41)</f>
        <v>0</v>
      </c>
      <c r="U121" s="42">
        <f>SUMIFS('CWO Bulan Ini'!$DA:$DA,'CWO Bulan Ini'!$DJ:$DJ,'Area-Cabang'!$B121,'CWO Bulan Ini'!$DH:$DH,'Area-Cabang'!$E121,'CWO Bulan Ini'!$CZ:$CZ,'Area-Cabang'!U$41)</f>
        <v>0</v>
      </c>
      <c r="V121" s="42">
        <f>SUMIFS('CWO Bulan Ini'!$DA:$DA,'CWO Bulan Ini'!$DJ:$DJ,'Area-Cabang'!$B121,'CWO Bulan Ini'!$DH:$DH,'Area-Cabang'!$E121,'CWO Bulan Ini'!$CZ:$CZ,'Area-Cabang'!V$41)</f>
        <v>0</v>
      </c>
      <c r="W121" s="42">
        <f>SUMIFS('CWO Bulan Ini'!$DA:$DA,'CWO Bulan Ini'!$DJ:$DJ,'Area-Cabang'!$B121,'CWO Bulan Ini'!$DH:$DH,'Area-Cabang'!$E121,'CWO Bulan Ini'!$CZ:$CZ,'Area-Cabang'!W$41)</f>
        <v>0</v>
      </c>
      <c r="X121" s="42">
        <f>SUMIFS('CWO Bulan Ini'!$DA:$DA,'CWO Bulan Ini'!$DJ:$DJ,'Area-Cabang'!$B121,'CWO Bulan Ini'!$DH:$DH,'Area-Cabang'!$E121,'CWO Bulan Ini'!$CZ:$CZ,'Area-Cabang'!X$41)</f>
        <v>0</v>
      </c>
      <c r="Y121" s="42">
        <f>SUMIFS('CWO Bulan Ini'!$DA:$DA,'CWO Bulan Ini'!$DJ:$DJ,'Area-Cabang'!$B121,'CWO Bulan Ini'!$DH:$DH,'Area-Cabang'!$E121,'CWO Bulan Ini'!$CZ:$CZ,'Area-Cabang'!Y$41)</f>
        <v>0</v>
      </c>
      <c r="Z121" s="42">
        <f>SUMIFS('CWO Bulan Ini'!$DA:$DA,'CWO Bulan Ini'!$DJ:$DJ,'Area-Cabang'!$B121,'CWO Bulan Ini'!$DH:$DH,'Area-Cabang'!$E121,'CWO Bulan Ini'!$CZ:$CZ,'Area-Cabang'!Z$41)</f>
        <v>0</v>
      </c>
      <c r="AA121" s="42">
        <f>SUMIFS('CWO Bulan Ini'!$DA:$DA,'CWO Bulan Ini'!$DJ:$DJ,'Area-Cabang'!$B121,'CWO Bulan Ini'!$DH:$DH,'Area-Cabang'!$E121,'CWO Bulan Ini'!$CZ:$CZ,'Area-Cabang'!AA$41)</f>
        <v>0</v>
      </c>
      <c r="AB121" s="42">
        <f>SUMIFS('CWO Bulan Ini'!$DA:$DA,'CWO Bulan Ini'!$DJ:$DJ,'Area-Cabang'!$B121,'CWO Bulan Ini'!$DH:$DH,'Area-Cabang'!$E121,'CWO Bulan Ini'!$CZ:$CZ,'Area-Cabang'!AB$41)</f>
        <v>0</v>
      </c>
      <c r="AC121" s="42">
        <f>SUMIFS('CWO Bulan Ini'!$DA:$DA,'CWO Bulan Ini'!$DJ:$DJ,'Area-Cabang'!$B121,'CWO Bulan Ini'!$DH:$DH,'Area-Cabang'!$E121,'CWO Bulan Ini'!$CZ:$CZ,'Area-Cabang'!AC$41)</f>
        <v>0</v>
      </c>
      <c r="AD121" s="42">
        <f>SUMIFS('CWO Bulan Ini'!$DA:$DA,'CWO Bulan Ini'!$DJ:$DJ,'Area-Cabang'!$B121,'CWO Bulan Ini'!$DH:$DH,'Area-Cabang'!$E121,'CWO Bulan Ini'!$CZ:$CZ,'Area-Cabang'!AD$41)</f>
        <v>0</v>
      </c>
      <c r="AE121" s="42">
        <f>SUMIFS('CWO Bulan Ini'!$DA:$DA,'CWO Bulan Ini'!$DJ:$DJ,'Area-Cabang'!$B121,'CWO Bulan Ini'!$DH:$DH,'Area-Cabang'!$E121,'CWO Bulan Ini'!$CZ:$CZ,'Area-Cabang'!AE$41)</f>
        <v>0</v>
      </c>
      <c r="AF121" s="42">
        <f>SUMIFS('CWO Bulan Ini'!$DA:$DA,'CWO Bulan Ini'!$DJ:$DJ,'Area-Cabang'!$B121,'CWO Bulan Ini'!$DH:$DH,'Area-Cabang'!$E121,'CWO Bulan Ini'!$CZ:$CZ,'Area-Cabang'!AF$41)</f>
        <v>0</v>
      </c>
      <c r="AG121" s="42">
        <f>SUMIFS('CWO Bulan Ini'!$DA:$DA,'CWO Bulan Ini'!$DJ:$DJ,'Area-Cabang'!$B121,'CWO Bulan Ini'!$DH:$DH,'Area-Cabang'!$E121,'CWO Bulan Ini'!$CZ:$CZ,'Area-Cabang'!AG$41)</f>
        <v>0</v>
      </c>
      <c r="AH121" s="42">
        <f>SUMIFS('CWO Bulan Ini'!$DA:$DA,'CWO Bulan Ini'!$DJ:$DJ,'Area-Cabang'!$B121,'CWO Bulan Ini'!$DH:$DH,'Area-Cabang'!$E121,'CWO Bulan Ini'!$CZ:$CZ,'Area-Cabang'!AH$41)</f>
        <v>0</v>
      </c>
      <c r="AI121" s="42">
        <f>SUMIFS('CWO Bulan Ini'!$DA:$DA,'CWO Bulan Ini'!$DJ:$DJ,'Area-Cabang'!$B121,'CWO Bulan Ini'!$DH:$DH,'Area-Cabang'!$E121,'CWO Bulan Ini'!$CZ:$CZ,'Area-Cabang'!AI$41)</f>
        <v>0</v>
      </c>
      <c r="AJ121" s="42">
        <f>SUMIFS('CWO Bulan Ini'!$DA:$DA,'CWO Bulan Ini'!$DJ:$DJ,'Area-Cabang'!$B121,'CWO Bulan Ini'!$DH:$DH,'Area-Cabang'!$E121,'CWO Bulan Ini'!$CZ:$CZ,'Area-Cabang'!AJ$41)</f>
        <v>0</v>
      </c>
      <c r="AK121" s="41">
        <f>SUMIFS('CWO Bulan Ini'!$DD:$DD,'CWO Bulan Ini'!$DJ:$DJ,'Area-Cabang'!$B121,'CWO Bulan Ini'!$DH:$DH,'Area-Cabang'!$E121,'CWO Bulan Ini'!$CZ:$CZ,'Area-Cabang'!AK$41)</f>
        <v>0</v>
      </c>
      <c r="AL121" s="42">
        <f>SUMIFS('CWO Bulan Ini'!$DD:$DD,'CWO Bulan Ini'!$DJ:$DJ,'Area-Cabang'!$B121,'CWO Bulan Ini'!$DH:$DH,'Area-Cabang'!$E121,'CWO Bulan Ini'!$CZ:$CZ,'Area-Cabang'!AL$41)</f>
        <v>0</v>
      </c>
      <c r="AM121" s="42">
        <f>SUMIFS('CWO Bulan Ini'!$DD:$DD,'CWO Bulan Ini'!$DJ:$DJ,'Area-Cabang'!$B121,'CWO Bulan Ini'!$DH:$DH,'Area-Cabang'!$E121,'CWO Bulan Ini'!$CZ:$CZ,'Area-Cabang'!AM$41)</f>
        <v>0</v>
      </c>
      <c r="AN121" s="42">
        <f>SUMIFS('CWO Bulan Ini'!$DD:$DD,'CWO Bulan Ini'!$DJ:$DJ,'Area-Cabang'!$B121,'CWO Bulan Ini'!$DH:$DH,'Area-Cabang'!$E121,'CWO Bulan Ini'!$CZ:$CZ,'Area-Cabang'!AN$41)</f>
        <v>0</v>
      </c>
      <c r="AO121" s="42">
        <f>SUMIFS('CWO Bulan Ini'!$DD:$DD,'CWO Bulan Ini'!$DJ:$DJ,'Area-Cabang'!$B121,'CWO Bulan Ini'!$DH:$DH,'Area-Cabang'!$E121,'CWO Bulan Ini'!$CZ:$CZ,'Area-Cabang'!AO$41)</f>
        <v>0</v>
      </c>
      <c r="AP121" s="42">
        <f>SUMIFS('CWO Bulan Ini'!$DD:$DD,'CWO Bulan Ini'!$DJ:$DJ,'Area-Cabang'!$B121,'CWO Bulan Ini'!$DH:$DH,'Area-Cabang'!$E121,'CWO Bulan Ini'!$CZ:$CZ,'Area-Cabang'!AP$41)</f>
        <v>0</v>
      </c>
      <c r="AQ121" s="42">
        <f>SUMIFS('CWO Bulan Ini'!$DD:$DD,'CWO Bulan Ini'!$DJ:$DJ,'Area-Cabang'!$B121,'CWO Bulan Ini'!$DH:$DH,'Area-Cabang'!$E121,'CWO Bulan Ini'!$CZ:$CZ,'Area-Cabang'!AQ$41)</f>
        <v>0</v>
      </c>
      <c r="AR121" s="42">
        <f>SUMIFS('CWO Bulan Ini'!$DD:$DD,'CWO Bulan Ini'!$DJ:$DJ,'Area-Cabang'!$B121,'CWO Bulan Ini'!$DH:$DH,'Area-Cabang'!$E121,'CWO Bulan Ini'!$CZ:$CZ,'Area-Cabang'!AR$41)</f>
        <v>0</v>
      </c>
      <c r="AS121" s="42">
        <f>SUMIFS('CWO Bulan Ini'!$DD:$DD,'CWO Bulan Ini'!$DJ:$DJ,'Area-Cabang'!$B121,'CWO Bulan Ini'!$DH:$DH,'Area-Cabang'!$E121,'CWO Bulan Ini'!$CZ:$CZ,'Area-Cabang'!AS$41)</f>
        <v>0</v>
      </c>
      <c r="AT121" s="42">
        <f>SUMIFS('CWO Bulan Ini'!$DD:$DD,'CWO Bulan Ini'!$DJ:$DJ,'Area-Cabang'!$B121,'CWO Bulan Ini'!$DH:$DH,'Area-Cabang'!$E121,'CWO Bulan Ini'!$CZ:$CZ,'Area-Cabang'!AT$41)</f>
        <v>0</v>
      </c>
      <c r="AU121" s="42">
        <f>SUMIFS('CWO Bulan Ini'!$DD:$DD,'CWO Bulan Ini'!$DJ:$DJ,'Area-Cabang'!$B121,'CWO Bulan Ini'!$DH:$DH,'Area-Cabang'!$E121,'CWO Bulan Ini'!$CZ:$CZ,'Area-Cabang'!AU$41)</f>
        <v>0</v>
      </c>
      <c r="AV121" s="42">
        <f>SUMIFS('CWO Bulan Ini'!$DD:$DD,'CWO Bulan Ini'!$DJ:$DJ,'Area-Cabang'!$B121,'CWO Bulan Ini'!$DH:$DH,'Area-Cabang'!$E121,'CWO Bulan Ini'!$CZ:$CZ,'Area-Cabang'!AV$41)</f>
        <v>0</v>
      </c>
      <c r="AW121" s="42">
        <f>SUMIFS('CWO Bulan Ini'!$DD:$DD,'CWO Bulan Ini'!$DJ:$DJ,'Area-Cabang'!$B121,'CWO Bulan Ini'!$DH:$DH,'Area-Cabang'!$E121,'CWO Bulan Ini'!$CZ:$CZ,'Area-Cabang'!AW$41)</f>
        <v>0</v>
      </c>
      <c r="AX121" s="42">
        <f>SUMIFS('CWO Bulan Ini'!$DD:$DD,'CWO Bulan Ini'!$DJ:$DJ,'Area-Cabang'!$B121,'CWO Bulan Ini'!$DH:$DH,'Area-Cabang'!$E121,'CWO Bulan Ini'!$CZ:$CZ,'Area-Cabang'!AX$41)</f>
        <v>0</v>
      </c>
      <c r="AY121" s="42">
        <f>SUMIFS('CWO Bulan Ini'!$DD:$DD,'CWO Bulan Ini'!$DJ:$DJ,'Area-Cabang'!$B121,'CWO Bulan Ini'!$DH:$DH,'Area-Cabang'!$E121,'CWO Bulan Ini'!$CZ:$CZ,'Area-Cabang'!AY$41)</f>
        <v>0</v>
      </c>
      <c r="AZ121" s="42">
        <f>SUMIFS('CWO Bulan Ini'!$DD:$DD,'CWO Bulan Ini'!$DJ:$DJ,'Area-Cabang'!$B121,'CWO Bulan Ini'!$DH:$DH,'Area-Cabang'!$E121,'CWO Bulan Ini'!$CZ:$CZ,'Area-Cabang'!AZ$41)</f>
        <v>0</v>
      </c>
      <c r="BA121" s="42">
        <f>SUMIFS('CWO Bulan Ini'!$DD:$DD,'CWO Bulan Ini'!$DJ:$DJ,'Area-Cabang'!$B121,'CWO Bulan Ini'!$DH:$DH,'Area-Cabang'!$E121,'CWO Bulan Ini'!$CZ:$CZ,'Area-Cabang'!BA$41)</f>
        <v>0</v>
      </c>
      <c r="BB121" s="42">
        <f>SUMIFS('CWO Bulan Ini'!$DD:$DD,'CWO Bulan Ini'!$DJ:$DJ,'Area-Cabang'!$B121,'CWO Bulan Ini'!$DH:$DH,'Area-Cabang'!$E121,'CWO Bulan Ini'!$CZ:$CZ,'Area-Cabang'!BB$41)</f>
        <v>0</v>
      </c>
      <c r="BC121" s="42">
        <f>SUMIFS('CWO Bulan Ini'!$DD:$DD,'CWO Bulan Ini'!$DJ:$DJ,'Area-Cabang'!$B121,'CWO Bulan Ini'!$DH:$DH,'Area-Cabang'!$E121,'CWO Bulan Ini'!$CZ:$CZ,'Area-Cabang'!BC$41)</f>
        <v>0</v>
      </c>
      <c r="BD121" s="42">
        <f>SUMIFS('CWO Bulan Ini'!$DD:$DD,'CWO Bulan Ini'!$DJ:$DJ,'Area-Cabang'!$B121,'CWO Bulan Ini'!$DH:$DH,'Area-Cabang'!$E121,'CWO Bulan Ini'!$CZ:$CZ,'Area-Cabang'!BD$41)</f>
        <v>0</v>
      </c>
      <c r="BE121" s="42">
        <f>SUMIFS('CWO Bulan Ini'!$DD:$DD,'CWO Bulan Ini'!$DJ:$DJ,'Area-Cabang'!$B121,'CWO Bulan Ini'!$DH:$DH,'Area-Cabang'!$E121,'CWO Bulan Ini'!$CZ:$CZ,'Area-Cabang'!BE$41)</f>
        <v>0</v>
      </c>
      <c r="BF121" s="42">
        <f>SUMIFS('CWO Bulan Ini'!$DD:$DD,'CWO Bulan Ini'!$DJ:$DJ,'Area-Cabang'!$B121,'CWO Bulan Ini'!$DH:$DH,'Area-Cabang'!$E121,'CWO Bulan Ini'!$CZ:$CZ,'Area-Cabang'!BF$41)</f>
        <v>0</v>
      </c>
      <c r="BG121" s="42">
        <f>SUMIFS('CWO Bulan Ini'!$DD:$DD,'CWO Bulan Ini'!$DJ:$DJ,'Area-Cabang'!$B121,'CWO Bulan Ini'!$DH:$DH,'Area-Cabang'!$E121,'CWO Bulan Ini'!$CZ:$CZ,'Area-Cabang'!BG$41)</f>
        <v>0</v>
      </c>
      <c r="BH121" s="42">
        <f>SUMIFS('CWO Bulan Ini'!$DD:$DD,'CWO Bulan Ini'!$DJ:$DJ,'Area-Cabang'!$B121,'CWO Bulan Ini'!$DH:$DH,'Area-Cabang'!$E121,'CWO Bulan Ini'!$CZ:$CZ,'Area-Cabang'!BH$41)</f>
        <v>0</v>
      </c>
      <c r="BI121" s="42">
        <f>SUMIFS('CWO Bulan Ini'!$DD:$DD,'CWO Bulan Ini'!$DJ:$DJ,'Area-Cabang'!$B121,'CWO Bulan Ini'!$DH:$DH,'Area-Cabang'!$E121,'CWO Bulan Ini'!$CZ:$CZ,'Area-Cabang'!BI$41)</f>
        <v>0</v>
      </c>
      <c r="BJ121" s="42">
        <f>SUMIFS('CWO Bulan Ini'!$DD:$DD,'CWO Bulan Ini'!$DJ:$DJ,'Area-Cabang'!$B121,'CWO Bulan Ini'!$DH:$DH,'Area-Cabang'!$E121,'CWO Bulan Ini'!$CZ:$CZ,'Area-Cabang'!BJ$41)</f>
        <v>0</v>
      </c>
      <c r="BK121" s="42">
        <f>SUMIFS('CWO Bulan Ini'!$DD:$DD,'CWO Bulan Ini'!$DJ:$DJ,'Area-Cabang'!$B121,'CWO Bulan Ini'!$DH:$DH,'Area-Cabang'!$E121,'CWO Bulan Ini'!$CZ:$CZ,'Area-Cabang'!BK$41)</f>
        <v>0</v>
      </c>
      <c r="BL121" s="42">
        <f>SUMIFS('CWO Bulan Ini'!$DD:$DD,'CWO Bulan Ini'!$DJ:$DJ,'Area-Cabang'!$B121,'CWO Bulan Ini'!$DH:$DH,'Area-Cabang'!$E121,'CWO Bulan Ini'!$CZ:$CZ,'Area-Cabang'!BL$41)</f>
        <v>0</v>
      </c>
      <c r="BM121" s="42">
        <f>SUMIFS('CWO Bulan Ini'!$DD:$DD,'CWO Bulan Ini'!$DJ:$DJ,'Area-Cabang'!$B121,'CWO Bulan Ini'!$DH:$DH,'Area-Cabang'!$E121,'CWO Bulan Ini'!$CZ:$CZ,'Area-Cabang'!BM$41)</f>
        <v>0</v>
      </c>
      <c r="BN121" s="42">
        <f>SUMIFS('CWO Bulan Ini'!$DD:$DD,'CWO Bulan Ini'!$DJ:$DJ,'Area-Cabang'!$B121,'CWO Bulan Ini'!$DH:$DH,'Area-Cabang'!$E121,'CWO Bulan Ini'!$CZ:$CZ,'Area-Cabang'!BN$41)</f>
        <v>0</v>
      </c>
      <c r="BO121" s="43">
        <f>SUMIFS('CWO Bulan Ini'!$DD:$DD,'CWO Bulan Ini'!$DJ:$DJ,'Area-Cabang'!$B121,'CWO Bulan Ini'!$DH:$DH,'Area-Cabang'!$E121,'CWO Bulan Ini'!$CZ:$CZ,'Area-Cabang'!BO$41)</f>
        <v>0</v>
      </c>
      <c r="BP121" s="41">
        <f>SUMIFS('CWO Bulan Ini'!$DC:$DC,'CWO Bulan Ini'!$DJ:$DJ,'Area-Cabang'!$B121,'CWO Bulan Ini'!$DH:$DH,'Area-Cabang'!$E121,'CWO Bulan Ini'!$CZ:$CZ,'Area-Cabang'!BP$41)</f>
        <v>0</v>
      </c>
      <c r="BQ121" s="42">
        <f>SUMIFS('CWO Bulan Ini'!$DC:$DC,'CWO Bulan Ini'!$DJ:$DJ,'Area-Cabang'!$B121,'CWO Bulan Ini'!$DH:$DH,'Area-Cabang'!$E121,'CWO Bulan Ini'!$CZ:$CZ,'Area-Cabang'!BQ$41)</f>
        <v>0</v>
      </c>
      <c r="BR121" s="42">
        <f>SUMIFS('CWO Bulan Ini'!$DC:$DC,'CWO Bulan Ini'!$DJ:$DJ,'Area-Cabang'!$B121,'CWO Bulan Ini'!$DH:$DH,'Area-Cabang'!$E121,'CWO Bulan Ini'!$CZ:$CZ,'Area-Cabang'!BR$41)</f>
        <v>0</v>
      </c>
      <c r="BS121" s="42">
        <f>SUMIFS('CWO Bulan Ini'!$DC:$DC,'CWO Bulan Ini'!$DJ:$DJ,'Area-Cabang'!$B121,'CWO Bulan Ini'!$DH:$DH,'Area-Cabang'!$E121,'CWO Bulan Ini'!$CZ:$CZ,'Area-Cabang'!BS$41)</f>
        <v>0</v>
      </c>
      <c r="BT121" s="42">
        <f>SUMIFS('CWO Bulan Ini'!$DC:$DC,'CWO Bulan Ini'!$DJ:$DJ,'Area-Cabang'!$B121,'CWO Bulan Ini'!$DH:$DH,'Area-Cabang'!$E121,'CWO Bulan Ini'!$CZ:$CZ,'Area-Cabang'!BT$41)</f>
        <v>0</v>
      </c>
      <c r="BU121" s="42">
        <f>SUMIFS('CWO Bulan Ini'!$DC:$DC,'CWO Bulan Ini'!$DJ:$DJ,'Area-Cabang'!$B121,'CWO Bulan Ini'!$DH:$DH,'Area-Cabang'!$E121,'CWO Bulan Ini'!$CZ:$CZ,'Area-Cabang'!BU$41)</f>
        <v>0</v>
      </c>
      <c r="BV121" s="42">
        <f>SUMIFS('CWO Bulan Ini'!$DC:$DC,'CWO Bulan Ini'!$DJ:$DJ,'Area-Cabang'!$B121,'CWO Bulan Ini'!$DH:$DH,'Area-Cabang'!$E121,'CWO Bulan Ini'!$CZ:$CZ,'Area-Cabang'!BV$41)</f>
        <v>0</v>
      </c>
      <c r="BW121" s="42">
        <f>SUMIFS('CWO Bulan Ini'!$DC:$DC,'CWO Bulan Ini'!$DJ:$DJ,'Area-Cabang'!$B121,'CWO Bulan Ini'!$DH:$DH,'Area-Cabang'!$E121,'CWO Bulan Ini'!$CZ:$CZ,'Area-Cabang'!BW$41)</f>
        <v>0</v>
      </c>
      <c r="BX121" s="42">
        <f>SUMIFS('CWO Bulan Ini'!$DC:$DC,'CWO Bulan Ini'!$DJ:$DJ,'Area-Cabang'!$B121,'CWO Bulan Ini'!$DH:$DH,'Area-Cabang'!$E121,'CWO Bulan Ini'!$CZ:$CZ,'Area-Cabang'!BX$41)</f>
        <v>0</v>
      </c>
      <c r="BY121" s="42">
        <f>SUMIFS('CWO Bulan Ini'!$DC:$DC,'CWO Bulan Ini'!$DJ:$DJ,'Area-Cabang'!$B121,'CWO Bulan Ini'!$DH:$DH,'Area-Cabang'!$E121,'CWO Bulan Ini'!$CZ:$CZ,'Area-Cabang'!BY$41)</f>
        <v>0</v>
      </c>
      <c r="BZ121" s="42">
        <f>SUMIFS('CWO Bulan Ini'!$DC:$DC,'CWO Bulan Ini'!$DJ:$DJ,'Area-Cabang'!$B121,'CWO Bulan Ini'!$DH:$DH,'Area-Cabang'!$E121,'CWO Bulan Ini'!$CZ:$CZ,'Area-Cabang'!BZ$41)</f>
        <v>0</v>
      </c>
      <c r="CA121" s="42">
        <f>SUMIFS('CWO Bulan Ini'!$DC:$DC,'CWO Bulan Ini'!$DJ:$DJ,'Area-Cabang'!$B121,'CWO Bulan Ini'!$DH:$DH,'Area-Cabang'!$E121,'CWO Bulan Ini'!$CZ:$CZ,'Area-Cabang'!CA$41)</f>
        <v>0</v>
      </c>
      <c r="CB121" s="42">
        <f>SUMIFS('CWO Bulan Ini'!$DC:$DC,'CWO Bulan Ini'!$DJ:$DJ,'Area-Cabang'!$B121,'CWO Bulan Ini'!$DH:$DH,'Area-Cabang'!$E121,'CWO Bulan Ini'!$CZ:$CZ,'Area-Cabang'!CB$41)</f>
        <v>0</v>
      </c>
      <c r="CC121" s="42">
        <f>SUMIFS('CWO Bulan Ini'!$DC:$DC,'CWO Bulan Ini'!$DJ:$DJ,'Area-Cabang'!$B121,'CWO Bulan Ini'!$DH:$DH,'Area-Cabang'!$E121,'CWO Bulan Ini'!$CZ:$CZ,'Area-Cabang'!CC$41)</f>
        <v>0</v>
      </c>
      <c r="CD121" s="42">
        <f>SUMIFS('CWO Bulan Ini'!$DC:$DC,'CWO Bulan Ini'!$DJ:$DJ,'Area-Cabang'!$B121,'CWO Bulan Ini'!$DH:$DH,'Area-Cabang'!$E121,'CWO Bulan Ini'!$CZ:$CZ,'Area-Cabang'!CD$41)</f>
        <v>0</v>
      </c>
      <c r="CE121" s="42">
        <f>SUMIFS('CWO Bulan Ini'!$DC:$DC,'CWO Bulan Ini'!$DJ:$DJ,'Area-Cabang'!$B121,'CWO Bulan Ini'!$DH:$DH,'Area-Cabang'!$E121,'CWO Bulan Ini'!$CZ:$CZ,'Area-Cabang'!CE$41)</f>
        <v>0</v>
      </c>
      <c r="CF121" s="42">
        <f>SUMIFS('CWO Bulan Ini'!$DC:$DC,'CWO Bulan Ini'!$DJ:$DJ,'Area-Cabang'!$B121,'CWO Bulan Ini'!$DH:$DH,'Area-Cabang'!$E121,'CWO Bulan Ini'!$CZ:$CZ,'Area-Cabang'!CF$41)</f>
        <v>0</v>
      </c>
      <c r="CG121" s="42">
        <f>SUMIFS('CWO Bulan Ini'!$DC:$DC,'CWO Bulan Ini'!$DJ:$DJ,'Area-Cabang'!$B121,'CWO Bulan Ini'!$DH:$DH,'Area-Cabang'!$E121,'CWO Bulan Ini'!$CZ:$CZ,'Area-Cabang'!CG$41)</f>
        <v>0</v>
      </c>
      <c r="CH121" s="42">
        <f>SUMIFS('CWO Bulan Ini'!$DC:$DC,'CWO Bulan Ini'!$DJ:$DJ,'Area-Cabang'!$B121,'CWO Bulan Ini'!$DH:$DH,'Area-Cabang'!$E121,'CWO Bulan Ini'!$CZ:$CZ,'Area-Cabang'!CH$41)</f>
        <v>0</v>
      </c>
      <c r="CI121" s="42">
        <f>SUMIFS('CWO Bulan Ini'!$DC:$DC,'CWO Bulan Ini'!$DJ:$DJ,'Area-Cabang'!$B121,'CWO Bulan Ini'!$DH:$DH,'Area-Cabang'!$E121,'CWO Bulan Ini'!$CZ:$CZ,'Area-Cabang'!CI$41)</f>
        <v>0</v>
      </c>
      <c r="CJ121" s="42">
        <f>SUMIFS('CWO Bulan Ini'!$DC:$DC,'CWO Bulan Ini'!$DJ:$DJ,'Area-Cabang'!$B121,'CWO Bulan Ini'!$DH:$DH,'Area-Cabang'!$E121,'CWO Bulan Ini'!$CZ:$CZ,'Area-Cabang'!CJ$41)</f>
        <v>0</v>
      </c>
      <c r="CK121" s="42">
        <f>SUMIFS('CWO Bulan Ini'!$DC:$DC,'CWO Bulan Ini'!$DJ:$DJ,'Area-Cabang'!$B121,'CWO Bulan Ini'!$DH:$DH,'Area-Cabang'!$E121,'CWO Bulan Ini'!$CZ:$CZ,'Area-Cabang'!CK$41)</f>
        <v>0</v>
      </c>
      <c r="CL121" s="42">
        <f>SUMIFS('CWO Bulan Ini'!$DC:$DC,'CWO Bulan Ini'!$DJ:$DJ,'Area-Cabang'!$B121,'CWO Bulan Ini'!$DH:$DH,'Area-Cabang'!$E121,'CWO Bulan Ini'!$CZ:$CZ,'Area-Cabang'!CL$41)</f>
        <v>0</v>
      </c>
      <c r="CM121" s="42">
        <f>SUMIFS('CWO Bulan Ini'!$DC:$DC,'CWO Bulan Ini'!$DJ:$DJ,'Area-Cabang'!$B121,'CWO Bulan Ini'!$DH:$DH,'Area-Cabang'!$E121,'CWO Bulan Ini'!$CZ:$CZ,'Area-Cabang'!CM$41)</f>
        <v>0</v>
      </c>
      <c r="CN121" s="42">
        <f>SUMIFS('CWO Bulan Ini'!$DC:$DC,'CWO Bulan Ini'!$DJ:$DJ,'Area-Cabang'!$B121,'CWO Bulan Ini'!$DH:$DH,'Area-Cabang'!$E121,'CWO Bulan Ini'!$CZ:$CZ,'Area-Cabang'!CN$41)</f>
        <v>0</v>
      </c>
      <c r="CO121" s="42">
        <f>SUMIFS('CWO Bulan Ini'!$DC:$DC,'CWO Bulan Ini'!$DJ:$DJ,'Area-Cabang'!$B121,'CWO Bulan Ini'!$DH:$DH,'Area-Cabang'!$E121,'CWO Bulan Ini'!$CZ:$CZ,'Area-Cabang'!CO$41)</f>
        <v>0</v>
      </c>
      <c r="CP121" s="42">
        <f>SUMIFS('CWO Bulan Ini'!$DC:$DC,'CWO Bulan Ini'!$DJ:$DJ,'Area-Cabang'!$B121,'CWO Bulan Ini'!$DH:$DH,'Area-Cabang'!$E121,'CWO Bulan Ini'!$CZ:$CZ,'Area-Cabang'!CP$41)</f>
        <v>0</v>
      </c>
      <c r="CQ121" s="42">
        <f>SUMIFS('CWO Bulan Ini'!$DC:$DC,'CWO Bulan Ini'!$DJ:$DJ,'Area-Cabang'!$B121,'CWO Bulan Ini'!$DH:$DH,'Area-Cabang'!$E121,'CWO Bulan Ini'!$CZ:$CZ,'Area-Cabang'!CQ$41)</f>
        <v>0</v>
      </c>
      <c r="CR121" s="42">
        <f>SUMIFS('CWO Bulan Ini'!$DC:$DC,'CWO Bulan Ini'!$DJ:$DJ,'Area-Cabang'!$B121,'CWO Bulan Ini'!$DH:$DH,'Area-Cabang'!$E121,'CWO Bulan Ini'!$CZ:$CZ,'Area-Cabang'!CR$41)</f>
        <v>0</v>
      </c>
      <c r="CS121" s="42">
        <f>SUMIFS('CWO Bulan Ini'!$DC:$DC,'CWO Bulan Ini'!$DJ:$DJ,'Area-Cabang'!$B121,'CWO Bulan Ini'!$DH:$DH,'Area-Cabang'!$E121,'CWO Bulan Ini'!$CZ:$CZ,'Area-Cabang'!CS$41)</f>
        <v>0</v>
      </c>
      <c r="CT121" s="43">
        <f>SUMIFS('CWO Bulan Ini'!$DC:$DC,'CWO Bulan Ini'!$DJ:$DJ,'Area-Cabang'!$B121,'CWO Bulan Ini'!$DH:$DH,'Area-Cabang'!$E121,'CWO Bulan Ini'!$CZ:$CZ,'Area-Cabang'!CT$41)</f>
        <v>0</v>
      </c>
      <c r="CV121" s="96">
        <f t="shared" si="3659"/>
        <v>0</v>
      </c>
      <c r="CW121" s="93">
        <f t="shared" si="3660"/>
        <v>0</v>
      </c>
      <c r="CX121" s="93">
        <f t="shared" si="3661"/>
        <v>0</v>
      </c>
      <c r="CY121" s="93">
        <f t="shared" si="3662"/>
        <v>0</v>
      </c>
      <c r="CZ121" s="106">
        <f t="shared" si="3663"/>
        <v>0</v>
      </c>
    </row>
    <row r="122" spans="1:104" ht="15" customHeight="1" x14ac:dyDescent="0.25">
      <c r="A122" s="58" t="s">
        <v>448</v>
      </c>
      <c r="B122" s="53" t="s">
        <v>833</v>
      </c>
      <c r="C122" s="252"/>
      <c r="D122" s="227" t="s">
        <v>833</v>
      </c>
      <c r="E122" s="228"/>
      <c r="F122" s="219">
        <f t="shared" ref="F122" si="3664">SUM(F120:F121)</f>
        <v>0</v>
      </c>
      <c r="G122" s="220">
        <f t="shared" ref="G122" si="3665">SUM(G120:G121)</f>
        <v>0</v>
      </c>
      <c r="H122" s="220">
        <f t="shared" ref="H122" si="3666">SUM(H120:H121)</f>
        <v>0</v>
      </c>
      <c r="I122" s="220">
        <f t="shared" ref="I122" si="3667">SUM(I120:I121)</f>
        <v>36.055194929999999</v>
      </c>
      <c r="J122" s="220">
        <f t="shared" ref="J122" si="3668">SUM(J120:J121)</f>
        <v>0</v>
      </c>
      <c r="K122" s="220">
        <f t="shared" ref="K122" si="3669">SUM(K120:K121)</f>
        <v>0</v>
      </c>
      <c r="L122" s="220">
        <f t="shared" ref="L122" si="3670">SUM(L120:L121)</f>
        <v>0</v>
      </c>
      <c r="M122" s="220">
        <f t="shared" ref="M122" si="3671">SUM(M120:M121)</f>
        <v>0</v>
      </c>
      <c r="N122" s="220">
        <f t="shared" ref="N122" si="3672">SUM(N120:N121)</f>
        <v>0</v>
      </c>
      <c r="O122" s="220">
        <f t="shared" ref="O122" si="3673">SUM(O120:O121)</f>
        <v>0</v>
      </c>
      <c r="P122" s="220">
        <f t="shared" ref="P122" si="3674">SUM(P120:P121)</f>
        <v>0</v>
      </c>
      <c r="Q122" s="220">
        <f t="shared" ref="Q122" si="3675">SUM(Q120:Q121)</f>
        <v>0</v>
      </c>
      <c r="R122" s="220">
        <f t="shared" ref="R122" si="3676">SUM(R120:R121)</f>
        <v>0</v>
      </c>
      <c r="S122" s="220">
        <f t="shared" ref="S122" si="3677">SUM(S120:S121)</f>
        <v>0</v>
      </c>
      <c r="T122" s="220">
        <f t="shared" ref="T122" si="3678">SUM(T120:T121)</f>
        <v>0</v>
      </c>
      <c r="U122" s="220">
        <f t="shared" ref="U122" si="3679">SUM(U120:U121)</f>
        <v>0</v>
      </c>
      <c r="V122" s="220">
        <f t="shared" ref="V122" si="3680">SUM(V120:V121)</f>
        <v>0</v>
      </c>
      <c r="W122" s="220">
        <f t="shared" ref="W122" si="3681">SUM(W120:W121)</f>
        <v>0</v>
      </c>
      <c r="X122" s="220">
        <f t="shared" ref="X122" si="3682">SUM(X120:X121)</f>
        <v>0</v>
      </c>
      <c r="Y122" s="220">
        <f t="shared" ref="Y122" si="3683">SUM(Y120:Y121)</f>
        <v>0</v>
      </c>
      <c r="Z122" s="220">
        <f t="shared" ref="Z122" si="3684">SUM(Z120:Z121)</f>
        <v>0</v>
      </c>
      <c r="AA122" s="220">
        <f t="shared" ref="AA122" si="3685">SUM(AA120:AA121)</f>
        <v>0</v>
      </c>
      <c r="AB122" s="220">
        <f t="shared" ref="AB122" si="3686">SUM(AB120:AB121)</f>
        <v>0</v>
      </c>
      <c r="AC122" s="220">
        <f t="shared" ref="AC122" si="3687">SUM(AC120:AC121)</f>
        <v>0</v>
      </c>
      <c r="AD122" s="220">
        <f t="shared" ref="AD122" si="3688">SUM(AD120:AD121)</f>
        <v>0</v>
      </c>
      <c r="AE122" s="220">
        <f t="shared" ref="AE122" si="3689">SUM(AE120:AE121)</f>
        <v>0</v>
      </c>
      <c r="AF122" s="220">
        <f t="shared" ref="AF122" si="3690">SUM(AF120:AF121)</f>
        <v>0</v>
      </c>
      <c r="AG122" s="220">
        <f t="shared" ref="AG122" si="3691">SUM(AG120:AG121)</f>
        <v>0</v>
      </c>
      <c r="AH122" s="220">
        <f t="shared" ref="AH122" si="3692">SUM(AH120:AH121)</f>
        <v>0</v>
      </c>
      <c r="AI122" s="220">
        <f t="shared" ref="AI122" si="3693">SUM(AI120:AI121)</f>
        <v>0</v>
      </c>
      <c r="AJ122" s="220">
        <f t="shared" ref="AJ122" si="3694">SUM(AJ120:AJ121)</f>
        <v>0</v>
      </c>
      <c r="AK122" s="219">
        <f t="shared" ref="AK122" si="3695">SUM(AK120:AK121)</f>
        <v>0</v>
      </c>
      <c r="AL122" s="220">
        <f t="shared" ref="AL122" si="3696">SUM(AL120:AL121)</f>
        <v>0</v>
      </c>
      <c r="AM122" s="220">
        <f t="shared" ref="AM122" si="3697">SUM(AM120:AM121)</f>
        <v>0</v>
      </c>
      <c r="AN122" s="220">
        <f t="shared" ref="AN122" si="3698">SUM(AN120:AN121)</f>
        <v>36.055194929999999</v>
      </c>
      <c r="AO122" s="220">
        <f t="shared" ref="AO122" si="3699">SUM(AO120:AO121)</f>
        <v>0</v>
      </c>
      <c r="AP122" s="220">
        <f t="shared" ref="AP122" si="3700">SUM(AP120:AP121)</f>
        <v>0</v>
      </c>
      <c r="AQ122" s="220">
        <f t="shared" ref="AQ122" si="3701">SUM(AQ120:AQ121)</f>
        <v>0</v>
      </c>
      <c r="AR122" s="220">
        <f t="shared" ref="AR122" si="3702">SUM(AR120:AR121)</f>
        <v>0</v>
      </c>
      <c r="AS122" s="220">
        <f t="shared" ref="AS122" si="3703">SUM(AS120:AS121)</f>
        <v>0</v>
      </c>
      <c r="AT122" s="220">
        <f t="shared" ref="AT122" si="3704">SUM(AT120:AT121)</f>
        <v>0</v>
      </c>
      <c r="AU122" s="220">
        <f t="shared" ref="AU122" si="3705">SUM(AU120:AU121)</f>
        <v>0</v>
      </c>
      <c r="AV122" s="220">
        <f t="shared" ref="AV122" si="3706">SUM(AV120:AV121)</f>
        <v>0</v>
      </c>
      <c r="AW122" s="220">
        <f t="shared" ref="AW122" si="3707">SUM(AW120:AW121)</f>
        <v>0</v>
      </c>
      <c r="AX122" s="220">
        <f t="shared" ref="AX122" si="3708">SUM(AX120:AX121)</f>
        <v>0</v>
      </c>
      <c r="AY122" s="220">
        <f t="shared" ref="AY122" si="3709">SUM(AY120:AY121)</f>
        <v>0</v>
      </c>
      <c r="AZ122" s="220">
        <f t="shared" ref="AZ122" si="3710">SUM(AZ120:AZ121)</f>
        <v>0</v>
      </c>
      <c r="BA122" s="220">
        <f t="shared" ref="BA122" si="3711">SUM(BA120:BA121)</f>
        <v>0</v>
      </c>
      <c r="BB122" s="220">
        <f t="shared" ref="BB122" si="3712">SUM(BB120:BB121)</f>
        <v>0</v>
      </c>
      <c r="BC122" s="220">
        <f t="shared" ref="BC122" si="3713">SUM(BC120:BC121)</f>
        <v>0</v>
      </c>
      <c r="BD122" s="220">
        <f t="shared" ref="BD122" si="3714">SUM(BD120:BD121)</f>
        <v>0</v>
      </c>
      <c r="BE122" s="220">
        <f t="shared" ref="BE122" si="3715">SUM(BE120:BE121)</f>
        <v>0</v>
      </c>
      <c r="BF122" s="220">
        <f t="shared" ref="BF122" si="3716">SUM(BF120:BF121)</f>
        <v>0</v>
      </c>
      <c r="BG122" s="220">
        <f t="shared" ref="BG122" si="3717">SUM(BG120:BG121)</f>
        <v>0</v>
      </c>
      <c r="BH122" s="220">
        <f t="shared" ref="BH122" si="3718">SUM(BH120:BH121)</f>
        <v>0</v>
      </c>
      <c r="BI122" s="220">
        <f t="shared" ref="BI122" si="3719">SUM(BI120:BI121)</f>
        <v>0</v>
      </c>
      <c r="BJ122" s="220">
        <f t="shared" ref="BJ122" si="3720">SUM(BJ120:BJ121)</f>
        <v>0</v>
      </c>
      <c r="BK122" s="220">
        <f t="shared" ref="BK122" si="3721">SUM(BK120:BK121)</f>
        <v>0</v>
      </c>
      <c r="BL122" s="220">
        <f t="shared" ref="BL122" si="3722">SUM(BL120:BL121)</f>
        <v>0</v>
      </c>
      <c r="BM122" s="220">
        <f t="shared" ref="BM122" si="3723">SUM(BM120:BM121)</f>
        <v>0</v>
      </c>
      <c r="BN122" s="220">
        <f t="shared" ref="BN122" si="3724">SUM(BN120:BN121)</f>
        <v>0</v>
      </c>
      <c r="BO122" s="221">
        <f t="shared" ref="BO122" si="3725">SUM(BO120:BO121)</f>
        <v>0</v>
      </c>
      <c r="BP122" s="219">
        <f t="shared" ref="BP122" si="3726">SUM(BP120:BP121)</f>
        <v>0</v>
      </c>
      <c r="BQ122" s="220">
        <f t="shared" ref="BQ122" si="3727">SUM(BQ120:BQ121)</f>
        <v>0</v>
      </c>
      <c r="BR122" s="220">
        <f t="shared" ref="BR122" si="3728">SUM(BR120:BR121)</f>
        <v>0</v>
      </c>
      <c r="BS122" s="220">
        <f t="shared" ref="BS122" si="3729">SUM(BS120:BS121)</f>
        <v>0</v>
      </c>
      <c r="BT122" s="220">
        <f t="shared" ref="BT122" si="3730">SUM(BT120:BT121)</f>
        <v>0</v>
      </c>
      <c r="BU122" s="220">
        <f t="shared" ref="BU122" si="3731">SUM(BU120:BU121)</f>
        <v>0</v>
      </c>
      <c r="BV122" s="220">
        <f t="shared" ref="BV122" si="3732">SUM(BV120:BV121)</f>
        <v>0</v>
      </c>
      <c r="BW122" s="220">
        <f t="shared" ref="BW122" si="3733">SUM(BW120:BW121)</f>
        <v>0</v>
      </c>
      <c r="BX122" s="220">
        <f t="shared" ref="BX122" si="3734">SUM(BX120:BX121)</f>
        <v>0</v>
      </c>
      <c r="BY122" s="220">
        <f t="shared" ref="BY122" si="3735">SUM(BY120:BY121)</f>
        <v>0</v>
      </c>
      <c r="BZ122" s="220">
        <f t="shared" ref="BZ122" si="3736">SUM(BZ120:BZ121)</f>
        <v>0</v>
      </c>
      <c r="CA122" s="220">
        <f t="shared" ref="CA122" si="3737">SUM(CA120:CA121)</f>
        <v>0</v>
      </c>
      <c r="CB122" s="220">
        <f t="shared" ref="CB122" si="3738">SUM(CB120:CB121)</f>
        <v>0</v>
      </c>
      <c r="CC122" s="220">
        <f t="shared" ref="CC122" si="3739">SUM(CC120:CC121)</f>
        <v>0</v>
      </c>
      <c r="CD122" s="220">
        <f t="shared" ref="CD122" si="3740">SUM(CD120:CD121)</f>
        <v>0</v>
      </c>
      <c r="CE122" s="220">
        <f t="shared" ref="CE122" si="3741">SUM(CE120:CE121)</f>
        <v>0</v>
      </c>
      <c r="CF122" s="220">
        <f t="shared" ref="CF122" si="3742">SUM(CF120:CF121)</f>
        <v>0</v>
      </c>
      <c r="CG122" s="220">
        <f t="shared" ref="CG122" si="3743">SUM(CG120:CG121)</f>
        <v>0</v>
      </c>
      <c r="CH122" s="220">
        <f t="shared" ref="CH122" si="3744">SUM(CH120:CH121)</f>
        <v>0</v>
      </c>
      <c r="CI122" s="220">
        <f t="shared" ref="CI122" si="3745">SUM(CI120:CI121)</f>
        <v>0</v>
      </c>
      <c r="CJ122" s="220">
        <f t="shared" ref="CJ122" si="3746">SUM(CJ120:CJ121)</f>
        <v>0</v>
      </c>
      <c r="CK122" s="220">
        <f t="shared" ref="CK122" si="3747">SUM(CK120:CK121)</f>
        <v>0</v>
      </c>
      <c r="CL122" s="220">
        <f t="shared" ref="CL122" si="3748">SUM(CL120:CL121)</f>
        <v>0</v>
      </c>
      <c r="CM122" s="220">
        <f t="shared" ref="CM122" si="3749">SUM(CM120:CM121)</f>
        <v>0</v>
      </c>
      <c r="CN122" s="220">
        <f t="shared" ref="CN122" si="3750">SUM(CN120:CN121)</f>
        <v>0</v>
      </c>
      <c r="CO122" s="220">
        <f t="shared" ref="CO122" si="3751">SUM(CO120:CO121)</f>
        <v>0</v>
      </c>
      <c r="CP122" s="220">
        <f t="shared" ref="CP122" si="3752">SUM(CP120:CP121)</f>
        <v>0</v>
      </c>
      <c r="CQ122" s="220">
        <f t="shared" ref="CQ122" si="3753">SUM(CQ120:CQ121)</f>
        <v>0</v>
      </c>
      <c r="CR122" s="220">
        <f t="shared" ref="CR122" si="3754">SUM(CR120:CR121)</f>
        <v>0</v>
      </c>
      <c r="CS122" s="220">
        <f t="shared" ref="CS122" si="3755">SUM(CS120:CS121)</f>
        <v>0</v>
      </c>
      <c r="CT122" s="221">
        <f t="shared" ref="CT122" si="3756">SUM(CT120:CT121)</f>
        <v>0</v>
      </c>
      <c r="CU122" s="226"/>
      <c r="CV122" s="219">
        <f t="shared" ref="CV122" si="3757">SUM(CV120:CV121)</f>
        <v>36.055194929999999</v>
      </c>
      <c r="CW122" s="220">
        <f t="shared" ref="CW122" si="3758">SUM(CW120:CW121)</f>
        <v>36.055194929999999</v>
      </c>
      <c r="CX122" s="220">
        <f t="shared" ref="CX122" si="3759">SUM(CX120:CX121)</f>
        <v>0</v>
      </c>
      <c r="CY122" s="220">
        <f t="shared" ref="CY122" si="3760">SUM(CY120:CY121)</f>
        <v>0</v>
      </c>
      <c r="CZ122" s="222">
        <f t="shared" ref="CZ122" si="3761">SUM(CZ120:CZ121)</f>
        <v>36.055194929999999</v>
      </c>
    </row>
    <row r="123" spans="1:104" ht="15" customHeight="1" x14ac:dyDescent="0.25">
      <c r="A123" s="53" t="s">
        <v>454</v>
      </c>
      <c r="B123" s="53" t="s">
        <v>329</v>
      </c>
      <c r="C123" s="249" t="s">
        <v>454</v>
      </c>
      <c r="D123" s="245" t="s">
        <v>329</v>
      </c>
      <c r="E123" s="85" t="s">
        <v>132</v>
      </c>
      <c r="F123" s="55">
        <f>SUMIFS('CWO Bulan Ini'!$DA:$DA,'CWO Bulan Ini'!$DJ:$DJ,'Area-Cabang'!$B123,'CWO Bulan Ini'!$DH:$DH,'Area-Cabang'!$E123,'CWO Bulan Ini'!$CZ:$CZ,'Area-Cabang'!F$41)</f>
        <v>0</v>
      </c>
      <c r="G123" s="56">
        <f>SUMIFS('CWO Bulan Ini'!$DA:$DA,'CWO Bulan Ini'!$DJ:$DJ,'Area-Cabang'!$B123,'CWO Bulan Ini'!$DH:$DH,'Area-Cabang'!$E123,'CWO Bulan Ini'!$CZ:$CZ,'Area-Cabang'!G$41)</f>
        <v>0</v>
      </c>
      <c r="H123" s="56">
        <f>SUMIFS('CWO Bulan Ini'!$DA:$DA,'CWO Bulan Ini'!$DJ:$DJ,'Area-Cabang'!$B123,'CWO Bulan Ini'!$DH:$DH,'Area-Cabang'!$E123,'CWO Bulan Ini'!$CZ:$CZ,'Area-Cabang'!H$41)</f>
        <v>0</v>
      </c>
      <c r="I123" s="56">
        <f>SUMIFS('CWO Bulan Ini'!$DA:$DA,'CWO Bulan Ini'!$DJ:$DJ,'Area-Cabang'!$B123,'CWO Bulan Ini'!$DH:$DH,'Area-Cabang'!$E123,'CWO Bulan Ini'!$CZ:$CZ,'Area-Cabang'!I$41)</f>
        <v>0</v>
      </c>
      <c r="J123" s="56">
        <f>SUMIFS('CWO Bulan Ini'!$DA:$DA,'CWO Bulan Ini'!$DJ:$DJ,'Area-Cabang'!$B123,'CWO Bulan Ini'!$DH:$DH,'Area-Cabang'!$E123,'CWO Bulan Ini'!$CZ:$CZ,'Area-Cabang'!J$41)</f>
        <v>0</v>
      </c>
      <c r="K123" s="56">
        <f>SUMIFS('CWO Bulan Ini'!$DA:$DA,'CWO Bulan Ini'!$DJ:$DJ,'Area-Cabang'!$B123,'CWO Bulan Ini'!$DH:$DH,'Area-Cabang'!$E123,'CWO Bulan Ini'!$CZ:$CZ,'Area-Cabang'!K$41)</f>
        <v>0</v>
      </c>
      <c r="L123" s="56">
        <f>SUMIFS('CWO Bulan Ini'!$DA:$DA,'CWO Bulan Ini'!$DJ:$DJ,'Area-Cabang'!$B123,'CWO Bulan Ini'!$DH:$DH,'Area-Cabang'!$E123,'CWO Bulan Ini'!$CZ:$CZ,'Area-Cabang'!L$41)</f>
        <v>0</v>
      </c>
      <c r="M123" s="56">
        <f>SUMIFS('CWO Bulan Ini'!$DA:$DA,'CWO Bulan Ini'!$DJ:$DJ,'Area-Cabang'!$B123,'CWO Bulan Ini'!$DH:$DH,'Area-Cabang'!$E123,'CWO Bulan Ini'!$CZ:$CZ,'Area-Cabang'!M$41)</f>
        <v>0</v>
      </c>
      <c r="N123" s="56">
        <f>SUMIFS('CWO Bulan Ini'!$DA:$DA,'CWO Bulan Ini'!$DJ:$DJ,'Area-Cabang'!$B123,'CWO Bulan Ini'!$DH:$DH,'Area-Cabang'!$E123,'CWO Bulan Ini'!$CZ:$CZ,'Area-Cabang'!N$41)</f>
        <v>0</v>
      </c>
      <c r="O123" s="56">
        <f>SUMIFS('CWO Bulan Ini'!$DA:$DA,'CWO Bulan Ini'!$DJ:$DJ,'Area-Cabang'!$B123,'CWO Bulan Ini'!$DH:$DH,'Area-Cabang'!$E123,'CWO Bulan Ini'!$CZ:$CZ,'Area-Cabang'!O$41)</f>
        <v>0</v>
      </c>
      <c r="P123" s="56">
        <f>SUMIFS('CWO Bulan Ini'!$DA:$DA,'CWO Bulan Ini'!$DJ:$DJ,'Area-Cabang'!$B123,'CWO Bulan Ini'!$DH:$DH,'Area-Cabang'!$E123,'CWO Bulan Ini'!$CZ:$CZ,'Area-Cabang'!P$41)</f>
        <v>0</v>
      </c>
      <c r="Q123" s="56">
        <f>SUMIFS('CWO Bulan Ini'!$DA:$DA,'CWO Bulan Ini'!$DJ:$DJ,'Area-Cabang'!$B123,'CWO Bulan Ini'!$DH:$DH,'Area-Cabang'!$E123,'CWO Bulan Ini'!$CZ:$CZ,'Area-Cabang'!Q$41)</f>
        <v>0</v>
      </c>
      <c r="R123" s="56">
        <f>SUMIFS('CWO Bulan Ini'!$DA:$DA,'CWO Bulan Ini'!$DJ:$DJ,'Area-Cabang'!$B123,'CWO Bulan Ini'!$DH:$DH,'Area-Cabang'!$E123,'CWO Bulan Ini'!$CZ:$CZ,'Area-Cabang'!R$41)</f>
        <v>0</v>
      </c>
      <c r="S123" s="56">
        <f>SUMIFS('CWO Bulan Ini'!$DA:$DA,'CWO Bulan Ini'!$DJ:$DJ,'Area-Cabang'!$B123,'CWO Bulan Ini'!$DH:$DH,'Area-Cabang'!$E123,'CWO Bulan Ini'!$CZ:$CZ,'Area-Cabang'!S$41)</f>
        <v>0</v>
      </c>
      <c r="T123" s="56">
        <f>SUMIFS('CWO Bulan Ini'!$DA:$DA,'CWO Bulan Ini'!$DJ:$DJ,'Area-Cabang'!$B123,'CWO Bulan Ini'!$DH:$DH,'Area-Cabang'!$E123,'CWO Bulan Ini'!$CZ:$CZ,'Area-Cabang'!T$41)</f>
        <v>0</v>
      </c>
      <c r="U123" s="56">
        <f>SUMIFS('CWO Bulan Ini'!$DA:$DA,'CWO Bulan Ini'!$DJ:$DJ,'Area-Cabang'!$B123,'CWO Bulan Ini'!$DH:$DH,'Area-Cabang'!$E123,'CWO Bulan Ini'!$CZ:$CZ,'Area-Cabang'!U$41)</f>
        <v>0</v>
      </c>
      <c r="V123" s="56">
        <f>SUMIFS('CWO Bulan Ini'!$DA:$DA,'CWO Bulan Ini'!$DJ:$DJ,'Area-Cabang'!$B123,'CWO Bulan Ini'!$DH:$DH,'Area-Cabang'!$E123,'CWO Bulan Ini'!$CZ:$CZ,'Area-Cabang'!V$41)</f>
        <v>0</v>
      </c>
      <c r="W123" s="56">
        <f>SUMIFS('CWO Bulan Ini'!$DA:$DA,'CWO Bulan Ini'!$DJ:$DJ,'Area-Cabang'!$B123,'CWO Bulan Ini'!$DH:$DH,'Area-Cabang'!$E123,'CWO Bulan Ini'!$CZ:$CZ,'Area-Cabang'!W$41)</f>
        <v>11.08711173</v>
      </c>
      <c r="X123" s="56">
        <f>SUMIFS('CWO Bulan Ini'!$DA:$DA,'CWO Bulan Ini'!$DJ:$DJ,'Area-Cabang'!$B123,'CWO Bulan Ini'!$DH:$DH,'Area-Cabang'!$E123,'CWO Bulan Ini'!$CZ:$CZ,'Area-Cabang'!X$41)</f>
        <v>0</v>
      </c>
      <c r="Y123" s="56">
        <f>SUMIFS('CWO Bulan Ini'!$DA:$DA,'CWO Bulan Ini'!$DJ:$DJ,'Area-Cabang'!$B123,'CWO Bulan Ini'!$DH:$DH,'Area-Cabang'!$E123,'CWO Bulan Ini'!$CZ:$CZ,'Area-Cabang'!Y$41)</f>
        <v>0</v>
      </c>
      <c r="Z123" s="56">
        <f>SUMIFS('CWO Bulan Ini'!$DA:$DA,'CWO Bulan Ini'!$DJ:$DJ,'Area-Cabang'!$B123,'CWO Bulan Ini'!$DH:$DH,'Area-Cabang'!$E123,'CWO Bulan Ini'!$CZ:$CZ,'Area-Cabang'!Z$41)</f>
        <v>0</v>
      </c>
      <c r="AA123" s="56">
        <f>SUMIFS('CWO Bulan Ini'!$DA:$DA,'CWO Bulan Ini'!$DJ:$DJ,'Area-Cabang'!$B123,'CWO Bulan Ini'!$DH:$DH,'Area-Cabang'!$E123,'CWO Bulan Ini'!$CZ:$CZ,'Area-Cabang'!AA$41)</f>
        <v>0</v>
      </c>
      <c r="AB123" s="56">
        <f>SUMIFS('CWO Bulan Ini'!$DA:$DA,'CWO Bulan Ini'!$DJ:$DJ,'Area-Cabang'!$B123,'CWO Bulan Ini'!$DH:$DH,'Area-Cabang'!$E123,'CWO Bulan Ini'!$CZ:$CZ,'Area-Cabang'!AB$41)</f>
        <v>0</v>
      </c>
      <c r="AC123" s="56">
        <f>SUMIFS('CWO Bulan Ini'!$DA:$DA,'CWO Bulan Ini'!$DJ:$DJ,'Area-Cabang'!$B123,'CWO Bulan Ini'!$DH:$DH,'Area-Cabang'!$E123,'CWO Bulan Ini'!$CZ:$CZ,'Area-Cabang'!AC$41)</f>
        <v>0</v>
      </c>
      <c r="AD123" s="56">
        <f>SUMIFS('CWO Bulan Ini'!$DA:$DA,'CWO Bulan Ini'!$DJ:$DJ,'Area-Cabang'!$B123,'CWO Bulan Ini'!$DH:$DH,'Area-Cabang'!$E123,'CWO Bulan Ini'!$CZ:$CZ,'Area-Cabang'!AD$41)</f>
        <v>0</v>
      </c>
      <c r="AE123" s="56">
        <f>SUMIFS('CWO Bulan Ini'!$DA:$DA,'CWO Bulan Ini'!$DJ:$DJ,'Area-Cabang'!$B123,'CWO Bulan Ini'!$DH:$DH,'Area-Cabang'!$E123,'CWO Bulan Ini'!$CZ:$CZ,'Area-Cabang'!AE$41)</f>
        <v>0</v>
      </c>
      <c r="AF123" s="56">
        <f>SUMIFS('CWO Bulan Ini'!$DA:$DA,'CWO Bulan Ini'!$DJ:$DJ,'Area-Cabang'!$B123,'CWO Bulan Ini'!$DH:$DH,'Area-Cabang'!$E123,'CWO Bulan Ini'!$CZ:$CZ,'Area-Cabang'!AF$41)</f>
        <v>0</v>
      </c>
      <c r="AG123" s="56">
        <f>SUMIFS('CWO Bulan Ini'!$DA:$DA,'CWO Bulan Ini'!$DJ:$DJ,'Area-Cabang'!$B123,'CWO Bulan Ini'!$DH:$DH,'Area-Cabang'!$E123,'CWO Bulan Ini'!$CZ:$CZ,'Area-Cabang'!AG$41)</f>
        <v>0</v>
      </c>
      <c r="AH123" s="56">
        <f>SUMIFS('CWO Bulan Ini'!$DA:$DA,'CWO Bulan Ini'!$DJ:$DJ,'Area-Cabang'!$B123,'CWO Bulan Ini'!$DH:$DH,'Area-Cabang'!$E123,'CWO Bulan Ini'!$CZ:$CZ,'Area-Cabang'!AH$41)</f>
        <v>0</v>
      </c>
      <c r="AI123" s="56">
        <f>SUMIFS('CWO Bulan Ini'!$DA:$DA,'CWO Bulan Ini'!$DJ:$DJ,'Area-Cabang'!$B123,'CWO Bulan Ini'!$DH:$DH,'Area-Cabang'!$E123,'CWO Bulan Ini'!$CZ:$CZ,'Area-Cabang'!AI$41)</f>
        <v>0</v>
      </c>
      <c r="AJ123" s="56">
        <f>SUMIFS('CWO Bulan Ini'!$DA:$DA,'CWO Bulan Ini'!$DJ:$DJ,'Area-Cabang'!$B123,'CWO Bulan Ini'!$DH:$DH,'Area-Cabang'!$E123,'CWO Bulan Ini'!$CZ:$CZ,'Area-Cabang'!AJ$41)</f>
        <v>0</v>
      </c>
      <c r="AK123" s="55">
        <f>SUMIFS('CWO Bulan Ini'!$DD:$DD,'CWO Bulan Ini'!$DJ:$DJ,'Area-Cabang'!$B123,'CWO Bulan Ini'!$DH:$DH,'Area-Cabang'!$E123,'CWO Bulan Ini'!$CZ:$CZ,'Area-Cabang'!AK$41)</f>
        <v>0</v>
      </c>
      <c r="AL123" s="56">
        <f>SUMIFS('CWO Bulan Ini'!$DD:$DD,'CWO Bulan Ini'!$DJ:$DJ,'Area-Cabang'!$B123,'CWO Bulan Ini'!$DH:$DH,'Area-Cabang'!$E123,'CWO Bulan Ini'!$CZ:$CZ,'Area-Cabang'!AL$41)</f>
        <v>0</v>
      </c>
      <c r="AM123" s="56">
        <f>SUMIFS('CWO Bulan Ini'!$DD:$DD,'CWO Bulan Ini'!$DJ:$DJ,'Area-Cabang'!$B123,'CWO Bulan Ini'!$DH:$DH,'Area-Cabang'!$E123,'CWO Bulan Ini'!$CZ:$CZ,'Area-Cabang'!AM$41)</f>
        <v>0</v>
      </c>
      <c r="AN123" s="56">
        <f>SUMIFS('CWO Bulan Ini'!$DD:$DD,'CWO Bulan Ini'!$DJ:$DJ,'Area-Cabang'!$B123,'CWO Bulan Ini'!$DH:$DH,'Area-Cabang'!$E123,'CWO Bulan Ini'!$CZ:$CZ,'Area-Cabang'!AN$41)</f>
        <v>0</v>
      </c>
      <c r="AO123" s="56">
        <f>SUMIFS('CWO Bulan Ini'!$DD:$DD,'CWO Bulan Ini'!$DJ:$DJ,'Area-Cabang'!$B123,'CWO Bulan Ini'!$DH:$DH,'Area-Cabang'!$E123,'CWO Bulan Ini'!$CZ:$CZ,'Area-Cabang'!AO$41)</f>
        <v>0</v>
      </c>
      <c r="AP123" s="56">
        <f>SUMIFS('CWO Bulan Ini'!$DD:$DD,'CWO Bulan Ini'!$DJ:$DJ,'Area-Cabang'!$B123,'CWO Bulan Ini'!$DH:$DH,'Area-Cabang'!$E123,'CWO Bulan Ini'!$CZ:$CZ,'Area-Cabang'!AP$41)</f>
        <v>0</v>
      </c>
      <c r="AQ123" s="56">
        <f>SUMIFS('CWO Bulan Ini'!$DD:$DD,'CWO Bulan Ini'!$DJ:$DJ,'Area-Cabang'!$B123,'CWO Bulan Ini'!$DH:$DH,'Area-Cabang'!$E123,'CWO Bulan Ini'!$CZ:$CZ,'Area-Cabang'!AQ$41)</f>
        <v>0</v>
      </c>
      <c r="AR123" s="56">
        <f>SUMIFS('CWO Bulan Ini'!$DD:$DD,'CWO Bulan Ini'!$DJ:$DJ,'Area-Cabang'!$B123,'CWO Bulan Ini'!$DH:$DH,'Area-Cabang'!$E123,'CWO Bulan Ini'!$CZ:$CZ,'Area-Cabang'!AR$41)</f>
        <v>0</v>
      </c>
      <c r="AS123" s="56">
        <f>SUMIFS('CWO Bulan Ini'!$DD:$DD,'CWO Bulan Ini'!$DJ:$DJ,'Area-Cabang'!$B123,'CWO Bulan Ini'!$DH:$DH,'Area-Cabang'!$E123,'CWO Bulan Ini'!$CZ:$CZ,'Area-Cabang'!AS$41)</f>
        <v>0</v>
      </c>
      <c r="AT123" s="56">
        <f>SUMIFS('CWO Bulan Ini'!$DD:$DD,'CWO Bulan Ini'!$DJ:$DJ,'Area-Cabang'!$B123,'CWO Bulan Ini'!$DH:$DH,'Area-Cabang'!$E123,'CWO Bulan Ini'!$CZ:$CZ,'Area-Cabang'!AT$41)</f>
        <v>0</v>
      </c>
      <c r="AU123" s="56">
        <f>SUMIFS('CWO Bulan Ini'!$DD:$DD,'CWO Bulan Ini'!$DJ:$DJ,'Area-Cabang'!$B123,'CWO Bulan Ini'!$DH:$DH,'Area-Cabang'!$E123,'CWO Bulan Ini'!$CZ:$CZ,'Area-Cabang'!AU$41)</f>
        <v>0</v>
      </c>
      <c r="AV123" s="56">
        <f>SUMIFS('CWO Bulan Ini'!$DD:$DD,'CWO Bulan Ini'!$DJ:$DJ,'Area-Cabang'!$B123,'CWO Bulan Ini'!$DH:$DH,'Area-Cabang'!$E123,'CWO Bulan Ini'!$CZ:$CZ,'Area-Cabang'!AV$41)</f>
        <v>0</v>
      </c>
      <c r="AW123" s="56">
        <f>SUMIFS('CWO Bulan Ini'!$DD:$DD,'CWO Bulan Ini'!$DJ:$DJ,'Area-Cabang'!$B123,'CWO Bulan Ini'!$DH:$DH,'Area-Cabang'!$E123,'CWO Bulan Ini'!$CZ:$CZ,'Area-Cabang'!AW$41)</f>
        <v>0</v>
      </c>
      <c r="AX123" s="56">
        <f>SUMIFS('CWO Bulan Ini'!$DD:$DD,'CWO Bulan Ini'!$DJ:$DJ,'Area-Cabang'!$B123,'CWO Bulan Ini'!$DH:$DH,'Area-Cabang'!$E123,'CWO Bulan Ini'!$CZ:$CZ,'Area-Cabang'!AX$41)</f>
        <v>0</v>
      </c>
      <c r="AY123" s="56">
        <f>SUMIFS('CWO Bulan Ini'!$DD:$DD,'CWO Bulan Ini'!$DJ:$DJ,'Area-Cabang'!$B123,'CWO Bulan Ini'!$DH:$DH,'Area-Cabang'!$E123,'CWO Bulan Ini'!$CZ:$CZ,'Area-Cabang'!AY$41)</f>
        <v>0</v>
      </c>
      <c r="AZ123" s="56">
        <f>SUMIFS('CWO Bulan Ini'!$DD:$DD,'CWO Bulan Ini'!$DJ:$DJ,'Area-Cabang'!$B123,'CWO Bulan Ini'!$DH:$DH,'Area-Cabang'!$E123,'CWO Bulan Ini'!$CZ:$CZ,'Area-Cabang'!AZ$41)</f>
        <v>0</v>
      </c>
      <c r="BA123" s="56">
        <f>SUMIFS('CWO Bulan Ini'!$DD:$DD,'CWO Bulan Ini'!$DJ:$DJ,'Area-Cabang'!$B123,'CWO Bulan Ini'!$DH:$DH,'Area-Cabang'!$E123,'CWO Bulan Ini'!$CZ:$CZ,'Area-Cabang'!BA$41)</f>
        <v>0</v>
      </c>
      <c r="BB123" s="56">
        <f>SUMIFS('CWO Bulan Ini'!$DD:$DD,'CWO Bulan Ini'!$DJ:$DJ,'Area-Cabang'!$B123,'CWO Bulan Ini'!$DH:$DH,'Area-Cabang'!$E123,'CWO Bulan Ini'!$CZ:$CZ,'Area-Cabang'!BB$41)</f>
        <v>0</v>
      </c>
      <c r="BC123" s="56">
        <f>SUMIFS('CWO Bulan Ini'!$DD:$DD,'CWO Bulan Ini'!$DJ:$DJ,'Area-Cabang'!$B123,'CWO Bulan Ini'!$DH:$DH,'Area-Cabang'!$E123,'CWO Bulan Ini'!$CZ:$CZ,'Area-Cabang'!BC$41)</f>
        <v>0</v>
      </c>
      <c r="BD123" s="56">
        <f>SUMIFS('CWO Bulan Ini'!$DD:$DD,'CWO Bulan Ini'!$DJ:$DJ,'Area-Cabang'!$B123,'CWO Bulan Ini'!$DH:$DH,'Area-Cabang'!$E123,'CWO Bulan Ini'!$CZ:$CZ,'Area-Cabang'!BD$41)</f>
        <v>0</v>
      </c>
      <c r="BE123" s="56">
        <f>SUMIFS('CWO Bulan Ini'!$DD:$DD,'CWO Bulan Ini'!$DJ:$DJ,'Area-Cabang'!$B123,'CWO Bulan Ini'!$DH:$DH,'Area-Cabang'!$E123,'CWO Bulan Ini'!$CZ:$CZ,'Area-Cabang'!BE$41)</f>
        <v>0</v>
      </c>
      <c r="BF123" s="56">
        <f>SUMIFS('CWO Bulan Ini'!$DD:$DD,'CWO Bulan Ini'!$DJ:$DJ,'Area-Cabang'!$B123,'CWO Bulan Ini'!$DH:$DH,'Area-Cabang'!$E123,'CWO Bulan Ini'!$CZ:$CZ,'Area-Cabang'!BF$41)</f>
        <v>0</v>
      </c>
      <c r="BG123" s="56">
        <f>SUMIFS('CWO Bulan Ini'!$DD:$DD,'CWO Bulan Ini'!$DJ:$DJ,'Area-Cabang'!$B123,'CWO Bulan Ini'!$DH:$DH,'Area-Cabang'!$E123,'CWO Bulan Ini'!$CZ:$CZ,'Area-Cabang'!BG$41)</f>
        <v>0</v>
      </c>
      <c r="BH123" s="56">
        <f>SUMIFS('CWO Bulan Ini'!$DD:$DD,'CWO Bulan Ini'!$DJ:$DJ,'Area-Cabang'!$B123,'CWO Bulan Ini'!$DH:$DH,'Area-Cabang'!$E123,'CWO Bulan Ini'!$CZ:$CZ,'Area-Cabang'!BH$41)</f>
        <v>0</v>
      </c>
      <c r="BI123" s="56">
        <f>SUMIFS('CWO Bulan Ini'!$DD:$DD,'CWO Bulan Ini'!$DJ:$DJ,'Area-Cabang'!$B123,'CWO Bulan Ini'!$DH:$DH,'Area-Cabang'!$E123,'CWO Bulan Ini'!$CZ:$CZ,'Area-Cabang'!BI$41)</f>
        <v>0</v>
      </c>
      <c r="BJ123" s="56">
        <f>SUMIFS('CWO Bulan Ini'!$DD:$DD,'CWO Bulan Ini'!$DJ:$DJ,'Area-Cabang'!$B123,'CWO Bulan Ini'!$DH:$DH,'Area-Cabang'!$E123,'CWO Bulan Ini'!$CZ:$CZ,'Area-Cabang'!BJ$41)</f>
        <v>0</v>
      </c>
      <c r="BK123" s="56">
        <f>SUMIFS('CWO Bulan Ini'!$DD:$DD,'CWO Bulan Ini'!$DJ:$DJ,'Area-Cabang'!$B123,'CWO Bulan Ini'!$DH:$DH,'Area-Cabang'!$E123,'CWO Bulan Ini'!$CZ:$CZ,'Area-Cabang'!BK$41)</f>
        <v>0</v>
      </c>
      <c r="BL123" s="56">
        <f>SUMIFS('CWO Bulan Ini'!$DD:$DD,'CWO Bulan Ini'!$DJ:$DJ,'Area-Cabang'!$B123,'CWO Bulan Ini'!$DH:$DH,'Area-Cabang'!$E123,'CWO Bulan Ini'!$CZ:$CZ,'Area-Cabang'!BL$41)</f>
        <v>0</v>
      </c>
      <c r="BM123" s="56">
        <f>SUMIFS('CWO Bulan Ini'!$DD:$DD,'CWO Bulan Ini'!$DJ:$DJ,'Area-Cabang'!$B123,'CWO Bulan Ini'!$DH:$DH,'Area-Cabang'!$E123,'CWO Bulan Ini'!$CZ:$CZ,'Area-Cabang'!BM$41)</f>
        <v>0</v>
      </c>
      <c r="BN123" s="56">
        <f>SUMIFS('CWO Bulan Ini'!$DD:$DD,'CWO Bulan Ini'!$DJ:$DJ,'Area-Cabang'!$B123,'CWO Bulan Ini'!$DH:$DH,'Area-Cabang'!$E123,'CWO Bulan Ini'!$CZ:$CZ,'Area-Cabang'!BN$41)</f>
        <v>0</v>
      </c>
      <c r="BO123" s="57">
        <f>SUMIFS('CWO Bulan Ini'!$DD:$DD,'CWO Bulan Ini'!$DJ:$DJ,'Area-Cabang'!$B123,'CWO Bulan Ini'!$DH:$DH,'Area-Cabang'!$E123,'CWO Bulan Ini'!$CZ:$CZ,'Area-Cabang'!BO$41)</f>
        <v>0</v>
      </c>
      <c r="BP123" s="55">
        <f>SUMIFS('CWO Bulan Ini'!$DC:$DC,'CWO Bulan Ini'!$DJ:$DJ,'Area-Cabang'!$B123,'CWO Bulan Ini'!$DH:$DH,'Area-Cabang'!$E123,'CWO Bulan Ini'!$CZ:$CZ,'Area-Cabang'!BP$41)</f>
        <v>0</v>
      </c>
      <c r="BQ123" s="56">
        <f>SUMIFS('CWO Bulan Ini'!$DC:$DC,'CWO Bulan Ini'!$DJ:$DJ,'Area-Cabang'!$B123,'CWO Bulan Ini'!$DH:$DH,'Area-Cabang'!$E123,'CWO Bulan Ini'!$CZ:$CZ,'Area-Cabang'!BQ$41)</f>
        <v>0</v>
      </c>
      <c r="BR123" s="56">
        <f>SUMIFS('CWO Bulan Ini'!$DC:$DC,'CWO Bulan Ini'!$DJ:$DJ,'Area-Cabang'!$B123,'CWO Bulan Ini'!$DH:$DH,'Area-Cabang'!$E123,'CWO Bulan Ini'!$CZ:$CZ,'Area-Cabang'!BR$41)</f>
        <v>0</v>
      </c>
      <c r="BS123" s="56">
        <f>SUMIFS('CWO Bulan Ini'!$DC:$DC,'CWO Bulan Ini'!$DJ:$DJ,'Area-Cabang'!$B123,'CWO Bulan Ini'!$DH:$DH,'Area-Cabang'!$E123,'CWO Bulan Ini'!$CZ:$CZ,'Area-Cabang'!BS$41)</f>
        <v>0</v>
      </c>
      <c r="BT123" s="56">
        <f>SUMIFS('CWO Bulan Ini'!$DC:$DC,'CWO Bulan Ini'!$DJ:$DJ,'Area-Cabang'!$B123,'CWO Bulan Ini'!$DH:$DH,'Area-Cabang'!$E123,'CWO Bulan Ini'!$CZ:$CZ,'Area-Cabang'!BT$41)</f>
        <v>0</v>
      </c>
      <c r="BU123" s="56">
        <f>SUMIFS('CWO Bulan Ini'!$DC:$DC,'CWO Bulan Ini'!$DJ:$DJ,'Area-Cabang'!$B123,'CWO Bulan Ini'!$DH:$DH,'Area-Cabang'!$E123,'CWO Bulan Ini'!$CZ:$CZ,'Area-Cabang'!BU$41)</f>
        <v>0</v>
      </c>
      <c r="BV123" s="56">
        <f>SUMIFS('CWO Bulan Ini'!$DC:$DC,'CWO Bulan Ini'!$DJ:$DJ,'Area-Cabang'!$B123,'CWO Bulan Ini'!$DH:$DH,'Area-Cabang'!$E123,'CWO Bulan Ini'!$CZ:$CZ,'Area-Cabang'!BV$41)</f>
        <v>0</v>
      </c>
      <c r="BW123" s="56">
        <f>SUMIFS('CWO Bulan Ini'!$DC:$DC,'CWO Bulan Ini'!$DJ:$DJ,'Area-Cabang'!$B123,'CWO Bulan Ini'!$DH:$DH,'Area-Cabang'!$E123,'CWO Bulan Ini'!$CZ:$CZ,'Area-Cabang'!BW$41)</f>
        <v>0</v>
      </c>
      <c r="BX123" s="56">
        <f>SUMIFS('CWO Bulan Ini'!$DC:$DC,'CWO Bulan Ini'!$DJ:$DJ,'Area-Cabang'!$B123,'CWO Bulan Ini'!$DH:$DH,'Area-Cabang'!$E123,'CWO Bulan Ini'!$CZ:$CZ,'Area-Cabang'!BX$41)</f>
        <v>0</v>
      </c>
      <c r="BY123" s="56">
        <f>SUMIFS('CWO Bulan Ini'!$DC:$DC,'CWO Bulan Ini'!$DJ:$DJ,'Area-Cabang'!$B123,'CWO Bulan Ini'!$DH:$DH,'Area-Cabang'!$E123,'CWO Bulan Ini'!$CZ:$CZ,'Area-Cabang'!BY$41)</f>
        <v>0</v>
      </c>
      <c r="BZ123" s="56">
        <f>SUMIFS('CWO Bulan Ini'!$DC:$DC,'CWO Bulan Ini'!$DJ:$DJ,'Area-Cabang'!$B123,'CWO Bulan Ini'!$DH:$DH,'Area-Cabang'!$E123,'CWO Bulan Ini'!$CZ:$CZ,'Area-Cabang'!BZ$41)</f>
        <v>0</v>
      </c>
      <c r="CA123" s="56">
        <f>SUMIFS('CWO Bulan Ini'!$DC:$DC,'CWO Bulan Ini'!$DJ:$DJ,'Area-Cabang'!$B123,'CWO Bulan Ini'!$DH:$DH,'Area-Cabang'!$E123,'CWO Bulan Ini'!$CZ:$CZ,'Area-Cabang'!CA$41)</f>
        <v>0</v>
      </c>
      <c r="CB123" s="56">
        <f>SUMIFS('CWO Bulan Ini'!$DC:$DC,'CWO Bulan Ini'!$DJ:$DJ,'Area-Cabang'!$B123,'CWO Bulan Ini'!$DH:$DH,'Area-Cabang'!$E123,'CWO Bulan Ini'!$CZ:$CZ,'Area-Cabang'!CB$41)</f>
        <v>0</v>
      </c>
      <c r="CC123" s="56">
        <f>SUMIFS('CWO Bulan Ini'!$DC:$DC,'CWO Bulan Ini'!$DJ:$DJ,'Area-Cabang'!$B123,'CWO Bulan Ini'!$DH:$DH,'Area-Cabang'!$E123,'CWO Bulan Ini'!$CZ:$CZ,'Area-Cabang'!CC$41)</f>
        <v>0</v>
      </c>
      <c r="CD123" s="56">
        <f>SUMIFS('CWO Bulan Ini'!$DC:$DC,'CWO Bulan Ini'!$DJ:$DJ,'Area-Cabang'!$B123,'CWO Bulan Ini'!$DH:$DH,'Area-Cabang'!$E123,'CWO Bulan Ini'!$CZ:$CZ,'Area-Cabang'!CD$41)</f>
        <v>0</v>
      </c>
      <c r="CE123" s="56">
        <f>SUMIFS('CWO Bulan Ini'!$DC:$DC,'CWO Bulan Ini'!$DJ:$DJ,'Area-Cabang'!$B123,'CWO Bulan Ini'!$DH:$DH,'Area-Cabang'!$E123,'CWO Bulan Ini'!$CZ:$CZ,'Area-Cabang'!CE$41)</f>
        <v>0</v>
      </c>
      <c r="CF123" s="56">
        <f>SUMIFS('CWO Bulan Ini'!$DC:$DC,'CWO Bulan Ini'!$DJ:$DJ,'Area-Cabang'!$B123,'CWO Bulan Ini'!$DH:$DH,'Area-Cabang'!$E123,'CWO Bulan Ini'!$CZ:$CZ,'Area-Cabang'!CF$41)</f>
        <v>0</v>
      </c>
      <c r="CG123" s="56">
        <f>SUMIFS('CWO Bulan Ini'!$DC:$DC,'CWO Bulan Ini'!$DJ:$DJ,'Area-Cabang'!$B123,'CWO Bulan Ini'!$DH:$DH,'Area-Cabang'!$E123,'CWO Bulan Ini'!$CZ:$CZ,'Area-Cabang'!CG$41)</f>
        <v>0</v>
      </c>
      <c r="CH123" s="56">
        <f>SUMIFS('CWO Bulan Ini'!$DC:$DC,'CWO Bulan Ini'!$DJ:$DJ,'Area-Cabang'!$B123,'CWO Bulan Ini'!$DH:$DH,'Area-Cabang'!$E123,'CWO Bulan Ini'!$CZ:$CZ,'Area-Cabang'!CH$41)</f>
        <v>0</v>
      </c>
      <c r="CI123" s="56">
        <f>SUMIFS('CWO Bulan Ini'!$DC:$DC,'CWO Bulan Ini'!$DJ:$DJ,'Area-Cabang'!$B123,'CWO Bulan Ini'!$DH:$DH,'Area-Cabang'!$E123,'CWO Bulan Ini'!$CZ:$CZ,'Area-Cabang'!CI$41)</f>
        <v>0</v>
      </c>
      <c r="CJ123" s="56">
        <f>SUMIFS('CWO Bulan Ini'!$DC:$DC,'CWO Bulan Ini'!$DJ:$DJ,'Area-Cabang'!$B123,'CWO Bulan Ini'!$DH:$DH,'Area-Cabang'!$E123,'CWO Bulan Ini'!$CZ:$CZ,'Area-Cabang'!CJ$41)</f>
        <v>0</v>
      </c>
      <c r="CK123" s="56">
        <f>SUMIFS('CWO Bulan Ini'!$DC:$DC,'CWO Bulan Ini'!$DJ:$DJ,'Area-Cabang'!$B123,'CWO Bulan Ini'!$DH:$DH,'Area-Cabang'!$E123,'CWO Bulan Ini'!$CZ:$CZ,'Area-Cabang'!CK$41)</f>
        <v>0</v>
      </c>
      <c r="CL123" s="56">
        <f>SUMIFS('CWO Bulan Ini'!$DC:$DC,'CWO Bulan Ini'!$DJ:$DJ,'Area-Cabang'!$B123,'CWO Bulan Ini'!$DH:$DH,'Area-Cabang'!$E123,'CWO Bulan Ini'!$CZ:$CZ,'Area-Cabang'!CL$41)</f>
        <v>0</v>
      </c>
      <c r="CM123" s="56">
        <f>SUMIFS('CWO Bulan Ini'!$DC:$DC,'CWO Bulan Ini'!$DJ:$DJ,'Area-Cabang'!$B123,'CWO Bulan Ini'!$DH:$DH,'Area-Cabang'!$E123,'CWO Bulan Ini'!$CZ:$CZ,'Area-Cabang'!CM$41)</f>
        <v>0</v>
      </c>
      <c r="CN123" s="56">
        <f>SUMIFS('CWO Bulan Ini'!$DC:$DC,'CWO Bulan Ini'!$DJ:$DJ,'Area-Cabang'!$B123,'CWO Bulan Ini'!$DH:$DH,'Area-Cabang'!$E123,'CWO Bulan Ini'!$CZ:$CZ,'Area-Cabang'!CN$41)</f>
        <v>0</v>
      </c>
      <c r="CO123" s="56">
        <f>SUMIFS('CWO Bulan Ini'!$DC:$DC,'CWO Bulan Ini'!$DJ:$DJ,'Area-Cabang'!$B123,'CWO Bulan Ini'!$DH:$DH,'Area-Cabang'!$E123,'CWO Bulan Ini'!$CZ:$CZ,'Area-Cabang'!CO$41)</f>
        <v>0</v>
      </c>
      <c r="CP123" s="56">
        <f>SUMIFS('CWO Bulan Ini'!$DC:$DC,'CWO Bulan Ini'!$DJ:$DJ,'Area-Cabang'!$B123,'CWO Bulan Ini'!$DH:$DH,'Area-Cabang'!$E123,'CWO Bulan Ini'!$CZ:$CZ,'Area-Cabang'!CP$41)</f>
        <v>0</v>
      </c>
      <c r="CQ123" s="56">
        <f>SUMIFS('CWO Bulan Ini'!$DC:$DC,'CWO Bulan Ini'!$DJ:$DJ,'Area-Cabang'!$B123,'CWO Bulan Ini'!$DH:$DH,'Area-Cabang'!$E123,'CWO Bulan Ini'!$CZ:$CZ,'Area-Cabang'!CQ$41)</f>
        <v>0</v>
      </c>
      <c r="CR123" s="56">
        <f>SUMIFS('CWO Bulan Ini'!$DC:$DC,'CWO Bulan Ini'!$DJ:$DJ,'Area-Cabang'!$B123,'CWO Bulan Ini'!$DH:$DH,'Area-Cabang'!$E123,'CWO Bulan Ini'!$CZ:$CZ,'Area-Cabang'!CR$41)</f>
        <v>0</v>
      </c>
      <c r="CS123" s="56">
        <f>SUMIFS('CWO Bulan Ini'!$DC:$DC,'CWO Bulan Ini'!$DJ:$DJ,'Area-Cabang'!$B123,'CWO Bulan Ini'!$DH:$DH,'Area-Cabang'!$E123,'CWO Bulan Ini'!$CZ:$CZ,'Area-Cabang'!CS$41)</f>
        <v>0</v>
      </c>
      <c r="CT123" s="57">
        <f>SUMIFS('CWO Bulan Ini'!$DC:$DC,'CWO Bulan Ini'!$DJ:$DJ,'Area-Cabang'!$B123,'CWO Bulan Ini'!$DH:$DH,'Area-Cabang'!$E123,'CWO Bulan Ini'!$CZ:$CZ,'Area-Cabang'!CT$41)</f>
        <v>0</v>
      </c>
      <c r="CV123" s="97">
        <f t="shared" ref="CV123:CV124" si="3762">SUM(F123:AJ123)</f>
        <v>11.08711173</v>
      </c>
      <c r="CW123" s="98">
        <f t="shared" ref="CW123:CW124" si="3763">SUM(AK123:BO123)</f>
        <v>0</v>
      </c>
      <c r="CX123" s="98">
        <f t="shared" ref="CX123:CX124" si="3764">SUM(BP123:CT123)</f>
        <v>0</v>
      </c>
      <c r="CY123" s="98">
        <f t="shared" ref="CY123:CY124" si="3765">CV123-CW123-CX123</f>
        <v>11.08711173</v>
      </c>
      <c r="CZ123" s="105">
        <f t="shared" ref="CZ123:CZ124" si="3766">CY123+CW123</f>
        <v>11.08711173</v>
      </c>
    </row>
    <row r="124" spans="1:104" ht="15" customHeight="1" x14ac:dyDescent="0.25">
      <c r="A124" s="58" t="s">
        <v>454</v>
      </c>
      <c r="B124" s="58" t="s">
        <v>329</v>
      </c>
      <c r="C124" s="250"/>
      <c r="D124" s="244"/>
      <c r="E124" s="40" t="s">
        <v>349</v>
      </c>
      <c r="F124" s="41">
        <f>SUMIFS('CWO Bulan Ini'!$DA:$DA,'CWO Bulan Ini'!$DJ:$DJ,'Area-Cabang'!$B124,'CWO Bulan Ini'!$DH:$DH,'Area-Cabang'!$E124,'CWO Bulan Ini'!$CZ:$CZ,'Area-Cabang'!F$41)</f>
        <v>0</v>
      </c>
      <c r="G124" s="42">
        <f>SUMIFS('CWO Bulan Ini'!$DA:$DA,'CWO Bulan Ini'!$DJ:$DJ,'Area-Cabang'!$B124,'CWO Bulan Ini'!$DH:$DH,'Area-Cabang'!$E124,'CWO Bulan Ini'!$CZ:$CZ,'Area-Cabang'!G$41)</f>
        <v>0</v>
      </c>
      <c r="H124" s="42">
        <f>SUMIFS('CWO Bulan Ini'!$DA:$DA,'CWO Bulan Ini'!$DJ:$DJ,'Area-Cabang'!$B124,'CWO Bulan Ini'!$DH:$DH,'Area-Cabang'!$E124,'CWO Bulan Ini'!$CZ:$CZ,'Area-Cabang'!H$41)</f>
        <v>0</v>
      </c>
      <c r="I124" s="42">
        <f>SUMIFS('CWO Bulan Ini'!$DA:$DA,'CWO Bulan Ini'!$DJ:$DJ,'Area-Cabang'!$B124,'CWO Bulan Ini'!$DH:$DH,'Area-Cabang'!$E124,'CWO Bulan Ini'!$CZ:$CZ,'Area-Cabang'!I$41)</f>
        <v>0</v>
      </c>
      <c r="J124" s="42">
        <f>SUMIFS('CWO Bulan Ini'!$DA:$DA,'CWO Bulan Ini'!$DJ:$DJ,'Area-Cabang'!$B124,'CWO Bulan Ini'!$DH:$DH,'Area-Cabang'!$E124,'CWO Bulan Ini'!$CZ:$CZ,'Area-Cabang'!J$41)</f>
        <v>0</v>
      </c>
      <c r="K124" s="42">
        <f>SUMIFS('CWO Bulan Ini'!$DA:$DA,'CWO Bulan Ini'!$DJ:$DJ,'Area-Cabang'!$B124,'CWO Bulan Ini'!$DH:$DH,'Area-Cabang'!$E124,'CWO Bulan Ini'!$CZ:$CZ,'Area-Cabang'!K$41)</f>
        <v>0</v>
      </c>
      <c r="L124" s="42">
        <f>SUMIFS('CWO Bulan Ini'!$DA:$DA,'CWO Bulan Ini'!$DJ:$DJ,'Area-Cabang'!$B124,'CWO Bulan Ini'!$DH:$DH,'Area-Cabang'!$E124,'CWO Bulan Ini'!$CZ:$CZ,'Area-Cabang'!L$41)</f>
        <v>0</v>
      </c>
      <c r="M124" s="42">
        <f>SUMIFS('CWO Bulan Ini'!$DA:$DA,'CWO Bulan Ini'!$DJ:$DJ,'Area-Cabang'!$B124,'CWO Bulan Ini'!$DH:$DH,'Area-Cabang'!$E124,'CWO Bulan Ini'!$CZ:$CZ,'Area-Cabang'!M$41)</f>
        <v>0</v>
      </c>
      <c r="N124" s="42">
        <f>SUMIFS('CWO Bulan Ini'!$DA:$DA,'CWO Bulan Ini'!$DJ:$DJ,'Area-Cabang'!$B124,'CWO Bulan Ini'!$DH:$DH,'Area-Cabang'!$E124,'CWO Bulan Ini'!$CZ:$CZ,'Area-Cabang'!N$41)</f>
        <v>0</v>
      </c>
      <c r="O124" s="42">
        <f>SUMIFS('CWO Bulan Ini'!$DA:$DA,'CWO Bulan Ini'!$DJ:$DJ,'Area-Cabang'!$B124,'CWO Bulan Ini'!$DH:$DH,'Area-Cabang'!$E124,'CWO Bulan Ini'!$CZ:$CZ,'Area-Cabang'!O$41)</f>
        <v>0</v>
      </c>
      <c r="P124" s="42">
        <f>SUMIFS('CWO Bulan Ini'!$DA:$DA,'CWO Bulan Ini'!$DJ:$DJ,'Area-Cabang'!$B124,'CWO Bulan Ini'!$DH:$DH,'Area-Cabang'!$E124,'CWO Bulan Ini'!$CZ:$CZ,'Area-Cabang'!P$41)</f>
        <v>0</v>
      </c>
      <c r="Q124" s="42">
        <f>SUMIFS('CWO Bulan Ini'!$DA:$DA,'CWO Bulan Ini'!$DJ:$DJ,'Area-Cabang'!$B124,'CWO Bulan Ini'!$DH:$DH,'Area-Cabang'!$E124,'CWO Bulan Ini'!$CZ:$CZ,'Area-Cabang'!Q$41)</f>
        <v>0</v>
      </c>
      <c r="R124" s="42">
        <f>SUMIFS('CWO Bulan Ini'!$DA:$DA,'CWO Bulan Ini'!$DJ:$DJ,'Area-Cabang'!$B124,'CWO Bulan Ini'!$DH:$DH,'Area-Cabang'!$E124,'CWO Bulan Ini'!$CZ:$CZ,'Area-Cabang'!R$41)</f>
        <v>0</v>
      </c>
      <c r="S124" s="42">
        <f>SUMIFS('CWO Bulan Ini'!$DA:$DA,'CWO Bulan Ini'!$DJ:$DJ,'Area-Cabang'!$B124,'CWO Bulan Ini'!$DH:$DH,'Area-Cabang'!$E124,'CWO Bulan Ini'!$CZ:$CZ,'Area-Cabang'!S$41)</f>
        <v>0</v>
      </c>
      <c r="T124" s="42">
        <f>SUMIFS('CWO Bulan Ini'!$DA:$DA,'CWO Bulan Ini'!$DJ:$DJ,'Area-Cabang'!$B124,'CWO Bulan Ini'!$DH:$DH,'Area-Cabang'!$E124,'CWO Bulan Ini'!$CZ:$CZ,'Area-Cabang'!T$41)</f>
        <v>0</v>
      </c>
      <c r="U124" s="42">
        <f>SUMIFS('CWO Bulan Ini'!$DA:$DA,'CWO Bulan Ini'!$DJ:$DJ,'Area-Cabang'!$B124,'CWO Bulan Ini'!$DH:$DH,'Area-Cabang'!$E124,'CWO Bulan Ini'!$CZ:$CZ,'Area-Cabang'!U$41)</f>
        <v>0</v>
      </c>
      <c r="V124" s="42">
        <f>SUMIFS('CWO Bulan Ini'!$DA:$DA,'CWO Bulan Ini'!$DJ:$DJ,'Area-Cabang'!$B124,'CWO Bulan Ini'!$DH:$DH,'Area-Cabang'!$E124,'CWO Bulan Ini'!$CZ:$CZ,'Area-Cabang'!V$41)</f>
        <v>0</v>
      </c>
      <c r="W124" s="42">
        <f>SUMIFS('CWO Bulan Ini'!$DA:$DA,'CWO Bulan Ini'!$DJ:$DJ,'Area-Cabang'!$B124,'CWO Bulan Ini'!$DH:$DH,'Area-Cabang'!$E124,'CWO Bulan Ini'!$CZ:$CZ,'Area-Cabang'!W$41)</f>
        <v>0</v>
      </c>
      <c r="X124" s="42">
        <f>SUMIFS('CWO Bulan Ini'!$DA:$DA,'CWO Bulan Ini'!$DJ:$DJ,'Area-Cabang'!$B124,'CWO Bulan Ini'!$DH:$DH,'Area-Cabang'!$E124,'CWO Bulan Ini'!$CZ:$CZ,'Area-Cabang'!X$41)</f>
        <v>0</v>
      </c>
      <c r="Y124" s="42">
        <f>SUMIFS('CWO Bulan Ini'!$DA:$DA,'CWO Bulan Ini'!$DJ:$DJ,'Area-Cabang'!$B124,'CWO Bulan Ini'!$DH:$DH,'Area-Cabang'!$E124,'CWO Bulan Ini'!$CZ:$CZ,'Area-Cabang'!Y$41)</f>
        <v>0</v>
      </c>
      <c r="Z124" s="42">
        <f>SUMIFS('CWO Bulan Ini'!$DA:$DA,'CWO Bulan Ini'!$DJ:$DJ,'Area-Cabang'!$B124,'CWO Bulan Ini'!$DH:$DH,'Area-Cabang'!$E124,'CWO Bulan Ini'!$CZ:$CZ,'Area-Cabang'!Z$41)</f>
        <v>0</v>
      </c>
      <c r="AA124" s="42">
        <f>SUMIFS('CWO Bulan Ini'!$DA:$DA,'CWO Bulan Ini'!$DJ:$DJ,'Area-Cabang'!$B124,'CWO Bulan Ini'!$DH:$DH,'Area-Cabang'!$E124,'CWO Bulan Ini'!$CZ:$CZ,'Area-Cabang'!AA$41)</f>
        <v>0</v>
      </c>
      <c r="AB124" s="42">
        <f>SUMIFS('CWO Bulan Ini'!$DA:$DA,'CWO Bulan Ini'!$DJ:$DJ,'Area-Cabang'!$B124,'CWO Bulan Ini'!$DH:$DH,'Area-Cabang'!$E124,'CWO Bulan Ini'!$CZ:$CZ,'Area-Cabang'!AB$41)</f>
        <v>0</v>
      </c>
      <c r="AC124" s="42">
        <f>SUMIFS('CWO Bulan Ini'!$DA:$DA,'CWO Bulan Ini'!$DJ:$DJ,'Area-Cabang'!$B124,'CWO Bulan Ini'!$DH:$DH,'Area-Cabang'!$E124,'CWO Bulan Ini'!$CZ:$CZ,'Area-Cabang'!AC$41)</f>
        <v>0</v>
      </c>
      <c r="AD124" s="42">
        <f>SUMIFS('CWO Bulan Ini'!$DA:$DA,'CWO Bulan Ini'!$DJ:$DJ,'Area-Cabang'!$B124,'CWO Bulan Ini'!$DH:$DH,'Area-Cabang'!$E124,'CWO Bulan Ini'!$CZ:$CZ,'Area-Cabang'!AD$41)</f>
        <v>0</v>
      </c>
      <c r="AE124" s="42">
        <f>SUMIFS('CWO Bulan Ini'!$DA:$DA,'CWO Bulan Ini'!$DJ:$DJ,'Area-Cabang'!$B124,'CWO Bulan Ini'!$DH:$DH,'Area-Cabang'!$E124,'CWO Bulan Ini'!$CZ:$CZ,'Area-Cabang'!AE$41)</f>
        <v>0</v>
      </c>
      <c r="AF124" s="42">
        <f>SUMIFS('CWO Bulan Ini'!$DA:$DA,'CWO Bulan Ini'!$DJ:$DJ,'Area-Cabang'!$B124,'CWO Bulan Ini'!$DH:$DH,'Area-Cabang'!$E124,'CWO Bulan Ini'!$CZ:$CZ,'Area-Cabang'!AF$41)</f>
        <v>0</v>
      </c>
      <c r="AG124" s="42">
        <f>SUMIFS('CWO Bulan Ini'!$DA:$DA,'CWO Bulan Ini'!$DJ:$DJ,'Area-Cabang'!$B124,'CWO Bulan Ini'!$DH:$DH,'Area-Cabang'!$E124,'CWO Bulan Ini'!$CZ:$CZ,'Area-Cabang'!AG$41)</f>
        <v>0</v>
      </c>
      <c r="AH124" s="42">
        <f>SUMIFS('CWO Bulan Ini'!$DA:$DA,'CWO Bulan Ini'!$DJ:$DJ,'Area-Cabang'!$B124,'CWO Bulan Ini'!$DH:$DH,'Area-Cabang'!$E124,'CWO Bulan Ini'!$CZ:$CZ,'Area-Cabang'!AH$41)</f>
        <v>0</v>
      </c>
      <c r="AI124" s="42">
        <f>SUMIFS('CWO Bulan Ini'!$DA:$DA,'CWO Bulan Ini'!$DJ:$DJ,'Area-Cabang'!$B124,'CWO Bulan Ini'!$DH:$DH,'Area-Cabang'!$E124,'CWO Bulan Ini'!$CZ:$CZ,'Area-Cabang'!AI$41)</f>
        <v>0</v>
      </c>
      <c r="AJ124" s="42">
        <f>SUMIFS('CWO Bulan Ini'!$DA:$DA,'CWO Bulan Ini'!$DJ:$DJ,'Area-Cabang'!$B124,'CWO Bulan Ini'!$DH:$DH,'Area-Cabang'!$E124,'CWO Bulan Ini'!$CZ:$CZ,'Area-Cabang'!AJ$41)</f>
        <v>0</v>
      </c>
      <c r="AK124" s="41">
        <f>SUMIFS('CWO Bulan Ini'!$DD:$DD,'CWO Bulan Ini'!$DJ:$DJ,'Area-Cabang'!$B124,'CWO Bulan Ini'!$DH:$DH,'Area-Cabang'!$E124,'CWO Bulan Ini'!$CZ:$CZ,'Area-Cabang'!AK$41)</f>
        <v>0</v>
      </c>
      <c r="AL124" s="42">
        <f>SUMIFS('CWO Bulan Ini'!$DD:$DD,'CWO Bulan Ini'!$DJ:$DJ,'Area-Cabang'!$B124,'CWO Bulan Ini'!$DH:$DH,'Area-Cabang'!$E124,'CWO Bulan Ini'!$CZ:$CZ,'Area-Cabang'!AL$41)</f>
        <v>0</v>
      </c>
      <c r="AM124" s="42">
        <f>SUMIFS('CWO Bulan Ini'!$DD:$DD,'CWO Bulan Ini'!$DJ:$DJ,'Area-Cabang'!$B124,'CWO Bulan Ini'!$DH:$DH,'Area-Cabang'!$E124,'CWO Bulan Ini'!$CZ:$CZ,'Area-Cabang'!AM$41)</f>
        <v>0</v>
      </c>
      <c r="AN124" s="42">
        <f>SUMIFS('CWO Bulan Ini'!$DD:$DD,'CWO Bulan Ini'!$DJ:$DJ,'Area-Cabang'!$B124,'CWO Bulan Ini'!$DH:$DH,'Area-Cabang'!$E124,'CWO Bulan Ini'!$CZ:$CZ,'Area-Cabang'!AN$41)</f>
        <v>0</v>
      </c>
      <c r="AO124" s="42">
        <f>SUMIFS('CWO Bulan Ini'!$DD:$DD,'CWO Bulan Ini'!$DJ:$DJ,'Area-Cabang'!$B124,'CWO Bulan Ini'!$DH:$DH,'Area-Cabang'!$E124,'CWO Bulan Ini'!$CZ:$CZ,'Area-Cabang'!AO$41)</f>
        <v>0</v>
      </c>
      <c r="AP124" s="42">
        <f>SUMIFS('CWO Bulan Ini'!$DD:$DD,'CWO Bulan Ini'!$DJ:$DJ,'Area-Cabang'!$B124,'CWO Bulan Ini'!$DH:$DH,'Area-Cabang'!$E124,'CWO Bulan Ini'!$CZ:$CZ,'Area-Cabang'!AP$41)</f>
        <v>0</v>
      </c>
      <c r="AQ124" s="42">
        <f>SUMIFS('CWO Bulan Ini'!$DD:$DD,'CWO Bulan Ini'!$DJ:$DJ,'Area-Cabang'!$B124,'CWO Bulan Ini'!$DH:$DH,'Area-Cabang'!$E124,'CWO Bulan Ini'!$CZ:$CZ,'Area-Cabang'!AQ$41)</f>
        <v>0</v>
      </c>
      <c r="AR124" s="42">
        <f>SUMIFS('CWO Bulan Ini'!$DD:$DD,'CWO Bulan Ini'!$DJ:$DJ,'Area-Cabang'!$B124,'CWO Bulan Ini'!$DH:$DH,'Area-Cabang'!$E124,'CWO Bulan Ini'!$CZ:$CZ,'Area-Cabang'!AR$41)</f>
        <v>0</v>
      </c>
      <c r="AS124" s="42">
        <f>SUMIFS('CWO Bulan Ini'!$DD:$DD,'CWO Bulan Ini'!$DJ:$DJ,'Area-Cabang'!$B124,'CWO Bulan Ini'!$DH:$DH,'Area-Cabang'!$E124,'CWO Bulan Ini'!$CZ:$CZ,'Area-Cabang'!AS$41)</f>
        <v>0</v>
      </c>
      <c r="AT124" s="42">
        <f>SUMIFS('CWO Bulan Ini'!$DD:$DD,'CWO Bulan Ini'!$DJ:$DJ,'Area-Cabang'!$B124,'CWO Bulan Ini'!$DH:$DH,'Area-Cabang'!$E124,'CWO Bulan Ini'!$CZ:$CZ,'Area-Cabang'!AT$41)</f>
        <v>0</v>
      </c>
      <c r="AU124" s="42">
        <f>SUMIFS('CWO Bulan Ini'!$DD:$DD,'CWO Bulan Ini'!$DJ:$DJ,'Area-Cabang'!$B124,'CWO Bulan Ini'!$DH:$DH,'Area-Cabang'!$E124,'CWO Bulan Ini'!$CZ:$CZ,'Area-Cabang'!AU$41)</f>
        <v>0</v>
      </c>
      <c r="AV124" s="42">
        <f>SUMIFS('CWO Bulan Ini'!$DD:$DD,'CWO Bulan Ini'!$DJ:$DJ,'Area-Cabang'!$B124,'CWO Bulan Ini'!$DH:$DH,'Area-Cabang'!$E124,'CWO Bulan Ini'!$CZ:$CZ,'Area-Cabang'!AV$41)</f>
        <v>0</v>
      </c>
      <c r="AW124" s="42">
        <f>SUMIFS('CWO Bulan Ini'!$DD:$DD,'CWO Bulan Ini'!$DJ:$DJ,'Area-Cabang'!$B124,'CWO Bulan Ini'!$DH:$DH,'Area-Cabang'!$E124,'CWO Bulan Ini'!$CZ:$CZ,'Area-Cabang'!AW$41)</f>
        <v>0</v>
      </c>
      <c r="AX124" s="42">
        <f>SUMIFS('CWO Bulan Ini'!$DD:$DD,'CWO Bulan Ini'!$DJ:$DJ,'Area-Cabang'!$B124,'CWO Bulan Ini'!$DH:$DH,'Area-Cabang'!$E124,'CWO Bulan Ini'!$CZ:$CZ,'Area-Cabang'!AX$41)</f>
        <v>0</v>
      </c>
      <c r="AY124" s="42">
        <f>SUMIFS('CWO Bulan Ini'!$DD:$DD,'CWO Bulan Ini'!$DJ:$DJ,'Area-Cabang'!$B124,'CWO Bulan Ini'!$DH:$DH,'Area-Cabang'!$E124,'CWO Bulan Ini'!$CZ:$CZ,'Area-Cabang'!AY$41)</f>
        <v>0</v>
      </c>
      <c r="AZ124" s="42">
        <f>SUMIFS('CWO Bulan Ini'!$DD:$DD,'CWO Bulan Ini'!$DJ:$DJ,'Area-Cabang'!$B124,'CWO Bulan Ini'!$DH:$DH,'Area-Cabang'!$E124,'CWO Bulan Ini'!$CZ:$CZ,'Area-Cabang'!AZ$41)</f>
        <v>0</v>
      </c>
      <c r="BA124" s="42">
        <f>SUMIFS('CWO Bulan Ini'!$DD:$DD,'CWO Bulan Ini'!$DJ:$DJ,'Area-Cabang'!$B124,'CWO Bulan Ini'!$DH:$DH,'Area-Cabang'!$E124,'CWO Bulan Ini'!$CZ:$CZ,'Area-Cabang'!BA$41)</f>
        <v>0</v>
      </c>
      <c r="BB124" s="42">
        <f>SUMIFS('CWO Bulan Ini'!$DD:$DD,'CWO Bulan Ini'!$DJ:$DJ,'Area-Cabang'!$B124,'CWO Bulan Ini'!$DH:$DH,'Area-Cabang'!$E124,'CWO Bulan Ini'!$CZ:$CZ,'Area-Cabang'!BB$41)</f>
        <v>0</v>
      </c>
      <c r="BC124" s="42">
        <f>SUMIFS('CWO Bulan Ini'!$DD:$DD,'CWO Bulan Ini'!$DJ:$DJ,'Area-Cabang'!$B124,'CWO Bulan Ini'!$DH:$DH,'Area-Cabang'!$E124,'CWO Bulan Ini'!$CZ:$CZ,'Area-Cabang'!BC$41)</f>
        <v>0</v>
      </c>
      <c r="BD124" s="42">
        <f>SUMIFS('CWO Bulan Ini'!$DD:$DD,'CWO Bulan Ini'!$DJ:$DJ,'Area-Cabang'!$B124,'CWO Bulan Ini'!$DH:$DH,'Area-Cabang'!$E124,'CWO Bulan Ini'!$CZ:$CZ,'Area-Cabang'!BD$41)</f>
        <v>0</v>
      </c>
      <c r="BE124" s="42">
        <f>SUMIFS('CWO Bulan Ini'!$DD:$DD,'CWO Bulan Ini'!$DJ:$DJ,'Area-Cabang'!$B124,'CWO Bulan Ini'!$DH:$DH,'Area-Cabang'!$E124,'CWO Bulan Ini'!$CZ:$CZ,'Area-Cabang'!BE$41)</f>
        <v>0</v>
      </c>
      <c r="BF124" s="42">
        <f>SUMIFS('CWO Bulan Ini'!$DD:$DD,'CWO Bulan Ini'!$DJ:$DJ,'Area-Cabang'!$B124,'CWO Bulan Ini'!$DH:$DH,'Area-Cabang'!$E124,'CWO Bulan Ini'!$CZ:$CZ,'Area-Cabang'!BF$41)</f>
        <v>0</v>
      </c>
      <c r="BG124" s="42">
        <f>SUMIFS('CWO Bulan Ini'!$DD:$DD,'CWO Bulan Ini'!$DJ:$DJ,'Area-Cabang'!$B124,'CWO Bulan Ini'!$DH:$DH,'Area-Cabang'!$E124,'CWO Bulan Ini'!$CZ:$CZ,'Area-Cabang'!BG$41)</f>
        <v>0</v>
      </c>
      <c r="BH124" s="42">
        <f>SUMIFS('CWO Bulan Ini'!$DD:$DD,'CWO Bulan Ini'!$DJ:$DJ,'Area-Cabang'!$B124,'CWO Bulan Ini'!$DH:$DH,'Area-Cabang'!$E124,'CWO Bulan Ini'!$CZ:$CZ,'Area-Cabang'!BH$41)</f>
        <v>0</v>
      </c>
      <c r="BI124" s="42">
        <f>SUMIFS('CWO Bulan Ini'!$DD:$DD,'CWO Bulan Ini'!$DJ:$DJ,'Area-Cabang'!$B124,'CWO Bulan Ini'!$DH:$DH,'Area-Cabang'!$E124,'CWO Bulan Ini'!$CZ:$CZ,'Area-Cabang'!BI$41)</f>
        <v>0</v>
      </c>
      <c r="BJ124" s="42">
        <f>SUMIFS('CWO Bulan Ini'!$DD:$DD,'CWO Bulan Ini'!$DJ:$DJ,'Area-Cabang'!$B124,'CWO Bulan Ini'!$DH:$DH,'Area-Cabang'!$E124,'CWO Bulan Ini'!$CZ:$CZ,'Area-Cabang'!BJ$41)</f>
        <v>0</v>
      </c>
      <c r="BK124" s="42">
        <f>SUMIFS('CWO Bulan Ini'!$DD:$DD,'CWO Bulan Ini'!$DJ:$DJ,'Area-Cabang'!$B124,'CWO Bulan Ini'!$DH:$DH,'Area-Cabang'!$E124,'CWO Bulan Ini'!$CZ:$CZ,'Area-Cabang'!BK$41)</f>
        <v>0</v>
      </c>
      <c r="BL124" s="42">
        <f>SUMIFS('CWO Bulan Ini'!$DD:$DD,'CWO Bulan Ini'!$DJ:$DJ,'Area-Cabang'!$B124,'CWO Bulan Ini'!$DH:$DH,'Area-Cabang'!$E124,'CWO Bulan Ini'!$CZ:$CZ,'Area-Cabang'!BL$41)</f>
        <v>0</v>
      </c>
      <c r="BM124" s="42">
        <f>SUMIFS('CWO Bulan Ini'!$DD:$DD,'CWO Bulan Ini'!$DJ:$DJ,'Area-Cabang'!$B124,'CWO Bulan Ini'!$DH:$DH,'Area-Cabang'!$E124,'CWO Bulan Ini'!$CZ:$CZ,'Area-Cabang'!BM$41)</f>
        <v>0</v>
      </c>
      <c r="BN124" s="42">
        <f>SUMIFS('CWO Bulan Ini'!$DD:$DD,'CWO Bulan Ini'!$DJ:$DJ,'Area-Cabang'!$B124,'CWO Bulan Ini'!$DH:$DH,'Area-Cabang'!$E124,'CWO Bulan Ini'!$CZ:$CZ,'Area-Cabang'!BN$41)</f>
        <v>0</v>
      </c>
      <c r="BO124" s="43">
        <f>SUMIFS('CWO Bulan Ini'!$DD:$DD,'CWO Bulan Ini'!$DJ:$DJ,'Area-Cabang'!$B124,'CWO Bulan Ini'!$DH:$DH,'Area-Cabang'!$E124,'CWO Bulan Ini'!$CZ:$CZ,'Area-Cabang'!BO$41)</f>
        <v>0</v>
      </c>
      <c r="BP124" s="41">
        <f>SUMIFS('CWO Bulan Ini'!$DC:$DC,'CWO Bulan Ini'!$DJ:$DJ,'Area-Cabang'!$B124,'CWO Bulan Ini'!$DH:$DH,'Area-Cabang'!$E124,'CWO Bulan Ini'!$CZ:$CZ,'Area-Cabang'!BP$41)</f>
        <v>0</v>
      </c>
      <c r="BQ124" s="42">
        <f>SUMIFS('CWO Bulan Ini'!$DC:$DC,'CWO Bulan Ini'!$DJ:$DJ,'Area-Cabang'!$B124,'CWO Bulan Ini'!$DH:$DH,'Area-Cabang'!$E124,'CWO Bulan Ini'!$CZ:$CZ,'Area-Cabang'!BQ$41)</f>
        <v>0</v>
      </c>
      <c r="BR124" s="42">
        <f>SUMIFS('CWO Bulan Ini'!$DC:$DC,'CWO Bulan Ini'!$DJ:$DJ,'Area-Cabang'!$B124,'CWO Bulan Ini'!$DH:$DH,'Area-Cabang'!$E124,'CWO Bulan Ini'!$CZ:$CZ,'Area-Cabang'!BR$41)</f>
        <v>0</v>
      </c>
      <c r="BS124" s="42">
        <f>SUMIFS('CWO Bulan Ini'!$DC:$DC,'CWO Bulan Ini'!$DJ:$DJ,'Area-Cabang'!$B124,'CWO Bulan Ini'!$DH:$DH,'Area-Cabang'!$E124,'CWO Bulan Ini'!$CZ:$CZ,'Area-Cabang'!BS$41)</f>
        <v>0</v>
      </c>
      <c r="BT124" s="42">
        <f>SUMIFS('CWO Bulan Ini'!$DC:$DC,'CWO Bulan Ini'!$DJ:$DJ,'Area-Cabang'!$B124,'CWO Bulan Ini'!$DH:$DH,'Area-Cabang'!$E124,'CWO Bulan Ini'!$CZ:$CZ,'Area-Cabang'!BT$41)</f>
        <v>0</v>
      </c>
      <c r="BU124" s="42">
        <f>SUMIFS('CWO Bulan Ini'!$DC:$DC,'CWO Bulan Ini'!$DJ:$DJ,'Area-Cabang'!$B124,'CWO Bulan Ini'!$DH:$DH,'Area-Cabang'!$E124,'CWO Bulan Ini'!$CZ:$CZ,'Area-Cabang'!BU$41)</f>
        <v>0</v>
      </c>
      <c r="BV124" s="42">
        <f>SUMIFS('CWO Bulan Ini'!$DC:$DC,'CWO Bulan Ini'!$DJ:$DJ,'Area-Cabang'!$B124,'CWO Bulan Ini'!$DH:$DH,'Area-Cabang'!$E124,'CWO Bulan Ini'!$CZ:$CZ,'Area-Cabang'!BV$41)</f>
        <v>0</v>
      </c>
      <c r="BW124" s="42">
        <f>SUMIFS('CWO Bulan Ini'!$DC:$DC,'CWO Bulan Ini'!$DJ:$DJ,'Area-Cabang'!$B124,'CWO Bulan Ini'!$DH:$DH,'Area-Cabang'!$E124,'CWO Bulan Ini'!$CZ:$CZ,'Area-Cabang'!BW$41)</f>
        <v>0</v>
      </c>
      <c r="BX124" s="42">
        <f>SUMIFS('CWO Bulan Ini'!$DC:$DC,'CWO Bulan Ini'!$DJ:$DJ,'Area-Cabang'!$B124,'CWO Bulan Ini'!$DH:$DH,'Area-Cabang'!$E124,'CWO Bulan Ini'!$CZ:$CZ,'Area-Cabang'!BX$41)</f>
        <v>0</v>
      </c>
      <c r="BY124" s="42">
        <f>SUMIFS('CWO Bulan Ini'!$DC:$DC,'CWO Bulan Ini'!$DJ:$DJ,'Area-Cabang'!$B124,'CWO Bulan Ini'!$DH:$DH,'Area-Cabang'!$E124,'CWO Bulan Ini'!$CZ:$CZ,'Area-Cabang'!BY$41)</f>
        <v>0</v>
      </c>
      <c r="BZ124" s="42">
        <f>SUMIFS('CWO Bulan Ini'!$DC:$DC,'CWO Bulan Ini'!$DJ:$DJ,'Area-Cabang'!$B124,'CWO Bulan Ini'!$DH:$DH,'Area-Cabang'!$E124,'CWO Bulan Ini'!$CZ:$CZ,'Area-Cabang'!BZ$41)</f>
        <v>0</v>
      </c>
      <c r="CA124" s="42">
        <f>SUMIFS('CWO Bulan Ini'!$DC:$DC,'CWO Bulan Ini'!$DJ:$DJ,'Area-Cabang'!$B124,'CWO Bulan Ini'!$DH:$DH,'Area-Cabang'!$E124,'CWO Bulan Ini'!$CZ:$CZ,'Area-Cabang'!CA$41)</f>
        <v>0</v>
      </c>
      <c r="CB124" s="42">
        <f>SUMIFS('CWO Bulan Ini'!$DC:$DC,'CWO Bulan Ini'!$DJ:$DJ,'Area-Cabang'!$B124,'CWO Bulan Ini'!$DH:$DH,'Area-Cabang'!$E124,'CWO Bulan Ini'!$CZ:$CZ,'Area-Cabang'!CB$41)</f>
        <v>0</v>
      </c>
      <c r="CC124" s="42">
        <f>SUMIFS('CWO Bulan Ini'!$DC:$DC,'CWO Bulan Ini'!$DJ:$DJ,'Area-Cabang'!$B124,'CWO Bulan Ini'!$DH:$DH,'Area-Cabang'!$E124,'CWO Bulan Ini'!$CZ:$CZ,'Area-Cabang'!CC$41)</f>
        <v>0</v>
      </c>
      <c r="CD124" s="42">
        <f>SUMIFS('CWO Bulan Ini'!$DC:$DC,'CWO Bulan Ini'!$DJ:$DJ,'Area-Cabang'!$B124,'CWO Bulan Ini'!$DH:$DH,'Area-Cabang'!$E124,'CWO Bulan Ini'!$CZ:$CZ,'Area-Cabang'!CD$41)</f>
        <v>0</v>
      </c>
      <c r="CE124" s="42">
        <f>SUMIFS('CWO Bulan Ini'!$DC:$DC,'CWO Bulan Ini'!$DJ:$DJ,'Area-Cabang'!$B124,'CWO Bulan Ini'!$DH:$DH,'Area-Cabang'!$E124,'CWO Bulan Ini'!$CZ:$CZ,'Area-Cabang'!CE$41)</f>
        <v>0</v>
      </c>
      <c r="CF124" s="42">
        <f>SUMIFS('CWO Bulan Ini'!$DC:$DC,'CWO Bulan Ini'!$DJ:$DJ,'Area-Cabang'!$B124,'CWO Bulan Ini'!$DH:$DH,'Area-Cabang'!$E124,'CWO Bulan Ini'!$CZ:$CZ,'Area-Cabang'!CF$41)</f>
        <v>0</v>
      </c>
      <c r="CG124" s="42">
        <f>SUMIFS('CWO Bulan Ini'!$DC:$DC,'CWO Bulan Ini'!$DJ:$DJ,'Area-Cabang'!$B124,'CWO Bulan Ini'!$DH:$DH,'Area-Cabang'!$E124,'CWO Bulan Ini'!$CZ:$CZ,'Area-Cabang'!CG$41)</f>
        <v>0</v>
      </c>
      <c r="CH124" s="42">
        <f>SUMIFS('CWO Bulan Ini'!$DC:$DC,'CWO Bulan Ini'!$DJ:$DJ,'Area-Cabang'!$B124,'CWO Bulan Ini'!$DH:$DH,'Area-Cabang'!$E124,'CWO Bulan Ini'!$CZ:$CZ,'Area-Cabang'!CH$41)</f>
        <v>0</v>
      </c>
      <c r="CI124" s="42">
        <f>SUMIFS('CWO Bulan Ini'!$DC:$DC,'CWO Bulan Ini'!$DJ:$DJ,'Area-Cabang'!$B124,'CWO Bulan Ini'!$DH:$DH,'Area-Cabang'!$E124,'CWO Bulan Ini'!$CZ:$CZ,'Area-Cabang'!CI$41)</f>
        <v>0</v>
      </c>
      <c r="CJ124" s="42">
        <f>SUMIFS('CWO Bulan Ini'!$DC:$DC,'CWO Bulan Ini'!$DJ:$DJ,'Area-Cabang'!$B124,'CWO Bulan Ini'!$DH:$DH,'Area-Cabang'!$E124,'CWO Bulan Ini'!$CZ:$CZ,'Area-Cabang'!CJ$41)</f>
        <v>0</v>
      </c>
      <c r="CK124" s="42">
        <f>SUMIFS('CWO Bulan Ini'!$DC:$DC,'CWO Bulan Ini'!$DJ:$DJ,'Area-Cabang'!$B124,'CWO Bulan Ini'!$DH:$DH,'Area-Cabang'!$E124,'CWO Bulan Ini'!$CZ:$CZ,'Area-Cabang'!CK$41)</f>
        <v>0</v>
      </c>
      <c r="CL124" s="42">
        <f>SUMIFS('CWO Bulan Ini'!$DC:$DC,'CWO Bulan Ini'!$DJ:$DJ,'Area-Cabang'!$B124,'CWO Bulan Ini'!$DH:$DH,'Area-Cabang'!$E124,'CWO Bulan Ini'!$CZ:$CZ,'Area-Cabang'!CL$41)</f>
        <v>0</v>
      </c>
      <c r="CM124" s="42">
        <f>SUMIFS('CWO Bulan Ini'!$DC:$DC,'CWO Bulan Ini'!$DJ:$DJ,'Area-Cabang'!$B124,'CWO Bulan Ini'!$DH:$DH,'Area-Cabang'!$E124,'CWO Bulan Ini'!$CZ:$CZ,'Area-Cabang'!CM$41)</f>
        <v>0</v>
      </c>
      <c r="CN124" s="42">
        <f>SUMIFS('CWO Bulan Ini'!$DC:$DC,'CWO Bulan Ini'!$DJ:$DJ,'Area-Cabang'!$B124,'CWO Bulan Ini'!$DH:$DH,'Area-Cabang'!$E124,'CWO Bulan Ini'!$CZ:$CZ,'Area-Cabang'!CN$41)</f>
        <v>0</v>
      </c>
      <c r="CO124" s="42">
        <f>SUMIFS('CWO Bulan Ini'!$DC:$DC,'CWO Bulan Ini'!$DJ:$DJ,'Area-Cabang'!$B124,'CWO Bulan Ini'!$DH:$DH,'Area-Cabang'!$E124,'CWO Bulan Ini'!$CZ:$CZ,'Area-Cabang'!CO$41)</f>
        <v>0</v>
      </c>
      <c r="CP124" s="42">
        <f>SUMIFS('CWO Bulan Ini'!$DC:$DC,'CWO Bulan Ini'!$DJ:$DJ,'Area-Cabang'!$B124,'CWO Bulan Ini'!$DH:$DH,'Area-Cabang'!$E124,'CWO Bulan Ini'!$CZ:$CZ,'Area-Cabang'!CP$41)</f>
        <v>0</v>
      </c>
      <c r="CQ124" s="42">
        <f>SUMIFS('CWO Bulan Ini'!$DC:$DC,'CWO Bulan Ini'!$DJ:$DJ,'Area-Cabang'!$B124,'CWO Bulan Ini'!$DH:$DH,'Area-Cabang'!$E124,'CWO Bulan Ini'!$CZ:$CZ,'Area-Cabang'!CQ$41)</f>
        <v>0</v>
      </c>
      <c r="CR124" s="42">
        <f>SUMIFS('CWO Bulan Ini'!$DC:$DC,'CWO Bulan Ini'!$DJ:$DJ,'Area-Cabang'!$B124,'CWO Bulan Ini'!$DH:$DH,'Area-Cabang'!$E124,'CWO Bulan Ini'!$CZ:$CZ,'Area-Cabang'!CR$41)</f>
        <v>0</v>
      </c>
      <c r="CS124" s="42">
        <f>SUMIFS('CWO Bulan Ini'!$DC:$DC,'CWO Bulan Ini'!$DJ:$DJ,'Area-Cabang'!$B124,'CWO Bulan Ini'!$DH:$DH,'Area-Cabang'!$E124,'CWO Bulan Ini'!$CZ:$CZ,'Area-Cabang'!CS$41)</f>
        <v>0</v>
      </c>
      <c r="CT124" s="43">
        <f>SUMIFS('CWO Bulan Ini'!$DC:$DC,'CWO Bulan Ini'!$DJ:$DJ,'Area-Cabang'!$B124,'CWO Bulan Ini'!$DH:$DH,'Area-Cabang'!$E124,'CWO Bulan Ini'!$CZ:$CZ,'Area-Cabang'!CT$41)</f>
        <v>0</v>
      </c>
      <c r="CV124" s="96">
        <f t="shared" si="3762"/>
        <v>0</v>
      </c>
      <c r="CW124" s="93">
        <f t="shared" si="3763"/>
        <v>0</v>
      </c>
      <c r="CX124" s="93">
        <f t="shared" si="3764"/>
        <v>0</v>
      </c>
      <c r="CY124" s="93">
        <f t="shared" si="3765"/>
        <v>0</v>
      </c>
      <c r="CZ124" s="106">
        <f t="shared" si="3766"/>
        <v>0</v>
      </c>
    </row>
    <row r="125" spans="1:104" ht="15" customHeight="1" x14ac:dyDescent="0.25">
      <c r="A125" s="58" t="s">
        <v>454</v>
      </c>
      <c r="B125" s="53" t="s">
        <v>834</v>
      </c>
      <c r="C125" s="250"/>
      <c r="D125" s="227" t="s">
        <v>834</v>
      </c>
      <c r="E125" s="228"/>
      <c r="F125" s="219">
        <f t="shared" ref="F125" si="3767">SUM(F123:F124)</f>
        <v>0</v>
      </c>
      <c r="G125" s="220">
        <f t="shared" ref="G125" si="3768">SUM(G123:G124)</f>
        <v>0</v>
      </c>
      <c r="H125" s="220">
        <f t="shared" ref="H125" si="3769">SUM(H123:H124)</f>
        <v>0</v>
      </c>
      <c r="I125" s="220">
        <f t="shared" ref="I125" si="3770">SUM(I123:I124)</f>
        <v>0</v>
      </c>
      <c r="J125" s="220">
        <f t="shared" ref="J125" si="3771">SUM(J123:J124)</f>
        <v>0</v>
      </c>
      <c r="K125" s="220">
        <f t="shared" ref="K125" si="3772">SUM(K123:K124)</f>
        <v>0</v>
      </c>
      <c r="L125" s="220">
        <f t="shared" ref="L125" si="3773">SUM(L123:L124)</f>
        <v>0</v>
      </c>
      <c r="M125" s="220">
        <f t="shared" ref="M125" si="3774">SUM(M123:M124)</f>
        <v>0</v>
      </c>
      <c r="N125" s="220">
        <f t="shared" ref="N125" si="3775">SUM(N123:N124)</f>
        <v>0</v>
      </c>
      <c r="O125" s="220">
        <f t="shared" ref="O125" si="3776">SUM(O123:O124)</f>
        <v>0</v>
      </c>
      <c r="P125" s="220">
        <f t="shared" ref="P125" si="3777">SUM(P123:P124)</f>
        <v>0</v>
      </c>
      <c r="Q125" s="220">
        <f t="shared" ref="Q125" si="3778">SUM(Q123:Q124)</f>
        <v>0</v>
      </c>
      <c r="R125" s="220">
        <f t="shared" ref="R125" si="3779">SUM(R123:R124)</f>
        <v>0</v>
      </c>
      <c r="S125" s="220">
        <f t="shared" ref="S125" si="3780">SUM(S123:S124)</f>
        <v>0</v>
      </c>
      <c r="T125" s="220">
        <f t="shared" ref="T125" si="3781">SUM(T123:T124)</f>
        <v>0</v>
      </c>
      <c r="U125" s="220">
        <f t="shared" ref="U125" si="3782">SUM(U123:U124)</f>
        <v>0</v>
      </c>
      <c r="V125" s="220">
        <f t="shared" ref="V125" si="3783">SUM(V123:V124)</f>
        <v>0</v>
      </c>
      <c r="W125" s="220">
        <f t="shared" ref="W125" si="3784">SUM(W123:W124)</f>
        <v>11.08711173</v>
      </c>
      <c r="X125" s="220">
        <f t="shared" ref="X125" si="3785">SUM(X123:X124)</f>
        <v>0</v>
      </c>
      <c r="Y125" s="220">
        <f t="shared" ref="Y125" si="3786">SUM(Y123:Y124)</f>
        <v>0</v>
      </c>
      <c r="Z125" s="220">
        <f t="shared" ref="Z125" si="3787">SUM(Z123:Z124)</f>
        <v>0</v>
      </c>
      <c r="AA125" s="220">
        <f t="shared" ref="AA125" si="3788">SUM(AA123:AA124)</f>
        <v>0</v>
      </c>
      <c r="AB125" s="220">
        <f t="shared" ref="AB125" si="3789">SUM(AB123:AB124)</f>
        <v>0</v>
      </c>
      <c r="AC125" s="220">
        <f t="shared" ref="AC125" si="3790">SUM(AC123:AC124)</f>
        <v>0</v>
      </c>
      <c r="AD125" s="220">
        <f t="shared" ref="AD125" si="3791">SUM(AD123:AD124)</f>
        <v>0</v>
      </c>
      <c r="AE125" s="220">
        <f t="shared" ref="AE125" si="3792">SUM(AE123:AE124)</f>
        <v>0</v>
      </c>
      <c r="AF125" s="220">
        <f t="shared" ref="AF125" si="3793">SUM(AF123:AF124)</f>
        <v>0</v>
      </c>
      <c r="AG125" s="220">
        <f t="shared" ref="AG125" si="3794">SUM(AG123:AG124)</f>
        <v>0</v>
      </c>
      <c r="AH125" s="220">
        <f t="shared" ref="AH125" si="3795">SUM(AH123:AH124)</f>
        <v>0</v>
      </c>
      <c r="AI125" s="220">
        <f t="shared" ref="AI125" si="3796">SUM(AI123:AI124)</f>
        <v>0</v>
      </c>
      <c r="AJ125" s="220">
        <f t="shared" ref="AJ125" si="3797">SUM(AJ123:AJ124)</f>
        <v>0</v>
      </c>
      <c r="AK125" s="219">
        <f t="shared" ref="AK125" si="3798">SUM(AK123:AK124)</f>
        <v>0</v>
      </c>
      <c r="AL125" s="220">
        <f t="shared" ref="AL125" si="3799">SUM(AL123:AL124)</f>
        <v>0</v>
      </c>
      <c r="AM125" s="220">
        <f t="shared" ref="AM125" si="3800">SUM(AM123:AM124)</f>
        <v>0</v>
      </c>
      <c r="AN125" s="220">
        <f t="shared" ref="AN125" si="3801">SUM(AN123:AN124)</f>
        <v>0</v>
      </c>
      <c r="AO125" s="220">
        <f t="shared" ref="AO125" si="3802">SUM(AO123:AO124)</f>
        <v>0</v>
      </c>
      <c r="AP125" s="220">
        <f t="shared" ref="AP125" si="3803">SUM(AP123:AP124)</f>
        <v>0</v>
      </c>
      <c r="AQ125" s="220">
        <f t="shared" ref="AQ125" si="3804">SUM(AQ123:AQ124)</f>
        <v>0</v>
      </c>
      <c r="AR125" s="220">
        <f t="shared" ref="AR125" si="3805">SUM(AR123:AR124)</f>
        <v>0</v>
      </c>
      <c r="AS125" s="220">
        <f t="shared" ref="AS125" si="3806">SUM(AS123:AS124)</f>
        <v>0</v>
      </c>
      <c r="AT125" s="220">
        <f t="shared" ref="AT125" si="3807">SUM(AT123:AT124)</f>
        <v>0</v>
      </c>
      <c r="AU125" s="220">
        <f t="shared" ref="AU125" si="3808">SUM(AU123:AU124)</f>
        <v>0</v>
      </c>
      <c r="AV125" s="220">
        <f t="shared" ref="AV125" si="3809">SUM(AV123:AV124)</f>
        <v>0</v>
      </c>
      <c r="AW125" s="220">
        <f t="shared" ref="AW125" si="3810">SUM(AW123:AW124)</f>
        <v>0</v>
      </c>
      <c r="AX125" s="220">
        <f t="shared" ref="AX125" si="3811">SUM(AX123:AX124)</f>
        <v>0</v>
      </c>
      <c r="AY125" s="220">
        <f t="shared" ref="AY125" si="3812">SUM(AY123:AY124)</f>
        <v>0</v>
      </c>
      <c r="AZ125" s="220">
        <f t="shared" ref="AZ125" si="3813">SUM(AZ123:AZ124)</f>
        <v>0</v>
      </c>
      <c r="BA125" s="220">
        <f t="shared" ref="BA125" si="3814">SUM(BA123:BA124)</f>
        <v>0</v>
      </c>
      <c r="BB125" s="220">
        <f t="shared" ref="BB125" si="3815">SUM(BB123:BB124)</f>
        <v>0</v>
      </c>
      <c r="BC125" s="220">
        <f t="shared" ref="BC125" si="3816">SUM(BC123:BC124)</f>
        <v>0</v>
      </c>
      <c r="BD125" s="220">
        <f t="shared" ref="BD125" si="3817">SUM(BD123:BD124)</f>
        <v>0</v>
      </c>
      <c r="BE125" s="220">
        <f t="shared" ref="BE125" si="3818">SUM(BE123:BE124)</f>
        <v>0</v>
      </c>
      <c r="BF125" s="220">
        <f t="shared" ref="BF125" si="3819">SUM(BF123:BF124)</f>
        <v>0</v>
      </c>
      <c r="BG125" s="220">
        <f t="shared" ref="BG125" si="3820">SUM(BG123:BG124)</f>
        <v>0</v>
      </c>
      <c r="BH125" s="220">
        <f t="shared" ref="BH125" si="3821">SUM(BH123:BH124)</f>
        <v>0</v>
      </c>
      <c r="BI125" s="220">
        <f t="shared" ref="BI125" si="3822">SUM(BI123:BI124)</f>
        <v>0</v>
      </c>
      <c r="BJ125" s="220">
        <f t="shared" ref="BJ125" si="3823">SUM(BJ123:BJ124)</f>
        <v>0</v>
      </c>
      <c r="BK125" s="220">
        <f t="shared" ref="BK125" si="3824">SUM(BK123:BK124)</f>
        <v>0</v>
      </c>
      <c r="BL125" s="220">
        <f t="shared" ref="BL125" si="3825">SUM(BL123:BL124)</f>
        <v>0</v>
      </c>
      <c r="BM125" s="220">
        <f t="shared" ref="BM125" si="3826">SUM(BM123:BM124)</f>
        <v>0</v>
      </c>
      <c r="BN125" s="220">
        <f t="shared" ref="BN125" si="3827">SUM(BN123:BN124)</f>
        <v>0</v>
      </c>
      <c r="BO125" s="221">
        <f t="shared" ref="BO125" si="3828">SUM(BO123:BO124)</f>
        <v>0</v>
      </c>
      <c r="BP125" s="219">
        <f t="shared" ref="BP125" si="3829">SUM(BP123:BP124)</f>
        <v>0</v>
      </c>
      <c r="BQ125" s="220">
        <f t="shared" ref="BQ125" si="3830">SUM(BQ123:BQ124)</f>
        <v>0</v>
      </c>
      <c r="BR125" s="220">
        <f t="shared" ref="BR125" si="3831">SUM(BR123:BR124)</f>
        <v>0</v>
      </c>
      <c r="BS125" s="220">
        <f t="shared" ref="BS125" si="3832">SUM(BS123:BS124)</f>
        <v>0</v>
      </c>
      <c r="BT125" s="220">
        <f t="shared" ref="BT125" si="3833">SUM(BT123:BT124)</f>
        <v>0</v>
      </c>
      <c r="BU125" s="220">
        <f t="shared" ref="BU125" si="3834">SUM(BU123:BU124)</f>
        <v>0</v>
      </c>
      <c r="BV125" s="220">
        <f t="shared" ref="BV125" si="3835">SUM(BV123:BV124)</f>
        <v>0</v>
      </c>
      <c r="BW125" s="220">
        <f t="shared" ref="BW125" si="3836">SUM(BW123:BW124)</f>
        <v>0</v>
      </c>
      <c r="BX125" s="220">
        <f t="shared" ref="BX125" si="3837">SUM(BX123:BX124)</f>
        <v>0</v>
      </c>
      <c r="BY125" s="220">
        <f t="shared" ref="BY125" si="3838">SUM(BY123:BY124)</f>
        <v>0</v>
      </c>
      <c r="BZ125" s="220">
        <f t="shared" ref="BZ125" si="3839">SUM(BZ123:BZ124)</f>
        <v>0</v>
      </c>
      <c r="CA125" s="220">
        <f t="shared" ref="CA125" si="3840">SUM(CA123:CA124)</f>
        <v>0</v>
      </c>
      <c r="CB125" s="220">
        <f t="shared" ref="CB125" si="3841">SUM(CB123:CB124)</f>
        <v>0</v>
      </c>
      <c r="CC125" s="220">
        <f t="shared" ref="CC125" si="3842">SUM(CC123:CC124)</f>
        <v>0</v>
      </c>
      <c r="CD125" s="220">
        <f t="shared" ref="CD125" si="3843">SUM(CD123:CD124)</f>
        <v>0</v>
      </c>
      <c r="CE125" s="220">
        <f t="shared" ref="CE125" si="3844">SUM(CE123:CE124)</f>
        <v>0</v>
      </c>
      <c r="CF125" s="220">
        <f t="shared" ref="CF125" si="3845">SUM(CF123:CF124)</f>
        <v>0</v>
      </c>
      <c r="CG125" s="220">
        <f t="shared" ref="CG125" si="3846">SUM(CG123:CG124)</f>
        <v>0</v>
      </c>
      <c r="CH125" s="220">
        <f t="shared" ref="CH125" si="3847">SUM(CH123:CH124)</f>
        <v>0</v>
      </c>
      <c r="CI125" s="220">
        <f t="shared" ref="CI125" si="3848">SUM(CI123:CI124)</f>
        <v>0</v>
      </c>
      <c r="CJ125" s="220">
        <f t="shared" ref="CJ125" si="3849">SUM(CJ123:CJ124)</f>
        <v>0</v>
      </c>
      <c r="CK125" s="220">
        <f t="shared" ref="CK125" si="3850">SUM(CK123:CK124)</f>
        <v>0</v>
      </c>
      <c r="CL125" s="220">
        <f t="shared" ref="CL125" si="3851">SUM(CL123:CL124)</f>
        <v>0</v>
      </c>
      <c r="CM125" s="220">
        <f t="shared" ref="CM125" si="3852">SUM(CM123:CM124)</f>
        <v>0</v>
      </c>
      <c r="CN125" s="220">
        <f t="shared" ref="CN125" si="3853">SUM(CN123:CN124)</f>
        <v>0</v>
      </c>
      <c r="CO125" s="220">
        <f t="shared" ref="CO125" si="3854">SUM(CO123:CO124)</f>
        <v>0</v>
      </c>
      <c r="CP125" s="220">
        <f t="shared" ref="CP125" si="3855">SUM(CP123:CP124)</f>
        <v>0</v>
      </c>
      <c r="CQ125" s="220">
        <f t="shared" ref="CQ125" si="3856">SUM(CQ123:CQ124)</f>
        <v>0</v>
      </c>
      <c r="CR125" s="220">
        <f t="shared" ref="CR125" si="3857">SUM(CR123:CR124)</f>
        <v>0</v>
      </c>
      <c r="CS125" s="220">
        <f t="shared" ref="CS125" si="3858">SUM(CS123:CS124)</f>
        <v>0</v>
      </c>
      <c r="CT125" s="221">
        <f t="shared" ref="CT125" si="3859">SUM(CT123:CT124)</f>
        <v>0</v>
      </c>
      <c r="CU125" s="226"/>
      <c r="CV125" s="219">
        <f t="shared" ref="CV125" si="3860">SUM(CV123:CV124)</f>
        <v>11.08711173</v>
      </c>
      <c r="CW125" s="220">
        <f t="shared" ref="CW125" si="3861">SUM(CW123:CW124)</f>
        <v>0</v>
      </c>
      <c r="CX125" s="220">
        <f t="shared" ref="CX125" si="3862">SUM(CX123:CX124)</f>
        <v>0</v>
      </c>
      <c r="CY125" s="220">
        <f t="shared" ref="CY125" si="3863">SUM(CY123:CY124)</f>
        <v>11.08711173</v>
      </c>
      <c r="CZ125" s="222">
        <f t="shared" ref="CZ125" si="3864">SUM(CZ123:CZ124)</f>
        <v>11.08711173</v>
      </c>
    </row>
    <row r="126" spans="1:104" ht="15" customHeight="1" x14ac:dyDescent="0.25">
      <c r="A126" s="58" t="s">
        <v>454</v>
      </c>
      <c r="B126" s="53" t="s">
        <v>333</v>
      </c>
      <c r="C126" s="250"/>
      <c r="D126" s="245" t="s">
        <v>333</v>
      </c>
      <c r="E126" s="85" t="s">
        <v>132</v>
      </c>
      <c r="F126" s="55">
        <f>SUMIFS('CWO Bulan Ini'!$DA:$DA,'CWO Bulan Ini'!$DJ:$DJ,'Area-Cabang'!$B126,'CWO Bulan Ini'!$DH:$DH,'Area-Cabang'!$E126,'CWO Bulan Ini'!$CZ:$CZ,'Area-Cabang'!F$41)</f>
        <v>0</v>
      </c>
      <c r="G126" s="56">
        <f>SUMIFS('CWO Bulan Ini'!$DA:$DA,'CWO Bulan Ini'!$DJ:$DJ,'Area-Cabang'!$B126,'CWO Bulan Ini'!$DH:$DH,'Area-Cabang'!$E126,'CWO Bulan Ini'!$CZ:$CZ,'Area-Cabang'!G$41)</f>
        <v>0</v>
      </c>
      <c r="H126" s="56">
        <f>SUMIFS('CWO Bulan Ini'!$DA:$DA,'CWO Bulan Ini'!$DJ:$DJ,'Area-Cabang'!$B126,'CWO Bulan Ini'!$DH:$DH,'Area-Cabang'!$E126,'CWO Bulan Ini'!$CZ:$CZ,'Area-Cabang'!H$41)</f>
        <v>0</v>
      </c>
      <c r="I126" s="56">
        <f>SUMIFS('CWO Bulan Ini'!$DA:$DA,'CWO Bulan Ini'!$DJ:$DJ,'Area-Cabang'!$B126,'CWO Bulan Ini'!$DH:$DH,'Area-Cabang'!$E126,'CWO Bulan Ini'!$CZ:$CZ,'Area-Cabang'!I$41)</f>
        <v>0</v>
      </c>
      <c r="J126" s="56">
        <f>SUMIFS('CWO Bulan Ini'!$DA:$DA,'CWO Bulan Ini'!$DJ:$DJ,'Area-Cabang'!$B126,'CWO Bulan Ini'!$DH:$DH,'Area-Cabang'!$E126,'CWO Bulan Ini'!$CZ:$CZ,'Area-Cabang'!J$41)</f>
        <v>0</v>
      </c>
      <c r="K126" s="56">
        <f>SUMIFS('CWO Bulan Ini'!$DA:$DA,'CWO Bulan Ini'!$DJ:$DJ,'Area-Cabang'!$B126,'CWO Bulan Ini'!$DH:$DH,'Area-Cabang'!$E126,'CWO Bulan Ini'!$CZ:$CZ,'Area-Cabang'!K$41)</f>
        <v>0</v>
      </c>
      <c r="L126" s="56">
        <f>SUMIFS('CWO Bulan Ini'!$DA:$DA,'CWO Bulan Ini'!$DJ:$DJ,'Area-Cabang'!$B126,'CWO Bulan Ini'!$DH:$DH,'Area-Cabang'!$E126,'CWO Bulan Ini'!$CZ:$CZ,'Area-Cabang'!L$41)</f>
        <v>0</v>
      </c>
      <c r="M126" s="56">
        <f>SUMIFS('CWO Bulan Ini'!$DA:$DA,'CWO Bulan Ini'!$DJ:$DJ,'Area-Cabang'!$B126,'CWO Bulan Ini'!$DH:$DH,'Area-Cabang'!$E126,'CWO Bulan Ini'!$CZ:$CZ,'Area-Cabang'!M$41)</f>
        <v>0</v>
      </c>
      <c r="N126" s="56">
        <f>SUMIFS('CWO Bulan Ini'!$DA:$DA,'CWO Bulan Ini'!$DJ:$DJ,'Area-Cabang'!$B126,'CWO Bulan Ini'!$DH:$DH,'Area-Cabang'!$E126,'CWO Bulan Ini'!$CZ:$CZ,'Area-Cabang'!N$41)</f>
        <v>0</v>
      </c>
      <c r="O126" s="56">
        <f>SUMIFS('CWO Bulan Ini'!$DA:$DA,'CWO Bulan Ini'!$DJ:$DJ,'Area-Cabang'!$B126,'CWO Bulan Ini'!$DH:$DH,'Area-Cabang'!$E126,'CWO Bulan Ini'!$CZ:$CZ,'Area-Cabang'!O$41)</f>
        <v>0</v>
      </c>
      <c r="P126" s="56">
        <f>SUMIFS('CWO Bulan Ini'!$DA:$DA,'CWO Bulan Ini'!$DJ:$DJ,'Area-Cabang'!$B126,'CWO Bulan Ini'!$DH:$DH,'Area-Cabang'!$E126,'CWO Bulan Ini'!$CZ:$CZ,'Area-Cabang'!P$41)</f>
        <v>0</v>
      </c>
      <c r="Q126" s="56">
        <f>SUMIFS('CWO Bulan Ini'!$DA:$DA,'CWO Bulan Ini'!$DJ:$DJ,'Area-Cabang'!$B126,'CWO Bulan Ini'!$DH:$DH,'Area-Cabang'!$E126,'CWO Bulan Ini'!$CZ:$CZ,'Area-Cabang'!Q$41)</f>
        <v>0</v>
      </c>
      <c r="R126" s="56">
        <f>SUMIFS('CWO Bulan Ini'!$DA:$DA,'CWO Bulan Ini'!$DJ:$DJ,'Area-Cabang'!$B126,'CWO Bulan Ini'!$DH:$DH,'Area-Cabang'!$E126,'CWO Bulan Ini'!$CZ:$CZ,'Area-Cabang'!R$41)</f>
        <v>0</v>
      </c>
      <c r="S126" s="56">
        <f>SUMIFS('CWO Bulan Ini'!$DA:$DA,'CWO Bulan Ini'!$DJ:$DJ,'Area-Cabang'!$B126,'CWO Bulan Ini'!$DH:$DH,'Area-Cabang'!$E126,'CWO Bulan Ini'!$CZ:$CZ,'Area-Cabang'!S$41)</f>
        <v>0</v>
      </c>
      <c r="T126" s="56">
        <f>SUMIFS('CWO Bulan Ini'!$DA:$DA,'CWO Bulan Ini'!$DJ:$DJ,'Area-Cabang'!$B126,'CWO Bulan Ini'!$DH:$DH,'Area-Cabang'!$E126,'CWO Bulan Ini'!$CZ:$CZ,'Area-Cabang'!T$41)</f>
        <v>0</v>
      </c>
      <c r="U126" s="56">
        <f>SUMIFS('CWO Bulan Ini'!$DA:$DA,'CWO Bulan Ini'!$DJ:$DJ,'Area-Cabang'!$B126,'CWO Bulan Ini'!$DH:$DH,'Area-Cabang'!$E126,'CWO Bulan Ini'!$CZ:$CZ,'Area-Cabang'!U$41)</f>
        <v>0</v>
      </c>
      <c r="V126" s="56">
        <f>SUMIFS('CWO Bulan Ini'!$DA:$DA,'CWO Bulan Ini'!$DJ:$DJ,'Area-Cabang'!$B126,'CWO Bulan Ini'!$DH:$DH,'Area-Cabang'!$E126,'CWO Bulan Ini'!$CZ:$CZ,'Area-Cabang'!V$41)</f>
        <v>0</v>
      </c>
      <c r="W126" s="56">
        <f>SUMIFS('CWO Bulan Ini'!$DA:$DA,'CWO Bulan Ini'!$DJ:$DJ,'Area-Cabang'!$B126,'CWO Bulan Ini'!$DH:$DH,'Area-Cabang'!$E126,'CWO Bulan Ini'!$CZ:$CZ,'Area-Cabang'!W$41)</f>
        <v>0</v>
      </c>
      <c r="X126" s="56">
        <f>SUMIFS('CWO Bulan Ini'!$DA:$DA,'CWO Bulan Ini'!$DJ:$DJ,'Area-Cabang'!$B126,'CWO Bulan Ini'!$DH:$DH,'Area-Cabang'!$E126,'CWO Bulan Ini'!$CZ:$CZ,'Area-Cabang'!X$41)</f>
        <v>0</v>
      </c>
      <c r="Y126" s="56">
        <f>SUMIFS('CWO Bulan Ini'!$DA:$DA,'CWO Bulan Ini'!$DJ:$DJ,'Area-Cabang'!$B126,'CWO Bulan Ini'!$DH:$DH,'Area-Cabang'!$E126,'CWO Bulan Ini'!$CZ:$CZ,'Area-Cabang'!Y$41)</f>
        <v>0</v>
      </c>
      <c r="Z126" s="56">
        <f>SUMIFS('CWO Bulan Ini'!$DA:$DA,'CWO Bulan Ini'!$DJ:$DJ,'Area-Cabang'!$B126,'CWO Bulan Ini'!$DH:$DH,'Area-Cabang'!$E126,'CWO Bulan Ini'!$CZ:$CZ,'Area-Cabang'!Z$41)</f>
        <v>0</v>
      </c>
      <c r="AA126" s="56">
        <f>SUMIFS('CWO Bulan Ini'!$DA:$DA,'CWO Bulan Ini'!$DJ:$DJ,'Area-Cabang'!$B126,'CWO Bulan Ini'!$DH:$DH,'Area-Cabang'!$E126,'CWO Bulan Ini'!$CZ:$CZ,'Area-Cabang'!AA$41)</f>
        <v>0</v>
      </c>
      <c r="AB126" s="56">
        <f>SUMIFS('CWO Bulan Ini'!$DA:$DA,'CWO Bulan Ini'!$DJ:$DJ,'Area-Cabang'!$B126,'CWO Bulan Ini'!$DH:$DH,'Area-Cabang'!$E126,'CWO Bulan Ini'!$CZ:$CZ,'Area-Cabang'!AB$41)</f>
        <v>0</v>
      </c>
      <c r="AC126" s="56">
        <f>SUMIFS('CWO Bulan Ini'!$DA:$DA,'CWO Bulan Ini'!$DJ:$DJ,'Area-Cabang'!$B126,'CWO Bulan Ini'!$DH:$DH,'Area-Cabang'!$E126,'CWO Bulan Ini'!$CZ:$CZ,'Area-Cabang'!AC$41)</f>
        <v>0</v>
      </c>
      <c r="AD126" s="56">
        <f>SUMIFS('CWO Bulan Ini'!$DA:$DA,'CWO Bulan Ini'!$DJ:$DJ,'Area-Cabang'!$B126,'CWO Bulan Ini'!$DH:$DH,'Area-Cabang'!$E126,'CWO Bulan Ini'!$CZ:$CZ,'Area-Cabang'!AD$41)</f>
        <v>0</v>
      </c>
      <c r="AE126" s="56">
        <f>SUMIFS('CWO Bulan Ini'!$DA:$DA,'CWO Bulan Ini'!$DJ:$DJ,'Area-Cabang'!$B126,'CWO Bulan Ini'!$DH:$DH,'Area-Cabang'!$E126,'CWO Bulan Ini'!$CZ:$CZ,'Area-Cabang'!AE$41)</f>
        <v>0</v>
      </c>
      <c r="AF126" s="56">
        <f>SUMIFS('CWO Bulan Ini'!$DA:$DA,'CWO Bulan Ini'!$DJ:$DJ,'Area-Cabang'!$B126,'CWO Bulan Ini'!$DH:$DH,'Area-Cabang'!$E126,'CWO Bulan Ini'!$CZ:$CZ,'Area-Cabang'!AF$41)</f>
        <v>0</v>
      </c>
      <c r="AG126" s="56">
        <f>SUMIFS('CWO Bulan Ini'!$DA:$DA,'CWO Bulan Ini'!$DJ:$DJ,'Area-Cabang'!$B126,'CWO Bulan Ini'!$DH:$DH,'Area-Cabang'!$E126,'CWO Bulan Ini'!$CZ:$CZ,'Area-Cabang'!AG$41)</f>
        <v>0</v>
      </c>
      <c r="AH126" s="56">
        <f>SUMIFS('CWO Bulan Ini'!$DA:$DA,'CWO Bulan Ini'!$DJ:$DJ,'Area-Cabang'!$B126,'CWO Bulan Ini'!$DH:$DH,'Area-Cabang'!$E126,'CWO Bulan Ini'!$CZ:$CZ,'Area-Cabang'!AH$41)</f>
        <v>0</v>
      </c>
      <c r="AI126" s="56">
        <f>SUMIFS('CWO Bulan Ini'!$DA:$DA,'CWO Bulan Ini'!$DJ:$DJ,'Area-Cabang'!$B126,'CWO Bulan Ini'!$DH:$DH,'Area-Cabang'!$E126,'CWO Bulan Ini'!$CZ:$CZ,'Area-Cabang'!AI$41)</f>
        <v>0</v>
      </c>
      <c r="AJ126" s="56">
        <f>SUMIFS('CWO Bulan Ini'!$DA:$DA,'CWO Bulan Ini'!$DJ:$DJ,'Area-Cabang'!$B126,'CWO Bulan Ini'!$DH:$DH,'Area-Cabang'!$E126,'CWO Bulan Ini'!$CZ:$CZ,'Area-Cabang'!AJ$41)</f>
        <v>0</v>
      </c>
      <c r="AK126" s="55">
        <f>SUMIFS('CWO Bulan Ini'!$DD:$DD,'CWO Bulan Ini'!$DJ:$DJ,'Area-Cabang'!$B126,'CWO Bulan Ini'!$DH:$DH,'Area-Cabang'!$E126,'CWO Bulan Ini'!$CZ:$CZ,'Area-Cabang'!AK$41)</f>
        <v>0</v>
      </c>
      <c r="AL126" s="56">
        <f>SUMIFS('CWO Bulan Ini'!$DD:$DD,'CWO Bulan Ini'!$DJ:$DJ,'Area-Cabang'!$B126,'CWO Bulan Ini'!$DH:$DH,'Area-Cabang'!$E126,'CWO Bulan Ini'!$CZ:$CZ,'Area-Cabang'!AL$41)</f>
        <v>0</v>
      </c>
      <c r="AM126" s="56">
        <f>SUMIFS('CWO Bulan Ini'!$DD:$DD,'CWO Bulan Ini'!$DJ:$DJ,'Area-Cabang'!$B126,'CWO Bulan Ini'!$DH:$DH,'Area-Cabang'!$E126,'CWO Bulan Ini'!$CZ:$CZ,'Area-Cabang'!AM$41)</f>
        <v>0</v>
      </c>
      <c r="AN126" s="56">
        <f>SUMIFS('CWO Bulan Ini'!$DD:$DD,'CWO Bulan Ini'!$DJ:$DJ,'Area-Cabang'!$B126,'CWO Bulan Ini'!$DH:$DH,'Area-Cabang'!$E126,'CWO Bulan Ini'!$CZ:$CZ,'Area-Cabang'!AN$41)</f>
        <v>0</v>
      </c>
      <c r="AO126" s="56">
        <f>SUMIFS('CWO Bulan Ini'!$DD:$DD,'CWO Bulan Ini'!$DJ:$DJ,'Area-Cabang'!$B126,'CWO Bulan Ini'!$DH:$DH,'Area-Cabang'!$E126,'CWO Bulan Ini'!$CZ:$CZ,'Area-Cabang'!AO$41)</f>
        <v>0</v>
      </c>
      <c r="AP126" s="56">
        <f>SUMIFS('CWO Bulan Ini'!$DD:$DD,'CWO Bulan Ini'!$DJ:$DJ,'Area-Cabang'!$B126,'CWO Bulan Ini'!$DH:$DH,'Area-Cabang'!$E126,'CWO Bulan Ini'!$CZ:$CZ,'Area-Cabang'!AP$41)</f>
        <v>0</v>
      </c>
      <c r="AQ126" s="56">
        <f>SUMIFS('CWO Bulan Ini'!$DD:$DD,'CWO Bulan Ini'!$DJ:$DJ,'Area-Cabang'!$B126,'CWO Bulan Ini'!$DH:$DH,'Area-Cabang'!$E126,'CWO Bulan Ini'!$CZ:$CZ,'Area-Cabang'!AQ$41)</f>
        <v>0</v>
      </c>
      <c r="AR126" s="56">
        <f>SUMIFS('CWO Bulan Ini'!$DD:$DD,'CWO Bulan Ini'!$DJ:$DJ,'Area-Cabang'!$B126,'CWO Bulan Ini'!$DH:$DH,'Area-Cabang'!$E126,'CWO Bulan Ini'!$CZ:$CZ,'Area-Cabang'!AR$41)</f>
        <v>0</v>
      </c>
      <c r="AS126" s="56">
        <f>SUMIFS('CWO Bulan Ini'!$DD:$DD,'CWO Bulan Ini'!$DJ:$DJ,'Area-Cabang'!$B126,'CWO Bulan Ini'!$DH:$DH,'Area-Cabang'!$E126,'CWO Bulan Ini'!$CZ:$CZ,'Area-Cabang'!AS$41)</f>
        <v>0</v>
      </c>
      <c r="AT126" s="56">
        <f>SUMIFS('CWO Bulan Ini'!$DD:$DD,'CWO Bulan Ini'!$DJ:$DJ,'Area-Cabang'!$B126,'CWO Bulan Ini'!$DH:$DH,'Area-Cabang'!$E126,'CWO Bulan Ini'!$CZ:$CZ,'Area-Cabang'!AT$41)</f>
        <v>0</v>
      </c>
      <c r="AU126" s="56">
        <f>SUMIFS('CWO Bulan Ini'!$DD:$DD,'CWO Bulan Ini'!$DJ:$DJ,'Area-Cabang'!$B126,'CWO Bulan Ini'!$DH:$DH,'Area-Cabang'!$E126,'CWO Bulan Ini'!$CZ:$CZ,'Area-Cabang'!AU$41)</f>
        <v>0</v>
      </c>
      <c r="AV126" s="56">
        <f>SUMIFS('CWO Bulan Ini'!$DD:$DD,'CWO Bulan Ini'!$DJ:$DJ,'Area-Cabang'!$B126,'CWO Bulan Ini'!$DH:$DH,'Area-Cabang'!$E126,'CWO Bulan Ini'!$CZ:$CZ,'Area-Cabang'!AV$41)</f>
        <v>0</v>
      </c>
      <c r="AW126" s="56">
        <f>SUMIFS('CWO Bulan Ini'!$DD:$DD,'CWO Bulan Ini'!$DJ:$DJ,'Area-Cabang'!$B126,'CWO Bulan Ini'!$DH:$DH,'Area-Cabang'!$E126,'CWO Bulan Ini'!$CZ:$CZ,'Area-Cabang'!AW$41)</f>
        <v>0</v>
      </c>
      <c r="AX126" s="56">
        <f>SUMIFS('CWO Bulan Ini'!$DD:$DD,'CWO Bulan Ini'!$DJ:$DJ,'Area-Cabang'!$B126,'CWO Bulan Ini'!$DH:$DH,'Area-Cabang'!$E126,'CWO Bulan Ini'!$CZ:$CZ,'Area-Cabang'!AX$41)</f>
        <v>0</v>
      </c>
      <c r="AY126" s="56">
        <f>SUMIFS('CWO Bulan Ini'!$DD:$DD,'CWO Bulan Ini'!$DJ:$DJ,'Area-Cabang'!$B126,'CWO Bulan Ini'!$DH:$DH,'Area-Cabang'!$E126,'CWO Bulan Ini'!$CZ:$CZ,'Area-Cabang'!AY$41)</f>
        <v>0</v>
      </c>
      <c r="AZ126" s="56">
        <f>SUMIFS('CWO Bulan Ini'!$DD:$DD,'CWO Bulan Ini'!$DJ:$DJ,'Area-Cabang'!$B126,'CWO Bulan Ini'!$DH:$DH,'Area-Cabang'!$E126,'CWO Bulan Ini'!$CZ:$CZ,'Area-Cabang'!AZ$41)</f>
        <v>0</v>
      </c>
      <c r="BA126" s="56">
        <f>SUMIFS('CWO Bulan Ini'!$DD:$DD,'CWO Bulan Ini'!$DJ:$DJ,'Area-Cabang'!$B126,'CWO Bulan Ini'!$DH:$DH,'Area-Cabang'!$E126,'CWO Bulan Ini'!$CZ:$CZ,'Area-Cabang'!BA$41)</f>
        <v>0</v>
      </c>
      <c r="BB126" s="56">
        <f>SUMIFS('CWO Bulan Ini'!$DD:$DD,'CWO Bulan Ini'!$DJ:$DJ,'Area-Cabang'!$B126,'CWO Bulan Ini'!$DH:$DH,'Area-Cabang'!$E126,'CWO Bulan Ini'!$CZ:$CZ,'Area-Cabang'!BB$41)</f>
        <v>0</v>
      </c>
      <c r="BC126" s="56">
        <f>SUMIFS('CWO Bulan Ini'!$DD:$DD,'CWO Bulan Ini'!$DJ:$DJ,'Area-Cabang'!$B126,'CWO Bulan Ini'!$DH:$DH,'Area-Cabang'!$E126,'CWO Bulan Ini'!$CZ:$CZ,'Area-Cabang'!BC$41)</f>
        <v>0</v>
      </c>
      <c r="BD126" s="56">
        <f>SUMIFS('CWO Bulan Ini'!$DD:$DD,'CWO Bulan Ini'!$DJ:$DJ,'Area-Cabang'!$B126,'CWO Bulan Ini'!$DH:$DH,'Area-Cabang'!$E126,'CWO Bulan Ini'!$CZ:$CZ,'Area-Cabang'!BD$41)</f>
        <v>0</v>
      </c>
      <c r="BE126" s="56">
        <f>SUMIFS('CWO Bulan Ini'!$DD:$DD,'CWO Bulan Ini'!$DJ:$DJ,'Area-Cabang'!$B126,'CWO Bulan Ini'!$DH:$DH,'Area-Cabang'!$E126,'CWO Bulan Ini'!$CZ:$CZ,'Area-Cabang'!BE$41)</f>
        <v>0</v>
      </c>
      <c r="BF126" s="56">
        <f>SUMIFS('CWO Bulan Ini'!$DD:$DD,'CWO Bulan Ini'!$DJ:$DJ,'Area-Cabang'!$B126,'CWO Bulan Ini'!$DH:$DH,'Area-Cabang'!$E126,'CWO Bulan Ini'!$CZ:$CZ,'Area-Cabang'!BF$41)</f>
        <v>0</v>
      </c>
      <c r="BG126" s="56">
        <f>SUMIFS('CWO Bulan Ini'!$DD:$DD,'CWO Bulan Ini'!$DJ:$DJ,'Area-Cabang'!$B126,'CWO Bulan Ini'!$DH:$DH,'Area-Cabang'!$E126,'CWO Bulan Ini'!$CZ:$CZ,'Area-Cabang'!BG$41)</f>
        <v>0</v>
      </c>
      <c r="BH126" s="56">
        <f>SUMIFS('CWO Bulan Ini'!$DD:$DD,'CWO Bulan Ini'!$DJ:$DJ,'Area-Cabang'!$B126,'CWO Bulan Ini'!$DH:$DH,'Area-Cabang'!$E126,'CWO Bulan Ini'!$CZ:$CZ,'Area-Cabang'!BH$41)</f>
        <v>0</v>
      </c>
      <c r="BI126" s="56">
        <f>SUMIFS('CWO Bulan Ini'!$DD:$DD,'CWO Bulan Ini'!$DJ:$DJ,'Area-Cabang'!$B126,'CWO Bulan Ini'!$DH:$DH,'Area-Cabang'!$E126,'CWO Bulan Ini'!$CZ:$CZ,'Area-Cabang'!BI$41)</f>
        <v>0</v>
      </c>
      <c r="BJ126" s="56">
        <f>SUMIFS('CWO Bulan Ini'!$DD:$DD,'CWO Bulan Ini'!$DJ:$DJ,'Area-Cabang'!$B126,'CWO Bulan Ini'!$DH:$DH,'Area-Cabang'!$E126,'CWO Bulan Ini'!$CZ:$CZ,'Area-Cabang'!BJ$41)</f>
        <v>0</v>
      </c>
      <c r="BK126" s="56">
        <f>SUMIFS('CWO Bulan Ini'!$DD:$DD,'CWO Bulan Ini'!$DJ:$DJ,'Area-Cabang'!$B126,'CWO Bulan Ini'!$DH:$DH,'Area-Cabang'!$E126,'CWO Bulan Ini'!$CZ:$CZ,'Area-Cabang'!BK$41)</f>
        <v>0</v>
      </c>
      <c r="BL126" s="56">
        <f>SUMIFS('CWO Bulan Ini'!$DD:$DD,'CWO Bulan Ini'!$DJ:$DJ,'Area-Cabang'!$B126,'CWO Bulan Ini'!$DH:$DH,'Area-Cabang'!$E126,'CWO Bulan Ini'!$CZ:$CZ,'Area-Cabang'!BL$41)</f>
        <v>0</v>
      </c>
      <c r="BM126" s="56">
        <f>SUMIFS('CWO Bulan Ini'!$DD:$DD,'CWO Bulan Ini'!$DJ:$DJ,'Area-Cabang'!$B126,'CWO Bulan Ini'!$DH:$DH,'Area-Cabang'!$E126,'CWO Bulan Ini'!$CZ:$CZ,'Area-Cabang'!BM$41)</f>
        <v>0</v>
      </c>
      <c r="BN126" s="56">
        <f>SUMIFS('CWO Bulan Ini'!$DD:$DD,'CWO Bulan Ini'!$DJ:$DJ,'Area-Cabang'!$B126,'CWO Bulan Ini'!$DH:$DH,'Area-Cabang'!$E126,'CWO Bulan Ini'!$CZ:$CZ,'Area-Cabang'!BN$41)</f>
        <v>0</v>
      </c>
      <c r="BO126" s="57">
        <f>SUMIFS('CWO Bulan Ini'!$DD:$DD,'CWO Bulan Ini'!$DJ:$DJ,'Area-Cabang'!$B126,'CWO Bulan Ini'!$DH:$DH,'Area-Cabang'!$E126,'CWO Bulan Ini'!$CZ:$CZ,'Area-Cabang'!BO$41)</f>
        <v>0</v>
      </c>
      <c r="BP126" s="55">
        <f>SUMIFS('CWO Bulan Ini'!$DC:$DC,'CWO Bulan Ini'!$DJ:$DJ,'Area-Cabang'!$B126,'CWO Bulan Ini'!$DH:$DH,'Area-Cabang'!$E126,'CWO Bulan Ini'!$CZ:$CZ,'Area-Cabang'!BP$41)</f>
        <v>0</v>
      </c>
      <c r="BQ126" s="56">
        <f>SUMIFS('CWO Bulan Ini'!$DC:$DC,'CWO Bulan Ini'!$DJ:$DJ,'Area-Cabang'!$B126,'CWO Bulan Ini'!$DH:$DH,'Area-Cabang'!$E126,'CWO Bulan Ini'!$CZ:$CZ,'Area-Cabang'!BQ$41)</f>
        <v>0</v>
      </c>
      <c r="BR126" s="56">
        <f>SUMIFS('CWO Bulan Ini'!$DC:$DC,'CWO Bulan Ini'!$DJ:$DJ,'Area-Cabang'!$B126,'CWO Bulan Ini'!$DH:$DH,'Area-Cabang'!$E126,'CWO Bulan Ini'!$CZ:$CZ,'Area-Cabang'!BR$41)</f>
        <v>0</v>
      </c>
      <c r="BS126" s="56">
        <f>SUMIFS('CWO Bulan Ini'!$DC:$DC,'CWO Bulan Ini'!$DJ:$DJ,'Area-Cabang'!$B126,'CWO Bulan Ini'!$DH:$DH,'Area-Cabang'!$E126,'CWO Bulan Ini'!$CZ:$CZ,'Area-Cabang'!BS$41)</f>
        <v>0</v>
      </c>
      <c r="BT126" s="56">
        <f>SUMIFS('CWO Bulan Ini'!$DC:$DC,'CWO Bulan Ini'!$DJ:$DJ,'Area-Cabang'!$B126,'CWO Bulan Ini'!$DH:$DH,'Area-Cabang'!$E126,'CWO Bulan Ini'!$CZ:$CZ,'Area-Cabang'!BT$41)</f>
        <v>0</v>
      </c>
      <c r="BU126" s="56">
        <f>SUMIFS('CWO Bulan Ini'!$DC:$DC,'CWO Bulan Ini'!$DJ:$DJ,'Area-Cabang'!$B126,'CWO Bulan Ini'!$DH:$DH,'Area-Cabang'!$E126,'CWO Bulan Ini'!$CZ:$CZ,'Area-Cabang'!BU$41)</f>
        <v>0</v>
      </c>
      <c r="BV126" s="56">
        <f>SUMIFS('CWO Bulan Ini'!$DC:$DC,'CWO Bulan Ini'!$DJ:$DJ,'Area-Cabang'!$B126,'CWO Bulan Ini'!$DH:$DH,'Area-Cabang'!$E126,'CWO Bulan Ini'!$CZ:$CZ,'Area-Cabang'!BV$41)</f>
        <v>0</v>
      </c>
      <c r="BW126" s="56">
        <f>SUMIFS('CWO Bulan Ini'!$DC:$DC,'CWO Bulan Ini'!$DJ:$DJ,'Area-Cabang'!$B126,'CWO Bulan Ini'!$DH:$DH,'Area-Cabang'!$E126,'CWO Bulan Ini'!$CZ:$CZ,'Area-Cabang'!BW$41)</f>
        <v>0</v>
      </c>
      <c r="BX126" s="56">
        <f>SUMIFS('CWO Bulan Ini'!$DC:$DC,'CWO Bulan Ini'!$DJ:$DJ,'Area-Cabang'!$B126,'CWO Bulan Ini'!$DH:$DH,'Area-Cabang'!$E126,'CWO Bulan Ini'!$CZ:$CZ,'Area-Cabang'!BX$41)</f>
        <v>0</v>
      </c>
      <c r="BY126" s="56">
        <f>SUMIFS('CWO Bulan Ini'!$DC:$DC,'CWO Bulan Ini'!$DJ:$DJ,'Area-Cabang'!$B126,'CWO Bulan Ini'!$DH:$DH,'Area-Cabang'!$E126,'CWO Bulan Ini'!$CZ:$CZ,'Area-Cabang'!BY$41)</f>
        <v>0</v>
      </c>
      <c r="BZ126" s="56">
        <f>SUMIFS('CWO Bulan Ini'!$DC:$DC,'CWO Bulan Ini'!$DJ:$DJ,'Area-Cabang'!$B126,'CWO Bulan Ini'!$DH:$DH,'Area-Cabang'!$E126,'CWO Bulan Ini'!$CZ:$CZ,'Area-Cabang'!BZ$41)</f>
        <v>0</v>
      </c>
      <c r="CA126" s="56">
        <f>SUMIFS('CWO Bulan Ini'!$DC:$DC,'CWO Bulan Ini'!$DJ:$DJ,'Area-Cabang'!$B126,'CWO Bulan Ini'!$DH:$DH,'Area-Cabang'!$E126,'CWO Bulan Ini'!$CZ:$CZ,'Area-Cabang'!CA$41)</f>
        <v>0</v>
      </c>
      <c r="CB126" s="56">
        <f>SUMIFS('CWO Bulan Ini'!$DC:$DC,'CWO Bulan Ini'!$DJ:$DJ,'Area-Cabang'!$B126,'CWO Bulan Ini'!$DH:$DH,'Area-Cabang'!$E126,'CWO Bulan Ini'!$CZ:$CZ,'Area-Cabang'!CB$41)</f>
        <v>0</v>
      </c>
      <c r="CC126" s="56">
        <f>SUMIFS('CWO Bulan Ini'!$DC:$DC,'CWO Bulan Ini'!$DJ:$DJ,'Area-Cabang'!$B126,'CWO Bulan Ini'!$DH:$DH,'Area-Cabang'!$E126,'CWO Bulan Ini'!$CZ:$CZ,'Area-Cabang'!CC$41)</f>
        <v>0</v>
      </c>
      <c r="CD126" s="56">
        <f>SUMIFS('CWO Bulan Ini'!$DC:$DC,'CWO Bulan Ini'!$DJ:$DJ,'Area-Cabang'!$B126,'CWO Bulan Ini'!$DH:$DH,'Area-Cabang'!$E126,'CWO Bulan Ini'!$CZ:$CZ,'Area-Cabang'!CD$41)</f>
        <v>0</v>
      </c>
      <c r="CE126" s="56">
        <f>SUMIFS('CWO Bulan Ini'!$DC:$DC,'CWO Bulan Ini'!$DJ:$DJ,'Area-Cabang'!$B126,'CWO Bulan Ini'!$DH:$DH,'Area-Cabang'!$E126,'CWO Bulan Ini'!$CZ:$CZ,'Area-Cabang'!CE$41)</f>
        <v>0</v>
      </c>
      <c r="CF126" s="56">
        <f>SUMIFS('CWO Bulan Ini'!$DC:$DC,'CWO Bulan Ini'!$DJ:$DJ,'Area-Cabang'!$B126,'CWO Bulan Ini'!$DH:$DH,'Area-Cabang'!$E126,'CWO Bulan Ini'!$CZ:$CZ,'Area-Cabang'!CF$41)</f>
        <v>0</v>
      </c>
      <c r="CG126" s="56">
        <f>SUMIFS('CWO Bulan Ini'!$DC:$DC,'CWO Bulan Ini'!$DJ:$DJ,'Area-Cabang'!$B126,'CWO Bulan Ini'!$DH:$DH,'Area-Cabang'!$E126,'CWO Bulan Ini'!$CZ:$CZ,'Area-Cabang'!CG$41)</f>
        <v>0</v>
      </c>
      <c r="CH126" s="56">
        <f>SUMIFS('CWO Bulan Ini'!$DC:$DC,'CWO Bulan Ini'!$DJ:$DJ,'Area-Cabang'!$B126,'CWO Bulan Ini'!$DH:$DH,'Area-Cabang'!$E126,'CWO Bulan Ini'!$CZ:$CZ,'Area-Cabang'!CH$41)</f>
        <v>0</v>
      </c>
      <c r="CI126" s="56">
        <f>SUMIFS('CWO Bulan Ini'!$DC:$DC,'CWO Bulan Ini'!$DJ:$DJ,'Area-Cabang'!$B126,'CWO Bulan Ini'!$DH:$DH,'Area-Cabang'!$E126,'CWO Bulan Ini'!$CZ:$CZ,'Area-Cabang'!CI$41)</f>
        <v>0</v>
      </c>
      <c r="CJ126" s="56">
        <f>SUMIFS('CWO Bulan Ini'!$DC:$DC,'CWO Bulan Ini'!$DJ:$DJ,'Area-Cabang'!$B126,'CWO Bulan Ini'!$DH:$DH,'Area-Cabang'!$E126,'CWO Bulan Ini'!$CZ:$CZ,'Area-Cabang'!CJ$41)</f>
        <v>0</v>
      </c>
      <c r="CK126" s="56">
        <f>SUMIFS('CWO Bulan Ini'!$DC:$DC,'CWO Bulan Ini'!$DJ:$DJ,'Area-Cabang'!$B126,'CWO Bulan Ini'!$DH:$DH,'Area-Cabang'!$E126,'CWO Bulan Ini'!$CZ:$CZ,'Area-Cabang'!CK$41)</f>
        <v>0</v>
      </c>
      <c r="CL126" s="56">
        <f>SUMIFS('CWO Bulan Ini'!$DC:$DC,'CWO Bulan Ini'!$DJ:$DJ,'Area-Cabang'!$B126,'CWO Bulan Ini'!$DH:$DH,'Area-Cabang'!$E126,'CWO Bulan Ini'!$CZ:$CZ,'Area-Cabang'!CL$41)</f>
        <v>0</v>
      </c>
      <c r="CM126" s="56">
        <f>SUMIFS('CWO Bulan Ini'!$DC:$DC,'CWO Bulan Ini'!$DJ:$DJ,'Area-Cabang'!$B126,'CWO Bulan Ini'!$DH:$DH,'Area-Cabang'!$E126,'CWO Bulan Ini'!$CZ:$CZ,'Area-Cabang'!CM$41)</f>
        <v>0</v>
      </c>
      <c r="CN126" s="56">
        <f>SUMIFS('CWO Bulan Ini'!$DC:$DC,'CWO Bulan Ini'!$DJ:$DJ,'Area-Cabang'!$B126,'CWO Bulan Ini'!$DH:$DH,'Area-Cabang'!$E126,'CWO Bulan Ini'!$CZ:$CZ,'Area-Cabang'!CN$41)</f>
        <v>0</v>
      </c>
      <c r="CO126" s="56">
        <f>SUMIFS('CWO Bulan Ini'!$DC:$DC,'CWO Bulan Ini'!$DJ:$DJ,'Area-Cabang'!$B126,'CWO Bulan Ini'!$DH:$DH,'Area-Cabang'!$E126,'CWO Bulan Ini'!$CZ:$CZ,'Area-Cabang'!CO$41)</f>
        <v>0</v>
      </c>
      <c r="CP126" s="56">
        <f>SUMIFS('CWO Bulan Ini'!$DC:$DC,'CWO Bulan Ini'!$DJ:$DJ,'Area-Cabang'!$B126,'CWO Bulan Ini'!$DH:$DH,'Area-Cabang'!$E126,'CWO Bulan Ini'!$CZ:$CZ,'Area-Cabang'!CP$41)</f>
        <v>0</v>
      </c>
      <c r="CQ126" s="56">
        <f>SUMIFS('CWO Bulan Ini'!$DC:$DC,'CWO Bulan Ini'!$DJ:$DJ,'Area-Cabang'!$B126,'CWO Bulan Ini'!$DH:$DH,'Area-Cabang'!$E126,'CWO Bulan Ini'!$CZ:$CZ,'Area-Cabang'!CQ$41)</f>
        <v>0</v>
      </c>
      <c r="CR126" s="56">
        <f>SUMIFS('CWO Bulan Ini'!$DC:$DC,'CWO Bulan Ini'!$DJ:$DJ,'Area-Cabang'!$B126,'CWO Bulan Ini'!$DH:$DH,'Area-Cabang'!$E126,'CWO Bulan Ini'!$CZ:$CZ,'Area-Cabang'!CR$41)</f>
        <v>0</v>
      </c>
      <c r="CS126" s="56">
        <f>SUMIFS('CWO Bulan Ini'!$DC:$DC,'CWO Bulan Ini'!$DJ:$DJ,'Area-Cabang'!$B126,'CWO Bulan Ini'!$DH:$DH,'Area-Cabang'!$E126,'CWO Bulan Ini'!$CZ:$CZ,'Area-Cabang'!CS$41)</f>
        <v>0</v>
      </c>
      <c r="CT126" s="57">
        <f>SUMIFS('CWO Bulan Ini'!$DC:$DC,'CWO Bulan Ini'!$DJ:$DJ,'Area-Cabang'!$B126,'CWO Bulan Ini'!$DH:$DH,'Area-Cabang'!$E126,'CWO Bulan Ini'!$CZ:$CZ,'Area-Cabang'!CT$41)</f>
        <v>0</v>
      </c>
      <c r="CV126" s="97">
        <f t="shared" ref="CV126:CV127" si="3865">SUM(F126:AJ126)</f>
        <v>0</v>
      </c>
      <c r="CW126" s="98">
        <f t="shared" ref="CW126:CW127" si="3866">SUM(AK126:BO126)</f>
        <v>0</v>
      </c>
      <c r="CX126" s="98">
        <f t="shared" ref="CX126:CX127" si="3867">SUM(BP126:CT126)</f>
        <v>0</v>
      </c>
      <c r="CY126" s="98">
        <f t="shared" ref="CY126:CY127" si="3868">CV126-CW126-CX126</f>
        <v>0</v>
      </c>
      <c r="CZ126" s="105">
        <f t="shared" ref="CZ126:CZ127" si="3869">CY126+CW126</f>
        <v>0</v>
      </c>
    </row>
    <row r="127" spans="1:104" ht="15" customHeight="1" x14ac:dyDescent="0.25">
      <c r="A127" s="58" t="s">
        <v>454</v>
      </c>
      <c r="B127" s="58" t="s">
        <v>333</v>
      </c>
      <c r="C127" s="250"/>
      <c r="D127" s="244"/>
      <c r="E127" s="40" t="s">
        <v>349</v>
      </c>
      <c r="F127" s="41">
        <f>SUMIFS('CWO Bulan Ini'!$DA:$DA,'CWO Bulan Ini'!$DJ:$DJ,'Area-Cabang'!$B127,'CWO Bulan Ini'!$DH:$DH,'Area-Cabang'!$E127,'CWO Bulan Ini'!$CZ:$CZ,'Area-Cabang'!F$41)</f>
        <v>0</v>
      </c>
      <c r="G127" s="42">
        <f>SUMIFS('CWO Bulan Ini'!$DA:$DA,'CWO Bulan Ini'!$DJ:$DJ,'Area-Cabang'!$B127,'CWO Bulan Ini'!$DH:$DH,'Area-Cabang'!$E127,'CWO Bulan Ini'!$CZ:$CZ,'Area-Cabang'!G$41)</f>
        <v>0</v>
      </c>
      <c r="H127" s="42">
        <f>SUMIFS('CWO Bulan Ini'!$DA:$DA,'CWO Bulan Ini'!$DJ:$DJ,'Area-Cabang'!$B127,'CWO Bulan Ini'!$DH:$DH,'Area-Cabang'!$E127,'CWO Bulan Ini'!$CZ:$CZ,'Area-Cabang'!H$41)</f>
        <v>0</v>
      </c>
      <c r="I127" s="42">
        <f>SUMIFS('CWO Bulan Ini'!$DA:$DA,'CWO Bulan Ini'!$DJ:$DJ,'Area-Cabang'!$B127,'CWO Bulan Ini'!$DH:$DH,'Area-Cabang'!$E127,'CWO Bulan Ini'!$CZ:$CZ,'Area-Cabang'!I$41)</f>
        <v>0</v>
      </c>
      <c r="J127" s="42">
        <f>SUMIFS('CWO Bulan Ini'!$DA:$DA,'CWO Bulan Ini'!$DJ:$DJ,'Area-Cabang'!$B127,'CWO Bulan Ini'!$DH:$DH,'Area-Cabang'!$E127,'CWO Bulan Ini'!$CZ:$CZ,'Area-Cabang'!J$41)</f>
        <v>0</v>
      </c>
      <c r="K127" s="42">
        <f>SUMIFS('CWO Bulan Ini'!$DA:$DA,'CWO Bulan Ini'!$DJ:$DJ,'Area-Cabang'!$B127,'CWO Bulan Ini'!$DH:$DH,'Area-Cabang'!$E127,'CWO Bulan Ini'!$CZ:$CZ,'Area-Cabang'!K$41)</f>
        <v>0</v>
      </c>
      <c r="L127" s="42">
        <f>SUMIFS('CWO Bulan Ini'!$DA:$DA,'CWO Bulan Ini'!$DJ:$DJ,'Area-Cabang'!$B127,'CWO Bulan Ini'!$DH:$DH,'Area-Cabang'!$E127,'CWO Bulan Ini'!$CZ:$CZ,'Area-Cabang'!L$41)</f>
        <v>0</v>
      </c>
      <c r="M127" s="42">
        <f>SUMIFS('CWO Bulan Ini'!$DA:$DA,'CWO Bulan Ini'!$DJ:$DJ,'Area-Cabang'!$B127,'CWO Bulan Ini'!$DH:$DH,'Area-Cabang'!$E127,'CWO Bulan Ini'!$CZ:$CZ,'Area-Cabang'!M$41)</f>
        <v>0</v>
      </c>
      <c r="N127" s="42">
        <f>SUMIFS('CWO Bulan Ini'!$DA:$DA,'CWO Bulan Ini'!$DJ:$DJ,'Area-Cabang'!$B127,'CWO Bulan Ini'!$DH:$DH,'Area-Cabang'!$E127,'CWO Bulan Ini'!$CZ:$CZ,'Area-Cabang'!N$41)</f>
        <v>0</v>
      </c>
      <c r="O127" s="42">
        <f>SUMIFS('CWO Bulan Ini'!$DA:$DA,'CWO Bulan Ini'!$DJ:$DJ,'Area-Cabang'!$B127,'CWO Bulan Ini'!$DH:$DH,'Area-Cabang'!$E127,'CWO Bulan Ini'!$CZ:$CZ,'Area-Cabang'!O$41)</f>
        <v>0</v>
      </c>
      <c r="P127" s="42">
        <f>SUMIFS('CWO Bulan Ini'!$DA:$DA,'CWO Bulan Ini'!$DJ:$DJ,'Area-Cabang'!$B127,'CWO Bulan Ini'!$DH:$DH,'Area-Cabang'!$E127,'CWO Bulan Ini'!$CZ:$CZ,'Area-Cabang'!P$41)</f>
        <v>0</v>
      </c>
      <c r="Q127" s="42">
        <f>SUMIFS('CWO Bulan Ini'!$DA:$DA,'CWO Bulan Ini'!$DJ:$DJ,'Area-Cabang'!$B127,'CWO Bulan Ini'!$DH:$DH,'Area-Cabang'!$E127,'CWO Bulan Ini'!$CZ:$CZ,'Area-Cabang'!Q$41)</f>
        <v>0</v>
      </c>
      <c r="R127" s="42">
        <f>SUMIFS('CWO Bulan Ini'!$DA:$DA,'CWO Bulan Ini'!$DJ:$DJ,'Area-Cabang'!$B127,'CWO Bulan Ini'!$DH:$DH,'Area-Cabang'!$E127,'CWO Bulan Ini'!$CZ:$CZ,'Area-Cabang'!R$41)</f>
        <v>0</v>
      </c>
      <c r="S127" s="42">
        <f>SUMIFS('CWO Bulan Ini'!$DA:$DA,'CWO Bulan Ini'!$DJ:$DJ,'Area-Cabang'!$B127,'CWO Bulan Ini'!$DH:$DH,'Area-Cabang'!$E127,'CWO Bulan Ini'!$CZ:$CZ,'Area-Cabang'!S$41)</f>
        <v>0</v>
      </c>
      <c r="T127" s="42">
        <f>SUMIFS('CWO Bulan Ini'!$DA:$DA,'CWO Bulan Ini'!$DJ:$DJ,'Area-Cabang'!$B127,'CWO Bulan Ini'!$DH:$DH,'Area-Cabang'!$E127,'CWO Bulan Ini'!$CZ:$CZ,'Area-Cabang'!T$41)</f>
        <v>0</v>
      </c>
      <c r="U127" s="42">
        <f>SUMIFS('CWO Bulan Ini'!$DA:$DA,'CWO Bulan Ini'!$DJ:$DJ,'Area-Cabang'!$B127,'CWO Bulan Ini'!$DH:$DH,'Area-Cabang'!$E127,'CWO Bulan Ini'!$CZ:$CZ,'Area-Cabang'!U$41)</f>
        <v>0</v>
      </c>
      <c r="V127" s="42">
        <f>SUMIFS('CWO Bulan Ini'!$DA:$DA,'CWO Bulan Ini'!$DJ:$DJ,'Area-Cabang'!$B127,'CWO Bulan Ini'!$DH:$DH,'Area-Cabang'!$E127,'CWO Bulan Ini'!$CZ:$CZ,'Area-Cabang'!V$41)</f>
        <v>0</v>
      </c>
      <c r="W127" s="42">
        <f>SUMIFS('CWO Bulan Ini'!$DA:$DA,'CWO Bulan Ini'!$DJ:$DJ,'Area-Cabang'!$B127,'CWO Bulan Ini'!$DH:$DH,'Area-Cabang'!$E127,'CWO Bulan Ini'!$CZ:$CZ,'Area-Cabang'!W$41)</f>
        <v>0</v>
      </c>
      <c r="X127" s="42">
        <f>SUMIFS('CWO Bulan Ini'!$DA:$DA,'CWO Bulan Ini'!$DJ:$DJ,'Area-Cabang'!$B127,'CWO Bulan Ini'!$DH:$DH,'Area-Cabang'!$E127,'CWO Bulan Ini'!$CZ:$CZ,'Area-Cabang'!X$41)</f>
        <v>0</v>
      </c>
      <c r="Y127" s="42">
        <f>SUMIFS('CWO Bulan Ini'!$DA:$DA,'CWO Bulan Ini'!$DJ:$DJ,'Area-Cabang'!$B127,'CWO Bulan Ini'!$DH:$DH,'Area-Cabang'!$E127,'CWO Bulan Ini'!$CZ:$CZ,'Area-Cabang'!Y$41)</f>
        <v>0</v>
      </c>
      <c r="Z127" s="42">
        <f>SUMIFS('CWO Bulan Ini'!$DA:$DA,'CWO Bulan Ini'!$DJ:$DJ,'Area-Cabang'!$B127,'CWO Bulan Ini'!$DH:$DH,'Area-Cabang'!$E127,'CWO Bulan Ini'!$CZ:$CZ,'Area-Cabang'!Z$41)</f>
        <v>0</v>
      </c>
      <c r="AA127" s="42">
        <f>SUMIFS('CWO Bulan Ini'!$DA:$DA,'CWO Bulan Ini'!$DJ:$DJ,'Area-Cabang'!$B127,'CWO Bulan Ini'!$DH:$DH,'Area-Cabang'!$E127,'CWO Bulan Ini'!$CZ:$CZ,'Area-Cabang'!AA$41)</f>
        <v>0</v>
      </c>
      <c r="AB127" s="42">
        <f>SUMIFS('CWO Bulan Ini'!$DA:$DA,'CWO Bulan Ini'!$DJ:$DJ,'Area-Cabang'!$B127,'CWO Bulan Ini'!$DH:$DH,'Area-Cabang'!$E127,'CWO Bulan Ini'!$CZ:$CZ,'Area-Cabang'!AB$41)</f>
        <v>0</v>
      </c>
      <c r="AC127" s="42">
        <f>SUMIFS('CWO Bulan Ini'!$DA:$DA,'CWO Bulan Ini'!$DJ:$DJ,'Area-Cabang'!$B127,'CWO Bulan Ini'!$DH:$DH,'Area-Cabang'!$E127,'CWO Bulan Ini'!$CZ:$CZ,'Area-Cabang'!AC$41)</f>
        <v>0</v>
      </c>
      <c r="AD127" s="42">
        <f>SUMIFS('CWO Bulan Ini'!$DA:$DA,'CWO Bulan Ini'!$DJ:$DJ,'Area-Cabang'!$B127,'CWO Bulan Ini'!$DH:$DH,'Area-Cabang'!$E127,'CWO Bulan Ini'!$CZ:$CZ,'Area-Cabang'!AD$41)</f>
        <v>0</v>
      </c>
      <c r="AE127" s="42">
        <f>SUMIFS('CWO Bulan Ini'!$DA:$DA,'CWO Bulan Ini'!$DJ:$DJ,'Area-Cabang'!$B127,'CWO Bulan Ini'!$DH:$DH,'Area-Cabang'!$E127,'CWO Bulan Ini'!$CZ:$CZ,'Area-Cabang'!AE$41)</f>
        <v>0</v>
      </c>
      <c r="AF127" s="42">
        <f>SUMIFS('CWO Bulan Ini'!$DA:$DA,'CWO Bulan Ini'!$DJ:$DJ,'Area-Cabang'!$B127,'CWO Bulan Ini'!$DH:$DH,'Area-Cabang'!$E127,'CWO Bulan Ini'!$CZ:$CZ,'Area-Cabang'!AF$41)</f>
        <v>0</v>
      </c>
      <c r="AG127" s="42">
        <f>SUMIFS('CWO Bulan Ini'!$DA:$DA,'CWO Bulan Ini'!$DJ:$DJ,'Area-Cabang'!$B127,'CWO Bulan Ini'!$DH:$DH,'Area-Cabang'!$E127,'CWO Bulan Ini'!$CZ:$CZ,'Area-Cabang'!AG$41)</f>
        <v>0</v>
      </c>
      <c r="AH127" s="42">
        <f>SUMIFS('CWO Bulan Ini'!$DA:$DA,'CWO Bulan Ini'!$DJ:$DJ,'Area-Cabang'!$B127,'CWO Bulan Ini'!$DH:$DH,'Area-Cabang'!$E127,'CWO Bulan Ini'!$CZ:$CZ,'Area-Cabang'!AH$41)</f>
        <v>0</v>
      </c>
      <c r="AI127" s="42">
        <f>SUMIFS('CWO Bulan Ini'!$DA:$DA,'CWO Bulan Ini'!$DJ:$DJ,'Area-Cabang'!$B127,'CWO Bulan Ini'!$DH:$DH,'Area-Cabang'!$E127,'CWO Bulan Ini'!$CZ:$CZ,'Area-Cabang'!AI$41)</f>
        <v>0</v>
      </c>
      <c r="AJ127" s="42">
        <f>SUMIFS('CWO Bulan Ini'!$DA:$DA,'CWO Bulan Ini'!$DJ:$DJ,'Area-Cabang'!$B127,'CWO Bulan Ini'!$DH:$DH,'Area-Cabang'!$E127,'CWO Bulan Ini'!$CZ:$CZ,'Area-Cabang'!AJ$41)</f>
        <v>0</v>
      </c>
      <c r="AK127" s="41">
        <f>SUMIFS('CWO Bulan Ini'!$DD:$DD,'CWO Bulan Ini'!$DJ:$DJ,'Area-Cabang'!$B127,'CWO Bulan Ini'!$DH:$DH,'Area-Cabang'!$E127,'CWO Bulan Ini'!$CZ:$CZ,'Area-Cabang'!AK$41)</f>
        <v>0</v>
      </c>
      <c r="AL127" s="42">
        <f>SUMIFS('CWO Bulan Ini'!$DD:$DD,'CWO Bulan Ini'!$DJ:$DJ,'Area-Cabang'!$B127,'CWO Bulan Ini'!$DH:$DH,'Area-Cabang'!$E127,'CWO Bulan Ini'!$CZ:$CZ,'Area-Cabang'!AL$41)</f>
        <v>0</v>
      </c>
      <c r="AM127" s="42">
        <f>SUMIFS('CWO Bulan Ini'!$DD:$DD,'CWO Bulan Ini'!$DJ:$DJ,'Area-Cabang'!$B127,'CWO Bulan Ini'!$DH:$DH,'Area-Cabang'!$E127,'CWO Bulan Ini'!$CZ:$CZ,'Area-Cabang'!AM$41)</f>
        <v>0</v>
      </c>
      <c r="AN127" s="42">
        <f>SUMIFS('CWO Bulan Ini'!$DD:$DD,'CWO Bulan Ini'!$DJ:$DJ,'Area-Cabang'!$B127,'CWO Bulan Ini'!$DH:$DH,'Area-Cabang'!$E127,'CWO Bulan Ini'!$CZ:$CZ,'Area-Cabang'!AN$41)</f>
        <v>0</v>
      </c>
      <c r="AO127" s="42">
        <f>SUMIFS('CWO Bulan Ini'!$DD:$DD,'CWO Bulan Ini'!$DJ:$DJ,'Area-Cabang'!$B127,'CWO Bulan Ini'!$DH:$DH,'Area-Cabang'!$E127,'CWO Bulan Ini'!$CZ:$CZ,'Area-Cabang'!AO$41)</f>
        <v>0</v>
      </c>
      <c r="AP127" s="42">
        <f>SUMIFS('CWO Bulan Ini'!$DD:$DD,'CWO Bulan Ini'!$DJ:$DJ,'Area-Cabang'!$B127,'CWO Bulan Ini'!$DH:$DH,'Area-Cabang'!$E127,'CWO Bulan Ini'!$CZ:$CZ,'Area-Cabang'!AP$41)</f>
        <v>0</v>
      </c>
      <c r="AQ127" s="42">
        <f>SUMIFS('CWO Bulan Ini'!$DD:$DD,'CWO Bulan Ini'!$DJ:$DJ,'Area-Cabang'!$B127,'CWO Bulan Ini'!$DH:$DH,'Area-Cabang'!$E127,'CWO Bulan Ini'!$CZ:$CZ,'Area-Cabang'!AQ$41)</f>
        <v>0</v>
      </c>
      <c r="AR127" s="42">
        <f>SUMIFS('CWO Bulan Ini'!$DD:$DD,'CWO Bulan Ini'!$DJ:$DJ,'Area-Cabang'!$B127,'CWO Bulan Ini'!$DH:$DH,'Area-Cabang'!$E127,'CWO Bulan Ini'!$CZ:$CZ,'Area-Cabang'!AR$41)</f>
        <v>0</v>
      </c>
      <c r="AS127" s="42">
        <f>SUMIFS('CWO Bulan Ini'!$DD:$DD,'CWO Bulan Ini'!$DJ:$DJ,'Area-Cabang'!$B127,'CWO Bulan Ini'!$DH:$DH,'Area-Cabang'!$E127,'CWO Bulan Ini'!$CZ:$CZ,'Area-Cabang'!AS$41)</f>
        <v>0</v>
      </c>
      <c r="AT127" s="42">
        <f>SUMIFS('CWO Bulan Ini'!$DD:$DD,'CWO Bulan Ini'!$DJ:$DJ,'Area-Cabang'!$B127,'CWO Bulan Ini'!$DH:$DH,'Area-Cabang'!$E127,'CWO Bulan Ini'!$CZ:$CZ,'Area-Cabang'!AT$41)</f>
        <v>0</v>
      </c>
      <c r="AU127" s="42">
        <f>SUMIFS('CWO Bulan Ini'!$DD:$DD,'CWO Bulan Ini'!$DJ:$DJ,'Area-Cabang'!$B127,'CWO Bulan Ini'!$DH:$DH,'Area-Cabang'!$E127,'CWO Bulan Ini'!$CZ:$CZ,'Area-Cabang'!AU$41)</f>
        <v>0</v>
      </c>
      <c r="AV127" s="42">
        <f>SUMIFS('CWO Bulan Ini'!$DD:$DD,'CWO Bulan Ini'!$DJ:$DJ,'Area-Cabang'!$B127,'CWO Bulan Ini'!$DH:$DH,'Area-Cabang'!$E127,'CWO Bulan Ini'!$CZ:$CZ,'Area-Cabang'!AV$41)</f>
        <v>0</v>
      </c>
      <c r="AW127" s="42">
        <f>SUMIFS('CWO Bulan Ini'!$DD:$DD,'CWO Bulan Ini'!$DJ:$DJ,'Area-Cabang'!$B127,'CWO Bulan Ini'!$DH:$DH,'Area-Cabang'!$E127,'CWO Bulan Ini'!$CZ:$CZ,'Area-Cabang'!AW$41)</f>
        <v>0</v>
      </c>
      <c r="AX127" s="42">
        <f>SUMIFS('CWO Bulan Ini'!$DD:$DD,'CWO Bulan Ini'!$DJ:$DJ,'Area-Cabang'!$B127,'CWO Bulan Ini'!$DH:$DH,'Area-Cabang'!$E127,'CWO Bulan Ini'!$CZ:$CZ,'Area-Cabang'!AX$41)</f>
        <v>0</v>
      </c>
      <c r="AY127" s="42">
        <f>SUMIFS('CWO Bulan Ini'!$DD:$DD,'CWO Bulan Ini'!$DJ:$DJ,'Area-Cabang'!$B127,'CWO Bulan Ini'!$DH:$DH,'Area-Cabang'!$E127,'CWO Bulan Ini'!$CZ:$CZ,'Area-Cabang'!AY$41)</f>
        <v>0</v>
      </c>
      <c r="AZ127" s="42">
        <f>SUMIFS('CWO Bulan Ini'!$DD:$DD,'CWO Bulan Ini'!$DJ:$DJ,'Area-Cabang'!$B127,'CWO Bulan Ini'!$DH:$DH,'Area-Cabang'!$E127,'CWO Bulan Ini'!$CZ:$CZ,'Area-Cabang'!AZ$41)</f>
        <v>0</v>
      </c>
      <c r="BA127" s="42">
        <f>SUMIFS('CWO Bulan Ini'!$DD:$DD,'CWO Bulan Ini'!$DJ:$DJ,'Area-Cabang'!$B127,'CWO Bulan Ini'!$DH:$DH,'Area-Cabang'!$E127,'CWO Bulan Ini'!$CZ:$CZ,'Area-Cabang'!BA$41)</f>
        <v>0</v>
      </c>
      <c r="BB127" s="42">
        <f>SUMIFS('CWO Bulan Ini'!$DD:$DD,'CWO Bulan Ini'!$DJ:$DJ,'Area-Cabang'!$B127,'CWO Bulan Ini'!$DH:$DH,'Area-Cabang'!$E127,'CWO Bulan Ini'!$CZ:$CZ,'Area-Cabang'!BB$41)</f>
        <v>0</v>
      </c>
      <c r="BC127" s="42">
        <f>SUMIFS('CWO Bulan Ini'!$DD:$DD,'CWO Bulan Ini'!$DJ:$DJ,'Area-Cabang'!$B127,'CWO Bulan Ini'!$DH:$DH,'Area-Cabang'!$E127,'CWO Bulan Ini'!$CZ:$CZ,'Area-Cabang'!BC$41)</f>
        <v>0</v>
      </c>
      <c r="BD127" s="42">
        <f>SUMIFS('CWO Bulan Ini'!$DD:$DD,'CWO Bulan Ini'!$DJ:$DJ,'Area-Cabang'!$B127,'CWO Bulan Ini'!$DH:$DH,'Area-Cabang'!$E127,'CWO Bulan Ini'!$CZ:$CZ,'Area-Cabang'!BD$41)</f>
        <v>0</v>
      </c>
      <c r="BE127" s="42">
        <f>SUMIFS('CWO Bulan Ini'!$DD:$DD,'CWO Bulan Ini'!$DJ:$DJ,'Area-Cabang'!$B127,'CWO Bulan Ini'!$DH:$DH,'Area-Cabang'!$E127,'CWO Bulan Ini'!$CZ:$CZ,'Area-Cabang'!BE$41)</f>
        <v>0</v>
      </c>
      <c r="BF127" s="42">
        <f>SUMIFS('CWO Bulan Ini'!$DD:$DD,'CWO Bulan Ini'!$DJ:$DJ,'Area-Cabang'!$B127,'CWO Bulan Ini'!$DH:$DH,'Area-Cabang'!$E127,'CWO Bulan Ini'!$CZ:$CZ,'Area-Cabang'!BF$41)</f>
        <v>0</v>
      </c>
      <c r="BG127" s="42">
        <f>SUMIFS('CWO Bulan Ini'!$DD:$DD,'CWO Bulan Ini'!$DJ:$DJ,'Area-Cabang'!$B127,'CWO Bulan Ini'!$DH:$DH,'Area-Cabang'!$E127,'CWO Bulan Ini'!$CZ:$CZ,'Area-Cabang'!BG$41)</f>
        <v>0</v>
      </c>
      <c r="BH127" s="42">
        <f>SUMIFS('CWO Bulan Ini'!$DD:$DD,'CWO Bulan Ini'!$DJ:$DJ,'Area-Cabang'!$B127,'CWO Bulan Ini'!$DH:$DH,'Area-Cabang'!$E127,'CWO Bulan Ini'!$CZ:$CZ,'Area-Cabang'!BH$41)</f>
        <v>0</v>
      </c>
      <c r="BI127" s="42">
        <f>SUMIFS('CWO Bulan Ini'!$DD:$DD,'CWO Bulan Ini'!$DJ:$DJ,'Area-Cabang'!$B127,'CWO Bulan Ini'!$DH:$DH,'Area-Cabang'!$E127,'CWO Bulan Ini'!$CZ:$CZ,'Area-Cabang'!BI$41)</f>
        <v>0</v>
      </c>
      <c r="BJ127" s="42">
        <f>SUMIFS('CWO Bulan Ini'!$DD:$DD,'CWO Bulan Ini'!$DJ:$DJ,'Area-Cabang'!$B127,'CWO Bulan Ini'!$DH:$DH,'Area-Cabang'!$E127,'CWO Bulan Ini'!$CZ:$CZ,'Area-Cabang'!BJ$41)</f>
        <v>0</v>
      </c>
      <c r="BK127" s="42">
        <f>SUMIFS('CWO Bulan Ini'!$DD:$DD,'CWO Bulan Ini'!$DJ:$DJ,'Area-Cabang'!$B127,'CWO Bulan Ini'!$DH:$DH,'Area-Cabang'!$E127,'CWO Bulan Ini'!$CZ:$CZ,'Area-Cabang'!BK$41)</f>
        <v>0</v>
      </c>
      <c r="BL127" s="42">
        <f>SUMIFS('CWO Bulan Ini'!$DD:$DD,'CWO Bulan Ini'!$DJ:$DJ,'Area-Cabang'!$B127,'CWO Bulan Ini'!$DH:$DH,'Area-Cabang'!$E127,'CWO Bulan Ini'!$CZ:$CZ,'Area-Cabang'!BL$41)</f>
        <v>0</v>
      </c>
      <c r="BM127" s="42">
        <f>SUMIFS('CWO Bulan Ini'!$DD:$DD,'CWO Bulan Ini'!$DJ:$DJ,'Area-Cabang'!$B127,'CWO Bulan Ini'!$DH:$DH,'Area-Cabang'!$E127,'CWO Bulan Ini'!$CZ:$CZ,'Area-Cabang'!BM$41)</f>
        <v>0</v>
      </c>
      <c r="BN127" s="42">
        <f>SUMIFS('CWO Bulan Ini'!$DD:$DD,'CWO Bulan Ini'!$DJ:$DJ,'Area-Cabang'!$B127,'CWO Bulan Ini'!$DH:$DH,'Area-Cabang'!$E127,'CWO Bulan Ini'!$CZ:$CZ,'Area-Cabang'!BN$41)</f>
        <v>0</v>
      </c>
      <c r="BO127" s="43">
        <f>SUMIFS('CWO Bulan Ini'!$DD:$DD,'CWO Bulan Ini'!$DJ:$DJ,'Area-Cabang'!$B127,'CWO Bulan Ini'!$DH:$DH,'Area-Cabang'!$E127,'CWO Bulan Ini'!$CZ:$CZ,'Area-Cabang'!BO$41)</f>
        <v>0</v>
      </c>
      <c r="BP127" s="41">
        <f>SUMIFS('CWO Bulan Ini'!$DC:$DC,'CWO Bulan Ini'!$DJ:$DJ,'Area-Cabang'!$B127,'CWO Bulan Ini'!$DH:$DH,'Area-Cabang'!$E127,'CWO Bulan Ini'!$CZ:$CZ,'Area-Cabang'!BP$41)</f>
        <v>0</v>
      </c>
      <c r="BQ127" s="42">
        <f>SUMIFS('CWO Bulan Ini'!$DC:$DC,'CWO Bulan Ini'!$DJ:$DJ,'Area-Cabang'!$B127,'CWO Bulan Ini'!$DH:$DH,'Area-Cabang'!$E127,'CWO Bulan Ini'!$CZ:$CZ,'Area-Cabang'!BQ$41)</f>
        <v>0</v>
      </c>
      <c r="BR127" s="42">
        <f>SUMIFS('CWO Bulan Ini'!$DC:$DC,'CWO Bulan Ini'!$DJ:$DJ,'Area-Cabang'!$B127,'CWO Bulan Ini'!$DH:$DH,'Area-Cabang'!$E127,'CWO Bulan Ini'!$CZ:$CZ,'Area-Cabang'!BR$41)</f>
        <v>0</v>
      </c>
      <c r="BS127" s="42">
        <f>SUMIFS('CWO Bulan Ini'!$DC:$DC,'CWO Bulan Ini'!$DJ:$DJ,'Area-Cabang'!$B127,'CWO Bulan Ini'!$DH:$DH,'Area-Cabang'!$E127,'CWO Bulan Ini'!$CZ:$CZ,'Area-Cabang'!BS$41)</f>
        <v>0</v>
      </c>
      <c r="BT127" s="42">
        <f>SUMIFS('CWO Bulan Ini'!$DC:$DC,'CWO Bulan Ini'!$DJ:$DJ,'Area-Cabang'!$B127,'CWO Bulan Ini'!$DH:$DH,'Area-Cabang'!$E127,'CWO Bulan Ini'!$CZ:$CZ,'Area-Cabang'!BT$41)</f>
        <v>0</v>
      </c>
      <c r="BU127" s="42">
        <f>SUMIFS('CWO Bulan Ini'!$DC:$DC,'CWO Bulan Ini'!$DJ:$DJ,'Area-Cabang'!$B127,'CWO Bulan Ini'!$DH:$DH,'Area-Cabang'!$E127,'CWO Bulan Ini'!$CZ:$CZ,'Area-Cabang'!BU$41)</f>
        <v>0</v>
      </c>
      <c r="BV127" s="42">
        <f>SUMIFS('CWO Bulan Ini'!$DC:$DC,'CWO Bulan Ini'!$DJ:$DJ,'Area-Cabang'!$B127,'CWO Bulan Ini'!$DH:$DH,'Area-Cabang'!$E127,'CWO Bulan Ini'!$CZ:$CZ,'Area-Cabang'!BV$41)</f>
        <v>0</v>
      </c>
      <c r="BW127" s="42">
        <f>SUMIFS('CWO Bulan Ini'!$DC:$DC,'CWO Bulan Ini'!$DJ:$DJ,'Area-Cabang'!$B127,'CWO Bulan Ini'!$DH:$DH,'Area-Cabang'!$E127,'CWO Bulan Ini'!$CZ:$CZ,'Area-Cabang'!BW$41)</f>
        <v>0</v>
      </c>
      <c r="BX127" s="42">
        <f>SUMIFS('CWO Bulan Ini'!$DC:$DC,'CWO Bulan Ini'!$DJ:$DJ,'Area-Cabang'!$B127,'CWO Bulan Ini'!$DH:$DH,'Area-Cabang'!$E127,'CWO Bulan Ini'!$CZ:$CZ,'Area-Cabang'!BX$41)</f>
        <v>0</v>
      </c>
      <c r="BY127" s="42">
        <f>SUMIFS('CWO Bulan Ini'!$DC:$DC,'CWO Bulan Ini'!$DJ:$DJ,'Area-Cabang'!$B127,'CWO Bulan Ini'!$DH:$DH,'Area-Cabang'!$E127,'CWO Bulan Ini'!$CZ:$CZ,'Area-Cabang'!BY$41)</f>
        <v>0</v>
      </c>
      <c r="BZ127" s="42">
        <f>SUMIFS('CWO Bulan Ini'!$DC:$DC,'CWO Bulan Ini'!$DJ:$DJ,'Area-Cabang'!$B127,'CWO Bulan Ini'!$DH:$DH,'Area-Cabang'!$E127,'CWO Bulan Ini'!$CZ:$CZ,'Area-Cabang'!BZ$41)</f>
        <v>0</v>
      </c>
      <c r="CA127" s="42">
        <f>SUMIFS('CWO Bulan Ini'!$DC:$DC,'CWO Bulan Ini'!$DJ:$DJ,'Area-Cabang'!$B127,'CWO Bulan Ini'!$DH:$DH,'Area-Cabang'!$E127,'CWO Bulan Ini'!$CZ:$CZ,'Area-Cabang'!CA$41)</f>
        <v>0</v>
      </c>
      <c r="CB127" s="42">
        <f>SUMIFS('CWO Bulan Ini'!$DC:$DC,'CWO Bulan Ini'!$DJ:$DJ,'Area-Cabang'!$B127,'CWO Bulan Ini'!$DH:$DH,'Area-Cabang'!$E127,'CWO Bulan Ini'!$CZ:$CZ,'Area-Cabang'!CB$41)</f>
        <v>0</v>
      </c>
      <c r="CC127" s="42">
        <f>SUMIFS('CWO Bulan Ini'!$DC:$DC,'CWO Bulan Ini'!$DJ:$DJ,'Area-Cabang'!$B127,'CWO Bulan Ini'!$DH:$DH,'Area-Cabang'!$E127,'CWO Bulan Ini'!$CZ:$CZ,'Area-Cabang'!CC$41)</f>
        <v>0</v>
      </c>
      <c r="CD127" s="42">
        <f>SUMIFS('CWO Bulan Ini'!$DC:$DC,'CWO Bulan Ini'!$DJ:$DJ,'Area-Cabang'!$B127,'CWO Bulan Ini'!$DH:$DH,'Area-Cabang'!$E127,'CWO Bulan Ini'!$CZ:$CZ,'Area-Cabang'!CD$41)</f>
        <v>0</v>
      </c>
      <c r="CE127" s="42">
        <f>SUMIFS('CWO Bulan Ini'!$DC:$DC,'CWO Bulan Ini'!$DJ:$DJ,'Area-Cabang'!$B127,'CWO Bulan Ini'!$DH:$DH,'Area-Cabang'!$E127,'CWO Bulan Ini'!$CZ:$CZ,'Area-Cabang'!CE$41)</f>
        <v>0</v>
      </c>
      <c r="CF127" s="42">
        <f>SUMIFS('CWO Bulan Ini'!$DC:$DC,'CWO Bulan Ini'!$DJ:$DJ,'Area-Cabang'!$B127,'CWO Bulan Ini'!$DH:$DH,'Area-Cabang'!$E127,'CWO Bulan Ini'!$CZ:$CZ,'Area-Cabang'!CF$41)</f>
        <v>0</v>
      </c>
      <c r="CG127" s="42">
        <f>SUMIFS('CWO Bulan Ini'!$DC:$DC,'CWO Bulan Ini'!$DJ:$DJ,'Area-Cabang'!$B127,'CWO Bulan Ini'!$DH:$DH,'Area-Cabang'!$E127,'CWO Bulan Ini'!$CZ:$CZ,'Area-Cabang'!CG$41)</f>
        <v>0</v>
      </c>
      <c r="CH127" s="42">
        <f>SUMIFS('CWO Bulan Ini'!$DC:$DC,'CWO Bulan Ini'!$DJ:$DJ,'Area-Cabang'!$B127,'CWO Bulan Ini'!$DH:$DH,'Area-Cabang'!$E127,'CWO Bulan Ini'!$CZ:$CZ,'Area-Cabang'!CH$41)</f>
        <v>0</v>
      </c>
      <c r="CI127" s="42">
        <f>SUMIFS('CWO Bulan Ini'!$DC:$DC,'CWO Bulan Ini'!$DJ:$DJ,'Area-Cabang'!$B127,'CWO Bulan Ini'!$DH:$DH,'Area-Cabang'!$E127,'CWO Bulan Ini'!$CZ:$CZ,'Area-Cabang'!CI$41)</f>
        <v>0</v>
      </c>
      <c r="CJ127" s="42">
        <f>SUMIFS('CWO Bulan Ini'!$DC:$DC,'CWO Bulan Ini'!$DJ:$DJ,'Area-Cabang'!$B127,'CWO Bulan Ini'!$DH:$DH,'Area-Cabang'!$E127,'CWO Bulan Ini'!$CZ:$CZ,'Area-Cabang'!CJ$41)</f>
        <v>0</v>
      </c>
      <c r="CK127" s="42">
        <f>SUMIFS('CWO Bulan Ini'!$DC:$DC,'CWO Bulan Ini'!$DJ:$DJ,'Area-Cabang'!$B127,'CWO Bulan Ini'!$DH:$DH,'Area-Cabang'!$E127,'CWO Bulan Ini'!$CZ:$CZ,'Area-Cabang'!CK$41)</f>
        <v>0</v>
      </c>
      <c r="CL127" s="42">
        <f>SUMIFS('CWO Bulan Ini'!$DC:$DC,'CWO Bulan Ini'!$DJ:$DJ,'Area-Cabang'!$B127,'CWO Bulan Ini'!$DH:$DH,'Area-Cabang'!$E127,'CWO Bulan Ini'!$CZ:$CZ,'Area-Cabang'!CL$41)</f>
        <v>0</v>
      </c>
      <c r="CM127" s="42">
        <f>SUMIFS('CWO Bulan Ini'!$DC:$DC,'CWO Bulan Ini'!$DJ:$DJ,'Area-Cabang'!$B127,'CWO Bulan Ini'!$DH:$DH,'Area-Cabang'!$E127,'CWO Bulan Ini'!$CZ:$CZ,'Area-Cabang'!CM$41)</f>
        <v>0</v>
      </c>
      <c r="CN127" s="42">
        <f>SUMIFS('CWO Bulan Ini'!$DC:$DC,'CWO Bulan Ini'!$DJ:$DJ,'Area-Cabang'!$B127,'CWO Bulan Ini'!$DH:$DH,'Area-Cabang'!$E127,'CWO Bulan Ini'!$CZ:$CZ,'Area-Cabang'!CN$41)</f>
        <v>0</v>
      </c>
      <c r="CO127" s="42">
        <f>SUMIFS('CWO Bulan Ini'!$DC:$DC,'CWO Bulan Ini'!$DJ:$DJ,'Area-Cabang'!$B127,'CWO Bulan Ini'!$DH:$DH,'Area-Cabang'!$E127,'CWO Bulan Ini'!$CZ:$CZ,'Area-Cabang'!CO$41)</f>
        <v>0</v>
      </c>
      <c r="CP127" s="42">
        <f>SUMIFS('CWO Bulan Ini'!$DC:$DC,'CWO Bulan Ini'!$DJ:$DJ,'Area-Cabang'!$B127,'CWO Bulan Ini'!$DH:$DH,'Area-Cabang'!$E127,'CWO Bulan Ini'!$CZ:$CZ,'Area-Cabang'!CP$41)</f>
        <v>0</v>
      </c>
      <c r="CQ127" s="42">
        <f>SUMIFS('CWO Bulan Ini'!$DC:$DC,'CWO Bulan Ini'!$DJ:$DJ,'Area-Cabang'!$B127,'CWO Bulan Ini'!$DH:$DH,'Area-Cabang'!$E127,'CWO Bulan Ini'!$CZ:$CZ,'Area-Cabang'!CQ$41)</f>
        <v>0</v>
      </c>
      <c r="CR127" s="42">
        <f>SUMIFS('CWO Bulan Ini'!$DC:$DC,'CWO Bulan Ini'!$DJ:$DJ,'Area-Cabang'!$B127,'CWO Bulan Ini'!$DH:$DH,'Area-Cabang'!$E127,'CWO Bulan Ini'!$CZ:$CZ,'Area-Cabang'!CR$41)</f>
        <v>0</v>
      </c>
      <c r="CS127" s="42">
        <f>SUMIFS('CWO Bulan Ini'!$DC:$DC,'CWO Bulan Ini'!$DJ:$DJ,'Area-Cabang'!$B127,'CWO Bulan Ini'!$DH:$DH,'Area-Cabang'!$E127,'CWO Bulan Ini'!$CZ:$CZ,'Area-Cabang'!CS$41)</f>
        <v>0</v>
      </c>
      <c r="CT127" s="43">
        <f>SUMIFS('CWO Bulan Ini'!$DC:$DC,'CWO Bulan Ini'!$DJ:$DJ,'Area-Cabang'!$B127,'CWO Bulan Ini'!$DH:$DH,'Area-Cabang'!$E127,'CWO Bulan Ini'!$CZ:$CZ,'Area-Cabang'!CT$41)</f>
        <v>0</v>
      </c>
      <c r="CV127" s="96">
        <f t="shared" si="3865"/>
        <v>0</v>
      </c>
      <c r="CW127" s="93">
        <f t="shared" si="3866"/>
        <v>0</v>
      </c>
      <c r="CX127" s="93">
        <f t="shared" si="3867"/>
        <v>0</v>
      </c>
      <c r="CY127" s="93">
        <f t="shared" si="3868"/>
        <v>0</v>
      </c>
      <c r="CZ127" s="106">
        <f t="shared" si="3869"/>
        <v>0</v>
      </c>
    </row>
    <row r="128" spans="1:104" ht="15" customHeight="1" x14ac:dyDescent="0.25">
      <c r="A128" s="58" t="s">
        <v>454</v>
      </c>
      <c r="B128" s="53" t="s">
        <v>835</v>
      </c>
      <c r="C128" s="250"/>
      <c r="D128" s="227" t="s">
        <v>835</v>
      </c>
      <c r="E128" s="228"/>
      <c r="F128" s="219">
        <f t="shared" ref="F128" si="3870">SUM(F126:F127)</f>
        <v>0</v>
      </c>
      <c r="G128" s="220">
        <f t="shared" ref="G128" si="3871">SUM(G126:G127)</f>
        <v>0</v>
      </c>
      <c r="H128" s="220">
        <f t="shared" ref="H128" si="3872">SUM(H126:H127)</f>
        <v>0</v>
      </c>
      <c r="I128" s="220">
        <f t="shared" ref="I128" si="3873">SUM(I126:I127)</f>
        <v>0</v>
      </c>
      <c r="J128" s="220">
        <f t="shared" ref="J128" si="3874">SUM(J126:J127)</f>
        <v>0</v>
      </c>
      <c r="K128" s="220">
        <f t="shared" ref="K128" si="3875">SUM(K126:K127)</f>
        <v>0</v>
      </c>
      <c r="L128" s="220">
        <f t="shared" ref="L128" si="3876">SUM(L126:L127)</f>
        <v>0</v>
      </c>
      <c r="M128" s="220">
        <f t="shared" ref="M128" si="3877">SUM(M126:M127)</f>
        <v>0</v>
      </c>
      <c r="N128" s="220">
        <f t="shared" ref="N128" si="3878">SUM(N126:N127)</f>
        <v>0</v>
      </c>
      <c r="O128" s="220">
        <f t="shared" ref="O128" si="3879">SUM(O126:O127)</f>
        <v>0</v>
      </c>
      <c r="P128" s="220">
        <f t="shared" ref="P128" si="3880">SUM(P126:P127)</f>
        <v>0</v>
      </c>
      <c r="Q128" s="220">
        <f t="shared" ref="Q128" si="3881">SUM(Q126:Q127)</f>
        <v>0</v>
      </c>
      <c r="R128" s="220">
        <f t="shared" ref="R128" si="3882">SUM(R126:R127)</f>
        <v>0</v>
      </c>
      <c r="S128" s="220">
        <f t="shared" ref="S128" si="3883">SUM(S126:S127)</f>
        <v>0</v>
      </c>
      <c r="T128" s="220">
        <f t="shared" ref="T128" si="3884">SUM(T126:T127)</f>
        <v>0</v>
      </c>
      <c r="U128" s="220">
        <f t="shared" ref="U128" si="3885">SUM(U126:U127)</f>
        <v>0</v>
      </c>
      <c r="V128" s="220">
        <f t="shared" ref="V128" si="3886">SUM(V126:V127)</f>
        <v>0</v>
      </c>
      <c r="W128" s="220">
        <f t="shared" ref="W128" si="3887">SUM(W126:W127)</f>
        <v>0</v>
      </c>
      <c r="X128" s="220">
        <f t="shared" ref="X128" si="3888">SUM(X126:X127)</f>
        <v>0</v>
      </c>
      <c r="Y128" s="220">
        <f t="shared" ref="Y128" si="3889">SUM(Y126:Y127)</f>
        <v>0</v>
      </c>
      <c r="Z128" s="220">
        <f t="shared" ref="Z128" si="3890">SUM(Z126:Z127)</f>
        <v>0</v>
      </c>
      <c r="AA128" s="220">
        <f t="shared" ref="AA128" si="3891">SUM(AA126:AA127)</f>
        <v>0</v>
      </c>
      <c r="AB128" s="220">
        <f t="shared" ref="AB128" si="3892">SUM(AB126:AB127)</f>
        <v>0</v>
      </c>
      <c r="AC128" s="220">
        <f t="shared" ref="AC128" si="3893">SUM(AC126:AC127)</f>
        <v>0</v>
      </c>
      <c r="AD128" s="220">
        <f t="shared" ref="AD128" si="3894">SUM(AD126:AD127)</f>
        <v>0</v>
      </c>
      <c r="AE128" s="220">
        <f t="shared" ref="AE128" si="3895">SUM(AE126:AE127)</f>
        <v>0</v>
      </c>
      <c r="AF128" s="220">
        <f t="shared" ref="AF128" si="3896">SUM(AF126:AF127)</f>
        <v>0</v>
      </c>
      <c r="AG128" s="220">
        <f t="shared" ref="AG128" si="3897">SUM(AG126:AG127)</f>
        <v>0</v>
      </c>
      <c r="AH128" s="220">
        <f t="shared" ref="AH128" si="3898">SUM(AH126:AH127)</f>
        <v>0</v>
      </c>
      <c r="AI128" s="220">
        <f t="shared" ref="AI128" si="3899">SUM(AI126:AI127)</f>
        <v>0</v>
      </c>
      <c r="AJ128" s="220">
        <f t="shared" ref="AJ128" si="3900">SUM(AJ126:AJ127)</f>
        <v>0</v>
      </c>
      <c r="AK128" s="219">
        <f t="shared" ref="AK128" si="3901">SUM(AK126:AK127)</f>
        <v>0</v>
      </c>
      <c r="AL128" s="220">
        <f t="shared" ref="AL128" si="3902">SUM(AL126:AL127)</f>
        <v>0</v>
      </c>
      <c r="AM128" s="220">
        <f t="shared" ref="AM128" si="3903">SUM(AM126:AM127)</f>
        <v>0</v>
      </c>
      <c r="AN128" s="220">
        <f t="shared" ref="AN128" si="3904">SUM(AN126:AN127)</f>
        <v>0</v>
      </c>
      <c r="AO128" s="220">
        <f t="shared" ref="AO128" si="3905">SUM(AO126:AO127)</f>
        <v>0</v>
      </c>
      <c r="AP128" s="220">
        <f t="shared" ref="AP128" si="3906">SUM(AP126:AP127)</f>
        <v>0</v>
      </c>
      <c r="AQ128" s="220">
        <f t="shared" ref="AQ128" si="3907">SUM(AQ126:AQ127)</f>
        <v>0</v>
      </c>
      <c r="AR128" s="220">
        <f t="shared" ref="AR128" si="3908">SUM(AR126:AR127)</f>
        <v>0</v>
      </c>
      <c r="AS128" s="220">
        <f t="shared" ref="AS128" si="3909">SUM(AS126:AS127)</f>
        <v>0</v>
      </c>
      <c r="AT128" s="220">
        <f t="shared" ref="AT128" si="3910">SUM(AT126:AT127)</f>
        <v>0</v>
      </c>
      <c r="AU128" s="220">
        <f t="shared" ref="AU128" si="3911">SUM(AU126:AU127)</f>
        <v>0</v>
      </c>
      <c r="AV128" s="220">
        <f t="shared" ref="AV128" si="3912">SUM(AV126:AV127)</f>
        <v>0</v>
      </c>
      <c r="AW128" s="220">
        <f t="shared" ref="AW128" si="3913">SUM(AW126:AW127)</f>
        <v>0</v>
      </c>
      <c r="AX128" s="220">
        <f t="shared" ref="AX128" si="3914">SUM(AX126:AX127)</f>
        <v>0</v>
      </c>
      <c r="AY128" s="220">
        <f t="shared" ref="AY128" si="3915">SUM(AY126:AY127)</f>
        <v>0</v>
      </c>
      <c r="AZ128" s="220">
        <f t="shared" ref="AZ128" si="3916">SUM(AZ126:AZ127)</f>
        <v>0</v>
      </c>
      <c r="BA128" s="220">
        <f t="shared" ref="BA128" si="3917">SUM(BA126:BA127)</f>
        <v>0</v>
      </c>
      <c r="BB128" s="220">
        <f t="shared" ref="BB128" si="3918">SUM(BB126:BB127)</f>
        <v>0</v>
      </c>
      <c r="BC128" s="220">
        <f t="shared" ref="BC128" si="3919">SUM(BC126:BC127)</f>
        <v>0</v>
      </c>
      <c r="BD128" s="220">
        <f t="shared" ref="BD128" si="3920">SUM(BD126:BD127)</f>
        <v>0</v>
      </c>
      <c r="BE128" s="220">
        <f t="shared" ref="BE128" si="3921">SUM(BE126:BE127)</f>
        <v>0</v>
      </c>
      <c r="BF128" s="220">
        <f t="shared" ref="BF128" si="3922">SUM(BF126:BF127)</f>
        <v>0</v>
      </c>
      <c r="BG128" s="220">
        <f t="shared" ref="BG128" si="3923">SUM(BG126:BG127)</f>
        <v>0</v>
      </c>
      <c r="BH128" s="220">
        <f t="shared" ref="BH128" si="3924">SUM(BH126:BH127)</f>
        <v>0</v>
      </c>
      <c r="BI128" s="220">
        <f t="shared" ref="BI128" si="3925">SUM(BI126:BI127)</f>
        <v>0</v>
      </c>
      <c r="BJ128" s="220">
        <f t="shared" ref="BJ128" si="3926">SUM(BJ126:BJ127)</f>
        <v>0</v>
      </c>
      <c r="BK128" s="220">
        <f t="shared" ref="BK128" si="3927">SUM(BK126:BK127)</f>
        <v>0</v>
      </c>
      <c r="BL128" s="220">
        <f t="shared" ref="BL128" si="3928">SUM(BL126:BL127)</f>
        <v>0</v>
      </c>
      <c r="BM128" s="220">
        <f t="shared" ref="BM128" si="3929">SUM(BM126:BM127)</f>
        <v>0</v>
      </c>
      <c r="BN128" s="220">
        <f t="shared" ref="BN128" si="3930">SUM(BN126:BN127)</f>
        <v>0</v>
      </c>
      <c r="BO128" s="221">
        <f t="shared" ref="BO128" si="3931">SUM(BO126:BO127)</f>
        <v>0</v>
      </c>
      <c r="BP128" s="219">
        <f t="shared" ref="BP128" si="3932">SUM(BP126:BP127)</f>
        <v>0</v>
      </c>
      <c r="BQ128" s="220">
        <f t="shared" ref="BQ128" si="3933">SUM(BQ126:BQ127)</f>
        <v>0</v>
      </c>
      <c r="BR128" s="220">
        <f t="shared" ref="BR128" si="3934">SUM(BR126:BR127)</f>
        <v>0</v>
      </c>
      <c r="BS128" s="220">
        <f t="shared" ref="BS128" si="3935">SUM(BS126:BS127)</f>
        <v>0</v>
      </c>
      <c r="BT128" s="220">
        <f t="shared" ref="BT128" si="3936">SUM(BT126:BT127)</f>
        <v>0</v>
      </c>
      <c r="BU128" s="220">
        <f t="shared" ref="BU128" si="3937">SUM(BU126:BU127)</f>
        <v>0</v>
      </c>
      <c r="BV128" s="220">
        <f t="shared" ref="BV128" si="3938">SUM(BV126:BV127)</f>
        <v>0</v>
      </c>
      <c r="BW128" s="220">
        <f t="shared" ref="BW128" si="3939">SUM(BW126:BW127)</f>
        <v>0</v>
      </c>
      <c r="BX128" s="220">
        <f t="shared" ref="BX128" si="3940">SUM(BX126:BX127)</f>
        <v>0</v>
      </c>
      <c r="BY128" s="220">
        <f t="shared" ref="BY128" si="3941">SUM(BY126:BY127)</f>
        <v>0</v>
      </c>
      <c r="BZ128" s="220">
        <f t="shared" ref="BZ128" si="3942">SUM(BZ126:BZ127)</f>
        <v>0</v>
      </c>
      <c r="CA128" s="220">
        <f t="shared" ref="CA128" si="3943">SUM(CA126:CA127)</f>
        <v>0</v>
      </c>
      <c r="CB128" s="220">
        <f t="shared" ref="CB128" si="3944">SUM(CB126:CB127)</f>
        <v>0</v>
      </c>
      <c r="CC128" s="220">
        <f t="shared" ref="CC128" si="3945">SUM(CC126:CC127)</f>
        <v>0</v>
      </c>
      <c r="CD128" s="220">
        <f t="shared" ref="CD128" si="3946">SUM(CD126:CD127)</f>
        <v>0</v>
      </c>
      <c r="CE128" s="220">
        <f t="shared" ref="CE128" si="3947">SUM(CE126:CE127)</f>
        <v>0</v>
      </c>
      <c r="CF128" s="220">
        <f t="shared" ref="CF128" si="3948">SUM(CF126:CF127)</f>
        <v>0</v>
      </c>
      <c r="CG128" s="220">
        <f t="shared" ref="CG128" si="3949">SUM(CG126:CG127)</f>
        <v>0</v>
      </c>
      <c r="CH128" s="220">
        <f t="shared" ref="CH128" si="3950">SUM(CH126:CH127)</f>
        <v>0</v>
      </c>
      <c r="CI128" s="220">
        <f t="shared" ref="CI128" si="3951">SUM(CI126:CI127)</f>
        <v>0</v>
      </c>
      <c r="CJ128" s="220">
        <f t="shared" ref="CJ128" si="3952">SUM(CJ126:CJ127)</f>
        <v>0</v>
      </c>
      <c r="CK128" s="220">
        <f t="shared" ref="CK128" si="3953">SUM(CK126:CK127)</f>
        <v>0</v>
      </c>
      <c r="CL128" s="220">
        <f t="shared" ref="CL128" si="3954">SUM(CL126:CL127)</f>
        <v>0</v>
      </c>
      <c r="CM128" s="220">
        <f t="shared" ref="CM128" si="3955">SUM(CM126:CM127)</f>
        <v>0</v>
      </c>
      <c r="CN128" s="220">
        <f t="shared" ref="CN128" si="3956">SUM(CN126:CN127)</f>
        <v>0</v>
      </c>
      <c r="CO128" s="220">
        <f t="shared" ref="CO128" si="3957">SUM(CO126:CO127)</f>
        <v>0</v>
      </c>
      <c r="CP128" s="220">
        <f t="shared" ref="CP128" si="3958">SUM(CP126:CP127)</f>
        <v>0</v>
      </c>
      <c r="CQ128" s="220">
        <f t="shared" ref="CQ128" si="3959">SUM(CQ126:CQ127)</f>
        <v>0</v>
      </c>
      <c r="CR128" s="220">
        <f t="shared" ref="CR128" si="3960">SUM(CR126:CR127)</f>
        <v>0</v>
      </c>
      <c r="CS128" s="220">
        <f t="shared" ref="CS128" si="3961">SUM(CS126:CS127)</f>
        <v>0</v>
      </c>
      <c r="CT128" s="221">
        <f t="shared" ref="CT128" si="3962">SUM(CT126:CT127)</f>
        <v>0</v>
      </c>
      <c r="CU128" s="226"/>
      <c r="CV128" s="219">
        <f t="shared" ref="CV128" si="3963">SUM(CV126:CV127)</f>
        <v>0</v>
      </c>
      <c r="CW128" s="220">
        <f t="shared" ref="CW128" si="3964">SUM(CW126:CW127)</f>
        <v>0</v>
      </c>
      <c r="CX128" s="220">
        <f t="shared" ref="CX128" si="3965">SUM(CX126:CX127)</f>
        <v>0</v>
      </c>
      <c r="CY128" s="220">
        <f t="shared" ref="CY128" si="3966">SUM(CY126:CY127)</f>
        <v>0</v>
      </c>
      <c r="CZ128" s="222">
        <f t="shared" ref="CZ128" si="3967">SUM(CZ126:CZ127)</f>
        <v>0</v>
      </c>
    </row>
    <row r="129" spans="1:104" ht="15" customHeight="1" x14ac:dyDescent="0.25">
      <c r="A129" s="58" t="s">
        <v>454</v>
      </c>
      <c r="B129" s="53" t="s">
        <v>455</v>
      </c>
      <c r="C129" s="250"/>
      <c r="D129" s="245" t="s">
        <v>455</v>
      </c>
      <c r="E129" s="85" t="s">
        <v>132</v>
      </c>
      <c r="F129" s="55">
        <f>SUMIFS('CWO Bulan Ini'!$DA:$DA,'CWO Bulan Ini'!$DJ:$DJ,'Area-Cabang'!$B129,'CWO Bulan Ini'!$DH:$DH,'Area-Cabang'!$E129,'CWO Bulan Ini'!$CZ:$CZ,'Area-Cabang'!F$41)</f>
        <v>0</v>
      </c>
      <c r="G129" s="56">
        <f>SUMIFS('CWO Bulan Ini'!$DA:$DA,'CWO Bulan Ini'!$DJ:$DJ,'Area-Cabang'!$B129,'CWO Bulan Ini'!$DH:$DH,'Area-Cabang'!$E129,'CWO Bulan Ini'!$CZ:$CZ,'Area-Cabang'!G$41)</f>
        <v>0</v>
      </c>
      <c r="H129" s="56">
        <f>SUMIFS('CWO Bulan Ini'!$DA:$DA,'CWO Bulan Ini'!$DJ:$DJ,'Area-Cabang'!$B129,'CWO Bulan Ini'!$DH:$DH,'Area-Cabang'!$E129,'CWO Bulan Ini'!$CZ:$CZ,'Area-Cabang'!H$41)</f>
        <v>0</v>
      </c>
      <c r="I129" s="56">
        <f>SUMIFS('CWO Bulan Ini'!$DA:$DA,'CWO Bulan Ini'!$DJ:$DJ,'Area-Cabang'!$B129,'CWO Bulan Ini'!$DH:$DH,'Area-Cabang'!$E129,'CWO Bulan Ini'!$CZ:$CZ,'Area-Cabang'!I$41)</f>
        <v>0</v>
      </c>
      <c r="J129" s="56">
        <f>SUMIFS('CWO Bulan Ini'!$DA:$DA,'CWO Bulan Ini'!$DJ:$DJ,'Area-Cabang'!$B129,'CWO Bulan Ini'!$DH:$DH,'Area-Cabang'!$E129,'CWO Bulan Ini'!$CZ:$CZ,'Area-Cabang'!J$41)</f>
        <v>0</v>
      </c>
      <c r="K129" s="56">
        <f>SUMIFS('CWO Bulan Ini'!$DA:$DA,'CWO Bulan Ini'!$DJ:$DJ,'Area-Cabang'!$B129,'CWO Bulan Ini'!$DH:$DH,'Area-Cabang'!$E129,'CWO Bulan Ini'!$CZ:$CZ,'Area-Cabang'!K$41)</f>
        <v>0</v>
      </c>
      <c r="L129" s="56">
        <f>SUMIFS('CWO Bulan Ini'!$DA:$DA,'CWO Bulan Ini'!$DJ:$DJ,'Area-Cabang'!$B129,'CWO Bulan Ini'!$DH:$DH,'Area-Cabang'!$E129,'CWO Bulan Ini'!$CZ:$CZ,'Area-Cabang'!L$41)</f>
        <v>0</v>
      </c>
      <c r="M129" s="56">
        <f>SUMIFS('CWO Bulan Ini'!$DA:$DA,'CWO Bulan Ini'!$DJ:$DJ,'Area-Cabang'!$B129,'CWO Bulan Ini'!$DH:$DH,'Area-Cabang'!$E129,'CWO Bulan Ini'!$CZ:$CZ,'Area-Cabang'!M$41)</f>
        <v>0</v>
      </c>
      <c r="N129" s="56">
        <f>SUMIFS('CWO Bulan Ini'!$DA:$DA,'CWO Bulan Ini'!$DJ:$DJ,'Area-Cabang'!$B129,'CWO Bulan Ini'!$DH:$DH,'Area-Cabang'!$E129,'CWO Bulan Ini'!$CZ:$CZ,'Area-Cabang'!N$41)</f>
        <v>0</v>
      </c>
      <c r="O129" s="56">
        <f>SUMIFS('CWO Bulan Ini'!$DA:$DA,'CWO Bulan Ini'!$DJ:$DJ,'Area-Cabang'!$B129,'CWO Bulan Ini'!$DH:$DH,'Area-Cabang'!$E129,'CWO Bulan Ini'!$CZ:$CZ,'Area-Cabang'!O$41)</f>
        <v>82.137892170000001</v>
      </c>
      <c r="P129" s="56">
        <f>SUMIFS('CWO Bulan Ini'!$DA:$DA,'CWO Bulan Ini'!$DJ:$DJ,'Area-Cabang'!$B129,'CWO Bulan Ini'!$DH:$DH,'Area-Cabang'!$E129,'CWO Bulan Ini'!$CZ:$CZ,'Area-Cabang'!P$41)</f>
        <v>98.88005124</v>
      </c>
      <c r="Q129" s="56">
        <f>SUMIFS('CWO Bulan Ini'!$DA:$DA,'CWO Bulan Ini'!$DJ:$DJ,'Area-Cabang'!$B129,'CWO Bulan Ini'!$DH:$DH,'Area-Cabang'!$E129,'CWO Bulan Ini'!$CZ:$CZ,'Area-Cabang'!Q$41)</f>
        <v>0</v>
      </c>
      <c r="R129" s="56">
        <f>SUMIFS('CWO Bulan Ini'!$DA:$DA,'CWO Bulan Ini'!$DJ:$DJ,'Area-Cabang'!$B129,'CWO Bulan Ini'!$DH:$DH,'Area-Cabang'!$E129,'CWO Bulan Ini'!$CZ:$CZ,'Area-Cabang'!R$41)</f>
        <v>57.19941274</v>
      </c>
      <c r="S129" s="56">
        <f>SUMIFS('CWO Bulan Ini'!$DA:$DA,'CWO Bulan Ini'!$DJ:$DJ,'Area-Cabang'!$B129,'CWO Bulan Ini'!$DH:$DH,'Area-Cabang'!$E129,'CWO Bulan Ini'!$CZ:$CZ,'Area-Cabang'!S$41)</f>
        <v>0</v>
      </c>
      <c r="T129" s="56">
        <f>SUMIFS('CWO Bulan Ini'!$DA:$DA,'CWO Bulan Ini'!$DJ:$DJ,'Area-Cabang'!$B129,'CWO Bulan Ini'!$DH:$DH,'Area-Cabang'!$E129,'CWO Bulan Ini'!$CZ:$CZ,'Area-Cabang'!T$41)</f>
        <v>0</v>
      </c>
      <c r="U129" s="56">
        <f>SUMIFS('CWO Bulan Ini'!$DA:$DA,'CWO Bulan Ini'!$DJ:$DJ,'Area-Cabang'!$B129,'CWO Bulan Ini'!$DH:$DH,'Area-Cabang'!$E129,'CWO Bulan Ini'!$CZ:$CZ,'Area-Cabang'!U$41)</f>
        <v>0</v>
      </c>
      <c r="V129" s="56">
        <f>SUMIFS('CWO Bulan Ini'!$DA:$DA,'CWO Bulan Ini'!$DJ:$DJ,'Area-Cabang'!$B129,'CWO Bulan Ini'!$DH:$DH,'Area-Cabang'!$E129,'CWO Bulan Ini'!$CZ:$CZ,'Area-Cabang'!V$41)</f>
        <v>0</v>
      </c>
      <c r="W129" s="56">
        <f>SUMIFS('CWO Bulan Ini'!$DA:$DA,'CWO Bulan Ini'!$DJ:$DJ,'Area-Cabang'!$B129,'CWO Bulan Ini'!$DH:$DH,'Area-Cabang'!$E129,'CWO Bulan Ini'!$CZ:$CZ,'Area-Cabang'!W$41)</f>
        <v>0</v>
      </c>
      <c r="X129" s="56">
        <f>SUMIFS('CWO Bulan Ini'!$DA:$DA,'CWO Bulan Ini'!$DJ:$DJ,'Area-Cabang'!$B129,'CWO Bulan Ini'!$DH:$DH,'Area-Cabang'!$E129,'CWO Bulan Ini'!$CZ:$CZ,'Area-Cabang'!X$41)</f>
        <v>0</v>
      </c>
      <c r="Y129" s="56">
        <f>SUMIFS('CWO Bulan Ini'!$DA:$DA,'CWO Bulan Ini'!$DJ:$DJ,'Area-Cabang'!$B129,'CWO Bulan Ini'!$DH:$DH,'Area-Cabang'!$E129,'CWO Bulan Ini'!$CZ:$CZ,'Area-Cabang'!Y$41)</f>
        <v>0</v>
      </c>
      <c r="Z129" s="56">
        <f>SUMIFS('CWO Bulan Ini'!$DA:$DA,'CWO Bulan Ini'!$DJ:$DJ,'Area-Cabang'!$B129,'CWO Bulan Ini'!$DH:$DH,'Area-Cabang'!$E129,'CWO Bulan Ini'!$CZ:$CZ,'Area-Cabang'!Z$41)</f>
        <v>0</v>
      </c>
      <c r="AA129" s="56">
        <f>SUMIFS('CWO Bulan Ini'!$DA:$DA,'CWO Bulan Ini'!$DJ:$DJ,'Area-Cabang'!$B129,'CWO Bulan Ini'!$DH:$DH,'Area-Cabang'!$E129,'CWO Bulan Ini'!$CZ:$CZ,'Area-Cabang'!AA$41)</f>
        <v>0</v>
      </c>
      <c r="AB129" s="56">
        <f>SUMIFS('CWO Bulan Ini'!$DA:$DA,'CWO Bulan Ini'!$DJ:$DJ,'Area-Cabang'!$B129,'CWO Bulan Ini'!$DH:$DH,'Area-Cabang'!$E129,'CWO Bulan Ini'!$CZ:$CZ,'Area-Cabang'!AB$41)</f>
        <v>0</v>
      </c>
      <c r="AC129" s="56">
        <f>SUMIFS('CWO Bulan Ini'!$DA:$DA,'CWO Bulan Ini'!$DJ:$DJ,'Area-Cabang'!$B129,'CWO Bulan Ini'!$DH:$DH,'Area-Cabang'!$E129,'CWO Bulan Ini'!$CZ:$CZ,'Area-Cabang'!AC$41)</f>
        <v>0</v>
      </c>
      <c r="AD129" s="56">
        <f>SUMIFS('CWO Bulan Ini'!$DA:$DA,'CWO Bulan Ini'!$DJ:$DJ,'Area-Cabang'!$B129,'CWO Bulan Ini'!$DH:$DH,'Area-Cabang'!$E129,'CWO Bulan Ini'!$CZ:$CZ,'Area-Cabang'!AD$41)</f>
        <v>0</v>
      </c>
      <c r="AE129" s="56">
        <f>SUMIFS('CWO Bulan Ini'!$DA:$DA,'CWO Bulan Ini'!$DJ:$DJ,'Area-Cabang'!$B129,'CWO Bulan Ini'!$DH:$DH,'Area-Cabang'!$E129,'CWO Bulan Ini'!$CZ:$CZ,'Area-Cabang'!AE$41)</f>
        <v>0</v>
      </c>
      <c r="AF129" s="56">
        <f>SUMIFS('CWO Bulan Ini'!$DA:$DA,'CWO Bulan Ini'!$DJ:$DJ,'Area-Cabang'!$B129,'CWO Bulan Ini'!$DH:$DH,'Area-Cabang'!$E129,'CWO Bulan Ini'!$CZ:$CZ,'Area-Cabang'!AF$41)</f>
        <v>0</v>
      </c>
      <c r="AG129" s="56">
        <f>SUMIFS('CWO Bulan Ini'!$DA:$DA,'CWO Bulan Ini'!$DJ:$DJ,'Area-Cabang'!$B129,'CWO Bulan Ini'!$DH:$DH,'Area-Cabang'!$E129,'CWO Bulan Ini'!$CZ:$CZ,'Area-Cabang'!AG$41)</f>
        <v>0</v>
      </c>
      <c r="AH129" s="56">
        <f>SUMIFS('CWO Bulan Ini'!$DA:$DA,'CWO Bulan Ini'!$DJ:$DJ,'Area-Cabang'!$B129,'CWO Bulan Ini'!$DH:$DH,'Area-Cabang'!$E129,'CWO Bulan Ini'!$CZ:$CZ,'Area-Cabang'!AH$41)</f>
        <v>0</v>
      </c>
      <c r="AI129" s="56">
        <f>SUMIFS('CWO Bulan Ini'!$DA:$DA,'CWO Bulan Ini'!$DJ:$DJ,'Area-Cabang'!$B129,'CWO Bulan Ini'!$DH:$DH,'Area-Cabang'!$E129,'CWO Bulan Ini'!$CZ:$CZ,'Area-Cabang'!AI$41)</f>
        <v>0</v>
      </c>
      <c r="AJ129" s="56">
        <f>SUMIFS('CWO Bulan Ini'!$DA:$DA,'CWO Bulan Ini'!$DJ:$DJ,'Area-Cabang'!$B129,'CWO Bulan Ini'!$DH:$DH,'Area-Cabang'!$E129,'CWO Bulan Ini'!$CZ:$CZ,'Area-Cabang'!AJ$41)</f>
        <v>0</v>
      </c>
      <c r="AK129" s="55">
        <f>SUMIFS('CWO Bulan Ini'!$DD:$DD,'CWO Bulan Ini'!$DJ:$DJ,'Area-Cabang'!$B129,'CWO Bulan Ini'!$DH:$DH,'Area-Cabang'!$E129,'CWO Bulan Ini'!$CZ:$CZ,'Area-Cabang'!AK$41)</f>
        <v>0</v>
      </c>
      <c r="AL129" s="56">
        <f>SUMIFS('CWO Bulan Ini'!$DD:$DD,'CWO Bulan Ini'!$DJ:$DJ,'Area-Cabang'!$B129,'CWO Bulan Ini'!$DH:$DH,'Area-Cabang'!$E129,'CWO Bulan Ini'!$CZ:$CZ,'Area-Cabang'!AL$41)</f>
        <v>0</v>
      </c>
      <c r="AM129" s="56">
        <f>SUMIFS('CWO Bulan Ini'!$DD:$DD,'CWO Bulan Ini'!$DJ:$DJ,'Area-Cabang'!$B129,'CWO Bulan Ini'!$DH:$DH,'Area-Cabang'!$E129,'CWO Bulan Ini'!$CZ:$CZ,'Area-Cabang'!AM$41)</f>
        <v>0</v>
      </c>
      <c r="AN129" s="56">
        <f>SUMIFS('CWO Bulan Ini'!$DD:$DD,'CWO Bulan Ini'!$DJ:$DJ,'Area-Cabang'!$B129,'CWO Bulan Ini'!$DH:$DH,'Area-Cabang'!$E129,'CWO Bulan Ini'!$CZ:$CZ,'Area-Cabang'!AN$41)</f>
        <v>0</v>
      </c>
      <c r="AO129" s="56">
        <f>SUMIFS('CWO Bulan Ini'!$DD:$DD,'CWO Bulan Ini'!$DJ:$DJ,'Area-Cabang'!$B129,'CWO Bulan Ini'!$DH:$DH,'Area-Cabang'!$E129,'CWO Bulan Ini'!$CZ:$CZ,'Area-Cabang'!AO$41)</f>
        <v>0</v>
      </c>
      <c r="AP129" s="56">
        <f>SUMIFS('CWO Bulan Ini'!$DD:$DD,'CWO Bulan Ini'!$DJ:$DJ,'Area-Cabang'!$B129,'CWO Bulan Ini'!$DH:$DH,'Area-Cabang'!$E129,'CWO Bulan Ini'!$CZ:$CZ,'Area-Cabang'!AP$41)</f>
        <v>0</v>
      </c>
      <c r="AQ129" s="56">
        <f>SUMIFS('CWO Bulan Ini'!$DD:$DD,'CWO Bulan Ini'!$DJ:$DJ,'Area-Cabang'!$B129,'CWO Bulan Ini'!$DH:$DH,'Area-Cabang'!$E129,'CWO Bulan Ini'!$CZ:$CZ,'Area-Cabang'!AQ$41)</f>
        <v>0</v>
      </c>
      <c r="AR129" s="56">
        <f>SUMIFS('CWO Bulan Ini'!$DD:$DD,'CWO Bulan Ini'!$DJ:$DJ,'Area-Cabang'!$B129,'CWO Bulan Ini'!$DH:$DH,'Area-Cabang'!$E129,'CWO Bulan Ini'!$CZ:$CZ,'Area-Cabang'!AR$41)</f>
        <v>0</v>
      </c>
      <c r="AS129" s="56">
        <f>SUMIFS('CWO Bulan Ini'!$DD:$DD,'CWO Bulan Ini'!$DJ:$DJ,'Area-Cabang'!$B129,'CWO Bulan Ini'!$DH:$DH,'Area-Cabang'!$E129,'CWO Bulan Ini'!$CZ:$CZ,'Area-Cabang'!AS$41)</f>
        <v>0</v>
      </c>
      <c r="AT129" s="56">
        <f>SUMIFS('CWO Bulan Ini'!$DD:$DD,'CWO Bulan Ini'!$DJ:$DJ,'Area-Cabang'!$B129,'CWO Bulan Ini'!$DH:$DH,'Area-Cabang'!$E129,'CWO Bulan Ini'!$CZ:$CZ,'Area-Cabang'!AT$41)</f>
        <v>0</v>
      </c>
      <c r="AU129" s="56">
        <f>SUMIFS('CWO Bulan Ini'!$DD:$DD,'CWO Bulan Ini'!$DJ:$DJ,'Area-Cabang'!$B129,'CWO Bulan Ini'!$DH:$DH,'Area-Cabang'!$E129,'CWO Bulan Ini'!$CZ:$CZ,'Area-Cabang'!AU$41)</f>
        <v>0</v>
      </c>
      <c r="AV129" s="56">
        <f>SUMIFS('CWO Bulan Ini'!$DD:$DD,'CWO Bulan Ini'!$DJ:$DJ,'Area-Cabang'!$B129,'CWO Bulan Ini'!$DH:$DH,'Area-Cabang'!$E129,'CWO Bulan Ini'!$CZ:$CZ,'Area-Cabang'!AV$41)</f>
        <v>0</v>
      </c>
      <c r="AW129" s="56">
        <f>SUMIFS('CWO Bulan Ini'!$DD:$DD,'CWO Bulan Ini'!$DJ:$DJ,'Area-Cabang'!$B129,'CWO Bulan Ini'!$DH:$DH,'Area-Cabang'!$E129,'CWO Bulan Ini'!$CZ:$CZ,'Area-Cabang'!AW$41)</f>
        <v>0</v>
      </c>
      <c r="AX129" s="56">
        <f>SUMIFS('CWO Bulan Ini'!$DD:$DD,'CWO Bulan Ini'!$DJ:$DJ,'Area-Cabang'!$B129,'CWO Bulan Ini'!$DH:$DH,'Area-Cabang'!$E129,'CWO Bulan Ini'!$CZ:$CZ,'Area-Cabang'!AX$41)</f>
        <v>0</v>
      </c>
      <c r="AY129" s="56">
        <f>SUMIFS('CWO Bulan Ini'!$DD:$DD,'CWO Bulan Ini'!$DJ:$DJ,'Area-Cabang'!$B129,'CWO Bulan Ini'!$DH:$DH,'Area-Cabang'!$E129,'CWO Bulan Ini'!$CZ:$CZ,'Area-Cabang'!AY$41)</f>
        <v>0</v>
      </c>
      <c r="AZ129" s="56">
        <f>SUMIFS('CWO Bulan Ini'!$DD:$DD,'CWO Bulan Ini'!$DJ:$DJ,'Area-Cabang'!$B129,'CWO Bulan Ini'!$DH:$DH,'Area-Cabang'!$E129,'CWO Bulan Ini'!$CZ:$CZ,'Area-Cabang'!AZ$41)</f>
        <v>0</v>
      </c>
      <c r="BA129" s="56">
        <f>SUMIFS('CWO Bulan Ini'!$DD:$DD,'CWO Bulan Ini'!$DJ:$DJ,'Area-Cabang'!$B129,'CWO Bulan Ini'!$DH:$DH,'Area-Cabang'!$E129,'CWO Bulan Ini'!$CZ:$CZ,'Area-Cabang'!BA$41)</f>
        <v>0</v>
      </c>
      <c r="BB129" s="56">
        <f>SUMIFS('CWO Bulan Ini'!$DD:$DD,'CWO Bulan Ini'!$DJ:$DJ,'Area-Cabang'!$B129,'CWO Bulan Ini'!$DH:$DH,'Area-Cabang'!$E129,'CWO Bulan Ini'!$CZ:$CZ,'Area-Cabang'!BB$41)</f>
        <v>0</v>
      </c>
      <c r="BC129" s="56">
        <f>SUMIFS('CWO Bulan Ini'!$DD:$DD,'CWO Bulan Ini'!$DJ:$DJ,'Area-Cabang'!$B129,'CWO Bulan Ini'!$DH:$DH,'Area-Cabang'!$E129,'CWO Bulan Ini'!$CZ:$CZ,'Area-Cabang'!BC$41)</f>
        <v>0</v>
      </c>
      <c r="BD129" s="56">
        <f>SUMIFS('CWO Bulan Ini'!$DD:$DD,'CWO Bulan Ini'!$DJ:$DJ,'Area-Cabang'!$B129,'CWO Bulan Ini'!$DH:$DH,'Area-Cabang'!$E129,'CWO Bulan Ini'!$CZ:$CZ,'Area-Cabang'!BD$41)</f>
        <v>0</v>
      </c>
      <c r="BE129" s="56">
        <f>SUMIFS('CWO Bulan Ini'!$DD:$DD,'CWO Bulan Ini'!$DJ:$DJ,'Area-Cabang'!$B129,'CWO Bulan Ini'!$DH:$DH,'Area-Cabang'!$E129,'CWO Bulan Ini'!$CZ:$CZ,'Area-Cabang'!BE$41)</f>
        <v>0</v>
      </c>
      <c r="BF129" s="56">
        <f>SUMIFS('CWO Bulan Ini'!$DD:$DD,'CWO Bulan Ini'!$DJ:$DJ,'Area-Cabang'!$B129,'CWO Bulan Ini'!$DH:$DH,'Area-Cabang'!$E129,'CWO Bulan Ini'!$CZ:$CZ,'Area-Cabang'!BF$41)</f>
        <v>0</v>
      </c>
      <c r="BG129" s="56">
        <f>SUMIFS('CWO Bulan Ini'!$DD:$DD,'CWO Bulan Ini'!$DJ:$DJ,'Area-Cabang'!$B129,'CWO Bulan Ini'!$DH:$DH,'Area-Cabang'!$E129,'CWO Bulan Ini'!$CZ:$CZ,'Area-Cabang'!BG$41)</f>
        <v>0</v>
      </c>
      <c r="BH129" s="56">
        <f>SUMIFS('CWO Bulan Ini'!$DD:$DD,'CWO Bulan Ini'!$DJ:$DJ,'Area-Cabang'!$B129,'CWO Bulan Ini'!$DH:$DH,'Area-Cabang'!$E129,'CWO Bulan Ini'!$CZ:$CZ,'Area-Cabang'!BH$41)</f>
        <v>0</v>
      </c>
      <c r="BI129" s="56">
        <f>SUMIFS('CWO Bulan Ini'!$DD:$DD,'CWO Bulan Ini'!$DJ:$DJ,'Area-Cabang'!$B129,'CWO Bulan Ini'!$DH:$DH,'Area-Cabang'!$E129,'CWO Bulan Ini'!$CZ:$CZ,'Area-Cabang'!BI$41)</f>
        <v>0</v>
      </c>
      <c r="BJ129" s="56">
        <f>SUMIFS('CWO Bulan Ini'!$DD:$DD,'CWO Bulan Ini'!$DJ:$DJ,'Area-Cabang'!$B129,'CWO Bulan Ini'!$DH:$DH,'Area-Cabang'!$E129,'CWO Bulan Ini'!$CZ:$CZ,'Area-Cabang'!BJ$41)</f>
        <v>0</v>
      </c>
      <c r="BK129" s="56">
        <f>SUMIFS('CWO Bulan Ini'!$DD:$DD,'CWO Bulan Ini'!$DJ:$DJ,'Area-Cabang'!$B129,'CWO Bulan Ini'!$DH:$DH,'Area-Cabang'!$E129,'CWO Bulan Ini'!$CZ:$CZ,'Area-Cabang'!BK$41)</f>
        <v>0</v>
      </c>
      <c r="BL129" s="56">
        <f>SUMIFS('CWO Bulan Ini'!$DD:$DD,'CWO Bulan Ini'!$DJ:$DJ,'Area-Cabang'!$B129,'CWO Bulan Ini'!$DH:$DH,'Area-Cabang'!$E129,'CWO Bulan Ini'!$CZ:$CZ,'Area-Cabang'!BL$41)</f>
        <v>0</v>
      </c>
      <c r="BM129" s="56">
        <f>SUMIFS('CWO Bulan Ini'!$DD:$DD,'CWO Bulan Ini'!$DJ:$DJ,'Area-Cabang'!$B129,'CWO Bulan Ini'!$DH:$DH,'Area-Cabang'!$E129,'CWO Bulan Ini'!$CZ:$CZ,'Area-Cabang'!BM$41)</f>
        <v>0</v>
      </c>
      <c r="BN129" s="56">
        <f>SUMIFS('CWO Bulan Ini'!$DD:$DD,'CWO Bulan Ini'!$DJ:$DJ,'Area-Cabang'!$B129,'CWO Bulan Ini'!$DH:$DH,'Area-Cabang'!$E129,'CWO Bulan Ini'!$CZ:$CZ,'Area-Cabang'!BN$41)</f>
        <v>0</v>
      </c>
      <c r="BO129" s="57">
        <f>SUMIFS('CWO Bulan Ini'!$DD:$DD,'CWO Bulan Ini'!$DJ:$DJ,'Area-Cabang'!$B129,'CWO Bulan Ini'!$DH:$DH,'Area-Cabang'!$E129,'CWO Bulan Ini'!$CZ:$CZ,'Area-Cabang'!BO$41)</f>
        <v>0</v>
      </c>
      <c r="BP129" s="55">
        <f>SUMIFS('CWO Bulan Ini'!$DC:$DC,'CWO Bulan Ini'!$DJ:$DJ,'Area-Cabang'!$B129,'CWO Bulan Ini'!$DH:$DH,'Area-Cabang'!$E129,'CWO Bulan Ini'!$CZ:$CZ,'Area-Cabang'!BP$41)</f>
        <v>0</v>
      </c>
      <c r="BQ129" s="56">
        <f>SUMIFS('CWO Bulan Ini'!$DC:$DC,'CWO Bulan Ini'!$DJ:$DJ,'Area-Cabang'!$B129,'CWO Bulan Ini'!$DH:$DH,'Area-Cabang'!$E129,'CWO Bulan Ini'!$CZ:$CZ,'Area-Cabang'!BQ$41)</f>
        <v>0</v>
      </c>
      <c r="BR129" s="56">
        <f>SUMIFS('CWO Bulan Ini'!$DC:$DC,'CWO Bulan Ini'!$DJ:$DJ,'Area-Cabang'!$B129,'CWO Bulan Ini'!$DH:$DH,'Area-Cabang'!$E129,'CWO Bulan Ini'!$CZ:$CZ,'Area-Cabang'!BR$41)</f>
        <v>0</v>
      </c>
      <c r="BS129" s="56">
        <f>SUMIFS('CWO Bulan Ini'!$DC:$DC,'CWO Bulan Ini'!$DJ:$DJ,'Area-Cabang'!$B129,'CWO Bulan Ini'!$DH:$DH,'Area-Cabang'!$E129,'CWO Bulan Ini'!$CZ:$CZ,'Area-Cabang'!BS$41)</f>
        <v>0</v>
      </c>
      <c r="BT129" s="56">
        <f>SUMIFS('CWO Bulan Ini'!$DC:$DC,'CWO Bulan Ini'!$DJ:$DJ,'Area-Cabang'!$B129,'CWO Bulan Ini'!$DH:$DH,'Area-Cabang'!$E129,'CWO Bulan Ini'!$CZ:$CZ,'Area-Cabang'!BT$41)</f>
        <v>0</v>
      </c>
      <c r="BU129" s="56">
        <f>SUMIFS('CWO Bulan Ini'!$DC:$DC,'CWO Bulan Ini'!$DJ:$DJ,'Area-Cabang'!$B129,'CWO Bulan Ini'!$DH:$DH,'Area-Cabang'!$E129,'CWO Bulan Ini'!$CZ:$CZ,'Area-Cabang'!BU$41)</f>
        <v>0</v>
      </c>
      <c r="BV129" s="56">
        <f>SUMIFS('CWO Bulan Ini'!$DC:$DC,'CWO Bulan Ini'!$DJ:$DJ,'Area-Cabang'!$B129,'CWO Bulan Ini'!$DH:$DH,'Area-Cabang'!$E129,'CWO Bulan Ini'!$CZ:$CZ,'Area-Cabang'!BV$41)</f>
        <v>0</v>
      </c>
      <c r="BW129" s="56">
        <f>SUMIFS('CWO Bulan Ini'!$DC:$DC,'CWO Bulan Ini'!$DJ:$DJ,'Area-Cabang'!$B129,'CWO Bulan Ini'!$DH:$DH,'Area-Cabang'!$E129,'CWO Bulan Ini'!$CZ:$CZ,'Area-Cabang'!BW$41)</f>
        <v>0</v>
      </c>
      <c r="BX129" s="56">
        <f>SUMIFS('CWO Bulan Ini'!$DC:$DC,'CWO Bulan Ini'!$DJ:$DJ,'Area-Cabang'!$B129,'CWO Bulan Ini'!$DH:$DH,'Area-Cabang'!$E129,'CWO Bulan Ini'!$CZ:$CZ,'Area-Cabang'!BX$41)</f>
        <v>0</v>
      </c>
      <c r="BY129" s="56">
        <f>SUMIFS('CWO Bulan Ini'!$DC:$DC,'CWO Bulan Ini'!$DJ:$DJ,'Area-Cabang'!$B129,'CWO Bulan Ini'!$DH:$DH,'Area-Cabang'!$E129,'CWO Bulan Ini'!$CZ:$CZ,'Area-Cabang'!BY$41)</f>
        <v>0</v>
      </c>
      <c r="BZ129" s="56">
        <f>SUMIFS('CWO Bulan Ini'!$DC:$DC,'CWO Bulan Ini'!$DJ:$DJ,'Area-Cabang'!$B129,'CWO Bulan Ini'!$DH:$DH,'Area-Cabang'!$E129,'CWO Bulan Ini'!$CZ:$CZ,'Area-Cabang'!BZ$41)</f>
        <v>0</v>
      </c>
      <c r="CA129" s="56">
        <f>SUMIFS('CWO Bulan Ini'!$DC:$DC,'CWO Bulan Ini'!$DJ:$DJ,'Area-Cabang'!$B129,'CWO Bulan Ini'!$DH:$DH,'Area-Cabang'!$E129,'CWO Bulan Ini'!$CZ:$CZ,'Area-Cabang'!CA$41)</f>
        <v>0</v>
      </c>
      <c r="CB129" s="56">
        <f>SUMIFS('CWO Bulan Ini'!$DC:$DC,'CWO Bulan Ini'!$DJ:$DJ,'Area-Cabang'!$B129,'CWO Bulan Ini'!$DH:$DH,'Area-Cabang'!$E129,'CWO Bulan Ini'!$CZ:$CZ,'Area-Cabang'!CB$41)</f>
        <v>0</v>
      </c>
      <c r="CC129" s="56">
        <f>SUMIFS('CWO Bulan Ini'!$DC:$DC,'CWO Bulan Ini'!$DJ:$DJ,'Area-Cabang'!$B129,'CWO Bulan Ini'!$DH:$DH,'Area-Cabang'!$E129,'CWO Bulan Ini'!$CZ:$CZ,'Area-Cabang'!CC$41)</f>
        <v>0</v>
      </c>
      <c r="CD129" s="56">
        <f>SUMIFS('CWO Bulan Ini'!$DC:$DC,'CWO Bulan Ini'!$DJ:$DJ,'Area-Cabang'!$B129,'CWO Bulan Ini'!$DH:$DH,'Area-Cabang'!$E129,'CWO Bulan Ini'!$CZ:$CZ,'Area-Cabang'!CD$41)</f>
        <v>0</v>
      </c>
      <c r="CE129" s="56">
        <f>SUMIFS('CWO Bulan Ini'!$DC:$DC,'CWO Bulan Ini'!$DJ:$DJ,'Area-Cabang'!$B129,'CWO Bulan Ini'!$DH:$DH,'Area-Cabang'!$E129,'CWO Bulan Ini'!$CZ:$CZ,'Area-Cabang'!CE$41)</f>
        <v>0</v>
      </c>
      <c r="CF129" s="56">
        <f>SUMIFS('CWO Bulan Ini'!$DC:$DC,'CWO Bulan Ini'!$DJ:$DJ,'Area-Cabang'!$B129,'CWO Bulan Ini'!$DH:$DH,'Area-Cabang'!$E129,'CWO Bulan Ini'!$CZ:$CZ,'Area-Cabang'!CF$41)</f>
        <v>0</v>
      </c>
      <c r="CG129" s="56">
        <f>SUMIFS('CWO Bulan Ini'!$DC:$DC,'CWO Bulan Ini'!$DJ:$DJ,'Area-Cabang'!$B129,'CWO Bulan Ini'!$DH:$DH,'Area-Cabang'!$E129,'CWO Bulan Ini'!$CZ:$CZ,'Area-Cabang'!CG$41)</f>
        <v>0</v>
      </c>
      <c r="CH129" s="56">
        <f>SUMIFS('CWO Bulan Ini'!$DC:$DC,'CWO Bulan Ini'!$DJ:$DJ,'Area-Cabang'!$B129,'CWO Bulan Ini'!$DH:$DH,'Area-Cabang'!$E129,'CWO Bulan Ini'!$CZ:$CZ,'Area-Cabang'!CH$41)</f>
        <v>0</v>
      </c>
      <c r="CI129" s="56">
        <f>SUMIFS('CWO Bulan Ini'!$DC:$DC,'CWO Bulan Ini'!$DJ:$DJ,'Area-Cabang'!$B129,'CWO Bulan Ini'!$DH:$DH,'Area-Cabang'!$E129,'CWO Bulan Ini'!$CZ:$CZ,'Area-Cabang'!CI$41)</f>
        <v>0</v>
      </c>
      <c r="CJ129" s="56">
        <f>SUMIFS('CWO Bulan Ini'!$DC:$DC,'CWO Bulan Ini'!$DJ:$DJ,'Area-Cabang'!$B129,'CWO Bulan Ini'!$DH:$DH,'Area-Cabang'!$E129,'CWO Bulan Ini'!$CZ:$CZ,'Area-Cabang'!CJ$41)</f>
        <v>0</v>
      </c>
      <c r="CK129" s="56">
        <f>SUMIFS('CWO Bulan Ini'!$DC:$DC,'CWO Bulan Ini'!$DJ:$DJ,'Area-Cabang'!$B129,'CWO Bulan Ini'!$DH:$DH,'Area-Cabang'!$E129,'CWO Bulan Ini'!$CZ:$CZ,'Area-Cabang'!CK$41)</f>
        <v>0</v>
      </c>
      <c r="CL129" s="56">
        <f>SUMIFS('CWO Bulan Ini'!$DC:$DC,'CWO Bulan Ini'!$DJ:$DJ,'Area-Cabang'!$B129,'CWO Bulan Ini'!$DH:$DH,'Area-Cabang'!$E129,'CWO Bulan Ini'!$CZ:$CZ,'Area-Cabang'!CL$41)</f>
        <v>0</v>
      </c>
      <c r="CM129" s="56">
        <f>SUMIFS('CWO Bulan Ini'!$DC:$DC,'CWO Bulan Ini'!$DJ:$DJ,'Area-Cabang'!$B129,'CWO Bulan Ini'!$DH:$DH,'Area-Cabang'!$E129,'CWO Bulan Ini'!$CZ:$CZ,'Area-Cabang'!CM$41)</f>
        <v>0</v>
      </c>
      <c r="CN129" s="56">
        <f>SUMIFS('CWO Bulan Ini'!$DC:$DC,'CWO Bulan Ini'!$DJ:$DJ,'Area-Cabang'!$B129,'CWO Bulan Ini'!$DH:$DH,'Area-Cabang'!$E129,'CWO Bulan Ini'!$CZ:$CZ,'Area-Cabang'!CN$41)</f>
        <v>0</v>
      </c>
      <c r="CO129" s="56">
        <f>SUMIFS('CWO Bulan Ini'!$DC:$DC,'CWO Bulan Ini'!$DJ:$DJ,'Area-Cabang'!$B129,'CWO Bulan Ini'!$DH:$DH,'Area-Cabang'!$E129,'CWO Bulan Ini'!$CZ:$CZ,'Area-Cabang'!CO$41)</f>
        <v>0</v>
      </c>
      <c r="CP129" s="56">
        <f>SUMIFS('CWO Bulan Ini'!$DC:$DC,'CWO Bulan Ini'!$DJ:$DJ,'Area-Cabang'!$B129,'CWO Bulan Ini'!$DH:$DH,'Area-Cabang'!$E129,'CWO Bulan Ini'!$CZ:$CZ,'Area-Cabang'!CP$41)</f>
        <v>0</v>
      </c>
      <c r="CQ129" s="56">
        <f>SUMIFS('CWO Bulan Ini'!$DC:$DC,'CWO Bulan Ini'!$DJ:$DJ,'Area-Cabang'!$B129,'CWO Bulan Ini'!$DH:$DH,'Area-Cabang'!$E129,'CWO Bulan Ini'!$CZ:$CZ,'Area-Cabang'!CQ$41)</f>
        <v>0</v>
      </c>
      <c r="CR129" s="56">
        <f>SUMIFS('CWO Bulan Ini'!$DC:$DC,'CWO Bulan Ini'!$DJ:$DJ,'Area-Cabang'!$B129,'CWO Bulan Ini'!$DH:$DH,'Area-Cabang'!$E129,'CWO Bulan Ini'!$CZ:$CZ,'Area-Cabang'!CR$41)</f>
        <v>0</v>
      </c>
      <c r="CS129" s="56">
        <f>SUMIFS('CWO Bulan Ini'!$DC:$DC,'CWO Bulan Ini'!$DJ:$DJ,'Area-Cabang'!$B129,'CWO Bulan Ini'!$DH:$DH,'Area-Cabang'!$E129,'CWO Bulan Ini'!$CZ:$CZ,'Area-Cabang'!CS$41)</f>
        <v>0</v>
      </c>
      <c r="CT129" s="57">
        <f>SUMIFS('CWO Bulan Ini'!$DC:$DC,'CWO Bulan Ini'!$DJ:$DJ,'Area-Cabang'!$B129,'CWO Bulan Ini'!$DH:$DH,'Area-Cabang'!$E129,'CWO Bulan Ini'!$CZ:$CZ,'Area-Cabang'!CT$41)</f>
        <v>0</v>
      </c>
      <c r="CV129" s="97">
        <f t="shared" ref="CV129:CV130" si="3968">SUM(F129:AJ129)</f>
        <v>238.21735615</v>
      </c>
      <c r="CW129" s="98">
        <f t="shared" ref="CW129:CW130" si="3969">SUM(AK129:BO129)</f>
        <v>0</v>
      </c>
      <c r="CX129" s="98">
        <f t="shared" ref="CX129:CX130" si="3970">SUM(BP129:CT129)</f>
        <v>0</v>
      </c>
      <c r="CY129" s="98">
        <f t="shared" ref="CY129:CY130" si="3971">CV129-CW129-CX129</f>
        <v>238.21735615</v>
      </c>
      <c r="CZ129" s="105">
        <f t="shared" ref="CZ129:CZ130" si="3972">CY129+CW129</f>
        <v>238.21735615</v>
      </c>
    </row>
    <row r="130" spans="1:104" ht="15" customHeight="1" x14ac:dyDescent="0.25">
      <c r="A130" s="58" t="s">
        <v>454</v>
      </c>
      <c r="B130" s="58" t="s">
        <v>455</v>
      </c>
      <c r="C130" s="250"/>
      <c r="D130" s="244"/>
      <c r="E130" s="40" t="s">
        <v>349</v>
      </c>
      <c r="F130" s="41">
        <f>SUMIFS('CWO Bulan Ini'!$DA:$DA,'CWO Bulan Ini'!$DJ:$DJ,'Area-Cabang'!$B130,'CWO Bulan Ini'!$DH:$DH,'Area-Cabang'!$E130,'CWO Bulan Ini'!$CZ:$CZ,'Area-Cabang'!F$41)</f>
        <v>0</v>
      </c>
      <c r="G130" s="42">
        <f>SUMIFS('CWO Bulan Ini'!$DA:$DA,'CWO Bulan Ini'!$DJ:$DJ,'Area-Cabang'!$B130,'CWO Bulan Ini'!$DH:$DH,'Area-Cabang'!$E130,'CWO Bulan Ini'!$CZ:$CZ,'Area-Cabang'!G$41)</f>
        <v>0</v>
      </c>
      <c r="H130" s="42">
        <f>SUMIFS('CWO Bulan Ini'!$DA:$DA,'CWO Bulan Ini'!$DJ:$DJ,'Area-Cabang'!$B130,'CWO Bulan Ini'!$DH:$DH,'Area-Cabang'!$E130,'CWO Bulan Ini'!$CZ:$CZ,'Area-Cabang'!H$41)</f>
        <v>0</v>
      </c>
      <c r="I130" s="42">
        <f>SUMIFS('CWO Bulan Ini'!$DA:$DA,'CWO Bulan Ini'!$DJ:$DJ,'Area-Cabang'!$B130,'CWO Bulan Ini'!$DH:$DH,'Area-Cabang'!$E130,'CWO Bulan Ini'!$CZ:$CZ,'Area-Cabang'!I$41)</f>
        <v>0</v>
      </c>
      <c r="J130" s="42">
        <f>SUMIFS('CWO Bulan Ini'!$DA:$DA,'CWO Bulan Ini'!$DJ:$DJ,'Area-Cabang'!$B130,'CWO Bulan Ini'!$DH:$DH,'Area-Cabang'!$E130,'CWO Bulan Ini'!$CZ:$CZ,'Area-Cabang'!J$41)</f>
        <v>0</v>
      </c>
      <c r="K130" s="42">
        <f>SUMIFS('CWO Bulan Ini'!$DA:$DA,'CWO Bulan Ini'!$DJ:$DJ,'Area-Cabang'!$B130,'CWO Bulan Ini'!$DH:$DH,'Area-Cabang'!$E130,'CWO Bulan Ini'!$CZ:$CZ,'Area-Cabang'!K$41)</f>
        <v>0</v>
      </c>
      <c r="L130" s="42">
        <f>SUMIFS('CWO Bulan Ini'!$DA:$DA,'CWO Bulan Ini'!$DJ:$DJ,'Area-Cabang'!$B130,'CWO Bulan Ini'!$DH:$DH,'Area-Cabang'!$E130,'CWO Bulan Ini'!$CZ:$CZ,'Area-Cabang'!L$41)</f>
        <v>0</v>
      </c>
      <c r="M130" s="42">
        <f>SUMIFS('CWO Bulan Ini'!$DA:$DA,'CWO Bulan Ini'!$DJ:$DJ,'Area-Cabang'!$B130,'CWO Bulan Ini'!$DH:$DH,'Area-Cabang'!$E130,'CWO Bulan Ini'!$CZ:$CZ,'Area-Cabang'!M$41)</f>
        <v>0</v>
      </c>
      <c r="N130" s="42">
        <f>SUMIFS('CWO Bulan Ini'!$DA:$DA,'CWO Bulan Ini'!$DJ:$DJ,'Area-Cabang'!$B130,'CWO Bulan Ini'!$DH:$DH,'Area-Cabang'!$E130,'CWO Bulan Ini'!$CZ:$CZ,'Area-Cabang'!N$41)</f>
        <v>0</v>
      </c>
      <c r="O130" s="42">
        <f>SUMIFS('CWO Bulan Ini'!$DA:$DA,'CWO Bulan Ini'!$DJ:$DJ,'Area-Cabang'!$B130,'CWO Bulan Ini'!$DH:$DH,'Area-Cabang'!$E130,'CWO Bulan Ini'!$CZ:$CZ,'Area-Cabang'!O$41)</f>
        <v>0</v>
      </c>
      <c r="P130" s="42">
        <f>SUMIFS('CWO Bulan Ini'!$DA:$DA,'CWO Bulan Ini'!$DJ:$DJ,'Area-Cabang'!$B130,'CWO Bulan Ini'!$DH:$DH,'Area-Cabang'!$E130,'CWO Bulan Ini'!$CZ:$CZ,'Area-Cabang'!P$41)</f>
        <v>0</v>
      </c>
      <c r="Q130" s="42">
        <f>SUMIFS('CWO Bulan Ini'!$DA:$DA,'CWO Bulan Ini'!$DJ:$DJ,'Area-Cabang'!$B130,'CWO Bulan Ini'!$DH:$DH,'Area-Cabang'!$E130,'CWO Bulan Ini'!$CZ:$CZ,'Area-Cabang'!Q$41)</f>
        <v>0</v>
      </c>
      <c r="R130" s="42">
        <f>SUMIFS('CWO Bulan Ini'!$DA:$DA,'CWO Bulan Ini'!$DJ:$DJ,'Area-Cabang'!$B130,'CWO Bulan Ini'!$DH:$DH,'Area-Cabang'!$E130,'CWO Bulan Ini'!$CZ:$CZ,'Area-Cabang'!R$41)</f>
        <v>0</v>
      </c>
      <c r="S130" s="42">
        <f>SUMIFS('CWO Bulan Ini'!$DA:$DA,'CWO Bulan Ini'!$DJ:$DJ,'Area-Cabang'!$B130,'CWO Bulan Ini'!$DH:$DH,'Area-Cabang'!$E130,'CWO Bulan Ini'!$CZ:$CZ,'Area-Cabang'!S$41)</f>
        <v>0</v>
      </c>
      <c r="T130" s="42">
        <f>SUMIFS('CWO Bulan Ini'!$DA:$DA,'CWO Bulan Ini'!$DJ:$DJ,'Area-Cabang'!$B130,'CWO Bulan Ini'!$DH:$DH,'Area-Cabang'!$E130,'CWO Bulan Ini'!$CZ:$CZ,'Area-Cabang'!T$41)</f>
        <v>0</v>
      </c>
      <c r="U130" s="42">
        <f>SUMIFS('CWO Bulan Ini'!$DA:$DA,'CWO Bulan Ini'!$DJ:$DJ,'Area-Cabang'!$B130,'CWO Bulan Ini'!$DH:$DH,'Area-Cabang'!$E130,'CWO Bulan Ini'!$CZ:$CZ,'Area-Cabang'!U$41)</f>
        <v>0</v>
      </c>
      <c r="V130" s="42">
        <f>SUMIFS('CWO Bulan Ini'!$DA:$DA,'CWO Bulan Ini'!$DJ:$DJ,'Area-Cabang'!$B130,'CWO Bulan Ini'!$DH:$DH,'Area-Cabang'!$E130,'CWO Bulan Ini'!$CZ:$CZ,'Area-Cabang'!V$41)</f>
        <v>0</v>
      </c>
      <c r="W130" s="42">
        <f>SUMIFS('CWO Bulan Ini'!$DA:$DA,'CWO Bulan Ini'!$DJ:$DJ,'Area-Cabang'!$B130,'CWO Bulan Ini'!$DH:$DH,'Area-Cabang'!$E130,'CWO Bulan Ini'!$CZ:$CZ,'Area-Cabang'!W$41)</f>
        <v>0</v>
      </c>
      <c r="X130" s="42">
        <f>SUMIFS('CWO Bulan Ini'!$DA:$DA,'CWO Bulan Ini'!$DJ:$DJ,'Area-Cabang'!$B130,'CWO Bulan Ini'!$DH:$DH,'Area-Cabang'!$E130,'CWO Bulan Ini'!$CZ:$CZ,'Area-Cabang'!X$41)</f>
        <v>0</v>
      </c>
      <c r="Y130" s="42">
        <f>SUMIFS('CWO Bulan Ini'!$DA:$DA,'CWO Bulan Ini'!$DJ:$DJ,'Area-Cabang'!$B130,'CWO Bulan Ini'!$DH:$DH,'Area-Cabang'!$E130,'CWO Bulan Ini'!$CZ:$CZ,'Area-Cabang'!Y$41)</f>
        <v>0</v>
      </c>
      <c r="Z130" s="42">
        <f>SUMIFS('CWO Bulan Ini'!$DA:$DA,'CWO Bulan Ini'!$DJ:$DJ,'Area-Cabang'!$B130,'CWO Bulan Ini'!$DH:$DH,'Area-Cabang'!$E130,'CWO Bulan Ini'!$CZ:$CZ,'Area-Cabang'!Z$41)</f>
        <v>0</v>
      </c>
      <c r="AA130" s="42">
        <f>SUMIFS('CWO Bulan Ini'!$DA:$DA,'CWO Bulan Ini'!$DJ:$DJ,'Area-Cabang'!$B130,'CWO Bulan Ini'!$DH:$DH,'Area-Cabang'!$E130,'CWO Bulan Ini'!$CZ:$CZ,'Area-Cabang'!AA$41)</f>
        <v>0</v>
      </c>
      <c r="AB130" s="42">
        <f>SUMIFS('CWO Bulan Ini'!$DA:$DA,'CWO Bulan Ini'!$DJ:$DJ,'Area-Cabang'!$B130,'CWO Bulan Ini'!$DH:$DH,'Area-Cabang'!$E130,'CWO Bulan Ini'!$CZ:$CZ,'Area-Cabang'!AB$41)</f>
        <v>0</v>
      </c>
      <c r="AC130" s="42">
        <f>SUMIFS('CWO Bulan Ini'!$DA:$DA,'CWO Bulan Ini'!$DJ:$DJ,'Area-Cabang'!$B130,'CWO Bulan Ini'!$DH:$DH,'Area-Cabang'!$E130,'CWO Bulan Ini'!$CZ:$CZ,'Area-Cabang'!AC$41)</f>
        <v>0</v>
      </c>
      <c r="AD130" s="42">
        <f>SUMIFS('CWO Bulan Ini'!$DA:$DA,'CWO Bulan Ini'!$DJ:$DJ,'Area-Cabang'!$B130,'CWO Bulan Ini'!$DH:$DH,'Area-Cabang'!$E130,'CWO Bulan Ini'!$CZ:$CZ,'Area-Cabang'!AD$41)</f>
        <v>0</v>
      </c>
      <c r="AE130" s="42">
        <f>SUMIFS('CWO Bulan Ini'!$DA:$DA,'CWO Bulan Ini'!$DJ:$DJ,'Area-Cabang'!$B130,'CWO Bulan Ini'!$DH:$DH,'Area-Cabang'!$E130,'CWO Bulan Ini'!$CZ:$CZ,'Area-Cabang'!AE$41)</f>
        <v>0</v>
      </c>
      <c r="AF130" s="42">
        <f>SUMIFS('CWO Bulan Ini'!$DA:$DA,'CWO Bulan Ini'!$DJ:$DJ,'Area-Cabang'!$B130,'CWO Bulan Ini'!$DH:$DH,'Area-Cabang'!$E130,'CWO Bulan Ini'!$CZ:$CZ,'Area-Cabang'!AF$41)</f>
        <v>0</v>
      </c>
      <c r="AG130" s="42">
        <f>SUMIFS('CWO Bulan Ini'!$DA:$DA,'CWO Bulan Ini'!$DJ:$DJ,'Area-Cabang'!$B130,'CWO Bulan Ini'!$DH:$DH,'Area-Cabang'!$E130,'CWO Bulan Ini'!$CZ:$CZ,'Area-Cabang'!AG$41)</f>
        <v>0</v>
      </c>
      <c r="AH130" s="42">
        <f>SUMIFS('CWO Bulan Ini'!$DA:$DA,'CWO Bulan Ini'!$DJ:$DJ,'Area-Cabang'!$B130,'CWO Bulan Ini'!$DH:$DH,'Area-Cabang'!$E130,'CWO Bulan Ini'!$CZ:$CZ,'Area-Cabang'!AH$41)</f>
        <v>0</v>
      </c>
      <c r="AI130" s="42">
        <f>SUMIFS('CWO Bulan Ini'!$DA:$DA,'CWO Bulan Ini'!$DJ:$DJ,'Area-Cabang'!$B130,'CWO Bulan Ini'!$DH:$DH,'Area-Cabang'!$E130,'CWO Bulan Ini'!$CZ:$CZ,'Area-Cabang'!AI$41)</f>
        <v>0</v>
      </c>
      <c r="AJ130" s="42">
        <f>SUMIFS('CWO Bulan Ini'!$DA:$DA,'CWO Bulan Ini'!$DJ:$DJ,'Area-Cabang'!$B130,'CWO Bulan Ini'!$DH:$DH,'Area-Cabang'!$E130,'CWO Bulan Ini'!$CZ:$CZ,'Area-Cabang'!AJ$41)</f>
        <v>0</v>
      </c>
      <c r="AK130" s="41">
        <f>SUMIFS('CWO Bulan Ini'!$DD:$DD,'CWO Bulan Ini'!$DJ:$DJ,'Area-Cabang'!$B130,'CWO Bulan Ini'!$DH:$DH,'Area-Cabang'!$E130,'CWO Bulan Ini'!$CZ:$CZ,'Area-Cabang'!AK$41)</f>
        <v>0</v>
      </c>
      <c r="AL130" s="42">
        <f>SUMIFS('CWO Bulan Ini'!$DD:$DD,'CWO Bulan Ini'!$DJ:$DJ,'Area-Cabang'!$B130,'CWO Bulan Ini'!$DH:$DH,'Area-Cabang'!$E130,'CWO Bulan Ini'!$CZ:$CZ,'Area-Cabang'!AL$41)</f>
        <v>0</v>
      </c>
      <c r="AM130" s="42">
        <f>SUMIFS('CWO Bulan Ini'!$DD:$DD,'CWO Bulan Ini'!$DJ:$DJ,'Area-Cabang'!$B130,'CWO Bulan Ini'!$DH:$DH,'Area-Cabang'!$E130,'CWO Bulan Ini'!$CZ:$CZ,'Area-Cabang'!AM$41)</f>
        <v>0</v>
      </c>
      <c r="AN130" s="42">
        <f>SUMIFS('CWO Bulan Ini'!$DD:$DD,'CWO Bulan Ini'!$DJ:$DJ,'Area-Cabang'!$B130,'CWO Bulan Ini'!$DH:$DH,'Area-Cabang'!$E130,'CWO Bulan Ini'!$CZ:$CZ,'Area-Cabang'!AN$41)</f>
        <v>0</v>
      </c>
      <c r="AO130" s="42">
        <f>SUMIFS('CWO Bulan Ini'!$DD:$DD,'CWO Bulan Ini'!$DJ:$DJ,'Area-Cabang'!$B130,'CWO Bulan Ini'!$DH:$DH,'Area-Cabang'!$E130,'CWO Bulan Ini'!$CZ:$CZ,'Area-Cabang'!AO$41)</f>
        <v>0</v>
      </c>
      <c r="AP130" s="42">
        <f>SUMIFS('CWO Bulan Ini'!$DD:$DD,'CWO Bulan Ini'!$DJ:$DJ,'Area-Cabang'!$B130,'CWO Bulan Ini'!$DH:$DH,'Area-Cabang'!$E130,'CWO Bulan Ini'!$CZ:$CZ,'Area-Cabang'!AP$41)</f>
        <v>0</v>
      </c>
      <c r="AQ130" s="42">
        <f>SUMIFS('CWO Bulan Ini'!$DD:$DD,'CWO Bulan Ini'!$DJ:$DJ,'Area-Cabang'!$B130,'CWO Bulan Ini'!$DH:$DH,'Area-Cabang'!$E130,'CWO Bulan Ini'!$CZ:$CZ,'Area-Cabang'!AQ$41)</f>
        <v>0</v>
      </c>
      <c r="AR130" s="42">
        <f>SUMIFS('CWO Bulan Ini'!$DD:$DD,'CWO Bulan Ini'!$DJ:$DJ,'Area-Cabang'!$B130,'CWO Bulan Ini'!$DH:$DH,'Area-Cabang'!$E130,'CWO Bulan Ini'!$CZ:$CZ,'Area-Cabang'!AR$41)</f>
        <v>0</v>
      </c>
      <c r="AS130" s="42">
        <f>SUMIFS('CWO Bulan Ini'!$DD:$DD,'CWO Bulan Ini'!$DJ:$DJ,'Area-Cabang'!$B130,'CWO Bulan Ini'!$DH:$DH,'Area-Cabang'!$E130,'CWO Bulan Ini'!$CZ:$CZ,'Area-Cabang'!AS$41)</f>
        <v>0</v>
      </c>
      <c r="AT130" s="42">
        <f>SUMIFS('CWO Bulan Ini'!$DD:$DD,'CWO Bulan Ini'!$DJ:$DJ,'Area-Cabang'!$B130,'CWO Bulan Ini'!$DH:$DH,'Area-Cabang'!$E130,'CWO Bulan Ini'!$CZ:$CZ,'Area-Cabang'!AT$41)</f>
        <v>0</v>
      </c>
      <c r="AU130" s="42">
        <f>SUMIFS('CWO Bulan Ini'!$DD:$DD,'CWO Bulan Ini'!$DJ:$DJ,'Area-Cabang'!$B130,'CWO Bulan Ini'!$DH:$DH,'Area-Cabang'!$E130,'CWO Bulan Ini'!$CZ:$CZ,'Area-Cabang'!AU$41)</f>
        <v>0</v>
      </c>
      <c r="AV130" s="42">
        <f>SUMIFS('CWO Bulan Ini'!$DD:$DD,'CWO Bulan Ini'!$DJ:$DJ,'Area-Cabang'!$B130,'CWO Bulan Ini'!$DH:$DH,'Area-Cabang'!$E130,'CWO Bulan Ini'!$CZ:$CZ,'Area-Cabang'!AV$41)</f>
        <v>0</v>
      </c>
      <c r="AW130" s="42">
        <f>SUMIFS('CWO Bulan Ini'!$DD:$DD,'CWO Bulan Ini'!$DJ:$DJ,'Area-Cabang'!$B130,'CWO Bulan Ini'!$DH:$DH,'Area-Cabang'!$E130,'CWO Bulan Ini'!$CZ:$CZ,'Area-Cabang'!AW$41)</f>
        <v>0</v>
      </c>
      <c r="AX130" s="42">
        <f>SUMIFS('CWO Bulan Ini'!$DD:$DD,'CWO Bulan Ini'!$DJ:$DJ,'Area-Cabang'!$B130,'CWO Bulan Ini'!$DH:$DH,'Area-Cabang'!$E130,'CWO Bulan Ini'!$CZ:$CZ,'Area-Cabang'!AX$41)</f>
        <v>0</v>
      </c>
      <c r="AY130" s="42">
        <f>SUMIFS('CWO Bulan Ini'!$DD:$DD,'CWO Bulan Ini'!$DJ:$DJ,'Area-Cabang'!$B130,'CWO Bulan Ini'!$DH:$DH,'Area-Cabang'!$E130,'CWO Bulan Ini'!$CZ:$CZ,'Area-Cabang'!AY$41)</f>
        <v>0</v>
      </c>
      <c r="AZ130" s="42">
        <f>SUMIFS('CWO Bulan Ini'!$DD:$DD,'CWO Bulan Ini'!$DJ:$DJ,'Area-Cabang'!$B130,'CWO Bulan Ini'!$DH:$DH,'Area-Cabang'!$E130,'CWO Bulan Ini'!$CZ:$CZ,'Area-Cabang'!AZ$41)</f>
        <v>0</v>
      </c>
      <c r="BA130" s="42">
        <f>SUMIFS('CWO Bulan Ini'!$DD:$DD,'CWO Bulan Ini'!$DJ:$DJ,'Area-Cabang'!$B130,'CWO Bulan Ini'!$DH:$DH,'Area-Cabang'!$E130,'CWO Bulan Ini'!$CZ:$CZ,'Area-Cabang'!BA$41)</f>
        <v>0</v>
      </c>
      <c r="BB130" s="42">
        <f>SUMIFS('CWO Bulan Ini'!$DD:$DD,'CWO Bulan Ini'!$DJ:$DJ,'Area-Cabang'!$B130,'CWO Bulan Ini'!$DH:$DH,'Area-Cabang'!$E130,'CWO Bulan Ini'!$CZ:$CZ,'Area-Cabang'!BB$41)</f>
        <v>0</v>
      </c>
      <c r="BC130" s="42">
        <f>SUMIFS('CWO Bulan Ini'!$DD:$DD,'CWO Bulan Ini'!$DJ:$DJ,'Area-Cabang'!$B130,'CWO Bulan Ini'!$DH:$DH,'Area-Cabang'!$E130,'CWO Bulan Ini'!$CZ:$CZ,'Area-Cabang'!BC$41)</f>
        <v>0</v>
      </c>
      <c r="BD130" s="42">
        <f>SUMIFS('CWO Bulan Ini'!$DD:$DD,'CWO Bulan Ini'!$DJ:$DJ,'Area-Cabang'!$B130,'CWO Bulan Ini'!$DH:$DH,'Area-Cabang'!$E130,'CWO Bulan Ini'!$CZ:$CZ,'Area-Cabang'!BD$41)</f>
        <v>0</v>
      </c>
      <c r="BE130" s="42">
        <f>SUMIFS('CWO Bulan Ini'!$DD:$DD,'CWO Bulan Ini'!$DJ:$DJ,'Area-Cabang'!$B130,'CWO Bulan Ini'!$DH:$DH,'Area-Cabang'!$E130,'CWO Bulan Ini'!$CZ:$CZ,'Area-Cabang'!BE$41)</f>
        <v>0</v>
      </c>
      <c r="BF130" s="42">
        <f>SUMIFS('CWO Bulan Ini'!$DD:$DD,'CWO Bulan Ini'!$DJ:$DJ,'Area-Cabang'!$B130,'CWO Bulan Ini'!$DH:$DH,'Area-Cabang'!$E130,'CWO Bulan Ini'!$CZ:$CZ,'Area-Cabang'!BF$41)</f>
        <v>0</v>
      </c>
      <c r="BG130" s="42">
        <f>SUMIFS('CWO Bulan Ini'!$DD:$DD,'CWO Bulan Ini'!$DJ:$DJ,'Area-Cabang'!$B130,'CWO Bulan Ini'!$DH:$DH,'Area-Cabang'!$E130,'CWO Bulan Ini'!$CZ:$CZ,'Area-Cabang'!BG$41)</f>
        <v>0</v>
      </c>
      <c r="BH130" s="42">
        <f>SUMIFS('CWO Bulan Ini'!$DD:$DD,'CWO Bulan Ini'!$DJ:$DJ,'Area-Cabang'!$B130,'CWO Bulan Ini'!$DH:$DH,'Area-Cabang'!$E130,'CWO Bulan Ini'!$CZ:$CZ,'Area-Cabang'!BH$41)</f>
        <v>0</v>
      </c>
      <c r="BI130" s="42">
        <f>SUMIFS('CWO Bulan Ini'!$DD:$DD,'CWO Bulan Ini'!$DJ:$DJ,'Area-Cabang'!$B130,'CWO Bulan Ini'!$DH:$DH,'Area-Cabang'!$E130,'CWO Bulan Ini'!$CZ:$CZ,'Area-Cabang'!BI$41)</f>
        <v>0</v>
      </c>
      <c r="BJ130" s="42">
        <f>SUMIFS('CWO Bulan Ini'!$DD:$DD,'CWO Bulan Ini'!$DJ:$DJ,'Area-Cabang'!$B130,'CWO Bulan Ini'!$DH:$DH,'Area-Cabang'!$E130,'CWO Bulan Ini'!$CZ:$CZ,'Area-Cabang'!BJ$41)</f>
        <v>0</v>
      </c>
      <c r="BK130" s="42">
        <f>SUMIFS('CWO Bulan Ini'!$DD:$DD,'CWO Bulan Ini'!$DJ:$DJ,'Area-Cabang'!$B130,'CWO Bulan Ini'!$DH:$DH,'Area-Cabang'!$E130,'CWO Bulan Ini'!$CZ:$CZ,'Area-Cabang'!BK$41)</f>
        <v>0</v>
      </c>
      <c r="BL130" s="42">
        <f>SUMIFS('CWO Bulan Ini'!$DD:$DD,'CWO Bulan Ini'!$DJ:$DJ,'Area-Cabang'!$B130,'CWO Bulan Ini'!$DH:$DH,'Area-Cabang'!$E130,'CWO Bulan Ini'!$CZ:$CZ,'Area-Cabang'!BL$41)</f>
        <v>0</v>
      </c>
      <c r="BM130" s="42">
        <f>SUMIFS('CWO Bulan Ini'!$DD:$DD,'CWO Bulan Ini'!$DJ:$DJ,'Area-Cabang'!$B130,'CWO Bulan Ini'!$DH:$DH,'Area-Cabang'!$E130,'CWO Bulan Ini'!$CZ:$CZ,'Area-Cabang'!BM$41)</f>
        <v>0</v>
      </c>
      <c r="BN130" s="42">
        <f>SUMIFS('CWO Bulan Ini'!$DD:$DD,'CWO Bulan Ini'!$DJ:$DJ,'Area-Cabang'!$B130,'CWO Bulan Ini'!$DH:$DH,'Area-Cabang'!$E130,'CWO Bulan Ini'!$CZ:$CZ,'Area-Cabang'!BN$41)</f>
        <v>0</v>
      </c>
      <c r="BO130" s="43">
        <f>SUMIFS('CWO Bulan Ini'!$DD:$DD,'CWO Bulan Ini'!$DJ:$DJ,'Area-Cabang'!$B130,'CWO Bulan Ini'!$DH:$DH,'Area-Cabang'!$E130,'CWO Bulan Ini'!$CZ:$CZ,'Area-Cabang'!BO$41)</f>
        <v>0</v>
      </c>
      <c r="BP130" s="41">
        <f>SUMIFS('CWO Bulan Ini'!$DC:$DC,'CWO Bulan Ini'!$DJ:$DJ,'Area-Cabang'!$B130,'CWO Bulan Ini'!$DH:$DH,'Area-Cabang'!$E130,'CWO Bulan Ini'!$CZ:$CZ,'Area-Cabang'!BP$41)</f>
        <v>0</v>
      </c>
      <c r="BQ130" s="42">
        <f>SUMIFS('CWO Bulan Ini'!$DC:$DC,'CWO Bulan Ini'!$DJ:$DJ,'Area-Cabang'!$B130,'CWO Bulan Ini'!$DH:$DH,'Area-Cabang'!$E130,'CWO Bulan Ini'!$CZ:$CZ,'Area-Cabang'!BQ$41)</f>
        <v>0</v>
      </c>
      <c r="BR130" s="42">
        <f>SUMIFS('CWO Bulan Ini'!$DC:$DC,'CWO Bulan Ini'!$DJ:$DJ,'Area-Cabang'!$B130,'CWO Bulan Ini'!$DH:$DH,'Area-Cabang'!$E130,'CWO Bulan Ini'!$CZ:$CZ,'Area-Cabang'!BR$41)</f>
        <v>0</v>
      </c>
      <c r="BS130" s="42">
        <f>SUMIFS('CWO Bulan Ini'!$DC:$DC,'CWO Bulan Ini'!$DJ:$DJ,'Area-Cabang'!$B130,'CWO Bulan Ini'!$DH:$DH,'Area-Cabang'!$E130,'CWO Bulan Ini'!$CZ:$CZ,'Area-Cabang'!BS$41)</f>
        <v>0</v>
      </c>
      <c r="BT130" s="42">
        <f>SUMIFS('CWO Bulan Ini'!$DC:$DC,'CWO Bulan Ini'!$DJ:$DJ,'Area-Cabang'!$B130,'CWO Bulan Ini'!$DH:$DH,'Area-Cabang'!$E130,'CWO Bulan Ini'!$CZ:$CZ,'Area-Cabang'!BT$41)</f>
        <v>0</v>
      </c>
      <c r="BU130" s="42">
        <f>SUMIFS('CWO Bulan Ini'!$DC:$DC,'CWO Bulan Ini'!$DJ:$DJ,'Area-Cabang'!$B130,'CWO Bulan Ini'!$DH:$DH,'Area-Cabang'!$E130,'CWO Bulan Ini'!$CZ:$CZ,'Area-Cabang'!BU$41)</f>
        <v>0</v>
      </c>
      <c r="BV130" s="42">
        <f>SUMIFS('CWO Bulan Ini'!$DC:$DC,'CWO Bulan Ini'!$DJ:$DJ,'Area-Cabang'!$B130,'CWO Bulan Ini'!$DH:$DH,'Area-Cabang'!$E130,'CWO Bulan Ini'!$CZ:$CZ,'Area-Cabang'!BV$41)</f>
        <v>0</v>
      </c>
      <c r="BW130" s="42">
        <f>SUMIFS('CWO Bulan Ini'!$DC:$DC,'CWO Bulan Ini'!$DJ:$DJ,'Area-Cabang'!$B130,'CWO Bulan Ini'!$DH:$DH,'Area-Cabang'!$E130,'CWO Bulan Ini'!$CZ:$CZ,'Area-Cabang'!BW$41)</f>
        <v>0</v>
      </c>
      <c r="BX130" s="42">
        <f>SUMIFS('CWO Bulan Ini'!$DC:$DC,'CWO Bulan Ini'!$DJ:$DJ,'Area-Cabang'!$B130,'CWO Bulan Ini'!$DH:$DH,'Area-Cabang'!$E130,'CWO Bulan Ini'!$CZ:$CZ,'Area-Cabang'!BX$41)</f>
        <v>0</v>
      </c>
      <c r="BY130" s="42">
        <f>SUMIFS('CWO Bulan Ini'!$DC:$DC,'CWO Bulan Ini'!$DJ:$DJ,'Area-Cabang'!$B130,'CWO Bulan Ini'!$DH:$DH,'Area-Cabang'!$E130,'CWO Bulan Ini'!$CZ:$CZ,'Area-Cabang'!BY$41)</f>
        <v>0</v>
      </c>
      <c r="BZ130" s="42">
        <f>SUMIFS('CWO Bulan Ini'!$DC:$DC,'CWO Bulan Ini'!$DJ:$DJ,'Area-Cabang'!$B130,'CWO Bulan Ini'!$DH:$DH,'Area-Cabang'!$E130,'CWO Bulan Ini'!$CZ:$CZ,'Area-Cabang'!BZ$41)</f>
        <v>0</v>
      </c>
      <c r="CA130" s="42">
        <f>SUMIFS('CWO Bulan Ini'!$DC:$DC,'CWO Bulan Ini'!$DJ:$DJ,'Area-Cabang'!$B130,'CWO Bulan Ini'!$DH:$DH,'Area-Cabang'!$E130,'CWO Bulan Ini'!$CZ:$CZ,'Area-Cabang'!CA$41)</f>
        <v>0</v>
      </c>
      <c r="CB130" s="42">
        <f>SUMIFS('CWO Bulan Ini'!$DC:$DC,'CWO Bulan Ini'!$DJ:$DJ,'Area-Cabang'!$B130,'CWO Bulan Ini'!$DH:$DH,'Area-Cabang'!$E130,'CWO Bulan Ini'!$CZ:$CZ,'Area-Cabang'!CB$41)</f>
        <v>0</v>
      </c>
      <c r="CC130" s="42">
        <f>SUMIFS('CWO Bulan Ini'!$DC:$DC,'CWO Bulan Ini'!$DJ:$DJ,'Area-Cabang'!$B130,'CWO Bulan Ini'!$DH:$DH,'Area-Cabang'!$E130,'CWO Bulan Ini'!$CZ:$CZ,'Area-Cabang'!CC$41)</f>
        <v>0</v>
      </c>
      <c r="CD130" s="42">
        <f>SUMIFS('CWO Bulan Ini'!$DC:$DC,'CWO Bulan Ini'!$DJ:$DJ,'Area-Cabang'!$B130,'CWO Bulan Ini'!$DH:$DH,'Area-Cabang'!$E130,'CWO Bulan Ini'!$CZ:$CZ,'Area-Cabang'!CD$41)</f>
        <v>0</v>
      </c>
      <c r="CE130" s="42">
        <f>SUMIFS('CWO Bulan Ini'!$DC:$DC,'CWO Bulan Ini'!$DJ:$DJ,'Area-Cabang'!$B130,'CWO Bulan Ini'!$DH:$DH,'Area-Cabang'!$E130,'CWO Bulan Ini'!$CZ:$CZ,'Area-Cabang'!CE$41)</f>
        <v>0</v>
      </c>
      <c r="CF130" s="42">
        <f>SUMIFS('CWO Bulan Ini'!$DC:$DC,'CWO Bulan Ini'!$DJ:$DJ,'Area-Cabang'!$B130,'CWO Bulan Ini'!$DH:$DH,'Area-Cabang'!$E130,'CWO Bulan Ini'!$CZ:$CZ,'Area-Cabang'!CF$41)</f>
        <v>0</v>
      </c>
      <c r="CG130" s="42">
        <f>SUMIFS('CWO Bulan Ini'!$DC:$DC,'CWO Bulan Ini'!$DJ:$DJ,'Area-Cabang'!$B130,'CWO Bulan Ini'!$DH:$DH,'Area-Cabang'!$E130,'CWO Bulan Ini'!$CZ:$CZ,'Area-Cabang'!CG$41)</f>
        <v>0</v>
      </c>
      <c r="CH130" s="42">
        <f>SUMIFS('CWO Bulan Ini'!$DC:$DC,'CWO Bulan Ini'!$DJ:$DJ,'Area-Cabang'!$B130,'CWO Bulan Ini'!$DH:$DH,'Area-Cabang'!$E130,'CWO Bulan Ini'!$CZ:$CZ,'Area-Cabang'!CH$41)</f>
        <v>0</v>
      </c>
      <c r="CI130" s="42">
        <f>SUMIFS('CWO Bulan Ini'!$DC:$DC,'CWO Bulan Ini'!$DJ:$DJ,'Area-Cabang'!$B130,'CWO Bulan Ini'!$DH:$DH,'Area-Cabang'!$E130,'CWO Bulan Ini'!$CZ:$CZ,'Area-Cabang'!CI$41)</f>
        <v>0</v>
      </c>
      <c r="CJ130" s="42">
        <f>SUMIFS('CWO Bulan Ini'!$DC:$DC,'CWO Bulan Ini'!$DJ:$DJ,'Area-Cabang'!$B130,'CWO Bulan Ini'!$DH:$DH,'Area-Cabang'!$E130,'CWO Bulan Ini'!$CZ:$CZ,'Area-Cabang'!CJ$41)</f>
        <v>0</v>
      </c>
      <c r="CK130" s="42">
        <f>SUMIFS('CWO Bulan Ini'!$DC:$DC,'CWO Bulan Ini'!$DJ:$DJ,'Area-Cabang'!$B130,'CWO Bulan Ini'!$DH:$DH,'Area-Cabang'!$E130,'CWO Bulan Ini'!$CZ:$CZ,'Area-Cabang'!CK$41)</f>
        <v>0</v>
      </c>
      <c r="CL130" s="42">
        <f>SUMIFS('CWO Bulan Ini'!$DC:$DC,'CWO Bulan Ini'!$DJ:$DJ,'Area-Cabang'!$B130,'CWO Bulan Ini'!$DH:$DH,'Area-Cabang'!$E130,'CWO Bulan Ini'!$CZ:$CZ,'Area-Cabang'!CL$41)</f>
        <v>0</v>
      </c>
      <c r="CM130" s="42">
        <f>SUMIFS('CWO Bulan Ini'!$DC:$DC,'CWO Bulan Ini'!$DJ:$DJ,'Area-Cabang'!$B130,'CWO Bulan Ini'!$DH:$DH,'Area-Cabang'!$E130,'CWO Bulan Ini'!$CZ:$CZ,'Area-Cabang'!CM$41)</f>
        <v>0</v>
      </c>
      <c r="CN130" s="42">
        <f>SUMIFS('CWO Bulan Ini'!$DC:$DC,'CWO Bulan Ini'!$DJ:$DJ,'Area-Cabang'!$B130,'CWO Bulan Ini'!$DH:$DH,'Area-Cabang'!$E130,'CWO Bulan Ini'!$CZ:$CZ,'Area-Cabang'!CN$41)</f>
        <v>0</v>
      </c>
      <c r="CO130" s="42">
        <f>SUMIFS('CWO Bulan Ini'!$DC:$DC,'CWO Bulan Ini'!$DJ:$DJ,'Area-Cabang'!$B130,'CWO Bulan Ini'!$DH:$DH,'Area-Cabang'!$E130,'CWO Bulan Ini'!$CZ:$CZ,'Area-Cabang'!CO$41)</f>
        <v>0</v>
      </c>
      <c r="CP130" s="42">
        <f>SUMIFS('CWO Bulan Ini'!$DC:$DC,'CWO Bulan Ini'!$DJ:$DJ,'Area-Cabang'!$B130,'CWO Bulan Ini'!$DH:$DH,'Area-Cabang'!$E130,'CWO Bulan Ini'!$CZ:$CZ,'Area-Cabang'!CP$41)</f>
        <v>0</v>
      </c>
      <c r="CQ130" s="42">
        <f>SUMIFS('CWO Bulan Ini'!$DC:$DC,'CWO Bulan Ini'!$DJ:$DJ,'Area-Cabang'!$B130,'CWO Bulan Ini'!$DH:$DH,'Area-Cabang'!$E130,'CWO Bulan Ini'!$CZ:$CZ,'Area-Cabang'!CQ$41)</f>
        <v>0</v>
      </c>
      <c r="CR130" s="42">
        <f>SUMIFS('CWO Bulan Ini'!$DC:$DC,'CWO Bulan Ini'!$DJ:$DJ,'Area-Cabang'!$B130,'CWO Bulan Ini'!$DH:$DH,'Area-Cabang'!$E130,'CWO Bulan Ini'!$CZ:$CZ,'Area-Cabang'!CR$41)</f>
        <v>0</v>
      </c>
      <c r="CS130" s="42">
        <f>SUMIFS('CWO Bulan Ini'!$DC:$DC,'CWO Bulan Ini'!$DJ:$DJ,'Area-Cabang'!$B130,'CWO Bulan Ini'!$DH:$DH,'Area-Cabang'!$E130,'CWO Bulan Ini'!$CZ:$CZ,'Area-Cabang'!CS$41)</f>
        <v>0</v>
      </c>
      <c r="CT130" s="43">
        <f>SUMIFS('CWO Bulan Ini'!$DC:$DC,'CWO Bulan Ini'!$DJ:$DJ,'Area-Cabang'!$B130,'CWO Bulan Ini'!$DH:$DH,'Area-Cabang'!$E130,'CWO Bulan Ini'!$CZ:$CZ,'Area-Cabang'!CT$41)</f>
        <v>0</v>
      </c>
      <c r="CV130" s="96">
        <f t="shared" si="3968"/>
        <v>0</v>
      </c>
      <c r="CW130" s="93">
        <f t="shared" si="3969"/>
        <v>0</v>
      </c>
      <c r="CX130" s="93">
        <f t="shared" si="3970"/>
        <v>0</v>
      </c>
      <c r="CY130" s="93">
        <f t="shared" si="3971"/>
        <v>0</v>
      </c>
      <c r="CZ130" s="106">
        <f t="shared" si="3972"/>
        <v>0</v>
      </c>
    </row>
    <row r="131" spans="1:104" ht="15" customHeight="1" x14ac:dyDescent="0.25">
      <c r="A131" s="58" t="s">
        <v>454</v>
      </c>
      <c r="B131" s="53" t="s">
        <v>836</v>
      </c>
      <c r="C131" s="250"/>
      <c r="D131" s="227" t="s">
        <v>836</v>
      </c>
      <c r="E131" s="228"/>
      <c r="F131" s="219">
        <f t="shared" ref="F131" si="3973">SUM(F129:F130)</f>
        <v>0</v>
      </c>
      <c r="G131" s="220">
        <f t="shared" ref="G131" si="3974">SUM(G129:G130)</f>
        <v>0</v>
      </c>
      <c r="H131" s="220">
        <f t="shared" ref="H131" si="3975">SUM(H129:H130)</f>
        <v>0</v>
      </c>
      <c r="I131" s="220">
        <f t="shared" ref="I131" si="3976">SUM(I129:I130)</f>
        <v>0</v>
      </c>
      <c r="J131" s="220">
        <f t="shared" ref="J131" si="3977">SUM(J129:J130)</f>
        <v>0</v>
      </c>
      <c r="K131" s="220">
        <f t="shared" ref="K131" si="3978">SUM(K129:K130)</f>
        <v>0</v>
      </c>
      <c r="L131" s="220">
        <f t="shared" ref="L131" si="3979">SUM(L129:L130)</f>
        <v>0</v>
      </c>
      <c r="M131" s="220">
        <f t="shared" ref="M131" si="3980">SUM(M129:M130)</f>
        <v>0</v>
      </c>
      <c r="N131" s="220">
        <f t="shared" ref="N131" si="3981">SUM(N129:N130)</f>
        <v>0</v>
      </c>
      <c r="O131" s="220">
        <f t="shared" ref="O131" si="3982">SUM(O129:O130)</f>
        <v>82.137892170000001</v>
      </c>
      <c r="P131" s="220">
        <f t="shared" ref="P131" si="3983">SUM(P129:P130)</f>
        <v>98.88005124</v>
      </c>
      <c r="Q131" s="220">
        <f t="shared" ref="Q131" si="3984">SUM(Q129:Q130)</f>
        <v>0</v>
      </c>
      <c r="R131" s="220">
        <f t="shared" ref="R131" si="3985">SUM(R129:R130)</f>
        <v>57.19941274</v>
      </c>
      <c r="S131" s="220">
        <f t="shared" ref="S131" si="3986">SUM(S129:S130)</f>
        <v>0</v>
      </c>
      <c r="T131" s="220">
        <f t="shared" ref="T131" si="3987">SUM(T129:T130)</f>
        <v>0</v>
      </c>
      <c r="U131" s="220">
        <f t="shared" ref="U131" si="3988">SUM(U129:U130)</f>
        <v>0</v>
      </c>
      <c r="V131" s="220">
        <f t="shared" ref="V131" si="3989">SUM(V129:V130)</f>
        <v>0</v>
      </c>
      <c r="W131" s="220">
        <f t="shared" ref="W131" si="3990">SUM(W129:W130)</f>
        <v>0</v>
      </c>
      <c r="X131" s="220">
        <f t="shared" ref="X131" si="3991">SUM(X129:X130)</f>
        <v>0</v>
      </c>
      <c r="Y131" s="220">
        <f t="shared" ref="Y131" si="3992">SUM(Y129:Y130)</f>
        <v>0</v>
      </c>
      <c r="Z131" s="220">
        <f t="shared" ref="Z131" si="3993">SUM(Z129:Z130)</f>
        <v>0</v>
      </c>
      <c r="AA131" s="220">
        <f t="shared" ref="AA131" si="3994">SUM(AA129:AA130)</f>
        <v>0</v>
      </c>
      <c r="AB131" s="220">
        <f t="shared" ref="AB131" si="3995">SUM(AB129:AB130)</f>
        <v>0</v>
      </c>
      <c r="AC131" s="220">
        <f t="shared" ref="AC131" si="3996">SUM(AC129:AC130)</f>
        <v>0</v>
      </c>
      <c r="AD131" s="220">
        <f t="shared" ref="AD131" si="3997">SUM(AD129:AD130)</f>
        <v>0</v>
      </c>
      <c r="AE131" s="220">
        <f t="shared" ref="AE131" si="3998">SUM(AE129:AE130)</f>
        <v>0</v>
      </c>
      <c r="AF131" s="220">
        <f t="shared" ref="AF131" si="3999">SUM(AF129:AF130)</f>
        <v>0</v>
      </c>
      <c r="AG131" s="220">
        <f t="shared" ref="AG131" si="4000">SUM(AG129:AG130)</f>
        <v>0</v>
      </c>
      <c r="AH131" s="220">
        <f t="shared" ref="AH131" si="4001">SUM(AH129:AH130)</f>
        <v>0</v>
      </c>
      <c r="AI131" s="220">
        <f t="shared" ref="AI131" si="4002">SUM(AI129:AI130)</f>
        <v>0</v>
      </c>
      <c r="AJ131" s="220">
        <f t="shared" ref="AJ131" si="4003">SUM(AJ129:AJ130)</f>
        <v>0</v>
      </c>
      <c r="AK131" s="219">
        <f t="shared" ref="AK131" si="4004">SUM(AK129:AK130)</f>
        <v>0</v>
      </c>
      <c r="AL131" s="220">
        <f t="shared" ref="AL131" si="4005">SUM(AL129:AL130)</f>
        <v>0</v>
      </c>
      <c r="AM131" s="220">
        <f t="shared" ref="AM131" si="4006">SUM(AM129:AM130)</f>
        <v>0</v>
      </c>
      <c r="AN131" s="220">
        <f t="shared" ref="AN131" si="4007">SUM(AN129:AN130)</f>
        <v>0</v>
      </c>
      <c r="AO131" s="220">
        <f t="shared" ref="AO131" si="4008">SUM(AO129:AO130)</f>
        <v>0</v>
      </c>
      <c r="AP131" s="220">
        <f t="shared" ref="AP131" si="4009">SUM(AP129:AP130)</f>
        <v>0</v>
      </c>
      <c r="AQ131" s="220">
        <f t="shared" ref="AQ131" si="4010">SUM(AQ129:AQ130)</f>
        <v>0</v>
      </c>
      <c r="AR131" s="220">
        <f t="shared" ref="AR131" si="4011">SUM(AR129:AR130)</f>
        <v>0</v>
      </c>
      <c r="AS131" s="220">
        <f t="shared" ref="AS131" si="4012">SUM(AS129:AS130)</f>
        <v>0</v>
      </c>
      <c r="AT131" s="220">
        <f t="shared" ref="AT131" si="4013">SUM(AT129:AT130)</f>
        <v>0</v>
      </c>
      <c r="AU131" s="220">
        <f t="shared" ref="AU131" si="4014">SUM(AU129:AU130)</f>
        <v>0</v>
      </c>
      <c r="AV131" s="220">
        <f t="shared" ref="AV131" si="4015">SUM(AV129:AV130)</f>
        <v>0</v>
      </c>
      <c r="AW131" s="220">
        <f t="shared" ref="AW131" si="4016">SUM(AW129:AW130)</f>
        <v>0</v>
      </c>
      <c r="AX131" s="220">
        <f t="shared" ref="AX131" si="4017">SUM(AX129:AX130)</f>
        <v>0</v>
      </c>
      <c r="AY131" s="220">
        <f t="shared" ref="AY131" si="4018">SUM(AY129:AY130)</f>
        <v>0</v>
      </c>
      <c r="AZ131" s="220">
        <f t="shared" ref="AZ131" si="4019">SUM(AZ129:AZ130)</f>
        <v>0</v>
      </c>
      <c r="BA131" s="220">
        <f t="shared" ref="BA131" si="4020">SUM(BA129:BA130)</f>
        <v>0</v>
      </c>
      <c r="BB131" s="220">
        <f t="shared" ref="BB131" si="4021">SUM(BB129:BB130)</f>
        <v>0</v>
      </c>
      <c r="BC131" s="220">
        <f t="shared" ref="BC131" si="4022">SUM(BC129:BC130)</f>
        <v>0</v>
      </c>
      <c r="BD131" s="220">
        <f t="shared" ref="BD131" si="4023">SUM(BD129:BD130)</f>
        <v>0</v>
      </c>
      <c r="BE131" s="220">
        <f t="shared" ref="BE131" si="4024">SUM(BE129:BE130)</f>
        <v>0</v>
      </c>
      <c r="BF131" s="220">
        <f t="shared" ref="BF131" si="4025">SUM(BF129:BF130)</f>
        <v>0</v>
      </c>
      <c r="BG131" s="220">
        <f t="shared" ref="BG131" si="4026">SUM(BG129:BG130)</f>
        <v>0</v>
      </c>
      <c r="BH131" s="220">
        <f t="shared" ref="BH131" si="4027">SUM(BH129:BH130)</f>
        <v>0</v>
      </c>
      <c r="BI131" s="220">
        <f t="shared" ref="BI131" si="4028">SUM(BI129:BI130)</f>
        <v>0</v>
      </c>
      <c r="BJ131" s="220">
        <f t="shared" ref="BJ131" si="4029">SUM(BJ129:BJ130)</f>
        <v>0</v>
      </c>
      <c r="BK131" s="220">
        <f t="shared" ref="BK131" si="4030">SUM(BK129:BK130)</f>
        <v>0</v>
      </c>
      <c r="BL131" s="220">
        <f t="shared" ref="BL131" si="4031">SUM(BL129:BL130)</f>
        <v>0</v>
      </c>
      <c r="BM131" s="220">
        <f t="shared" ref="BM131" si="4032">SUM(BM129:BM130)</f>
        <v>0</v>
      </c>
      <c r="BN131" s="220">
        <f t="shared" ref="BN131" si="4033">SUM(BN129:BN130)</f>
        <v>0</v>
      </c>
      <c r="BO131" s="221">
        <f t="shared" ref="BO131" si="4034">SUM(BO129:BO130)</f>
        <v>0</v>
      </c>
      <c r="BP131" s="219">
        <f t="shared" ref="BP131" si="4035">SUM(BP129:BP130)</f>
        <v>0</v>
      </c>
      <c r="BQ131" s="220">
        <f t="shared" ref="BQ131" si="4036">SUM(BQ129:BQ130)</f>
        <v>0</v>
      </c>
      <c r="BR131" s="220">
        <f t="shared" ref="BR131" si="4037">SUM(BR129:BR130)</f>
        <v>0</v>
      </c>
      <c r="BS131" s="220">
        <f t="shared" ref="BS131" si="4038">SUM(BS129:BS130)</f>
        <v>0</v>
      </c>
      <c r="BT131" s="220">
        <f t="shared" ref="BT131" si="4039">SUM(BT129:BT130)</f>
        <v>0</v>
      </c>
      <c r="BU131" s="220">
        <f t="shared" ref="BU131" si="4040">SUM(BU129:BU130)</f>
        <v>0</v>
      </c>
      <c r="BV131" s="220">
        <f t="shared" ref="BV131" si="4041">SUM(BV129:BV130)</f>
        <v>0</v>
      </c>
      <c r="BW131" s="220">
        <f t="shared" ref="BW131" si="4042">SUM(BW129:BW130)</f>
        <v>0</v>
      </c>
      <c r="BX131" s="220">
        <f t="shared" ref="BX131" si="4043">SUM(BX129:BX130)</f>
        <v>0</v>
      </c>
      <c r="BY131" s="220">
        <f t="shared" ref="BY131" si="4044">SUM(BY129:BY130)</f>
        <v>0</v>
      </c>
      <c r="BZ131" s="220">
        <f t="shared" ref="BZ131" si="4045">SUM(BZ129:BZ130)</f>
        <v>0</v>
      </c>
      <c r="CA131" s="220">
        <f t="shared" ref="CA131" si="4046">SUM(CA129:CA130)</f>
        <v>0</v>
      </c>
      <c r="CB131" s="220">
        <f t="shared" ref="CB131" si="4047">SUM(CB129:CB130)</f>
        <v>0</v>
      </c>
      <c r="CC131" s="220">
        <f t="shared" ref="CC131" si="4048">SUM(CC129:CC130)</f>
        <v>0</v>
      </c>
      <c r="CD131" s="220">
        <f t="shared" ref="CD131" si="4049">SUM(CD129:CD130)</f>
        <v>0</v>
      </c>
      <c r="CE131" s="220">
        <f t="shared" ref="CE131" si="4050">SUM(CE129:CE130)</f>
        <v>0</v>
      </c>
      <c r="CF131" s="220">
        <f t="shared" ref="CF131" si="4051">SUM(CF129:CF130)</f>
        <v>0</v>
      </c>
      <c r="CG131" s="220">
        <f t="shared" ref="CG131" si="4052">SUM(CG129:CG130)</f>
        <v>0</v>
      </c>
      <c r="CH131" s="220">
        <f t="shared" ref="CH131" si="4053">SUM(CH129:CH130)</f>
        <v>0</v>
      </c>
      <c r="CI131" s="220">
        <f t="shared" ref="CI131" si="4054">SUM(CI129:CI130)</f>
        <v>0</v>
      </c>
      <c r="CJ131" s="220">
        <f t="shared" ref="CJ131" si="4055">SUM(CJ129:CJ130)</f>
        <v>0</v>
      </c>
      <c r="CK131" s="220">
        <f t="shared" ref="CK131" si="4056">SUM(CK129:CK130)</f>
        <v>0</v>
      </c>
      <c r="CL131" s="220">
        <f t="shared" ref="CL131" si="4057">SUM(CL129:CL130)</f>
        <v>0</v>
      </c>
      <c r="CM131" s="220">
        <f t="shared" ref="CM131" si="4058">SUM(CM129:CM130)</f>
        <v>0</v>
      </c>
      <c r="CN131" s="220">
        <f t="shared" ref="CN131" si="4059">SUM(CN129:CN130)</f>
        <v>0</v>
      </c>
      <c r="CO131" s="220">
        <f t="shared" ref="CO131" si="4060">SUM(CO129:CO130)</f>
        <v>0</v>
      </c>
      <c r="CP131" s="220">
        <f t="shared" ref="CP131" si="4061">SUM(CP129:CP130)</f>
        <v>0</v>
      </c>
      <c r="CQ131" s="220">
        <f t="shared" ref="CQ131" si="4062">SUM(CQ129:CQ130)</f>
        <v>0</v>
      </c>
      <c r="CR131" s="220">
        <f t="shared" ref="CR131" si="4063">SUM(CR129:CR130)</f>
        <v>0</v>
      </c>
      <c r="CS131" s="220">
        <f t="shared" ref="CS131" si="4064">SUM(CS129:CS130)</f>
        <v>0</v>
      </c>
      <c r="CT131" s="221">
        <f t="shared" ref="CT131" si="4065">SUM(CT129:CT130)</f>
        <v>0</v>
      </c>
      <c r="CU131" s="226"/>
      <c r="CV131" s="219">
        <f t="shared" ref="CV131" si="4066">SUM(CV129:CV130)</f>
        <v>238.21735615</v>
      </c>
      <c r="CW131" s="220">
        <f t="shared" ref="CW131" si="4067">SUM(CW129:CW130)</f>
        <v>0</v>
      </c>
      <c r="CX131" s="220">
        <f t="shared" ref="CX131" si="4068">SUM(CX129:CX130)</f>
        <v>0</v>
      </c>
      <c r="CY131" s="220">
        <f t="shared" ref="CY131" si="4069">SUM(CY129:CY130)</f>
        <v>238.21735615</v>
      </c>
      <c r="CZ131" s="222">
        <f t="shared" ref="CZ131" si="4070">SUM(CZ129:CZ130)</f>
        <v>238.21735615</v>
      </c>
    </row>
    <row r="132" spans="1:104" ht="15" customHeight="1" x14ac:dyDescent="0.25">
      <c r="A132" s="58" t="s">
        <v>454</v>
      </c>
      <c r="B132" s="53" t="s">
        <v>309</v>
      </c>
      <c r="C132" s="250"/>
      <c r="D132" s="245" t="s">
        <v>309</v>
      </c>
      <c r="E132" s="85" t="s">
        <v>132</v>
      </c>
      <c r="F132" s="55">
        <f>SUMIFS('CWO Bulan Ini'!$DA:$DA,'CWO Bulan Ini'!$DJ:$DJ,'Area-Cabang'!$B132,'CWO Bulan Ini'!$DH:$DH,'Area-Cabang'!$E132,'CWO Bulan Ini'!$CZ:$CZ,'Area-Cabang'!F$41)</f>
        <v>0</v>
      </c>
      <c r="G132" s="56">
        <f>SUMIFS('CWO Bulan Ini'!$DA:$DA,'CWO Bulan Ini'!$DJ:$DJ,'Area-Cabang'!$B132,'CWO Bulan Ini'!$DH:$DH,'Area-Cabang'!$E132,'CWO Bulan Ini'!$CZ:$CZ,'Area-Cabang'!G$41)</f>
        <v>0</v>
      </c>
      <c r="H132" s="56">
        <f>SUMIFS('CWO Bulan Ini'!$DA:$DA,'CWO Bulan Ini'!$DJ:$DJ,'Area-Cabang'!$B132,'CWO Bulan Ini'!$DH:$DH,'Area-Cabang'!$E132,'CWO Bulan Ini'!$CZ:$CZ,'Area-Cabang'!H$41)</f>
        <v>0</v>
      </c>
      <c r="I132" s="56">
        <f>SUMIFS('CWO Bulan Ini'!$DA:$DA,'CWO Bulan Ini'!$DJ:$DJ,'Area-Cabang'!$B132,'CWO Bulan Ini'!$DH:$DH,'Area-Cabang'!$E132,'CWO Bulan Ini'!$CZ:$CZ,'Area-Cabang'!I$41)</f>
        <v>0</v>
      </c>
      <c r="J132" s="56">
        <f>SUMIFS('CWO Bulan Ini'!$DA:$DA,'CWO Bulan Ini'!$DJ:$DJ,'Area-Cabang'!$B132,'CWO Bulan Ini'!$DH:$DH,'Area-Cabang'!$E132,'CWO Bulan Ini'!$CZ:$CZ,'Area-Cabang'!J$41)</f>
        <v>0</v>
      </c>
      <c r="K132" s="56">
        <f>SUMIFS('CWO Bulan Ini'!$DA:$DA,'CWO Bulan Ini'!$DJ:$DJ,'Area-Cabang'!$B132,'CWO Bulan Ini'!$DH:$DH,'Area-Cabang'!$E132,'CWO Bulan Ini'!$CZ:$CZ,'Area-Cabang'!K$41)</f>
        <v>0</v>
      </c>
      <c r="L132" s="56">
        <f>SUMIFS('CWO Bulan Ini'!$DA:$DA,'CWO Bulan Ini'!$DJ:$DJ,'Area-Cabang'!$B132,'CWO Bulan Ini'!$DH:$DH,'Area-Cabang'!$E132,'CWO Bulan Ini'!$CZ:$CZ,'Area-Cabang'!L$41)</f>
        <v>0</v>
      </c>
      <c r="M132" s="56">
        <f>SUMIFS('CWO Bulan Ini'!$DA:$DA,'CWO Bulan Ini'!$DJ:$DJ,'Area-Cabang'!$B132,'CWO Bulan Ini'!$DH:$DH,'Area-Cabang'!$E132,'CWO Bulan Ini'!$CZ:$CZ,'Area-Cabang'!M$41)</f>
        <v>0</v>
      </c>
      <c r="N132" s="56">
        <f>SUMIFS('CWO Bulan Ini'!$DA:$DA,'CWO Bulan Ini'!$DJ:$DJ,'Area-Cabang'!$B132,'CWO Bulan Ini'!$DH:$DH,'Area-Cabang'!$E132,'CWO Bulan Ini'!$CZ:$CZ,'Area-Cabang'!N$41)</f>
        <v>0</v>
      </c>
      <c r="O132" s="56">
        <f>SUMIFS('CWO Bulan Ini'!$DA:$DA,'CWO Bulan Ini'!$DJ:$DJ,'Area-Cabang'!$B132,'CWO Bulan Ini'!$DH:$DH,'Area-Cabang'!$E132,'CWO Bulan Ini'!$CZ:$CZ,'Area-Cabang'!O$41)</f>
        <v>0</v>
      </c>
      <c r="P132" s="56">
        <f>SUMIFS('CWO Bulan Ini'!$DA:$DA,'CWO Bulan Ini'!$DJ:$DJ,'Area-Cabang'!$B132,'CWO Bulan Ini'!$DH:$DH,'Area-Cabang'!$E132,'CWO Bulan Ini'!$CZ:$CZ,'Area-Cabang'!P$41)</f>
        <v>0</v>
      </c>
      <c r="Q132" s="56">
        <f>SUMIFS('CWO Bulan Ini'!$DA:$DA,'CWO Bulan Ini'!$DJ:$DJ,'Area-Cabang'!$B132,'CWO Bulan Ini'!$DH:$DH,'Area-Cabang'!$E132,'CWO Bulan Ini'!$CZ:$CZ,'Area-Cabang'!Q$41)</f>
        <v>0</v>
      </c>
      <c r="R132" s="56">
        <f>SUMIFS('CWO Bulan Ini'!$DA:$DA,'CWO Bulan Ini'!$DJ:$DJ,'Area-Cabang'!$B132,'CWO Bulan Ini'!$DH:$DH,'Area-Cabang'!$E132,'CWO Bulan Ini'!$CZ:$CZ,'Area-Cabang'!R$41)</f>
        <v>0</v>
      </c>
      <c r="S132" s="56">
        <f>SUMIFS('CWO Bulan Ini'!$DA:$DA,'CWO Bulan Ini'!$DJ:$DJ,'Area-Cabang'!$B132,'CWO Bulan Ini'!$DH:$DH,'Area-Cabang'!$E132,'CWO Bulan Ini'!$CZ:$CZ,'Area-Cabang'!S$41)</f>
        <v>0</v>
      </c>
      <c r="T132" s="56">
        <f>SUMIFS('CWO Bulan Ini'!$DA:$DA,'CWO Bulan Ini'!$DJ:$DJ,'Area-Cabang'!$B132,'CWO Bulan Ini'!$DH:$DH,'Area-Cabang'!$E132,'CWO Bulan Ini'!$CZ:$CZ,'Area-Cabang'!T$41)</f>
        <v>0</v>
      </c>
      <c r="U132" s="56">
        <f>SUMIFS('CWO Bulan Ini'!$DA:$DA,'CWO Bulan Ini'!$DJ:$DJ,'Area-Cabang'!$B132,'CWO Bulan Ini'!$DH:$DH,'Area-Cabang'!$E132,'CWO Bulan Ini'!$CZ:$CZ,'Area-Cabang'!U$41)</f>
        <v>0</v>
      </c>
      <c r="V132" s="56">
        <f>SUMIFS('CWO Bulan Ini'!$DA:$DA,'CWO Bulan Ini'!$DJ:$DJ,'Area-Cabang'!$B132,'CWO Bulan Ini'!$DH:$DH,'Area-Cabang'!$E132,'CWO Bulan Ini'!$CZ:$CZ,'Area-Cabang'!V$41)</f>
        <v>0</v>
      </c>
      <c r="W132" s="56">
        <f>SUMIFS('CWO Bulan Ini'!$DA:$DA,'CWO Bulan Ini'!$DJ:$DJ,'Area-Cabang'!$B132,'CWO Bulan Ini'!$DH:$DH,'Area-Cabang'!$E132,'CWO Bulan Ini'!$CZ:$CZ,'Area-Cabang'!W$41)</f>
        <v>0</v>
      </c>
      <c r="X132" s="56">
        <f>SUMIFS('CWO Bulan Ini'!$DA:$DA,'CWO Bulan Ini'!$DJ:$DJ,'Area-Cabang'!$B132,'CWO Bulan Ini'!$DH:$DH,'Area-Cabang'!$E132,'CWO Bulan Ini'!$CZ:$CZ,'Area-Cabang'!X$41)</f>
        <v>0</v>
      </c>
      <c r="Y132" s="56">
        <f>SUMIFS('CWO Bulan Ini'!$DA:$DA,'CWO Bulan Ini'!$DJ:$DJ,'Area-Cabang'!$B132,'CWO Bulan Ini'!$DH:$DH,'Area-Cabang'!$E132,'CWO Bulan Ini'!$CZ:$CZ,'Area-Cabang'!Y$41)</f>
        <v>3.5373160800000001</v>
      </c>
      <c r="Z132" s="56">
        <f>SUMIFS('CWO Bulan Ini'!$DA:$DA,'CWO Bulan Ini'!$DJ:$DJ,'Area-Cabang'!$B132,'CWO Bulan Ini'!$DH:$DH,'Area-Cabang'!$E132,'CWO Bulan Ini'!$CZ:$CZ,'Area-Cabang'!Z$41)</f>
        <v>0</v>
      </c>
      <c r="AA132" s="56">
        <f>SUMIFS('CWO Bulan Ini'!$DA:$DA,'CWO Bulan Ini'!$DJ:$DJ,'Area-Cabang'!$B132,'CWO Bulan Ini'!$DH:$DH,'Area-Cabang'!$E132,'CWO Bulan Ini'!$CZ:$CZ,'Area-Cabang'!AA$41)</f>
        <v>0</v>
      </c>
      <c r="AB132" s="56">
        <f>SUMIFS('CWO Bulan Ini'!$DA:$DA,'CWO Bulan Ini'!$DJ:$DJ,'Area-Cabang'!$B132,'CWO Bulan Ini'!$DH:$DH,'Area-Cabang'!$E132,'CWO Bulan Ini'!$CZ:$CZ,'Area-Cabang'!AB$41)</f>
        <v>0</v>
      </c>
      <c r="AC132" s="56">
        <f>SUMIFS('CWO Bulan Ini'!$DA:$DA,'CWO Bulan Ini'!$DJ:$DJ,'Area-Cabang'!$B132,'CWO Bulan Ini'!$DH:$DH,'Area-Cabang'!$E132,'CWO Bulan Ini'!$CZ:$CZ,'Area-Cabang'!AC$41)</f>
        <v>0</v>
      </c>
      <c r="AD132" s="56">
        <f>SUMIFS('CWO Bulan Ini'!$DA:$DA,'CWO Bulan Ini'!$DJ:$DJ,'Area-Cabang'!$B132,'CWO Bulan Ini'!$DH:$DH,'Area-Cabang'!$E132,'CWO Bulan Ini'!$CZ:$CZ,'Area-Cabang'!AD$41)</f>
        <v>0</v>
      </c>
      <c r="AE132" s="56">
        <f>SUMIFS('CWO Bulan Ini'!$DA:$DA,'CWO Bulan Ini'!$DJ:$DJ,'Area-Cabang'!$B132,'CWO Bulan Ini'!$DH:$DH,'Area-Cabang'!$E132,'CWO Bulan Ini'!$CZ:$CZ,'Area-Cabang'!AE$41)</f>
        <v>0</v>
      </c>
      <c r="AF132" s="56">
        <f>SUMIFS('CWO Bulan Ini'!$DA:$DA,'CWO Bulan Ini'!$DJ:$DJ,'Area-Cabang'!$B132,'CWO Bulan Ini'!$DH:$DH,'Area-Cabang'!$E132,'CWO Bulan Ini'!$CZ:$CZ,'Area-Cabang'!AF$41)</f>
        <v>0</v>
      </c>
      <c r="AG132" s="56">
        <f>SUMIFS('CWO Bulan Ini'!$DA:$DA,'CWO Bulan Ini'!$DJ:$DJ,'Area-Cabang'!$B132,'CWO Bulan Ini'!$DH:$DH,'Area-Cabang'!$E132,'CWO Bulan Ini'!$CZ:$CZ,'Area-Cabang'!AG$41)</f>
        <v>0</v>
      </c>
      <c r="AH132" s="56">
        <f>SUMIFS('CWO Bulan Ini'!$DA:$DA,'CWO Bulan Ini'!$DJ:$DJ,'Area-Cabang'!$B132,'CWO Bulan Ini'!$DH:$DH,'Area-Cabang'!$E132,'CWO Bulan Ini'!$CZ:$CZ,'Area-Cabang'!AH$41)</f>
        <v>0</v>
      </c>
      <c r="AI132" s="56">
        <f>SUMIFS('CWO Bulan Ini'!$DA:$DA,'CWO Bulan Ini'!$DJ:$DJ,'Area-Cabang'!$B132,'CWO Bulan Ini'!$DH:$DH,'Area-Cabang'!$E132,'CWO Bulan Ini'!$CZ:$CZ,'Area-Cabang'!AI$41)</f>
        <v>0</v>
      </c>
      <c r="AJ132" s="56">
        <f>SUMIFS('CWO Bulan Ini'!$DA:$DA,'CWO Bulan Ini'!$DJ:$DJ,'Area-Cabang'!$B132,'CWO Bulan Ini'!$DH:$DH,'Area-Cabang'!$E132,'CWO Bulan Ini'!$CZ:$CZ,'Area-Cabang'!AJ$41)</f>
        <v>0</v>
      </c>
      <c r="AK132" s="55">
        <f>SUMIFS('CWO Bulan Ini'!$DD:$DD,'CWO Bulan Ini'!$DJ:$DJ,'Area-Cabang'!$B132,'CWO Bulan Ini'!$DH:$DH,'Area-Cabang'!$E132,'CWO Bulan Ini'!$CZ:$CZ,'Area-Cabang'!AK$41)</f>
        <v>0</v>
      </c>
      <c r="AL132" s="56">
        <f>SUMIFS('CWO Bulan Ini'!$DD:$DD,'CWO Bulan Ini'!$DJ:$DJ,'Area-Cabang'!$B132,'CWO Bulan Ini'!$DH:$DH,'Area-Cabang'!$E132,'CWO Bulan Ini'!$CZ:$CZ,'Area-Cabang'!AL$41)</f>
        <v>0</v>
      </c>
      <c r="AM132" s="56">
        <f>SUMIFS('CWO Bulan Ini'!$DD:$DD,'CWO Bulan Ini'!$DJ:$DJ,'Area-Cabang'!$B132,'CWO Bulan Ini'!$DH:$DH,'Area-Cabang'!$E132,'CWO Bulan Ini'!$CZ:$CZ,'Area-Cabang'!AM$41)</f>
        <v>0</v>
      </c>
      <c r="AN132" s="56">
        <f>SUMIFS('CWO Bulan Ini'!$DD:$DD,'CWO Bulan Ini'!$DJ:$DJ,'Area-Cabang'!$B132,'CWO Bulan Ini'!$DH:$DH,'Area-Cabang'!$E132,'CWO Bulan Ini'!$CZ:$CZ,'Area-Cabang'!AN$41)</f>
        <v>0</v>
      </c>
      <c r="AO132" s="56">
        <f>SUMIFS('CWO Bulan Ini'!$DD:$DD,'CWO Bulan Ini'!$DJ:$DJ,'Area-Cabang'!$B132,'CWO Bulan Ini'!$DH:$DH,'Area-Cabang'!$E132,'CWO Bulan Ini'!$CZ:$CZ,'Area-Cabang'!AO$41)</f>
        <v>0</v>
      </c>
      <c r="AP132" s="56">
        <f>SUMIFS('CWO Bulan Ini'!$DD:$DD,'CWO Bulan Ini'!$DJ:$DJ,'Area-Cabang'!$B132,'CWO Bulan Ini'!$DH:$DH,'Area-Cabang'!$E132,'CWO Bulan Ini'!$CZ:$CZ,'Area-Cabang'!AP$41)</f>
        <v>0</v>
      </c>
      <c r="AQ132" s="56">
        <f>SUMIFS('CWO Bulan Ini'!$DD:$DD,'CWO Bulan Ini'!$DJ:$DJ,'Area-Cabang'!$B132,'CWO Bulan Ini'!$DH:$DH,'Area-Cabang'!$E132,'CWO Bulan Ini'!$CZ:$CZ,'Area-Cabang'!AQ$41)</f>
        <v>0</v>
      </c>
      <c r="AR132" s="56">
        <f>SUMIFS('CWO Bulan Ini'!$DD:$DD,'CWO Bulan Ini'!$DJ:$DJ,'Area-Cabang'!$B132,'CWO Bulan Ini'!$DH:$DH,'Area-Cabang'!$E132,'CWO Bulan Ini'!$CZ:$CZ,'Area-Cabang'!AR$41)</f>
        <v>0</v>
      </c>
      <c r="AS132" s="56">
        <f>SUMIFS('CWO Bulan Ini'!$DD:$DD,'CWO Bulan Ini'!$DJ:$DJ,'Area-Cabang'!$B132,'CWO Bulan Ini'!$DH:$DH,'Area-Cabang'!$E132,'CWO Bulan Ini'!$CZ:$CZ,'Area-Cabang'!AS$41)</f>
        <v>0</v>
      </c>
      <c r="AT132" s="56">
        <f>SUMIFS('CWO Bulan Ini'!$DD:$DD,'CWO Bulan Ini'!$DJ:$DJ,'Area-Cabang'!$B132,'CWO Bulan Ini'!$DH:$DH,'Area-Cabang'!$E132,'CWO Bulan Ini'!$CZ:$CZ,'Area-Cabang'!AT$41)</f>
        <v>0</v>
      </c>
      <c r="AU132" s="56">
        <f>SUMIFS('CWO Bulan Ini'!$DD:$DD,'CWO Bulan Ini'!$DJ:$DJ,'Area-Cabang'!$B132,'CWO Bulan Ini'!$DH:$DH,'Area-Cabang'!$E132,'CWO Bulan Ini'!$CZ:$CZ,'Area-Cabang'!AU$41)</f>
        <v>0</v>
      </c>
      <c r="AV132" s="56">
        <f>SUMIFS('CWO Bulan Ini'!$DD:$DD,'CWO Bulan Ini'!$DJ:$DJ,'Area-Cabang'!$B132,'CWO Bulan Ini'!$DH:$DH,'Area-Cabang'!$E132,'CWO Bulan Ini'!$CZ:$CZ,'Area-Cabang'!AV$41)</f>
        <v>0</v>
      </c>
      <c r="AW132" s="56">
        <f>SUMIFS('CWO Bulan Ini'!$DD:$DD,'CWO Bulan Ini'!$DJ:$DJ,'Area-Cabang'!$B132,'CWO Bulan Ini'!$DH:$DH,'Area-Cabang'!$E132,'CWO Bulan Ini'!$CZ:$CZ,'Area-Cabang'!AW$41)</f>
        <v>0</v>
      </c>
      <c r="AX132" s="56">
        <f>SUMIFS('CWO Bulan Ini'!$DD:$DD,'CWO Bulan Ini'!$DJ:$DJ,'Area-Cabang'!$B132,'CWO Bulan Ini'!$DH:$DH,'Area-Cabang'!$E132,'CWO Bulan Ini'!$CZ:$CZ,'Area-Cabang'!AX$41)</f>
        <v>0</v>
      </c>
      <c r="AY132" s="56">
        <f>SUMIFS('CWO Bulan Ini'!$DD:$DD,'CWO Bulan Ini'!$DJ:$DJ,'Area-Cabang'!$B132,'CWO Bulan Ini'!$DH:$DH,'Area-Cabang'!$E132,'CWO Bulan Ini'!$CZ:$CZ,'Area-Cabang'!AY$41)</f>
        <v>0</v>
      </c>
      <c r="AZ132" s="56">
        <f>SUMIFS('CWO Bulan Ini'!$DD:$DD,'CWO Bulan Ini'!$DJ:$DJ,'Area-Cabang'!$B132,'CWO Bulan Ini'!$DH:$DH,'Area-Cabang'!$E132,'CWO Bulan Ini'!$CZ:$CZ,'Area-Cabang'!AZ$41)</f>
        <v>0</v>
      </c>
      <c r="BA132" s="56">
        <f>SUMIFS('CWO Bulan Ini'!$DD:$DD,'CWO Bulan Ini'!$DJ:$DJ,'Area-Cabang'!$B132,'CWO Bulan Ini'!$DH:$DH,'Area-Cabang'!$E132,'CWO Bulan Ini'!$CZ:$CZ,'Area-Cabang'!BA$41)</f>
        <v>0</v>
      </c>
      <c r="BB132" s="56">
        <f>SUMIFS('CWO Bulan Ini'!$DD:$DD,'CWO Bulan Ini'!$DJ:$DJ,'Area-Cabang'!$B132,'CWO Bulan Ini'!$DH:$DH,'Area-Cabang'!$E132,'CWO Bulan Ini'!$CZ:$CZ,'Area-Cabang'!BB$41)</f>
        <v>0</v>
      </c>
      <c r="BC132" s="56">
        <f>SUMIFS('CWO Bulan Ini'!$DD:$DD,'CWO Bulan Ini'!$DJ:$DJ,'Area-Cabang'!$B132,'CWO Bulan Ini'!$DH:$DH,'Area-Cabang'!$E132,'CWO Bulan Ini'!$CZ:$CZ,'Area-Cabang'!BC$41)</f>
        <v>0</v>
      </c>
      <c r="BD132" s="56">
        <f>SUMIFS('CWO Bulan Ini'!$DD:$DD,'CWO Bulan Ini'!$DJ:$DJ,'Area-Cabang'!$B132,'CWO Bulan Ini'!$DH:$DH,'Area-Cabang'!$E132,'CWO Bulan Ini'!$CZ:$CZ,'Area-Cabang'!BD$41)</f>
        <v>0</v>
      </c>
      <c r="BE132" s="56">
        <f>SUMIFS('CWO Bulan Ini'!$DD:$DD,'CWO Bulan Ini'!$DJ:$DJ,'Area-Cabang'!$B132,'CWO Bulan Ini'!$DH:$DH,'Area-Cabang'!$E132,'CWO Bulan Ini'!$CZ:$CZ,'Area-Cabang'!BE$41)</f>
        <v>0</v>
      </c>
      <c r="BF132" s="56">
        <f>SUMIFS('CWO Bulan Ini'!$DD:$DD,'CWO Bulan Ini'!$DJ:$DJ,'Area-Cabang'!$B132,'CWO Bulan Ini'!$DH:$DH,'Area-Cabang'!$E132,'CWO Bulan Ini'!$CZ:$CZ,'Area-Cabang'!BF$41)</f>
        <v>0</v>
      </c>
      <c r="BG132" s="56">
        <f>SUMIFS('CWO Bulan Ini'!$DD:$DD,'CWO Bulan Ini'!$DJ:$DJ,'Area-Cabang'!$B132,'CWO Bulan Ini'!$DH:$DH,'Area-Cabang'!$E132,'CWO Bulan Ini'!$CZ:$CZ,'Area-Cabang'!BG$41)</f>
        <v>0</v>
      </c>
      <c r="BH132" s="56">
        <f>SUMIFS('CWO Bulan Ini'!$DD:$DD,'CWO Bulan Ini'!$DJ:$DJ,'Area-Cabang'!$B132,'CWO Bulan Ini'!$DH:$DH,'Area-Cabang'!$E132,'CWO Bulan Ini'!$CZ:$CZ,'Area-Cabang'!BH$41)</f>
        <v>0</v>
      </c>
      <c r="BI132" s="56">
        <f>SUMIFS('CWO Bulan Ini'!$DD:$DD,'CWO Bulan Ini'!$DJ:$DJ,'Area-Cabang'!$B132,'CWO Bulan Ini'!$DH:$DH,'Area-Cabang'!$E132,'CWO Bulan Ini'!$CZ:$CZ,'Area-Cabang'!BI$41)</f>
        <v>0</v>
      </c>
      <c r="BJ132" s="56">
        <f>SUMIFS('CWO Bulan Ini'!$DD:$DD,'CWO Bulan Ini'!$DJ:$DJ,'Area-Cabang'!$B132,'CWO Bulan Ini'!$DH:$DH,'Area-Cabang'!$E132,'CWO Bulan Ini'!$CZ:$CZ,'Area-Cabang'!BJ$41)</f>
        <v>0</v>
      </c>
      <c r="BK132" s="56">
        <f>SUMIFS('CWO Bulan Ini'!$DD:$DD,'CWO Bulan Ini'!$DJ:$DJ,'Area-Cabang'!$B132,'CWO Bulan Ini'!$DH:$DH,'Area-Cabang'!$E132,'CWO Bulan Ini'!$CZ:$CZ,'Area-Cabang'!BK$41)</f>
        <v>0</v>
      </c>
      <c r="BL132" s="56">
        <f>SUMIFS('CWO Bulan Ini'!$DD:$DD,'CWO Bulan Ini'!$DJ:$DJ,'Area-Cabang'!$B132,'CWO Bulan Ini'!$DH:$DH,'Area-Cabang'!$E132,'CWO Bulan Ini'!$CZ:$CZ,'Area-Cabang'!BL$41)</f>
        <v>0</v>
      </c>
      <c r="BM132" s="56">
        <f>SUMIFS('CWO Bulan Ini'!$DD:$DD,'CWO Bulan Ini'!$DJ:$DJ,'Area-Cabang'!$B132,'CWO Bulan Ini'!$DH:$DH,'Area-Cabang'!$E132,'CWO Bulan Ini'!$CZ:$CZ,'Area-Cabang'!BM$41)</f>
        <v>0</v>
      </c>
      <c r="BN132" s="56">
        <f>SUMIFS('CWO Bulan Ini'!$DD:$DD,'CWO Bulan Ini'!$DJ:$DJ,'Area-Cabang'!$B132,'CWO Bulan Ini'!$DH:$DH,'Area-Cabang'!$E132,'CWO Bulan Ini'!$CZ:$CZ,'Area-Cabang'!BN$41)</f>
        <v>0</v>
      </c>
      <c r="BO132" s="57">
        <f>SUMIFS('CWO Bulan Ini'!$DD:$DD,'CWO Bulan Ini'!$DJ:$DJ,'Area-Cabang'!$B132,'CWO Bulan Ini'!$DH:$DH,'Area-Cabang'!$E132,'CWO Bulan Ini'!$CZ:$CZ,'Area-Cabang'!BO$41)</f>
        <v>0</v>
      </c>
      <c r="BP132" s="55">
        <f>SUMIFS('CWO Bulan Ini'!$DC:$DC,'CWO Bulan Ini'!$DJ:$DJ,'Area-Cabang'!$B132,'CWO Bulan Ini'!$DH:$DH,'Area-Cabang'!$E132,'CWO Bulan Ini'!$CZ:$CZ,'Area-Cabang'!BP$41)</f>
        <v>0</v>
      </c>
      <c r="BQ132" s="56">
        <f>SUMIFS('CWO Bulan Ini'!$DC:$DC,'CWO Bulan Ini'!$DJ:$DJ,'Area-Cabang'!$B132,'CWO Bulan Ini'!$DH:$DH,'Area-Cabang'!$E132,'CWO Bulan Ini'!$CZ:$CZ,'Area-Cabang'!BQ$41)</f>
        <v>0</v>
      </c>
      <c r="BR132" s="56">
        <f>SUMIFS('CWO Bulan Ini'!$DC:$DC,'CWO Bulan Ini'!$DJ:$DJ,'Area-Cabang'!$B132,'CWO Bulan Ini'!$DH:$DH,'Area-Cabang'!$E132,'CWO Bulan Ini'!$CZ:$CZ,'Area-Cabang'!BR$41)</f>
        <v>0</v>
      </c>
      <c r="BS132" s="56">
        <f>SUMIFS('CWO Bulan Ini'!$DC:$DC,'CWO Bulan Ini'!$DJ:$DJ,'Area-Cabang'!$B132,'CWO Bulan Ini'!$DH:$DH,'Area-Cabang'!$E132,'CWO Bulan Ini'!$CZ:$CZ,'Area-Cabang'!BS$41)</f>
        <v>0</v>
      </c>
      <c r="BT132" s="56">
        <f>SUMIFS('CWO Bulan Ini'!$DC:$DC,'CWO Bulan Ini'!$DJ:$DJ,'Area-Cabang'!$B132,'CWO Bulan Ini'!$DH:$DH,'Area-Cabang'!$E132,'CWO Bulan Ini'!$CZ:$CZ,'Area-Cabang'!BT$41)</f>
        <v>0</v>
      </c>
      <c r="BU132" s="56">
        <f>SUMIFS('CWO Bulan Ini'!$DC:$DC,'CWO Bulan Ini'!$DJ:$DJ,'Area-Cabang'!$B132,'CWO Bulan Ini'!$DH:$DH,'Area-Cabang'!$E132,'CWO Bulan Ini'!$CZ:$CZ,'Area-Cabang'!BU$41)</f>
        <v>0</v>
      </c>
      <c r="BV132" s="56">
        <f>SUMIFS('CWO Bulan Ini'!$DC:$DC,'CWO Bulan Ini'!$DJ:$DJ,'Area-Cabang'!$B132,'CWO Bulan Ini'!$DH:$DH,'Area-Cabang'!$E132,'CWO Bulan Ini'!$CZ:$CZ,'Area-Cabang'!BV$41)</f>
        <v>0</v>
      </c>
      <c r="BW132" s="56">
        <f>SUMIFS('CWO Bulan Ini'!$DC:$DC,'CWO Bulan Ini'!$DJ:$DJ,'Area-Cabang'!$B132,'CWO Bulan Ini'!$DH:$DH,'Area-Cabang'!$E132,'CWO Bulan Ini'!$CZ:$CZ,'Area-Cabang'!BW$41)</f>
        <v>0</v>
      </c>
      <c r="BX132" s="56">
        <f>SUMIFS('CWO Bulan Ini'!$DC:$DC,'CWO Bulan Ini'!$DJ:$DJ,'Area-Cabang'!$B132,'CWO Bulan Ini'!$DH:$DH,'Area-Cabang'!$E132,'CWO Bulan Ini'!$CZ:$CZ,'Area-Cabang'!BX$41)</f>
        <v>0</v>
      </c>
      <c r="BY132" s="56">
        <f>SUMIFS('CWO Bulan Ini'!$DC:$DC,'CWO Bulan Ini'!$DJ:$DJ,'Area-Cabang'!$B132,'CWO Bulan Ini'!$DH:$DH,'Area-Cabang'!$E132,'CWO Bulan Ini'!$CZ:$CZ,'Area-Cabang'!BY$41)</f>
        <v>0</v>
      </c>
      <c r="BZ132" s="56">
        <f>SUMIFS('CWO Bulan Ini'!$DC:$DC,'CWO Bulan Ini'!$DJ:$DJ,'Area-Cabang'!$B132,'CWO Bulan Ini'!$DH:$DH,'Area-Cabang'!$E132,'CWO Bulan Ini'!$CZ:$CZ,'Area-Cabang'!BZ$41)</f>
        <v>0</v>
      </c>
      <c r="CA132" s="56">
        <f>SUMIFS('CWO Bulan Ini'!$DC:$DC,'CWO Bulan Ini'!$DJ:$DJ,'Area-Cabang'!$B132,'CWO Bulan Ini'!$DH:$DH,'Area-Cabang'!$E132,'CWO Bulan Ini'!$CZ:$CZ,'Area-Cabang'!CA$41)</f>
        <v>0</v>
      </c>
      <c r="CB132" s="56">
        <f>SUMIFS('CWO Bulan Ini'!$DC:$DC,'CWO Bulan Ini'!$DJ:$DJ,'Area-Cabang'!$B132,'CWO Bulan Ini'!$DH:$DH,'Area-Cabang'!$E132,'CWO Bulan Ini'!$CZ:$CZ,'Area-Cabang'!CB$41)</f>
        <v>0</v>
      </c>
      <c r="CC132" s="56">
        <f>SUMIFS('CWO Bulan Ini'!$DC:$DC,'CWO Bulan Ini'!$DJ:$DJ,'Area-Cabang'!$B132,'CWO Bulan Ini'!$DH:$DH,'Area-Cabang'!$E132,'CWO Bulan Ini'!$CZ:$CZ,'Area-Cabang'!CC$41)</f>
        <v>0</v>
      </c>
      <c r="CD132" s="56">
        <f>SUMIFS('CWO Bulan Ini'!$DC:$DC,'CWO Bulan Ini'!$DJ:$DJ,'Area-Cabang'!$B132,'CWO Bulan Ini'!$DH:$DH,'Area-Cabang'!$E132,'CWO Bulan Ini'!$CZ:$CZ,'Area-Cabang'!CD$41)</f>
        <v>0</v>
      </c>
      <c r="CE132" s="56">
        <f>SUMIFS('CWO Bulan Ini'!$DC:$DC,'CWO Bulan Ini'!$DJ:$DJ,'Area-Cabang'!$B132,'CWO Bulan Ini'!$DH:$DH,'Area-Cabang'!$E132,'CWO Bulan Ini'!$CZ:$CZ,'Area-Cabang'!CE$41)</f>
        <v>0</v>
      </c>
      <c r="CF132" s="56">
        <f>SUMIFS('CWO Bulan Ini'!$DC:$DC,'CWO Bulan Ini'!$DJ:$DJ,'Area-Cabang'!$B132,'CWO Bulan Ini'!$DH:$DH,'Area-Cabang'!$E132,'CWO Bulan Ini'!$CZ:$CZ,'Area-Cabang'!CF$41)</f>
        <v>0</v>
      </c>
      <c r="CG132" s="56">
        <f>SUMIFS('CWO Bulan Ini'!$DC:$DC,'CWO Bulan Ini'!$DJ:$DJ,'Area-Cabang'!$B132,'CWO Bulan Ini'!$DH:$DH,'Area-Cabang'!$E132,'CWO Bulan Ini'!$CZ:$CZ,'Area-Cabang'!CG$41)</f>
        <v>0</v>
      </c>
      <c r="CH132" s="56">
        <f>SUMIFS('CWO Bulan Ini'!$DC:$DC,'CWO Bulan Ini'!$DJ:$DJ,'Area-Cabang'!$B132,'CWO Bulan Ini'!$DH:$DH,'Area-Cabang'!$E132,'CWO Bulan Ini'!$CZ:$CZ,'Area-Cabang'!CH$41)</f>
        <v>0</v>
      </c>
      <c r="CI132" s="56">
        <f>SUMIFS('CWO Bulan Ini'!$DC:$DC,'CWO Bulan Ini'!$DJ:$DJ,'Area-Cabang'!$B132,'CWO Bulan Ini'!$DH:$DH,'Area-Cabang'!$E132,'CWO Bulan Ini'!$CZ:$CZ,'Area-Cabang'!CI$41)</f>
        <v>0</v>
      </c>
      <c r="CJ132" s="56">
        <f>SUMIFS('CWO Bulan Ini'!$DC:$DC,'CWO Bulan Ini'!$DJ:$DJ,'Area-Cabang'!$B132,'CWO Bulan Ini'!$DH:$DH,'Area-Cabang'!$E132,'CWO Bulan Ini'!$CZ:$CZ,'Area-Cabang'!CJ$41)</f>
        <v>0</v>
      </c>
      <c r="CK132" s="56">
        <f>SUMIFS('CWO Bulan Ini'!$DC:$DC,'CWO Bulan Ini'!$DJ:$DJ,'Area-Cabang'!$B132,'CWO Bulan Ini'!$DH:$DH,'Area-Cabang'!$E132,'CWO Bulan Ini'!$CZ:$CZ,'Area-Cabang'!CK$41)</f>
        <v>0</v>
      </c>
      <c r="CL132" s="56">
        <f>SUMIFS('CWO Bulan Ini'!$DC:$DC,'CWO Bulan Ini'!$DJ:$DJ,'Area-Cabang'!$B132,'CWO Bulan Ini'!$DH:$DH,'Area-Cabang'!$E132,'CWO Bulan Ini'!$CZ:$CZ,'Area-Cabang'!CL$41)</f>
        <v>0</v>
      </c>
      <c r="CM132" s="56">
        <f>SUMIFS('CWO Bulan Ini'!$DC:$DC,'CWO Bulan Ini'!$DJ:$DJ,'Area-Cabang'!$B132,'CWO Bulan Ini'!$DH:$DH,'Area-Cabang'!$E132,'CWO Bulan Ini'!$CZ:$CZ,'Area-Cabang'!CM$41)</f>
        <v>0</v>
      </c>
      <c r="CN132" s="56">
        <f>SUMIFS('CWO Bulan Ini'!$DC:$DC,'CWO Bulan Ini'!$DJ:$DJ,'Area-Cabang'!$B132,'CWO Bulan Ini'!$DH:$DH,'Area-Cabang'!$E132,'CWO Bulan Ini'!$CZ:$CZ,'Area-Cabang'!CN$41)</f>
        <v>0</v>
      </c>
      <c r="CO132" s="56">
        <f>SUMIFS('CWO Bulan Ini'!$DC:$DC,'CWO Bulan Ini'!$DJ:$DJ,'Area-Cabang'!$B132,'CWO Bulan Ini'!$DH:$DH,'Area-Cabang'!$E132,'CWO Bulan Ini'!$CZ:$CZ,'Area-Cabang'!CO$41)</f>
        <v>0</v>
      </c>
      <c r="CP132" s="56">
        <f>SUMIFS('CWO Bulan Ini'!$DC:$DC,'CWO Bulan Ini'!$DJ:$DJ,'Area-Cabang'!$B132,'CWO Bulan Ini'!$DH:$DH,'Area-Cabang'!$E132,'CWO Bulan Ini'!$CZ:$CZ,'Area-Cabang'!CP$41)</f>
        <v>0</v>
      </c>
      <c r="CQ132" s="56">
        <f>SUMIFS('CWO Bulan Ini'!$DC:$DC,'CWO Bulan Ini'!$DJ:$DJ,'Area-Cabang'!$B132,'CWO Bulan Ini'!$DH:$DH,'Area-Cabang'!$E132,'CWO Bulan Ini'!$CZ:$CZ,'Area-Cabang'!CQ$41)</f>
        <v>0</v>
      </c>
      <c r="CR132" s="56">
        <f>SUMIFS('CWO Bulan Ini'!$DC:$DC,'CWO Bulan Ini'!$DJ:$DJ,'Area-Cabang'!$B132,'CWO Bulan Ini'!$DH:$DH,'Area-Cabang'!$E132,'CWO Bulan Ini'!$CZ:$CZ,'Area-Cabang'!CR$41)</f>
        <v>0</v>
      </c>
      <c r="CS132" s="56">
        <f>SUMIFS('CWO Bulan Ini'!$DC:$DC,'CWO Bulan Ini'!$DJ:$DJ,'Area-Cabang'!$B132,'CWO Bulan Ini'!$DH:$DH,'Area-Cabang'!$E132,'CWO Bulan Ini'!$CZ:$CZ,'Area-Cabang'!CS$41)</f>
        <v>0</v>
      </c>
      <c r="CT132" s="57">
        <f>SUMIFS('CWO Bulan Ini'!$DC:$DC,'CWO Bulan Ini'!$DJ:$DJ,'Area-Cabang'!$B132,'CWO Bulan Ini'!$DH:$DH,'Area-Cabang'!$E132,'CWO Bulan Ini'!$CZ:$CZ,'Area-Cabang'!CT$41)</f>
        <v>0</v>
      </c>
      <c r="CV132" s="97">
        <f t="shared" ref="CV132:CV133" si="4071">SUM(F132:AJ132)</f>
        <v>3.5373160800000001</v>
      </c>
      <c r="CW132" s="98">
        <f t="shared" ref="CW132:CW133" si="4072">SUM(AK132:BO132)</f>
        <v>0</v>
      </c>
      <c r="CX132" s="98">
        <f t="shared" ref="CX132:CX133" si="4073">SUM(BP132:CT132)</f>
        <v>0</v>
      </c>
      <c r="CY132" s="98">
        <f t="shared" ref="CY132:CY133" si="4074">CV132-CW132-CX132</f>
        <v>3.5373160800000001</v>
      </c>
      <c r="CZ132" s="105">
        <f t="shared" ref="CZ132:CZ133" si="4075">CY132+CW132</f>
        <v>3.5373160800000001</v>
      </c>
    </row>
    <row r="133" spans="1:104" ht="15" customHeight="1" x14ac:dyDescent="0.25">
      <c r="A133" s="58" t="s">
        <v>454</v>
      </c>
      <c r="B133" s="58" t="s">
        <v>309</v>
      </c>
      <c r="C133" s="250"/>
      <c r="D133" s="244"/>
      <c r="E133" s="40" t="s">
        <v>349</v>
      </c>
      <c r="F133" s="41">
        <f>SUMIFS('CWO Bulan Ini'!$DA:$DA,'CWO Bulan Ini'!$DJ:$DJ,'Area-Cabang'!$B133,'CWO Bulan Ini'!$DH:$DH,'Area-Cabang'!$E133,'CWO Bulan Ini'!$CZ:$CZ,'Area-Cabang'!F$41)</f>
        <v>0</v>
      </c>
      <c r="G133" s="42">
        <f>SUMIFS('CWO Bulan Ini'!$DA:$DA,'CWO Bulan Ini'!$DJ:$DJ,'Area-Cabang'!$B133,'CWO Bulan Ini'!$DH:$DH,'Area-Cabang'!$E133,'CWO Bulan Ini'!$CZ:$CZ,'Area-Cabang'!G$41)</f>
        <v>0</v>
      </c>
      <c r="H133" s="42">
        <f>SUMIFS('CWO Bulan Ini'!$DA:$DA,'CWO Bulan Ini'!$DJ:$DJ,'Area-Cabang'!$B133,'CWO Bulan Ini'!$DH:$DH,'Area-Cabang'!$E133,'CWO Bulan Ini'!$CZ:$CZ,'Area-Cabang'!H$41)</f>
        <v>0</v>
      </c>
      <c r="I133" s="42">
        <f>SUMIFS('CWO Bulan Ini'!$DA:$DA,'CWO Bulan Ini'!$DJ:$DJ,'Area-Cabang'!$B133,'CWO Bulan Ini'!$DH:$DH,'Area-Cabang'!$E133,'CWO Bulan Ini'!$CZ:$CZ,'Area-Cabang'!I$41)</f>
        <v>0</v>
      </c>
      <c r="J133" s="42">
        <f>SUMIFS('CWO Bulan Ini'!$DA:$DA,'CWO Bulan Ini'!$DJ:$DJ,'Area-Cabang'!$B133,'CWO Bulan Ini'!$DH:$DH,'Area-Cabang'!$E133,'CWO Bulan Ini'!$CZ:$CZ,'Area-Cabang'!J$41)</f>
        <v>0</v>
      </c>
      <c r="K133" s="42">
        <f>SUMIFS('CWO Bulan Ini'!$DA:$DA,'CWO Bulan Ini'!$DJ:$DJ,'Area-Cabang'!$B133,'CWO Bulan Ini'!$DH:$DH,'Area-Cabang'!$E133,'CWO Bulan Ini'!$CZ:$CZ,'Area-Cabang'!K$41)</f>
        <v>0</v>
      </c>
      <c r="L133" s="42">
        <f>SUMIFS('CWO Bulan Ini'!$DA:$DA,'CWO Bulan Ini'!$DJ:$DJ,'Area-Cabang'!$B133,'CWO Bulan Ini'!$DH:$DH,'Area-Cabang'!$E133,'CWO Bulan Ini'!$CZ:$CZ,'Area-Cabang'!L$41)</f>
        <v>0</v>
      </c>
      <c r="M133" s="42">
        <f>SUMIFS('CWO Bulan Ini'!$DA:$DA,'CWO Bulan Ini'!$DJ:$DJ,'Area-Cabang'!$B133,'CWO Bulan Ini'!$DH:$DH,'Area-Cabang'!$E133,'CWO Bulan Ini'!$CZ:$CZ,'Area-Cabang'!M$41)</f>
        <v>0</v>
      </c>
      <c r="N133" s="42">
        <f>SUMIFS('CWO Bulan Ini'!$DA:$DA,'CWO Bulan Ini'!$DJ:$DJ,'Area-Cabang'!$B133,'CWO Bulan Ini'!$DH:$DH,'Area-Cabang'!$E133,'CWO Bulan Ini'!$CZ:$CZ,'Area-Cabang'!N$41)</f>
        <v>0</v>
      </c>
      <c r="O133" s="42">
        <f>SUMIFS('CWO Bulan Ini'!$DA:$DA,'CWO Bulan Ini'!$DJ:$DJ,'Area-Cabang'!$B133,'CWO Bulan Ini'!$DH:$DH,'Area-Cabang'!$E133,'CWO Bulan Ini'!$CZ:$CZ,'Area-Cabang'!O$41)</f>
        <v>0</v>
      </c>
      <c r="P133" s="42">
        <f>SUMIFS('CWO Bulan Ini'!$DA:$DA,'CWO Bulan Ini'!$DJ:$DJ,'Area-Cabang'!$B133,'CWO Bulan Ini'!$DH:$DH,'Area-Cabang'!$E133,'CWO Bulan Ini'!$CZ:$CZ,'Area-Cabang'!P$41)</f>
        <v>0</v>
      </c>
      <c r="Q133" s="42">
        <f>SUMIFS('CWO Bulan Ini'!$DA:$DA,'CWO Bulan Ini'!$DJ:$DJ,'Area-Cabang'!$B133,'CWO Bulan Ini'!$DH:$DH,'Area-Cabang'!$E133,'CWO Bulan Ini'!$CZ:$CZ,'Area-Cabang'!Q$41)</f>
        <v>0</v>
      </c>
      <c r="R133" s="42">
        <f>SUMIFS('CWO Bulan Ini'!$DA:$DA,'CWO Bulan Ini'!$DJ:$DJ,'Area-Cabang'!$B133,'CWO Bulan Ini'!$DH:$DH,'Area-Cabang'!$E133,'CWO Bulan Ini'!$CZ:$CZ,'Area-Cabang'!R$41)</f>
        <v>0</v>
      </c>
      <c r="S133" s="42">
        <f>SUMIFS('CWO Bulan Ini'!$DA:$DA,'CWO Bulan Ini'!$DJ:$DJ,'Area-Cabang'!$B133,'CWO Bulan Ini'!$DH:$DH,'Area-Cabang'!$E133,'CWO Bulan Ini'!$CZ:$CZ,'Area-Cabang'!S$41)</f>
        <v>0</v>
      </c>
      <c r="T133" s="42">
        <f>SUMIFS('CWO Bulan Ini'!$DA:$DA,'CWO Bulan Ini'!$DJ:$DJ,'Area-Cabang'!$B133,'CWO Bulan Ini'!$DH:$DH,'Area-Cabang'!$E133,'CWO Bulan Ini'!$CZ:$CZ,'Area-Cabang'!T$41)</f>
        <v>0</v>
      </c>
      <c r="U133" s="42">
        <f>SUMIFS('CWO Bulan Ini'!$DA:$DA,'CWO Bulan Ini'!$DJ:$DJ,'Area-Cabang'!$B133,'CWO Bulan Ini'!$DH:$DH,'Area-Cabang'!$E133,'CWO Bulan Ini'!$CZ:$CZ,'Area-Cabang'!U$41)</f>
        <v>0</v>
      </c>
      <c r="V133" s="42">
        <f>SUMIFS('CWO Bulan Ini'!$DA:$DA,'CWO Bulan Ini'!$DJ:$DJ,'Area-Cabang'!$B133,'CWO Bulan Ini'!$DH:$DH,'Area-Cabang'!$E133,'CWO Bulan Ini'!$CZ:$CZ,'Area-Cabang'!V$41)</f>
        <v>0</v>
      </c>
      <c r="W133" s="42">
        <f>SUMIFS('CWO Bulan Ini'!$DA:$DA,'CWO Bulan Ini'!$DJ:$DJ,'Area-Cabang'!$B133,'CWO Bulan Ini'!$DH:$DH,'Area-Cabang'!$E133,'CWO Bulan Ini'!$CZ:$CZ,'Area-Cabang'!W$41)</f>
        <v>0</v>
      </c>
      <c r="X133" s="42">
        <f>SUMIFS('CWO Bulan Ini'!$DA:$DA,'CWO Bulan Ini'!$DJ:$DJ,'Area-Cabang'!$B133,'CWO Bulan Ini'!$DH:$DH,'Area-Cabang'!$E133,'CWO Bulan Ini'!$CZ:$CZ,'Area-Cabang'!X$41)</f>
        <v>0</v>
      </c>
      <c r="Y133" s="42">
        <f>SUMIFS('CWO Bulan Ini'!$DA:$DA,'CWO Bulan Ini'!$DJ:$DJ,'Area-Cabang'!$B133,'CWO Bulan Ini'!$DH:$DH,'Area-Cabang'!$E133,'CWO Bulan Ini'!$CZ:$CZ,'Area-Cabang'!Y$41)</f>
        <v>0</v>
      </c>
      <c r="Z133" s="42">
        <f>SUMIFS('CWO Bulan Ini'!$DA:$DA,'CWO Bulan Ini'!$DJ:$DJ,'Area-Cabang'!$B133,'CWO Bulan Ini'!$DH:$DH,'Area-Cabang'!$E133,'CWO Bulan Ini'!$CZ:$CZ,'Area-Cabang'!Z$41)</f>
        <v>0</v>
      </c>
      <c r="AA133" s="42">
        <f>SUMIFS('CWO Bulan Ini'!$DA:$DA,'CWO Bulan Ini'!$DJ:$DJ,'Area-Cabang'!$B133,'CWO Bulan Ini'!$DH:$DH,'Area-Cabang'!$E133,'CWO Bulan Ini'!$CZ:$CZ,'Area-Cabang'!AA$41)</f>
        <v>0</v>
      </c>
      <c r="AB133" s="42">
        <f>SUMIFS('CWO Bulan Ini'!$DA:$DA,'CWO Bulan Ini'!$DJ:$DJ,'Area-Cabang'!$B133,'CWO Bulan Ini'!$DH:$DH,'Area-Cabang'!$E133,'CWO Bulan Ini'!$CZ:$CZ,'Area-Cabang'!AB$41)</f>
        <v>0</v>
      </c>
      <c r="AC133" s="42">
        <f>SUMIFS('CWO Bulan Ini'!$DA:$DA,'CWO Bulan Ini'!$DJ:$DJ,'Area-Cabang'!$B133,'CWO Bulan Ini'!$DH:$DH,'Area-Cabang'!$E133,'CWO Bulan Ini'!$CZ:$CZ,'Area-Cabang'!AC$41)</f>
        <v>0</v>
      </c>
      <c r="AD133" s="42">
        <f>SUMIFS('CWO Bulan Ini'!$DA:$DA,'CWO Bulan Ini'!$DJ:$DJ,'Area-Cabang'!$B133,'CWO Bulan Ini'!$DH:$DH,'Area-Cabang'!$E133,'CWO Bulan Ini'!$CZ:$CZ,'Area-Cabang'!AD$41)</f>
        <v>0</v>
      </c>
      <c r="AE133" s="42">
        <f>SUMIFS('CWO Bulan Ini'!$DA:$DA,'CWO Bulan Ini'!$DJ:$DJ,'Area-Cabang'!$B133,'CWO Bulan Ini'!$DH:$DH,'Area-Cabang'!$E133,'CWO Bulan Ini'!$CZ:$CZ,'Area-Cabang'!AE$41)</f>
        <v>0</v>
      </c>
      <c r="AF133" s="42">
        <f>SUMIFS('CWO Bulan Ini'!$DA:$DA,'CWO Bulan Ini'!$DJ:$DJ,'Area-Cabang'!$B133,'CWO Bulan Ini'!$DH:$DH,'Area-Cabang'!$E133,'CWO Bulan Ini'!$CZ:$CZ,'Area-Cabang'!AF$41)</f>
        <v>0</v>
      </c>
      <c r="AG133" s="42">
        <f>SUMIFS('CWO Bulan Ini'!$DA:$DA,'CWO Bulan Ini'!$DJ:$DJ,'Area-Cabang'!$B133,'CWO Bulan Ini'!$DH:$DH,'Area-Cabang'!$E133,'CWO Bulan Ini'!$CZ:$CZ,'Area-Cabang'!AG$41)</f>
        <v>0</v>
      </c>
      <c r="AH133" s="42">
        <f>SUMIFS('CWO Bulan Ini'!$DA:$DA,'CWO Bulan Ini'!$DJ:$DJ,'Area-Cabang'!$B133,'CWO Bulan Ini'!$DH:$DH,'Area-Cabang'!$E133,'CWO Bulan Ini'!$CZ:$CZ,'Area-Cabang'!AH$41)</f>
        <v>0</v>
      </c>
      <c r="AI133" s="42">
        <f>SUMIFS('CWO Bulan Ini'!$DA:$DA,'CWO Bulan Ini'!$DJ:$DJ,'Area-Cabang'!$B133,'CWO Bulan Ini'!$DH:$DH,'Area-Cabang'!$E133,'CWO Bulan Ini'!$CZ:$CZ,'Area-Cabang'!AI$41)</f>
        <v>0</v>
      </c>
      <c r="AJ133" s="42">
        <f>SUMIFS('CWO Bulan Ini'!$DA:$DA,'CWO Bulan Ini'!$DJ:$DJ,'Area-Cabang'!$B133,'CWO Bulan Ini'!$DH:$DH,'Area-Cabang'!$E133,'CWO Bulan Ini'!$CZ:$CZ,'Area-Cabang'!AJ$41)</f>
        <v>0</v>
      </c>
      <c r="AK133" s="41">
        <f>SUMIFS('CWO Bulan Ini'!$DD:$DD,'CWO Bulan Ini'!$DJ:$DJ,'Area-Cabang'!$B133,'CWO Bulan Ini'!$DH:$DH,'Area-Cabang'!$E133,'CWO Bulan Ini'!$CZ:$CZ,'Area-Cabang'!AK$41)</f>
        <v>0</v>
      </c>
      <c r="AL133" s="42">
        <f>SUMIFS('CWO Bulan Ini'!$DD:$DD,'CWO Bulan Ini'!$DJ:$DJ,'Area-Cabang'!$B133,'CWO Bulan Ini'!$DH:$DH,'Area-Cabang'!$E133,'CWO Bulan Ini'!$CZ:$CZ,'Area-Cabang'!AL$41)</f>
        <v>0</v>
      </c>
      <c r="AM133" s="42">
        <f>SUMIFS('CWO Bulan Ini'!$DD:$DD,'CWO Bulan Ini'!$DJ:$DJ,'Area-Cabang'!$B133,'CWO Bulan Ini'!$DH:$DH,'Area-Cabang'!$E133,'CWO Bulan Ini'!$CZ:$CZ,'Area-Cabang'!AM$41)</f>
        <v>0</v>
      </c>
      <c r="AN133" s="42">
        <f>SUMIFS('CWO Bulan Ini'!$DD:$DD,'CWO Bulan Ini'!$DJ:$DJ,'Area-Cabang'!$B133,'CWO Bulan Ini'!$DH:$DH,'Area-Cabang'!$E133,'CWO Bulan Ini'!$CZ:$CZ,'Area-Cabang'!AN$41)</f>
        <v>0</v>
      </c>
      <c r="AO133" s="42">
        <f>SUMIFS('CWO Bulan Ini'!$DD:$DD,'CWO Bulan Ini'!$DJ:$DJ,'Area-Cabang'!$B133,'CWO Bulan Ini'!$DH:$DH,'Area-Cabang'!$E133,'CWO Bulan Ini'!$CZ:$CZ,'Area-Cabang'!AO$41)</f>
        <v>0</v>
      </c>
      <c r="AP133" s="42">
        <f>SUMIFS('CWO Bulan Ini'!$DD:$DD,'CWO Bulan Ini'!$DJ:$DJ,'Area-Cabang'!$B133,'CWO Bulan Ini'!$DH:$DH,'Area-Cabang'!$E133,'CWO Bulan Ini'!$CZ:$CZ,'Area-Cabang'!AP$41)</f>
        <v>0</v>
      </c>
      <c r="AQ133" s="42">
        <f>SUMIFS('CWO Bulan Ini'!$DD:$DD,'CWO Bulan Ini'!$DJ:$DJ,'Area-Cabang'!$B133,'CWO Bulan Ini'!$DH:$DH,'Area-Cabang'!$E133,'CWO Bulan Ini'!$CZ:$CZ,'Area-Cabang'!AQ$41)</f>
        <v>0</v>
      </c>
      <c r="AR133" s="42">
        <f>SUMIFS('CWO Bulan Ini'!$DD:$DD,'CWO Bulan Ini'!$DJ:$DJ,'Area-Cabang'!$B133,'CWO Bulan Ini'!$DH:$DH,'Area-Cabang'!$E133,'CWO Bulan Ini'!$CZ:$CZ,'Area-Cabang'!AR$41)</f>
        <v>0</v>
      </c>
      <c r="AS133" s="42">
        <f>SUMIFS('CWO Bulan Ini'!$DD:$DD,'CWO Bulan Ini'!$DJ:$DJ,'Area-Cabang'!$B133,'CWO Bulan Ini'!$DH:$DH,'Area-Cabang'!$E133,'CWO Bulan Ini'!$CZ:$CZ,'Area-Cabang'!AS$41)</f>
        <v>0</v>
      </c>
      <c r="AT133" s="42">
        <f>SUMIFS('CWO Bulan Ini'!$DD:$DD,'CWO Bulan Ini'!$DJ:$DJ,'Area-Cabang'!$B133,'CWO Bulan Ini'!$DH:$DH,'Area-Cabang'!$E133,'CWO Bulan Ini'!$CZ:$CZ,'Area-Cabang'!AT$41)</f>
        <v>0</v>
      </c>
      <c r="AU133" s="42">
        <f>SUMIFS('CWO Bulan Ini'!$DD:$DD,'CWO Bulan Ini'!$DJ:$DJ,'Area-Cabang'!$B133,'CWO Bulan Ini'!$DH:$DH,'Area-Cabang'!$E133,'CWO Bulan Ini'!$CZ:$CZ,'Area-Cabang'!AU$41)</f>
        <v>0</v>
      </c>
      <c r="AV133" s="42">
        <f>SUMIFS('CWO Bulan Ini'!$DD:$DD,'CWO Bulan Ini'!$DJ:$DJ,'Area-Cabang'!$B133,'CWO Bulan Ini'!$DH:$DH,'Area-Cabang'!$E133,'CWO Bulan Ini'!$CZ:$CZ,'Area-Cabang'!AV$41)</f>
        <v>0</v>
      </c>
      <c r="AW133" s="42">
        <f>SUMIFS('CWO Bulan Ini'!$DD:$DD,'CWO Bulan Ini'!$DJ:$DJ,'Area-Cabang'!$B133,'CWO Bulan Ini'!$DH:$DH,'Area-Cabang'!$E133,'CWO Bulan Ini'!$CZ:$CZ,'Area-Cabang'!AW$41)</f>
        <v>0</v>
      </c>
      <c r="AX133" s="42">
        <f>SUMIFS('CWO Bulan Ini'!$DD:$DD,'CWO Bulan Ini'!$DJ:$DJ,'Area-Cabang'!$B133,'CWO Bulan Ini'!$DH:$DH,'Area-Cabang'!$E133,'CWO Bulan Ini'!$CZ:$CZ,'Area-Cabang'!AX$41)</f>
        <v>0</v>
      </c>
      <c r="AY133" s="42">
        <f>SUMIFS('CWO Bulan Ini'!$DD:$DD,'CWO Bulan Ini'!$DJ:$DJ,'Area-Cabang'!$B133,'CWO Bulan Ini'!$DH:$DH,'Area-Cabang'!$E133,'CWO Bulan Ini'!$CZ:$CZ,'Area-Cabang'!AY$41)</f>
        <v>0</v>
      </c>
      <c r="AZ133" s="42">
        <f>SUMIFS('CWO Bulan Ini'!$DD:$DD,'CWO Bulan Ini'!$DJ:$DJ,'Area-Cabang'!$B133,'CWO Bulan Ini'!$DH:$DH,'Area-Cabang'!$E133,'CWO Bulan Ini'!$CZ:$CZ,'Area-Cabang'!AZ$41)</f>
        <v>0</v>
      </c>
      <c r="BA133" s="42">
        <f>SUMIFS('CWO Bulan Ini'!$DD:$DD,'CWO Bulan Ini'!$DJ:$DJ,'Area-Cabang'!$B133,'CWO Bulan Ini'!$DH:$DH,'Area-Cabang'!$E133,'CWO Bulan Ini'!$CZ:$CZ,'Area-Cabang'!BA$41)</f>
        <v>0</v>
      </c>
      <c r="BB133" s="42">
        <f>SUMIFS('CWO Bulan Ini'!$DD:$DD,'CWO Bulan Ini'!$DJ:$DJ,'Area-Cabang'!$B133,'CWO Bulan Ini'!$DH:$DH,'Area-Cabang'!$E133,'CWO Bulan Ini'!$CZ:$CZ,'Area-Cabang'!BB$41)</f>
        <v>0</v>
      </c>
      <c r="BC133" s="42">
        <f>SUMIFS('CWO Bulan Ini'!$DD:$DD,'CWO Bulan Ini'!$DJ:$DJ,'Area-Cabang'!$B133,'CWO Bulan Ini'!$DH:$DH,'Area-Cabang'!$E133,'CWO Bulan Ini'!$CZ:$CZ,'Area-Cabang'!BC$41)</f>
        <v>0</v>
      </c>
      <c r="BD133" s="42">
        <f>SUMIFS('CWO Bulan Ini'!$DD:$DD,'CWO Bulan Ini'!$DJ:$DJ,'Area-Cabang'!$B133,'CWO Bulan Ini'!$DH:$DH,'Area-Cabang'!$E133,'CWO Bulan Ini'!$CZ:$CZ,'Area-Cabang'!BD$41)</f>
        <v>0</v>
      </c>
      <c r="BE133" s="42">
        <f>SUMIFS('CWO Bulan Ini'!$DD:$DD,'CWO Bulan Ini'!$DJ:$DJ,'Area-Cabang'!$B133,'CWO Bulan Ini'!$DH:$DH,'Area-Cabang'!$E133,'CWO Bulan Ini'!$CZ:$CZ,'Area-Cabang'!BE$41)</f>
        <v>0</v>
      </c>
      <c r="BF133" s="42">
        <f>SUMIFS('CWO Bulan Ini'!$DD:$DD,'CWO Bulan Ini'!$DJ:$DJ,'Area-Cabang'!$B133,'CWO Bulan Ini'!$DH:$DH,'Area-Cabang'!$E133,'CWO Bulan Ini'!$CZ:$CZ,'Area-Cabang'!BF$41)</f>
        <v>0</v>
      </c>
      <c r="BG133" s="42">
        <f>SUMIFS('CWO Bulan Ini'!$DD:$DD,'CWO Bulan Ini'!$DJ:$DJ,'Area-Cabang'!$B133,'CWO Bulan Ini'!$DH:$DH,'Area-Cabang'!$E133,'CWO Bulan Ini'!$CZ:$CZ,'Area-Cabang'!BG$41)</f>
        <v>0</v>
      </c>
      <c r="BH133" s="42">
        <f>SUMIFS('CWO Bulan Ini'!$DD:$DD,'CWO Bulan Ini'!$DJ:$DJ,'Area-Cabang'!$B133,'CWO Bulan Ini'!$DH:$DH,'Area-Cabang'!$E133,'CWO Bulan Ini'!$CZ:$CZ,'Area-Cabang'!BH$41)</f>
        <v>0</v>
      </c>
      <c r="BI133" s="42">
        <f>SUMIFS('CWO Bulan Ini'!$DD:$DD,'CWO Bulan Ini'!$DJ:$DJ,'Area-Cabang'!$B133,'CWO Bulan Ini'!$DH:$DH,'Area-Cabang'!$E133,'CWO Bulan Ini'!$CZ:$CZ,'Area-Cabang'!BI$41)</f>
        <v>0</v>
      </c>
      <c r="BJ133" s="42">
        <f>SUMIFS('CWO Bulan Ini'!$DD:$DD,'CWO Bulan Ini'!$DJ:$DJ,'Area-Cabang'!$B133,'CWO Bulan Ini'!$DH:$DH,'Area-Cabang'!$E133,'CWO Bulan Ini'!$CZ:$CZ,'Area-Cabang'!BJ$41)</f>
        <v>0</v>
      </c>
      <c r="BK133" s="42">
        <f>SUMIFS('CWO Bulan Ini'!$DD:$DD,'CWO Bulan Ini'!$DJ:$DJ,'Area-Cabang'!$B133,'CWO Bulan Ini'!$DH:$DH,'Area-Cabang'!$E133,'CWO Bulan Ini'!$CZ:$CZ,'Area-Cabang'!BK$41)</f>
        <v>0</v>
      </c>
      <c r="BL133" s="42">
        <f>SUMIFS('CWO Bulan Ini'!$DD:$DD,'CWO Bulan Ini'!$DJ:$DJ,'Area-Cabang'!$B133,'CWO Bulan Ini'!$DH:$DH,'Area-Cabang'!$E133,'CWO Bulan Ini'!$CZ:$CZ,'Area-Cabang'!BL$41)</f>
        <v>0</v>
      </c>
      <c r="BM133" s="42">
        <f>SUMIFS('CWO Bulan Ini'!$DD:$DD,'CWO Bulan Ini'!$DJ:$DJ,'Area-Cabang'!$B133,'CWO Bulan Ini'!$DH:$DH,'Area-Cabang'!$E133,'CWO Bulan Ini'!$CZ:$CZ,'Area-Cabang'!BM$41)</f>
        <v>0</v>
      </c>
      <c r="BN133" s="42">
        <f>SUMIFS('CWO Bulan Ini'!$DD:$DD,'CWO Bulan Ini'!$DJ:$DJ,'Area-Cabang'!$B133,'CWO Bulan Ini'!$DH:$DH,'Area-Cabang'!$E133,'CWO Bulan Ini'!$CZ:$CZ,'Area-Cabang'!BN$41)</f>
        <v>0</v>
      </c>
      <c r="BO133" s="43">
        <f>SUMIFS('CWO Bulan Ini'!$DD:$DD,'CWO Bulan Ini'!$DJ:$DJ,'Area-Cabang'!$B133,'CWO Bulan Ini'!$DH:$DH,'Area-Cabang'!$E133,'CWO Bulan Ini'!$CZ:$CZ,'Area-Cabang'!BO$41)</f>
        <v>0</v>
      </c>
      <c r="BP133" s="41">
        <f>SUMIFS('CWO Bulan Ini'!$DC:$DC,'CWO Bulan Ini'!$DJ:$DJ,'Area-Cabang'!$B133,'CWO Bulan Ini'!$DH:$DH,'Area-Cabang'!$E133,'CWO Bulan Ini'!$CZ:$CZ,'Area-Cabang'!BP$41)</f>
        <v>0</v>
      </c>
      <c r="BQ133" s="42">
        <f>SUMIFS('CWO Bulan Ini'!$DC:$DC,'CWO Bulan Ini'!$DJ:$DJ,'Area-Cabang'!$B133,'CWO Bulan Ini'!$DH:$DH,'Area-Cabang'!$E133,'CWO Bulan Ini'!$CZ:$CZ,'Area-Cabang'!BQ$41)</f>
        <v>0</v>
      </c>
      <c r="BR133" s="42">
        <f>SUMIFS('CWO Bulan Ini'!$DC:$DC,'CWO Bulan Ini'!$DJ:$DJ,'Area-Cabang'!$B133,'CWO Bulan Ini'!$DH:$DH,'Area-Cabang'!$E133,'CWO Bulan Ini'!$CZ:$CZ,'Area-Cabang'!BR$41)</f>
        <v>0</v>
      </c>
      <c r="BS133" s="42">
        <f>SUMIFS('CWO Bulan Ini'!$DC:$DC,'CWO Bulan Ini'!$DJ:$DJ,'Area-Cabang'!$B133,'CWO Bulan Ini'!$DH:$DH,'Area-Cabang'!$E133,'CWO Bulan Ini'!$CZ:$CZ,'Area-Cabang'!BS$41)</f>
        <v>0</v>
      </c>
      <c r="BT133" s="42">
        <f>SUMIFS('CWO Bulan Ini'!$DC:$DC,'CWO Bulan Ini'!$DJ:$DJ,'Area-Cabang'!$B133,'CWO Bulan Ini'!$DH:$DH,'Area-Cabang'!$E133,'CWO Bulan Ini'!$CZ:$CZ,'Area-Cabang'!BT$41)</f>
        <v>0</v>
      </c>
      <c r="BU133" s="42">
        <f>SUMIFS('CWO Bulan Ini'!$DC:$DC,'CWO Bulan Ini'!$DJ:$DJ,'Area-Cabang'!$B133,'CWO Bulan Ini'!$DH:$DH,'Area-Cabang'!$E133,'CWO Bulan Ini'!$CZ:$CZ,'Area-Cabang'!BU$41)</f>
        <v>0</v>
      </c>
      <c r="BV133" s="42">
        <f>SUMIFS('CWO Bulan Ini'!$DC:$DC,'CWO Bulan Ini'!$DJ:$DJ,'Area-Cabang'!$B133,'CWO Bulan Ini'!$DH:$DH,'Area-Cabang'!$E133,'CWO Bulan Ini'!$CZ:$CZ,'Area-Cabang'!BV$41)</f>
        <v>0</v>
      </c>
      <c r="BW133" s="42">
        <f>SUMIFS('CWO Bulan Ini'!$DC:$DC,'CWO Bulan Ini'!$DJ:$DJ,'Area-Cabang'!$B133,'CWO Bulan Ini'!$DH:$DH,'Area-Cabang'!$E133,'CWO Bulan Ini'!$CZ:$CZ,'Area-Cabang'!BW$41)</f>
        <v>0</v>
      </c>
      <c r="BX133" s="42">
        <f>SUMIFS('CWO Bulan Ini'!$DC:$DC,'CWO Bulan Ini'!$DJ:$DJ,'Area-Cabang'!$B133,'CWO Bulan Ini'!$DH:$DH,'Area-Cabang'!$E133,'CWO Bulan Ini'!$CZ:$CZ,'Area-Cabang'!BX$41)</f>
        <v>0</v>
      </c>
      <c r="BY133" s="42">
        <f>SUMIFS('CWO Bulan Ini'!$DC:$DC,'CWO Bulan Ini'!$DJ:$DJ,'Area-Cabang'!$B133,'CWO Bulan Ini'!$DH:$DH,'Area-Cabang'!$E133,'CWO Bulan Ini'!$CZ:$CZ,'Area-Cabang'!BY$41)</f>
        <v>0</v>
      </c>
      <c r="BZ133" s="42">
        <f>SUMIFS('CWO Bulan Ini'!$DC:$DC,'CWO Bulan Ini'!$DJ:$DJ,'Area-Cabang'!$B133,'CWO Bulan Ini'!$DH:$DH,'Area-Cabang'!$E133,'CWO Bulan Ini'!$CZ:$CZ,'Area-Cabang'!BZ$41)</f>
        <v>0</v>
      </c>
      <c r="CA133" s="42">
        <f>SUMIFS('CWO Bulan Ini'!$DC:$DC,'CWO Bulan Ini'!$DJ:$DJ,'Area-Cabang'!$B133,'CWO Bulan Ini'!$DH:$DH,'Area-Cabang'!$E133,'CWO Bulan Ini'!$CZ:$CZ,'Area-Cabang'!CA$41)</f>
        <v>0</v>
      </c>
      <c r="CB133" s="42">
        <f>SUMIFS('CWO Bulan Ini'!$DC:$DC,'CWO Bulan Ini'!$DJ:$DJ,'Area-Cabang'!$B133,'CWO Bulan Ini'!$DH:$DH,'Area-Cabang'!$E133,'CWO Bulan Ini'!$CZ:$CZ,'Area-Cabang'!CB$41)</f>
        <v>0</v>
      </c>
      <c r="CC133" s="42">
        <f>SUMIFS('CWO Bulan Ini'!$DC:$DC,'CWO Bulan Ini'!$DJ:$DJ,'Area-Cabang'!$B133,'CWO Bulan Ini'!$DH:$DH,'Area-Cabang'!$E133,'CWO Bulan Ini'!$CZ:$CZ,'Area-Cabang'!CC$41)</f>
        <v>0</v>
      </c>
      <c r="CD133" s="42">
        <f>SUMIFS('CWO Bulan Ini'!$DC:$DC,'CWO Bulan Ini'!$DJ:$DJ,'Area-Cabang'!$B133,'CWO Bulan Ini'!$DH:$DH,'Area-Cabang'!$E133,'CWO Bulan Ini'!$CZ:$CZ,'Area-Cabang'!CD$41)</f>
        <v>0</v>
      </c>
      <c r="CE133" s="42">
        <f>SUMIFS('CWO Bulan Ini'!$DC:$DC,'CWO Bulan Ini'!$DJ:$DJ,'Area-Cabang'!$B133,'CWO Bulan Ini'!$DH:$DH,'Area-Cabang'!$E133,'CWO Bulan Ini'!$CZ:$CZ,'Area-Cabang'!CE$41)</f>
        <v>0</v>
      </c>
      <c r="CF133" s="42">
        <f>SUMIFS('CWO Bulan Ini'!$DC:$DC,'CWO Bulan Ini'!$DJ:$DJ,'Area-Cabang'!$B133,'CWO Bulan Ini'!$DH:$DH,'Area-Cabang'!$E133,'CWO Bulan Ini'!$CZ:$CZ,'Area-Cabang'!CF$41)</f>
        <v>0</v>
      </c>
      <c r="CG133" s="42">
        <f>SUMIFS('CWO Bulan Ini'!$DC:$DC,'CWO Bulan Ini'!$DJ:$DJ,'Area-Cabang'!$B133,'CWO Bulan Ini'!$DH:$DH,'Area-Cabang'!$E133,'CWO Bulan Ini'!$CZ:$CZ,'Area-Cabang'!CG$41)</f>
        <v>0</v>
      </c>
      <c r="CH133" s="42">
        <f>SUMIFS('CWO Bulan Ini'!$DC:$DC,'CWO Bulan Ini'!$DJ:$DJ,'Area-Cabang'!$B133,'CWO Bulan Ini'!$DH:$DH,'Area-Cabang'!$E133,'CWO Bulan Ini'!$CZ:$CZ,'Area-Cabang'!CH$41)</f>
        <v>0</v>
      </c>
      <c r="CI133" s="42">
        <f>SUMIFS('CWO Bulan Ini'!$DC:$DC,'CWO Bulan Ini'!$DJ:$DJ,'Area-Cabang'!$B133,'CWO Bulan Ini'!$DH:$DH,'Area-Cabang'!$E133,'CWO Bulan Ini'!$CZ:$CZ,'Area-Cabang'!CI$41)</f>
        <v>0</v>
      </c>
      <c r="CJ133" s="42">
        <f>SUMIFS('CWO Bulan Ini'!$DC:$DC,'CWO Bulan Ini'!$DJ:$DJ,'Area-Cabang'!$B133,'CWO Bulan Ini'!$DH:$DH,'Area-Cabang'!$E133,'CWO Bulan Ini'!$CZ:$CZ,'Area-Cabang'!CJ$41)</f>
        <v>0</v>
      </c>
      <c r="CK133" s="42">
        <f>SUMIFS('CWO Bulan Ini'!$DC:$DC,'CWO Bulan Ini'!$DJ:$DJ,'Area-Cabang'!$B133,'CWO Bulan Ini'!$DH:$DH,'Area-Cabang'!$E133,'CWO Bulan Ini'!$CZ:$CZ,'Area-Cabang'!CK$41)</f>
        <v>0</v>
      </c>
      <c r="CL133" s="42">
        <f>SUMIFS('CWO Bulan Ini'!$DC:$DC,'CWO Bulan Ini'!$DJ:$DJ,'Area-Cabang'!$B133,'CWO Bulan Ini'!$DH:$DH,'Area-Cabang'!$E133,'CWO Bulan Ini'!$CZ:$CZ,'Area-Cabang'!CL$41)</f>
        <v>0</v>
      </c>
      <c r="CM133" s="42">
        <f>SUMIFS('CWO Bulan Ini'!$DC:$DC,'CWO Bulan Ini'!$DJ:$DJ,'Area-Cabang'!$B133,'CWO Bulan Ini'!$DH:$DH,'Area-Cabang'!$E133,'CWO Bulan Ini'!$CZ:$CZ,'Area-Cabang'!CM$41)</f>
        <v>0</v>
      </c>
      <c r="CN133" s="42">
        <f>SUMIFS('CWO Bulan Ini'!$DC:$DC,'CWO Bulan Ini'!$DJ:$DJ,'Area-Cabang'!$B133,'CWO Bulan Ini'!$DH:$DH,'Area-Cabang'!$E133,'CWO Bulan Ini'!$CZ:$CZ,'Area-Cabang'!CN$41)</f>
        <v>0</v>
      </c>
      <c r="CO133" s="42">
        <f>SUMIFS('CWO Bulan Ini'!$DC:$DC,'CWO Bulan Ini'!$DJ:$DJ,'Area-Cabang'!$B133,'CWO Bulan Ini'!$DH:$DH,'Area-Cabang'!$E133,'CWO Bulan Ini'!$CZ:$CZ,'Area-Cabang'!CO$41)</f>
        <v>0</v>
      </c>
      <c r="CP133" s="42">
        <f>SUMIFS('CWO Bulan Ini'!$DC:$DC,'CWO Bulan Ini'!$DJ:$DJ,'Area-Cabang'!$B133,'CWO Bulan Ini'!$DH:$DH,'Area-Cabang'!$E133,'CWO Bulan Ini'!$CZ:$CZ,'Area-Cabang'!CP$41)</f>
        <v>0</v>
      </c>
      <c r="CQ133" s="42">
        <f>SUMIFS('CWO Bulan Ini'!$DC:$DC,'CWO Bulan Ini'!$DJ:$DJ,'Area-Cabang'!$B133,'CWO Bulan Ini'!$DH:$DH,'Area-Cabang'!$E133,'CWO Bulan Ini'!$CZ:$CZ,'Area-Cabang'!CQ$41)</f>
        <v>0</v>
      </c>
      <c r="CR133" s="42">
        <f>SUMIFS('CWO Bulan Ini'!$DC:$DC,'CWO Bulan Ini'!$DJ:$DJ,'Area-Cabang'!$B133,'CWO Bulan Ini'!$DH:$DH,'Area-Cabang'!$E133,'CWO Bulan Ini'!$CZ:$CZ,'Area-Cabang'!CR$41)</f>
        <v>0</v>
      </c>
      <c r="CS133" s="42">
        <f>SUMIFS('CWO Bulan Ini'!$DC:$DC,'CWO Bulan Ini'!$DJ:$DJ,'Area-Cabang'!$B133,'CWO Bulan Ini'!$DH:$DH,'Area-Cabang'!$E133,'CWO Bulan Ini'!$CZ:$CZ,'Area-Cabang'!CS$41)</f>
        <v>0</v>
      </c>
      <c r="CT133" s="43">
        <f>SUMIFS('CWO Bulan Ini'!$DC:$DC,'CWO Bulan Ini'!$DJ:$DJ,'Area-Cabang'!$B133,'CWO Bulan Ini'!$DH:$DH,'Area-Cabang'!$E133,'CWO Bulan Ini'!$CZ:$CZ,'Area-Cabang'!CT$41)</f>
        <v>0</v>
      </c>
      <c r="CV133" s="96">
        <f t="shared" si="4071"/>
        <v>0</v>
      </c>
      <c r="CW133" s="93">
        <f t="shared" si="4072"/>
        <v>0</v>
      </c>
      <c r="CX133" s="93">
        <f t="shared" si="4073"/>
        <v>0</v>
      </c>
      <c r="CY133" s="93">
        <f t="shared" si="4074"/>
        <v>0</v>
      </c>
      <c r="CZ133" s="106">
        <f t="shared" si="4075"/>
        <v>0</v>
      </c>
    </row>
    <row r="134" spans="1:104" ht="15" customHeight="1" x14ac:dyDescent="0.25">
      <c r="A134" s="58" t="s">
        <v>454</v>
      </c>
      <c r="B134" s="53" t="s">
        <v>837</v>
      </c>
      <c r="C134" s="250"/>
      <c r="D134" s="227" t="s">
        <v>837</v>
      </c>
      <c r="E134" s="228"/>
      <c r="F134" s="219">
        <f t="shared" ref="F134" si="4076">SUM(F132:F133)</f>
        <v>0</v>
      </c>
      <c r="G134" s="220">
        <f t="shared" ref="G134" si="4077">SUM(G132:G133)</f>
        <v>0</v>
      </c>
      <c r="H134" s="220">
        <f t="shared" ref="H134" si="4078">SUM(H132:H133)</f>
        <v>0</v>
      </c>
      <c r="I134" s="220">
        <f t="shared" ref="I134" si="4079">SUM(I132:I133)</f>
        <v>0</v>
      </c>
      <c r="J134" s="220">
        <f t="shared" ref="J134" si="4080">SUM(J132:J133)</f>
        <v>0</v>
      </c>
      <c r="K134" s="220">
        <f t="shared" ref="K134" si="4081">SUM(K132:K133)</f>
        <v>0</v>
      </c>
      <c r="L134" s="220">
        <f t="shared" ref="L134" si="4082">SUM(L132:L133)</f>
        <v>0</v>
      </c>
      <c r="M134" s="220">
        <f t="shared" ref="M134" si="4083">SUM(M132:M133)</f>
        <v>0</v>
      </c>
      <c r="N134" s="220">
        <f t="shared" ref="N134" si="4084">SUM(N132:N133)</f>
        <v>0</v>
      </c>
      <c r="O134" s="220">
        <f t="shared" ref="O134" si="4085">SUM(O132:O133)</f>
        <v>0</v>
      </c>
      <c r="P134" s="220">
        <f t="shared" ref="P134" si="4086">SUM(P132:P133)</f>
        <v>0</v>
      </c>
      <c r="Q134" s="220">
        <f t="shared" ref="Q134" si="4087">SUM(Q132:Q133)</f>
        <v>0</v>
      </c>
      <c r="R134" s="220">
        <f t="shared" ref="R134" si="4088">SUM(R132:R133)</f>
        <v>0</v>
      </c>
      <c r="S134" s="220">
        <f t="shared" ref="S134" si="4089">SUM(S132:S133)</f>
        <v>0</v>
      </c>
      <c r="T134" s="220">
        <f t="shared" ref="T134" si="4090">SUM(T132:T133)</f>
        <v>0</v>
      </c>
      <c r="U134" s="220">
        <f t="shared" ref="U134" si="4091">SUM(U132:U133)</f>
        <v>0</v>
      </c>
      <c r="V134" s="220">
        <f t="shared" ref="V134" si="4092">SUM(V132:V133)</f>
        <v>0</v>
      </c>
      <c r="W134" s="220">
        <f t="shared" ref="W134" si="4093">SUM(W132:W133)</f>
        <v>0</v>
      </c>
      <c r="X134" s="220">
        <f t="shared" ref="X134" si="4094">SUM(X132:X133)</f>
        <v>0</v>
      </c>
      <c r="Y134" s="220">
        <f t="shared" ref="Y134" si="4095">SUM(Y132:Y133)</f>
        <v>3.5373160800000001</v>
      </c>
      <c r="Z134" s="220">
        <f t="shared" ref="Z134" si="4096">SUM(Z132:Z133)</f>
        <v>0</v>
      </c>
      <c r="AA134" s="220">
        <f t="shared" ref="AA134" si="4097">SUM(AA132:AA133)</f>
        <v>0</v>
      </c>
      <c r="AB134" s="220">
        <f t="shared" ref="AB134" si="4098">SUM(AB132:AB133)</f>
        <v>0</v>
      </c>
      <c r="AC134" s="220">
        <f t="shared" ref="AC134" si="4099">SUM(AC132:AC133)</f>
        <v>0</v>
      </c>
      <c r="AD134" s="220">
        <f t="shared" ref="AD134" si="4100">SUM(AD132:AD133)</f>
        <v>0</v>
      </c>
      <c r="AE134" s="220">
        <f t="shared" ref="AE134" si="4101">SUM(AE132:AE133)</f>
        <v>0</v>
      </c>
      <c r="AF134" s="220">
        <f t="shared" ref="AF134" si="4102">SUM(AF132:AF133)</f>
        <v>0</v>
      </c>
      <c r="AG134" s="220">
        <f t="shared" ref="AG134" si="4103">SUM(AG132:AG133)</f>
        <v>0</v>
      </c>
      <c r="AH134" s="220">
        <f t="shared" ref="AH134" si="4104">SUM(AH132:AH133)</f>
        <v>0</v>
      </c>
      <c r="AI134" s="220">
        <f t="shared" ref="AI134" si="4105">SUM(AI132:AI133)</f>
        <v>0</v>
      </c>
      <c r="AJ134" s="220">
        <f t="shared" ref="AJ134" si="4106">SUM(AJ132:AJ133)</f>
        <v>0</v>
      </c>
      <c r="AK134" s="219">
        <f t="shared" ref="AK134" si="4107">SUM(AK132:AK133)</f>
        <v>0</v>
      </c>
      <c r="AL134" s="220">
        <f t="shared" ref="AL134" si="4108">SUM(AL132:AL133)</f>
        <v>0</v>
      </c>
      <c r="AM134" s="220">
        <f t="shared" ref="AM134" si="4109">SUM(AM132:AM133)</f>
        <v>0</v>
      </c>
      <c r="AN134" s="220">
        <f t="shared" ref="AN134" si="4110">SUM(AN132:AN133)</f>
        <v>0</v>
      </c>
      <c r="AO134" s="220">
        <f t="shared" ref="AO134" si="4111">SUM(AO132:AO133)</f>
        <v>0</v>
      </c>
      <c r="AP134" s="220">
        <f t="shared" ref="AP134" si="4112">SUM(AP132:AP133)</f>
        <v>0</v>
      </c>
      <c r="AQ134" s="220">
        <f t="shared" ref="AQ134" si="4113">SUM(AQ132:AQ133)</f>
        <v>0</v>
      </c>
      <c r="AR134" s="220">
        <f t="shared" ref="AR134" si="4114">SUM(AR132:AR133)</f>
        <v>0</v>
      </c>
      <c r="AS134" s="220">
        <f t="shared" ref="AS134" si="4115">SUM(AS132:AS133)</f>
        <v>0</v>
      </c>
      <c r="AT134" s="220">
        <f t="shared" ref="AT134" si="4116">SUM(AT132:AT133)</f>
        <v>0</v>
      </c>
      <c r="AU134" s="220">
        <f t="shared" ref="AU134" si="4117">SUM(AU132:AU133)</f>
        <v>0</v>
      </c>
      <c r="AV134" s="220">
        <f t="shared" ref="AV134" si="4118">SUM(AV132:AV133)</f>
        <v>0</v>
      </c>
      <c r="AW134" s="220">
        <f t="shared" ref="AW134" si="4119">SUM(AW132:AW133)</f>
        <v>0</v>
      </c>
      <c r="AX134" s="220">
        <f t="shared" ref="AX134" si="4120">SUM(AX132:AX133)</f>
        <v>0</v>
      </c>
      <c r="AY134" s="220">
        <f t="shared" ref="AY134" si="4121">SUM(AY132:AY133)</f>
        <v>0</v>
      </c>
      <c r="AZ134" s="220">
        <f t="shared" ref="AZ134" si="4122">SUM(AZ132:AZ133)</f>
        <v>0</v>
      </c>
      <c r="BA134" s="220">
        <f t="shared" ref="BA134" si="4123">SUM(BA132:BA133)</f>
        <v>0</v>
      </c>
      <c r="BB134" s="220">
        <f t="shared" ref="BB134" si="4124">SUM(BB132:BB133)</f>
        <v>0</v>
      </c>
      <c r="BC134" s="220">
        <f t="shared" ref="BC134" si="4125">SUM(BC132:BC133)</f>
        <v>0</v>
      </c>
      <c r="BD134" s="220">
        <f t="shared" ref="BD134" si="4126">SUM(BD132:BD133)</f>
        <v>0</v>
      </c>
      <c r="BE134" s="220">
        <f t="shared" ref="BE134" si="4127">SUM(BE132:BE133)</f>
        <v>0</v>
      </c>
      <c r="BF134" s="220">
        <f t="shared" ref="BF134" si="4128">SUM(BF132:BF133)</f>
        <v>0</v>
      </c>
      <c r="BG134" s="220">
        <f t="shared" ref="BG134" si="4129">SUM(BG132:BG133)</f>
        <v>0</v>
      </c>
      <c r="BH134" s="220">
        <f t="shared" ref="BH134" si="4130">SUM(BH132:BH133)</f>
        <v>0</v>
      </c>
      <c r="BI134" s="220">
        <f t="shared" ref="BI134" si="4131">SUM(BI132:BI133)</f>
        <v>0</v>
      </c>
      <c r="BJ134" s="220">
        <f t="shared" ref="BJ134" si="4132">SUM(BJ132:BJ133)</f>
        <v>0</v>
      </c>
      <c r="BK134" s="220">
        <f t="shared" ref="BK134" si="4133">SUM(BK132:BK133)</f>
        <v>0</v>
      </c>
      <c r="BL134" s="220">
        <f t="shared" ref="BL134" si="4134">SUM(BL132:BL133)</f>
        <v>0</v>
      </c>
      <c r="BM134" s="220">
        <f t="shared" ref="BM134" si="4135">SUM(BM132:BM133)</f>
        <v>0</v>
      </c>
      <c r="BN134" s="220">
        <f t="shared" ref="BN134" si="4136">SUM(BN132:BN133)</f>
        <v>0</v>
      </c>
      <c r="BO134" s="221">
        <f t="shared" ref="BO134" si="4137">SUM(BO132:BO133)</f>
        <v>0</v>
      </c>
      <c r="BP134" s="219">
        <f t="shared" ref="BP134" si="4138">SUM(BP132:BP133)</f>
        <v>0</v>
      </c>
      <c r="BQ134" s="220">
        <f t="shared" ref="BQ134" si="4139">SUM(BQ132:BQ133)</f>
        <v>0</v>
      </c>
      <c r="BR134" s="220">
        <f t="shared" ref="BR134" si="4140">SUM(BR132:BR133)</f>
        <v>0</v>
      </c>
      <c r="BS134" s="220">
        <f t="shared" ref="BS134" si="4141">SUM(BS132:BS133)</f>
        <v>0</v>
      </c>
      <c r="BT134" s="220">
        <f t="shared" ref="BT134" si="4142">SUM(BT132:BT133)</f>
        <v>0</v>
      </c>
      <c r="BU134" s="220">
        <f t="shared" ref="BU134" si="4143">SUM(BU132:BU133)</f>
        <v>0</v>
      </c>
      <c r="BV134" s="220">
        <f t="shared" ref="BV134" si="4144">SUM(BV132:BV133)</f>
        <v>0</v>
      </c>
      <c r="BW134" s="220">
        <f t="shared" ref="BW134" si="4145">SUM(BW132:BW133)</f>
        <v>0</v>
      </c>
      <c r="BX134" s="220">
        <f t="shared" ref="BX134" si="4146">SUM(BX132:BX133)</f>
        <v>0</v>
      </c>
      <c r="BY134" s="220">
        <f t="shared" ref="BY134" si="4147">SUM(BY132:BY133)</f>
        <v>0</v>
      </c>
      <c r="BZ134" s="220">
        <f t="shared" ref="BZ134" si="4148">SUM(BZ132:BZ133)</f>
        <v>0</v>
      </c>
      <c r="CA134" s="220">
        <f t="shared" ref="CA134" si="4149">SUM(CA132:CA133)</f>
        <v>0</v>
      </c>
      <c r="CB134" s="220">
        <f t="shared" ref="CB134" si="4150">SUM(CB132:CB133)</f>
        <v>0</v>
      </c>
      <c r="CC134" s="220">
        <f t="shared" ref="CC134" si="4151">SUM(CC132:CC133)</f>
        <v>0</v>
      </c>
      <c r="CD134" s="220">
        <f t="shared" ref="CD134" si="4152">SUM(CD132:CD133)</f>
        <v>0</v>
      </c>
      <c r="CE134" s="220">
        <f t="shared" ref="CE134" si="4153">SUM(CE132:CE133)</f>
        <v>0</v>
      </c>
      <c r="CF134" s="220">
        <f t="shared" ref="CF134" si="4154">SUM(CF132:CF133)</f>
        <v>0</v>
      </c>
      <c r="CG134" s="220">
        <f t="shared" ref="CG134" si="4155">SUM(CG132:CG133)</f>
        <v>0</v>
      </c>
      <c r="CH134" s="220">
        <f t="shared" ref="CH134" si="4156">SUM(CH132:CH133)</f>
        <v>0</v>
      </c>
      <c r="CI134" s="220">
        <f t="shared" ref="CI134" si="4157">SUM(CI132:CI133)</f>
        <v>0</v>
      </c>
      <c r="CJ134" s="220">
        <f t="shared" ref="CJ134" si="4158">SUM(CJ132:CJ133)</f>
        <v>0</v>
      </c>
      <c r="CK134" s="220">
        <f t="shared" ref="CK134" si="4159">SUM(CK132:CK133)</f>
        <v>0</v>
      </c>
      <c r="CL134" s="220">
        <f t="shared" ref="CL134" si="4160">SUM(CL132:CL133)</f>
        <v>0</v>
      </c>
      <c r="CM134" s="220">
        <f t="shared" ref="CM134" si="4161">SUM(CM132:CM133)</f>
        <v>0</v>
      </c>
      <c r="CN134" s="220">
        <f t="shared" ref="CN134" si="4162">SUM(CN132:CN133)</f>
        <v>0</v>
      </c>
      <c r="CO134" s="220">
        <f t="shared" ref="CO134" si="4163">SUM(CO132:CO133)</f>
        <v>0</v>
      </c>
      <c r="CP134" s="220">
        <f t="shared" ref="CP134" si="4164">SUM(CP132:CP133)</f>
        <v>0</v>
      </c>
      <c r="CQ134" s="220">
        <f t="shared" ref="CQ134" si="4165">SUM(CQ132:CQ133)</f>
        <v>0</v>
      </c>
      <c r="CR134" s="220">
        <f t="shared" ref="CR134" si="4166">SUM(CR132:CR133)</f>
        <v>0</v>
      </c>
      <c r="CS134" s="220">
        <f t="shared" ref="CS134" si="4167">SUM(CS132:CS133)</f>
        <v>0</v>
      </c>
      <c r="CT134" s="221">
        <f t="shared" ref="CT134" si="4168">SUM(CT132:CT133)</f>
        <v>0</v>
      </c>
      <c r="CU134" s="226"/>
      <c r="CV134" s="219">
        <f t="shared" ref="CV134" si="4169">SUM(CV132:CV133)</f>
        <v>3.5373160800000001</v>
      </c>
      <c r="CW134" s="220">
        <f t="shared" ref="CW134" si="4170">SUM(CW132:CW133)</f>
        <v>0</v>
      </c>
      <c r="CX134" s="220">
        <f t="shared" ref="CX134" si="4171">SUM(CX132:CX133)</f>
        <v>0</v>
      </c>
      <c r="CY134" s="220">
        <f t="shared" ref="CY134" si="4172">SUM(CY132:CY133)</f>
        <v>3.5373160800000001</v>
      </c>
      <c r="CZ134" s="222">
        <f t="shared" ref="CZ134" si="4173">SUM(CZ132:CZ133)</f>
        <v>3.5373160800000001</v>
      </c>
    </row>
    <row r="135" spans="1:104" ht="15" customHeight="1" x14ac:dyDescent="0.25">
      <c r="A135" s="58" t="s">
        <v>454</v>
      </c>
      <c r="B135" s="53" t="s">
        <v>399</v>
      </c>
      <c r="C135" s="250"/>
      <c r="D135" s="245" t="s">
        <v>399</v>
      </c>
      <c r="E135" s="85" t="s">
        <v>132</v>
      </c>
      <c r="F135" s="55">
        <f>SUMIFS('CWO Bulan Ini'!$DA:$DA,'CWO Bulan Ini'!$DJ:$DJ,'Area-Cabang'!$B135,'CWO Bulan Ini'!$DH:$DH,'Area-Cabang'!$E135,'CWO Bulan Ini'!$CZ:$CZ,'Area-Cabang'!F$41)</f>
        <v>0</v>
      </c>
      <c r="G135" s="56">
        <f>SUMIFS('CWO Bulan Ini'!$DA:$DA,'CWO Bulan Ini'!$DJ:$DJ,'Area-Cabang'!$B135,'CWO Bulan Ini'!$DH:$DH,'Area-Cabang'!$E135,'CWO Bulan Ini'!$CZ:$CZ,'Area-Cabang'!G$41)</f>
        <v>0</v>
      </c>
      <c r="H135" s="56">
        <f>SUMIFS('CWO Bulan Ini'!$DA:$DA,'CWO Bulan Ini'!$DJ:$DJ,'Area-Cabang'!$B135,'CWO Bulan Ini'!$DH:$DH,'Area-Cabang'!$E135,'CWO Bulan Ini'!$CZ:$CZ,'Area-Cabang'!H$41)</f>
        <v>0</v>
      </c>
      <c r="I135" s="56">
        <f>SUMIFS('CWO Bulan Ini'!$DA:$DA,'CWO Bulan Ini'!$DJ:$DJ,'Area-Cabang'!$B135,'CWO Bulan Ini'!$DH:$DH,'Area-Cabang'!$E135,'CWO Bulan Ini'!$CZ:$CZ,'Area-Cabang'!I$41)</f>
        <v>75.428285129999992</v>
      </c>
      <c r="J135" s="56">
        <f>SUMIFS('CWO Bulan Ini'!$DA:$DA,'CWO Bulan Ini'!$DJ:$DJ,'Area-Cabang'!$B135,'CWO Bulan Ini'!$DH:$DH,'Area-Cabang'!$E135,'CWO Bulan Ini'!$CZ:$CZ,'Area-Cabang'!J$41)</f>
        <v>0</v>
      </c>
      <c r="K135" s="56">
        <f>SUMIFS('CWO Bulan Ini'!$DA:$DA,'CWO Bulan Ini'!$DJ:$DJ,'Area-Cabang'!$B135,'CWO Bulan Ini'!$DH:$DH,'Area-Cabang'!$E135,'CWO Bulan Ini'!$CZ:$CZ,'Area-Cabang'!K$41)</f>
        <v>0</v>
      </c>
      <c r="L135" s="56">
        <f>SUMIFS('CWO Bulan Ini'!$DA:$DA,'CWO Bulan Ini'!$DJ:$DJ,'Area-Cabang'!$B135,'CWO Bulan Ini'!$DH:$DH,'Area-Cabang'!$E135,'CWO Bulan Ini'!$CZ:$CZ,'Area-Cabang'!L$41)</f>
        <v>0</v>
      </c>
      <c r="M135" s="56">
        <f>SUMIFS('CWO Bulan Ini'!$DA:$DA,'CWO Bulan Ini'!$DJ:$DJ,'Area-Cabang'!$B135,'CWO Bulan Ini'!$DH:$DH,'Area-Cabang'!$E135,'CWO Bulan Ini'!$CZ:$CZ,'Area-Cabang'!M$41)</f>
        <v>0</v>
      </c>
      <c r="N135" s="56">
        <f>SUMIFS('CWO Bulan Ini'!$DA:$DA,'CWO Bulan Ini'!$DJ:$DJ,'Area-Cabang'!$B135,'CWO Bulan Ini'!$DH:$DH,'Area-Cabang'!$E135,'CWO Bulan Ini'!$CZ:$CZ,'Area-Cabang'!N$41)</f>
        <v>0</v>
      </c>
      <c r="O135" s="56">
        <f>SUMIFS('CWO Bulan Ini'!$DA:$DA,'CWO Bulan Ini'!$DJ:$DJ,'Area-Cabang'!$B135,'CWO Bulan Ini'!$DH:$DH,'Area-Cabang'!$E135,'CWO Bulan Ini'!$CZ:$CZ,'Area-Cabang'!O$41)</f>
        <v>0</v>
      </c>
      <c r="P135" s="56">
        <f>SUMIFS('CWO Bulan Ini'!$DA:$DA,'CWO Bulan Ini'!$DJ:$DJ,'Area-Cabang'!$B135,'CWO Bulan Ini'!$DH:$DH,'Area-Cabang'!$E135,'CWO Bulan Ini'!$CZ:$CZ,'Area-Cabang'!P$41)</f>
        <v>0</v>
      </c>
      <c r="Q135" s="56">
        <f>SUMIFS('CWO Bulan Ini'!$DA:$DA,'CWO Bulan Ini'!$DJ:$DJ,'Area-Cabang'!$B135,'CWO Bulan Ini'!$DH:$DH,'Area-Cabang'!$E135,'CWO Bulan Ini'!$CZ:$CZ,'Area-Cabang'!Q$41)</f>
        <v>0</v>
      </c>
      <c r="R135" s="56">
        <f>SUMIFS('CWO Bulan Ini'!$DA:$DA,'CWO Bulan Ini'!$DJ:$DJ,'Area-Cabang'!$B135,'CWO Bulan Ini'!$DH:$DH,'Area-Cabang'!$E135,'CWO Bulan Ini'!$CZ:$CZ,'Area-Cabang'!R$41)</f>
        <v>0</v>
      </c>
      <c r="S135" s="56">
        <f>SUMIFS('CWO Bulan Ini'!$DA:$DA,'CWO Bulan Ini'!$DJ:$DJ,'Area-Cabang'!$B135,'CWO Bulan Ini'!$DH:$DH,'Area-Cabang'!$E135,'CWO Bulan Ini'!$CZ:$CZ,'Area-Cabang'!S$41)</f>
        <v>192.01723784000001</v>
      </c>
      <c r="T135" s="56">
        <f>SUMIFS('CWO Bulan Ini'!$DA:$DA,'CWO Bulan Ini'!$DJ:$DJ,'Area-Cabang'!$B135,'CWO Bulan Ini'!$DH:$DH,'Area-Cabang'!$E135,'CWO Bulan Ini'!$CZ:$CZ,'Area-Cabang'!T$41)</f>
        <v>0</v>
      </c>
      <c r="U135" s="56">
        <f>SUMIFS('CWO Bulan Ini'!$DA:$DA,'CWO Bulan Ini'!$DJ:$DJ,'Area-Cabang'!$B135,'CWO Bulan Ini'!$DH:$DH,'Area-Cabang'!$E135,'CWO Bulan Ini'!$CZ:$CZ,'Area-Cabang'!U$41)</f>
        <v>0</v>
      </c>
      <c r="V135" s="56">
        <f>SUMIFS('CWO Bulan Ini'!$DA:$DA,'CWO Bulan Ini'!$DJ:$DJ,'Area-Cabang'!$B135,'CWO Bulan Ini'!$DH:$DH,'Area-Cabang'!$E135,'CWO Bulan Ini'!$CZ:$CZ,'Area-Cabang'!V$41)</f>
        <v>0</v>
      </c>
      <c r="W135" s="56">
        <f>SUMIFS('CWO Bulan Ini'!$DA:$DA,'CWO Bulan Ini'!$DJ:$DJ,'Area-Cabang'!$B135,'CWO Bulan Ini'!$DH:$DH,'Area-Cabang'!$E135,'CWO Bulan Ini'!$CZ:$CZ,'Area-Cabang'!W$41)</f>
        <v>0</v>
      </c>
      <c r="X135" s="56">
        <f>SUMIFS('CWO Bulan Ini'!$DA:$DA,'CWO Bulan Ini'!$DJ:$DJ,'Area-Cabang'!$B135,'CWO Bulan Ini'!$DH:$DH,'Area-Cabang'!$E135,'CWO Bulan Ini'!$CZ:$CZ,'Area-Cabang'!X$41)</f>
        <v>0</v>
      </c>
      <c r="Y135" s="56">
        <f>SUMIFS('CWO Bulan Ini'!$DA:$DA,'CWO Bulan Ini'!$DJ:$DJ,'Area-Cabang'!$B135,'CWO Bulan Ini'!$DH:$DH,'Area-Cabang'!$E135,'CWO Bulan Ini'!$CZ:$CZ,'Area-Cabang'!Y$41)</f>
        <v>0</v>
      </c>
      <c r="Z135" s="56">
        <f>SUMIFS('CWO Bulan Ini'!$DA:$DA,'CWO Bulan Ini'!$DJ:$DJ,'Area-Cabang'!$B135,'CWO Bulan Ini'!$DH:$DH,'Area-Cabang'!$E135,'CWO Bulan Ini'!$CZ:$CZ,'Area-Cabang'!Z$41)</f>
        <v>0</v>
      </c>
      <c r="AA135" s="56">
        <f>SUMIFS('CWO Bulan Ini'!$DA:$DA,'CWO Bulan Ini'!$DJ:$DJ,'Area-Cabang'!$B135,'CWO Bulan Ini'!$DH:$DH,'Area-Cabang'!$E135,'CWO Bulan Ini'!$CZ:$CZ,'Area-Cabang'!AA$41)</f>
        <v>0</v>
      </c>
      <c r="AB135" s="56">
        <f>SUMIFS('CWO Bulan Ini'!$DA:$DA,'CWO Bulan Ini'!$DJ:$DJ,'Area-Cabang'!$B135,'CWO Bulan Ini'!$DH:$DH,'Area-Cabang'!$E135,'CWO Bulan Ini'!$CZ:$CZ,'Area-Cabang'!AB$41)</f>
        <v>0</v>
      </c>
      <c r="AC135" s="56">
        <f>SUMIFS('CWO Bulan Ini'!$DA:$DA,'CWO Bulan Ini'!$DJ:$DJ,'Area-Cabang'!$B135,'CWO Bulan Ini'!$DH:$DH,'Area-Cabang'!$E135,'CWO Bulan Ini'!$CZ:$CZ,'Area-Cabang'!AC$41)</f>
        <v>0</v>
      </c>
      <c r="AD135" s="56">
        <f>SUMIFS('CWO Bulan Ini'!$DA:$DA,'CWO Bulan Ini'!$DJ:$DJ,'Area-Cabang'!$B135,'CWO Bulan Ini'!$DH:$DH,'Area-Cabang'!$E135,'CWO Bulan Ini'!$CZ:$CZ,'Area-Cabang'!AD$41)</f>
        <v>0</v>
      </c>
      <c r="AE135" s="56">
        <f>SUMIFS('CWO Bulan Ini'!$DA:$DA,'CWO Bulan Ini'!$DJ:$DJ,'Area-Cabang'!$B135,'CWO Bulan Ini'!$DH:$DH,'Area-Cabang'!$E135,'CWO Bulan Ini'!$CZ:$CZ,'Area-Cabang'!AE$41)</f>
        <v>0</v>
      </c>
      <c r="AF135" s="56">
        <f>SUMIFS('CWO Bulan Ini'!$DA:$DA,'CWO Bulan Ini'!$DJ:$DJ,'Area-Cabang'!$B135,'CWO Bulan Ini'!$DH:$DH,'Area-Cabang'!$E135,'CWO Bulan Ini'!$CZ:$CZ,'Area-Cabang'!AF$41)</f>
        <v>0</v>
      </c>
      <c r="AG135" s="56">
        <f>SUMIFS('CWO Bulan Ini'!$DA:$DA,'CWO Bulan Ini'!$DJ:$DJ,'Area-Cabang'!$B135,'CWO Bulan Ini'!$DH:$DH,'Area-Cabang'!$E135,'CWO Bulan Ini'!$CZ:$CZ,'Area-Cabang'!AG$41)</f>
        <v>0</v>
      </c>
      <c r="AH135" s="56">
        <f>SUMIFS('CWO Bulan Ini'!$DA:$DA,'CWO Bulan Ini'!$DJ:$DJ,'Area-Cabang'!$B135,'CWO Bulan Ini'!$DH:$DH,'Area-Cabang'!$E135,'CWO Bulan Ini'!$CZ:$CZ,'Area-Cabang'!AH$41)</f>
        <v>0</v>
      </c>
      <c r="AI135" s="56">
        <f>SUMIFS('CWO Bulan Ini'!$DA:$DA,'CWO Bulan Ini'!$DJ:$DJ,'Area-Cabang'!$B135,'CWO Bulan Ini'!$DH:$DH,'Area-Cabang'!$E135,'CWO Bulan Ini'!$CZ:$CZ,'Area-Cabang'!AI$41)</f>
        <v>0</v>
      </c>
      <c r="AJ135" s="56">
        <f>SUMIFS('CWO Bulan Ini'!$DA:$DA,'CWO Bulan Ini'!$DJ:$DJ,'Area-Cabang'!$B135,'CWO Bulan Ini'!$DH:$DH,'Area-Cabang'!$E135,'CWO Bulan Ini'!$CZ:$CZ,'Area-Cabang'!AJ$41)</f>
        <v>0</v>
      </c>
      <c r="AK135" s="55">
        <f>SUMIFS('CWO Bulan Ini'!$DD:$DD,'CWO Bulan Ini'!$DJ:$DJ,'Area-Cabang'!$B135,'CWO Bulan Ini'!$DH:$DH,'Area-Cabang'!$E135,'CWO Bulan Ini'!$CZ:$CZ,'Area-Cabang'!AK$41)</f>
        <v>0</v>
      </c>
      <c r="AL135" s="56">
        <f>SUMIFS('CWO Bulan Ini'!$DD:$DD,'CWO Bulan Ini'!$DJ:$DJ,'Area-Cabang'!$B135,'CWO Bulan Ini'!$DH:$DH,'Area-Cabang'!$E135,'CWO Bulan Ini'!$CZ:$CZ,'Area-Cabang'!AL$41)</f>
        <v>0</v>
      </c>
      <c r="AM135" s="56">
        <f>SUMIFS('CWO Bulan Ini'!$DD:$DD,'CWO Bulan Ini'!$DJ:$DJ,'Area-Cabang'!$B135,'CWO Bulan Ini'!$DH:$DH,'Area-Cabang'!$E135,'CWO Bulan Ini'!$CZ:$CZ,'Area-Cabang'!AM$41)</f>
        <v>0</v>
      </c>
      <c r="AN135" s="56">
        <f>SUMIFS('CWO Bulan Ini'!$DD:$DD,'CWO Bulan Ini'!$DJ:$DJ,'Area-Cabang'!$B135,'CWO Bulan Ini'!$DH:$DH,'Area-Cabang'!$E135,'CWO Bulan Ini'!$CZ:$CZ,'Area-Cabang'!AN$41)</f>
        <v>75.428285129999992</v>
      </c>
      <c r="AO135" s="56">
        <f>SUMIFS('CWO Bulan Ini'!$DD:$DD,'CWO Bulan Ini'!$DJ:$DJ,'Area-Cabang'!$B135,'CWO Bulan Ini'!$DH:$DH,'Area-Cabang'!$E135,'CWO Bulan Ini'!$CZ:$CZ,'Area-Cabang'!AO$41)</f>
        <v>0</v>
      </c>
      <c r="AP135" s="56">
        <f>SUMIFS('CWO Bulan Ini'!$DD:$DD,'CWO Bulan Ini'!$DJ:$DJ,'Area-Cabang'!$B135,'CWO Bulan Ini'!$DH:$DH,'Area-Cabang'!$E135,'CWO Bulan Ini'!$CZ:$CZ,'Area-Cabang'!AP$41)</f>
        <v>0</v>
      </c>
      <c r="AQ135" s="56">
        <f>SUMIFS('CWO Bulan Ini'!$DD:$DD,'CWO Bulan Ini'!$DJ:$DJ,'Area-Cabang'!$B135,'CWO Bulan Ini'!$DH:$DH,'Area-Cabang'!$E135,'CWO Bulan Ini'!$CZ:$CZ,'Area-Cabang'!AQ$41)</f>
        <v>0</v>
      </c>
      <c r="AR135" s="56">
        <f>SUMIFS('CWO Bulan Ini'!$DD:$DD,'CWO Bulan Ini'!$DJ:$DJ,'Area-Cabang'!$B135,'CWO Bulan Ini'!$DH:$DH,'Area-Cabang'!$E135,'CWO Bulan Ini'!$CZ:$CZ,'Area-Cabang'!AR$41)</f>
        <v>0</v>
      </c>
      <c r="AS135" s="56">
        <f>SUMIFS('CWO Bulan Ini'!$DD:$DD,'CWO Bulan Ini'!$DJ:$DJ,'Area-Cabang'!$B135,'CWO Bulan Ini'!$DH:$DH,'Area-Cabang'!$E135,'CWO Bulan Ini'!$CZ:$CZ,'Area-Cabang'!AS$41)</f>
        <v>0</v>
      </c>
      <c r="AT135" s="56">
        <f>SUMIFS('CWO Bulan Ini'!$DD:$DD,'CWO Bulan Ini'!$DJ:$DJ,'Area-Cabang'!$B135,'CWO Bulan Ini'!$DH:$DH,'Area-Cabang'!$E135,'CWO Bulan Ini'!$CZ:$CZ,'Area-Cabang'!AT$41)</f>
        <v>0</v>
      </c>
      <c r="AU135" s="56">
        <f>SUMIFS('CWO Bulan Ini'!$DD:$DD,'CWO Bulan Ini'!$DJ:$DJ,'Area-Cabang'!$B135,'CWO Bulan Ini'!$DH:$DH,'Area-Cabang'!$E135,'CWO Bulan Ini'!$CZ:$CZ,'Area-Cabang'!AU$41)</f>
        <v>0</v>
      </c>
      <c r="AV135" s="56">
        <f>SUMIFS('CWO Bulan Ini'!$DD:$DD,'CWO Bulan Ini'!$DJ:$DJ,'Area-Cabang'!$B135,'CWO Bulan Ini'!$DH:$DH,'Area-Cabang'!$E135,'CWO Bulan Ini'!$CZ:$CZ,'Area-Cabang'!AV$41)</f>
        <v>0</v>
      </c>
      <c r="AW135" s="56">
        <f>SUMIFS('CWO Bulan Ini'!$DD:$DD,'CWO Bulan Ini'!$DJ:$DJ,'Area-Cabang'!$B135,'CWO Bulan Ini'!$DH:$DH,'Area-Cabang'!$E135,'CWO Bulan Ini'!$CZ:$CZ,'Area-Cabang'!AW$41)</f>
        <v>0</v>
      </c>
      <c r="AX135" s="56">
        <f>SUMIFS('CWO Bulan Ini'!$DD:$DD,'CWO Bulan Ini'!$DJ:$DJ,'Area-Cabang'!$B135,'CWO Bulan Ini'!$DH:$DH,'Area-Cabang'!$E135,'CWO Bulan Ini'!$CZ:$CZ,'Area-Cabang'!AX$41)</f>
        <v>0</v>
      </c>
      <c r="AY135" s="56">
        <f>SUMIFS('CWO Bulan Ini'!$DD:$DD,'CWO Bulan Ini'!$DJ:$DJ,'Area-Cabang'!$B135,'CWO Bulan Ini'!$DH:$DH,'Area-Cabang'!$E135,'CWO Bulan Ini'!$CZ:$CZ,'Area-Cabang'!AY$41)</f>
        <v>0</v>
      </c>
      <c r="AZ135" s="56">
        <f>SUMIFS('CWO Bulan Ini'!$DD:$DD,'CWO Bulan Ini'!$DJ:$DJ,'Area-Cabang'!$B135,'CWO Bulan Ini'!$DH:$DH,'Area-Cabang'!$E135,'CWO Bulan Ini'!$CZ:$CZ,'Area-Cabang'!AZ$41)</f>
        <v>0</v>
      </c>
      <c r="BA135" s="56">
        <f>SUMIFS('CWO Bulan Ini'!$DD:$DD,'CWO Bulan Ini'!$DJ:$DJ,'Area-Cabang'!$B135,'CWO Bulan Ini'!$DH:$DH,'Area-Cabang'!$E135,'CWO Bulan Ini'!$CZ:$CZ,'Area-Cabang'!BA$41)</f>
        <v>0</v>
      </c>
      <c r="BB135" s="56">
        <f>SUMIFS('CWO Bulan Ini'!$DD:$DD,'CWO Bulan Ini'!$DJ:$DJ,'Area-Cabang'!$B135,'CWO Bulan Ini'!$DH:$DH,'Area-Cabang'!$E135,'CWO Bulan Ini'!$CZ:$CZ,'Area-Cabang'!BB$41)</f>
        <v>0</v>
      </c>
      <c r="BC135" s="56">
        <f>SUMIFS('CWO Bulan Ini'!$DD:$DD,'CWO Bulan Ini'!$DJ:$DJ,'Area-Cabang'!$B135,'CWO Bulan Ini'!$DH:$DH,'Area-Cabang'!$E135,'CWO Bulan Ini'!$CZ:$CZ,'Area-Cabang'!BC$41)</f>
        <v>0</v>
      </c>
      <c r="BD135" s="56">
        <f>SUMIFS('CWO Bulan Ini'!$DD:$DD,'CWO Bulan Ini'!$DJ:$DJ,'Area-Cabang'!$B135,'CWO Bulan Ini'!$DH:$DH,'Area-Cabang'!$E135,'CWO Bulan Ini'!$CZ:$CZ,'Area-Cabang'!BD$41)</f>
        <v>0</v>
      </c>
      <c r="BE135" s="56">
        <f>SUMIFS('CWO Bulan Ini'!$DD:$DD,'CWO Bulan Ini'!$DJ:$DJ,'Area-Cabang'!$B135,'CWO Bulan Ini'!$DH:$DH,'Area-Cabang'!$E135,'CWO Bulan Ini'!$CZ:$CZ,'Area-Cabang'!BE$41)</f>
        <v>0</v>
      </c>
      <c r="BF135" s="56">
        <f>SUMIFS('CWO Bulan Ini'!$DD:$DD,'CWO Bulan Ini'!$DJ:$DJ,'Area-Cabang'!$B135,'CWO Bulan Ini'!$DH:$DH,'Area-Cabang'!$E135,'CWO Bulan Ini'!$CZ:$CZ,'Area-Cabang'!BF$41)</f>
        <v>0</v>
      </c>
      <c r="BG135" s="56">
        <f>SUMIFS('CWO Bulan Ini'!$DD:$DD,'CWO Bulan Ini'!$DJ:$DJ,'Area-Cabang'!$B135,'CWO Bulan Ini'!$DH:$DH,'Area-Cabang'!$E135,'CWO Bulan Ini'!$CZ:$CZ,'Area-Cabang'!BG$41)</f>
        <v>0</v>
      </c>
      <c r="BH135" s="56">
        <f>SUMIFS('CWO Bulan Ini'!$DD:$DD,'CWO Bulan Ini'!$DJ:$DJ,'Area-Cabang'!$B135,'CWO Bulan Ini'!$DH:$DH,'Area-Cabang'!$E135,'CWO Bulan Ini'!$CZ:$CZ,'Area-Cabang'!BH$41)</f>
        <v>0</v>
      </c>
      <c r="BI135" s="56">
        <f>SUMIFS('CWO Bulan Ini'!$DD:$DD,'CWO Bulan Ini'!$DJ:$DJ,'Area-Cabang'!$B135,'CWO Bulan Ini'!$DH:$DH,'Area-Cabang'!$E135,'CWO Bulan Ini'!$CZ:$CZ,'Area-Cabang'!BI$41)</f>
        <v>0</v>
      </c>
      <c r="BJ135" s="56">
        <f>SUMIFS('CWO Bulan Ini'!$DD:$DD,'CWO Bulan Ini'!$DJ:$DJ,'Area-Cabang'!$B135,'CWO Bulan Ini'!$DH:$DH,'Area-Cabang'!$E135,'CWO Bulan Ini'!$CZ:$CZ,'Area-Cabang'!BJ$41)</f>
        <v>0</v>
      </c>
      <c r="BK135" s="56">
        <f>SUMIFS('CWO Bulan Ini'!$DD:$DD,'CWO Bulan Ini'!$DJ:$DJ,'Area-Cabang'!$B135,'CWO Bulan Ini'!$DH:$DH,'Area-Cabang'!$E135,'CWO Bulan Ini'!$CZ:$CZ,'Area-Cabang'!BK$41)</f>
        <v>0</v>
      </c>
      <c r="BL135" s="56">
        <f>SUMIFS('CWO Bulan Ini'!$DD:$DD,'CWO Bulan Ini'!$DJ:$DJ,'Area-Cabang'!$B135,'CWO Bulan Ini'!$DH:$DH,'Area-Cabang'!$E135,'CWO Bulan Ini'!$CZ:$CZ,'Area-Cabang'!BL$41)</f>
        <v>0</v>
      </c>
      <c r="BM135" s="56">
        <f>SUMIFS('CWO Bulan Ini'!$DD:$DD,'CWO Bulan Ini'!$DJ:$DJ,'Area-Cabang'!$B135,'CWO Bulan Ini'!$DH:$DH,'Area-Cabang'!$E135,'CWO Bulan Ini'!$CZ:$CZ,'Area-Cabang'!BM$41)</f>
        <v>0</v>
      </c>
      <c r="BN135" s="56">
        <f>SUMIFS('CWO Bulan Ini'!$DD:$DD,'CWO Bulan Ini'!$DJ:$DJ,'Area-Cabang'!$B135,'CWO Bulan Ini'!$DH:$DH,'Area-Cabang'!$E135,'CWO Bulan Ini'!$CZ:$CZ,'Area-Cabang'!BN$41)</f>
        <v>0</v>
      </c>
      <c r="BO135" s="57">
        <f>SUMIFS('CWO Bulan Ini'!$DD:$DD,'CWO Bulan Ini'!$DJ:$DJ,'Area-Cabang'!$B135,'CWO Bulan Ini'!$DH:$DH,'Area-Cabang'!$E135,'CWO Bulan Ini'!$CZ:$CZ,'Area-Cabang'!BO$41)</f>
        <v>0</v>
      </c>
      <c r="BP135" s="55">
        <f>SUMIFS('CWO Bulan Ini'!$DC:$DC,'CWO Bulan Ini'!$DJ:$DJ,'Area-Cabang'!$B135,'CWO Bulan Ini'!$DH:$DH,'Area-Cabang'!$E135,'CWO Bulan Ini'!$CZ:$CZ,'Area-Cabang'!BP$41)</f>
        <v>0</v>
      </c>
      <c r="BQ135" s="56">
        <f>SUMIFS('CWO Bulan Ini'!$DC:$DC,'CWO Bulan Ini'!$DJ:$DJ,'Area-Cabang'!$B135,'CWO Bulan Ini'!$DH:$DH,'Area-Cabang'!$E135,'CWO Bulan Ini'!$CZ:$CZ,'Area-Cabang'!BQ$41)</f>
        <v>0</v>
      </c>
      <c r="BR135" s="56">
        <f>SUMIFS('CWO Bulan Ini'!$DC:$DC,'CWO Bulan Ini'!$DJ:$DJ,'Area-Cabang'!$B135,'CWO Bulan Ini'!$DH:$DH,'Area-Cabang'!$E135,'CWO Bulan Ini'!$CZ:$CZ,'Area-Cabang'!BR$41)</f>
        <v>0</v>
      </c>
      <c r="BS135" s="56">
        <f>SUMIFS('CWO Bulan Ini'!$DC:$DC,'CWO Bulan Ini'!$DJ:$DJ,'Area-Cabang'!$B135,'CWO Bulan Ini'!$DH:$DH,'Area-Cabang'!$E135,'CWO Bulan Ini'!$CZ:$CZ,'Area-Cabang'!BS$41)</f>
        <v>0</v>
      </c>
      <c r="BT135" s="56">
        <f>SUMIFS('CWO Bulan Ini'!$DC:$DC,'CWO Bulan Ini'!$DJ:$DJ,'Area-Cabang'!$B135,'CWO Bulan Ini'!$DH:$DH,'Area-Cabang'!$E135,'CWO Bulan Ini'!$CZ:$CZ,'Area-Cabang'!BT$41)</f>
        <v>0</v>
      </c>
      <c r="BU135" s="56">
        <f>SUMIFS('CWO Bulan Ini'!$DC:$DC,'CWO Bulan Ini'!$DJ:$DJ,'Area-Cabang'!$B135,'CWO Bulan Ini'!$DH:$DH,'Area-Cabang'!$E135,'CWO Bulan Ini'!$CZ:$CZ,'Area-Cabang'!BU$41)</f>
        <v>0</v>
      </c>
      <c r="BV135" s="56">
        <f>SUMIFS('CWO Bulan Ini'!$DC:$DC,'CWO Bulan Ini'!$DJ:$DJ,'Area-Cabang'!$B135,'CWO Bulan Ini'!$DH:$DH,'Area-Cabang'!$E135,'CWO Bulan Ini'!$CZ:$CZ,'Area-Cabang'!BV$41)</f>
        <v>0</v>
      </c>
      <c r="BW135" s="56">
        <f>SUMIFS('CWO Bulan Ini'!$DC:$DC,'CWO Bulan Ini'!$DJ:$DJ,'Area-Cabang'!$B135,'CWO Bulan Ini'!$DH:$DH,'Area-Cabang'!$E135,'CWO Bulan Ini'!$CZ:$CZ,'Area-Cabang'!BW$41)</f>
        <v>0</v>
      </c>
      <c r="BX135" s="56">
        <f>SUMIFS('CWO Bulan Ini'!$DC:$DC,'CWO Bulan Ini'!$DJ:$DJ,'Area-Cabang'!$B135,'CWO Bulan Ini'!$DH:$DH,'Area-Cabang'!$E135,'CWO Bulan Ini'!$CZ:$CZ,'Area-Cabang'!BX$41)</f>
        <v>0</v>
      </c>
      <c r="BY135" s="56">
        <f>SUMIFS('CWO Bulan Ini'!$DC:$DC,'CWO Bulan Ini'!$DJ:$DJ,'Area-Cabang'!$B135,'CWO Bulan Ini'!$DH:$DH,'Area-Cabang'!$E135,'CWO Bulan Ini'!$CZ:$CZ,'Area-Cabang'!BY$41)</f>
        <v>0</v>
      </c>
      <c r="BZ135" s="56">
        <f>SUMIFS('CWO Bulan Ini'!$DC:$DC,'CWO Bulan Ini'!$DJ:$DJ,'Area-Cabang'!$B135,'CWO Bulan Ini'!$DH:$DH,'Area-Cabang'!$E135,'CWO Bulan Ini'!$CZ:$CZ,'Area-Cabang'!BZ$41)</f>
        <v>0</v>
      </c>
      <c r="CA135" s="56">
        <f>SUMIFS('CWO Bulan Ini'!$DC:$DC,'CWO Bulan Ini'!$DJ:$DJ,'Area-Cabang'!$B135,'CWO Bulan Ini'!$DH:$DH,'Area-Cabang'!$E135,'CWO Bulan Ini'!$CZ:$CZ,'Area-Cabang'!CA$41)</f>
        <v>0</v>
      </c>
      <c r="CB135" s="56">
        <f>SUMIFS('CWO Bulan Ini'!$DC:$DC,'CWO Bulan Ini'!$DJ:$DJ,'Area-Cabang'!$B135,'CWO Bulan Ini'!$DH:$DH,'Area-Cabang'!$E135,'CWO Bulan Ini'!$CZ:$CZ,'Area-Cabang'!CB$41)</f>
        <v>0</v>
      </c>
      <c r="CC135" s="56">
        <f>SUMIFS('CWO Bulan Ini'!$DC:$DC,'CWO Bulan Ini'!$DJ:$DJ,'Area-Cabang'!$B135,'CWO Bulan Ini'!$DH:$DH,'Area-Cabang'!$E135,'CWO Bulan Ini'!$CZ:$CZ,'Area-Cabang'!CC$41)</f>
        <v>0</v>
      </c>
      <c r="CD135" s="56">
        <f>SUMIFS('CWO Bulan Ini'!$DC:$DC,'CWO Bulan Ini'!$DJ:$DJ,'Area-Cabang'!$B135,'CWO Bulan Ini'!$DH:$DH,'Area-Cabang'!$E135,'CWO Bulan Ini'!$CZ:$CZ,'Area-Cabang'!CD$41)</f>
        <v>0</v>
      </c>
      <c r="CE135" s="56">
        <f>SUMIFS('CWO Bulan Ini'!$DC:$DC,'CWO Bulan Ini'!$DJ:$DJ,'Area-Cabang'!$B135,'CWO Bulan Ini'!$DH:$DH,'Area-Cabang'!$E135,'CWO Bulan Ini'!$CZ:$CZ,'Area-Cabang'!CE$41)</f>
        <v>0</v>
      </c>
      <c r="CF135" s="56">
        <f>SUMIFS('CWO Bulan Ini'!$DC:$DC,'CWO Bulan Ini'!$DJ:$DJ,'Area-Cabang'!$B135,'CWO Bulan Ini'!$DH:$DH,'Area-Cabang'!$E135,'CWO Bulan Ini'!$CZ:$CZ,'Area-Cabang'!CF$41)</f>
        <v>0</v>
      </c>
      <c r="CG135" s="56">
        <f>SUMIFS('CWO Bulan Ini'!$DC:$DC,'CWO Bulan Ini'!$DJ:$DJ,'Area-Cabang'!$B135,'CWO Bulan Ini'!$DH:$DH,'Area-Cabang'!$E135,'CWO Bulan Ini'!$CZ:$CZ,'Area-Cabang'!CG$41)</f>
        <v>0</v>
      </c>
      <c r="CH135" s="56">
        <f>SUMIFS('CWO Bulan Ini'!$DC:$DC,'CWO Bulan Ini'!$DJ:$DJ,'Area-Cabang'!$B135,'CWO Bulan Ini'!$DH:$DH,'Area-Cabang'!$E135,'CWO Bulan Ini'!$CZ:$CZ,'Area-Cabang'!CH$41)</f>
        <v>0</v>
      </c>
      <c r="CI135" s="56">
        <f>SUMIFS('CWO Bulan Ini'!$DC:$DC,'CWO Bulan Ini'!$DJ:$DJ,'Area-Cabang'!$B135,'CWO Bulan Ini'!$DH:$DH,'Area-Cabang'!$E135,'CWO Bulan Ini'!$CZ:$CZ,'Area-Cabang'!CI$41)</f>
        <v>0</v>
      </c>
      <c r="CJ135" s="56">
        <f>SUMIFS('CWO Bulan Ini'!$DC:$DC,'CWO Bulan Ini'!$DJ:$DJ,'Area-Cabang'!$B135,'CWO Bulan Ini'!$DH:$DH,'Area-Cabang'!$E135,'CWO Bulan Ini'!$CZ:$CZ,'Area-Cabang'!CJ$41)</f>
        <v>0</v>
      </c>
      <c r="CK135" s="56">
        <f>SUMIFS('CWO Bulan Ini'!$DC:$DC,'CWO Bulan Ini'!$DJ:$DJ,'Area-Cabang'!$B135,'CWO Bulan Ini'!$DH:$DH,'Area-Cabang'!$E135,'CWO Bulan Ini'!$CZ:$CZ,'Area-Cabang'!CK$41)</f>
        <v>0</v>
      </c>
      <c r="CL135" s="56">
        <f>SUMIFS('CWO Bulan Ini'!$DC:$DC,'CWO Bulan Ini'!$DJ:$DJ,'Area-Cabang'!$B135,'CWO Bulan Ini'!$DH:$DH,'Area-Cabang'!$E135,'CWO Bulan Ini'!$CZ:$CZ,'Area-Cabang'!CL$41)</f>
        <v>0</v>
      </c>
      <c r="CM135" s="56">
        <f>SUMIFS('CWO Bulan Ini'!$DC:$DC,'CWO Bulan Ini'!$DJ:$DJ,'Area-Cabang'!$B135,'CWO Bulan Ini'!$DH:$DH,'Area-Cabang'!$E135,'CWO Bulan Ini'!$CZ:$CZ,'Area-Cabang'!CM$41)</f>
        <v>0</v>
      </c>
      <c r="CN135" s="56">
        <f>SUMIFS('CWO Bulan Ini'!$DC:$DC,'CWO Bulan Ini'!$DJ:$DJ,'Area-Cabang'!$B135,'CWO Bulan Ini'!$DH:$DH,'Area-Cabang'!$E135,'CWO Bulan Ini'!$CZ:$CZ,'Area-Cabang'!CN$41)</f>
        <v>0</v>
      </c>
      <c r="CO135" s="56">
        <f>SUMIFS('CWO Bulan Ini'!$DC:$DC,'CWO Bulan Ini'!$DJ:$DJ,'Area-Cabang'!$B135,'CWO Bulan Ini'!$DH:$DH,'Area-Cabang'!$E135,'CWO Bulan Ini'!$CZ:$CZ,'Area-Cabang'!CO$41)</f>
        <v>0</v>
      </c>
      <c r="CP135" s="56">
        <f>SUMIFS('CWO Bulan Ini'!$DC:$DC,'CWO Bulan Ini'!$DJ:$DJ,'Area-Cabang'!$B135,'CWO Bulan Ini'!$DH:$DH,'Area-Cabang'!$E135,'CWO Bulan Ini'!$CZ:$CZ,'Area-Cabang'!CP$41)</f>
        <v>0</v>
      </c>
      <c r="CQ135" s="56">
        <f>SUMIFS('CWO Bulan Ini'!$DC:$DC,'CWO Bulan Ini'!$DJ:$DJ,'Area-Cabang'!$B135,'CWO Bulan Ini'!$DH:$DH,'Area-Cabang'!$E135,'CWO Bulan Ini'!$CZ:$CZ,'Area-Cabang'!CQ$41)</f>
        <v>0</v>
      </c>
      <c r="CR135" s="56">
        <f>SUMIFS('CWO Bulan Ini'!$DC:$DC,'CWO Bulan Ini'!$DJ:$DJ,'Area-Cabang'!$B135,'CWO Bulan Ini'!$DH:$DH,'Area-Cabang'!$E135,'CWO Bulan Ini'!$CZ:$CZ,'Area-Cabang'!CR$41)</f>
        <v>0</v>
      </c>
      <c r="CS135" s="56">
        <f>SUMIFS('CWO Bulan Ini'!$DC:$DC,'CWO Bulan Ini'!$DJ:$DJ,'Area-Cabang'!$B135,'CWO Bulan Ini'!$DH:$DH,'Area-Cabang'!$E135,'CWO Bulan Ini'!$CZ:$CZ,'Area-Cabang'!CS$41)</f>
        <v>0</v>
      </c>
      <c r="CT135" s="57">
        <f>SUMIFS('CWO Bulan Ini'!$DC:$DC,'CWO Bulan Ini'!$DJ:$DJ,'Area-Cabang'!$B135,'CWO Bulan Ini'!$DH:$DH,'Area-Cabang'!$E135,'CWO Bulan Ini'!$CZ:$CZ,'Area-Cabang'!CT$41)</f>
        <v>0</v>
      </c>
      <c r="CV135" s="97">
        <f t="shared" ref="CV135:CV136" si="4174">SUM(F135:AJ135)</f>
        <v>267.44552297000001</v>
      </c>
      <c r="CW135" s="98">
        <f t="shared" ref="CW135:CW136" si="4175">SUM(AK135:BO135)</f>
        <v>75.428285129999992</v>
      </c>
      <c r="CX135" s="98">
        <f t="shared" ref="CX135:CX136" si="4176">SUM(BP135:CT135)</f>
        <v>0</v>
      </c>
      <c r="CY135" s="98">
        <f t="shared" ref="CY135:CY136" si="4177">CV135-CW135-CX135</f>
        <v>192.01723784000001</v>
      </c>
      <c r="CZ135" s="105">
        <f t="shared" ref="CZ135:CZ136" si="4178">CY135+CW135</f>
        <v>267.44552297000001</v>
      </c>
    </row>
    <row r="136" spans="1:104" ht="15" customHeight="1" x14ac:dyDescent="0.25">
      <c r="A136" s="58" t="s">
        <v>454</v>
      </c>
      <c r="B136" s="58" t="s">
        <v>399</v>
      </c>
      <c r="C136" s="250"/>
      <c r="D136" s="244"/>
      <c r="E136" s="40" t="s">
        <v>349</v>
      </c>
      <c r="F136" s="41">
        <f>SUMIFS('CWO Bulan Ini'!$DA:$DA,'CWO Bulan Ini'!$DJ:$DJ,'Area-Cabang'!$B136,'CWO Bulan Ini'!$DH:$DH,'Area-Cabang'!$E136,'CWO Bulan Ini'!$CZ:$CZ,'Area-Cabang'!F$41)</f>
        <v>0</v>
      </c>
      <c r="G136" s="42">
        <f>SUMIFS('CWO Bulan Ini'!$DA:$DA,'CWO Bulan Ini'!$DJ:$DJ,'Area-Cabang'!$B136,'CWO Bulan Ini'!$DH:$DH,'Area-Cabang'!$E136,'CWO Bulan Ini'!$CZ:$CZ,'Area-Cabang'!G$41)</f>
        <v>0</v>
      </c>
      <c r="H136" s="42">
        <f>SUMIFS('CWO Bulan Ini'!$DA:$DA,'CWO Bulan Ini'!$DJ:$DJ,'Area-Cabang'!$B136,'CWO Bulan Ini'!$DH:$DH,'Area-Cabang'!$E136,'CWO Bulan Ini'!$CZ:$CZ,'Area-Cabang'!H$41)</f>
        <v>0</v>
      </c>
      <c r="I136" s="42">
        <f>SUMIFS('CWO Bulan Ini'!$DA:$DA,'CWO Bulan Ini'!$DJ:$DJ,'Area-Cabang'!$B136,'CWO Bulan Ini'!$DH:$DH,'Area-Cabang'!$E136,'CWO Bulan Ini'!$CZ:$CZ,'Area-Cabang'!I$41)</f>
        <v>0</v>
      </c>
      <c r="J136" s="42">
        <f>SUMIFS('CWO Bulan Ini'!$DA:$DA,'CWO Bulan Ini'!$DJ:$DJ,'Area-Cabang'!$B136,'CWO Bulan Ini'!$DH:$DH,'Area-Cabang'!$E136,'CWO Bulan Ini'!$CZ:$CZ,'Area-Cabang'!J$41)</f>
        <v>0</v>
      </c>
      <c r="K136" s="42">
        <f>SUMIFS('CWO Bulan Ini'!$DA:$DA,'CWO Bulan Ini'!$DJ:$DJ,'Area-Cabang'!$B136,'CWO Bulan Ini'!$DH:$DH,'Area-Cabang'!$E136,'CWO Bulan Ini'!$CZ:$CZ,'Area-Cabang'!K$41)</f>
        <v>0</v>
      </c>
      <c r="L136" s="42">
        <f>SUMIFS('CWO Bulan Ini'!$DA:$DA,'CWO Bulan Ini'!$DJ:$DJ,'Area-Cabang'!$B136,'CWO Bulan Ini'!$DH:$DH,'Area-Cabang'!$E136,'CWO Bulan Ini'!$CZ:$CZ,'Area-Cabang'!L$41)</f>
        <v>0</v>
      </c>
      <c r="M136" s="42">
        <f>SUMIFS('CWO Bulan Ini'!$DA:$DA,'CWO Bulan Ini'!$DJ:$DJ,'Area-Cabang'!$B136,'CWO Bulan Ini'!$DH:$DH,'Area-Cabang'!$E136,'CWO Bulan Ini'!$CZ:$CZ,'Area-Cabang'!M$41)</f>
        <v>0</v>
      </c>
      <c r="N136" s="42">
        <f>SUMIFS('CWO Bulan Ini'!$DA:$DA,'CWO Bulan Ini'!$DJ:$DJ,'Area-Cabang'!$B136,'CWO Bulan Ini'!$DH:$DH,'Area-Cabang'!$E136,'CWO Bulan Ini'!$CZ:$CZ,'Area-Cabang'!N$41)</f>
        <v>0</v>
      </c>
      <c r="O136" s="42">
        <f>SUMIFS('CWO Bulan Ini'!$DA:$DA,'CWO Bulan Ini'!$DJ:$DJ,'Area-Cabang'!$B136,'CWO Bulan Ini'!$DH:$DH,'Area-Cabang'!$E136,'CWO Bulan Ini'!$CZ:$CZ,'Area-Cabang'!O$41)</f>
        <v>0</v>
      </c>
      <c r="P136" s="42">
        <f>SUMIFS('CWO Bulan Ini'!$DA:$DA,'CWO Bulan Ini'!$DJ:$DJ,'Area-Cabang'!$B136,'CWO Bulan Ini'!$DH:$DH,'Area-Cabang'!$E136,'CWO Bulan Ini'!$CZ:$CZ,'Area-Cabang'!P$41)</f>
        <v>0</v>
      </c>
      <c r="Q136" s="42">
        <f>SUMIFS('CWO Bulan Ini'!$DA:$DA,'CWO Bulan Ini'!$DJ:$DJ,'Area-Cabang'!$B136,'CWO Bulan Ini'!$DH:$DH,'Area-Cabang'!$E136,'CWO Bulan Ini'!$CZ:$CZ,'Area-Cabang'!Q$41)</f>
        <v>0</v>
      </c>
      <c r="R136" s="42">
        <f>SUMIFS('CWO Bulan Ini'!$DA:$DA,'CWO Bulan Ini'!$DJ:$DJ,'Area-Cabang'!$B136,'CWO Bulan Ini'!$DH:$DH,'Area-Cabang'!$E136,'CWO Bulan Ini'!$CZ:$CZ,'Area-Cabang'!R$41)</f>
        <v>0</v>
      </c>
      <c r="S136" s="42">
        <f>SUMIFS('CWO Bulan Ini'!$DA:$DA,'CWO Bulan Ini'!$DJ:$DJ,'Area-Cabang'!$B136,'CWO Bulan Ini'!$DH:$DH,'Area-Cabang'!$E136,'CWO Bulan Ini'!$CZ:$CZ,'Area-Cabang'!S$41)</f>
        <v>0</v>
      </c>
      <c r="T136" s="42">
        <f>SUMIFS('CWO Bulan Ini'!$DA:$DA,'CWO Bulan Ini'!$DJ:$DJ,'Area-Cabang'!$B136,'CWO Bulan Ini'!$DH:$DH,'Area-Cabang'!$E136,'CWO Bulan Ini'!$CZ:$CZ,'Area-Cabang'!T$41)</f>
        <v>0</v>
      </c>
      <c r="U136" s="42">
        <f>SUMIFS('CWO Bulan Ini'!$DA:$DA,'CWO Bulan Ini'!$DJ:$DJ,'Area-Cabang'!$B136,'CWO Bulan Ini'!$DH:$DH,'Area-Cabang'!$E136,'CWO Bulan Ini'!$CZ:$CZ,'Area-Cabang'!U$41)</f>
        <v>0</v>
      </c>
      <c r="V136" s="42">
        <f>SUMIFS('CWO Bulan Ini'!$DA:$DA,'CWO Bulan Ini'!$DJ:$DJ,'Area-Cabang'!$B136,'CWO Bulan Ini'!$DH:$DH,'Area-Cabang'!$E136,'CWO Bulan Ini'!$CZ:$CZ,'Area-Cabang'!V$41)</f>
        <v>0</v>
      </c>
      <c r="W136" s="42">
        <f>SUMIFS('CWO Bulan Ini'!$DA:$DA,'CWO Bulan Ini'!$DJ:$DJ,'Area-Cabang'!$B136,'CWO Bulan Ini'!$DH:$DH,'Area-Cabang'!$E136,'CWO Bulan Ini'!$CZ:$CZ,'Area-Cabang'!W$41)</f>
        <v>0</v>
      </c>
      <c r="X136" s="42">
        <f>SUMIFS('CWO Bulan Ini'!$DA:$DA,'CWO Bulan Ini'!$DJ:$DJ,'Area-Cabang'!$B136,'CWO Bulan Ini'!$DH:$DH,'Area-Cabang'!$E136,'CWO Bulan Ini'!$CZ:$CZ,'Area-Cabang'!X$41)</f>
        <v>0</v>
      </c>
      <c r="Y136" s="42">
        <f>SUMIFS('CWO Bulan Ini'!$DA:$DA,'CWO Bulan Ini'!$DJ:$DJ,'Area-Cabang'!$B136,'CWO Bulan Ini'!$DH:$DH,'Area-Cabang'!$E136,'CWO Bulan Ini'!$CZ:$CZ,'Area-Cabang'!Y$41)</f>
        <v>0</v>
      </c>
      <c r="Z136" s="42">
        <f>SUMIFS('CWO Bulan Ini'!$DA:$DA,'CWO Bulan Ini'!$DJ:$DJ,'Area-Cabang'!$B136,'CWO Bulan Ini'!$DH:$DH,'Area-Cabang'!$E136,'CWO Bulan Ini'!$CZ:$CZ,'Area-Cabang'!Z$41)</f>
        <v>0</v>
      </c>
      <c r="AA136" s="42">
        <f>SUMIFS('CWO Bulan Ini'!$DA:$DA,'CWO Bulan Ini'!$DJ:$DJ,'Area-Cabang'!$B136,'CWO Bulan Ini'!$DH:$DH,'Area-Cabang'!$E136,'CWO Bulan Ini'!$CZ:$CZ,'Area-Cabang'!AA$41)</f>
        <v>0</v>
      </c>
      <c r="AB136" s="42">
        <f>SUMIFS('CWO Bulan Ini'!$DA:$DA,'CWO Bulan Ini'!$DJ:$DJ,'Area-Cabang'!$B136,'CWO Bulan Ini'!$DH:$DH,'Area-Cabang'!$E136,'CWO Bulan Ini'!$CZ:$CZ,'Area-Cabang'!AB$41)</f>
        <v>0</v>
      </c>
      <c r="AC136" s="42">
        <f>SUMIFS('CWO Bulan Ini'!$DA:$DA,'CWO Bulan Ini'!$DJ:$DJ,'Area-Cabang'!$B136,'CWO Bulan Ini'!$DH:$DH,'Area-Cabang'!$E136,'CWO Bulan Ini'!$CZ:$CZ,'Area-Cabang'!AC$41)</f>
        <v>0</v>
      </c>
      <c r="AD136" s="42">
        <f>SUMIFS('CWO Bulan Ini'!$DA:$DA,'CWO Bulan Ini'!$DJ:$DJ,'Area-Cabang'!$B136,'CWO Bulan Ini'!$DH:$DH,'Area-Cabang'!$E136,'CWO Bulan Ini'!$CZ:$CZ,'Area-Cabang'!AD$41)</f>
        <v>0</v>
      </c>
      <c r="AE136" s="42">
        <f>SUMIFS('CWO Bulan Ini'!$DA:$DA,'CWO Bulan Ini'!$DJ:$DJ,'Area-Cabang'!$B136,'CWO Bulan Ini'!$DH:$DH,'Area-Cabang'!$E136,'CWO Bulan Ini'!$CZ:$CZ,'Area-Cabang'!AE$41)</f>
        <v>0</v>
      </c>
      <c r="AF136" s="42">
        <f>SUMIFS('CWO Bulan Ini'!$DA:$DA,'CWO Bulan Ini'!$DJ:$DJ,'Area-Cabang'!$B136,'CWO Bulan Ini'!$DH:$DH,'Area-Cabang'!$E136,'CWO Bulan Ini'!$CZ:$CZ,'Area-Cabang'!AF$41)</f>
        <v>0</v>
      </c>
      <c r="AG136" s="42">
        <f>SUMIFS('CWO Bulan Ini'!$DA:$DA,'CWO Bulan Ini'!$DJ:$DJ,'Area-Cabang'!$B136,'CWO Bulan Ini'!$DH:$DH,'Area-Cabang'!$E136,'CWO Bulan Ini'!$CZ:$CZ,'Area-Cabang'!AG$41)</f>
        <v>0</v>
      </c>
      <c r="AH136" s="42">
        <f>SUMIFS('CWO Bulan Ini'!$DA:$DA,'CWO Bulan Ini'!$DJ:$DJ,'Area-Cabang'!$B136,'CWO Bulan Ini'!$DH:$DH,'Area-Cabang'!$E136,'CWO Bulan Ini'!$CZ:$CZ,'Area-Cabang'!AH$41)</f>
        <v>0</v>
      </c>
      <c r="AI136" s="42">
        <f>SUMIFS('CWO Bulan Ini'!$DA:$DA,'CWO Bulan Ini'!$DJ:$DJ,'Area-Cabang'!$B136,'CWO Bulan Ini'!$DH:$DH,'Area-Cabang'!$E136,'CWO Bulan Ini'!$CZ:$CZ,'Area-Cabang'!AI$41)</f>
        <v>0</v>
      </c>
      <c r="AJ136" s="42">
        <f>SUMIFS('CWO Bulan Ini'!$DA:$DA,'CWO Bulan Ini'!$DJ:$DJ,'Area-Cabang'!$B136,'CWO Bulan Ini'!$DH:$DH,'Area-Cabang'!$E136,'CWO Bulan Ini'!$CZ:$CZ,'Area-Cabang'!AJ$41)</f>
        <v>0</v>
      </c>
      <c r="AK136" s="41">
        <f>SUMIFS('CWO Bulan Ini'!$DD:$DD,'CWO Bulan Ini'!$DJ:$DJ,'Area-Cabang'!$B136,'CWO Bulan Ini'!$DH:$DH,'Area-Cabang'!$E136,'CWO Bulan Ini'!$CZ:$CZ,'Area-Cabang'!AK$41)</f>
        <v>0</v>
      </c>
      <c r="AL136" s="42">
        <f>SUMIFS('CWO Bulan Ini'!$DD:$DD,'CWO Bulan Ini'!$DJ:$DJ,'Area-Cabang'!$B136,'CWO Bulan Ini'!$DH:$DH,'Area-Cabang'!$E136,'CWO Bulan Ini'!$CZ:$CZ,'Area-Cabang'!AL$41)</f>
        <v>0</v>
      </c>
      <c r="AM136" s="42">
        <f>SUMIFS('CWO Bulan Ini'!$DD:$DD,'CWO Bulan Ini'!$DJ:$DJ,'Area-Cabang'!$B136,'CWO Bulan Ini'!$DH:$DH,'Area-Cabang'!$E136,'CWO Bulan Ini'!$CZ:$CZ,'Area-Cabang'!AM$41)</f>
        <v>0</v>
      </c>
      <c r="AN136" s="42">
        <f>SUMIFS('CWO Bulan Ini'!$DD:$DD,'CWO Bulan Ini'!$DJ:$DJ,'Area-Cabang'!$B136,'CWO Bulan Ini'!$DH:$DH,'Area-Cabang'!$E136,'CWO Bulan Ini'!$CZ:$CZ,'Area-Cabang'!AN$41)</f>
        <v>0</v>
      </c>
      <c r="AO136" s="42">
        <f>SUMIFS('CWO Bulan Ini'!$DD:$DD,'CWO Bulan Ini'!$DJ:$DJ,'Area-Cabang'!$B136,'CWO Bulan Ini'!$DH:$DH,'Area-Cabang'!$E136,'CWO Bulan Ini'!$CZ:$CZ,'Area-Cabang'!AO$41)</f>
        <v>0</v>
      </c>
      <c r="AP136" s="42">
        <f>SUMIFS('CWO Bulan Ini'!$DD:$DD,'CWO Bulan Ini'!$DJ:$DJ,'Area-Cabang'!$B136,'CWO Bulan Ini'!$DH:$DH,'Area-Cabang'!$E136,'CWO Bulan Ini'!$CZ:$CZ,'Area-Cabang'!AP$41)</f>
        <v>0</v>
      </c>
      <c r="AQ136" s="42">
        <f>SUMIFS('CWO Bulan Ini'!$DD:$DD,'CWO Bulan Ini'!$DJ:$DJ,'Area-Cabang'!$B136,'CWO Bulan Ini'!$DH:$DH,'Area-Cabang'!$E136,'CWO Bulan Ini'!$CZ:$CZ,'Area-Cabang'!AQ$41)</f>
        <v>0</v>
      </c>
      <c r="AR136" s="42">
        <f>SUMIFS('CWO Bulan Ini'!$DD:$DD,'CWO Bulan Ini'!$DJ:$DJ,'Area-Cabang'!$B136,'CWO Bulan Ini'!$DH:$DH,'Area-Cabang'!$E136,'CWO Bulan Ini'!$CZ:$CZ,'Area-Cabang'!AR$41)</f>
        <v>0</v>
      </c>
      <c r="AS136" s="42">
        <f>SUMIFS('CWO Bulan Ini'!$DD:$DD,'CWO Bulan Ini'!$DJ:$DJ,'Area-Cabang'!$B136,'CWO Bulan Ini'!$DH:$DH,'Area-Cabang'!$E136,'CWO Bulan Ini'!$CZ:$CZ,'Area-Cabang'!AS$41)</f>
        <v>0</v>
      </c>
      <c r="AT136" s="42">
        <f>SUMIFS('CWO Bulan Ini'!$DD:$DD,'CWO Bulan Ini'!$DJ:$DJ,'Area-Cabang'!$B136,'CWO Bulan Ini'!$DH:$DH,'Area-Cabang'!$E136,'CWO Bulan Ini'!$CZ:$CZ,'Area-Cabang'!AT$41)</f>
        <v>0</v>
      </c>
      <c r="AU136" s="42">
        <f>SUMIFS('CWO Bulan Ini'!$DD:$DD,'CWO Bulan Ini'!$DJ:$DJ,'Area-Cabang'!$B136,'CWO Bulan Ini'!$DH:$DH,'Area-Cabang'!$E136,'CWO Bulan Ini'!$CZ:$CZ,'Area-Cabang'!AU$41)</f>
        <v>0</v>
      </c>
      <c r="AV136" s="42">
        <f>SUMIFS('CWO Bulan Ini'!$DD:$DD,'CWO Bulan Ini'!$DJ:$DJ,'Area-Cabang'!$B136,'CWO Bulan Ini'!$DH:$DH,'Area-Cabang'!$E136,'CWO Bulan Ini'!$CZ:$CZ,'Area-Cabang'!AV$41)</f>
        <v>0</v>
      </c>
      <c r="AW136" s="42">
        <f>SUMIFS('CWO Bulan Ini'!$DD:$DD,'CWO Bulan Ini'!$DJ:$DJ,'Area-Cabang'!$B136,'CWO Bulan Ini'!$DH:$DH,'Area-Cabang'!$E136,'CWO Bulan Ini'!$CZ:$CZ,'Area-Cabang'!AW$41)</f>
        <v>0</v>
      </c>
      <c r="AX136" s="42">
        <f>SUMIFS('CWO Bulan Ini'!$DD:$DD,'CWO Bulan Ini'!$DJ:$DJ,'Area-Cabang'!$B136,'CWO Bulan Ini'!$DH:$DH,'Area-Cabang'!$E136,'CWO Bulan Ini'!$CZ:$CZ,'Area-Cabang'!AX$41)</f>
        <v>0</v>
      </c>
      <c r="AY136" s="42">
        <f>SUMIFS('CWO Bulan Ini'!$DD:$DD,'CWO Bulan Ini'!$DJ:$DJ,'Area-Cabang'!$B136,'CWO Bulan Ini'!$DH:$DH,'Area-Cabang'!$E136,'CWO Bulan Ini'!$CZ:$CZ,'Area-Cabang'!AY$41)</f>
        <v>0</v>
      </c>
      <c r="AZ136" s="42">
        <f>SUMIFS('CWO Bulan Ini'!$DD:$DD,'CWO Bulan Ini'!$DJ:$DJ,'Area-Cabang'!$B136,'CWO Bulan Ini'!$DH:$DH,'Area-Cabang'!$E136,'CWO Bulan Ini'!$CZ:$CZ,'Area-Cabang'!AZ$41)</f>
        <v>0</v>
      </c>
      <c r="BA136" s="42">
        <f>SUMIFS('CWO Bulan Ini'!$DD:$DD,'CWO Bulan Ini'!$DJ:$DJ,'Area-Cabang'!$B136,'CWO Bulan Ini'!$DH:$DH,'Area-Cabang'!$E136,'CWO Bulan Ini'!$CZ:$CZ,'Area-Cabang'!BA$41)</f>
        <v>0</v>
      </c>
      <c r="BB136" s="42">
        <f>SUMIFS('CWO Bulan Ini'!$DD:$DD,'CWO Bulan Ini'!$DJ:$DJ,'Area-Cabang'!$B136,'CWO Bulan Ini'!$DH:$DH,'Area-Cabang'!$E136,'CWO Bulan Ini'!$CZ:$CZ,'Area-Cabang'!BB$41)</f>
        <v>0</v>
      </c>
      <c r="BC136" s="42">
        <f>SUMIFS('CWO Bulan Ini'!$DD:$DD,'CWO Bulan Ini'!$DJ:$DJ,'Area-Cabang'!$B136,'CWO Bulan Ini'!$DH:$DH,'Area-Cabang'!$E136,'CWO Bulan Ini'!$CZ:$CZ,'Area-Cabang'!BC$41)</f>
        <v>0</v>
      </c>
      <c r="BD136" s="42">
        <f>SUMIFS('CWO Bulan Ini'!$DD:$DD,'CWO Bulan Ini'!$DJ:$DJ,'Area-Cabang'!$B136,'CWO Bulan Ini'!$DH:$DH,'Area-Cabang'!$E136,'CWO Bulan Ini'!$CZ:$CZ,'Area-Cabang'!BD$41)</f>
        <v>0</v>
      </c>
      <c r="BE136" s="42">
        <f>SUMIFS('CWO Bulan Ini'!$DD:$DD,'CWO Bulan Ini'!$DJ:$DJ,'Area-Cabang'!$B136,'CWO Bulan Ini'!$DH:$DH,'Area-Cabang'!$E136,'CWO Bulan Ini'!$CZ:$CZ,'Area-Cabang'!BE$41)</f>
        <v>0</v>
      </c>
      <c r="BF136" s="42">
        <f>SUMIFS('CWO Bulan Ini'!$DD:$DD,'CWO Bulan Ini'!$DJ:$DJ,'Area-Cabang'!$B136,'CWO Bulan Ini'!$DH:$DH,'Area-Cabang'!$E136,'CWO Bulan Ini'!$CZ:$CZ,'Area-Cabang'!BF$41)</f>
        <v>0</v>
      </c>
      <c r="BG136" s="42">
        <f>SUMIFS('CWO Bulan Ini'!$DD:$DD,'CWO Bulan Ini'!$DJ:$DJ,'Area-Cabang'!$B136,'CWO Bulan Ini'!$DH:$DH,'Area-Cabang'!$E136,'CWO Bulan Ini'!$CZ:$CZ,'Area-Cabang'!BG$41)</f>
        <v>0</v>
      </c>
      <c r="BH136" s="42">
        <f>SUMIFS('CWO Bulan Ini'!$DD:$DD,'CWO Bulan Ini'!$DJ:$DJ,'Area-Cabang'!$B136,'CWO Bulan Ini'!$DH:$DH,'Area-Cabang'!$E136,'CWO Bulan Ini'!$CZ:$CZ,'Area-Cabang'!BH$41)</f>
        <v>0</v>
      </c>
      <c r="BI136" s="42">
        <f>SUMIFS('CWO Bulan Ini'!$DD:$DD,'CWO Bulan Ini'!$DJ:$DJ,'Area-Cabang'!$B136,'CWO Bulan Ini'!$DH:$DH,'Area-Cabang'!$E136,'CWO Bulan Ini'!$CZ:$CZ,'Area-Cabang'!BI$41)</f>
        <v>0</v>
      </c>
      <c r="BJ136" s="42">
        <f>SUMIFS('CWO Bulan Ini'!$DD:$DD,'CWO Bulan Ini'!$DJ:$DJ,'Area-Cabang'!$B136,'CWO Bulan Ini'!$DH:$DH,'Area-Cabang'!$E136,'CWO Bulan Ini'!$CZ:$CZ,'Area-Cabang'!BJ$41)</f>
        <v>0</v>
      </c>
      <c r="BK136" s="42">
        <f>SUMIFS('CWO Bulan Ini'!$DD:$DD,'CWO Bulan Ini'!$DJ:$DJ,'Area-Cabang'!$B136,'CWO Bulan Ini'!$DH:$DH,'Area-Cabang'!$E136,'CWO Bulan Ini'!$CZ:$CZ,'Area-Cabang'!BK$41)</f>
        <v>0</v>
      </c>
      <c r="BL136" s="42">
        <f>SUMIFS('CWO Bulan Ini'!$DD:$DD,'CWO Bulan Ini'!$DJ:$DJ,'Area-Cabang'!$B136,'CWO Bulan Ini'!$DH:$DH,'Area-Cabang'!$E136,'CWO Bulan Ini'!$CZ:$CZ,'Area-Cabang'!BL$41)</f>
        <v>0</v>
      </c>
      <c r="BM136" s="42">
        <f>SUMIFS('CWO Bulan Ini'!$DD:$DD,'CWO Bulan Ini'!$DJ:$DJ,'Area-Cabang'!$B136,'CWO Bulan Ini'!$DH:$DH,'Area-Cabang'!$E136,'CWO Bulan Ini'!$CZ:$CZ,'Area-Cabang'!BM$41)</f>
        <v>0</v>
      </c>
      <c r="BN136" s="42">
        <f>SUMIFS('CWO Bulan Ini'!$DD:$DD,'CWO Bulan Ini'!$DJ:$DJ,'Area-Cabang'!$B136,'CWO Bulan Ini'!$DH:$DH,'Area-Cabang'!$E136,'CWO Bulan Ini'!$CZ:$CZ,'Area-Cabang'!BN$41)</f>
        <v>0</v>
      </c>
      <c r="BO136" s="43">
        <f>SUMIFS('CWO Bulan Ini'!$DD:$DD,'CWO Bulan Ini'!$DJ:$DJ,'Area-Cabang'!$B136,'CWO Bulan Ini'!$DH:$DH,'Area-Cabang'!$E136,'CWO Bulan Ini'!$CZ:$CZ,'Area-Cabang'!BO$41)</f>
        <v>0</v>
      </c>
      <c r="BP136" s="41">
        <f>SUMIFS('CWO Bulan Ini'!$DC:$DC,'CWO Bulan Ini'!$DJ:$DJ,'Area-Cabang'!$B136,'CWO Bulan Ini'!$DH:$DH,'Area-Cabang'!$E136,'CWO Bulan Ini'!$CZ:$CZ,'Area-Cabang'!BP$41)</f>
        <v>0</v>
      </c>
      <c r="BQ136" s="42">
        <f>SUMIFS('CWO Bulan Ini'!$DC:$DC,'CWO Bulan Ini'!$DJ:$DJ,'Area-Cabang'!$B136,'CWO Bulan Ini'!$DH:$DH,'Area-Cabang'!$E136,'CWO Bulan Ini'!$CZ:$CZ,'Area-Cabang'!BQ$41)</f>
        <v>0</v>
      </c>
      <c r="BR136" s="42">
        <f>SUMIFS('CWO Bulan Ini'!$DC:$DC,'CWO Bulan Ini'!$DJ:$DJ,'Area-Cabang'!$B136,'CWO Bulan Ini'!$DH:$DH,'Area-Cabang'!$E136,'CWO Bulan Ini'!$CZ:$CZ,'Area-Cabang'!BR$41)</f>
        <v>0</v>
      </c>
      <c r="BS136" s="42">
        <f>SUMIFS('CWO Bulan Ini'!$DC:$DC,'CWO Bulan Ini'!$DJ:$DJ,'Area-Cabang'!$B136,'CWO Bulan Ini'!$DH:$DH,'Area-Cabang'!$E136,'CWO Bulan Ini'!$CZ:$CZ,'Area-Cabang'!BS$41)</f>
        <v>0</v>
      </c>
      <c r="BT136" s="42">
        <f>SUMIFS('CWO Bulan Ini'!$DC:$DC,'CWO Bulan Ini'!$DJ:$DJ,'Area-Cabang'!$B136,'CWO Bulan Ini'!$DH:$DH,'Area-Cabang'!$E136,'CWO Bulan Ini'!$CZ:$CZ,'Area-Cabang'!BT$41)</f>
        <v>0</v>
      </c>
      <c r="BU136" s="42">
        <f>SUMIFS('CWO Bulan Ini'!$DC:$DC,'CWO Bulan Ini'!$DJ:$DJ,'Area-Cabang'!$B136,'CWO Bulan Ini'!$DH:$DH,'Area-Cabang'!$E136,'CWO Bulan Ini'!$CZ:$CZ,'Area-Cabang'!BU$41)</f>
        <v>0</v>
      </c>
      <c r="BV136" s="42">
        <f>SUMIFS('CWO Bulan Ini'!$DC:$DC,'CWO Bulan Ini'!$DJ:$DJ,'Area-Cabang'!$B136,'CWO Bulan Ini'!$DH:$DH,'Area-Cabang'!$E136,'CWO Bulan Ini'!$CZ:$CZ,'Area-Cabang'!BV$41)</f>
        <v>0</v>
      </c>
      <c r="BW136" s="42">
        <f>SUMIFS('CWO Bulan Ini'!$DC:$DC,'CWO Bulan Ini'!$DJ:$DJ,'Area-Cabang'!$B136,'CWO Bulan Ini'!$DH:$DH,'Area-Cabang'!$E136,'CWO Bulan Ini'!$CZ:$CZ,'Area-Cabang'!BW$41)</f>
        <v>0</v>
      </c>
      <c r="BX136" s="42">
        <f>SUMIFS('CWO Bulan Ini'!$DC:$DC,'CWO Bulan Ini'!$DJ:$DJ,'Area-Cabang'!$B136,'CWO Bulan Ini'!$DH:$DH,'Area-Cabang'!$E136,'CWO Bulan Ini'!$CZ:$CZ,'Area-Cabang'!BX$41)</f>
        <v>0</v>
      </c>
      <c r="BY136" s="42">
        <f>SUMIFS('CWO Bulan Ini'!$DC:$DC,'CWO Bulan Ini'!$DJ:$DJ,'Area-Cabang'!$B136,'CWO Bulan Ini'!$DH:$DH,'Area-Cabang'!$E136,'CWO Bulan Ini'!$CZ:$CZ,'Area-Cabang'!BY$41)</f>
        <v>0</v>
      </c>
      <c r="BZ136" s="42">
        <f>SUMIFS('CWO Bulan Ini'!$DC:$DC,'CWO Bulan Ini'!$DJ:$DJ,'Area-Cabang'!$B136,'CWO Bulan Ini'!$DH:$DH,'Area-Cabang'!$E136,'CWO Bulan Ini'!$CZ:$CZ,'Area-Cabang'!BZ$41)</f>
        <v>0</v>
      </c>
      <c r="CA136" s="42">
        <f>SUMIFS('CWO Bulan Ini'!$DC:$DC,'CWO Bulan Ini'!$DJ:$DJ,'Area-Cabang'!$B136,'CWO Bulan Ini'!$DH:$DH,'Area-Cabang'!$E136,'CWO Bulan Ini'!$CZ:$CZ,'Area-Cabang'!CA$41)</f>
        <v>0</v>
      </c>
      <c r="CB136" s="42">
        <f>SUMIFS('CWO Bulan Ini'!$DC:$DC,'CWO Bulan Ini'!$DJ:$DJ,'Area-Cabang'!$B136,'CWO Bulan Ini'!$DH:$DH,'Area-Cabang'!$E136,'CWO Bulan Ini'!$CZ:$CZ,'Area-Cabang'!CB$41)</f>
        <v>0</v>
      </c>
      <c r="CC136" s="42">
        <f>SUMIFS('CWO Bulan Ini'!$DC:$DC,'CWO Bulan Ini'!$DJ:$DJ,'Area-Cabang'!$B136,'CWO Bulan Ini'!$DH:$DH,'Area-Cabang'!$E136,'CWO Bulan Ini'!$CZ:$CZ,'Area-Cabang'!CC$41)</f>
        <v>0</v>
      </c>
      <c r="CD136" s="42">
        <f>SUMIFS('CWO Bulan Ini'!$DC:$DC,'CWO Bulan Ini'!$DJ:$DJ,'Area-Cabang'!$B136,'CWO Bulan Ini'!$DH:$DH,'Area-Cabang'!$E136,'CWO Bulan Ini'!$CZ:$CZ,'Area-Cabang'!CD$41)</f>
        <v>0</v>
      </c>
      <c r="CE136" s="42">
        <f>SUMIFS('CWO Bulan Ini'!$DC:$DC,'CWO Bulan Ini'!$DJ:$DJ,'Area-Cabang'!$B136,'CWO Bulan Ini'!$DH:$DH,'Area-Cabang'!$E136,'CWO Bulan Ini'!$CZ:$CZ,'Area-Cabang'!CE$41)</f>
        <v>0</v>
      </c>
      <c r="CF136" s="42">
        <f>SUMIFS('CWO Bulan Ini'!$DC:$DC,'CWO Bulan Ini'!$DJ:$DJ,'Area-Cabang'!$B136,'CWO Bulan Ini'!$DH:$DH,'Area-Cabang'!$E136,'CWO Bulan Ini'!$CZ:$CZ,'Area-Cabang'!CF$41)</f>
        <v>0</v>
      </c>
      <c r="CG136" s="42">
        <f>SUMIFS('CWO Bulan Ini'!$DC:$DC,'CWO Bulan Ini'!$DJ:$DJ,'Area-Cabang'!$B136,'CWO Bulan Ini'!$DH:$DH,'Area-Cabang'!$E136,'CWO Bulan Ini'!$CZ:$CZ,'Area-Cabang'!CG$41)</f>
        <v>0</v>
      </c>
      <c r="CH136" s="42">
        <f>SUMIFS('CWO Bulan Ini'!$DC:$DC,'CWO Bulan Ini'!$DJ:$DJ,'Area-Cabang'!$B136,'CWO Bulan Ini'!$DH:$DH,'Area-Cabang'!$E136,'CWO Bulan Ini'!$CZ:$CZ,'Area-Cabang'!CH$41)</f>
        <v>0</v>
      </c>
      <c r="CI136" s="42">
        <f>SUMIFS('CWO Bulan Ini'!$DC:$DC,'CWO Bulan Ini'!$DJ:$DJ,'Area-Cabang'!$B136,'CWO Bulan Ini'!$DH:$DH,'Area-Cabang'!$E136,'CWO Bulan Ini'!$CZ:$CZ,'Area-Cabang'!CI$41)</f>
        <v>0</v>
      </c>
      <c r="CJ136" s="42">
        <f>SUMIFS('CWO Bulan Ini'!$DC:$DC,'CWO Bulan Ini'!$DJ:$DJ,'Area-Cabang'!$B136,'CWO Bulan Ini'!$DH:$DH,'Area-Cabang'!$E136,'CWO Bulan Ini'!$CZ:$CZ,'Area-Cabang'!CJ$41)</f>
        <v>0</v>
      </c>
      <c r="CK136" s="42">
        <f>SUMIFS('CWO Bulan Ini'!$DC:$DC,'CWO Bulan Ini'!$DJ:$DJ,'Area-Cabang'!$B136,'CWO Bulan Ini'!$DH:$DH,'Area-Cabang'!$E136,'CWO Bulan Ini'!$CZ:$CZ,'Area-Cabang'!CK$41)</f>
        <v>0</v>
      </c>
      <c r="CL136" s="42">
        <f>SUMIFS('CWO Bulan Ini'!$DC:$DC,'CWO Bulan Ini'!$DJ:$DJ,'Area-Cabang'!$B136,'CWO Bulan Ini'!$DH:$DH,'Area-Cabang'!$E136,'CWO Bulan Ini'!$CZ:$CZ,'Area-Cabang'!CL$41)</f>
        <v>0</v>
      </c>
      <c r="CM136" s="42">
        <f>SUMIFS('CWO Bulan Ini'!$DC:$DC,'CWO Bulan Ini'!$DJ:$DJ,'Area-Cabang'!$B136,'CWO Bulan Ini'!$DH:$DH,'Area-Cabang'!$E136,'CWO Bulan Ini'!$CZ:$CZ,'Area-Cabang'!CM$41)</f>
        <v>0</v>
      </c>
      <c r="CN136" s="42">
        <f>SUMIFS('CWO Bulan Ini'!$DC:$DC,'CWO Bulan Ini'!$DJ:$DJ,'Area-Cabang'!$B136,'CWO Bulan Ini'!$DH:$DH,'Area-Cabang'!$E136,'CWO Bulan Ini'!$CZ:$CZ,'Area-Cabang'!CN$41)</f>
        <v>0</v>
      </c>
      <c r="CO136" s="42">
        <f>SUMIFS('CWO Bulan Ini'!$DC:$DC,'CWO Bulan Ini'!$DJ:$DJ,'Area-Cabang'!$B136,'CWO Bulan Ini'!$DH:$DH,'Area-Cabang'!$E136,'CWO Bulan Ini'!$CZ:$CZ,'Area-Cabang'!CO$41)</f>
        <v>0</v>
      </c>
      <c r="CP136" s="42">
        <f>SUMIFS('CWO Bulan Ini'!$DC:$DC,'CWO Bulan Ini'!$DJ:$DJ,'Area-Cabang'!$B136,'CWO Bulan Ini'!$DH:$DH,'Area-Cabang'!$E136,'CWO Bulan Ini'!$CZ:$CZ,'Area-Cabang'!CP$41)</f>
        <v>0</v>
      </c>
      <c r="CQ136" s="42">
        <f>SUMIFS('CWO Bulan Ini'!$DC:$DC,'CWO Bulan Ini'!$DJ:$DJ,'Area-Cabang'!$B136,'CWO Bulan Ini'!$DH:$DH,'Area-Cabang'!$E136,'CWO Bulan Ini'!$CZ:$CZ,'Area-Cabang'!CQ$41)</f>
        <v>0</v>
      </c>
      <c r="CR136" s="42">
        <f>SUMIFS('CWO Bulan Ini'!$DC:$DC,'CWO Bulan Ini'!$DJ:$DJ,'Area-Cabang'!$B136,'CWO Bulan Ini'!$DH:$DH,'Area-Cabang'!$E136,'CWO Bulan Ini'!$CZ:$CZ,'Area-Cabang'!CR$41)</f>
        <v>0</v>
      </c>
      <c r="CS136" s="42">
        <f>SUMIFS('CWO Bulan Ini'!$DC:$DC,'CWO Bulan Ini'!$DJ:$DJ,'Area-Cabang'!$B136,'CWO Bulan Ini'!$DH:$DH,'Area-Cabang'!$E136,'CWO Bulan Ini'!$CZ:$CZ,'Area-Cabang'!CS$41)</f>
        <v>0</v>
      </c>
      <c r="CT136" s="43">
        <f>SUMIFS('CWO Bulan Ini'!$DC:$DC,'CWO Bulan Ini'!$DJ:$DJ,'Area-Cabang'!$B136,'CWO Bulan Ini'!$DH:$DH,'Area-Cabang'!$E136,'CWO Bulan Ini'!$CZ:$CZ,'Area-Cabang'!CT$41)</f>
        <v>0</v>
      </c>
      <c r="CV136" s="96">
        <f t="shared" si="4174"/>
        <v>0</v>
      </c>
      <c r="CW136" s="93">
        <f t="shared" si="4175"/>
        <v>0</v>
      </c>
      <c r="CX136" s="93">
        <f t="shared" si="4176"/>
        <v>0</v>
      </c>
      <c r="CY136" s="93">
        <f t="shared" si="4177"/>
        <v>0</v>
      </c>
      <c r="CZ136" s="106">
        <f t="shared" si="4178"/>
        <v>0</v>
      </c>
    </row>
    <row r="137" spans="1:104" ht="15" customHeight="1" x14ac:dyDescent="0.25">
      <c r="A137" s="58" t="s">
        <v>454</v>
      </c>
      <c r="B137" s="53" t="s">
        <v>838</v>
      </c>
      <c r="C137" s="250"/>
      <c r="D137" s="227" t="s">
        <v>838</v>
      </c>
      <c r="E137" s="228"/>
      <c r="F137" s="219">
        <f t="shared" ref="F137" si="4179">SUM(F135:F136)</f>
        <v>0</v>
      </c>
      <c r="G137" s="220">
        <f t="shared" ref="G137" si="4180">SUM(G135:G136)</f>
        <v>0</v>
      </c>
      <c r="H137" s="220">
        <f t="shared" ref="H137" si="4181">SUM(H135:H136)</f>
        <v>0</v>
      </c>
      <c r="I137" s="220">
        <f t="shared" ref="I137" si="4182">SUM(I135:I136)</f>
        <v>75.428285129999992</v>
      </c>
      <c r="J137" s="220">
        <f t="shared" ref="J137" si="4183">SUM(J135:J136)</f>
        <v>0</v>
      </c>
      <c r="K137" s="220">
        <f t="shared" ref="K137" si="4184">SUM(K135:K136)</f>
        <v>0</v>
      </c>
      <c r="L137" s="220">
        <f t="shared" ref="L137" si="4185">SUM(L135:L136)</f>
        <v>0</v>
      </c>
      <c r="M137" s="220">
        <f t="shared" ref="M137" si="4186">SUM(M135:M136)</f>
        <v>0</v>
      </c>
      <c r="N137" s="220">
        <f t="shared" ref="N137" si="4187">SUM(N135:N136)</f>
        <v>0</v>
      </c>
      <c r="O137" s="220">
        <f t="shared" ref="O137" si="4188">SUM(O135:O136)</f>
        <v>0</v>
      </c>
      <c r="P137" s="220">
        <f t="shared" ref="P137" si="4189">SUM(P135:P136)</f>
        <v>0</v>
      </c>
      <c r="Q137" s="220">
        <f t="shared" ref="Q137" si="4190">SUM(Q135:Q136)</f>
        <v>0</v>
      </c>
      <c r="R137" s="220">
        <f t="shared" ref="R137" si="4191">SUM(R135:R136)</f>
        <v>0</v>
      </c>
      <c r="S137" s="220">
        <f t="shared" ref="S137" si="4192">SUM(S135:S136)</f>
        <v>192.01723784000001</v>
      </c>
      <c r="T137" s="220">
        <f t="shared" ref="T137" si="4193">SUM(T135:T136)</f>
        <v>0</v>
      </c>
      <c r="U137" s="220">
        <f t="shared" ref="U137" si="4194">SUM(U135:U136)</f>
        <v>0</v>
      </c>
      <c r="V137" s="220">
        <f t="shared" ref="V137" si="4195">SUM(V135:V136)</f>
        <v>0</v>
      </c>
      <c r="W137" s="220">
        <f t="shared" ref="W137" si="4196">SUM(W135:W136)</f>
        <v>0</v>
      </c>
      <c r="X137" s="220">
        <f t="shared" ref="X137" si="4197">SUM(X135:X136)</f>
        <v>0</v>
      </c>
      <c r="Y137" s="220">
        <f t="shared" ref="Y137" si="4198">SUM(Y135:Y136)</f>
        <v>0</v>
      </c>
      <c r="Z137" s="220">
        <f t="shared" ref="Z137" si="4199">SUM(Z135:Z136)</f>
        <v>0</v>
      </c>
      <c r="AA137" s="220">
        <f t="shared" ref="AA137" si="4200">SUM(AA135:AA136)</f>
        <v>0</v>
      </c>
      <c r="AB137" s="220">
        <f t="shared" ref="AB137" si="4201">SUM(AB135:AB136)</f>
        <v>0</v>
      </c>
      <c r="AC137" s="220">
        <f t="shared" ref="AC137" si="4202">SUM(AC135:AC136)</f>
        <v>0</v>
      </c>
      <c r="AD137" s="220">
        <f t="shared" ref="AD137" si="4203">SUM(AD135:AD136)</f>
        <v>0</v>
      </c>
      <c r="AE137" s="220">
        <f t="shared" ref="AE137" si="4204">SUM(AE135:AE136)</f>
        <v>0</v>
      </c>
      <c r="AF137" s="220">
        <f t="shared" ref="AF137" si="4205">SUM(AF135:AF136)</f>
        <v>0</v>
      </c>
      <c r="AG137" s="220">
        <f t="shared" ref="AG137" si="4206">SUM(AG135:AG136)</f>
        <v>0</v>
      </c>
      <c r="AH137" s="220">
        <f t="shared" ref="AH137" si="4207">SUM(AH135:AH136)</f>
        <v>0</v>
      </c>
      <c r="AI137" s="220">
        <f t="shared" ref="AI137" si="4208">SUM(AI135:AI136)</f>
        <v>0</v>
      </c>
      <c r="AJ137" s="220">
        <f t="shared" ref="AJ137" si="4209">SUM(AJ135:AJ136)</f>
        <v>0</v>
      </c>
      <c r="AK137" s="219">
        <f t="shared" ref="AK137" si="4210">SUM(AK135:AK136)</f>
        <v>0</v>
      </c>
      <c r="AL137" s="220">
        <f t="shared" ref="AL137" si="4211">SUM(AL135:AL136)</f>
        <v>0</v>
      </c>
      <c r="AM137" s="220">
        <f t="shared" ref="AM137" si="4212">SUM(AM135:AM136)</f>
        <v>0</v>
      </c>
      <c r="AN137" s="220">
        <f t="shared" ref="AN137" si="4213">SUM(AN135:AN136)</f>
        <v>75.428285129999992</v>
      </c>
      <c r="AO137" s="220">
        <f t="shared" ref="AO137" si="4214">SUM(AO135:AO136)</f>
        <v>0</v>
      </c>
      <c r="AP137" s="220">
        <f t="shared" ref="AP137" si="4215">SUM(AP135:AP136)</f>
        <v>0</v>
      </c>
      <c r="AQ137" s="220">
        <f t="shared" ref="AQ137" si="4216">SUM(AQ135:AQ136)</f>
        <v>0</v>
      </c>
      <c r="AR137" s="220">
        <f t="shared" ref="AR137" si="4217">SUM(AR135:AR136)</f>
        <v>0</v>
      </c>
      <c r="AS137" s="220">
        <f t="shared" ref="AS137" si="4218">SUM(AS135:AS136)</f>
        <v>0</v>
      </c>
      <c r="AT137" s="220">
        <f t="shared" ref="AT137" si="4219">SUM(AT135:AT136)</f>
        <v>0</v>
      </c>
      <c r="AU137" s="220">
        <f t="shared" ref="AU137" si="4220">SUM(AU135:AU136)</f>
        <v>0</v>
      </c>
      <c r="AV137" s="220">
        <f t="shared" ref="AV137" si="4221">SUM(AV135:AV136)</f>
        <v>0</v>
      </c>
      <c r="AW137" s="220">
        <f t="shared" ref="AW137" si="4222">SUM(AW135:AW136)</f>
        <v>0</v>
      </c>
      <c r="AX137" s="220">
        <f t="shared" ref="AX137" si="4223">SUM(AX135:AX136)</f>
        <v>0</v>
      </c>
      <c r="AY137" s="220">
        <f t="shared" ref="AY137" si="4224">SUM(AY135:AY136)</f>
        <v>0</v>
      </c>
      <c r="AZ137" s="220">
        <f t="shared" ref="AZ137" si="4225">SUM(AZ135:AZ136)</f>
        <v>0</v>
      </c>
      <c r="BA137" s="220">
        <f t="shared" ref="BA137" si="4226">SUM(BA135:BA136)</f>
        <v>0</v>
      </c>
      <c r="BB137" s="220">
        <f t="shared" ref="BB137" si="4227">SUM(BB135:BB136)</f>
        <v>0</v>
      </c>
      <c r="BC137" s="220">
        <f t="shared" ref="BC137" si="4228">SUM(BC135:BC136)</f>
        <v>0</v>
      </c>
      <c r="BD137" s="220">
        <f t="shared" ref="BD137" si="4229">SUM(BD135:BD136)</f>
        <v>0</v>
      </c>
      <c r="BE137" s="220">
        <f t="shared" ref="BE137" si="4230">SUM(BE135:BE136)</f>
        <v>0</v>
      </c>
      <c r="BF137" s="220">
        <f t="shared" ref="BF137" si="4231">SUM(BF135:BF136)</f>
        <v>0</v>
      </c>
      <c r="BG137" s="220">
        <f t="shared" ref="BG137" si="4232">SUM(BG135:BG136)</f>
        <v>0</v>
      </c>
      <c r="BH137" s="220">
        <f t="shared" ref="BH137" si="4233">SUM(BH135:BH136)</f>
        <v>0</v>
      </c>
      <c r="BI137" s="220">
        <f t="shared" ref="BI137" si="4234">SUM(BI135:BI136)</f>
        <v>0</v>
      </c>
      <c r="BJ137" s="220">
        <f t="shared" ref="BJ137" si="4235">SUM(BJ135:BJ136)</f>
        <v>0</v>
      </c>
      <c r="BK137" s="220">
        <f t="shared" ref="BK137" si="4236">SUM(BK135:BK136)</f>
        <v>0</v>
      </c>
      <c r="BL137" s="220">
        <f t="shared" ref="BL137" si="4237">SUM(BL135:BL136)</f>
        <v>0</v>
      </c>
      <c r="BM137" s="220">
        <f t="shared" ref="BM137" si="4238">SUM(BM135:BM136)</f>
        <v>0</v>
      </c>
      <c r="BN137" s="220">
        <f t="shared" ref="BN137" si="4239">SUM(BN135:BN136)</f>
        <v>0</v>
      </c>
      <c r="BO137" s="221">
        <f t="shared" ref="BO137" si="4240">SUM(BO135:BO136)</f>
        <v>0</v>
      </c>
      <c r="BP137" s="219">
        <f t="shared" ref="BP137" si="4241">SUM(BP135:BP136)</f>
        <v>0</v>
      </c>
      <c r="BQ137" s="220">
        <f t="shared" ref="BQ137" si="4242">SUM(BQ135:BQ136)</f>
        <v>0</v>
      </c>
      <c r="BR137" s="220">
        <f t="shared" ref="BR137" si="4243">SUM(BR135:BR136)</f>
        <v>0</v>
      </c>
      <c r="BS137" s="220">
        <f t="shared" ref="BS137" si="4244">SUM(BS135:BS136)</f>
        <v>0</v>
      </c>
      <c r="BT137" s="220">
        <f t="shared" ref="BT137" si="4245">SUM(BT135:BT136)</f>
        <v>0</v>
      </c>
      <c r="BU137" s="220">
        <f t="shared" ref="BU137" si="4246">SUM(BU135:BU136)</f>
        <v>0</v>
      </c>
      <c r="BV137" s="220">
        <f t="shared" ref="BV137" si="4247">SUM(BV135:BV136)</f>
        <v>0</v>
      </c>
      <c r="BW137" s="220">
        <f t="shared" ref="BW137" si="4248">SUM(BW135:BW136)</f>
        <v>0</v>
      </c>
      <c r="BX137" s="220">
        <f t="shared" ref="BX137" si="4249">SUM(BX135:BX136)</f>
        <v>0</v>
      </c>
      <c r="BY137" s="220">
        <f t="shared" ref="BY137" si="4250">SUM(BY135:BY136)</f>
        <v>0</v>
      </c>
      <c r="BZ137" s="220">
        <f t="shared" ref="BZ137" si="4251">SUM(BZ135:BZ136)</f>
        <v>0</v>
      </c>
      <c r="CA137" s="220">
        <f t="shared" ref="CA137" si="4252">SUM(CA135:CA136)</f>
        <v>0</v>
      </c>
      <c r="CB137" s="220">
        <f t="shared" ref="CB137" si="4253">SUM(CB135:CB136)</f>
        <v>0</v>
      </c>
      <c r="CC137" s="220">
        <f t="shared" ref="CC137" si="4254">SUM(CC135:CC136)</f>
        <v>0</v>
      </c>
      <c r="CD137" s="220">
        <f t="shared" ref="CD137" si="4255">SUM(CD135:CD136)</f>
        <v>0</v>
      </c>
      <c r="CE137" s="220">
        <f t="shared" ref="CE137" si="4256">SUM(CE135:CE136)</f>
        <v>0</v>
      </c>
      <c r="CF137" s="220">
        <f t="shared" ref="CF137" si="4257">SUM(CF135:CF136)</f>
        <v>0</v>
      </c>
      <c r="CG137" s="220">
        <f t="shared" ref="CG137" si="4258">SUM(CG135:CG136)</f>
        <v>0</v>
      </c>
      <c r="CH137" s="220">
        <f t="shared" ref="CH137" si="4259">SUM(CH135:CH136)</f>
        <v>0</v>
      </c>
      <c r="CI137" s="220">
        <f t="shared" ref="CI137" si="4260">SUM(CI135:CI136)</f>
        <v>0</v>
      </c>
      <c r="CJ137" s="220">
        <f t="shared" ref="CJ137" si="4261">SUM(CJ135:CJ136)</f>
        <v>0</v>
      </c>
      <c r="CK137" s="220">
        <f t="shared" ref="CK137" si="4262">SUM(CK135:CK136)</f>
        <v>0</v>
      </c>
      <c r="CL137" s="220">
        <f t="shared" ref="CL137" si="4263">SUM(CL135:CL136)</f>
        <v>0</v>
      </c>
      <c r="CM137" s="220">
        <f t="shared" ref="CM137" si="4264">SUM(CM135:CM136)</f>
        <v>0</v>
      </c>
      <c r="CN137" s="220">
        <f t="shared" ref="CN137" si="4265">SUM(CN135:CN136)</f>
        <v>0</v>
      </c>
      <c r="CO137" s="220">
        <f t="shared" ref="CO137" si="4266">SUM(CO135:CO136)</f>
        <v>0</v>
      </c>
      <c r="CP137" s="220">
        <f t="shared" ref="CP137" si="4267">SUM(CP135:CP136)</f>
        <v>0</v>
      </c>
      <c r="CQ137" s="220">
        <f t="shared" ref="CQ137" si="4268">SUM(CQ135:CQ136)</f>
        <v>0</v>
      </c>
      <c r="CR137" s="220">
        <f t="shared" ref="CR137" si="4269">SUM(CR135:CR136)</f>
        <v>0</v>
      </c>
      <c r="CS137" s="220">
        <f t="shared" ref="CS137" si="4270">SUM(CS135:CS136)</f>
        <v>0</v>
      </c>
      <c r="CT137" s="221">
        <f t="shared" ref="CT137" si="4271">SUM(CT135:CT136)</f>
        <v>0</v>
      </c>
      <c r="CU137" s="226"/>
      <c r="CV137" s="219">
        <f t="shared" ref="CV137" si="4272">SUM(CV135:CV136)</f>
        <v>267.44552297000001</v>
      </c>
      <c r="CW137" s="220">
        <f t="shared" ref="CW137" si="4273">SUM(CW135:CW136)</f>
        <v>75.428285129999992</v>
      </c>
      <c r="CX137" s="220">
        <f t="shared" ref="CX137" si="4274">SUM(CX135:CX136)</f>
        <v>0</v>
      </c>
      <c r="CY137" s="220">
        <f t="shared" ref="CY137" si="4275">SUM(CY135:CY136)</f>
        <v>192.01723784000001</v>
      </c>
      <c r="CZ137" s="222">
        <f t="shared" ref="CZ137" si="4276">SUM(CZ135:CZ136)</f>
        <v>267.44552297000001</v>
      </c>
    </row>
    <row r="138" spans="1:104" ht="15" customHeight="1" x14ac:dyDescent="0.25">
      <c r="A138" s="58" t="s">
        <v>454</v>
      </c>
      <c r="B138" s="53" t="s">
        <v>336</v>
      </c>
      <c r="C138" s="250"/>
      <c r="D138" s="245" t="s">
        <v>336</v>
      </c>
      <c r="E138" s="85" t="s">
        <v>132</v>
      </c>
      <c r="F138" s="55">
        <f>SUMIFS('CWO Bulan Ini'!$DA:$DA,'CWO Bulan Ini'!$DJ:$DJ,'Area-Cabang'!$B138,'CWO Bulan Ini'!$DH:$DH,'Area-Cabang'!$E138,'CWO Bulan Ini'!$CZ:$CZ,'Area-Cabang'!F$41)</f>
        <v>0</v>
      </c>
      <c r="G138" s="56">
        <f>SUMIFS('CWO Bulan Ini'!$DA:$DA,'CWO Bulan Ini'!$DJ:$DJ,'Area-Cabang'!$B138,'CWO Bulan Ini'!$DH:$DH,'Area-Cabang'!$E138,'CWO Bulan Ini'!$CZ:$CZ,'Area-Cabang'!G$41)</f>
        <v>0</v>
      </c>
      <c r="H138" s="56">
        <f>SUMIFS('CWO Bulan Ini'!$DA:$DA,'CWO Bulan Ini'!$DJ:$DJ,'Area-Cabang'!$B138,'CWO Bulan Ini'!$DH:$DH,'Area-Cabang'!$E138,'CWO Bulan Ini'!$CZ:$CZ,'Area-Cabang'!H$41)</f>
        <v>0</v>
      </c>
      <c r="I138" s="56">
        <f>SUMIFS('CWO Bulan Ini'!$DA:$DA,'CWO Bulan Ini'!$DJ:$DJ,'Area-Cabang'!$B138,'CWO Bulan Ini'!$DH:$DH,'Area-Cabang'!$E138,'CWO Bulan Ini'!$CZ:$CZ,'Area-Cabang'!I$41)</f>
        <v>0</v>
      </c>
      <c r="J138" s="56">
        <f>SUMIFS('CWO Bulan Ini'!$DA:$DA,'CWO Bulan Ini'!$DJ:$DJ,'Area-Cabang'!$B138,'CWO Bulan Ini'!$DH:$DH,'Area-Cabang'!$E138,'CWO Bulan Ini'!$CZ:$CZ,'Area-Cabang'!J$41)</f>
        <v>0</v>
      </c>
      <c r="K138" s="56">
        <f>SUMIFS('CWO Bulan Ini'!$DA:$DA,'CWO Bulan Ini'!$DJ:$DJ,'Area-Cabang'!$B138,'CWO Bulan Ini'!$DH:$DH,'Area-Cabang'!$E138,'CWO Bulan Ini'!$CZ:$CZ,'Area-Cabang'!K$41)</f>
        <v>0</v>
      </c>
      <c r="L138" s="56">
        <f>SUMIFS('CWO Bulan Ini'!$DA:$DA,'CWO Bulan Ini'!$DJ:$DJ,'Area-Cabang'!$B138,'CWO Bulan Ini'!$DH:$DH,'Area-Cabang'!$E138,'CWO Bulan Ini'!$CZ:$CZ,'Area-Cabang'!L$41)</f>
        <v>0</v>
      </c>
      <c r="M138" s="56">
        <f>SUMIFS('CWO Bulan Ini'!$DA:$DA,'CWO Bulan Ini'!$DJ:$DJ,'Area-Cabang'!$B138,'CWO Bulan Ini'!$DH:$DH,'Area-Cabang'!$E138,'CWO Bulan Ini'!$CZ:$CZ,'Area-Cabang'!M$41)</f>
        <v>0</v>
      </c>
      <c r="N138" s="56">
        <f>SUMIFS('CWO Bulan Ini'!$DA:$DA,'CWO Bulan Ini'!$DJ:$DJ,'Area-Cabang'!$B138,'CWO Bulan Ini'!$DH:$DH,'Area-Cabang'!$E138,'CWO Bulan Ini'!$CZ:$CZ,'Area-Cabang'!N$41)</f>
        <v>0</v>
      </c>
      <c r="O138" s="56">
        <f>SUMIFS('CWO Bulan Ini'!$DA:$DA,'CWO Bulan Ini'!$DJ:$DJ,'Area-Cabang'!$B138,'CWO Bulan Ini'!$DH:$DH,'Area-Cabang'!$E138,'CWO Bulan Ini'!$CZ:$CZ,'Area-Cabang'!O$41)</f>
        <v>0</v>
      </c>
      <c r="P138" s="56">
        <f>SUMIFS('CWO Bulan Ini'!$DA:$DA,'CWO Bulan Ini'!$DJ:$DJ,'Area-Cabang'!$B138,'CWO Bulan Ini'!$DH:$DH,'Area-Cabang'!$E138,'CWO Bulan Ini'!$CZ:$CZ,'Area-Cabang'!P$41)</f>
        <v>0</v>
      </c>
      <c r="Q138" s="56">
        <f>SUMIFS('CWO Bulan Ini'!$DA:$DA,'CWO Bulan Ini'!$DJ:$DJ,'Area-Cabang'!$B138,'CWO Bulan Ini'!$DH:$DH,'Area-Cabang'!$E138,'CWO Bulan Ini'!$CZ:$CZ,'Area-Cabang'!Q$41)</f>
        <v>0</v>
      </c>
      <c r="R138" s="56">
        <f>SUMIFS('CWO Bulan Ini'!$DA:$DA,'CWO Bulan Ini'!$DJ:$DJ,'Area-Cabang'!$B138,'CWO Bulan Ini'!$DH:$DH,'Area-Cabang'!$E138,'CWO Bulan Ini'!$CZ:$CZ,'Area-Cabang'!R$41)</f>
        <v>0</v>
      </c>
      <c r="S138" s="56">
        <f>SUMIFS('CWO Bulan Ini'!$DA:$DA,'CWO Bulan Ini'!$DJ:$DJ,'Area-Cabang'!$B138,'CWO Bulan Ini'!$DH:$DH,'Area-Cabang'!$E138,'CWO Bulan Ini'!$CZ:$CZ,'Area-Cabang'!S$41)</f>
        <v>0</v>
      </c>
      <c r="T138" s="56">
        <f>SUMIFS('CWO Bulan Ini'!$DA:$DA,'CWO Bulan Ini'!$DJ:$DJ,'Area-Cabang'!$B138,'CWO Bulan Ini'!$DH:$DH,'Area-Cabang'!$E138,'CWO Bulan Ini'!$CZ:$CZ,'Area-Cabang'!T$41)</f>
        <v>0</v>
      </c>
      <c r="U138" s="56">
        <f>SUMIFS('CWO Bulan Ini'!$DA:$DA,'CWO Bulan Ini'!$DJ:$DJ,'Area-Cabang'!$B138,'CWO Bulan Ini'!$DH:$DH,'Area-Cabang'!$E138,'CWO Bulan Ini'!$CZ:$CZ,'Area-Cabang'!U$41)</f>
        <v>0</v>
      </c>
      <c r="V138" s="56">
        <f>SUMIFS('CWO Bulan Ini'!$DA:$DA,'CWO Bulan Ini'!$DJ:$DJ,'Area-Cabang'!$B138,'CWO Bulan Ini'!$DH:$DH,'Area-Cabang'!$E138,'CWO Bulan Ini'!$CZ:$CZ,'Area-Cabang'!V$41)</f>
        <v>0</v>
      </c>
      <c r="W138" s="56">
        <f>SUMIFS('CWO Bulan Ini'!$DA:$DA,'CWO Bulan Ini'!$DJ:$DJ,'Area-Cabang'!$B138,'CWO Bulan Ini'!$DH:$DH,'Area-Cabang'!$E138,'CWO Bulan Ini'!$CZ:$CZ,'Area-Cabang'!W$41)</f>
        <v>0</v>
      </c>
      <c r="X138" s="56">
        <f>SUMIFS('CWO Bulan Ini'!$DA:$DA,'CWO Bulan Ini'!$DJ:$DJ,'Area-Cabang'!$B138,'CWO Bulan Ini'!$DH:$DH,'Area-Cabang'!$E138,'CWO Bulan Ini'!$CZ:$CZ,'Area-Cabang'!X$41)</f>
        <v>0</v>
      </c>
      <c r="Y138" s="56">
        <f>SUMIFS('CWO Bulan Ini'!$DA:$DA,'CWO Bulan Ini'!$DJ:$DJ,'Area-Cabang'!$B138,'CWO Bulan Ini'!$DH:$DH,'Area-Cabang'!$E138,'CWO Bulan Ini'!$CZ:$CZ,'Area-Cabang'!Y$41)</f>
        <v>0</v>
      </c>
      <c r="Z138" s="56">
        <f>SUMIFS('CWO Bulan Ini'!$DA:$DA,'CWO Bulan Ini'!$DJ:$DJ,'Area-Cabang'!$B138,'CWO Bulan Ini'!$DH:$DH,'Area-Cabang'!$E138,'CWO Bulan Ini'!$CZ:$CZ,'Area-Cabang'!Z$41)</f>
        <v>0</v>
      </c>
      <c r="AA138" s="56">
        <f>SUMIFS('CWO Bulan Ini'!$DA:$DA,'CWO Bulan Ini'!$DJ:$DJ,'Area-Cabang'!$B138,'CWO Bulan Ini'!$DH:$DH,'Area-Cabang'!$E138,'CWO Bulan Ini'!$CZ:$CZ,'Area-Cabang'!AA$41)</f>
        <v>0</v>
      </c>
      <c r="AB138" s="56">
        <f>SUMIFS('CWO Bulan Ini'!$DA:$DA,'CWO Bulan Ini'!$DJ:$DJ,'Area-Cabang'!$B138,'CWO Bulan Ini'!$DH:$DH,'Area-Cabang'!$E138,'CWO Bulan Ini'!$CZ:$CZ,'Area-Cabang'!AB$41)</f>
        <v>0</v>
      </c>
      <c r="AC138" s="56">
        <f>SUMIFS('CWO Bulan Ini'!$DA:$DA,'CWO Bulan Ini'!$DJ:$DJ,'Area-Cabang'!$B138,'CWO Bulan Ini'!$DH:$DH,'Area-Cabang'!$E138,'CWO Bulan Ini'!$CZ:$CZ,'Area-Cabang'!AC$41)</f>
        <v>0</v>
      </c>
      <c r="AD138" s="56">
        <f>SUMIFS('CWO Bulan Ini'!$DA:$DA,'CWO Bulan Ini'!$DJ:$DJ,'Area-Cabang'!$B138,'CWO Bulan Ini'!$DH:$DH,'Area-Cabang'!$E138,'CWO Bulan Ini'!$CZ:$CZ,'Area-Cabang'!AD$41)</f>
        <v>0</v>
      </c>
      <c r="AE138" s="56">
        <f>SUMIFS('CWO Bulan Ini'!$DA:$DA,'CWO Bulan Ini'!$DJ:$DJ,'Area-Cabang'!$B138,'CWO Bulan Ini'!$DH:$DH,'Area-Cabang'!$E138,'CWO Bulan Ini'!$CZ:$CZ,'Area-Cabang'!AE$41)</f>
        <v>0</v>
      </c>
      <c r="AF138" s="56">
        <f>SUMIFS('CWO Bulan Ini'!$DA:$DA,'CWO Bulan Ini'!$DJ:$DJ,'Area-Cabang'!$B138,'CWO Bulan Ini'!$DH:$DH,'Area-Cabang'!$E138,'CWO Bulan Ini'!$CZ:$CZ,'Area-Cabang'!AF$41)</f>
        <v>0</v>
      </c>
      <c r="AG138" s="56">
        <f>SUMIFS('CWO Bulan Ini'!$DA:$DA,'CWO Bulan Ini'!$DJ:$DJ,'Area-Cabang'!$B138,'CWO Bulan Ini'!$DH:$DH,'Area-Cabang'!$E138,'CWO Bulan Ini'!$CZ:$CZ,'Area-Cabang'!AG$41)</f>
        <v>0</v>
      </c>
      <c r="AH138" s="56">
        <f>SUMIFS('CWO Bulan Ini'!$DA:$DA,'CWO Bulan Ini'!$DJ:$DJ,'Area-Cabang'!$B138,'CWO Bulan Ini'!$DH:$DH,'Area-Cabang'!$E138,'CWO Bulan Ini'!$CZ:$CZ,'Area-Cabang'!AH$41)</f>
        <v>0</v>
      </c>
      <c r="AI138" s="56">
        <f>SUMIFS('CWO Bulan Ini'!$DA:$DA,'CWO Bulan Ini'!$DJ:$DJ,'Area-Cabang'!$B138,'CWO Bulan Ini'!$DH:$DH,'Area-Cabang'!$E138,'CWO Bulan Ini'!$CZ:$CZ,'Area-Cabang'!AI$41)</f>
        <v>0</v>
      </c>
      <c r="AJ138" s="56">
        <f>SUMIFS('CWO Bulan Ini'!$DA:$DA,'CWO Bulan Ini'!$DJ:$DJ,'Area-Cabang'!$B138,'CWO Bulan Ini'!$DH:$DH,'Area-Cabang'!$E138,'CWO Bulan Ini'!$CZ:$CZ,'Area-Cabang'!AJ$41)</f>
        <v>0</v>
      </c>
      <c r="AK138" s="55">
        <f>SUMIFS('CWO Bulan Ini'!$DD:$DD,'CWO Bulan Ini'!$DJ:$DJ,'Area-Cabang'!$B138,'CWO Bulan Ini'!$DH:$DH,'Area-Cabang'!$E138,'CWO Bulan Ini'!$CZ:$CZ,'Area-Cabang'!AK$41)</f>
        <v>0</v>
      </c>
      <c r="AL138" s="56">
        <f>SUMIFS('CWO Bulan Ini'!$DD:$DD,'CWO Bulan Ini'!$DJ:$DJ,'Area-Cabang'!$B138,'CWO Bulan Ini'!$DH:$DH,'Area-Cabang'!$E138,'CWO Bulan Ini'!$CZ:$CZ,'Area-Cabang'!AL$41)</f>
        <v>0</v>
      </c>
      <c r="AM138" s="56">
        <f>SUMIFS('CWO Bulan Ini'!$DD:$DD,'CWO Bulan Ini'!$DJ:$DJ,'Area-Cabang'!$B138,'CWO Bulan Ini'!$DH:$DH,'Area-Cabang'!$E138,'CWO Bulan Ini'!$CZ:$CZ,'Area-Cabang'!AM$41)</f>
        <v>0</v>
      </c>
      <c r="AN138" s="56">
        <f>SUMIFS('CWO Bulan Ini'!$DD:$DD,'CWO Bulan Ini'!$DJ:$DJ,'Area-Cabang'!$B138,'CWO Bulan Ini'!$DH:$DH,'Area-Cabang'!$E138,'CWO Bulan Ini'!$CZ:$CZ,'Area-Cabang'!AN$41)</f>
        <v>0</v>
      </c>
      <c r="AO138" s="56">
        <f>SUMIFS('CWO Bulan Ini'!$DD:$DD,'CWO Bulan Ini'!$DJ:$DJ,'Area-Cabang'!$B138,'CWO Bulan Ini'!$DH:$DH,'Area-Cabang'!$E138,'CWO Bulan Ini'!$CZ:$CZ,'Area-Cabang'!AO$41)</f>
        <v>0</v>
      </c>
      <c r="AP138" s="56">
        <f>SUMIFS('CWO Bulan Ini'!$DD:$DD,'CWO Bulan Ini'!$DJ:$DJ,'Area-Cabang'!$B138,'CWO Bulan Ini'!$DH:$DH,'Area-Cabang'!$E138,'CWO Bulan Ini'!$CZ:$CZ,'Area-Cabang'!AP$41)</f>
        <v>0</v>
      </c>
      <c r="AQ138" s="56">
        <f>SUMIFS('CWO Bulan Ini'!$DD:$DD,'CWO Bulan Ini'!$DJ:$DJ,'Area-Cabang'!$B138,'CWO Bulan Ini'!$DH:$DH,'Area-Cabang'!$E138,'CWO Bulan Ini'!$CZ:$CZ,'Area-Cabang'!AQ$41)</f>
        <v>0</v>
      </c>
      <c r="AR138" s="56">
        <f>SUMIFS('CWO Bulan Ini'!$DD:$DD,'CWO Bulan Ini'!$DJ:$DJ,'Area-Cabang'!$B138,'CWO Bulan Ini'!$DH:$DH,'Area-Cabang'!$E138,'CWO Bulan Ini'!$CZ:$CZ,'Area-Cabang'!AR$41)</f>
        <v>0</v>
      </c>
      <c r="AS138" s="56">
        <f>SUMIFS('CWO Bulan Ini'!$DD:$DD,'CWO Bulan Ini'!$DJ:$DJ,'Area-Cabang'!$B138,'CWO Bulan Ini'!$DH:$DH,'Area-Cabang'!$E138,'CWO Bulan Ini'!$CZ:$CZ,'Area-Cabang'!AS$41)</f>
        <v>0</v>
      </c>
      <c r="AT138" s="56">
        <f>SUMIFS('CWO Bulan Ini'!$DD:$DD,'CWO Bulan Ini'!$DJ:$DJ,'Area-Cabang'!$B138,'CWO Bulan Ini'!$DH:$DH,'Area-Cabang'!$E138,'CWO Bulan Ini'!$CZ:$CZ,'Area-Cabang'!AT$41)</f>
        <v>0</v>
      </c>
      <c r="AU138" s="56">
        <f>SUMIFS('CWO Bulan Ini'!$DD:$DD,'CWO Bulan Ini'!$DJ:$DJ,'Area-Cabang'!$B138,'CWO Bulan Ini'!$DH:$DH,'Area-Cabang'!$E138,'CWO Bulan Ini'!$CZ:$CZ,'Area-Cabang'!AU$41)</f>
        <v>0</v>
      </c>
      <c r="AV138" s="56">
        <f>SUMIFS('CWO Bulan Ini'!$DD:$DD,'CWO Bulan Ini'!$DJ:$DJ,'Area-Cabang'!$B138,'CWO Bulan Ini'!$DH:$DH,'Area-Cabang'!$E138,'CWO Bulan Ini'!$CZ:$CZ,'Area-Cabang'!AV$41)</f>
        <v>0</v>
      </c>
      <c r="AW138" s="56">
        <f>SUMIFS('CWO Bulan Ini'!$DD:$DD,'CWO Bulan Ini'!$DJ:$DJ,'Area-Cabang'!$B138,'CWO Bulan Ini'!$DH:$DH,'Area-Cabang'!$E138,'CWO Bulan Ini'!$CZ:$CZ,'Area-Cabang'!AW$41)</f>
        <v>0</v>
      </c>
      <c r="AX138" s="56">
        <f>SUMIFS('CWO Bulan Ini'!$DD:$DD,'CWO Bulan Ini'!$DJ:$DJ,'Area-Cabang'!$B138,'CWO Bulan Ini'!$DH:$DH,'Area-Cabang'!$E138,'CWO Bulan Ini'!$CZ:$CZ,'Area-Cabang'!AX$41)</f>
        <v>0</v>
      </c>
      <c r="AY138" s="56">
        <f>SUMIFS('CWO Bulan Ini'!$DD:$DD,'CWO Bulan Ini'!$DJ:$DJ,'Area-Cabang'!$B138,'CWO Bulan Ini'!$DH:$DH,'Area-Cabang'!$E138,'CWO Bulan Ini'!$CZ:$CZ,'Area-Cabang'!AY$41)</f>
        <v>0</v>
      </c>
      <c r="AZ138" s="56">
        <f>SUMIFS('CWO Bulan Ini'!$DD:$DD,'CWO Bulan Ini'!$DJ:$DJ,'Area-Cabang'!$B138,'CWO Bulan Ini'!$DH:$DH,'Area-Cabang'!$E138,'CWO Bulan Ini'!$CZ:$CZ,'Area-Cabang'!AZ$41)</f>
        <v>0</v>
      </c>
      <c r="BA138" s="56">
        <f>SUMIFS('CWO Bulan Ini'!$DD:$DD,'CWO Bulan Ini'!$DJ:$DJ,'Area-Cabang'!$B138,'CWO Bulan Ini'!$DH:$DH,'Area-Cabang'!$E138,'CWO Bulan Ini'!$CZ:$CZ,'Area-Cabang'!BA$41)</f>
        <v>0</v>
      </c>
      <c r="BB138" s="56">
        <f>SUMIFS('CWO Bulan Ini'!$DD:$DD,'CWO Bulan Ini'!$DJ:$DJ,'Area-Cabang'!$B138,'CWO Bulan Ini'!$DH:$DH,'Area-Cabang'!$E138,'CWO Bulan Ini'!$CZ:$CZ,'Area-Cabang'!BB$41)</f>
        <v>0</v>
      </c>
      <c r="BC138" s="56">
        <f>SUMIFS('CWO Bulan Ini'!$DD:$DD,'CWO Bulan Ini'!$DJ:$DJ,'Area-Cabang'!$B138,'CWO Bulan Ini'!$DH:$DH,'Area-Cabang'!$E138,'CWO Bulan Ini'!$CZ:$CZ,'Area-Cabang'!BC$41)</f>
        <v>0</v>
      </c>
      <c r="BD138" s="56">
        <f>SUMIFS('CWO Bulan Ini'!$DD:$DD,'CWO Bulan Ini'!$DJ:$DJ,'Area-Cabang'!$B138,'CWO Bulan Ini'!$DH:$DH,'Area-Cabang'!$E138,'CWO Bulan Ini'!$CZ:$CZ,'Area-Cabang'!BD$41)</f>
        <v>0</v>
      </c>
      <c r="BE138" s="56">
        <f>SUMIFS('CWO Bulan Ini'!$DD:$DD,'CWO Bulan Ini'!$DJ:$DJ,'Area-Cabang'!$B138,'CWO Bulan Ini'!$DH:$DH,'Area-Cabang'!$E138,'CWO Bulan Ini'!$CZ:$CZ,'Area-Cabang'!BE$41)</f>
        <v>0</v>
      </c>
      <c r="BF138" s="56">
        <f>SUMIFS('CWO Bulan Ini'!$DD:$DD,'CWO Bulan Ini'!$DJ:$DJ,'Area-Cabang'!$B138,'CWO Bulan Ini'!$DH:$DH,'Area-Cabang'!$E138,'CWO Bulan Ini'!$CZ:$CZ,'Area-Cabang'!BF$41)</f>
        <v>0</v>
      </c>
      <c r="BG138" s="56">
        <f>SUMIFS('CWO Bulan Ini'!$DD:$DD,'CWO Bulan Ini'!$DJ:$DJ,'Area-Cabang'!$B138,'CWO Bulan Ini'!$DH:$DH,'Area-Cabang'!$E138,'CWO Bulan Ini'!$CZ:$CZ,'Area-Cabang'!BG$41)</f>
        <v>0</v>
      </c>
      <c r="BH138" s="56">
        <f>SUMIFS('CWO Bulan Ini'!$DD:$DD,'CWO Bulan Ini'!$DJ:$DJ,'Area-Cabang'!$B138,'CWO Bulan Ini'!$DH:$DH,'Area-Cabang'!$E138,'CWO Bulan Ini'!$CZ:$CZ,'Area-Cabang'!BH$41)</f>
        <v>0</v>
      </c>
      <c r="BI138" s="56">
        <f>SUMIFS('CWO Bulan Ini'!$DD:$DD,'CWO Bulan Ini'!$DJ:$DJ,'Area-Cabang'!$B138,'CWO Bulan Ini'!$DH:$DH,'Area-Cabang'!$E138,'CWO Bulan Ini'!$CZ:$CZ,'Area-Cabang'!BI$41)</f>
        <v>0</v>
      </c>
      <c r="BJ138" s="56">
        <f>SUMIFS('CWO Bulan Ini'!$DD:$DD,'CWO Bulan Ini'!$DJ:$DJ,'Area-Cabang'!$B138,'CWO Bulan Ini'!$DH:$DH,'Area-Cabang'!$E138,'CWO Bulan Ini'!$CZ:$CZ,'Area-Cabang'!BJ$41)</f>
        <v>0</v>
      </c>
      <c r="BK138" s="56">
        <f>SUMIFS('CWO Bulan Ini'!$DD:$DD,'CWO Bulan Ini'!$DJ:$DJ,'Area-Cabang'!$B138,'CWO Bulan Ini'!$DH:$DH,'Area-Cabang'!$E138,'CWO Bulan Ini'!$CZ:$CZ,'Area-Cabang'!BK$41)</f>
        <v>0</v>
      </c>
      <c r="BL138" s="56">
        <f>SUMIFS('CWO Bulan Ini'!$DD:$DD,'CWO Bulan Ini'!$DJ:$DJ,'Area-Cabang'!$B138,'CWO Bulan Ini'!$DH:$DH,'Area-Cabang'!$E138,'CWO Bulan Ini'!$CZ:$CZ,'Area-Cabang'!BL$41)</f>
        <v>0</v>
      </c>
      <c r="BM138" s="56">
        <f>SUMIFS('CWO Bulan Ini'!$DD:$DD,'CWO Bulan Ini'!$DJ:$DJ,'Area-Cabang'!$B138,'CWO Bulan Ini'!$DH:$DH,'Area-Cabang'!$E138,'CWO Bulan Ini'!$CZ:$CZ,'Area-Cabang'!BM$41)</f>
        <v>0</v>
      </c>
      <c r="BN138" s="56">
        <f>SUMIFS('CWO Bulan Ini'!$DD:$DD,'CWO Bulan Ini'!$DJ:$DJ,'Area-Cabang'!$B138,'CWO Bulan Ini'!$DH:$DH,'Area-Cabang'!$E138,'CWO Bulan Ini'!$CZ:$CZ,'Area-Cabang'!BN$41)</f>
        <v>0</v>
      </c>
      <c r="BO138" s="57">
        <f>SUMIFS('CWO Bulan Ini'!$DD:$DD,'CWO Bulan Ini'!$DJ:$DJ,'Area-Cabang'!$B138,'CWO Bulan Ini'!$DH:$DH,'Area-Cabang'!$E138,'CWO Bulan Ini'!$CZ:$CZ,'Area-Cabang'!BO$41)</f>
        <v>0</v>
      </c>
      <c r="BP138" s="55">
        <f>SUMIFS('CWO Bulan Ini'!$DC:$DC,'CWO Bulan Ini'!$DJ:$DJ,'Area-Cabang'!$B138,'CWO Bulan Ini'!$DH:$DH,'Area-Cabang'!$E138,'CWO Bulan Ini'!$CZ:$CZ,'Area-Cabang'!BP$41)</f>
        <v>0</v>
      </c>
      <c r="BQ138" s="56">
        <f>SUMIFS('CWO Bulan Ini'!$DC:$DC,'CWO Bulan Ini'!$DJ:$DJ,'Area-Cabang'!$B138,'CWO Bulan Ini'!$DH:$DH,'Area-Cabang'!$E138,'CWO Bulan Ini'!$CZ:$CZ,'Area-Cabang'!BQ$41)</f>
        <v>0</v>
      </c>
      <c r="BR138" s="56">
        <f>SUMIFS('CWO Bulan Ini'!$DC:$DC,'CWO Bulan Ini'!$DJ:$DJ,'Area-Cabang'!$B138,'CWO Bulan Ini'!$DH:$DH,'Area-Cabang'!$E138,'CWO Bulan Ini'!$CZ:$CZ,'Area-Cabang'!BR$41)</f>
        <v>0</v>
      </c>
      <c r="BS138" s="56">
        <f>SUMIFS('CWO Bulan Ini'!$DC:$DC,'CWO Bulan Ini'!$DJ:$DJ,'Area-Cabang'!$B138,'CWO Bulan Ini'!$DH:$DH,'Area-Cabang'!$E138,'CWO Bulan Ini'!$CZ:$CZ,'Area-Cabang'!BS$41)</f>
        <v>0</v>
      </c>
      <c r="BT138" s="56">
        <f>SUMIFS('CWO Bulan Ini'!$DC:$DC,'CWO Bulan Ini'!$DJ:$DJ,'Area-Cabang'!$B138,'CWO Bulan Ini'!$DH:$DH,'Area-Cabang'!$E138,'CWO Bulan Ini'!$CZ:$CZ,'Area-Cabang'!BT$41)</f>
        <v>0</v>
      </c>
      <c r="BU138" s="56">
        <f>SUMIFS('CWO Bulan Ini'!$DC:$DC,'CWO Bulan Ini'!$DJ:$DJ,'Area-Cabang'!$B138,'CWO Bulan Ini'!$DH:$DH,'Area-Cabang'!$E138,'CWO Bulan Ini'!$CZ:$CZ,'Area-Cabang'!BU$41)</f>
        <v>0</v>
      </c>
      <c r="BV138" s="56">
        <f>SUMIFS('CWO Bulan Ini'!$DC:$DC,'CWO Bulan Ini'!$DJ:$DJ,'Area-Cabang'!$B138,'CWO Bulan Ini'!$DH:$DH,'Area-Cabang'!$E138,'CWO Bulan Ini'!$CZ:$CZ,'Area-Cabang'!BV$41)</f>
        <v>0</v>
      </c>
      <c r="BW138" s="56">
        <f>SUMIFS('CWO Bulan Ini'!$DC:$DC,'CWO Bulan Ini'!$DJ:$DJ,'Area-Cabang'!$B138,'CWO Bulan Ini'!$DH:$DH,'Area-Cabang'!$E138,'CWO Bulan Ini'!$CZ:$CZ,'Area-Cabang'!BW$41)</f>
        <v>0</v>
      </c>
      <c r="BX138" s="56">
        <f>SUMIFS('CWO Bulan Ini'!$DC:$DC,'CWO Bulan Ini'!$DJ:$DJ,'Area-Cabang'!$B138,'CWO Bulan Ini'!$DH:$DH,'Area-Cabang'!$E138,'CWO Bulan Ini'!$CZ:$CZ,'Area-Cabang'!BX$41)</f>
        <v>0</v>
      </c>
      <c r="BY138" s="56">
        <f>SUMIFS('CWO Bulan Ini'!$DC:$DC,'CWO Bulan Ini'!$DJ:$DJ,'Area-Cabang'!$B138,'CWO Bulan Ini'!$DH:$DH,'Area-Cabang'!$E138,'CWO Bulan Ini'!$CZ:$CZ,'Area-Cabang'!BY$41)</f>
        <v>0</v>
      </c>
      <c r="BZ138" s="56">
        <f>SUMIFS('CWO Bulan Ini'!$DC:$DC,'CWO Bulan Ini'!$DJ:$DJ,'Area-Cabang'!$B138,'CWO Bulan Ini'!$DH:$DH,'Area-Cabang'!$E138,'CWO Bulan Ini'!$CZ:$CZ,'Area-Cabang'!BZ$41)</f>
        <v>0</v>
      </c>
      <c r="CA138" s="56">
        <f>SUMIFS('CWO Bulan Ini'!$DC:$DC,'CWO Bulan Ini'!$DJ:$DJ,'Area-Cabang'!$B138,'CWO Bulan Ini'!$DH:$DH,'Area-Cabang'!$E138,'CWO Bulan Ini'!$CZ:$CZ,'Area-Cabang'!CA$41)</f>
        <v>0</v>
      </c>
      <c r="CB138" s="56">
        <f>SUMIFS('CWO Bulan Ini'!$DC:$DC,'CWO Bulan Ini'!$DJ:$DJ,'Area-Cabang'!$B138,'CWO Bulan Ini'!$DH:$DH,'Area-Cabang'!$E138,'CWO Bulan Ini'!$CZ:$CZ,'Area-Cabang'!CB$41)</f>
        <v>0</v>
      </c>
      <c r="CC138" s="56">
        <f>SUMIFS('CWO Bulan Ini'!$DC:$DC,'CWO Bulan Ini'!$DJ:$DJ,'Area-Cabang'!$B138,'CWO Bulan Ini'!$DH:$DH,'Area-Cabang'!$E138,'CWO Bulan Ini'!$CZ:$CZ,'Area-Cabang'!CC$41)</f>
        <v>0</v>
      </c>
      <c r="CD138" s="56">
        <f>SUMIFS('CWO Bulan Ini'!$DC:$DC,'CWO Bulan Ini'!$DJ:$DJ,'Area-Cabang'!$B138,'CWO Bulan Ini'!$DH:$DH,'Area-Cabang'!$E138,'CWO Bulan Ini'!$CZ:$CZ,'Area-Cabang'!CD$41)</f>
        <v>0</v>
      </c>
      <c r="CE138" s="56">
        <f>SUMIFS('CWO Bulan Ini'!$DC:$DC,'CWO Bulan Ini'!$DJ:$DJ,'Area-Cabang'!$B138,'CWO Bulan Ini'!$DH:$DH,'Area-Cabang'!$E138,'CWO Bulan Ini'!$CZ:$CZ,'Area-Cabang'!CE$41)</f>
        <v>0</v>
      </c>
      <c r="CF138" s="56">
        <f>SUMIFS('CWO Bulan Ini'!$DC:$DC,'CWO Bulan Ini'!$DJ:$DJ,'Area-Cabang'!$B138,'CWO Bulan Ini'!$DH:$DH,'Area-Cabang'!$E138,'CWO Bulan Ini'!$CZ:$CZ,'Area-Cabang'!CF$41)</f>
        <v>0</v>
      </c>
      <c r="CG138" s="56">
        <f>SUMIFS('CWO Bulan Ini'!$DC:$DC,'CWO Bulan Ini'!$DJ:$DJ,'Area-Cabang'!$B138,'CWO Bulan Ini'!$DH:$DH,'Area-Cabang'!$E138,'CWO Bulan Ini'!$CZ:$CZ,'Area-Cabang'!CG$41)</f>
        <v>0</v>
      </c>
      <c r="CH138" s="56">
        <f>SUMIFS('CWO Bulan Ini'!$DC:$DC,'CWO Bulan Ini'!$DJ:$DJ,'Area-Cabang'!$B138,'CWO Bulan Ini'!$DH:$DH,'Area-Cabang'!$E138,'CWO Bulan Ini'!$CZ:$CZ,'Area-Cabang'!CH$41)</f>
        <v>0</v>
      </c>
      <c r="CI138" s="56">
        <f>SUMIFS('CWO Bulan Ini'!$DC:$DC,'CWO Bulan Ini'!$DJ:$DJ,'Area-Cabang'!$B138,'CWO Bulan Ini'!$DH:$DH,'Area-Cabang'!$E138,'CWO Bulan Ini'!$CZ:$CZ,'Area-Cabang'!CI$41)</f>
        <v>0</v>
      </c>
      <c r="CJ138" s="56">
        <f>SUMIFS('CWO Bulan Ini'!$DC:$DC,'CWO Bulan Ini'!$DJ:$DJ,'Area-Cabang'!$B138,'CWO Bulan Ini'!$DH:$DH,'Area-Cabang'!$E138,'CWO Bulan Ini'!$CZ:$CZ,'Area-Cabang'!CJ$41)</f>
        <v>0</v>
      </c>
      <c r="CK138" s="56">
        <f>SUMIFS('CWO Bulan Ini'!$DC:$DC,'CWO Bulan Ini'!$DJ:$DJ,'Area-Cabang'!$B138,'CWO Bulan Ini'!$DH:$DH,'Area-Cabang'!$E138,'CWO Bulan Ini'!$CZ:$CZ,'Area-Cabang'!CK$41)</f>
        <v>0</v>
      </c>
      <c r="CL138" s="56">
        <f>SUMIFS('CWO Bulan Ini'!$DC:$DC,'CWO Bulan Ini'!$DJ:$DJ,'Area-Cabang'!$B138,'CWO Bulan Ini'!$DH:$DH,'Area-Cabang'!$E138,'CWO Bulan Ini'!$CZ:$CZ,'Area-Cabang'!CL$41)</f>
        <v>0</v>
      </c>
      <c r="CM138" s="56">
        <f>SUMIFS('CWO Bulan Ini'!$DC:$DC,'CWO Bulan Ini'!$DJ:$DJ,'Area-Cabang'!$B138,'CWO Bulan Ini'!$DH:$DH,'Area-Cabang'!$E138,'CWO Bulan Ini'!$CZ:$CZ,'Area-Cabang'!CM$41)</f>
        <v>0</v>
      </c>
      <c r="CN138" s="56">
        <f>SUMIFS('CWO Bulan Ini'!$DC:$DC,'CWO Bulan Ini'!$DJ:$DJ,'Area-Cabang'!$B138,'CWO Bulan Ini'!$DH:$DH,'Area-Cabang'!$E138,'CWO Bulan Ini'!$CZ:$CZ,'Area-Cabang'!CN$41)</f>
        <v>0</v>
      </c>
      <c r="CO138" s="56">
        <f>SUMIFS('CWO Bulan Ini'!$DC:$DC,'CWO Bulan Ini'!$DJ:$DJ,'Area-Cabang'!$B138,'CWO Bulan Ini'!$DH:$DH,'Area-Cabang'!$E138,'CWO Bulan Ini'!$CZ:$CZ,'Area-Cabang'!CO$41)</f>
        <v>0</v>
      </c>
      <c r="CP138" s="56">
        <f>SUMIFS('CWO Bulan Ini'!$DC:$DC,'CWO Bulan Ini'!$DJ:$DJ,'Area-Cabang'!$B138,'CWO Bulan Ini'!$DH:$DH,'Area-Cabang'!$E138,'CWO Bulan Ini'!$CZ:$CZ,'Area-Cabang'!CP$41)</f>
        <v>0</v>
      </c>
      <c r="CQ138" s="56">
        <f>SUMIFS('CWO Bulan Ini'!$DC:$DC,'CWO Bulan Ini'!$DJ:$DJ,'Area-Cabang'!$B138,'CWO Bulan Ini'!$DH:$DH,'Area-Cabang'!$E138,'CWO Bulan Ini'!$CZ:$CZ,'Area-Cabang'!CQ$41)</f>
        <v>0</v>
      </c>
      <c r="CR138" s="56">
        <f>SUMIFS('CWO Bulan Ini'!$DC:$DC,'CWO Bulan Ini'!$DJ:$DJ,'Area-Cabang'!$B138,'CWO Bulan Ini'!$DH:$DH,'Area-Cabang'!$E138,'CWO Bulan Ini'!$CZ:$CZ,'Area-Cabang'!CR$41)</f>
        <v>0</v>
      </c>
      <c r="CS138" s="56">
        <f>SUMIFS('CWO Bulan Ini'!$DC:$DC,'CWO Bulan Ini'!$DJ:$DJ,'Area-Cabang'!$B138,'CWO Bulan Ini'!$DH:$DH,'Area-Cabang'!$E138,'CWO Bulan Ini'!$CZ:$CZ,'Area-Cabang'!CS$41)</f>
        <v>0</v>
      </c>
      <c r="CT138" s="57">
        <f>SUMIFS('CWO Bulan Ini'!$DC:$DC,'CWO Bulan Ini'!$DJ:$DJ,'Area-Cabang'!$B138,'CWO Bulan Ini'!$DH:$DH,'Area-Cabang'!$E138,'CWO Bulan Ini'!$CZ:$CZ,'Area-Cabang'!CT$41)</f>
        <v>0</v>
      </c>
      <c r="CV138" s="97">
        <f t="shared" ref="CV138:CV139" si="4277">SUM(F138:AJ138)</f>
        <v>0</v>
      </c>
      <c r="CW138" s="98">
        <f t="shared" ref="CW138:CW139" si="4278">SUM(AK138:BO138)</f>
        <v>0</v>
      </c>
      <c r="CX138" s="98">
        <f t="shared" ref="CX138:CX139" si="4279">SUM(BP138:CT138)</f>
        <v>0</v>
      </c>
      <c r="CY138" s="98">
        <f t="shared" ref="CY138:CY139" si="4280">CV138-CW138-CX138</f>
        <v>0</v>
      </c>
      <c r="CZ138" s="105">
        <f t="shared" ref="CZ138:CZ139" si="4281">CY138+CW138</f>
        <v>0</v>
      </c>
    </row>
    <row r="139" spans="1:104" ht="15" customHeight="1" x14ac:dyDescent="0.25">
      <c r="A139" s="58" t="s">
        <v>454</v>
      </c>
      <c r="B139" s="58" t="s">
        <v>336</v>
      </c>
      <c r="C139" s="250"/>
      <c r="D139" s="244"/>
      <c r="E139" s="40" t="s">
        <v>349</v>
      </c>
      <c r="F139" s="41">
        <f>SUMIFS('CWO Bulan Ini'!$DA:$DA,'CWO Bulan Ini'!$DJ:$DJ,'Area-Cabang'!$B139,'CWO Bulan Ini'!$DH:$DH,'Area-Cabang'!$E139,'CWO Bulan Ini'!$CZ:$CZ,'Area-Cabang'!F$41)</f>
        <v>0</v>
      </c>
      <c r="G139" s="42">
        <f>SUMIFS('CWO Bulan Ini'!$DA:$DA,'CWO Bulan Ini'!$DJ:$DJ,'Area-Cabang'!$B139,'CWO Bulan Ini'!$DH:$DH,'Area-Cabang'!$E139,'CWO Bulan Ini'!$CZ:$CZ,'Area-Cabang'!G$41)</f>
        <v>0</v>
      </c>
      <c r="H139" s="42">
        <f>SUMIFS('CWO Bulan Ini'!$DA:$DA,'CWO Bulan Ini'!$DJ:$DJ,'Area-Cabang'!$B139,'CWO Bulan Ini'!$DH:$DH,'Area-Cabang'!$E139,'CWO Bulan Ini'!$CZ:$CZ,'Area-Cabang'!H$41)</f>
        <v>0</v>
      </c>
      <c r="I139" s="42">
        <f>SUMIFS('CWO Bulan Ini'!$DA:$DA,'CWO Bulan Ini'!$DJ:$DJ,'Area-Cabang'!$B139,'CWO Bulan Ini'!$DH:$DH,'Area-Cabang'!$E139,'CWO Bulan Ini'!$CZ:$CZ,'Area-Cabang'!I$41)</f>
        <v>0</v>
      </c>
      <c r="J139" s="42">
        <f>SUMIFS('CWO Bulan Ini'!$DA:$DA,'CWO Bulan Ini'!$DJ:$DJ,'Area-Cabang'!$B139,'CWO Bulan Ini'!$DH:$DH,'Area-Cabang'!$E139,'CWO Bulan Ini'!$CZ:$CZ,'Area-Cabang'!J$41)</f>
        <v>0</v>
      </c>
      <c r="K139" s="42">
        <f>SUMIFS('CWO Bulan Ini'!$DA:$DA,'CWO Bulan Ini'!$DJ:$DJ,'Area-Cabang'!$B139,'CWO Bulan Ini'!$DH:$DH,'Area-Cabang'!$E139,'CWO Bulan Ini'!$CZ:$CZ,'Area-Cabang'!K$41)</f>
        <v>0</v>
      </c>
      <c r="L139" s="42">
        <f>SUMIFS('CWO Bulan Ini'!$DA:$DA,'CWO Bulan Ini'!$DJ:$DJ,'Area-Cabang'!$B139,'CWO Bulan Ini'!$DH:$DH,'Area-Cabang'!$E139,'CWO Bulan Ini'!$CZ:$CZ,'Area-Cabang'!L$41)</f>
        <v>0</v>
      </c>
      <c r="M139" s="42">
        <f>SUMIFS('CWO Bulan Ini'!$DA:$DA,'CWO Bulan Ini'!$DJ:$DJ,'Area-Cabang'!$B139,'CWO Bulan Ini'!$DH:$DH,'Area-Cabang'!$E139,'CWO Bulan Ini'!$CZ:$CZ,'Area-Cabang'!M$41)</f>
        <v>0</v>
      </c>
      <c r="N139" s="42">
        <f>SUMIFS('CWO Bulan Ini'!$DA:$DA,'CWO Bulan Ini'!$DJ:$DJ,'Area-Cabang'!$B139,'CWO Bulan Ini'!$DH:$DH,'Area-Cabang'!$E139,'CWO Bulan Ini'!$CZ:$CZ,'Area-Cabang'!N$41)</f>
        <v>0</v>
      </c>
      <c r="O139" s="42">
        <f>SUMIFS('CWO Bulan Ini'!$DA:$DA,'CWO Bulan Ini'!$DJ:$DJ,'Area-Cabang'!$B139,'CWO Bulan Ini'!$DH:$DH,'Area-Cabang'!$E139,'CWO Bulan Ini'!$CZ:$CZ,'Area-Cabang'!O$41)</f>
        <v>0</v>
      </c>
      <c r="P139" s="42">
        <f>SUMIFS('CWO Bulan Ini'!$DA:$DA,'CWO Bulan Ini'!$DJ:$DJ,'Area-Cabang'!$B139,'CWO Bulan Ini'!$DH:$DH,'Area-Cabang'!$E139,'CWO Bulan Ini'!$CZ:$CZ,'Area-Cabang'!P$41)</f>
        <v>0</v>
      </c>
      <c r="Q139" s="42">
        <f>SUMIFS('CWO Bulan Ini'!$DA:$DA,'CWO Bulan Ini'!$DJ:$DJ,'Area-Cabang'!$B139,'CWO Bulan Ini'!$DH:$DH,'Area-Cabang'!$E139,'CWO Bulan Ini'!$CZ:$CZ,'Area-Cabang'!Q$41)</f>
        <v>0</v>
      </c>
      <c r="R139" s="42">
        <f>SUMIFS('CWO Bulan Ini'!$DA:$DA,'CWO Bulan Ini'!$DJ:$DJ,'Area-Cabang'!$B139,'CWO Bulan Ini'!$DH:$DH,'Area-Cabang'!$E139,'CWO Bulan Ini'!$CZ:$CZ,'Area-Cabang'!R$41)</f>
        <v>0</v>
      </c>
      <c r="S139" s="42">
        <f>SUMIFS('CWO Bulan Ini'!$DA:$DA,'CWO Bulan Ini'!$DJ:$DJ,'Area-Cabang'!$B139,'CWO Bulan Ini'!$DH:$DH,'Area-Cabang'!$E139,'CWO Bulan Ini'!$CZ:$CZ,'Area-Cabang'!S$41)</f>
        <v>0</v>
      </c>
      <c r="T139" s="42">
        <f>SUMIFS('CWO Bulan Ini'!$DA:$DA,'CWO Bulan Ini'!$DJ:$DJ,'Area-Cabang'!$B139,'CWO Bulan Ini'!$DH:$DH,'Area-Cabang'!$E139,'CWO Bulan Ini'!$CZ:$CZ,'Area-Cabang'!T$41)</f>
        <v>0</v>
      </c>
      <c r="U139" s="42">
        <f>SUMIFS('CWO Bulan Ini'!$DA:$DA,'CWO Bulan Ini'!$DJ:$DJ,'Area-Cabang'!$B139,'CWO Bulan Ini'!$DH:$DH,'Area-Cabang'!$E139,'CWO Bulan Ini'!$CZ:$CZ,'Area-Cabang'!U$41)</f>
        <v>0</v>
      </c>
      <c r="V139" s="42">
        <f>SUMIFS('CWO Bulan Ini'!$DA:$DA,'CWO Bulan Ini'!$DJ:$DJ,'Area-Cabang'!$B139,'CWO Bulan Ini'!$DH:$DH,'Area-Cabang'!$E139,'CWO Bulan Ini'!$CZ:$CZ,'Area-Cabang'!V$41)</f>
        <v>0</v>
      </c>
      <c r="W139" s="42">
        <f>SUMIFS('CWO Bulan Ini'!$DA:$DA,'CWO Bulan Ini'!$DJ:$DJ,'Area-Cabang'!$B139,'CWO Bulan Ini'!$DH:$DH,'Area-Cabang'!$E139,'CWO Bulan Ini'!$CZ:$CZ,'Area-Cabang'!W$41)</f>
        <v>0</v>
      </c>
      <c r="X139" s="42">
        <f>SUMIFS('CWO Bulan Ini'!$DA:$DA,'CWO Bulan Ini'!$DJ:$DJ,'Area-Cabang'!$B139,'CWO Bulan Ini'!$DH:$DH,'Area-Cabang'!$E139,'CWO Bulan Ini'!$CZ:$CZ,'Area-Cabang'!X$41)</f>
        <v>0</v>
      </c>
      <c r="Y139" s="42">
        <f>SUMIFS('CWO Bulan Ini'!$DA:$DA,'CWO Bulan Ini'!$DJ:$DJ,'Area-Cabang'!$B139,'CWO Bulan Ini'!$DH:$DH,'Area-Cabang'!$E139,'CWO Bulan Ini'!$CZ:$CZ,'Area-Cabang'!Y$41)</f>
        <v>0</v>
      </c>
      <c r="Z139" s="42">
        <f>SUMIFS('CWO Bulan Ini'!$DA:$DA,'CWO Bulan Ini'!$DJ:$DJ,'Area-Cabang'!$B139,'CWO Bulan Ini'!$DH:$DH,'Area-Cabang'!$E139,'CWO Bulan Ini'!$CZ:$CZ,'Area-Cabang'!Z$41)</f>
        <v>0</v>
      </c>
      <c r="AA139" s="42">
        <f>SUMIFS('CWO Bulan Ini'!$DA:$DA,'CWO Bulan Ini'!$DJ:$DJ,'Area-Cabang'!$B139,'CWO Bulan Ini'!$DH:$DH,'Area-Cabang'!$E139,'CWO Bulan Ini'!$CZ:$CZ,'Area-Cabang'!AA$41)</f>
        <v>0</v>
      </c>
      <c r="AB139" s="42">
        <f>SUMIFS('CWO Bulan Ini'!$DA:$DA,'CWO Bulan Ini'!$DJ:$DJ,'Area-Cabang'!$B139,'CWO Bulan Ini'!$DH:$DH,'Area-Cabang'!$E139,'CWO Bulan Ini'!$CZ:$CZ,'Area-Cabang'!AB$41)</f>
        <v>0</v>
      </c>
      <c r="AC139" s="42">
        <f>SUMIFS('CWO Bulan Ini'!$DA:$DA,'CWO Bulan Ini'!$DJ:$DJ,'Area-Cabang'!$B139,'CWO Bulan Ini'!$DH:$DH,'Area-Cabang'!$E139,'CWO Bulan Ini'!$CZ:$CZ,'Area-Cabang'!AC$41)</f>
        <v>0</v>
      </c>
      <c r="AD139" s="42">
        <f>SUMIFS('CWO Bulan Ini'!$DA:$DA,'CWO Bulan Ini'!$DJ:$DJ,'Area-Cabang'!$B139,'CWO Bulan Ini'!$DH:$DH,'Area-Cabang'!$E139,'CWO Bulan Ini'!$CZ:$CZ,'Area-Cabang'!AD$41)</f>
        <v>0</v>
      </c>
      <c r="AE139" s="42">
        <f>SUMIFS('CWO Bulan Ini'!$DA:$DA,'CWO Bulan Ini'!$DJ:$DJ,'Area-Cabang'!$B139,'CWO Bulan Ini'!$DH:$DH,'Area-Cabang'!$E139,'CWO Bulan Ini'!$CZ:$CZ,'Area-Cabang'!AE$41)</f>
        <v>0</v>
      </c>
      <c r="AF139" s="42">
        <f>SUMIFS('CWO Bulan Ini'!$DA:$DA,'CWO Bulan Ini'!$DJ:$DJ,'Area-Cabang'!$B139,'CWO Bulan Ini'!$DH:$DH,'Area-Cabang'!$E139,'CWO Bulan Ini'!$CZ:$CZ,'Area-Cabang'!AF$41)</f>
        <v>0</v>
      </c>
      <c r="AG139" s="42">
        <f>SUMIFS('CWO Bulan Ini'!$DA:$DA,'CWO Bulan Ini'!$DJ:$DJ,'Area-Cabang'!$B139,'CWO Bulan Ini'!$DH:$DH,'Area-Cabang'!$E139,'CWO Bulan Ini'!$CZ:$CZ,'Area-Cabang'!AG$41)</f>
        <v>0</v>
      </c>
      <c r="AH139" s="42">
        <f>SUMIFS('CWO Bulan Ini'!$DA:$DA,'CWO Bulan Ini'!$DJ:$DJ,'Area-Cabang'!$B139,'CWO Bulan Ini'!$DH:$DH,'Area-Cabang'!$E139,'CWO Bulan Ini'!$CZ:$CZ,'Area-Cabang'!AH$41)</f>
        <v>0</v>
      </c>
      <c r="AI139" s="42">
        <f>SUMIFS('CWO Bulan Ini'!$DA:$DA,'CWO Bulan Ini'!$DJ:$DJ,'Area-Cabang'!$B139,'CWO Bulan Ini'!$DH:$DH,'Area-Cabang'!$E139,'CWO Bulan Ini'!$CZ:$CZ,'Area-Cabang'!AI$41)</f>
        <v>0</v>
      </c>
      <c r="AJ139" s="42">
        <f>SUMIFS('CWO Bulan Ini'!$DA:$DA,'CWO Bulan Ini'!$DJ:$DJ,'Area-Cabang'!$B139,'CWO Bulan Ini'!$DH:$DH,'Area-Cabang'!$E139,'CWO Bulan Ini'!$CZ:$CZ,'Area-Cabang'!AJ$41)</f>
        <v>0</v>
      </c>
      <c r="AK139" s="41">
        <f>SUMIFS('CWO Bulan Ini'!$DD:$DD,'CWO Bulan Ini'!$DJ:$DJ,'Area-Cabang'!$B139,'CWO Bulan Ini'!$DH:$DH,'Area-Cabang'!$E139,'CWO Bulan Ini'!$CZ:$CZ,'Area-Cabang'!AK$41)</f>
        <v>0</v>
      </c>
      <c r="AL139" s="42">
        <f>SUMIFS('CWO Bulan Ini'!$DD:$DD,'CWO Bulan Ini'!$DJ:$DJ,'Area-Cabang'!$B139,'CWO Bulan Ini'!$DH:$DH,'Area-Cabang'!$E139,'CWO Bulan Ini'!$CZ:$CZ,'Area-Cabang'!AL$41)</f>
        <v>0</v>
      </c>
      <c r="AM139" s="42">
        <f>SUMIFS('CWO Bulan Ini'!$DD:$DD,'CWO Bulan Ini'!$DJ:$DJ,'Area-Cabang'!$B139,'CWO Bulan Ini'!$DH:$DH,'Area-Cabang'!$E139,'CWO Bulan Ini'!$CZ:$CZ,'Area-Cabang'!AM$41)</f>
        <v>0</v>
      </c>
      <c r="AN139" s="42">
        <f>SUMIFS('CWO Bulan Ini'!$DD:$DD,'CWO Bulan Ini'!$DJ:$DJ,'Area-Cabang'!$B139,'CWO Bulan Ini'!$DH:$DH,'Area-Cabang'!$E139,'CWO Bulan Ini'!$CZ:$CZ,'Area-Cabang'!AN$41)</f>
        <v>0</v>
      </c>
      <c r="AO139" s="42">
        <f>SUMIFS('CWO Bulan Ini'!$DD:$DD,'CWO Bulan Ini'!$DJ:$DJ,'Area-Cabang'!$B139,'CWO Bulan Ini'!$DH:$DH,'Area-Cabang'!$E139,'CWO Bulan Ini'!$CZ:$CZ,'Area-Cabang'!AO$41)</f>
        <v>0</v>
      </c>
      <c r="AP139" s="42">
        <f>SUMIFS('CWO Bulan Ini'!$DD:$DD,'CWO Bulan Ini'!$DJ:$DJ,'Area-Cabang'!$B139,'CWO Bulan Ini'!$DH:$DH,'Area-Cabang'!$E139,'CWO Bulan Ini'!$CZ:$CZ,'Area-Cabang'!AP$41)</f>
        <v>0</v>
      </c>
      <c r="AQ139" s="42">
        <f>SUMIFS('CWO Bulan Ini'!$DD:$DD,'CWO Bulan Ini'!$DJ:$DJ,'Area-Cabang'!$B139,'CWO Bulan Ini'!$DH:$DH,'Area-Cabang'!$E139,'CWO Bulan Ini'!$CZ:$CZ,'Area-Cabang'!AQ$41)</f>
        <v>0</v>
      </c>
      <c r="AR139" s="42">
        <f>SUMIFS('CWO Bulan Ini'!$DD:$DD,'CWO Bulan Ini'!$DJ:$DJ,'Area-Cabang'!$B139,'CWO Bulan Ini'!$DH:$DH,'Area-Cabang'!$E139,'CWO Bulan Ini'!$CZ:$CZ,'Area-Cabang'!AR$41)</f>
        <v>0</v>
      </c>
      <c r="AS139" s="42">
        <f>SUMIFS('CWO Bulan Ini'!$DD:$DD,'CWO Bulan Ini'!$DJ:$DJ,'Area-Cabang'!$B139,'CWO Bulan Ini'!$DH:$DH,'Area-Cabang'!$E139,'CWO Bulan Ini'!$CZ:$CZ,'Area-Cabang'!AS$41)</f>
        <v>0</v>
      </c>
      <c r="AT139" s="42">
        <f>SUMIFS('CWO Bulan Ini'!$DD:$DD,'CWO Bulan Ini'!$DJ:$DJ,'Area-Cabang'!$B139,'CWO Bulan Ini'!$DH:$DH,'Area-Cabang'!$E139,'CWO Bulan Ini'!$CZ:$CZ,'Area-Cabang'!AT$41)</f>
        <v>0</v>
      </c>
      <c r="AU139" s="42">
        <f>SUMIFS('CWO Bulan Ini'!$DD:$DD,'CWO Bulan Ini'!$DJ:$DJ,'Area-Cabang'!$B139,'CWO Bulan Ini'!$DH:$DH,'Area-Cabang'!$E139,'CWO Bulan Ini'!$CZ:$CZ,'Area-Cabang'!AU$41)</f>
        <v>0</v>
      </c>
      <c r="AV139" s="42">
        <f>SUMIFS('CWO Bulan Ini'!$DD:$DD,'CWO Bulan Ini'!$DJ:$DJ,'Area-Cabang'!$B139,'CWO Bulan Ini'!$DH:$DH,'Area-Cabang'!$E139,'CWO Bulan Ini'!$CZ:$CZ,'Area-Cabang'!AV$41)</f>
        <v>0</v>
      </c>
      <c r="AW139" s="42">
        <f>SUMIFS('CWO Bulan Ini'!$DD:$DD,'CWO Bulan Ini'!$DJ:$DJ,'Area-Cabang'!$B139,'CWO Bulan Ini'!$DH:$DH,'Area-Cabang'!$E139,'CWO Bulan Ini'!$CZ:$CZ,'Area-Cabang'!AW$41)</f>
        <v>0</v>
      </c>
      <c r="AX139" s="42">
        <f>SUMIFS('CWO Bulan Ini'!$DD:$DD,'CWO Bulan Ini'!$DJ:$DJ,'Area-Cabang'!$B139,'CWO Bulan Ini'!$DH:$DH,'Area-Cabang'!$E139,'CWO Bulan Ini'!$CZ:$CZ,'Area-Cabang'!AX$41)</f>
        <v>0</v>
      </c>
      <c r="AY139" s="42">
        <f>SUMIFS('CWO Bulan Ini'!$DD:$DD,'CWO Bulan Ini'!$DJ:$DJ,'Area-Cabang'!$B139,'CWO Bulan Ini'!$DH:$DH,'Area-Cabang'!$E139,'CWO Bulan Ini'!$CZ:$CZ,'Area-Cabang'!AY$41)</f>
        <v>0</v>
      </c>
      <c r="AZ139" s="42">
        <f>SUMIFS('CWO Bulan Ini'!$DD:$DD,'CWO Bulan Ini'!$DJ:$DJ,'Area-Cabang'!$B139,'CWO Bulan Ini'!$DH:$DH,'Area-Cabang'!$E139,'CWO Bulan Ini'!$CZ:$CZ,'Area-Cabang'!AZ$41)</f>
        <v>0</v>
      </c>
      <c r="BA139" s="42">
        <f>SUMIFS('CWO Bulan Ini'!$DD:$DD,'CWO Bulan Ini'!$DJ:$DJ,'Area-Cabang'!$B139,'CWO Bulan Ini'!$DH:$DH,'Area-Cabang'!$E139,'CWO Bulan Ini'!$CZ:$CZ,'Area-Cabang'!BA$41)</f>
        <v>0</v>
      </c>
      <c r="BB139" s="42">
        <f>SUMIFS('CWO Bulan Ini'!$DD:$DD,'CWO Bulan Ini'!$DJ:$DJ,'Area-Cabang'!$B139,'CWO Bulan Ini'!$DH:$DH,'Area-Cabang'!$E139,'CWO Bulan Ini'!$CZ:$CZ,'Area-Cabang'!BB$41)</f>
        <v>0</v>
      </c>
      <c r="BC139" s="42">
        <f>SUMIFS('CWO Bulan Ini'!$DD:$DD,'CWO Bulan Ini'!$DJ:$DJ,'Area-Cabang'!$B139,'CWO Bulan Ini'!$DH:$DH,'Area-Cabang'!$E139,'CWO Bulan Ini'!$CZ:$CZ,'Area-Cabang'!BC$41)</f>
        <v>0</v>
      </c>
      <c r="BD139" s="42">
        <f>SUMIFS('CWO Bulan Ini'!$DD:$DD,'CWO Bulan Ini'!$DJ:$DJ,'Area-Cabang'!$B139,'CWO Bulan Ini'!$DH:$DH,'Area-Cabang'!$E139,'CWO Bulan Ini'!$CZ:$CZ,'Area-Cabang'!BD$41)</f>
        <v>0</v>
      </c>
      <c r="BE139" s="42">
        <f>SUMIFS('CWO Bulan Ini'!$DD:$DD,'CWO Bulan Ini'!$DJ:$DJ,'Area-Cabang'!$B139,'CWO Bulan Ini'!$DH:$DH,'Area-Cabang'!$E139,'CWO Bulan Ini'!$CZ:$CZ,'Area-Cabang'!BE$41)</f>
        <v>0</v>
      </c>
      <c r="BF139" s="42">
        <f>SUMIFS('CWO Bulan Ini'!$DD:$DD,'CWO Bulan Ini'!$DJ:$DJ,'Area-Cabang'!$B139,'CWO Bulan Ini'!$DH:$DH,'Area-Cabang'!$E139,'CWO Bulan Ini'!$CZ:$CZ,'Area-Cabang'!BF$41)</f>
        <v>0</v>
      </c>
      <c r="BG139" s="42">
        <f>SUMIFS('CWO Bulan Ini'!$DD:$DD,'CWO Bulan Ini'!$DJ:$DJ,'Area-Cabang'!$B139,'CWO Bulan Ini'!$DH:$DH,'Area-Cabang'!$E139,'CWO Bulan Ini'!$CZ:$CZ,'Area-Cabang'!BG$41)</f>
        <v>0</v>
      </c>
      <c r="BH139" s="42">
        <f>SUMIFS('CWO Bulan Ini'!$DD:$DD,'CWO Bulan Ini'!$DJ:$DJ,'Area-Cabang'!$B139,'CWO Bulan Ini'!$DH:$DH,'Area-Cabang'!$E139,'CWO Bulan Ini'!$CZ:$CZ,'Area-Cabang'!BH$41)</f>
        <v>0</v>
      </c>
      <c r="BI139" s="42">
        <f>SUMIFS('CWO Bulan Ini'!$DD:$DD,'CWO Bulan Ini'!$DJ:$DJ,'Area-Cabang'!$B139,'CWO Bulan Ini'!$DH:$DH,'Area-Cabang'!$E139,'CWO Bulan Ini'!$CZ:$CZ,'Area-Cabang'!BI$41)</f>
        <v>0</v>
      </c>
      <c r="BJ139" s="42">
        <f>SUMIFS('CWO Bulan Ini'!$DD:$DD,'CWO Bulan Ini'!$DJ:$DJ,'Area-Cabang'!$B139,'CWO Bulan Ini'!$DH:$DH,'Area-Cabang'!$E139,'CWO Bulan Ini'!$CZ:$CZ,'Area-Cabang'!BJ$41)</f>
        <v>0</v>
      </c>
      <c r="BK139" s="42">
        <f>SUMIFS('CWO Bulan Ini'!$DD:$DD,'CWO Bulan Ini'!$DJ:$DJ,'Area-Cabang'!$B139,'CWO Bulan Ini'!$DH:$DH,'Area-Cabang'!$E139,'CWO Bulan Ini'!$CZ:$CZ,'Area-Cabang'!BK$41)</f>
        <v>0</v>
      </c>
      <c r="BL139" s="42">
        <f>SUMIFS('CWO Bulan Ini'!$DD:$DD,'CWO Bulan Ini'!$DJ:$DJ,'Area-Cabang'!$B139,'CWO Bulan Ini'!$DH:$DH,'Area-Cabang'!$E139,'CWO Bulan Ini'!$CZ:$CZ,'Area-Cabang'!BL$41)</f>
        <v>0</v>
      </c>
      <c r="BM139" s="42">
        <f>SUMIFS('CWO Bulan Ini'!$DD:$DD,'CWO Bulan Ini'!$DJ:$DJ,'Area-Cabang'!$B139,'CWO Bulan Ini'!$DH:$DH,'Area-Cabang'!$E139,'CWO Bulan Ini'!$CZ:$CZ,'Area-Cabang'!BM$41)</f>
        <v>0</v>
      </c>
      <c r="BN139" s="42">
        <f>SUMIFS('CWO Bulan Ini'!$DD:$DD,'CWO Bulan Ini'!$DJ:$DJ,'Area-Cabang'!$B139,'CWO Bulan Ini'!$DH:$DH,'Area-Cabang'!$E139,'CWO Bulan Ini'!$CZ:$CZ,'Area-Cabang'!BN$41)</f>
        <v>0</v>
      </c>
      <c r="BO139" s="43">
        <f>SUMIFS('CWO Bulan Ini'!$DD:$DD,'CWO Bulan Ini'!$DJ:$DJ,'Area-Cabang'!$B139,'CWO Bulan Ini'!$DH:$DH,'Area-Cabang'!$E139,'CWO Bulan Ini'!$CZ:$CZ,'Area-Cabang'!BO$41)</f>
        <v>0</v>
      </c>
      <c r="BP139" s="41">
        <f>SUMIFS('CWO Bulan Ini'!$DC:$DC,'CWO Bulan Ini'!$DJ:$DJ,'Area-Cabang'!$B139,'CWO Bulan Ini'!$DH:$DH,'Area-Cabang'!$E139,'CWO Bulan Ini'!$CZ:$CZ,'Area-Cabang'!BP$41)</f>
        <v>0</v>
      </c>
      <c r="BQ139" s="42">
        <f>SUMIFS('CWO Bulan Ini'!$DC:$DC,'CWO Bulan Ini'!$DJ:$DJ,'Area-Cabang'!$B139,'CWO Bulan Ini'!$DH:$DH,'Area-Cabang'!$E139,'CWO Bulan Ini'!$CZ:$CZ,'Area-Cabang'!BQ$41)</f>
        <v>0</v>
      </c>
      <c r="BR139" s="42">
        <f>SUMIFS('CWO Bulan Ini'!$DC:$DC,'CWO Bulan Ini'!$DJ:$DJ,'Area-Cabang'!$B139,'CWO Bulan Ini'!$DH:$DH,'Area-Cabang'!$E139,'CWO Bulan Ini'!$CZ:$CZ,'Area-Cabang'!BR$41)</f>
        <v>0</v>
      </c>
      <c r="BS139" s="42">
        <f>SUMIFS('CWO Bulan Ini'!$DC:$DC,'CWO Bulan Ini'!$DJ:$DJ,'Area-Cabang'!$B139,'CWO Bulan Ini'!$DH:$DH,'Area-Cabang'!$E139,'CWO Bulan Ini'!$CZ:$CZ,'Area-Cabang'!BS$41)</f>
        <v>0</v>
      </c>
      <c r="BT139" s="42">
        <f>SUMIFS('CWO Bulan Ini'!$DC:$DC,'CWO Bulan Ini'!$DJ:$DJ,'Area-Cabang'!$B139,'CWO Bulan Ini'!$DH:$DH,'Area-Cabang'!$E139,'CWO Bulan Ini'!$CZ:$CZ,'Area-Cabang'!BT$41)</f>
        <v>0</v>
      </c>
      <c r="BU139" s="42">
        <f>SUMIFS('CWO Bulan Ini'!$DC:$DC,'CWO Bulan Ini'!$DJ:$DJ,'Area-Cabang'!$B139,'CWO Bulan Ini'!$DH:$DH,'Area-Cabang'!$E139,'CWO Bulan Ini'!$CZ:$CZ,'Area-Cabang'!BU$41)</f>
        <v>0</v>
      </c>
      <c r="BV139" s="42">
        <f>SUMIFS('CWO Bulan Ini'!$DC:$DC,'CWO Bulan Ini'!$DJ:$DJ,'Area-Cabang'!$B139,'CWO Bulan Ini'!$DH:$DH,'Area-Cabang'!$E139,'CWO Bulan Ini'!$CZ:$CZ,'Area-Cabang'!BV$41)</f>
        <v>0</v>
      </c>
      <c r="BW139" s="42">
        <f>SUMIFS('CWO Bulan Ini'!$DC:$DC,'CWO Bulan Ini'!$DJ:$DJ,'Area-Cabang'!$B139,'CWO Bulan Ini'!$DH:$DH,'Area-Cabang'!$E139,'CWO Bulan Ini'!$CZ:$CZ,'Area-Cabang'!BW$41)</f>
        <v>0</v>
      </c>
      <c r="BX139" s="42">
        <f>SUMIFS('CWO Bulan Ini'!$DC:$DC,'CWO Bulan Ini'!$DJ:$DJ,'Area-Cabang'!$B139,'CWO Bulan Ini'!$DH:$DH,'Area-Cabang'!$E139,'CWO Bulan Ini'!$CZ:$CZ,'Area-Cabang'!BX$41)</f>
        <v>0</v>
      </c>
      <c r="BY139" s="42">
        <f>SUMIFS('CWO Bulan Ini'!$DC:$DC,'CWO Bulan Ini'!$DJ:$DJ,'Area-Cabang'!$B139,'CWO Bulan Ini'!$DH:$DH,'Area-Cabang'!$E139,'CWO Bulan Ini'!$CZ:$CZ,'Area-Cabang'!BY$41)</f>
        <v>0</v>
      </c>
      <c r="BZ139" s="42">
        <f>SUMIFS('CWO Bulan Ini'!$DC:$DC,'CWO Bulan Ini'!$DJ:$DJ,'Area-Cabang'!$B139,'CWO Bulan Ini'!$DH:$DH,'Area-Cabang'!$E139,'CWO Bulan Ini'!$CZ:$CZ,'Area-Cabang'!BZ$41)</f>
        <v>0</v>
      </c>
      <c r="CA139" s="42">
        <f>SUMIFS('CWO Bulan Ini'!$DC:$DC,'CWO Bulan Ini'!$DJ:$DJ,'Area-Cabang'!$B139,'CWO Bulan Ini'!$DH:$DH,'Area-Cabang'!$E139,'CWO Bulan Ini'!$CZ:$CZ,'Area-Cabang'!CA$41)</f>
        <v>0</v>
      </c>
      <c r="CB139" s="42">
        <f>SUMIFS('CWO Bulan Ini'!$DC:$DC,'CWO Bulan Ini'!$DJ:$DJ,'Area-Cabang'!$B139,'CWO Bulan Ini'!$DH:$DH,'Area-Cabang'!$E139,'CWO Bulan Ini'!$CZ:$CZ,'Area-Cabang'!CB$41)</f>
        <v>0</v>
      </c>
      <c r="CC139" s="42">
        <f>SUMIFS('CWO Bulan Ini'!$DC:$DC,'CWO Bulan Ini'!$DJ:$DJ,'Area-Cabang'!$B139,'CWO Bulan Ini'!$DH:$DH,'Area-Cabang'!$E139,'CWO Bulan Ini'!$CZ:$CZ,'Area-Cabang'!CC$41)</f>
        <v>0</v>
      </c>
      <c r="CD139" s="42">
        <f>SUMIFS('CWO Bulan Ini'!$DC:$DC,'CWO Bulan Ini'!$DJ:$DJ,'Area-Cabang'!$B139,'CWO Bulan Ini'!$DH:$DH,'Area-Cabang'!$E139,'CWO Bulan Ini'!$CZ:$CZ,'Area-Cabang'!CD$41)</f>
        <v>0</v>
      </c>
      <c r="CE139" s="42">
        <f>SUMIFS('CWO Bulan Ini'!$DC:$DC,'CWO Bulan Ini'!$DJ:$DJ,'Area-Cabang'!$B139,'CWO Bulan Ini'!$DH:$DH,'Area-Cabang'!$E139,'CWO Bulan Ini'!$CZ:$CZ,'Area-Cabang'!CE$41)</f>
        <v>0</v>
      </c>
      <c r="CF139" s="42">
        <f>SUMIFS('CWO Bulan Ini'!$DC:$DC,'CWO Bulan Ini'!$DJ:$DJ,'Area-Cabang'!$B139,'CWO Bulan Ini'!$DH:$DH,'Area-Cabang'!$E139,'CWO Bulan Ini'!$CZ:$CZ,'Area-Cabang'!CF$41)</f>
        <v>0</v>
      </c>
      <c r="CG139" s="42">
        <f>SUMIFS('CWO Bulan Ini'!$DC:$DC,'CWO Bulan Ini'!$DJ:$DJ,'Area-Cabang'!$B139,'CWO Bulan Ini'!$DH:$DH,'Area-Cabang'!$E139,'CWO Bulan Ini'!$CZ:$CZ,'Area-Cabang'!CG$41)</f>
        <v>0</v>
      </c>
      <c r="CH139" s="42">
        <f>SUMIFS('CWO Bulan Ini'!$DC:$DC,'CWO Bulan Ini'!$DJ:$DJ,'Area-Cabang'!$B139,'CWO Bulan Ini'!$DH:$DH,'Area-Cabang'!$E139,'CWO Bulan Ini'!$CZ:$CZ,'Area-Cabang'!CH$41)</f>
        <v>0</v>
      </c>
      <c r="CI139" s="42">
        <f>SUMIFS('CWO Bulan Ini'!$DC:$DC,'CWO Bulan Ini'!$DJ:$DJ,'Area-Cabang'!$B139,'CWO Bulan Ini'!$DH:$DH,'Area-Cabang'!$E139,'CWO Bulan Ini'!$CZ:$CZ,'Area-Cabang'!CI$41)</f>
        <v>0</v>
      </c>
      <c r="CJ139" s="42">
        <f>SUMIFS('CWO Bulan Ini'!$DC:$DC,'CWO Bulan Ini'!$DJ:$DJ,'Area-Cabang'!$B139,'CWO Bulan Ini'!$DH:$DH,'Area-Cabang'!$E139,'CWO Bulan Ini'!$CZ:$CZ,'Area-Cabang'!CJ$41)</f>
        <v>0</v>
      </c>
      <c r="CK139" s="42">
        <f>SUMIFS('CWO Bulan Ini'!$DC:$DC,'CWO Bulan Ini'!$DJ:$DJ,'Area-Cabang'!$B139,'CWO Bulan Ini'!$DH:$DH,'Area-Cabang'!$E139,'CWO Bulan Ini'!$CZ:$CZ,'Area-Cabang'!CK$41)</f>
        <v>0</v>
      </c>
      <c r="CL139" s="42">
        <f>SUMIFS('CWO Bulan Ini'!$DC:$DC,'CWO Bulan Ini'!$DJ:$DJ,'Area-Cabang'!$B139,'CWO Bulan Ini'!$DH:$DH,'Area-Cabang'!$E139,'CWO Bulan Ini'!$CZ:$CZ,'Area-Cabang'!CL$41)</f>
        <v>0</v>
      </c>
      <c r="CM139" s="42">
        <f>SUMIFS('CWO Bulan Ini'!$DC:$DC,'CWO Bulan Ini'!$DJ:$DJ,'Area-Cabang'!$B139,'CWO Bulan Ini'!$DH:$DH,'Area-Cabang'!$E139,'CWO Bulan Ini'!$CZ:$CZ,'Area-Cabang'!CM$41)</f>
        <v>0</v>
      </c>
      <c r="CN139" s="42">
        <f>SUMIFS('CWO Bulan Ini'!$DC:$DC,'CWO Bulan Ini'!$DJ:$DJ,'Area-Cabang'!$B139,'CWO Bulan Ini'!$DH:$DH,'Area-Cabang'!$E139,'CWO Bulan Ini'!$CZ:$CZ,'Area-Cabang'!CN$41)</f>
        <v>0</v>
      </c>
      <c r="CO139" s="42">
        <f>SUMIFS('CWO Bulan Ini'!$DC:$DC,'CWO Bulan Ini'!$DJ:$DJ,'Area-Cabang'!$B139,'CWO Bulan Ini'!$DH:$DH,'Area-Cabang'!$E139,'CWO Bulan Ini'!$CZ:$CZ,'Area-Cabang'!CO$41)</f>
        <v>0</v>
      </c>
      <c r="CP139" s="42">
        <f>SUMIFS('CWO Bulan Ini'!$DC:$DC,'CWO Bulan Ini'!$DJ:$DJ,'Area-Cabang'!$B139,'CWO Bulan Ini'!$DH:$DH,'Area-Cabang'!$E139,'CWO Bulan Ini'!$CZ:$CZ,'Area-Cabang'!CP$41)</f>
        <v>0</v>
      </c>
      <c r="CQ139" s="42">
        <f>SUMIFS('CWO Bulan Ini'!$DC:$DC,'CWO Bulan Ini'!$DJ:$DJ,'Area-Cabang'!$B139,'CWO Bulan Ini'!$DH:$DH,'Area-Cabang'!$E139,'CWO Bulan Ini'!$CZ:$CZ,'Area-Cabang'!CQ$41)</f>
        <v>0</v>
      </c>
      <c r="CR139" s="42">
        <f>SUMIFS('CWO Bulan Ini'!$DC:$DC,'CWO Bulan Ini'!$DJ:$DJ,'Area-Cabang'!$B139,'CWO Bulan Ini'!$DH:$DH,'Area-Cabang'!$E139,'CWO Bulan Ini'!$CZ:$CZ,'Area-Cabang'!CR$41)</f>
        <v>0</v>
      </c>
      <c r="CS139" s="42">
        <f>SUMIFS('CWO Bulan Ini'!$DC:$DC,'CWO Bulan Ini'!$DJ:$DJ,'Area-Cabang'!$B139,'CWO Bulan Ini'!$DH:$DH,'Area-Cabang'!$E139,'CWO Bulan Ini'!$CZ:$CZ,'Area-Cabang'!CS$41)</f>
        <v>0</v>
      </c>
      <c r="CT139" s="43">
        <f>SUMIFS('CWO Bulan Ini'!$DC:$DC,'CWO Bulan Ini'!$DJ:$DJ,'Area-Cabang'!$B139,'CWO Bulan Ini'!$DH:$DH,'Area-Cabang'!$E139,'CWO Bulan Ini'!$CZ:$CZ,'Area-Cabang'!CT$41)</f>
        <v>0</v>
      </c>
      <c r="CV139" s="96">
        <f t="shared" si="4277"/>
        <v>0</v>
      </c>
      <c r="CW139" s="93">
        <f t="shared" si="4278"/>
        <v>0</v>
      </c>
      <c r="CX139" s="93">
        <f t="shared" si="4279"/>
        <v>0</v>
      </c>
      <c r="CY139" s="93">
        <f t="shared" si="4280"/>
        <v>0</v>
      </c>
      <c r="CZ139" s="106">
        <f t="shared" si="4281"/>
        <v>0</v>
      </c>
    </row>
    <row r="140" spans="1:104" ht="15" customHeight="1" x14ac:dyDescent="0.25">
      <c r="A140" s="58" t="s">
        <v>454</v>
      </c>
      <c r="B140" s="53" t="s">
        <v>839</v>
      </c>
      <c r="C140" s="252"/>
      <c r="D140" s="227" t="s">
        <v>839</v>
      </c>
      <c r="E140" s="228"/>
      <c r="F140" s="219">
        <f t="shared" ref="F140" si="4282">SUM(F138:F139)</f>
        <v>0</v>
      </c>
      <c r="G140" s="220">
        <f t="shared" ref="G140" si="4283">SUM(G138:G139)</f>
        <v>0</v>
      </c>
      <c r="H140" s="220">
        <f t="shared" ref="H140" si="4284">SUM(H138:H139)</f>
        <v>0</v>
      </c>
      <c r="I140" s="220">
        <f t="shared" ref="I140" si="4285">SUM(I138:I139)</f>
        <v>0</v>
      </c>
      <c r="J140" s="220">
        <f t="shared" ref="J140" si="4286">SUM(J138:J139)</f>
        <v>0</v>
      </c>
      <c r="K140" s="220">
        <f t="shared" ref="K140" si="4287">SUM(K138:K139)</f>
        <v>0</v>
      </c>
      <c r="L140" s="220">
        <f t="shared" ref="L140" si="4288">SUM(L138:L139)</f>
        <v>0</v>
      </c>
      <c r="M140" s="220">
        <f t="shared" ref="M140" si="4289">SUM(M138:M139)</f>
        <v>0</v>
      </c>
      <c r="N140" s="220">
        <f t="shared" ref="N140" si="4290">SUM(N138:N139)</f>
        <v>0</v>
      </c>
      <c r="O140" s="220">
        <f t="shared" ref="O140" si="4291">SUM(O138:O139)</f>
        <v>0</v>
      </c>
      <c r="P140" s="220">
        <f t="shared" ref="P140" si="4292">SUM(P138:P139)</f>
        <v>0</v>
      </c>
      <c r="Q140" s="220">
        <f t="shared" ref="Q140" si="4293">SUM(Q138:Q139)</f>
        <v>0</v>
      </c>
      <c r="R140" s="220">
        <f t="shared" ref="R140" si="4294">SUM(R138:R139)</f>
        <v>0</v>
      </c>
      <c r="S140" s="220">
        <f t="shared" ref="S140" si="4295">SUM(S138:S139)</f>
        <v>0</v>
      </c>
      <c r="T140" s="220">
        <f t="shared" ref="T140" si="4296">SUM(T138:T139)</f>
        <v>0</v>
      </c>
      <c r="U140" s="220">
        <f t="shared" ref="U140" si="4297">SUM(U138:U139)</f>
        <v>0</v>
      </c>
      <c r="V140" s="220">
        <f t="shared" ref="V140" si="4298">SUM(V138:V139)</f>
        <v>0</v>
      </c>
      <c r="W140" s="220">
        <f t="shared" ref="W140" si="4299">SUM(W138:W139)</f>
        <v>0</v>
      </c>
      <c r="X140" s="220">
        <f t="shared" ref="X140" si="4300">SUM(X138:X139)</f>
        <v>0</v>
      </c>
      <c r="Y140" s="220">
        <f t="shared" ref="Y140" si="4301">SUM(Y138:Y139)</f>
        <v>0</v>
      </c>
      <c r="Z140" s="220">
        <f t="shared" ref="Z140" si="4302">SUM(Z138:Z139)</f>
        <v>0</v>
      </c>
      <c r="AA140" s="220">
        <f t="shared" ref="AA140" si="4303">SUM(AA138:AA139)</f>
        <v>0</v>
      </c>
      <c r="AB140" s="220">
        <f t="shared" ref="AB140" si="4304">SUM(AB138:AB139)</f>
        <v>0</v>
      </c>
      <c r="AC140" s="220">
        <f t="shared" ref="AC140" si="4305">SUM(AC138:AC139)</f>
        <v>0</v>
      </c>
      <c r="AD140" s="220">
        <f t="shared" ref="AD140" si="4306">SUM(AD138:AD139)</f>
        <v>0</v>
      </c>
      <c r="AE140" s="220">
        <f t="shared" ref="AE140" si="4307">SUM(AE138:AE139)</f>
        <v>0</v>
      </c>
      <c r="AF140" s="220">
        <f t="shared" ref="AF140" si="4308">SUM(AF138:AF139)</f>
        <v>0</v>
      </c>
      <c r="AG140" s="220">
        <f t="shared" ref="AG140" si="4309">SUM(AG138:AG139)</f>
        <v>0</v>
      </c>
      <c r="AH140" s="220">
        <f t="shared" ref="AH140" si="4310">SUM(AH138:AH139)</f>
        <v>0</v>
      </c>
      <c r="AI140" s="220">
        <f t="shared" ref="AI140" si="4311">SUM(AI138:AI139)</f>
        <v>0</v>
      </c>
      <c r="AJ140" s="220">
        <f t="shared" ref="AJ140" si="4312">SUM(AJ138:AJ139)</f>
        <v>0</v>
      </c>
      <c r="AK140" s="219">
        <f t="shared" ref="AK140" si="4313">SUM(AK138:AK139)</f>
        <v>0</v>
      </c>
      <c r="AL140" s="220">
        <f t="shared" ref="AL140" si="4314">SUM(AL138:AL139)</f>
        <v>0</v>
      </c>
      <c r="AM140" s="220">
        <f t="shared" ref="AM140" si="4315">SUM(AM138:AM139)</f>
        <v>0</v>
      </c>
      <c r="AN140" s="220">
        <f t="shared" ref="AN140" si="4316">SUM(AN138:AN139)</f>
        <v>0</v>
      </c>
      <c r="AO140" s="220">
        <f t="shared" ref="AO140" si="4317">SUM(AO138:AO139)</f>
        <v>0</v>
      </c>
      <c r="AP140" s="220">
        <f t="shared" ref="AP140" si="4318">SUM(AP138:AP139)</f>
        <v>0</v>
      </c>
      <c r="AQ140" s="220">
        <f t="shared" ref="AQ140" si="4319">SUM(AQ138:AQ139)</f>
        <v>0</v>
      </c>
      <c r="AR140" s="220">
        <f t="shared" ref="AR140" si="4320">SUM(AR138:AR139)</f>
        <v>0</v>
      </c>
      <c r="AS140" s="220">
        <f t="shared" ref="AS140" si="4321">SUM(AS138:AS139)</f>
        <v>0</v>
      </c>
      <c r="AT140" s="220">
        <f t="shared" ref="AT140" si="4322">SUM(AT138:AT139)</f>
        <v>0</v>
      </c>
      <c r="AU140" s="220">
        <f t="shared" ref="AU140" si="4323">SUM(AU138:AU139)</f>
        <v>0</v>
      </c>
      <c r="AV140" s="220">
        <f t="shared" ref="AV140" si="4324">SUM(AV138:AV139)</f>
        <v>0</v>
      </c>
      <c r="AW140" s="220">
        <f t="shared" ref="AW140" si="4325">SUM(AW138:AW139)</f>
        <v>0</v>
      </c>
      <c r="AX140" s="220">
        <f t="shared" ref="AX140" si="4326">SUM(AX138:AX139)</f>
        <v>0</v>
      </c>
      <c r="AY140" s="220">
        <f t="shared" ref="AY140" si="4327">SUM(AY138:AY139)</f>
        <v>0</v>
      </c>
      <c r="AZ140" s="220">
        <f t="shared" ref="AZ140" si="4328">SUM(AZ138:AZ139)</f>
        <v>0</v>
      </c>
      <c r="BA140" s="220">
        <f t="shared" ref="BA140" si="4329">SUM(BA138:BA139)</f>
        <v>0</v>
      </c>
      <c r="BB140" s="220">
        <f t="shared" ref="BB140" si="4330">SUM(BB138:BB139)</f>
        <v>0</v>
      </c>
      <c r="BC140" s="220">
        <f t="shared" ref="BC140" si="4331">SUM(BC138:BC139)</f>
        <v>0</v>
      </c>
      <c r="BD140" s="220">
        <f t="shared" ref="BD140" si="4332">SUM(BD138:BD139)</f>
        <v>0</v>
      </c>
      <c r="BE140" s="220">
        <f t="shared" ref="BE140" si="4333">SUM(BE138:BE139)</f>
        <v>0</v>
      </c>
      <c r="BF140" s="220">
        <f t="shared" ref="BF140" si="4334">SUM(BF138:BF139)</f>
        <v>0</v>
      </c>
      <c r="BG140" s="220">
        <f t="shared" ref="BG140" si="4335">SUM(BG138:BG139)</f>
        <v>0</v>
      </c>
      <c r="BH140" s="220">
        <f t="shared" ref="BH140" si="4336">SUM(BH138:BH139)</f>
        <v>0</v>
      </c>
      <c r="BI140" s="220">
        <f t="shared" ref="BI140" si="4337">SUM(BI138:BI139)</f>
        <v>0</v>
      </c>
      <c r="BJ140" s="220">
        <f t="shared" ref="BJ140" si="4338">SUM(BJ138:BJ139)</f>
        <v>0</v>
      </c>
      <c r="BK140" s="220">
        <f t="shared" ref="BK140" si="4339">SUM(BK138:BK139)</f>
        <v>0</v>
      </c>
      <c r="BL140" s="220">
        <f t="shared" ref="BL140" si="4340">SUM(BL138:BL139)</f>
        <v>0</v>
      </c>
      <c r="BM140" s="220">
        <f t="shared" ref="BM140" si="4341">SUM(BM138:BM139)</f>
        <v>0</v>
      </c>
      <c r="BN140" s="220">
        <f t="shared" ref="BN140" si="4342">SUM(BN138:BN139)</f>
        <v>0</v>
      </c>
      <c r="BO140" s="221">
        <f t="shared" ref="BO140" si="4343">SUM(BO138:BO139)</f>
        <v>0</v>
      </c>
      <c r="BP140" s="219">
        <f t="shared" ref="BP140" si="4344">SUM(BP138:BP139)</f>
        <v>0</v>
      </c>
      <c r="BQ140" s="220">
        <f t="shared" ref="BQ140" si="4345">SUM(BQ138:BQ139)</f>
        <v>0</v>
      </c>
      <c r="BR140" s="220">
        <f t="shared" ref="BR140" si="4346">SUM(BR138:BR139)</f>
        <v>0</v>
      </c>
      <c r="BS140" s="220">
        <f t="shared" ref="BS140" si="4347">SUM(BS138:BS139)</f>
        <v>0</v>
      </c>
      <c r="BT140" s="220">
        <f t="shared" ref="BT140" si="4348">SUM(BT138:BT139)</f>
        <v>0</v>
      </c>
      <c r="BU140" s="220">
        <f t="shared" ref="BU140" si="4349">SUM(BU138:BU139)</f>
        <v>0</v>
      </c>
      <c r="BV140" s="220">
        <f t="shared" ref="BV140" si="4350">SUM(BV138:BV139)</f>
        <v>0</v>
      </c>
      <c r="BW140" s="220">
        <f t="shared" ref="BW140" si="4351">SUM(BW138:BW139)</f>
        <v>0</v>
      </c>
      <c r="BX140" s="220">
        <f t="shared" ref="BX140" si="4352">SUM(BX138:BX139)</f>
        <v>0</v>
      </c>
      <c r="BY140" s="220">
        <f t="shared" ref="BY140" si="4353">SUM(BY138:BY139)</f>
        <v>0</v>
      </c>
      <c r="BZ140" s="220">
        <f t="shared" ref="BZ140" si="4354">SUM(BZ138:BZ139)</f>
        <v>0</v>
      </c>
      <c r="CA140" s="220">
        <f t="shared" ref="CA140" si="4355">SUM(CA138:CA139)</f>
        <v>0</v>
      </c>
      <c r="CB140" s="220">
        <f t="shared" ref="CB140" si="4356">SUM(CB138:CB139)</f>
        <v>0</v>
      </c>
      <c r="CC140" s="220">
        <f t="shared" ref="CC140" si="4357">SUM(CC138:CC139)</f>
        <v>0</v>
      </c>
      <c r="CD140" s="220">
        <f t="shared" ref="CD140" si="4358">SUM(CD138:CD139)</f>
        <v>0</v>
      </c>
      <c r="CE140" s="220">
        <f t="shared" ref="CE140" si="4359">SUM(CE138:CE139)</f>
        <v>0</v>
      </c>
      <c r="CF140" s="220">
        <f t="shared" ref="CF140" si="4360">SUM(CF138:CF139)</f>
        <v>0</v>
      </c>
      <c r="CG140" s="220">
        <f t="shared" ref="CG140" si="4361">SUM(CG138:CG139)</f>
        <v>0</v>
      </c>
      <c r="CH140" s="220">
        <f t="shared" ref="CH140" si="4362">SUM(CH138:CH139)</f>
        <v>0</v>
      </c>
      <c r="CI140" s="220">
        <f t="shared" ref="CI140" si="4363">SUM(CI138:CI139)</f>
        <v>0</v>
      </c>
      <c r="CJ140" s="220">
        <f t="shared" ref="CJ140" si="4364">SUM(CJ138:CJ139)</f>
        <v>0</v>
      </c>
      <c r="CK140" s="220">
        <f t="shared" ref="CK140" si="4365">SUM(CK138:CK139)</f>
        <v>0</v>
      </c>
      <c r="CL140" s="220">
        <f t="shared" ref="CL140" si="4366">SUM(CL138:CL139)</f>
        <v>0</v>
      </c>
      <c r="CM140" s="220">
        <f t="shared" ref="CM140" si="4367">SUM(CM138:CM139)</f>
        <v>0</v>
      </c>
      <c r="CN140" s="220">
        <f t="shared" ref="CN140" si="4368">SUM(CN138:CN139)</f>
        <v>0</v>
      </c>
      <c r="CO140" s="220">
        <f t="shared" ref="CO140" si="4369">SUM(CO138:CO139)</f>
        <v>0</v>
      </c>
      <c r="CP140" s="220">
        <f t="shared" ref="CP140" si="4370">SUM(CP138:CP139)</f>
        <v>0</v>
      </c>
      <c r="CQ140" s="220">
        <f t="shared" ref="CQ140" si="4371">SUM(CQ138:CQ139)</f>
        <v>0</v>
      </c>
      <c r="CR140" s="220">
        <f t="shared" ref="CR140" si="4372">SUM(CR138:CR139)</f>
        <v>0</v>
      </c>
      <c r="CS140" s="220">
        <f t="shared" ref="CS140" si="4373">SUM(CS138:CS139)</f>
        <v>0</v>
      </c>
      <c r="CT140" s="221">
        <f t="shared" ref="CT140" si="4374">SUM(CT138:CT139)</f>
        <v>0</v>
      </c>
      <c r="CU140" s="226"/>
      <c r="CV140" s="219">
        <f t="shared" ref="CV140" si="4375">SUM(CV138:CV139)</f>
        <v>0</v>
      </c>
      <c r="CW140" s="220">
        <f t="shared" ref="CW140" si="4376">SUM(CW138:CW139)</f>
        <v>0</v>
      </c>
      <c r="CX140" s="220">
        <f t="shared" ref="CX140" si="4377">SUM(CX138:CX139)</f>
        <v>0</v>
      </c>
      <c r="CY140" s="220">
        <f t="shared" ref="CY140" si="4378">SUM(CY138:CY139)</f>
        <v>0</v>
      </c>
      <c r="CZ140" s="222">
        <f t="shared" ref="CZ140" si="4379">SUM(CZ138:CZ139)</f>
        <v>0</v>
      </c>
    </row>
    <row r="141" spans="1:104" ht="15" customHeight="1" x14ac:dyDescent="0.25">
      <c r="A141" s="53" t="s">
        <v>500</v>
      </c>
      <c r="B141" s="53" t="s">
        <v>390</v>
      </c>
      <c r="C141" s="249" t="s">
        <v>500</v>
      </c>
      <c r="D141" s="245" t="s">
        <v>390</v>
      </c>
      <c r="E141" s="85" t="s">
        <v>132</v>
      </c>
      <c r="F141" s="55">
        <f>SUMIFS('CWO Bulan Ini'!$DA:$DA,'CWO Bulan Ini'!$DJ:$DJ,'Area-Cabang'!$B141,'CWO Bulan Ini'!$DH:$DH,'Area-Cabang'!$E141,'CWO Bulan Ini'!$CZ:$CZ,'Area-Cabang'!F$41)</f>
        <v>0</v>
      </c>
      <c r="G141" s="56">
        <f>SUMIFS('CWO Bulan Ini'!$DA:$DA,'CWO Bulan Ini'!$DJ:$DJ,'Area-Cabang'!$B141,'CWO Bulan Ini'!$DH:$DH,'Area-Cabang'!$E141,'CWO Bulan Ini'!$CZ:$CZ,'Area-Cabang'!G$41)</f>
        <v>0</v>
      </c>
      <c r="H141" s="56">
        <f>SUMIFS('CWO Bulan Ini'!$DA:$DA,'CWO Bulan Ini'!$DJ:$DJ,'Area-Cabang'!$B141,'CWO Bulan Ini'!$DH:$DH,'Area-Cabang'!$E141,'CWO Bulan Ini'!$CZ:$CZ,'Area-Cabang'!H$41)</f>
        <v>0</v>
      </c>
      <c r="I141" s="56">
        <f>SUMIFS('CWO Bulan Ini'!$DA:$DA,'CWO Bulan Ini'!$DJ:$DJ,'Area-Cabang'!$B141,'CWO Bulan Ini'!$DH:$DH,'Area-Cabang'!$E141,'CWO Bulan Ini'!$CZ:$CZ,'Area-Cabang'!I$41)</f>
        <v>0</v>
      </c>
      <c r="J141" s="56">
        <f>SUMIFS('CWO Bulan Ini'!$DA:$DA,'CWO Bulan Ini'!$DJ:$DJ,'Area-Cabang'!$B141,'CWO Bulan Ini'!$DH:$DH,'Area-Cabang'!$E141,'CWO Bulan Ini'!$CZ:$CZ,'Area-Cabang'!J$41)</f>
        <v>0</v>
      </c>
      <c r="K141" s="56">
        <f>SUMIFS('CWO Bulan Ini'!$DA:$DA,'CWO Bulan Ini'!$DJ:$DJ,'Area-Cabang'!$B141,'CWO Bulan Ini'!$DH:$DH,'Area-Cabang'!$E141,'CWO Bulan Ini'!$CZ:$CZ,'Area-Cabang'!K$41)</f>
        <v>0</v>
      </c>
      <c r="L141" s="56">
        <f>SUMIFS('CWO Bulan Ini'!$DA:$DA,'CWO Bulan Ini'!$DJ:$DJ,'Area-Cabang'!$B141,'CWO Bulan Ini'!$DH:$DH,'Area-Cabang'!$E141,'CWO Bulan Ini'!$CZ:$CZ,'Area-Cabang'!L$41)</f>
        <v>0</v>
      </c>
      <c r="M141" s="56">
        <f>SUMIFS('CWO Bulan Ini'!$DA:$DA,'CWO Bulan Ini'!$DJ:$DJ,'Area-Cabang'!$B141,'CWO Bulan Ini'!$DH:$DH,'Area-Cabang'!$E141,'CWO Bulan Ini'!$CZ:$CZ,'Area-Cabang'!M$41)</f>
        <v>0</v>
      </c>
      <c r="N141" s="56">
        <f>SUMIFS('CWO Bulan Ini'!$DA:$DA,'CWO Bulan Ini'!$DJ:$DJ,'Area-Cabang'!$B141,'CWO Bulan Ini'!$DH:$DH,'Area-Cabang'!$E141,'CWO Bulan Ini'!$CZ:$CZ,'Area-Cabang'!N$41)</f>
        <v>0</v>
      </c>
      <c r="O141" s="56">
        <f>SUMIFS('CWO Bulan Ini'!$DA:$DA,'CWO Bulan Ini'!$DJ:$DJ,'Area-Cabang'!$B141,'CWO Bulan Ini'!$DH:$DH,'Area-Cabang'!$E141,'CWO Bulan Ini'!$CZ:$CZ,'Area-Cabang'!O$41)</f>
        <v>0</v>
      </c>
      <c r="P141" s="56">
        <f>SUMIFS('CWO Bulan Ini'!$DA:$DA,'CWO Bulan Ini'!$DJ:$DJ,'Area-Cabang'!$B141,'CWO Bulan Ini'!$DH:$DH,'Area-Cabang'!$E141,'CWO Bulan Ini'!$CZ:$CZ,'Area-Cabang'!P$41)</f>
        <v>0</v>
      </c>
      <c r="Q141" s="56">
        <f>SUMIFS('CWO Bulan Ini'!$DA:$DA,'CWO Bulan Ini'!$DJ:$DJ,'Area-Cabang'!$B141,'CWO Bulan Ini'!$DH:$DH,'Area-Cabang'!$E141,'CWO Bulan Ini'!$CZ:$CZ,'Area-Cabang'!Q$41)</f>
        <v>0</v>
      </c>
      <c r="R141" s="56">
        <f>SUMIFS('CWO Bulan Ini'!$DA:$DA,'CWO Bulan Ini'!$DJ:$DJ,'Area-Cabang'!$B141,'CWO Bulan Ini'!$DH:$DH,'Area-Cabang'!$E141,'CWO Bulan Ini'!$CZ:$CZ,'Area-Cabang'!R$41)</f>
        <v>0</v>
      </c>
      <c r="S141" s="56">
        <f>SUMIFS('CWO Bulan Ini'!$DA:$DA,'CWO Bulan Ini'!$DJ:$DJ,'Area-Cabang'!$B141,'CWO Bulan Ini'!$DH:$DH,'Area-Cabang'!$E141,'CWO Bulan Ini'!$CZ:$CZ,'Area-Cabang'!S$41)</f>
        <v>0</v>
      </c>
      <c r="T141" s="56">
        <f>SUMIFS('CWO Bulan Ini'!$DA:$DA,'CWO Bulan Ini'!$DJ:$DJ,'Area-Cabang'!$B141,'CWO Bulan Ini'!$DH:$DH,'Area-Cabang'!$E141,'CWO Bulan Ini'!$CZ:$CZ,'Area-Cabang'!T$41)</f>
        <v>0</v>
      </c>
      <c r="U141" s="56">
        <f>SUMIFS('CWO Bulan Ini'!$DA:$DA,'CWO Bulan Ini'!$DJ:$DJ,'Area-Cabang'!$B141,'CWO Bulan Ini'!$DH:$DH,'Area-Cabang'!$E141,'CWO Bulan Ini'!$CZ:$CZ,'Area-Cabang'!U$41)</f>
        <v>0</v>
      </c>
      <c r="V141" s="56">
        <f>SUMIFS('CWO Bulan Ini'!$DA:$DA,'CWO Bulan Ini'!$DJ:$DJ,'Area-Cabang'!$B141,'CWO Bulan Ini'!$DH:$DH,'Area-Cabang'!$E141,'CWO Bulan Ini'!$CZ:$CZ,'Area-Cabang'!V$41)</f>
        <v>60.633634700000002</v>
      </c>
      <c r="W141" s="56">
        <f>SUMIFS('CWO Bulan Ini'!$DA:$DA,'CWO Bulan Ini'!$DJ:$DJ,'Area-Cabang'!$B141,'CWO Bulan Ini'!$DH:$DH,'Area-Cabang'!$E141,'CWO Bulan Ini'!$CZ:$CZ,'Area-Cabang'!W$41)</f>
        <v>0</v>
      </c>
      <c r="X141" s="56">
        <f>SUMIFS('CWO Bulan Ini'!$DA:$DA,'CWO Bulan Ini'!$DJ:$DJ,'Area-Cabang'!$B141,'CWO Bulan Ini'!$DH:$DH,'Area-Cabang'!$E141,'CWO Bulan Ini'!$CZ:$CZ,'Area-Cabang'!X$41)</f>
        <v>0</v>
      </c>
      <c r="Y141" s="56">
        <f>SUMIFS('CWO Bulan Ini'!$DA:$DA,'CWO Bulan Ini'!$DJ:$DJ,'Area-Cabang'!$B141,'CWO Bulan Ini'!$DH:$DH,'Area-Cabang'!$E141,'CWO Bulan Ini'!$CZ:$CZ,'Area-Cabang'!Y$41)</f>
        <v>0</v>
      </c>
      <c r="Z141" s="56">
        <f>SUMIFS('CWO Bulan Ini'!$DA:$DA,'CWO Bulan Ini'!$DJ:$DJ,'Area-Cabang'!$B141,'CWO Bulan Ini'!$DH:$DH,'Area-Cabang'!$E141,'CWO Bulan Ini'!$CZ:$CZ,'Area-Cabang'!Z$41)</f>
        <v>0</v>
      </c>
      <c r="AA141" s="56">
        <f>SUMIFS('CWO Bulan Ini'!$DA:$DA,'CWO Bulan Ini'!$DJ:$DJ,'Area-Cabang'!$B141,'CWO Bulan Ini'!$DH:$DH,'Area-Cabang'!$E141,'CWO Bulan Ini'!$CZ:$CZ,'Area-Cabang'!AA$41)</f>
        <v>0</v>
      </c>
      <c r="AB141" s="56">
        <f>SUMIFS('CWO Bulan Ini'!$DA:$DA,'CWO Bulan Ini'!$DJ:$DJ,'Area-Cabang'!$B141,'CWO Bulan Ini'!$DH:$DH,'Area-Cabang'!$E141,'CWO Bulan Ini'!$CZ:$CZ,'Area-Cabang'!AB$41)</f>
        <v>0</v>
      </c>
      <c r="AC141" s="56">
        <f>SUMIFS('CWO Bulan Ini'!$DA:$DA,'CWO Bulan Ini'!$DJ:$DJ,'Area-Cabang'!$B141,'CWO Bulan Ini'!$DH:$DH,'Area-Cabang'!$E141,'CWO Bulan Ini'!$CZ:$CZ,'Area-Cabang'!AC$41)</f>
        <v>0</v>
      </c>
      <c r="AD141" s="56">
        <f>SUMIFS('CWO Bulan Ini'!$DA:$DA,'CWO Bulan Ini'!$DJ:$DJ,'Area-Cabang'!$B141,'CWO Bulan Ini'!$DH:$DH,'Area-Cabang'!$E141,'CWO Bulan Ini'!$CZ:$CZ,'Area-Cabang'!AD$41)</f>
        <v>0</v>
      </c>
      <c r="AE141" s="56">
        <f>SUMIFS('CWO Bulan Ini'!$DA:$DA,'CWO Bulan Ini'!$DJ:$DJ,'Area-Cabang'!$B141,'CWO Bulan Ini'!$DH:$DH,'Area-Cabang'!$E141,'CWO Bulan Ini'!$CZ:$CZ,'Area-Cabang'!AE$41)</f>
        <v>0</v>
      </c>
      <c r="AF141" s="56">
        <f>SUMIFS('CWO Bulan Ini'!$DA:$DA,'CWO Bulan Ini'!$DJ:$DJ,'Area-Cabang'!$B141,'CWO Bulan Ini'!$DH:$DH,'Area-Cabang'!$E141,'CWO Bulan Ini'!$CZ:$CZ,'Area-Cabang'!AF$41)</f>
        <v>0</v>
      </c>
      <c r="AG141" s="56">
        <f>SUMIFS('CWO Bulan Ini'!$DA:$DA,'CWO Bulan Ini'!$DJ:$DJ,'Area-Cabang'!$B141,'CWO Bulan Ini'!$DH:$DH,'Area-Cabang'!$E141,'CWO Bulan Ini'!$CZ:$CZ,'Area-Cabang'!AG$41)</f>
        <v>0</v>
      </c>
      <c r="AH141" s="56">
        <f>SUMIFS('CWO Bulan Ini'!$DA:$DA,'CWO Bulan Ini'!$DJ:$DJ,'Area-Cabang'!$B141,'CWO Bulan Ini'!$DH:$DH,'Area-Cabang'!$E141,'CWO Bulan Ini'!$CZ:$CZ,'Area-Cabang'!AH$41)</f>
        <v>0</v>
      </c>
      <c r="AI141" s="56">
        <f>SUMIFS('CWO Bulan Ini'!$DA:$DA,'CWO Bulan Ini'!$DJ:$DJ,'Area-Cabang'!$B141,'CWO Bulan Ini'!$DH:$DH,'Area-Cabang'!$E141,'CWO Bulan Ini'!$CZ:$CZ,'Area-Cabang'!AI$41)</f>
        <v>0</v>
      </c>
      <c r="AJ141" s="56">
        <f>SUMIFS('CWO Bulan Ini'!$DA:$DA,'CWO Bulan Ini'!$DJ:$DJ,'Area-Cabang'!$B141,'CWO Bulan Ini'!$DH:$DH,'Area-Cabang'!$E141,'CWO Bulan Ini'!$CZ:$CZ,'Area-Cabang'!AJ$41)</f>
        <v>0</v>
      </c>
      <c r="AK141" s="55">
        <f>SUMIFS('CWO Bulan Ini'!$DD:$DD,'CWO Bulan Ini'!$DJ:$DJ,'Area-Cabang'!$B141,'CWO Bulan Ini'!$DH:$DH,'Area-Cabang'!$E141,'CWO Bulan Ini'!$CZ:$CZ,'Area-Cabang'!AK$41)</f>
        <v>0</v>
      </c>
      <c r="AL141" s="56">
        <f>SUMIFS('CWO Bulan Ini'!$DD:$DD,'CWO Bulan Ini'!$DJ:$DJ,'Area-Cabang'!$B141,'CWO Bulan Ini'!$DH:$DH,'Area-Cabang'!$E141,'CWO Bulan Ini'!$CZ:$CZ,'Area-Cabang'!AL$41)</f>
        <v>0</v>
      </c>
      <c r="AM141" s="56">
        <f>SUMIFS('CWO Bulan Ini'!$DD:$DD,'CWO Bulan Ini'!$DJ:$DJ,'Area-Cabang'!$B141,'CWO Bulan Ini'!$DH:$DH,'Area-Cabang'!$E141,'CWO Bulan Ini'!$CZ:$CZ,'Area-Cabang'!AM$41)</f>
        <v>0</v>
      </c>
      <c r="AN141" s="56">
        <f>SUMIFS('CWO Bulan Ini'!$DD:$DD,'CWO Bulan Ini'!$DJ:$DJ,'Area-Cabang'!$B141,'CWO Bulan Ini'!$DH:$DH,'Area-Cabang'!$E141,'CWO Bulan Ini'!$CZ:$CZ,'Area-Cabang'!AN$41)</f>
        <v>0</v>
      </c>
      <c r="AO141" s="56">
        <f>SUMIFS('CWO Bulan Ini'!$DD:$DD,'CWO Bulan Ini'!$DJ:$DJ,'Area-Cabang'!$B141,'CWO Bulan Ini'!$DH:$DH,'Area-Cabang'!$E141,'CWO Bulan Ini'!$CZ:$CZ,'Area-Cabang'!AO$41)</f>
        <v>0</v>
      </c>
      <c r="AP141" s="56">
        <f>SUMIFS('CWO Bulan Ini'!$DD:$DD,'CWO Bulan Ini'!$DJ:$DJ,'Area-Cabang'!$B141,'CWO Bulan Ini'!$DH:$DH,'Area-Cabang'!$E141,'CWO Bulan Ini'!$CZ:$CZ,'Area-Cabang'!AP$41)</f>
        <v>0</v>
      </c>
      <c r="AQ141" s="56">
        <f>SUMIFS('CWO Bulan Ini'!$DD:$DD,'CWO Bulan Ini'!$DJ:$DJ,'Area-Cabang'!$B141,'CWO Bulan Ini'!$DH:$DH,'Area-Cabang'!$E141,'CWO Bulan Ini'!$CZ:$CZ,'Area-Cabang'!AQ$41)</f>
        <v>0</v>
      </c>
      <c r="AR141" s="56">
        <f>SUMIFS('CWO Bulan Ini'!$DD:$DD,'CWO Bulan Ini'!$DJ:$DJ,'Area-Cabang'!$B141,'CWO Bulan Ini'!$DH:$DH,'Area-Cabang'!$E141,'CWO Bulan Ini'!$CZ:$CZ,'Area-Cabang'!AR$41)</f>
        <v>0</v>
      </c>
      <c r="AS141" s="56">
        <f>SUMIFS('CWO Bulan Ini'!$DD:$DD,'CWO Bulan Ini'!$DJ:$DJ,'Area-Cabang'!$B141,'CWO Bulan Ini'!$DH:$DH,'Area-Cabang'!$E141,'CWO Bulan Ini'!$CZ:$CZ,'Area-Cabang'!AS$41)</f>
        <v>0</v>
      </c>
      <c r="AT141" s="56">
        <f>SUMIFS('CWO Bulan Ini'!$DD:$DD,'CWO Bulan Ini'!$DJ:$DJ,'Area-Cabang'!$B141,'CWO Bulan Ini'!$DH:$DH,'Area-Cabang'!$E141,'CWO Bulan Ini'!$CZ:$CZ,'Area-Cabang'!AT$41)</f>
        <v>0</v>
      </c>
      <c r="AU141" s="56">
        <f>SUMIFS('CWO Bulan Ini'!$DD:$DD,'CWO Bulan Ini'!$DJ:$DJ,'Area-Cabang'!$B141,'CWO Bulan Ini'!$DH:$DH,'Area-Cabang'!$E141,'CWO Bulan Ini'!$CZ:$CZ,'Area-Cabang'!AU$41)</f>
        <v>0</v>
      </c>
      <c r="AV141" s="56">
        <f>SUMIFS('CWO Bulan Ini'!$DD:$DD,'CWO Bulan Ini'!$DJ:$DJ,'Area-Cabang'!$B141,'CWO Bulan Ini'!$DH:$DH,'Area-Cabang'!$E141,'CWO Bulan Ini'!$CZ:$CZ,'Area-Cabang'!AV$41)</f>
        <v>0</v>
      </c>
      <c r="AW141" s="56">
        <f>SUMIFS('CWO Bulan Ini'!$DD:$DD,'CWO Bulan Ini'!$DJ:$DJ,'Area-Cabang'!$B141,'CWO Bulan Ini'!$DH:$DH,'Area-Cabang'!$E141,'CWO Bulan Ini'!$CZ:$CZ,'Area-Cabang'!AW$41)</f>
        <v>0</v>
      </c>
      <c r="AX141" s="56">
        <f>SUMIFS('CWO Bulan Ini'!$DD:$DD,'CWO Bulan Ini'!$DJ:$DJ,'Area-Cabang'!$B141,'CWO Bulan Ini'!$DH:$DH,'Area-Cabang'!$E141,'CWO Bulan Ini'!$CZ:$CZ,'Area-Cabang'!AX$41)</f>
        <v>0</v>
      </c>
      <c r="AY141" s="56">
        <f>SUMIFS('CWO Bulan Ini'!$DD:$DD,'CWO Bulan Ini'!$DJ:$DJ,'Area-Cabang'!$B141,'CWO Bulan Ini'!$DH:$DH,'Area-Cabang'!$E141,'CWO Bulan Ini'!$CZ:$CZ,'Area-Cabang'!AY$41)</f>
        <v>0</v>
      </c>
      <c r="AZ141" s="56">
        <f>SUMIFS('CWO Bulan Ini'!$DD:$DD,'CWO Bulan Ini'!$DJ:$DJ,'Area-Cabang'!$B141,'CWO Bulan Ini'!$DH:$DH,'Area-Cabang'!$E141,'CWO Bulan Ini'!$CZ:$CZ,'Area-Cabang'!AZ$41)</f>
        <v>0</v>
      </c>
      <c r="BA141" s="56">
        <f>SUMIFS('CWO Bulan Ini'!$DD:$DD,'CWO Bulan Ini'!$DJ:$DJ,'Area-Cabang'!$B141,'CWO Bulan Ini'!$DH:$DH,'Area-Cabang'!$E141,'CWO Bulan Ini'!$CZ:$CZ,'Area-Cabang'!BA$41)</f>
        <v>0</v>
      </c>
      <c r="BB141" s="56">
        <f>SUMIFS('CWO Bulan Ini'!$DD:$DD,'CWO Bulan Ini'!$DJ:$DJ,'Area-Cabang'!$B141,'CWO Bulan Ini'!$DH:$DH,'Area-Cabang'!$E141,'CWO Bulan Ini'!$CZ:$CZ,'Area-Cabang'!BB$41)</f>
        <v>0</v>
      </c>
      <c r="BC141" s="56">
        <f>SUMIFS('CWO Bulan Ini'!$DD:$DD,'CWO Bulan Ini'!$DJ:$DJ,'Area-Cabang'!$B141,'CWO Bulan Ini'!$DH:$DH,'Area-Cabang'!$E141,'CWO Bulan Ini'!$CZ:$CZ,'Area-Cabang'!BC$41)</f>
        <v>0</v>
      </c>
      <c r="BD141" s="56">
        <f>SUMIFS('CWO Bulan Ini'!$DD:$DD,'CWO Bulan Ini'!$DJ:$DJ,'Area-Cabang'!$B141,'CWO Bulan Ini'!$DH:$DH,'Area-Cabang'!$E141,'CWO Bulan Ini'!$CZ:$CZ,'Area-Cabang'!BD$41)</f>
        <v>0</v>
      </c>
      <c r="BE141" s="56">
        <f>SUMIFS('CWO Bulan Ini'!$DD:$DD,'CWO Bulan Ini'!$DJ:$DJ,'Area-Cabang'!$B141,'CWO Bulan Ini'!$DH:$DH,'Area-Cabang'!$E141,'CWO Bulan Ini'!$CZ:$CZ,'Area-Cabang'!BE$41)</f>
        <v>0</v>
      </c>
      <c r="BF141" s="56">
        <f>SUMIFS('CWO Bulan Ini'!$DD:$DD,'CWO Bulan Ini'!$DJ:$DJ,'Area-Cabang'!$B141,'CWO Bulan Ini'!$DH:$DH,'Area-Cabang'!$E141,'CWO Bulan Ini'!$CZ:$CZ,'Area-Cabang'!BF$41)</f>
        <v>0</v>
      </c>
      <c r="BG141" s="56">
        <f>SUMIFS('CWO Bulan Ini'!$DD:$DD,'CWO Bulan Ini'!$DJ:$DJ,'Area-Cabang'!$B141,'CWO Bulan Ini'!$DH:$DH,'Area-Cabang'!$E141,'CWO Bulan Ini'!$CZ:$CZ,'Area-Cabang'!BG$41)</f>
        <v>0</v>
      </c>
      <c r="BH141" s="56">
        <f>SUMIFS('CWO Bulan Ini'!$DD:$DD,'CWO Bulan Ini'!$DJ:$DJ,'Area-Cabang'!$B141,'CWO Bulan Ini'!$DH:$DH,'Area-Cabang'!$E141,'CWO Bulan Ini'!$CZ:$CZ,'Area-Cabang'!BH$41)</f>
        <v>0</v>
      </c>
      <c r="BI141" s="56">
        <f>SUMIFS('CWO Bulan Ini'!$DD:$DD,'CWO Bulan Ini'!$DJ:$DJ,'Area-Cabang'!$B141,'CWO Bulan Ini'!$DH:$DH,'Area-Cabang'!$E141,'CWO Bulan Ini'!$CZ:$CZ,'Area-Cabang'!BI$41)</f>
        <v>0</v>
      </c>
      <c r="BJ141" s="56">
        <f>SUMIFS('CWO Bulan Ini'!$DD:$DD,'CWO Bulan Ini'!$DJ:$DJ,'Area-Cabang'!$B141,'CWO Bulan Ini'!$DH:$DH,'Area-Cabang'!$E141,'CWO Bulan Ini'!$CZ:$CZ,'Area-Cabang'!BJ$41)</f>
        <v>0</v>
      </c>
      <c r="BK141" s="56">
        <f>SUMIFS('CWO Bulan Ini'!$DD:$DD,'CWO Bulan Ini'!$DJ:$DJ,'Area-Cabang'!$B141,'CWO Bulan Ini'!$DH:$DH,'Area-Cabang'!$E141,'CWO Bulan Ini'!$CZ:$CZ,'Area-Cabang'!BK$41)</f>
        <v>0</v>
      </c>
      <c r="BL141" s="56">
        <f>SUMIFS('CWO Bulan Ini'!$DD:$DD,'CWO Bulan Ini'!$DJ:$DJ,'Area-Cabang'!$B141,'CWO Bulan Ini'!$DH:$DH,'Area-Cabang'!$E141,'CWO Bulan Ini'!$CZ:$CZ,'Area-Cabang'!BL$41)</f>
        <v>0</v>
      </c>
      <c r="BM141" s="56">
        <f>SUMIFS('CWO Bulan Ini'!$DD:$DD,'CWO Bulan Ini'!$DJ:$DJ,'Area-Cabang'!$B141,'CWO Bulan Ini'!$DH:$DH,'Area-Cabang'!$E141,'CWO Bulan Ini'!$CZ:$CZ,'Area-Cabang'!BM$41)</f>
        <v>0</v>
      </c>
      <c r="BN141" s="56">
        <f>SUMIFS('CWO Bulan Ini'!$DD:$DD,'CWO Bulan Ini'!$DJ:$DJ,'Area-Cabang'!$B141,'CWO Bulan Ini'!$DH:$DH,'Area-Cabang'!$E141,'CWO Bulan Ini'!$CZ:$CZ,'Area-Cabang'!BN$41)</f>
        <v>0</v>
      </c>
      <c r="BO141" s="57">
        <f>SUMIFS('CWO Bulan Ini'!$DD:$DD,'CWO Bulan Ini'!$DJ:$DJ,'Area-Cabang'!$B141,'CWO Bulan Ini'!$DH:$DH,'Area-Cabang'!$E141,'CWO Bulan Ini'!$CZ:$CZ,'Area-Cabang'!BO$41)</f>
        <v>0</v>
      </c>
      <c r="BP141" s="55">
        <f>SUMIFS('CWO Bulan Ini'!$DC:$DC,'CWO Bulan Ini'!$DJ:$DJ,'Area-Cabang'!$B141,'CWO Bulan Ini'!$DH:$DH,'Area-Cabang'!$E141,'CWO Bulan Ini'!$CZ:$CZ,'Area-Cabang'!BP$41)</f>
        <v>0</v>
      </c>
      <c r="BQ141" s="56">
        <f>SUMIFS('CWO Bulan Ini'!$DC:$DC,'CWO Bulan Ini'!$DJ:$DJ,'Area-Cabang'!$B141,'CWO Bulan Ini'!$DH:$DH,'Area-Cabang'!$E141,'CWO Bulan Ini'!$CZ:$CZ,'Area-Cabang'!BQ$41)</f>
        <v>0</v>
      </c>
      <c r="BR141" s="56">
        <f>SUMIFS('CWO Bulan Ini'!$DC:$DC,'CWO Bulan Ini'!$DJ:$DJ,'Area-Cabang'!$B141,'CWO Bulan Ini'!$DH:$DH,'Area-Cabang'!$E141,'CWO Bulan Ini'!$CZ:$CZ,'Area-Cabang'!BR$41)</f>
        <v>0</v>
      </c>
      <c r="BS141" s="56">
        <f>SUMIFS('CWO Bulan Ini'!$DC:$DC,'CWO Bulan Ini'!$DJ:$DJ,'Area-Cabang'!$B141,'CWO Bulan Ini'!$DH:$DH,'Area-Cabang'!$E141,'CWO Bulan Ini'!$CZ:$CZ,'Area-Cabang'!BS$41)</f>
        <v>0</v>
      </c>
      <c r="BT141" s="56">
        <f>SUMIFS('CWO Bulan Ini'!$DC:$DC,'CWO Bulan Ini'!$DJ:$DJ,'Area-Cabang'!$B141,'CWO Bulan Ini'!$DH:$DH,'Area-Cabang'!$E141,'CWO Bulan Ini'!$CZ:$CZ,'Area-Cabang'!BT$41)</f>
        <v>0</v>
      </c>
      <c r="BU141" s="56">
        <f>SUMIFS('CWO Bulan Ini'!$DC:$DC,'CWO Bulan Ini'!$DJ:$DJ,'Area-Cabang'!$B141,'CWO Bulan Ini'!$DH:$DH,'Area-Cabang'!$E141,'CWO Bulan Ini'!$CZ:$CZ,'Area-Cabang'!BU$41)</f>
        <v>0</v>
      </c>
      <c r="BV141" s="56">
        <f>SUMIFS('CWO Bulan Ini'!$DC:$DC,'CWO Bulan Ini'!$DJ:$DJ,'Area-Cabang'!$B141,'CWO Bulan Ini'!$DH:$DH,'Area-Cabang'!$E141,'CWO Bulan Ini'!$CZ:$CZ,'Area-Cabang'!BV$41)</f>
        <v>0</v>
      </c>
      <c r="BW141" s="56">
        <f>SUMIFS('CWO Bulan Ini'!$DC:$DC,'CWO Bulan Ini'!$DJ:$DJ,'Area-Cabang'!$B141,'CWO Bulan Ini'!$DH:$DH,'Area-Cabang'!$E141,'CWO Bulan Ini'!$CZ:$CZ,'Area-Cabang'!BW$41)</f>
        <v>0</v>
      </c>
      <c r="BX141" s="56">
        <f>SUMIFS('CWO Bulan Ini'!$DC:$DC,'CWO Bulan Ini'!$DJ:$DJ,'Area-Cabang'!$B141,'CWO Bulan Ini'!$DH:$DH,'Area-Cabang'!$E141,'CWO Bulan Ini'!$CZ:$CZ,'Area-Cabang'!BX$41)</f>
        <v>0</v>
      </c>
      <c r="BY141" s="56">
        <f>SUMIFS('CWO Bulan Ini'!$DC:$DC,'CWO Bulan Ini'!$DJ:$DJ,'Area-Cabang'!$B141,'CWO Bulan Ini'!$DH:$DH,'Area-Cabang'!$E141,'CWO Bulan Ini'!$CZ:$CZ,'Area-Cabang'!BY$41)</f>
        <v>0</v>
      </c>
      <c r="BZ141" s="56">
        <f>SUMIFS('CWO Bulan Ini'!$DC:$DC,'CWO Bulan Ini'!$DJ:$DJ,'Area-Cabang'!$B141,'CWO Bulan Ini'!$DH:$DH,'Area-Cabang'!$E141,'CWO Bulan Ini'!$CZ:$CZ,'Area-Cabang'!BZ$41)</f>
        <v>0</v>
      </c>
      <c r="CA141" s="56">
        <f>SUMIFS('CWO Bulan Ini'!$DC:$DC,'CWO Bulan Ini'!$DJ:$DJ,'Area-Cabang'!$B141,'CWO Bulan Ini'!$DH:$DH,'Area-Cabang'!$E141,'CWO Bulan Ini'!$CZ:$CZ,'Area-Cabang'!CA$41)</f>
        <v>0</v>
      </c>
      <c r="CB141" s="56">
        <f>SUMIFS('CWO Bulan Ini'!$DC:$DC,'CWO Bulan Ini'!$DJ:$DJ,'Area-Cabang'!$B141,'CWO Bulan Ini'!$DH:$DH,'Area-Cabang'!$E141,'CWO Bulan Ini'!$CZ:$CZ,'Area-Cabang'!CB$41)</f>
        <v>0</v>
      </c>
      <c r="CC141" s="56">
        <f>SUMIFS('CWO Bulan Ini'!$DC:$DC,'CWO Bulan Ini'!$DJ:$DJ,'Area-Cabang'!$B141,'CWO Bulan Ini'!$DH:$DH,'Area-Cabang'!$E141,'CWO Bulan Ini'!$CZ:$CZ,'Area-Cabang'!CC$41)</f>
        <v>0</v>
      </c>
      <c r="CD141" s="56">
        <f>SUMIFS('CWO Bulan Ini'!$DC:$DC,'CWO Bulan Ini'!$DJ:$DJ,'Area-Cabang'!$B141,'CWO Bulan Ini'!$DH:$DH,'Area-Cabang'!$E141,'CWO Bulan Ini'!$CZ:$CZ,'Area-Cabang'!CD$41)</f>
        <v>0</v>
      </c>
      <c r="CE141" s="56">
        <f>SUMIFS('CWO Bulan Ini'!$DC:$DC,'CWO Bulan Ini'!$DJ:$DJ,'Area-Cabang'!$B141,'CWO Bulan Ini'!$DH:$DH,'Area-Cabang'!$E141,'CWO Bulan Ini'!$CZ:$CZ,'Area-Cabang'!CE$41)</f>
        <v>0</v>
      </c>
      <c r="CF141" s="56">
        <f>SUMIFS('CWO Bulan Ini'!$DC:$DC,'CWO Bulan Ini'!$DJ:$DJ,'Area-Cabang'!$B141,'CWO Bulan Ini'!$DH:$DH,'Area-Cabang'!$E141,'CWO Bulan Ini'!$CZ:$CZ,'Area-Cabang'!CF$41)</f>
        <v>0</v>
      </c>
      <c r="CG141" s="56">
        <f>SUMIFS('CWO Bulan Ini'!$DC:$DC,'CWO Bulan Ini'!$DJ:$DJ,'Area-Cabang'!$B141,'CWO Bulan Ini'!$DH:$DH,'Area-Cabang'!$E141,'CWO Bulan Ini'!$CZ:$CZ,'Area-Cabang'!CG$41)</f>
        <v>0</v>
      </c>
      <c r="CH141" s="56">
        <f>SUMIFS('CWO Bulan Ini'!$DC:$DC,'CWO Bulan Ini'!$DJ:$DJ,'Area-Cabang'!$B141,'CWO Bulan Ini'!$DH:$DH,'Area-Cabang'!$E141,'CWO Bulan Ini'!$CZ:$CZ,'Area-Cabang'!CH$41)</f>
        <v>0</v>
      </c>
      <c r="CI141" s="56">
        <f>SUMIFS('CWO Bulan Ini'!$DC:$DC,'CWO Bulan Ini'!$DJ:$DJ,'Area-Cabang'!$B141,'CWO Bulan Ini'!$DH:$DH,'Area-Cabang'!$E141,'CWO Bulan Ini'!$CZ:$CZ,'Area-Cabang'!CI$41)</f>
        <v>0</v>
      </c>
      <c r="CJ141" s="56">
        <f>SUMIFS('CWO Bulan Ini'!$DC:$DC,'CWO Bulan Ini'!$DJ:$DJ,'Area-Cabang'!$B141,'CWO Bulan Ini'!$DH:$DH,'Area-Cabang'!$E141,'CWO Bulan Ini'!$CZ:$CZ,'Area-Cabang'!CJ$41)</f>
        <v>0</v>
      </c>
      <c r="CK141" s="56">
        <f>SUMIFS('CWO Bulan Ini'!$DC:$DC,'CWO Bulan Ini'!$DJ:$DJ,'Area-Cabang'!$B141,'CWO Bulan Ini'!$DH:$DH,'Area-Cabang'!$E141,'CWO Bulan Ini'!$CZ:$CZ,'Area-Cabang'!CK$41)</f>
        <v>0</v>
      </c>
      <c r="CL141" s="56">
        <f>SUMIFS('CWO Bulan Ini'!$DC:$DC,'CWO Bulan Ini'!$DJ:$DJ,'Area-Cabang'!$B141,'CWO Bulan Ini'!$DH:$DH,'Area-Cabang'!$E141,'CWO Bulan Ini'!$CZ:$CZ,'Area-Cabang'!CL$41)</f>
        <v>0</v>
      </c>
      <c r="CM141" s="56">
        <f>SUMIFS('CWO Bulan Ini'!$DC:$DC,'CWO Bulan Ini'!$DJ:$DJ,'Area-Cabang'!$B141,'CWO Bulan Ini'!$DH:$DH,'Area-Cabang'!$E141,'CWO Bulan Ini'!$CZ:$CZ,'Area-Cabang'!CM$41)</f>
        <v>0</v>
      </c>
      <c r="CN141" s="56">
        <f>SUMIFS('CWO Bulan Ini'!$DC:$DC,'CWO Bulan Ini'!$DJ:$DJ,'Area-Cabang'!$B141,'CWO Bulan Ini'!$DH:$DH,'Area-Cabang'!$E141,'CWO Bulan Ini'!$CZ:$CZ,'Area-Cabang'!CN$41)</f>
        <v>0</v>
      </c>
      <c r="CO141" s="56">
        <f>SUMIFS('CWO Bulan Ini'!$DC:$DC,'CWO Bulan Ini'!$DJ:$DJ,'Area-Cabang'!$B141,'CWO Bulan Ini'!$DH:$DH,'Area-Cabang'!$E141,'CWO Bulan Ini'!$CZ:$CZ,'Area-Cabang'!CO$41)</f>
        <v>0</v>
      </c>
      <c r="CP141" s="56">
        <f>SUMIFS('CWO Bulan Ini'!$DC:$DC,'CWO Bulan Ini'!$DJ:$DJ,'Area-Cabang'!$B141,'CWO Bulan Ini'!$DH:$DH,'Area-Cabang'!$E141,'CWO Bulan Ini'!$CZ:$CZ,'Area-Cabang'!CP$41)</f>
        <v>0</v>
      </c>
      <c r="CQ141" s="56">
        <f>SUMIFS('CWO Bulan Ini'!$DC:$DC,'CWO Bulan Ini'!$DJ:$DJ,'Area-Cabang'!$B141,'CWO Bulan Ini'!$DH:$DH,'Area-Cabang'!$E141,'CWO Bulan Ini'!$CZ:$CZ,'Area-Cabang'!CQ$41)</f>
        <v>0</v>
      </c>
      <c r="CR141" s="56">
        <f>SUMIFS('CWO Bulan Ini'!$DC:$DC,'CWO Bulan Ini'!$DJ:$DJ,'Area-Cabang'!$B141,'CWO Bulan Ini'!$DH:$DH,'Area-Cabang'!$E141,'CWO Bulan Ini'!$CZ:$CZ,'Area-Cabang'!CR$41)</f>
        <v>0</v>
      </c>
      <c r="CS141" s="56">
        <f>SUMIFS('CWO Bulan Ini'!$DC:$DC,'CWO Bulan Ini'!$DJ:$DJ,'Area-Cabang'!$B141,'CWO Bulan Ini'!$DH:$DH,'Area-Cabang'!$E141,'CWO Bulan Ini'!$CZ:$CZ,'Area-Cabang'!CS$41)</f>
        <v>0</v>
      </c>
      <c r="CT141" s="57">
        <f>SUMIFS('CWO Bulan Ini'!$DC:$DC,'CWO Bulan Ini'!$DJ:$DJ,'Area-Cabang'!$B141,'CWO Bulan Ini'!$DH:$DH,'Area-Cabang'!$E141,'CWO Bulan Ini'!$CZ:$CZ,'Area-Cabang'!CT$41)</f>
        <v>0</v>
      </c>
      <c r="CV141" s="97">
        <f t="shared" ref="CV141:CV142" si="4380">SUM(F141:AJ141)</f>
        <v>60.633634700000002</v>
      </c>
      <c r="CW141" s="98">
        <f t="shared" ref="CW141:CW142" si="4381">SUM(AK141:BO141)</f>
        <v>0</v>
      </c>
      <c r="CX141" s="98">
        <f t="shared" ref="CX141:CX142" si="4382">SUM(BP141:CT141)</f>
        <v>0</v>
      </c>
      <c r="CY141" s="98">
        <f t="shared" ref="CY141:CY142" si="4383">CV141-CW141-CX141</f>
        <v>60.633634700000002</v>
      </c>
      <c r="CZ141" s="105">
        <f t="shared" ref="CZ141:CZ142" si="4384">CY141+CW141</f>
        <v>60.633634700000002</v>
      </c>
    </row>
    <row r="142" spans="1:104" ht="15" customHeight="1" x14ac:dyDescent="0.25">
      <c r="A142" s="58" t="s">
        <v>500</v>
      </c>
      <c r="B142" s="58" t="s">
        <v>390</v>
      </c>
      <c r="C142" s="250"/>
      <c r="D142" s="244"/>
      <c r="E142" s="40" t="s">
        <v>349</v>
      </c>
      <c r="F142" s="41">
        <f>SUMIFS('CWO Bulan Ini'!$DA:$DA,'CWO Bulan Ini'!$DJ:$DJ,'Area-Cabang'!$B142,'CWO Bulan Ini'!$DH:$DH,'Area-Cabang'!$E142,'CWO Bulan Ini'!$CZ:$CZ,'Area-Cabang'!F$41)</f>
        <v>0</v>
      </c>
      <c r="G142" s="42">
        <f>SUMIFS('CWO Bulan Ini'!$DA:$DA,'CWO Bulan Ini'!$DJ:$DJ,'Area-Cabang'!$B142,'CWO Bulan Ini'!$DH:$DH,'Area-Cabang'!$E142,'CWO Bulan Ini'!$CZ:$CZ,'Area-Cabang'!G$41)</f>
        <v>0</v>
      </c>
      <c r="H142" s="42">
        <f>SUMIFS('CWO Bulan Ini'!$DA:$DA,'CWO Bulan Ini'!$DJ:$DJ,'Area-Cabang'!$B142,'CWO Bulan Ini'!$DH:$DH,'Area-Cabang'!$E142,'CWO Bulan Ini'!$CZ:$CZ,'Area-Cabang'!H$41)</f>
        <v>0</v>
      </c>
      <c r="I142" s="42">
        <f>SUMIFS('CWO Bulan Ini'!$DA:$DA,'CWO Bulan Ini'!$DJ:$DJ,'Area-Cabang'!$B142,'CWO Bulan Ini'!$DH:$DH,'Area-Cabang'!$E142,'CWO Bulan Ini'!$CZ:$CZ,'Area-Cabang'!I$41)</f>
        <v>0</v>
      </c>
      <c r="J142" s="42">
        <f>SUMIFS('CWO Bulan Ini'!$DA:$DA,'CWO Bulan Ini'!$DJ:$DJ,'Area-Cabang'!$B142,'CWO Bulan Ini'!$DH:$DH,'Area-Cabang'!$E142,'CWO Bulan Ini'!$CZ:$CZ,'Area-Cabang'!J$41)</f>
        <v>0</v>
      </c>
      <c r="K142" s="42">
        <f>SUMIFS('CWO Bulan Ini'!$DA:$DA,'CWO Bulan Ini'!$DJ:$DJ,'Area-Cabang'!$B142,'CWO Bulan Ini'!$DH:$DH,'Area-Cabang'!$E142,'CWO Bulan Ini'!$CZ:$CZ,'Area-Cabang'!K$41)</f>
        <v>0</v>
      </c>
      <c r="L142" s="42">
        <f>SUMIFS('CWO Bulan Ini'!$DA:$DA,'CWO Bulan Ini'!$DJ:$DJ,'Area-Cabang'!$B142,'CWO Bulan Ini'!$DH:$DH,'Area-Cabang'!$E142,'CWO Bulan Ini'!$CZ:$CZ,'Area-Cabang'!L$41)</f>
        <v>0</v>
      </c>
      <c r="M142" s="42">
        <f>SUMIFS('CWO Bulan Ini'!$DA:$DA,'CWO Bulan Ini'!$DJ:$DJ,'Area-Cabang'!$B142,'CWO Bulan Ini'!$DH:$DH,'Area-Cabang'!$E142,'CWO Bulan Ini'!$CZ:$CZ,'Area-Cabang'!M$41)</f>
        <v>0</v>
      </c>
      <c r="N142" s="42">
        <f>SUMIFS('CWO Bulan Ini'!$DA:$DA,'CWO Bulan Ini'!$DJ:$DJ,'Area-Cabang'!$B142,'CWO Bulan Ini'!$DH:$DH,'Area-Cabang'!$E142,'CWO Bulan Ini'!$CZ:$CZ,'Area-Cabang'!N$41)</f>
        <v>0</v>
      </c>
      <c r="O142" s="42">
        <f>SUMIFS('CWO Bulan Ini'!$DA:$DA,'CWO Bulan Ini'!$DJ:$DJ,'Area-Cabang'!$B142,'CWO Bulan Ini'!$DH:$DH,'Area-Cabang'!$E142,'CWO Bulan Ini'!$CZ:$CZ,'Area-Cabang'!O$41)</f>
        <v>0</v>
      </c>
      <c r="P142" s="42">
        <f>SUMIFS('CWO Bulan Ini'!$DA:$DA,'CWO Bulan Ini'!$DJ:$DJ,'Area-Cabang'!$B142,'CWO Bulan Ini'!$DH:$DH,'Area-Cabang'!$E142,'CWO Bulan Ini'!$CZ:$CZ,'Area-Cabang'!P$41)</f>
        <v>0</v>
      </c>
      <c r="Q142" s="42">
        <f>SUMIFS('CWO Bulan Ini'!$DA:$DA,'CWO Bulan Ini'!$DJ:$DJ,'Area-Cabang'!$B142,'CWO Bulan Ini'!$DH:$DH,'Area-Cabang'!$E142,'CWO Bulan Ini'!$CZ:$CZ,'Area-Cabang'!Q$41)</f>
        <v>0</v>
      </c>
      <c r="R142" s="42">
        <f>SUMIFS('CWO Bulan Ini'!$DA:$DA,'CWO Bulan Ini'!$DJ:$DJ,'Area-Cabang'!$B142,'CWO Bulan Ini'!$DH:$DH,'Area-Cabang'!$E142,'CWO Bulan Ini'!$CZ:$CZ,'Area-Cabang'!R$41)</f>
        <v>0</v>
      </c>
      <c r="S142" s="42">
        <f>SUMIFS('CWO Bulan Ini'!$DA:$DA,'CWO Bulan Ini'!$DJ:$DJ,'Area-Cabang'!$B142,'CWO Bulan Ini'!$DH:$DH,'Area-Cabang'!$E142,'CWO Bulan Ini'!$CZ:$CZ,'Area-Cabang'!S$41)</f>
        <v>0</v>
      </c>
      <c r="T142" s="42">
        <f>SUMIFS('CWO Bulan Ini'!$DA:$DA,'CWO Bulan Ini'!$DJ:$DJ,'Area-Cabang'!$B142,'CWO Bulan Ini'!$DH:$DH,'Area-Cabang'!$E142,'CWO Bulan Ini'!$CZ:$CZ,'Area-Cabang'!T$41)</f>
        <v>0</v>
      </c>
      <c r="U142" s="42">
        <f>SUMIFS('CWO Bulan Ini'!$DA:$DA,'CWO Bulan Ini'!$DJ:$DJ,'Area-Cabang'!$B142,'CWO Bulan Ini'!$DH:$DH,'Area-Cabang'!$E142,'CWO Bulan Ini'!$CZ:$CZ,'Area-Cabang'!U$41)</f>
        <v>0</v>
      </c>
      <c r="V142" s="42">
        <f>SUMIFS('CWO Bulan Ini'!$DA:$DA,'CWO Bulan Ini'!$DJ:$DJ,'Area-Cabang'!$B142,'CWO Bulan Ini'!$DH:$DH,'Area-Cabang'!$E142,'CWO Bulan Ini'!$CZ:$CZ,'Area-Cabang'!V$41)</f>
        <v>0</v>
      </c>
      <c r="W142" s="42">
        <f>SUMIFS('CWO Bulan Ini'!$DA:$DA,'CWO Bulan Ini'!$DJ:$DJ,'Area-Cabang'!$B142,'CWO Bulan Ini'!$DH:$DH,'Area-Cabang'!$E142,'CWO Bulan Ini'!$CZ:$CZ,'Area-Cabang'!W$41)</f>
        <v>0</v>
      </c>
      <c r="X142" s="42">
        <f>SUMIFS('CWO Bulan Ini'!$DA:$DA,'CWO Bulan Ini'!$DJ:$DJ,'Area-Cabang'!$B142,'CWO Bulan Ini'!$DH:$DH,'Area-Cabang'!$E142,'CWO Bulan Ini'!$CZ:$CZ,'Area-Cabang'!X$41)</f>
        <v>0</v>
      </c>
      <c r="Y142" s="42">
        <f>SUMIFS('CWO Bulan Ini'!$DA:$DA,'CWO Bulan Ini'!$DJ:$DJ,'Area-Cabang'!$B142,'CWO Bulan Ini'!$DH:$DH,'Area-Cabang'!$E142,'CWO Bulan Ini'!$CZ:$CZ,'Area-Cabang'!Y$41)</f>
        <v>0</v>
      </c>
      <c r="Z142" s="42">
        <f>SUMIFS('CWO Bulan Ini'!$DA:$DA,'CWO Bulan Ini'!$DJ:$DJ,'Area-Cabang'!$B142,'CWO Bulan Ini'!$DH:$DH,'Area-Cabang'!$E142,'CWO Bulan Ini'!$CZ:$CZ,'Area-Cabang'!Z$41)</f>
        <v>0</v>
      </c>
      <c r="AA142" s="42">
        <f>SUMIFS('CWO Bulan Ini'!$DA:$DA,'CWO Bulan Ini'!$DJ:$DJ,'Area-Cabang'!$B142,'CWO Bulan Ini'!$DH:$DH,'Area-Cabang'!$E142,'CWO Bulan Ini'!$CZ:$CZ,'Area-Cabang'!AA$41)</f>
        <v>0</v>
      </c>
      <c r="AB142" s="42">
        <f>SUMIFS('CWO Bulan Ini'!$DA:$DA,'CWO Bulan Ini'!$DJ:$DJ,'Area-Cabang'!$B142,'CWO Bulan Ini'!$DH:$DH,'Area-Cabang'!$E142,'CWO Bulan Ini'!$CZ:$CZ,'Area-Cabang'!AB$41)</f>
        <v>0</v>
      </c>
      <c r="AC142" s="42">
        <f>SUMIFS('CWO Bulan Ini'!$DA:$DA,'CWO Bulan Ini'!$DJ:$DJ,'Area-Cabang'!$B142,'CWO Bulan Ini'!$DH:$DH,'Area-Cabang'!$E142,'CWO Bulan Ini'!$CZ:$CZ,'Area-Cabang'!AC$41)</f>
        <v>0</v>
      </c>
      <c r="AD142" s="42">
        <f>SUMIFS('CWO Bulan Ini'!$DA:$DA,'CWO Bulan Ini'!$DJ:$DJ,'Area-Cabang'!$B142,'CWO Bulan Ini'!$DH:$DH,'Area-Cabang'!$E142,'CWO Bulan Ini'!$CZ:$CZ,'Area-Cabang'!AD$41)</f>
        <v>0</v>
      </c>
      <c r="AE142" s="42">
        <f>SUMIFS('CWO Bulan Ini'!$DA:$DA,'CWO Bulan Ini'!$DJ:$DJ,'Area-Cabang'!$B142,'CWO Bulan Ini'!$DH:$DH,'Area-Cabang'!$E142,'CWO Bulan Ini'!$CZ:$CZ,'Area-Cabang'!AE$41)</f>
        <v>0</v>
      </c>
      <c r="AF142" s="42">
        <f>SUMIFS('CWO Bulan Ini'!$DA:$DA,'CWO Bulan Ini'!$DJ:$DJ,'Area-Cabang'!$B142,'CWO Bulan Ini'!$DH:$DH,'Area-Cabang'!$E142,'CWO Bulan Ini'!$CZ:$CZ,'Area-Cabang'!AF$41)</f>
        <v>0</v>
      </c>
      <c r="AG142" s="42">
        <f>SUMIFS('CWO Bulan Ini'!$DA:$DA,'CWO Bulan Ini'!$DJ:$DJ,'Area-Cabang'!$B142,'CWO Bulan Ini'!$DH:$DH,'Area-Cabang'!$E142,'CWO Bulan Ini'!$CZ:$CZ,'Area-Cabang'!AG$41)</f>
        <v>0</v>
      </c>
      <c r="AH142" s="42">
        <f>SUMIFS('CWO Bulan Ini'!$DA:$DA,'CWO Bulan Ini'!$DJ:$DJ,'Area-Cabang'!$B142,'CWO Bulan Ini'!$DH:$DH,'Area-Cabang'!$E142,'CWO Bulan Ini'!$CZ:$CZ,'Area-Cabang'!AH$41)</f>
        <v>0</v>
      </c>
      <c r="AI142" s="42">
        <f>SUMIFS('CWO Bulan Ini'!$DA:$DA,'CWO Bulan Ini'!$DJ:$DJ,'Area-Cabang'!$B142,'CWO Bulan Ini'!$DH:$DH,'Area-Cabang'!$E142,'CWO Bulan Ini'!$CZ:$CZ,'Area-Cabang'!AI$41)</f>
        <v>0</v>
      </c>
      <c r="AJ142" s="42">
        <f>SUMIFS('CWO Bulan Ini'!$DA:$DA,'CWO Bulan Ini'!$DJ:$DJ,'Area-Cabang'!$B142,'CWO Bulan Ini'!$DH:$DH,'Area-Cabang'!$E142,'CWO Bulan Ini'!$CZ:$CZ,'Area-Cabang'!AJ$41)</f>
        <v>0</v>
      </c>
      <c r="AK142" s="41">
        <f>SUMIFS('CWO Bulan Ini'!$DD:$DD,'CWO Bulan Ini'!$DJ:$DJ,'Area-Cabang'!$B142,'CWO Bulan Ini'!$DH:$DH,'Area-Cabang'!$E142,'CWO Bulan Ini'!$CZ:$CZ,'Area-Cabang'!AK$41)</f>
        <v>0</v>
      </c>
      <c r="AL142" s="42">
        <f>SUMIFS('CWO Bulan Ini'!$DD:$DD,'CWO Bulan Ini'!$DJ:$DJ,'Area-Cabang'!$B142,'CWO Bulan Ini'!$DH:$DH,'Area-Cabang'!$E142,'CWO Bulan Ini'!$CZ:$CZ,'Area-Cabang'!AL$41)</f>
        <v>0</v>
      </c>
      <c r="AM142" s="42">
        <f>SUMIFS('CWO Bulan Ini'!$DD:$DD,'CWO Bulan Ini'!$DJ:$DJ,'Area-Cabang'!$B142,'CWO Bulan Ini'!$DH:$DH,'Area-Cabang'!$E142,'CWO Bulan Ini'!$CZ:$CZ,'Area-Cabang'!AM$41)</f>
        <v>0</v>
      </c>
      <c r="AN142" s="42">
        <f>SUMIFS('CWO Bulan Ini'!$DD:$DD,'CWO Bulan Ini'!$DJ:$DJ,'Area-Cabang'!$B142,'CWO Bulan Ini'!$DH:$DH,'Area-Cabang'!$E142,'CWO Bulan Ini'!$CZ:$CZ,'Area-Cabang'!AN$41)</f>
        <v>0</v>
      </c>
      <c r="AO142" s="42">
        <f>SUMIFS('CWO Bulan Ini'!$DD:$DD,'CWO Bulan Ini'!$DJ:$DJ,'Area-Cabang'!$B142,'CWO Bulan Ini'!$DH:$DH,'Area-Cabang'!$E142,'CWO Bulan Ini'!$CZ:$CZ,'Area-Cabang'!AO$41)</f>
        <v>0</v>
      </c>
      <c r="AP142" s="42">
        <f>SUMIFS('CWO Bulan Ini'!$DD:$DD,'CWO Bulan Ini'!$DJ:$DJ,'Area-Cabang'!$B142,'CWO Bulan Ini'!$DH:$DH,'Area-Cabang'!$E142,'CWO Bulan Ini'!$CZ:$CZ,'Area-Cabang'!AP$41)</f>
        <v>0</v>
      </c>
      <c r="AQ142" s="42">
        <f>SUMIFS('CWO Bulan Ini'!$DD:$DD,'CWO Bulan Ini'!$DJ:$DJ,'Area-Cabang'!$B142,'CWO Bulan Ini'!$DH:$DH,'Area-Cabang'!$E142,'CWO Bulan Ini'!$CZ:$CZ,'Area-Cabang'!AQ$41)</f>
        <v>0</v>
      </c>
      <c r="AR142" s="42">
        <f>SUMIFS('CWO Bulan Ini'!$DD:$DD,'CWO Bulan Ini'!$DJ:$DJ,'Area-Cabang'!$B142,'CWO Bulan Ini'!$DH:$DH,'Area-Cabang'!$E142,'CWO Bulan Ini'!$CZ:$CZ,'Area-Cabang'!AR$41)</f>
        <v>0</v>
      </c>
      <c r="AS142" s="42">
        <f>SUMIFS('CWO Bulan Ini'!$DD:$DD,'CWO Bulan Ini'!$DJ:$DJ,'Area-Cabang'!$B142,'CWO Bulan Ini'!$DH:$DH,'Area-Cabang'!$E142,'CWO Bulan Ini'!$CZ:$CZ,'Area-Cabang'!AS$41)</f>
        <v>0</v>
      </c>
      <c r="AT142" s="42">
        <f>SUMIFS('CWO Bulan Ini'!$DD:$DD,'CWO Bulan Ini'!$DJ:$DJ,'Area-Cabang'!$B142,'CWO Bulan Ini'!$DH:$DH,'Area-Cabang'!$E142,'CWO Bulan Ini'!$CZ:$CZ,'Area-Cabang'!AT$41)</f>
        <v>0</v>
      </c>
      <c r="AU142" s="42">
        <f>SUMIFS('CWO Bulan Ini'!$DD:$DD,'CWO Bulan Ini'!$DJ:$DJ,'Area-Cabang'!$B142,'CWO Bulan Ini'!$DH:$DH,'Area-Cabang'!$E142,'CWO Bulan Ini'!$CZ:$CZ,'Area-Cabang'!AU$41)</f>
        <v>0</v>
      </c>
      <c r="AV142" s="42">
        <f>SUMIFS('CWO Bulan Ini'!$DD:$DD,'CWO Bulan Ini'!$DJ:$DJ,'Area-Cabang'!$B142,'CWO Bulan Ini'!$DH:$DH,'Area-Cabang'!$E142,'CWO Bulan Ini'!$CZ:$CZ,'Area-Cabang'!AV$41)</f>
        <v>0</v>
      </c>
      <c r="AW142" s="42">
        <f>SUMIFS('CWO Bulan Ini'!$DD:$DD,'CWO Bulan Ini'!$DJ:$DJ,'Area-Cabang'!$B142,'CWO Bulan Ini'!$DH:$DH,'Area-Cabang'!$E142,'CWO Bulan Ini'!$CZ:$CZ,'Area-Cabang'!AW$41)</f>
        <v>0</v>
      </c>
      <c r="AX142" s="42">
        <f>SUMIFS('CWO Bulan Ini'!$DD:$DD,'CWO Bulan Ini'!$DJ:$DJ,'Area-Cabang'!$B142,'CWO Bulan Ini'!$DH:$DH,'Area-Cabang'!$E142,'CWO Bulan Ini'!$CZ:$CZ,'Area-Cabang'!AX$41)</f>
        <v>0</v>
      </c>
      <c r="AY142" s="42">
        <f>SUMIFS('CWO Bulan Ini'!$DD:$DD,'CWO Bulan Ini'!$DJ:$DJ,'Area-Cabang'!$B142,'CWO Bulan Ini'!$DH:$DH,'Area-Cabang'!$E142,'CWO Bulan Ini'!$CZ:$CZ,'Area-Cabang'!AY$41)</f>
        <v>0</v>
      </c>
      <c r="AZ142" s="42">
        <f>SUMIFS('CWO Bulan Ini'!$DD:$DD,'CWO Bulan Ini'!$DJ:$DJ,'Area-Cabang'!$B142,'CWO Bulan Ini'!$DH:$DH,'Area-Cabang'!$E142,'CWO Bulan Ini'!$CZ:$CZ,'Area-Cabang'!AZ$41)</f>
        <v>0</v>
      </c>
      <c r="BA142" s="42">
        <f>SUMIFS('CWO Bulan Ini'!$DD:$DD,'CWO Bulan Ini'!$DJ:$DJ,'Area-Cabang'!$B142,'CWO Bulan Ini'!$DH:$DH,'Area-Cabang'!$E142,'CWO Bulan Ini'!$CZ:$CZ,'Area-Cabang'!BA$41)</f>
        <v>0</v>
      </c>
      <c r="BB142" s="42">
        <f>SUMIFS('CWO Bulan Ini'!$DD:$DD,'CWO Bulan Ini'!$DJ:$DJ,'Area-Cabang'!$B142,'CWO Bulan Ini'!$DH:$DH,'Area-Cabang'!$E142,'CWO Bulan Ini'!$CZ:$CZ,'Area-Cabang'!BB$41)</f>
        <v>0</v>
      </c>
      <c r="BC142" s="42">
        <f>SUMIFS('CWO Bulan Ini'!$DD:$DD,'CWO Bulan Ini'!$DJ:$DJ,'Area-Cabang'!$B142,'CWO Bulan Ini'!$DH:$DH,'Area-Cabang'!$E142,'CWO Bulan Ini'!$CZ:$CZ,'Area-Cabang'!BC$41)</f>
        <v>0</v>
      </c>
      <c r="BD142" s="42">
        <f>SUMIFS('CWO Bulan Ini'!$DD:$DD,'CWO Bulan Ini'!$DJ:$DJ,'Area-Cabang'!$B142,'CWO Bulan Ini'!$DH:$DH,'Area-Cabang'!$E142,'CWO Bulan Ini'!$CZ:$CZ,'Area-Cabang'!BD$41)</f>
        <v>0</v>
      </c>
      <c r="BE142" s="42">
        <f>SUMIFS('CWO Bulan Ini'!$DD:$DD,'CWO Bulan Ini'!$DJ:$DJ,'Area-Cabang'!$B142,'CWO Bulan Ini'!$DH:$DH,'Area-Cabang'!$E142,'CWO Bulan Ini'!$CZ:$CZ,'Area-Cabang'!BE$41)</f>
        <v>0</v>
      </c>
      <c r="BF142" s="42">
        <f>SUMIFS('CWO Bulan Ini'!$DD:$DD,'CWO Bulan Ini'!$DJ:$DJ,'Area-Cabang'!$B142,'CWO Bulan Ini'!$DH:$DH,'Area-Cabang'!$E142,'CWO Bulan Ini'!$CZ:$CZ,'Area-Cabang'!BF$41)</f>
        <v>0</v>
      </c>
      <c r="BG142" s="42">
        <f>SUMIFS('CWO Bulan Ini'!$DD:$DD,'CWO Bulan Ini'!$DJ:$DJ,'Area-Cabang'!$B142,'CWO Bulan Ini'!$DH:$DH,'Area-Cabang'!$E142,'CWO Bulan Ini'!$CZ:$CZ,'Area-Cabang'!BG$41)</f>
        <v>0</v>
      </c>
      <c r="BH142" s="42">
        <f>SUMIFS('CWO Bulan Ini'!$DD:$DD,'CWO Bulan Ini'!$DJ:$DJ,'Area-Cabang'!$B142,'CWO Bulan Ini'!$DH:$DH,'Area-Cabang'!$E142,'CWO Bulan Ini'!$CZ:$CZ,'Area-Cabang'!BH$41)</f>
        <v>0</v>
      </c>
      <c r="BI142" s="42">
        <f>SUMIFS('CWO Bulan Ini'!$DD:$DD,'CWO Bulan Ini'!$DJ:$DJ,'Area-Cabang'!$B142,'CWO Bulan Ini'!$DH:$DH,'Area-Cabang'!$E142,'CWO Bulan Ini'!$CZ:$CZ,'Area-Cabang'!BI$41)</f>
        <v>0</v>
      </c>
      <c r="BJ142" s="42">
        <f>SUMIFS('CWO Bulan Ini'!$DD:$DD,'CWO Bulan Ini'!$DJ:$DJ,'Area-Cabang'!$B142,'CWO Bulan Ini'!$DH:$DH,'Area-Cabang'!$E142,'CWO Bulan Ini'!$CZ:$CZ,'Area-Cabang'!BJ$41)</f>
        <v>0</v>
      </c>
      <c r="BK142" s="42">
        <f>SUMIFS('CWO Bulan Ini'!$DD:$DD,'CWO Bulan Ini'!$DJ:$DJ,'Area-Cabang'!$B142,'CWO Bulan Ini'!$DH:$DH,'Area-Cabang'!$E142,'CWO Bulan Ini'!$CZ:$CZ,'Area-Cabang'!BK$41)</f>
        <v>0</v>
      </c>
      <c r="BL142" s="42">
        <f>SUMIFS('CWO Bulan Ini'!$DD:$DD,'CWO Bulan Ini'!$DJ:$DJ,'Area-Cabang'!$B142,'CWO Bulan Ini'!$DH:$DH,'Area-Cabang'!$E142,'CWO Bulan Ini'!$CZ:$CZ,'Area-Cabang'!BL$41)</f>
        <v>0</v>
      </c>
      <c r="BM142" s="42">
        <f>SUMIFS('CWO Bulan Ini'!$DD:$DD,'CWO Bulan Ini'!$DJ:$DJ,'Area-Cabang'!$B142,'CWO Bulan Ini'!$DH:$DH,'Area-Cabang'!$E142,'CWO Bulan Ini'!$CZ:$CZ,'Area-Cabang'!BM$41)</f>
        <v>0</v>
      </c>
      <c r="BN142" s="42">
        <f>SUMIFS('CWO Bulan Ini'!$DD:$DD,'CWO Bulan Ini'!$DJ:$DJ,'Area-Cabang'!$B142,'CWO Bulan Ini'!$DH:$DH,'Area-Cabang'!$E142,'CWO Bulan Ini'!$CZ:$CZ,'Area-Cabang'!BN$41)</f>
        <v>0</v>
      </c>
      <c r="BO142" s="43">
        <f>SUMIFS('CWO Bulan Ini'!$DD:$DD,'CWO Bulan Ini'!$DJ:$DJ,'Area-Cabang'!$B142,'CWO Bulan Ini'!$DH:$DH,'Area-Cabang'!$E142,'CWO Bulan Ini'!$CZ:$CZ,'Area-Cabang'!BO$41)</f>
        <v>0</v>
      </c>
      <c r="BP142" s="41">
        <f>SUMIFS('CWO Bulan Ini'!$DC:$DC,'CWO Bulan Ini'!$DJ:$DJ,'Area-Cabang'!$B142,'CWO Bulan Ini'!$DH:$DH,'Area-Cabang'!$E142,'CWO Bulan Ini'!$CZ:$CZ,'Area-Cabang'!BP$41)</f>
        <v>0</v>
      </c>
      <c r="BQ142" s="42">
        <f>SUMIFS('CWO Bulan Ini'!$DC:$DC,'CWO Bulan Ini'!$DJ:$DJ,'Area-Cabang'!$B142,'CWO Bulan Ini'!$DH:$DH,'Area-Cabang'!$E142,'CWO Bulan Ini'!$CZ:$CZ,'Area-Cabang'!BQ$41)</f>
        <v>0</v>
      </c>
      <c r="BR142" s="42">
        <f>SUMIFS('CWO Bulan Ini'!$DC:$DC,'CWO Bulan Ini'!$DJ:$DJ,'Area-Cabang'!$B142,'CWO Bulan Ini'!$DH:$DH,'Area-Cabang'!$E142,'CWO Bulan Ini'!$CZ:$CZ,'Area-Cabang'!BR$41)</f>
        <v>0</v>
      </c>
      <c r="BS142" s="42">
        <f>SUMIFS('CWO Bulan Ini'!$DC:$DC,'CWO Bulan Ini'!$DJ:$DJ,'Area-Cabang'!$B142,'CWO Bulan Ini'!$DH:$DH,'Area-Cabang'!$E142,'CWO Bulan Ini'!$CZ:$CZ,'Area-Cabang'!BS$41)</f>
        <v>0</v>
      </c>
      <c r="BT142" s="42">
        <f>SUMIFS('CWO Bulan Ini'!$DC:$DC,'CWO Bulan Ini'!$DJ:$DJ,'Area-Cabang'!$B142,'CWO Bulan Ini'!$DH:$DH,'Area-Cabang'!$E142,'CWO Bulan Ini'!$CZ:$CZ,'Area-Cabang'!BT$41)</f>
        <v>0</v>
      </c>
      <c r="BU142" s="42">
        <f>SUMIFS('CWO Bulan Ini'!$DC:$DC,'CWO Bulan Ini'!$DJ:$DJ,'Area-Cabang'!$B142,'CWO Bulan Ini'!$DH:$DH,'Area-Cabang'!$E142,'CWO Bulan Ini'!$CZ:$CZ,'Area-Cabang'!BU$41)</f>
        <v>0</v>
      </c>
      <c r="BV142" s="42">
        <f>SUMIFS('CWO Bulan Ini'!$DC:$DC,'CWO Bulan Ini'!$DJ:$DJ,'Area-Cabang'!$B142,'CWO Bulan Ini'!$DH:$DH,'Area-Cabang'!$E142,'CWO Bulan Ini'!$CZ:$CZ,'Area-Cabang'!BV$41)</f>
        <v>0</v>
      </c>
      <c r="BW142" s="42">
        <f>SUMIFS('CWO Bulan Ini'!$DC:$DC,'CWO Bulan Ini'!$DJ:$DJ,'Area-Cabang'!$B142,'CWO Bulan Ini'!$DH:$DH,'Area-Cabang'!$E142,'CWO Bulan Ini'!$CZ:$CZ,'Area-Cabang'!BW$41)</f>
        <v>0</v>
      </c>
      <c r="BX142" s="42">
        <f>SUMIFS('CWO Bulan Ini'!$DC:$DC,'CWO Bulan Ini'!$DJ:$DJ,'Area-Cabang'!$B142,'CWO Bulan Ini'!$DH:$DH,'Area-Cabang'!$E142,'CWO Bulan Ini'!$CZ:$CZ,'Area-Cabang'!BX$41)</f>
        <v>0</v>
      </c>
      <c r="BY142" s="42">
        <f>SUMIFS('CWO Bulan Ini'!$DC:$DC,'CWO Bulan Ini'!$DJ:$DJ,'Area-Cabang'!$B142,'CWO Bulan Ini'!$DH:$DH,'Area-Cabang'!$E142,'CWO Bulan Ini'!$CZ:$CZ,'Area-Cabang'!BY$41)</f>
        <v>0</v>
      </c>
      <c r="BZ142" s="42">
        <f>SUMIFS('CWO Bulan Ini'!$DC:$DC,'CWO Bulan Ini'!$DJ:$DJ,'Area-Cabang'!$B142,'CWO Bulan Ini'!$DH:$DH,'Area-Cabang'!$E142,'CWO Bulan Ini'!$CZ:$CZ,'Area-Cabang'!BZ$41)</f>
        <v>0</v>
      </c>
      <c r="CA142" s="42">
        <f>SUMIFS('CWO Bulan Ini'!$DC:$DC,'CWO Bulan Ini'!$DJ:$DJ,'Area-Cabang'!$B142,'CWO Bulan Ini'!$DH:$DH,'Area-Cabang'!$E142,'CWO Bulan Ini'!$CZ:$CZ,'Area-Cabang'!CA$41)</f>
        <v>0</v>
      </c>
      <c r="CB142" s="42">
        <f>SUMIFS('CWO Bulan Ini'!$DC:$DC,'CWO Bulan Ini'!$DJ:$DJ,'Area-Cabang'!$B142,'CWO Bulan Ini'!$DH:$DH,'Area-Cabang'!$E142,'CWO Bulan Ini'!$CZ:$CZ,'Area-Cabang'!CB$41)</f>
        <v>0</v>
      </c>
      <c r="CC142" s="42">
        <f>SUMIFS('CWO Bulan Ini'!$DC:$DC,'CWO Bulan Ini'!$DJ:$DJ,'Area-Cabang'!$B142,'CWO Bulan Ini'!$DH:$DH,'Area-Cabang'!$E142,'CWO Bulan Ini'!$CZ:$CZ,'Area-Cabang'!CC$41)</f>
        <v>0</v>
      </c>
      <c r="CD142" s="42">
        <f>SUMIFS('CWO Bulan Ini'!$DC:$DC,'CWO Bulan Ini'!$DJ:$DJ,'Area-Cabang'!$B142,'CWO Bulan Ini'!$DH:$DH,'Area-Cabang'!$E142,'CWO Bulan Ini'!$CZ:$CZ,'Area-Cabang'!CD$41)</f>
        <v>0</v>
      </c>
      <c r="CE142" s="42">
        <f>SUMIFS('CWO Bulan Ini'!$DC:$DC,'CWO Bulan Ini'!$DJ:$DJ,'Area-Cabang'!$B142,'CWO Bulan Ini'!$DH:$DH,'Area-Cabang'!$E142,'CWO Bulan Ini'!$CZ:$CZ,'Area-Cabang'!CE$41)</f>
        <v>0</v>
      </c>
      <c r="CF142" s="42">
        <f>SUMIFS('CWO Bulan Ini'!$DC:$DC,'CWO Bulan Ini'!$DJ:$DJ,'Area-Cabang'!$B142,'CWO Bulan Ini'!$DH:$DH,'Area-Cabang'!$E142,'CWO Bulan Ini'!$CZ:$CZ,'Area-Cabang'!CF$41)</f>
        <v>0</v>
      </c>
      <c r="CG142" s="42">
        <f>SUMIFS('CWO Bulan Ini'!$DC:$DC,'CWO Bulan Ini'!$DJ:$DJ,'Area-Cabang'!$B142,'CWO Bulan Ini'!$DH:$DH,'Area-Cabang'!$E142,'CWO Bulan Ini'!$CZ:$CZ,'Area-Cabang'!CG$41)</f>
        <v>0</v>
      </c>
      <c r="CH142" s="42">
        <f>SUMIFS('CWO Bulan Ini'!$DC:$DC,'CWO Bulan Ini'!$DJ:$DJ,'Area-Cabang'!$B142,'CWO Bulan Ini'!$DH:$DH,'Area-Cabang'!$E142,'CWO Bulan Ini'!$CZ:$CZ,'Area-Cabang'!CH$41)</f>
        <v>0</v>
      </c>
      <c r="CI142" s="42">
        <f>SUMIFS('CWO Bulan Ini'!$DC:$DC,'CWO Bulan Ini'!$DJ:$DJ,'Area-Cabang'!$B142,'CWO Bulan Ini'!$DH:$DH,'Area-Cabang'!$E142,'CWO Bulan Ini'!$CZ:$CZ,'Area-Cabang'!CI$41)</f>
        <v>0</v>
      </c>
      <c r="CJ142" s="42">
        <f>SUMIFS('CWO Bulan Ini'!$DC:$DC,'CWO Bulan Ini'!$DJ:$DJ,'Area-Cabang'!$B142,'CWO Bulan Ini'!$DH:$DH,'Area-Cabang'!$E142,'CWO Bulan Ini'!$CZ:$CZ,'Area-Cabang'!CJ$41)</f>
        <v>0</v>
      </c>
      <c r="CK142" s="42">
        <f>SUMIFS('CWO Bulan Ini'!$DC:$DC,'CWO Bulan Ini'!$DJ:$DJ,'Area-Cabang'!$B142,'CWO Bulan Ini'!$DH:$DH,'Area-Cabang'!$E142,'CWO Bulan Ini'!$CZ:$CZ,'Area-Cabang'!CK$41)</f>
        <v>0</v>
      </c>
      <c r="CL142" s="42">
        <f>SUMIFS('CWO Bulan Ini'!$DC:$DC,'CWO Bulan Ini'!$DJ:$DJ,'Area-Cabang'!$B142,'CWO Bulan Ini'!$DH:$DH,'Area-Cabang'!$E142,'CWO Bulan Ini'!$CZ:$CZ,'Area-Cabang'!CL$41)</f>
        <v>0</v>
      </c>
      <c r="CM142" s="42">
        <f>SUMIFS('CWO Bulan Ini'!$DC:$DC,'CWO Bulan Ini'!$DJ:$DJ,'Area-Cabang'!$B142,'CWO Bulan Ini'!$DH:$DH,'Area-Cabang'!$E142,'CWO Bulan Ini'!$CZ:$CZ,'Area-Cabang'!CM$41)</f>
        <v>0</v>
      </c>
      <c r="CN142" s="42">
        <f>SUMIFS('CWO Bulan Ini'!$DC:$DC,'CWO Bulan Ini'!$DJ:$DJ,'Area-Cabang'!$B142,'CWO Bulan Ini'!$DH:$DH,'Area-Cabang'!$E142,'CWO Bulan Ini'!$CZ:$CZ,'Area-Cabang'!CN$41)</f>
        <v>0</v>
      </c>
      <c r="CO142" s="42">
        <f>SUMIFS('CWO Bulan Ini'!$DC:$DC,'CWO Bulan Ini'!$DJ:$DJ,'Area-Cabang'!$B142,'CWO Bulan Ini'!$DH:$DH,'Area-Cabang'!$E142,'CWO Bulan Ini'!$CZ:$CZ,'Area-Cabang'!CO$41)</f>
        <v>0</v>
      </c>
      <c r="CP142" s="42">
        <f>SUMIFS('CWO Bulan Ini'!$DC:$DC,'CWO Bulan Ini'!$DJ:$DJ,'Area-Cabang'!$B142,'CWO Bulan Ini'!$DH:$DH,'Area-Cabang'!$E142,'CWO Bulan Ini'!$CZ:$CZ,'Area-Cabang'!CP$41)</f>
        <v>0</v>
      </c>
      <c r="CQ142" s="42">
        <f>SUMIFS('CWO Bulan Ini'!$DC:$DC,'CWO Bulan Ini'!$DJ:$DJ,'Area-Cabang'!$B142,'CWO Bulan Ini'!$DH:$DH,'Area-Cabang'!$E142,'CWO Bulan Ini'!$CZ:$CZ,'Area-Cabang'!CQ$41)</f>
        <v>0</v>
      </c>
      <c r="CR142" s="42">
        <f>SUMIFS('CWO Bulan Ini'!$DC:$DC,'CWO Bulan Ini'!$DJ:$DJ,'Area-Cabang'!$B142,'CWO Bulan Ini'!$DH:$DH,'Area-Cabang'!$E142,'CWO Bulan Ini'!$CZ:$CZ,'Area-Cabang'!CR$41)</f>
        <v>0</v>
      </c>
      <c r="CS142" s="42">
        <f>SUMIFS('CWO Bulan Ini'!$DC:$DC,'CWO Bulan Ini'!$DJ:$DJ,'Area-Cabang'!$B142,'CWO Bulan Ini'!$DH:$DH,'Area-Cabang'!$E142,'CWO Bulan Ini'!$CZ:$CZ,'Area-Cabang'!CS$41)</f>
        <v>0</v>
      </c>
      <c r="CT142" s="43">
        <f>SUMIFS('CWO Bulan Ini'!$DC:$DC,'CWO Bulan Ini'!$DJ:$DJ,'Area-Cabang'!$B142,'CWO Bulan Ini'!$DH:$DH,'Area-Cabang'!$E142,'CWO Bulan Ini'!$CZ:$CZ,'Area-Cabang'!CT$41)</f>
        <v>0</v>
      </c>
      <c r="CV142" s="96">
        <f t="shared" si="4380"/>
        <v>0</v>
      </c>
      <c r="CW142" s="93">
        <f t="shared" si="4381"/>
        <v>0</v>
      </c>
      <c r="CX142" s="93">
        <f t="shared" si="4382"/>
        <v>0</v>
      </c>
      <c r="CY142" s="93">
        <f t="shared" si="4383"/>
        <v>0</v>
      </c>
      <c r="CZ142" s="106">
        <f t="shared" si="4384"/>
        <v>0</v>
      </c>
    </row>
    <row r="143" spans="1:104" ht="15" customHeight="1" x14ac:dyDescent="0.25">
      <c r="A143" s="58" t="s">
        <v>500</v>
      </c>
      <c r="B143" s="53" t="s">
        <v>840</v>
      </c>
      <c r="C143" s="250"/>
      <c r="D143" s="227" t="s">
        <v>840</v>
      </c>
      <c r="E143" s="228"/>
      <c r="F143" s="219">
        <f t="shared" ref="F143" si="4385">SUM(F141:F142)</f>
        <v>0</v>
      </c>
      <c r="G143" s="220">
        <f t="shared" ref="G143" si="4386">SUM(G141:G142)</f>
        <v>0</v>
      </c>
      <c r="H143" s="220">
        <f t="shared" ref="H143" si="4387">SUM(H141:H142)</f>
        <v>0</v>
      </c>
      <c r="I143" s="220">
        <f t="shared" ref="I143" si="4388">SUM(I141:I142)</f>
        <v>0</v>
      </c>
      <c r="J143" s="220">
        <f t="shared" ref="J143" si="4389">SUM(J141:J142)</f>
        <v>0</v>
      </c>
      <c r="K143" s="220">
        <f t="shared" ref="K143" si="4390">SUM(K141:K142)</f>
        <v>0</v>
      </c>
      <c r="L143" s="220">
        <f t="shared" ref="L143" si="4391">SUM(L141:L142)</f>
        <v>0</v>
      </c>
      <c r="M143" s="220">
        <f t="shared" ref="M143" si="4392">SUM(M141:M142)</f>
        <v>0</v>
      </c>
      <c r="N143" s="220">
        <f t="shared" ref="N143" si="4393">SUM(N141:N142)</f>
        <v>0</v>
      </c>
      <c r="O143" s="220">
        <f t="shared" ref="O143" si="4394">SUM(O141:O142)</f>
        <v>0</v>
      </c>
      <c r="P143" s="220">
        <f t="shared" ref="P143" si="4395">SUM(P141:P142)</f>
        <v>0</v>
      </c>
      <c r="Q143" s="220">
        <f t="shared" ref="Q143" si="4396">SUM(Q141:Q142)</f>
        <v>0</v>
      </c>
      <c r="R143" s="220">
        <f t="shared" ref="R143" si="4397">SUM(R141:R142)</f>
        <v>0</v>
      </c>
      <c r="S143" s="220">
        <f t="shared" ref="S143" si="4398">SUM(S141:S142)</f>
        <v>0</v>
      </c>
      <c r="T143" s="220">
        <f t="shared" ref="T143" si="4399">SUM(T141:T142)</f>
        <v>0</v>
      </c>
      <c r="U143" s="220">
        <f t="shared" ref="U143" si="4400">SUM(U141:U142)</f>
        <v>0</v>
      </c>
      <c r="V143" s="220">
        <f t="shared" ref="V143" si="4401">SUM(V141:V142)</f>
        <v>60.633634700000002</v>
      </c>
      <c r="W143" s="220">
        <f t="shared" ref="W143" si="4402">SUM(W141:W142)</f>
        <v>0</v>
      </c>
      <c r="X143" s="220">
        <f t="shared" ref="X143" si="4403">SUM(X141:X142)</f>
        <v>0</v>
      </c>
      <c r="Y143" s="220">
        <f t="shared" ref="Y143" si="4404">SUM(Y141:Y142)</f>
        <v>0</v>
      </c>
      <c r="Z143" s="220">
        <f t="shared" ref="Z143" si="4405">SUM(Z141:Z142)</f>
        <v>0</v>
      </c>
      <c r="AA143" s="220">
        <f t="shared" ref="AA143" si="4406">SUM(AA141:AA142)</f>
        <v>0</v>
      </c>
      <c r="AB143" s="220">
        <f t="shared" ref="AB143" si="4407">SUM(AB141:AB142)</f>
        <v>0</v>
      </c>
      <c r="AC143" s="220">
        <f t="shared" ref="AC143" si="4408">SUM(AC141:AC142)</f>
        <v>0</v>
      </c>
      <c r="AD143" s="220">
        <f t="shared" ref="AD143" si="4409">SUM(AD141:AD142)</f>
        <v>0</v>
      </c>
      <c r="AE143" s="220">
        <f t="shared" ref="AE143" si="4410">SUM(AE141:AE142)</f>
        <v>0</v>
      </c>
      <c r="AF143" s="220">
        <f t="shared" ref="AF143" si="4411">SUM(AF141:AF142)</f>
        <v>0</v>
      </c>
      <c r="AG143" s="220">
        <f t="shared" ref="AG143" si="4412">SUM(AG141:AG142)</f>
        <v>0</v>
      </c>
      <c r="AH143" s="220">
        <f t="shared" ref="AH143" si="4413">SUM(AH141:AH142)</f>
        <v>0</v>
      </c>
      <c r="AI143" s="220">
        <f t="shared" ref="AI143" si="4414">SUM(AI141:AI142)</f>
        <v>0</v>
      </c>
      <c r="AJ143" s="220">
        <f t="shared" ref="AJ143" si="4415">SUM(AJ141:AJ142)</f>
        <v>0</v>
      </c>
      <c r="AK143" s="219">
        <f t="shared" ref="AK143" si="4416">SUM(AK141:AK142)</f>
        <v>0</v>
      </c>
      <c r="AL143" s="220">
        <f t="shared" ref="AL143" si="4417">SUM(AL141:AL142)</f>
        <v>0</v>
      </c>
      <c r="AM143" s="220">
        <f t="shared" ref="AM143" si="4418">SUM(AM141:AM142)</f>
        <v>0</v>
      </c>
      <c r="AN143" s="220">
        <f t="shared" ref="AN143" si="4419">SUM(AN141:AN142)</f>
        <v>0</v>
      </c>
      <c r="AO143" s="220">
        <f t="shared" ref="AO143" si="4420">SUM(AO141:AO142)</f>
        <v>0</v>
      </c>
      <c r="AP143" s="220">
        <f t="shared" ref="AP143" si="4421">SUM(AP141:AP142)</f>
        <v>0</v>
      </c>
      <c r="AQ143" s="220">
        <f t="shared" ref="AQ143" si="4422">SUM(AQ141:AQ142)</f>
        <v>0</v>
      </c>
      <c r="AR143" s="220">
        <f t="shared" ref="AR143" si="4423">SUM(AR141:AR142)</f>
        <v>0</v>
      </c>
      <c r="AS143" s="220">
        <f t="shared" ref="AS143" si="4424">SUM(AS141:AS142)</f>
        <v>0</v>
      </c>
      <c r="AT143" s="220">
        <f t="shared" ref="AT143" si="4425">SUM(AT141:AT142)</f>
        <v>0</v>
      </c>
      <c r="AU143" s="220">
        <f t="shared" ref="AU143" si="4426">SUM(AU141:AU142)</f>
        <v>0</v>
      </c>
      <c r="AV143" s="220">
        <f t="shared" ref="AV143" si="4427">SUM(AV141:AV142)</f>
        <v>0</v>
      </c>
      <c r="AW143" s="220">
        <f t="shared" ref="AW143" si="4428">SUM(AW141:AW142)</f>
        <v>0</v>
      </c>
      <c r="AX143" s="220">
        <f t="shared" ref="AX143" si="4429">SUM(AX141:AX142)</f>
        <v>0</v>
      </c>
      <c r="AY143" s="220">
        <f t="shared" ref="AY143" si="4430">SUM(AY141:AY142)</f>
        <v>0</v>
      </c>
      <c r="AZ143" s="220">
        <f t="shared" ref="AZ143" si="4431">SUM(AZ141:AZ142)</f>
        <v>0</v>
      </c>
      <c r="BA143" s="220">
        <f t="shared" ref="BA143" si="4432">SUM(BA141:BA142)</f>
        <v>0</v>
      </c>
      <c r="BB143" s="220">
        <f t="shared" ref="BB143" si="4433">SUM(BB141:BB142)</f>
        <v>0</v>
      </c>
      <c r="BC143" s="220">
        <f t="shared" ref="BC143" si="4434">SUM(BC141:BC142)</f>
        <v>0</v>
      </c>
      <c r="BD143" s="220">
        <f t="shared" ref="BD143" si="4435">SUM(BD141:BD142)</f>
        <v>0</v>
      </c>
      <c r="BE143" s="220">
        <f t="shared" ref="BE143" si="4436">SUM(BE141:BE142)</f>
        <v>0</v>
      </c>
      <c r="BF143" s="220">
        <f t="shared" ref="BF143" si="4437">SUM(BF141:BF142)</f>
        <v>0</v>
      </c>
      <c r="BG143" s="220">
        <f t="shared" ref="BG143" si="4438">SUM(BG141:BG142)</f>
        <v>0</v>
      </c>
      <c r="BH143" s="220">
        <f t="shared" ref="BH143" si="4439">SUM(BH141:BH142)</f>
        <v>0</v>
      </c>
      <c r="BI143" s="220">
        <f t="shared" ref="BI143" si="4440">SUM(BI141:BI142)</f>
        <v>0</v>
      </c>
      <c r="BJ143" s="220">
        <f t="shared" ref="BJ143" si="4441">SUM(BJ141:BJ142)</f>
        <v>0</v>
      </c>
      <c r="BK143" s="220">
        <f t="shared" ref="BK143" si="4442">SUM(BK141:BK142)</f>
        <v>0</v>
      </c>
      <c r="BL143" s="220">
        <f t="shared" ref="BL143" si="4443">SUM(BL141:BL142)</f>
        <v>0</v>
      </c>
      <c r="BM143" s="220">
        <f t="shared" ref="BM143" si="4444">SUM(BM141:BM142)</f>
        <v>0</v>
      </c>
      <c r="BN143" s="220">
        <f t="shared" ref="BN143" si="4445">SUM(BN141:BN142)</f>
        <v>0</v>
      </c>
      <c r="BO143" s="221">
        <f t="shared" ref="BO143" si="4446">SUM(BO141:BO142)</f>
        <v>0</v>
      </c>
      <c r="BP143" s="219">
        <f t="shared" ref="BP143" si="4447">SUM(BP141:BP142)</f>
        <v>0</v>
      </c>
      <c r="BQ143" s="220">
        <f t="shared" ref="BQ143" si="4448">SUM(BQ141:BQ142)</f>
        <v>0</v>
      </c>
      <c r="BR143" s="220">
        <f t="shared" ref="BR143" si="4449">SUM(BR141:BR142)</f>
        <v>0</v>
      </c>
      <c r="BS143" s="220">
        <f t="shared" ref="BS143" si="4450">SUM(BS141:BS142)</f>
        <v>0</v>
      </c>
      <c r="BT143" s="220">
        <f t="shared" ref="BT143" si="4451">SUM(BT141:BT142)</f>
        <v>0</v>
      </c>
      <c r="BU143" s="220">
        <f t="shared" ref="BU143" si="4452">SUM(BU141:BU142)</f>
        <v>0</v>
      </c>
      <c r="BV143" s="220">
        <f t="shared" ref="BV143" si="4453">SUM(BV141:BV142)</f>
        <v>0</v>
      </c>
      <c r="BW143" s="220">
        <f t="shared" ref="BW143" si="4454">SUM(BW141:BW142)</f>
        <v>0</v>
      </c>
      <c r="BX143" s="220">
        <f t="shared" ref="BX143" si="4455">SUM(BX141:BX142)</f>
        <v>0</v>
      </c>
      <c r="BY143" s="220">
        <f t="shared" ref="BY143" si="4456">SUM(BY141:BY142)</f>
        <v>0</v>
      </c>
      <c r="BZ143" s="220">
        <f t="shared" ref="BZ143" si="4457">SUM(BZ141:BZ142)</f>
        <v>0</v>
      </c>
      <c r="CA143" s="220">
        <f t="shared" ref="CA143" si="4458">SUM(CA141:CA142)</f>
        <v>0</v>
      </c>
      <c r="CB143" s="220">
        <f t="shared" ref="CB143" si="4459">SUM(CB141:CB142)</f>
        <v>0</v>
      </c>
      <c r="CC143" s="220">
        <f t="shared" ref="CC143" si="4460">SUM(CC141:CC142)</f>
        <v>0</v>
      </c>
      <c r="CD143" s="220">
        <f t="shared" ref="CD143" si="4461">SUM(CD141:CD142)</f>
        <v>0</v>
      </c>
      <c r="CE143" s="220">
        <f t="shared" ref="CE143" si="4462">SUM(CE141:CE142)</f>
        <v>0</v>
      </c>
      <c r="CF143" s="220">
        <f t="shared" ref="CF143" si="4463">SUM(CF141:CF142)</f>
        <v>0</v>
      </c>
      <c r="CG143" s="220">
        <f t="shared" ref="CG143" si="4464">SUM(CG141:CG142)</f>
        <v>0</v>
      </c>
      <c r="CH143" s="220">
        <f t="shared" ref="CH143" si="4465">SUM(CH141:CH142)</f>
        <v>0</v>
      </c>
      <c r="CI143" s="220">
        <f t="shared" ref="CI143" si="4466">SUM(CI141:CI142)</f>
        <v>0</v>
      </c>
      <c r="CJ143" s="220">
        <f t="shared" ref="CJ143" si="4467">SUM(CJ141:CJ142)</f>
        <v>0</v>
      </c>
      <c r="CK143" s="220">
        <f t="shared" ref="CK143" si="4468">SUM(CK141:CK142)</f>
        <v>0</v>
      </c>
      <c r="CL143" s="220">
        <f t="shared" ref="CL143" si="4469">SUM(CL141:CL142)</f>
        <v>0</v>
      </c>
      <c r="CM143" s="220">
        <f t="shared" ref="CM143" si="4470">SUM(CM141:CM142)</f>
        <v>0</v>
      </c>
      <c r="CN143" s="220">
        <f t="shared" ref="CN143" si="4471">SUM(CN141:CN142)</f>
        <v>0</v>
      </c>
      <c r="CO143" s="220">
        <f t="shared" ref="CO143" si="4472">SUM(CO141:CO142)</f>
        <v>0</v>
      </c>
      <c r="CP143" s="220">
        <f t="shared" ref="CP143" si="4473">SUM(CP141:CP142)</f>
        <v>0</v>
      </c>
      <c r="CQ143" s="220">
        <f t="shared" ref="CQ143" si="4474">SUM(CQ141:CQ142)</f>
        <v>0</v>
      </c>
      <c r="CR143" s="220">
        <f t="shared" ref="CR143" si="4475">SUM(CR141:CR142)</f>
        <v>0</v>
      </c>
      <c r="CS143" s="220">
        <f t="shared" ref="CS143" si="4476">SUM(CS141:CS142)</f>
        <v>0</v>
      </c>
      <c r="CT143" s="221">
        <f t="shared" ref="CT143" si="4477">SUM(CT141:CT142)</f>
        <v>0</v>
      </c>
      <c r="CU143" s="226"/>
      <c r="CV143" s="219">
        <f t="shared" ref="CV143" si="4478">SUM(CV141:CV142)</f>
        <v>60.633634700000002</v>
      </c>
      <c r="CW143" s="220">
        <f t="shared" ref="CW143" si="4479">SUM(CW141:CW142)</f>
        <v>0</v>
      </c>
      <c r="CX143" s="220">
        <f t="shared" ref="CX143" si="4480">SUM(CX141:CX142)</f>
        <v>0</v>
      </c>
      <c r="CY143" s="220">
        <f t="shared" ref="CY143" si="4481">SUM(CY141:CY142)</f>
        <v>60.633634700000002</v>
      </c>
      <c r="CZ143" s="222">
        <f t="shared" ref="CZ143" si="4482">SUM(CZ141:CZ142)</f>
        <v>60.633634700000002</v>
      </c>
    </row>
    <row r="144" spans="1:104" ht="15" customHeight="1" x14ac:dyDescent="0.25">
      <c r="A144" s="53" t="s">
        <v>500</v>
      </c>
      <c r="B144" s="53" t="s">
        <v>556</v>
      </c>
      <c r="C144" s="250"/>
      <c r="D144" s="245" t="s">
        <v>556</v>
      </c>
      <c r="E144" s="85" t="s">
        <v>132</v>
      </c>
      <c r="F144" s="55">
        <f>SUMIFS('CWO Bulan Ini'!$DA:$DA,'CWO Bulan Ini'!$DJ:$DJ,'Area-Cabang'!$B144,'CWO Bulan Ini'!$DH:$DH,'Area-Cabang'!$E144,'CWO Bulan Ini'!$CZ:$CZ,'Area-Cabang'!F$41)</f>
        <v>0</v>
      </c>
      <c r="G144" s="56">
        <f>SUMIFS('CWO Bulan Ini'!$DA:$DA,'CWO Bulan Ini'!$DJ:$DJ,'Area-Cabang'!$B144,'CWO Bulan Ini'!$DH:$DH,'Area-Cabang'!$E144,'CWO Bulan Ini'!$CZ:$CZ,'Area-Cabang'!G$41)</f>
        <v>0</v>
      </c>
      <c r="H144" s="56">
        <f>SUMIFS('CWO Bulan Ini'!$DA:$DA,'CWO Bulan Ini'!$DJ:$DJ,'Area-Cabang'!$B144,'CWO Bulan Ini'!$DH:$DH,'Area-Cabang'!$E144,'CWO Bulan Ini'!$CZ:$CZ,'Area-Cabang'!H$41)</f>
        <v>0</v>
      </c>
      <c r="I144" s="56">
        <f>SUMIFS('CWO Bulan Ini'!$DA:$DA,'CWO Bulan Ini'!$DJ:$DJ,'Area-Cabang'!$B144,'CWO Bulan Ini'!$DH:$DH,'Area-Cabang'!$E144,'CWO Bulan Ini'!$CZ:$CZ,'Area-Cabang'!I$41)</f>
        <v>10.37161665</v>
      </c>
      <c r="J144" s="56">
        <f>SUMIFS('CWO Bulan Ini'!$DA:$DA,'CWO Bulan Ini'!$DJ:$DJ,'Area-Cabang'!$B144,'CWO Bulan Ini'!$DH:$DH,'Area-Cabang'!$E144,'CWO Bulan Ini'!$CZ:$CZ,'Area-Cabang'!J$41)</f>
        <v>0</v>
      </c>
      <c r="K144" s="56">
        <f>SUMIFS('CWO Bulan Ini'!$DA:$DA,'CWO Bulan Ini'!$DJ:$DJ,'Area-Cabang'!$B144,'CWO Bulan Ini'!$DH:$DH,'Area-Cabang'!$E144,'CWO Bulan Ini'!$CZ:$CZ,'Area-Cabang'!K$41)</f>
        <v>0</v>
      </c>
      <c r="L144" s="56">
        <f>SUMIFS('CWO Bulan Ini'!$DA:$DA,'CWO Bulan Ini'!$DJ:$DJ,'Area-Cabang'!$B144,'CWO Bulan Ini'!$DH:$DH,'Area-Cabang'!$E144,'CWO Bulan Ini'!$CZ:$CZ,'Area-Cabang'!L$41)</f>
        <v>0</v>
      </c>
      <c r="M144" s="56">
        <f>SUMIFS('CWO Bulan Ini'!$DA:$DA,'CWO Bulan Ini'!$DJ:$DJ,'Area-Cabang'!$B144,'CWO Bulan Ini'!$DH:$DH,'Area-Cabang'!$E144,'CWO Bulan Ini'!$CZ:$CZ,'Area-Cabang'!M$41)</f>
        <v>0</v>
      </c>
      <c r="N144" s="56">
        <f>SUMIFS('CWO Bulan Ini'!$DA:$DA,'CWO Bulan Ini'!$DJ:$DJ,'Area-Cabang'!$B144,'CWO Bulan Ini'!$DH:$DH,'Area-Cabang'!$E144,'CWO Bulan Ini'!$CZ:$CZ,'Area-Cabang'!N$41)</f>
        <v>0</v>
      </c>
      <c r="O144" s="56">
        <f>SUMIFS('CWO Bulan Ini'!$DA:$DA,'CWO Bulan Ini'!$DJ:$DJ,'Area-Cabang'!$B144,'CWO Bulan Ini'!$DH:$DH,'Area-Cabang'!$E144,'CWO Bulan Ini'!$CZ:$CZ,'Area-Cabang'!O$41)</f>
        <v>0</v>
      </c>
      <c r="P144" s="56">
        <f>SUMIFS('CWO Bulan Ini'!$DA:$DA,'CWO Bulan Ini'!$DJ:$DJ,'Area-Cabang'!$B144,'CWO Bulan Ini'!$DH:$DH,'Area-Cabang'!$E144,'CWO Bulan Ini'!$CZ:$CZ,'Area-Cabang'!P$41)</f>
        <v>0</v>
      </c>
      <c r="Q144" s="56">
        <f>SUMIFS('CWO Bulan Ini'!$DA:$DA,'CWO Bulan Ini'!$DJ:$DJ,'Area-Cabang'!$B144,'CWO Bulan Ini'!$DH:$DH,'Area-Cabang'!$E144,'CWO Bulan Ini'!$CZ:$CZ,'Area-Cabang'!Q$41)</f>
        <v>0</v>
      </c>
      <c r="R144" s="56">
        <f>SUMIFS('CWO Bulan Ini'!$DA:$DA,'CWO Bulan Ini'!$DJ:$DJ,'Area-Cabang'!$B144,'CWO Bulan Ini'!$DH:$DH,'Area-Cabang'!$E144,'CWO Bulan Ini'!$CZ:$CZ,'Area-Cabang'!R$41)</f>
        <v>0</v>
      </c>
      <c r="S144" s="56">
        <f>SUMIFS('CWO Bulan Ini'!$DA:$DA,'CWO Bulan Ini'!$DJ:$DJ,'Area-Cabang'!$B144,'CWO Bulan Ini'!$DH:$DH,'Area-Cabang'!$E144,'CWO Bulan Ini'!$CZ:$CZ,'Area-Cabang'!S$41)</f>
        <v>0</v>
      </c>
      <c r="T144" s="56">
        <f>SUMIFS('CWO Bulan Ini'!$DA:$DA,'CWO Bulan Ini'!$DJ:$DJ,'Area-Cabang'!$B144,'CWO Bulan Ini'!$DH:$DH,'Area-Cabang'!$E144,'CWO Bulan Ini'!$CZ:$CZ,'Area-Cabang'!T$41)</f>
        <v>0</v>
      </c>
      <c r="U144" s="56">
        <f>SUMIFS('CWO Bulan Ini'!$DA:$DA,'CWO Bulan Ini'!$DJ:$DJ,'Area-Cabang'!$B144,'CWO Bulan Ini'!$DH:$DH,'Area-Cabang'!$E144,'CWO Bulan Ini'!$CZ:$CZ,'Area-Cabang'!U$41)</f>
        <v>0</v>
      </c>
      <c r="V144" s="56">
        <f>SUMIFS('CWO Bulan Ini'!$DA:$DA,'CWO Bulan Ini'!$DJ:$DJ,'Area-Cabang'!$B144,'CWO Bulan Ini'!$DH:$DH,'Area-Cabang'!$E144,'CWO Bulan Ini'!$CZ:$CZ,'Area-Cabang'!V$41)</f>
        <v>0</v>
      </c>
      <c r="W144" s="56">
        <f>SUMIFS('CWO Bulan Ini'!$DA:$DA,'CWO Bulan Ini'!$DJ:$DJ,'Area-Cabang'!$B144,'CWO Bulan Ini'!$DH:$DH,'Area-Cabang'!$E144,'CWO Bulan Ini'!$CZ:$CZ,'Area-Cabang'!W$41)</f>
        <v>0</v>
      </c>
      <c r="X144" s="56">
        <f>SUMIFS('CWO Bulan Ini'!$DA:$DA,'CWO Bulan Ini'!$DJ:$DJ,'Area-Cabang'!$B144,'CWO Bulan Ini'!$DH:$DH,'Area-Cabang'!$E144,'CWO Bulan Ini'!$CZ:$CZ,'Area-Cabang'!X$41)</f>
        <v>0</v>
      </c>
      <c r="Y144" s="56">
        <f>SUMIFS('CWO Bulan Ini'!$DA:$DA,'CWO Bulan Ini'!$DJ:$DJ,'Area-Cabang'!$B144,'CWO Bulan Ini'!$DH:$DH,'Area-Cabang'!$E144,'CWO Bulan Ini'!$CZ:$CZ,'Area-Cabang'!Y$41)</f>
        <v>0</v>
      </c>
      <c r="Z144" s="56">
        <f>SUMIFS('CWO Bulan Ini'!$DA:$DA,'CWO Bulan Ini'!$DJ:$DJ,'Area-Cabang'!$B144,'CWO Bulan Ini'!$DH:$DH,'Area-Cabang'!$E144,'CWO Bulan Ini'!$CZ:$CZ,'Area-Cabang'!Z$41)</f>
        <v>0</v>
      </c>
      <c r="AA144" s="56">
        <f>SUMIFS('CWO Bulan Ini'!$DA:$DA,'CWO Bulan Ini'!$DJ:$DJ,'Area-Cabang'!$B144,'CWO Bulan Ini'!$DH:$DH,'Area-Cabang'!$E144,'CWO Bulan Ini'!$CZ:$CZ,'Area-Cabang'!AA$41)</f>
        <v>0</v>
      </c>
      <c r="AB144" s="56">
        <f>SUMIFS('CWO Bulan Ini'!$DA:$DA,'CWO Bulan Ini'!$DJ:$DJ,'Area-Cabang'!$B144,'CWO Bulan Ini'!$DH:$DH,'Area-Cabang'!$E144,'CWO Bulan Ini'!$CZ:$CZ,'Area-Cabang'!AB$41)</f>
        <v>0</v>
      </c>
      <c r="AC144" s="56">
        <f>SUMIFS('CWO Bulan Ini'!$DA:$DA,'CWO Bulan Ini'!$DJ:$DJ,'Area-Cabang'!$B144,'CWO Bulan Ini'!$DH:$DH,'Area-Cabang'!$E144,'CWO Bulan Ini'!$CZ:$CZ,'Area-Cabang'!AC$41)</f>
        <v>0</v>
      </c>
      <c r="AD144" s="56">
        <f>SUMIFS('CWO Bulan Ini'!$DA:$DA,'CWO Bulan Ini'!$DJ:$DJ,'Area-Cabang'!$B144,'CWO Bulan Ini'!$DH:$DH,'Area-Cabang'!$E144,'CWO Bulan Ini'!$CZ:$CZ,'Area-Cabang'!AD$41)</f>
        <v>0</v>
      </c>
      <c r="AE144" s="56">
        <f>SUMIFS('CWO Bulan Ini'!$DA:$DA,'CWO Bulan Ini'!$DJ:$DJ,'Area-Cabang'!$B144,'CWO Bulan Ini'!$DH:$DH,'Area-Cabang'!$E144,'CWO Bulan Ini'!$CZ:$CZ,'Area-Cabang'!AE$41)</f>
        <v>0</v>
      </c>
      <c r="AF144" s="56">
        <f>SUMIFS('CWO Bulan Ini'!$DA:$DA,'CWO Bulan Ini'!$DJ:$DJ,'Area-Cabang'!$B144,'CWO Bulan Ini'!$DH:$DH,'Area-Cabang'!$E144,'CWO Bulan Ini'!$CZ:$CZ,'Area-Cabang'!AF$41)</f>
        <v>0</v>
      </c>
      <c r="AG144" s="56">
        <f>SUMIFS('CWO Bulan Ini'!$DA:$DA,'CWO Bulan Ini'!$DJ:$DJ,'Area-Cabang'!$B144,'CWO Bulan Ini'!$DH:$DH,'Area-Cabang'!$E144,'CWO Bulan Ini'!$CZ:$CZ,'Area-Cabang'!AG$41)</f>
        <v>0</v>
      </c>
      <c r="AH144" s="56">
        <f>SUMIFS('CWO Bulan Ini'!$DA:$DA,'CWO Bulan Ini'!$DJ:$DJ,'Area-Cabang'!$B144,'CWO Bulan Ini'!$DH:$DH,'Area-Cabang'!$E144,'CWO Bulan Ini'!$CZ:$CZ,'Area-Cabang'!AH$41)</f>
        <v>0</v>
      </c>
      <c r="AI144" s="56">
        <f>SUMIFS('CWO Bulan Ini'!$DA:$DA,'CWO Bulan Ini'!$DJ:$DJ,'Area-Cabang'!$B144,'CWO Bulan Ini'!$DH:$DH,'Area-Cabang'!$E144,'CWO Bulan Ini'!$CZ:$CZ,'Area-Cabang'!AI$41)</f>
        <v>0</v>
      </c>
      <c r="AJ144" s="56">
        <f>SUMIFS('CWO Bulan Ini'!$DA:$DA,'CWO Bulan Ini'!$DJ:$DJ,'Area-Cabang'!$B144,'CWO Bulan Ini'!$DH:$DH,'Area-Cabang'!$E144,'CWO Bulan Ini'!$CZ:$CZ,'Area-Cabang'!AJ$41)</f>
        <v>0</v>
      </c>
      <c r="AK144" s="55">
        <f>SUMIFS('CWO Bulan Ini'!$DD:$DD,'CWO Bulan Ini'!$DJ:$DJ,'Area-Cabang'!$B144,'CWO Bulan Ini'!$DH:$DH,'Area-Cabang'!$E144,'CWO Bulan Ini'!$CZ:$CZ,'Area-Cabang'!AK$41)</f>
        <v>0</v>
      </c>
      <c r="AL144" s="56">
        <f>SUMIFS('CWO Bulan Ini'!$DD:$DD,'CWO Bulan Ini'!$DJ:$DJ,'Area-Cabang'!$B144,'CWO Bulan Ini'!$DH:$DH,'Area-Cabang'!$E144,'CWO Bulan Ini'!$CZ:$CZ,'Area-Cabang'!AL$41)</f>
        <v>0</v>
      </c>
      <c r="AM144" s="56">
        <f>SUMIFS('CWO Bulan Ini'!$DD:$DD,'CWO Bulan Ini'!$DJ:$DJ,'Area-Cabang'!$B144,'CWO Bulan Ini'!$DH:$DH,'Area-Cabang'!$E144,'CWO Bulan Ini'!$CZ:$CZ,'Area-Cabang'!AM$41)</f>
        <v>0</v>
      </c>
      <c r="AN144" s="56">
        <f>SUMIFS('CWO Bulan Ini'!$DD:$DD,'CWO Bulan Ini'!$DJ:$DJ,'Area-Cabang'!$B144,'CWO Bulan Ini'!$DH:$DH,'Area-Cabang'!$E144,'CWO Bulan Ini'!$CZ:$CZ,'Area-Cabang'!AN$41)</f>
        <v>10.37161665</v>
      </c>
      <c r="AO144" s="56">
        <f>SUMIFS('CWO Bulan Ini'!$DD:$DD,'CWO Bulan Ini'!$DJ:$DJ,'Area-Cabang'!$B144,'CWO Bulan Ini'!$DH:$DH,'Area-Cabang'!$E144,'CWO Bulan Ini'!$CZ:$CZ,'Area-Cabang'!AO$41)</f>
        <v>0</v>
      </c>
      <c r="AP144" s="56">
        <f>SUMIFS('CWO Bulan Ini'!$DD:$DD,'CWO Bulan Ini'!$DJ:$DJ,'Area-Cabang'!$B144,'CWO Bulan Ini'!$DH:$DH,'Area-Cabang'!$E144,'CWO Bulan Ini'!$CZ:$CZ,'Area-Cabang'!AP$41)</f>
        <v>0</v>
      </c>
      <c r="AQ144" s="56">
        <f>SUMIFS('CWO Bulan Ini'!$DD:$DD,'CWO Bulan Ini'!$DJ:$DJ,'Area-Cabang'!$B144,'CWO Bulan Ini'!$DH:$DH,'Area-Cabang'!$E144,'CWO Bulan Ini'!$CZ:$CZ,'Area-Cabang'!AQ$41)</f>
        <v>0</v>
      </c>
      <c r="AR144" s="56">
        <f>SUMIFS('CWO Bulan Ini'!$DD:$DD,'CWO Bulan Ini'!$DJ:$DJ,'Area-Cabang'!$B144,'CWO Bulan Ini'!$DH:$DH,'Area-Cabang'!$E144,'CWO Bulan Ini'!$CZ:$CZ,'Area-Cabang'!AR$41)</f>
        <v>0</v>
      </c>
      <c r="AS144" s="56">
        <f>SUMIFS('CWO Bulan Ini'!$DD:$DD,'CWO Bulan Ini'!$DJ:$DJ,'Area-Cabang'!$B144,'CWO Bulan Ini'!$DH:$DH,'Area-Cabang'!$E144,'CWO Bulan Ini'!$CZ:$CZ,'Area-Cabang'!AS$41)</f>
        <v>0</v>
      </c>
      <c r="AT144" s="56">
        <f>SUMIFS('CWO Bulan Ini'!$DD:$DD,'CWO Bulan Ini'!$DJ:$DJ,'Area-Cabang'!$B144,'CWO Bulan Ini'!$DH:$DH,'Area-Cabang'!$E144,'CWO Bulan Ini'!$CZ:$CZ,'Area-Cabang'!AT$41)</f>
        <v>0</v>
      </c>
      <c r="AU144" s="56">
        <f>SUMIFS('CWO Bulan Ini'!$DD:$DD,'CWO Bulan Ini'!$DJ:$DJ,'Area-Cabang'!$B144,'CWO Bulan Ini'!$DH:$DH,'Area-Cabang'!$E144,'CWO Bulan Ini'!$CZ:$CZ,'Area-Cabang'!AU$41)</f>
        <v>0</v>
      </c>
      <c r="AV144" s="56">
        <f>SUMIFS('CWO Bulan Ini'!$DD:$DD,'CWO Bulan Ini'!$DJ:$DJ,'Area-Cabang'!$B144,'CWO Bulan Ini'!$DH:$DH,'Area-Cabang'!$E144,'CWO Bulan Ini'!$CZ:$CZ,'Area-Cabang'!AV$41)</f>
        <v>0</v>
      </c>
      <c r="AW144" s="56">
        <f>SUMIFS('CWO Bulan Ini'!$DD:$DD,'CWO Bulan Ini'!$DJ:$DJ,'Area-Cabang'!$B144,'CWO Bulan Ini'!$DH:$DH,'Area-Cabang'!$E144,'CWO Bulan Ini'!$CZ:$CZ,'Area-Cabang'!AW$41)</f>
        <v>0</v>
      </c>
      <c r="AX144" s="56">
        <f>SUMIFS('CWO Bulan Ini'!$DD:$DD,'CWO Bulan Ini'!$DJ:$DJ,'Area-Cabang'!$B144,'CWO Bulan Ini'!$DH:$DH,'Area-Cabang'!$E144,'CWO Bulan Ini'!$CZ:$CZ,'Area-Cabang'!AX$41)</f>
        <v>0</v>
      </c>
      <c r="AY144" s="56">
        <f>SUMIFS('CWO Bulan Ini'!$DD:$DD,'CWO Bulan Ini'!$DJ:$DJ,'Area-Cabang'!$B144,'CWO Bulan Ini'!$DH:$DH,'Area-Cabang'!$E144,'CWO Bulan Ini'!$CZ:$CZ,'Area-Cabang'!AY$41)</f>
        <v>0</v>
      </c>
      <c r="AZ144" s="56">
        <f>SUMIFS('CWO Bulan Ini'!$DD:$DD,'CWO Bulan Ini'!$DJ:$DJ,'Area-Cabang'!$B144,'CWO Bulan Ini'!$DH:$DH,'Area-Cabang'!$E144,'CWO Bulan Ini'!$CZ:$CZ,'Area-Cabang'!AZ$41)</f>
        <v>0</v>
      </c>
      <c r="BA144" s="56">
        <f>SUMIFS('CWO Bulan Ini'!$DD:$DD,'CWO Bulan Ini'!$DJ:$DJ,'Area-Cabang'!$B144,'CWO Bulan Ini'!$DH:$DH,'Area-Cabang'!$E144,'CWO Bulan Ini'!$CZ:$CZ,'Area-Cabang'!BA$41)</f>
        <v>0</v>
      </c>
      <c r="BB144" s="56">
        <f>SUMIFS('CWO Bulan Ini'!$DD:$DD,'CWO Bulan Ini'!$DJ:$DJ,'Area-Cabang'!$B144,'CWO Bulan Ini'!$DH:$DH,'Area-Cabang'!$E144,'CWO Bulan Ini'!$CZ:$CZ,'Area-Cabang'!BB$41)</f>
        <v>0</v>
      </c>
      <c r="BC144" s="56">
        <f>SUMIFS('CWO Bulan Ini'!$DD:$DD,'CWO Bulan Ini'!$DJ:$DJ,'Area-Cabang'!$B144,'CWO Bulan Ini'!$DH:$DH,'Area-Cabang'!$E144,'CWO Bulan Ini'!$CZ:$CZ,'Area-Cabang'!BC$41)</f>
        <v>0</v>
      </c>
      <c r="BD144" s="56">
        <f>SUMIFS('CWO Bulan Ini'!$DD:$DD,'CWO Bulan Ini'!$DJ:$DJ,'Area-Cabang'!$B144,'CWO Bulan Ini'!$DH:$DH,'Area-Cabang'!$E144,'CWO Bulan Ini'!$CZ:$CZ,'Area-Cabang'!BD$41)</f>
        <v>0</v>
      </c>
      <c r="BE144" s="56">
        <f>SUMIFS('CWO Bulan Ini'!$DD:$DD,'CWO Bulan Ini'!$DJ:$DJ,'Area-Cabang'!$B144,'CWO Bulan Ini'!$DH:$DH,'Area-Cabang'!$E144,'CWO Bulan Ini'!$CZ:$CZ,'Area-Cabang'!BE$41)</f>
        <v>0</v>
      </c>
      <c r="BF144" s="56">
        <f>SUMIFS('CWO Bulan Ini'!$DD:$DD,'CWO Bulan Ini'!$DJ:$DJ,'Area-Cabang'!$B144,'CWO Bulan Ini'!$DH:$DH,'Area-Cabang'!$E144,'CWO Bulan Ini'!$CZ:$CZ,'Area-Cabang'!BF$41)</f>
        <v>0</v>
      </c>
      <c r="BG144" s="56">
        <f>SUMIFS('CWO Bulan Ini'!$DD:$DD,'CWO Bulan Ini'!$DJ:$DJ,'Area-Cabang'!$B144,'CWO Bulan Ini'!$DH:$DH,'Area-Cabang'!$E144,'CWO Bulan Ini'!$CZ:$CZ,'Area-Cabang'!BG$41)</f>
        <v>0</v>
      </c>
      <c r="BH144" s="56">
        <f>SUMIFS('CWO Bulan Ini'!$DD:$DD,'CWO Bulan Ini'!$DJ:$DJ,'Area-Cabang'!$B144,'CWO Bulan Ini'!$DH:$DH,'Area-Cabang'!$E144,'CWO Bulan Ini'!$CZ:$CZ,'Area-Cabang'!BH$41)</f>
        <v>0</v>
      </c>
      <c r="BI144" s="56">
        <f>SUMIFS('CWO Bulan Ini'!$DD:$DD,'CWO Bulan Ini'!$DJ:$DJ,'Area-Cabang'!$B144,'CWO Bulan Ini'!$DH:$DH,'Area-Cabang'!$E144,'CWO Bulan Ini'!$CZ:$CZ,'Area-Cabang'!BI$41)</f>
        <v>0</v>
      </c>
      <c r="BJ144" s="56">
        <f>SUMIFS('CWO Bulan Ini'!$DD:$DD,'CWO Bulan Ini'!$DJ:$DJ,'Area-Cabang'!$B144,'CWO Bulan Ini'!$DH:$DH,'Area-Cabang'!$E144,'CWO Bulan Ini'!$CZ:$CZ,'Area-Cabang'!BJ$41)</f>
        <v>0</v>
      </c>
      <c r="BK144" s="56">
        <f>SUMIFS('CWO Bulan Ini'!$DD:$DD,'CWO Bulan Ini'!$DJ:$DJ,'Area-Cabang'!$B144,'CWO Bulan Ini'!$DH:$DH,'Area-Cabang'!$E144,'CWO Bulan Ini'!$CZ:$CZ,'Area-Cabang'!BK$41)</f>
        <v>0</v>
      </c>
      <c r="BL144" s="56">
        <f>SUMIFS('CWO Bulan Ini'!$DD:$DD,'CWO Bulan Ini'!$DJ:$DJ,'Area-Cabang'!$B144,'CWO Bulan Ini'!$DH:$DH,'Area-Cabang'!$E144,'CWO Bulan Ini'!$CZ:$CZ,'Area-Cabang'!BL$41)</f>
        <v>0</v>
      </c>
      <c r="BM144" s="56">
        <f>SUMIFS('CWO Bulan Ini'!$DD:$DD,'CWO Bulan Ini'!$DJ:$DJ,'Area-Cabang'!$B144,'CWO Bulan Ini'!$DH:$DH,'Area-Cabang'!$E144,'CWO Bulan Ini'!$CZ:$CZ,'Area-Cabang'!BM$41)</f>
        <v>0</v>
      </c>
      <c r="BN144" s="56">
        <f>SUMIFS('CWO Bulan Ini'!$DD:$DD,'CWO Bulan Ini'!$DJ:$DJ,'Area-Cabang'!$B144,'CWO Bulan Ini'!$DH:$DH,'Area-Cabang'!$E144,'CWO Bulan Ini'!$CZ:$CZ,'Area-Cabang'!BN$41)</f>
        <v>0</v>
      </c>
      <c r="BO144" s="57">
        <f>SUMIFS('CWO Bulan Ini'!$DD:$DD,'CWO Bulan Ini'!$DJ:$DJ,'Area-Cabang'!$B144,'CWO Bulan Ini'!$DH:$DH,'Area-Cabang'!$E144,'CWO Bulan Ini'!$CZ:$CZ,'Area-Cabang'!BO$41)</f>
        <v>0</v>
      </c>
      <c r="BP144" s="55">
        <f>SUMIFS('CWO Bulan Ini'!$DC:$DC,'CWO Bulan Ini'!$DJ:$DJ,'Area-Cabang'!$B144,'CWO Bulan Ini'!$DH:$DH,'Area-Cabang'!$E144,'CWO Bulan Ini'!$CZ:$CZ,'Area-Cabang'!BP$41)</f>
        <v>0</v>
      </c>
      <c r="BQ144" s="56">
        <f>SUMIFS('CWO Bulan Ini'!$DC:$DC,'CWO Bulan Ini'!$DJ:$DJ,'Area-Cabang'!$B144,'CWO Bulan Ini'!$DH:$DH,'Area-Cabang'!$E144,'CWO Bulan Ini'!$CZ:$CZ,'Area-Cabang'!BQ$41)</f>
        <v>0</v>
      </c>
      <c r="BR144" s="56">
        <f>SUMIFS('CWO Bulan Ini'!$DC:$DC,'CWO Bulan Ini'!$DJ:$DJ,'Area-Cabang'!$B144,'CWO Bulan Ini'!$DH:$DH,'Area-Cabang'!$E144,'CWO Bulan Ini'!$CZ:$CZ,'Area-Cabang'!BR$41)</f>
        <v>0</v>
      </c>
      <c r="BS144" s="56">
        <f>SUMIFS('CWO Bulan Ini'!$DC:$DC,'CWO Bulan Ini'!$DJ:$DJ,'Area-Cabang'!$B144,'CWO Bulan Ini'!$DH:$DH,'Area-Cabang'!$E144,'CWO Bulan Ini'!$CZ:$CZ,'Area-Cabang'!BS$41)</f>
        <v>0</v>
      </c>
      <c r="BT144" s="56">
        <f>SUMIFS('CWO Bulan Ini'!$DC:$DC,'CWO Bulan Ini'!$DJ:$DJ,'Area-Cabang'!$B144,'CWO Bulan Ini'!$DH:$DH,'Area-Cabang'!$E144,'CWO Bulan Ini'!$CZ:$CZ,'Area-Cabang'!BT$41)</f>
        <v>0</v>
      </c>
      <c r="BU144" s="56">
        <f>SUMIFS('CWO Bulan Ini'!$DC:$DC,'CWO Bulan Ini'!$DJ:$DJ,'Area-Cabang'!$B144,'CWO Bulan Ini'!$DH:$DH,'Area-Cabang'!$E144,'CWO Bulan Ini'!$CZ:$CZ,'Area-Cabang'!BU$41)</f>
        <v>0</v>
      </c>
      <c r="BV144" s="56">
        <f>SUMIFS('CWO Bulan Ini'!$DC:$DC,'CWO Bulan Ini'!$DJ:$DJ,'Area-Cabang'!$B144,'CWO Bulan Ini'!$DH:$DH,'Area-Cabang'!$E144,'CWO Bulan Ini'!$CZ:$CZ,'Area-Cabang'!BV$41)</f>
        <v>0</v>
      </c>
      <c r="BW144" s="56">
        <f>SUMIFS('CWO Bulan Ini'!$DC:$DC,'CWO Bulan Ini'!$DJ:$DJ,'Area-Cabang'!$B144,'CWO Bulan Ini'!$DH:$DH,'Area-Cabang'!$E144,'CWO Bulan Ini'!$CZ:$CZ,'Area-Cabang'!BW$41)</f>
        <v>0</v>
      </c>
      <c r="BX144" s="56">
        <f>SUMIFS('CWO Bulan Ini'!$DC:$DC,'CWO Bulan Ini'!$DJ:$DJ,'Area-Cabang'!$B144,'CWO Bulan Ini'!$DH:$DH,'Area-Cabang'!$E144,'CWO Bulan Ini'!$CZ:$CZ,'Area-Cabang'!BX$41)</f>
        <v>0</v>
      </c>
      <c r="BY144" s="56">
        <f>SUMIFS('CWO Bulan Ini'!$DC:$DC,'CWO Bulan Ini'!$DJ:$DJ,'Area-Cabang'!$B144,'CWO Bulan Ini'!$DH:$DH,'Area-Cabang'!$E144,'CWO Bulan Ini'!$CZ:$CZ,'Area-Cabang'!BY$41)</f>
        <v>0</v>
      </c>
      <c r="BZ144" s="56">
        <f>SUMIFS('CWO Bulan Ini'!$DC:$DC,'CWO Bulan Ini'!$DJ:$DJ,'Area-Cabang'!$B144,'CWO Bulan Ini'!$DH:$DH,'Area-Cabang'!$E144,'CWO Bulan Ini'!$CZ:$CZ,'Area-Cabang'!BZ$41)</f>
        <v>0</v>
      </c>
      <c r="CA144" s="56">
        <f>SUMIFS('CWO Bulan Ini'!$DC:$DC,'CWO Bulan Ini'!$DJ:$DJ,'Area-Cabang'!$B144,'CWO Bulan Ini'!$DH:$DH,'Area-Cabang'!$E144,'CWO Bulan Ini'!$CZ:$CZ,'Area-Cabang'!CA$41)</f>
        <v>0</v>
      </c>
      <c r="CB144" s="56">
        <f>SUMIFS('CWO Bulan Ini'!$DC:$DC,'CWO Bulan Ini'!$DJ:$DJ,'Area-Cabang'!$B144,'CWO Bulan Ini'!$DH:$DH,'Area-Cabang'!$E144,'CWO Bulan Ini'!$CZ:$CZ,'Area-Cabang'!CB$41)</f>
        <v>0</v>
      </c>
      <c r="CC144" s="56">
        <f>SUMIFS('CWO Bulan Ini'!$DC:$DC,'CWO Bulan Ini'!$DJ:$DJ,'Area-Cabang'!$B144,'CWO Bulan Ini'!$DH:$DH,'Area-Cabang'!$E144,'CWO Bulan Ini'!$CZ:$CZ,'Area-Cabang'!CC$41)</f>
        <v>0</v>
      </c>
      <c r="CD144" s="56">
        <f>SUMIFS('CWO Bulan Ini'!$DC:$DC,'CWO Bulan Ini'!$DJ:$DJ,'Area-Cabang'!$B144,'CWO Bulan Ini'!$DH:$DH,'Area-Cabang'!$E144,'CWO Bulan Ini'!$CZ:$CZ,'Area-Cabang'!CD$41)</f>
        <v>0</v>
      </c>
      <c r="CE144" s="56">
        <f>SUMIFS('CWO Bulan Ini'!$DC:$DC,'CWO Bulan Ini'!$DJ:$DJ,'Area-Cabang'!$B144,'CWO Bulan Ini'!$DH:$DH,'Area-Cabang'!$E144,'CWO Bulan Ini'!$CZ:$CZ,'Area-Cabang'!CE$41)</f>
        <v>0</v>
      </c>
      <c r="CF144" s="56">
        <f>SUMIFS('CWO Bulan Ini'!$DC:$DC,'CWO Bulan Ini'!$DJ:$DJ,'Area-Cabang'!$B144,'CWO Bulan Ini'!$DH:$DH,'Area-Cabang'!$E144,'CWO Bulan Ini'!$CZ:$CZ,'Area-Cabang'!CF$41)</f>
        <v>0</v>
      </c>
      <c r="CG144" s="56">
        <f>SUMIFS('CWO Bulan Ini'!$DC:$DC,'CWO Bulan Ini'!$DJ:$DJ,'Area-Cabang'!$B144,'CWO Bulan Ini'!$DH:$DH,'Area-Cabang'!$E144,'CWO Bulan Ini'!$CZ:$CZ,'Area-Cabang'!CG$41)</f>
        <v>0</v>
      </c>
      <c r="CH144" s="56">
        <f>SUMIFS('CWO Bulan Ini'!$DC:$DC,'CWO Bulan Ini'!$DJ:$DJ,'Area-Cabang'!$B144,'CWO Bulan Ini'!$DH:$DH,'Area-Cabang'!$E144,'CWO Bulan Ini'!$CZ:$CZ,'Area-Cabang'!CH$41)</f>
        <v>0</v>
      </c>
      <c r="CI144" s="56">
        <f>SUMIFS('CWO Bulan Ini'!$DC:$DC,'CWO Bulan Ini'!$DJ:$DJ,'Area-Cabang'!$B144,'CWO Bulan Ini'!$DH:$DH,'Area-Cabang'!$E144,'CWO Bulan Ini'!$CZ:$CZ,'Area-Cabang'!CI$41)</f>
        <v>0</v>
      </c>
      <c r="CJ144" s="56">
        <f>SUMIFS('CWO Bulan Ini'!$DC:$DC,'CWO Bulan Ini'!$DJ:$DJ,'Area-Cabang'!$B144,'CWO Bulan Ini'!$DH:$DH,'Area-Cabang'!$E144,'CWO Bulan Ini'!$CZ:$CZ,'Area-Cabang'!CJ$41)</f>
        <v>0</v>
      </c>
      <c r="CK144" s="56">
        <f>SUMIFS('CWO Bulan Ini'!$DC:$DC,'CWO Bulan Ini'!$DJ:$DJ,'Area-Cabang'!$B144,'CWO Bulan Ini'!$DH:$DH,'Area-Cabang'!$E144,'CWO Bulan Ini'!$CZ:$CZ,'Area-Cabang'!CK$41)</f>
        <v>0</v>
      </c>
      <c r="CL144" s="56">
        <f>SUMIFS('CWO Bulan Ini'!$DC:$DC,'CWO Bulan Ini'!$DJ:$DJ,'Area-Cabang'!$B144,'CWO Bulan Ini'!$DH:$DH,'Area-Cabang'!$E144,'CWO Bulan Ini'!$CZ:$CZ,'Area-Cabang'!CL$41)</f>
        <v>0</v>
      </c>
      <c r="CM144" s="56">
        <f>SUMIFS('CWO Bulan Ini'!$DC:$DC,'CWO Bulan Ini'!$DJ:$DJ,'Area-Cabang'!$B144,'CWO Bulan Ini'!$DH:$DH,'Area-Cabang'!$E144,'CWO Bulan Ini'!$CZ:$CZ,'Area-Cabang'!CM$41)</f>
        <v>0</v>
      </c>
      <c r="CN144" s="56">
        <f>SUMIFS('CWO Bulan Ini'!$DC:$DC,'CWO Bulan Ini'!$DJ:$DJ,'Area-Cabang'!$B144,'CWO Bulan Ini'!$DH:$DH,'Area-Cabang'!$E144,'CWO Bulan Ini'!$CZ:$CZ,'Area-Cabang'!CN$41)</f>
        <v>0</v>
      </c>
      <c r="CO144" s="56">
        <f>SUMIFS('CWO Bulan Ini'!$DC:$DC,'CWO Bulan Ini'!$DJ:$DJ,'Area-Cabang'!$B144,'CWO Bulan Ini'!$DH:$DH,'Area-Cabang'!$E144,'CWO Bulan Ini'!$CZ:$CZ,'Area-Cabang'!CO$41)</f>
        <v>0</v>
      </c>
      <c r="CP144" s="56">
        <f>SUMIFS('CWO Bulan Ini'!$DC:$DC,'CWO Bulan Ini'!$DJ:$DJ,'Area-Cabang'!$B144,'CWO Bulan Ini'!$DH:$DH,'Area-Cabang'!$E144,'CWO Bulan Ini'!$CZ:$CZ,'Area-Cabang'!CP$41)</f>
        <v>0</v>
      </c>
      <c r="CQ144" s="56">
        <f>SUMIFS('CWO Bulan Ini'!$DC:$DC,'CWO Bulan Ini'!$DJ:$DJ,'Area-Cabang'!$B144,'CWO Bulan Ini'!$DH:$DH,'Area-Cabang'!$E144,'CWO Bulan Ini'!$CZ:$CZ,'Area-Cabang'!CQ$41)</f>
        <v>0</v>
      </c>
      <c r="CR144" s="56">
        <f>SUMIFS('CWO Bulan Ini'!$DC:$DC,'CWO Bulan Ini'!$DJ:$DJ,'Area-Cabang'!$B144,'CWO Bulan Ini'!$DH:$DH,'Area-Cabang'!$E144,'CWO Bulan Ini'!$CZ:$CZ,'Area-Cabang'!CR$41)</f>
        <v>0</v>
      </c>
      <c r="CS144" s="56">
        <f>SUMIFS('CWO Bulan Ini'!$DC:$DC,'CWO Bulan Ini'!$DJ:$DJ,'Area-Cabang'!$B144,'CWO Bulan Ini'!$DH:$DH,'Area-Cabang'!$E144,'CWO Bulan Ini'!$CZ:$CZ,'Area-Cabang'!CS$41)</f>
        <v>0</v>
      </c>
      <c r="CT144" s="57">
        <f>SUMIFS('CWO Bulan Ini'!$DC:$DC,'CWO Bulan Ini'!$DJ:$DJ,'Area-Cabang'!$B144,'CWO Bulan Ini'!$DH:$DH,'Area-Cabang'!$E144,'CWO Bulan Ini'!$CZ:$CZ,'Area-Cabang'!CT$41)</f>
        <v>0</v>
      </c>
      <c r="CV144" s="97">
        <f t="shared" ref="CV144:CV145" si="4483">SUM(F144:AJ144)</f>
        <v>10.37161665</v>
      </c>
      <c r="CW144" s="98">
        <f t="shared" ref="CW144:CW145" si="4484">SUM(AK144:BO144)</f>
        <v>10.37161665</v>
      </c>
      <c r="CX144" s="98">
        <f t="shared" ref="CX144:CX145" si="4485">SUM(BP144:CT144)</f>
        <v>0</v>
      </c>
      <c r="CY144" s="98">
        <f t="shared" ref="CY144:CY145" si="4486">CV144-CW144-CX144</f>
        <v>0</v>
      </c>
      <c r="CZ144" s="105">
        <f t="shared" ref="CZ144:CZ145" si="4487">CY144+CW144</f>
        <v>10.37161665</v>
      </c>
    </row>
    <row r="145" spans="1:104" ht="15" customHeight="1" x14ac:dyDescent="0.25">
      <c r="A145" s="58" t="s">
        <v>500</v>
      </c>
      <c r="B145" s="58" t="s">
        <v>556</v>
      </c>
      <c r="C145" s="250"/>
      <c r="D145" s="244"/>
      <c r="E145" s="40" t="s">
        <v>349</v>
      </c>
      <c r="F145" s="41">
        <f>SUMIFS('CWO Bulan Ini'!$DA:$DA,'CWO Bulan Ini'!$DJ:$DJ,'Area-Cabang'!$B145,'CWO Bulan Ini'!$DH:$DH,'Area-Cabang'!$E145,'CWO Bulan Ini'!$CZ:$CZ,'Area-Cabang'!F$41)</f>
        <v>0</v>
      </c>
      <c r="G145" s="42">
        <f>SUMIFS('CWO Bulan Ini'!$DA:$DA,'CWO Bulan Ini'!$DJ:$DJ,'Area-Cabang'!$B145,'CWO Bulan Ini'!$DH:$DH,'Area-Cabang'!$E145,'CWO Bulan Ini'!$CZ:$CZ,'Area-Cabang'!G$41)</f>
        <v>0</v>
      </c>
      <c r="H145" s="42">
        <f>SUMIFS('CWO Bulan Ini'!$DA:$DA,'CWO Bulan Ini'!$DJ:$DJ,'Area-Cabang'!$B145,'CWO Bulan Ini'!$DH:$DH,'Area-Cabang'!$E145,'CWO Bulan Ini'!$CZ:$CZ,'Area-Cabang'!H$41)</f>
        <v>0</v>
      </c>
      <c r="I145" s="42">
        <f>SUMIFS('CWO Bulan Ini'!$DA:$DA,'CWO Bulan Ini'!$DJ:$DJ,'Area-Cabang'!$B145,'CWO Bulan Ini'!$DH:$DH,'Area-Cabang'!$E145,'CWO Bulan Ini'!$CZ:$CZ,'Area-Cabang'!I$41)</f>
        <v>0</v>
      </c>
      <c r="J145" s="42">
        <f>SUMIFS('CWO Bulan Ini'!$DA:$DA,'CWO Bulan Ini'!$DJ:$DJ,'Area-Cabang'!$B145,'CWO Bulan Ini'!$DH:$DH,'Area-Cabang'!$E145,'CWO Bulan Ini'!$CZ:$CZ,'Area-Cabang'!J$41)</f>
        <v>0</v>
      </c>
      <c r="K145" s="42">
        <f>SUMIFS('CWO Bulan Ini'!$DA:$DA,'CWO Bulan Ini'!$DJ:$DJ,'Area-Cabang'!$B145,'CWO Bulan Ini'!$DH:$DH,'Area-Cabang'!$E145,'CWO Bulan Ini'!$CZ:$CZ,'Area-Cabang'!K$41)</f>
        <v>0</v>
      </c>
      <c r="L145" s="42">
        <f>SUMIFS('CWO Bulan Ini'!$DA:$DA,'CWO Bulan Ini'!$DJ:$DJ,'Area-Cabang'!$B145,'CWO Bulan Ini'!$DH:$DH,'Area-Cabang'!$E145,'CWO Bulan Ini'!$CZ:$CZ,'Area-Cabang'!L$41)</f>
        <v>0</v>
      </c>
      <c r="M145" s="42">
        <f>SUMIFS('CWO Bulan Ini'!$DA:$DA,'CWO Bulan Ini'!$DJ:$DJ,'Area-Cabang'!$B145,'CWO Bulan Ini'!$DH:$DH,'Area-Cabang'!$E145,'CWO Bulan Ini'!$CZ:$CZ,'Area-Cabang'!M$41)</f>
        <v>0</v>
      </c>
      <c r="N145" s="42">
        <f>SUMIFS('CWO Bulan Ini'!$DA:$DA,'CWO Bulan Ini'!$DJ:$DJ,'Area-Cabang'!$B145,'CWO Bulan Ini'!$DH:$DH,'Area-Cabang'!$E145,'CWO Bulan Ini'!$CZ:$CZ,'Area-Cabang'!N$41)</f>
        <v>0</v>
      </c>
      <c r="O145" s="42">
        <f>SUMIFS('CWO Bulan Ini'!$DA:$DA,'CWO Bulan Ini'!$DJ:$DJ,'Area-Cabang'!$B145,'CWO Bulan Ini'!$DH:$DH,'Area-Cabang'!$E145,'CWO Bulan Ini'!$CZ:$CZ,'Area-Cabang'!O$41)</f>
        <v>0</v>
      </c>
      <c r="P145" s="42">
        <f>SUMIFS('CWO Bulan Ini'!$DA:$DA,'CWO Bulan Ini'!$DJ:$DJ,'Area-Cabang'!$B145,'CWO Bulan Ini'!$DH:$DH,'Area-Cabang'!$E145,'CWO Bulan Ini'!$CZ:$CZ,'Area-Cabang'!P$41)</f>
        <v>0</v>
      </c>
      <c r="Q145" s="42">
        <f>SUMIFS('CWO Bulan Ini'!$DA:$DA,'CWO Bulan Ini'!$DJ:$DJ,'Area-Cabang'!$B145,'CWO Bulan Ini'!$DH:$DH,'Area-Cabang'!$E145,'CWO Bulan Ini'!$CZ:$CZ,'Area-Cabang'!Q$41)</f>
        <v>0</v>
      </c>
      <c r="R145" s="42">
        <f>SUMIFS('CWO Bulan Ini'!$DA:$DA,'CWO Bulan Ini'!$DJ:$DJ,'Area-Cabang'!$B145,'CWO Bulan Ini'!$DH:$DH,'Area-Cabang'!$E145,'CWO Bulan Ini'!$CZ:$CZ,'Area-Cabang'!R$41)</f>
        <v>0</v>
      </c>
      <c r="S145" s="42">
        <f>SUMIFS('CWO Bulan Ini'!$DA:$DA,'CWO Bulan Ini'!$DJ:$DJ,'Area-Cabang'!$B145,'CWO Bulan Ini'!$DH:$DH,'Area-Cabang'!$E145,'CWO Bulan Ini'!$CZ:$CZ,'Area-Cabang'!S$41)</f>
        <v>0</v>
      </c>
      <c r="T145" s="42">
        <f>SUMIFS('CWO Bulan Ini'!$DA:$DA,'CWO Bulan Ini'!$DJ:$DJ,'Area-Cabang'!$B145,'CWO Bulan Ini'!$DH:$DH,'Area-Cabang'!$E145,'CWO Bulan Ini'!$CZ:$CZ,'Area-Cabang'!T$41)</f>
        <v>0</v>
      </c>
      <c r="U145" s="42">
        <f>SUMIFS('CWO Bulan Ini'!$DA:$DA,'CWO Bulan Ini'!$DJ:$DJ,'Area-Cabang'!$B145,'CWO Bulan Ini'!$DH:$DH,'Area-Cabang'!$E145,'CWO Bulan Ini'!$CZ:$CZ,'Area-Cabang'!U$41)</f>
        <v>0</v>
      </c>
      <c r="V145" s="42">
        <f>SUMIFS('CWO Bulan Ini'!$DA:$DA,'CWO Bulan Ini'!$DJ:$DJ,'Area-Cabang'!$B145,'CWO Bulan Ini'!$DH:$DH,'Area-Cabang'!$E145,'CWO Bulan Ini'!$CZ:$CZ,'Area-Cabang'!V$41)</f>
        <v>0</v>
      </c>
      <c r="W145" s="42">
        <f>SUMIFS('CWO Bulan Ini'!$DA:$DA,'CWO Bulan Ini'!$DJ:$DJ,'Area-Cabang'!$B145,'CWO Bulan Ini'!$DH:$DH,'Area-Cabang'!$E145,'CWO Bulan Ini'!$CZ:$CZ,'Area-Cabang'!W$41)</f>
        <v>0</v>
      </c>
      <c r="X145" s="42">
        <f>SUMIFS('CWO Bulan Ini'!$DA:$DA,'CWO Bulan Ini'!$DJ:$DJ,'Area-Cabang'!$B145,'CWO Bulan Ini'!$DH:$DH,'Area-Cabang'!$E145,'CWO Bulan Ini'!$CZ:$CZ,'Area-Cabang'!X$41)</f>
        <v>0</v>
      </c>
      <c r="Y145" s="42">
        <f>SUMIFS('CWO Bulan Ini'!$DA:$DA,'CWO Bulan Ini'!$DJ:$DJ,'Area-Cabang'!$B145,'CWO Bulan Ini'!$DH:$DH,'Area-Cabang'!$E145,'CWO Bulan Ini'!$CZ:$CZ,'Area-Cabang'!Y$41)</f>
        <v>0</v>
      </c>
      <c r="Z145" s="42">
        <f>SUMIFS('CWO Bulan Ini'!$DA:$DA,'CWO Bulan Ini'!$DJ:$DJ,'Area-Cabang'!$B145,'CWO Bulan Ini'!$DH:$DH,'Area-Cabang'!$E145,'CWO Bulan Ini'!$CZ:$CZ,'Area-Cabang'!Z$41)</f>
        <v>0</v>
      </c>
      <c r="AA145" s="42">
        <f>SUMIFS('CWO Bulan Ini'!$DA:$DA,'CWO Bulan Ini'!$DJ:$DJ,'Area-Cabang'!$B145,'CWO Bulan Ini'!$DH:$DH,'Area-Cabang'!$E145,'CWO Bulan Ini'!$CZ:$CZ,'Area-Cabang'!AA$41)</f>
        <v>0</v>
      </c>
      <c r="AB145" s="42">
        <f>SUMIFS('CWO Bulan Ini'!$DA:$DA,'CWO Bulan Ini'!$DJ:$DJ,'Area-Cabang'!$B145,'CWO Bulan Ini'!$DH:$DH,'Area-Cabang'!$E145,'CWO Bulan Ini'!$CZ:$CZ,'Area-Cabang'!AB$41)</f>
        <v>0</v>
      </c>
      <c r="AC145" s="42">
        <f>SUMIFS('CWO Bulan Ini'!$DA:$DA,'CWO Bulan Ini'!$DJ:$DJ,'Area-Cabang'!$B145,'CWO Bulan Ini'!$DH:$DH,'Area-Cabang'!$E145,'CWO Bulan Ini'!$CZ:$CZ,'Area-Cabang'!AC$41)</f>
        <v>0</v>
      </c>
      <c r="AD145" s="42">
        <f>SUMIFS('CWO Bulan Ini'!$DA:$DA,'CWO Bulan Ini'!$DJ:$DJ,'Area-Cabang'!$B145,'CWO Bulan Ini'!$DH:$DH,'Area-Cabang'!$E145,'CWO Bulan Ini'!$CZ:$CZ,'Area-Cabang'!AD$41)</f>
        <v>0</v>
      </c>
      <c r="AE145" s="42">
        <f>SUMIFS('CWO Bulan Ini'!$DA:$DA,'CWO Bulan Ini'!$DJ:$DJ,'Area-Cabang'!$B145,'CWO Bulan Ini'!$DH:$DH,'Area-Cabang'!$E145,'CWO Bulan Ini'!$CZ:$CZ,'Area-Cabang'!AE$41)</f>
        <v>0</v>
      </c>
      <c r="AF145" s="42">
        <f>SUMIFS('CWO Bulan Ini'!$DA:$DA,'CWO Bulan Ini'!$DJ:$DJ,'Area-Cabang'!$B145,'CWO Bulan Ini'!$DH:$DH,'Area-Cabang'!$E145,'CWO Bulan Ini'!$CZ:$CZ,'Area-Cabang'!AF$41)</f>
        <v>0</v>
      </c>
      <c r="AG145" s="42">
        <f>SUMIFS('CWO Bulan Ini'!$DA:$DA,'CWO Bulan Ini'!$DJ:$DJ,'Area-Cabang'!$B145,'CWO Bulan Ini'!$DH:$DH,'Area-Cabang'!$E145,'CWO Bulan Ini'!$CZ:$CZ,'Area-Cabang'!AG$41)</f>
        <v>0</v>
      </c>
      <c r="AH145" s="42">
        <f>SUMIFS('CWO Bulan Ini'!$DA:$DA,'CWO Bulan Ini'!$DJ:$DJ,'Area-Cabang'!$B145,'CWO Bulan Ini'!$DH:$DH,'Area-Cabang'!$E145,'CWO Bulan Ini'!$CZ:$CZ,'Area-Cabang'!AH$41)</f>
        <v>0</v>
      </c>
      <c r="AI145" s="42">
        <f>SUMIFS('CWO Bulan Ini'!$DA:$DA,'CWO Bulan Ini'!$DJ:$DJ,'Area-Cabang'!$B145,'CWO Bulan Ini'!$DH:$DH,'Area-Cabang'!$E145,'CWO Bulan Ini'!$CZ:$CZ,'Area-Cabang'!AI$41)</f>
        <v>0</v>
      </c>
      <c r="AJ145" s="42">
        <f>SUMIFS('CWO Bulan Ini'!$DA:$DA,'CWO Bulan Ini'!$DJ:$DJ,'Area-Cabang'!$B145,'CWO Bulan Ini'!$DH:$DH,'Area-Cabang'!$E145,'CWO Bulan Ini'!$CZ:$CZ,'Area-Cabang'!AJ$41)</f>
        <v>0</v>
      </c>
      <c r="AK145" s="41">
        <f>SUMIFS('CWO Bulan Ini'!$DD:$DD,'CWO Bulan Ini'!$DJ:$DJ,'Area-Cabang'!$B145,'CWO Bulan Ini'!$DH:$DH,'Area-Cabang'!$E145,'CWO Bulan Ini'!$CZ:$CZ,'Area-Cabang'!AK$41)</f>
        <v>0</v>
      </c>
      <c r="AL145" s="42">
        <f>SUMIFS('CWO Bulan Ini'!$DD:$DD,'CWO Bulan Ini'!$DJ:$DJ,'Area-Cabang'!$B145,'CWO Bulan Ini'!$DH:$DH,'Area-Cabang'!$E145,'CWO Bulan Ini'!$CZ:$CZ,'Area-Cabang'!AL$41)</f>
        <v>0</v>
      </c>
      <c r="AM145" s="42">
        <f>SUMIFS('CWO Bulan Ini'!$DD:$DD,'CWO Bulan Ini'!$DJ:$DJ,'Area-Cabang'!$B145,'CWO Bulan Ini'!$DH:$DH,'Area-Cabang'!$E145,'CWO Bulan Ini'!$CZ:$CZ,'Area-Cabang'!AM$41)</f>
        <v>0</v>
      </c>
      <c r="AN145" s="42">
        <f>SUMIFS('CWO Bulan Ini'!$DD:$DD,'CWO Bulan Ini'!$DJ:$DJ,'Area-Cabang'!$B145,'CWO Bulan Ini'!$DH:$DH,'Area-Cabang'!$E145,'CWO Bulan Ini'!$CZ:$CZ,'Area-Cabang'!AN$41)</f>
        <v>0</v>
      </c>
      <c r="AO145" s="42">
        <f>SUMIFS('CWO Bulan Ini'!$DD:$DD,'CWO Bulan Ini'!$DJ:$DJ,'Area-Cabang'!$B145,'CWO Bulan Ini'!$DH:$DH,'Area-Cabang'!$E145,'CWO Bulan Ini'!$CZ:$CZ,'Area-Cabang'!AO$41)</f>
        <v>0</v>
      </c>
      <c r="AP145" s="42">
        <f>SUMIFS('CWO Bulan Ini'!$DD:$DD,'CWO Bulan Ini'!$DJ:$DJ,'Area-Cabang'!$B145,'CWO Bulan Ini'!$DH:$DH,'Area-Cabang'!$E145,'CWO Bulan Ini'!$CZ:$CZ,'Area-Cabang'!AP$41)</f>
        <v>0</v>
      </c>
      <c r="AQ145" s="42">
        <f>SUMIFS('CWO Bulan Ini'!$DD:$DD,'CWO Bulan Ini'!$DJ:$DJ,'Area-Cabang'!$B145,'CWO Bulan Ini'!$DH:$DH,'Area-Cabang'!$E145,'CWO Bulan Ini'!$CZ:$CZ,'Area-Cabang'!AQ$41)</f>
        <v>0</v>
      </c>
      <c r="AR145" s="42">
        <f>SUMIFS('CWO Bulan Ini'!$DD:$DD,'CWO Bulan Ini'!$DJ:$DJ,'Area-Cabang'!$B145,'CWO Bulan Ini'!$DH:$DH,'Area-Cabang'!$E145,'CWO Bulan Ini'!$CZ:$CZ,'Area-Cabang'!AR$41)</f>
        <v>0</v>
      </c>
      <c r="AS145" s="42">
        <f>SUMIFS('CWO Bulan Ini'!$DD:$DD,'CWO Bulan Ini'!$DJ:$DJ,'Area-Cabang'!$B145,'CWO Bulan Ini'!$DH:$DH,'Area-Cabang'!$E145,'CWO Bulan Ini'!$CZ:$CZ,'Area-Cabang'!AS$41)</f>
        <v>0</v>
      </c>
      <c r="AT145" s="42">
        <f>SUMIFS('CWO Bulan Ini'!$DD:$DD,'CWO Bulan Ini'!$DJ:$DJ,'Area-Cabang'!$B145,'CWO Bulan Ini'!$DH:$DH,'Area-Cabang'!$E145,'CWO Bulan Ini'!$CZ:$CZ,'Area-Cabang'!AT$41)</f>
        <v>0</v>
      </c>
      <c r="AU145" s="42">
        <f>SUMIFS('CWO Bulan Ini'!$DD:$DD,'CWO Bulan Ini'!$DJ:$DJ,'Area-Cabang'!$B145,'CWO Bulan Ini'!$DH:$DH,'Area-Cabang'!$E145,'CWO Bulan Ini'!$CZ:$CZ,'Area-Cabang'!AU$41)</f>
        <v>0</v>
      </c>
      <c r="AV145" s="42">
        <f>SUMIFS('CWO Bulan Ini'!$DD:$DD,'CWO Bulan Ini'!$DJ:$DJ,'Area-Cabang'!$B145,'CWO Bulan Ini'!$DH:$DH,'Area-Cabang'!$E145,'CWO Bulan Ini'!$CZ:$CZ,'Area-Cabang'!AV$41)</f>
        <v>0</v>
      </c>
      <c r="AW145" s="42">
        <f>SUMIFS('CWO Bulan Ini'!$DD:$DD,'CWO Bulan Ini'!$DJ:$DJ,'Area-Cabang'!$B145,'CWO Bulan Ini'!$DH:$DH,'Area-Cabang'!$E145,'CWO Bulan Ini'!$CZ:$CZ,'Area-Cabang'!AW$41)</f>
        <v>0</v>
      </c>
      <c r="AX145" s="42">
        <f>SUMIFS('CWO Bulan Ini'!$DD:$DD,'CWO Bulan Ini'!$DJ:$DJ,'Area-Cabang'!$B145,'CWO Bulan Ini'!$DH:$DH,'Area-Cabang'!$E145,'CWO Bulan Ini'!$CZ:$CZ,'Area-Cabang'!AX$41)</f>
        <v>0</v>
      </c>
      <c r="AY145" s="42">
        <f>SUMIFS('CWO Bulan Ini'!$DD:$DD,'CWO Bulan Ini'!$DJ:$DJ,'Area-Cabang'!$B145,'CWO Bulan Ini'!$DH:$DH,'Area-Cabang'!$E145,'CWO Bulan Ini'!$CZ:$CZ,'Area-Cabang'!AY$41)</f>
        <v>0</v>
      </c>
      <c r="AZ145" s="42">
        <f>SUMIFS('CWO Bulan Ini'!$DD:$DD,'CWO Bulan Ini'!$DJ:$DJ,'Area-Cabang'!$B145,'CWO Bulan Ini'!$DH:$DH,'Area-Cabang'!$E145,'CWO Bulan Ini'!$CZ:$CZ,'Area-Cabang'!AZ$41)</f>
        <v>0</v>
      </c>
      <c r="BA145" s="42">
        <f>SUMIFS('CWO Bulan Ini'!$DD:$DD,'CWO Bulan Ini'!$DJ:$DJ,'Area-Cabang'!$B145,'CWO Bulan Ini'!$DH:$DH,'Area-Cabang'!$E145,'CWO Bulan Ini'!$CZ:$CZ,'Area-Cabang'!BA$41)</f>
        <v>0</v>
      </c>
      <c r="BB145" s="42">
        <f>SUMIFS('CWO Bulan Ini'!$DD:$DD,'CWO Bulan Ini'!$DJ:$DJ,'Area-Cabang'!$B145,'CWO Bulan Ini'!$DH:$DH,'Area-Cabang'!$E145,'CWO Bulan Ini'!$CZ:$CZ,'Area-Cabang'!BB$41)</f>
        <v>0</v>
      </c>
      <c r="BC145" s="42">
        <f>SUMIFS('CWO Bulan Ini'!$DD:$DD,'CWO Bulan Ini'!$DJ:$DJ,'Area-Cabang'!$B145,'CWO Bulan Ini'!$DH:$DH,'Area-Cabang'!$E145,'CWO Bulan Ini'!$CZ:$CZ,'Area-Cabang'!BC$41)</f>
        <v>0</v>
      </c>
      <c r="BD145" s="42">
        <f>SUMIFS('CWO Bulan Ini'!$DD:$DD,'CWO Bulan Ini'!$DJ:$DJ,'Area-Cabang'!$B145,'CWO Bulan Ini'!$DH:$DH,'Area-Cabang'!$E145,'CWO Bulan Ini'!$CZ:$CZ,'Area-Cabang'!BD$41)</f>
        <v>0</v>
      </c>
      <c r="BE145" s="42">
        <f>SUMIFS('CWO Bulan Ini'!$DD:$DD,'CWO Bulan Ini'!$DJ:$DJ,'Area-Cabang'!$B145,'CWO Bulan Ini'!$DH:$DH,'Area-Cabang'!$E145,'CWO Bulan Ini'!$CZ:$CZ,'Area-Cabang'!BE$41)</f>
        <v>0</v>
      </c>
      <c r="BF145" s="42">
        <f>SUMIFS('CWO Bulan Ini'!$DD:$DD,'CWO Bulan Ini'!$DJ:$DJ,'Area-Cabang'!$B145,'CWO Bulan Ini'!$DH:$DH,'Area-Cabang'!$E145,'CWO Bulan Ini'!$CZ:$CZ,'Area-Cabang'!BF$41)</f>
        <v>0</v>
      </c>
      <c r="BG145" s="42">
        <f>SUMIFS('CWO Bulan Ini'!$DD:$DD,'CWO Bulan Ini'!$DJ:$DJ,'Area-Cabang'!$B145,'CWO Bulan Ini'!$DH:$DH,'Area-Cabang'!$E145,'CWO Bulan Ini'!$CZ:$CZ,'Area-Cabang'!BG$41)</f>
        <v>0</v>
      </c>
      <c r="BH145" s="42">
        <f>SUMIFS('CWO Bulan Ini'!$DD:$DD,'CWO Bulan Ini'!$DJ:$DJ,'Area-Cabang'!$B145,'CWO Bulan Ini'!$DH:$DH,'Area-Cabang'!$E145,'CWO Bulan Ini'!$CZ:$CZ,'Area-Cabang'!BH$41)</f>
        <v>0</v>
      </c>
      <c r="BI145" s="42">
        <f>SUMIFS('CWO Bulan Ini'!$DD:$DD,'CWO Bulan Ini'!$DJ:$DJ,'Area-Cabang'!$B145,'CWO Bulan Ini'!$DH:$DH,'Area-Cabang'!$E145,'CWO Bulan Ini'!$CZ:$CZ,'Area-Cabang'!BI$41)</f>
        <v>0</v>
      </c>
      <c r="BJ145" s="42">
        <f>SUMIFS('CWO Bulan Ini'!$DD:$DD,'CWO Bulan Ini'!$DJ:$DJ,'Area-Cabang'!$B145,'CWO Bulan Ini'!$DH:$DH,'Area-Cabang'!$E145,'CWO Bulan Ini'!$CZ:$CZ,'Area-Cabang'!BJ$41)</f>
        <v>0</v>
      </c>
      <c r="BK145" s="42">
        <f>SUMIFS('CWO Bulan Ini'!$DD:$DD,'CWO Bulan Ini'!$DJ:$DJ,'Area-Cabang'!$B145,'CWO Bulan Ini'!$DH:$DH,'Area-Cabang'!$E145,'CWO Bulan Ini'!$CZ:$CZ,'Area-Cabang'!BK$41)</f>
        <v>0</v>
      </c>
      <c r="BL145" s="42">
        <f>SUMIFS('CWO Bulan Ini'!$DD:$DD,'CWO Bulan Ini'!$DJ:$DJ,'Area-Cabang'!$B145,'CWO Bulan Ini'!$DH:$DH,'Area-Cabang'!$E145,'CWO Bulan Ini'!$CZ:$CZ,'Area-Cabang'!BL$41)</f>
        <v>0</v>
      </c>
      <c r="BM145" s="42">
        <f>SUMIFS('CWO Bulan Ini'!$DD:$DD,'CWO Bulan Ini'!$DJ:$DJ,'Area-Cabang'!$B145,'CWO Bulan Ini'!$DH:$DH,'Area-Cabang'!$E145,'CWO Bulan Ini'!$CZ:$CZ,'Area-Cabang'!BM$41)</f>
        <v>0</v>
      </c>
      <c r="BN145" s="42">
        <f>SUMIFS('CWO Bulan Ini'!$DD:$DD,'CWO Bulan Ini'!$DJ:$DJ,'Area-Cabang'!$B145,'CWO Bulan Ini'!$DH:$DH,'Area-Cabang'!$E145,'CWO Bulan Ini'!$CZ:$CZ,'Area-Cabang'!BN$41)</f>
        <v>0</v>
      </c>
      <c r="BO145" s="43">
        <f>SUMIFS('CWO Bulan Ini'!$DD:$DD,'CWO Bulan Ini'!$DJ:$DJ,'Area-Cabang'!$B145,'CWO Bulan Ini'!$DH:$DH,'Area-Cabang'!$E145,'CWO Bulan Ini'!$CZ:$CZ,'Area-Cabang'!BO$41)</f>
        <v>0</v>
      </c>
      <c r="BP145" s="41">
        <f>SUMIFS('CWO Bulan Ini'!$DC:$DC,'CWO Bulan Ini'!$DJ:$DJ,'Area-Cabang'!$B145,'CWO Bulan Ini'!$DH:$DH,'Area-Cabang'!$E145,'CWO Bulan Ini'!$CZ:$CZ,'Area-Cabang'!BP$41)</f>
        <v>0</v>
      </c>
      <c r="BQ145" s="42">
        <f>SUMIFS('CWO Bulan Ini'!$DC:$DC,'CWO Bulan Ini'!$DJ:$DJ,'Area-Cabang'!$B145,'CWO Bulan Ini'!$DH:$DH,'Area-Cabang'!$E145,'CWO Bulan Ini'!$CZ:$CZ,'Area-Cabang'!BQ$41)</f>
        <v>0</v>
      </c>
      <c r="BR145" s="42">
        <f>SUMIFS('CWO Bulan Ini'!$DC:$DC,'CWO Bulan Ini'!$DJ:$DJ,'Area-Cabang'!$B145,'CWO Bulan Ini'!$DH:$DH,'Area-Cabang'!$E145,'CWO Bulan Ini'!$CZ:$CZ,'Area-Cabang'!BR$41)</f>
        <v>0</v>
      </c>
      <c r="BS145" s="42">
        <f>SUMIFS('CWO Bulan Ini'!$DC:$DC,'CWO Bulan Ini'!$DJ:$DJ,'Area-Cabang'!$B145,'CWO Bulan Ini'!$DH:$DH,'Area-Cabang'!$E145,'CWO Bulan Ini'!$CZ:$CZ,'Area-Cabang'!BS$41)</f>
        <v>0</v>
      </c>
      <c r="BT145" s="42">
        <f>SUMIFS('CWO Bulan Ini'!$DC:$DC,'CWO Bulan Ini'!$DJ:$DJ,'Area-Cabang'!$B145,'CWO Bulan Ini'!$DH:$DH,'Area-Cabang'!$E145,'CWO Bulan Ini'!$CZ:$CZ,'Area-Cabang'!BT$41)</f>
        <v>0</v>
      </c>
      <c r="BU145" s="42">
        <f>SUMIFS('CWO Bulan Ini'!$DC:$DC,'CWO Bulan Ini'!$DJ:$DJ,'Area-Cabang'!$B145,'CWO Bulan Ini'!$DH:$DH,'Area-Cabang'!$E145,'CWO Bulan Ini'!$CZ:$CZ,'Area-Cabang'!BU$41)</f>
        <v>0</v>
      </c>
      <c r="BV145" s="42">
        <f>SUMIFS('CWO Bulan Ini'!$DC:$DC,'CWO Bulan Ini'!$DJ:$DJ,'Area-Cabang'!$B145,'CWO Bulan Ini'!$DH:$DH,'Area-Cabang'!$E145,'CWO Bulan Ini'!$CZ:$CZ,'Area-Cabang'!BV$41)</f>
        <v>0</v>
      </c>
      <c r="BW145" s="42">
        <f>SUMIFS('CWO Bulan Ini'!$DC:$DC,'CWO Bulan Ini'!$DJ:$DJ,'Area-Cabang'!$B145,'CWO Bulan Ini'!$DH:$DH,'Area-Cabang'!$E145,'CWO Bulan Ini'!$CZ:$CZ,'Area-Cabang'!BW$41)</f>
        <v>0</v>
      </c>
      <c r="BX145" s="42">
        <f>SUMIFS('CWO Bulan Ini'!$DC:$DC,'CWO Bulan Ini'!$DJ:$DJ,'Area-Cabang'!$B145,'CWO Bulan Ini'!$DH:$DH,'Area-Cabang'!$E145,'CWO Bulan Ini'!$CZ:$CZ,'Area-Cabang'!BX$41)</f>
        <v>0</v>
      </c>
      <c r="BY145" s="42">
        <f>SUMIFS('CWO Bulan Ini'!$DC:$DC,'CWO Bulan Ini'!$DJ:$DJ,'Area-Cabang'!$B145,'CWO Bulan Ini'!$DH:$DH,'Area-Cabang'!$E145,'CWO Bulan Ini'!$CZ:$CZ,'Area-Cabang'!BY$41)</f>
        <v>0</v>
      </c>
      <c r="BZ145" s="42">
        <f>SUMIFS('CWO Bulan Ini'!$DC:$DC,'CWO Bulan Ini'!$DJ:$DJ,'Area-Cabang'!$B145,'CWO Bulan Ini'!$DH:$DH,'Area-Cabang'!$E145,'CWO Bulan Ini'!$CZ:$CZ,'Area-Cabang'!BZ$41)</f>
        <v>0</v>
      </c>
      <c r="CA145" s="42">
        <f>SUMIFS('CWO Bulan Ini'!$DC:$DC,'CWO Bulan Ini'!$DJ:$DJ,'Area-Cabang'!$B145,'CWO Bulan Ini'!$DH:$DH,'Area-Cabang'!$E145,'CWO Bulan Ini'!$CZ:$CZ,'Area-Cabang'!CA$41)</f>
        <v>0</v>
      </c>
      <c r="CB145" s="42">
        <f>SUMIFS('CWO Bulan Ini'!$DC:$DC,'CWO Bulan Ini'!$DJ:$DJ,'Area-Cabang'!$B145,'CWO Bulan Ini'!$DH:$DH,'Area-Cabang'!$E145,'CWO Bulan Ini'!$CZ:$CZ,'Area-Cabang'!CB$41)</f>
        <v>0</v>
      </c>
      <c r="CC145" s="42">
        <f>SUMIFS('CWO Bulan Ini'!$DC:$DC,'CWO Bulan Ini'!$DJ:$DJ,'Area-Cabang'!$B145,'CWO Bulan Ini'!$DH:$DH,'Area-Cabang'!$E145,'CWO Bulan Ini'!$CZ:$CZ,'Area-Cabang'!CC$41)</f>
        <v>0</v>
      </c>
      <c r="CD145" s="42">
        <f>SUMIFS('CWO Bulan Ini'!$DC:$DC,'CWO Bulan Ini'!$DJ:$DJ,'Area-Cabang'!$B145,'CWO Bulan Ini'!$DH:$DH,'Area-Cabang'!$E145,'CWO Bulan Ini'!$CZ:$CZ,'Area-Cabang'!CD$41)</f>
        <v>0</v>
      </c>
      <c r="CE145" s="42">
        <f>SUMIFS('CWO Bulan Ini'!$DC:$DC,'CWO Bulan Ini'!$DJ:$DJ,'Area-Cabang'!$B145,'CWO Bulan Ini'!$DH:$DH,'Area-Cabang'!$E145,'CWO Bulan Ini'!$CZ:$CZ,'Area-Cabang'!CE$41)</f>
        <v>0</v>
      </c>
      <c r="CF145" s="42">
        <f>SUMIFS('CWO Bulan Ini'!$DC:$DC,'CWO Bulan Ini'!$DJ:$DJ,'Area-Cabang'!$B145,'CWO Bulan Ini'!$DH:$DH,'Area-Cabang'!$E145,'CWO Bulan Ini'!$CZ:$CZ,'Area-Cabang'!CF$41)</f>
        <v>0</v>
      </c>
      <c r="CG145" s="42">
        <f>SUMIFS('CWO Bulan Ini'!$DC:$DC,'CWO Bulan Ini'!$DJ:$DJ,'Area-Cabang'!$B145,'CWO Bulan Ini'!$DH:$DH,'Area-Cabang'!$E145,'CWO Bulan Ini'!$CZ:$CZ,'Area-Cabang'!CG$41)</f>
        <v>0</v>
      </c>
      <c r="CH145" s="42">
        <f>SUMIFS('CWO Bulan Ini'!$DC:$DC,'CWO Bulan Ini'!$DJ:$DJ,'Area-Cabang'!$B145,'CWO Bulan Ini'!$DH:$DH,'Area-Cabang'!$E145,'CWO Bulan Ini'!$CZ:$CZ,'Area-Cabang'!CH$41)</f>
        <v>0</v>
      </c>
      <c r="CI145" s="42">
        <f>SUMIFS('CWO Bulan Ini'!$DC:$DC,'CWO Bulan Ini'!$DJ:$DJ,'Area-Cabang'!$B145,'CWO Bulan Ini'!$DH:$DH,'Area-Cabang'!$E145,'CWO Bulan Ini'!$CZ:$CZ,'Area-Cabang'!CI$41)</f>
        <v>0</v>
      </c>
      <c r="CJ145" s="42">
        <f>SUMIFS('CWO Bulan Ini'!$DC:$DC,'CWO Bulan Ini'!$DJ:$DJ,'Area-Cabang'!$B145,'CWO Bulan Ini'!$DH:$DH,'Area-Cabang'!$E145,'CWO Bulan Ini'!$CZ:$CZ,'Area-Cabang'!CJ$41)</f>
        <v>0</v>
      </c>
      <c r="CK145" s="42">
        <f>SUMIFS('CWO Bulan Ini'!$DC:$DC,'CWO Bulan Ini'!$DJ:$DJ,'Area-Cabang'!$B145,'CWO Bulan Ini'!$DH:$DH,'Area-Cabang'!$E145,'CWO Bulan Ini'!$CZ:$CZ,'Area-Cabang'!CK$41)</f>
        <v>0</v>
      </c>
      <c r="CL145" s="42">
        <f>SUMIFS('CWO Bulan Ini'!$DC:$DC,'CWO Bulan Ini'!$DJ:$DJ,'Area-Cabang'!$B145,'CWO Bulan Ini'!$DH:$DH,'Area-Cabang'!$E145,'CWO Bulan Ini'!$CZ:$CZ,'Area-Cabang'!CL$41)</f>
        <v>0</v>
      </c>
      <c r="CM145" s="42">
        <f>SUMIFS('CWO Bulan Ini'!$DC:$DC,'CWO Bulan Ini'!$DJ:$DJ,'Area-Cabang'!$B145,'CWO Bulan Ini'!$DH:$DH,'Area-Cabang'!$E145,'CWO Bulan Ini'!$CZ:$CZ,'Area-Cabang'!CM$41)</f>
        <v>0</v>
      </c>
      <c r="CN145" s="42">
        <f>SUMIFS('CWO Bulan Ini'!$DC:$DC,'CWO Bulan Ini'!$DJ:$DJ,'Area-Cabang'!$B145,'CWO Bulan Ini'!$DH:$DH,'Area-Cabang'!$E145,'CWO Bulan Ini'!$CZ:$CZ,'Area-Cabang'!CN$41)</f>
        <v>0</v>
      </c>
      <c r="CO145" s="42">
        <f>SUMIFS('CWO Bulan Ini'!$DC:$DC,'CWO Bulan Ini'!$DJ:$DJ,'Area-Cabang'!$B145,'CWO Bulan Ini'!$DH:$DH,'Area-Cabang'!$E145,'CWO Bulan Ini'!$CZ:$CZ,'Area-Cabang'!CO$41)</f>
        <v>0</v>
      </c>
      <c r="CP145" s="42">
        <f>SUMIFS('CWO Bulan Ini'!$DC:$DC,'CWO Bulan Ini'!$DJ:$DJ,'Area-Cabang'!$B145,'CWO Bulan Ini'!$DH:$DH,'Area-Cabang'!$E145,'CWO Bulan Ini'!$CZ:$CZ,'Area-Cabang'!CP$41)</f>
        <v>0</v>
      </c>
      <c r="CQ145" s="42">
        <f>SUMIFS('CWO Bulan Ini'!$DC:$DC,'CWO Bulan Ini'!$DJ:$DJ,'Area-Cabang'!$B145,'CWO Bulan Ini'!$DH:$DH,'Area-Cabang'!$E145,'CWO Bulan Ini'!$CZ:$CZ,'Area-Cabang'!CQ$41)</f>
        <v>0</v>
      </c>
      <c r="CR145" s="42">
        <f>SUMIFS('CWO Bulan Ini'!$DC:$DC,'CWO Bulan Ini'!$DJ:$DJ,'Area-Cabang'!$B145,'CWO Bulan Ini'!$DH:$DH,'Area-Cabang'!$E145,'CWO Bulan Ini'!$CZ:$CZ,'Area-Cabang'!CR$41)</f>
        <v>0</v>
      </c>
      <c r="CS145" s="42">
        <f>SUMIFS('CWO Bulan Ini'!$DC:$DC,'CWO Bulan Ini'!$DJ:$DJ,'Area-Cabang'!$B145,'CWO Bulan Ini'!$DH:$DH,'Area-Cabang'!$E145,'CWO Bulan Ini'!$CZ:$CZ,'Area-Cabang'!CS$41)</f>
        <v>0</v>
      </c>
      <c r="CT145" s="43">
        <f>SUMIFS('CWO Bulan Ini'!$DC:$DC,'CWO Bulan Ini'!$DJ:$DJ,'Area-Cabang'!$B145,'CWO Bulan Ini'!$DH:$DH,'Area-Cabang'!$E145,'CWO Bulan Ini'!$CZ:$CZ,'Area-Cabang'!CT$41)</f>
        <v>0</v>
      </c>
      <c r="CV145" s="96">
        <f t="shared" si="4483"/>
        <v>0</v>
      </c>
      <c r="CW145" s="93">
        <f t="shared" si="4484"/>
        <v>0</v>
      </c>
      <c r="CX145" s="93">
        <f t="shared" si="4485"/>
        <v>0</v>
      </c>
      <c r="CY145" s="93">
        <f t="shared" si="4486"/>
        <v>0</v>
      </c>
      <c r="CZ145" s="106">
        <f t="shared" si="4487"/>
        <v>0</v>
      </c>
    </row>
    <row r="146" spans="1:104" ht="15" customHeight="1" x14ac:dyDescent="0.25">
      <c r="A146" s="58" t="s">
        <v>500</v>
      </c>
      <c r="B146" s="53" t="s">
        <v>841</v>
      </c>
      <c r="C146" s="250"/>
      <c r="D146" s="227" t="s">
        <v>841</v>
      </c>
      <c r="E146" s="228"/>
      <c r="F146" s="219">
        <f t="shared" ref="F146" si="4488">SUM(F144:F145)</f>
        <v>0</v>
      </c>
      <c r="G146" s="220">
        <f t="shared" ref="G146" si="4489">SUM(G144:G145)</f>
        <v>0</v>
      </c>
      <c r="H146" s="220">
        <f t="shared" ref="H146" si="4490">SUM(H144:H145)</f>
        <v>0</v>
      </c>
      <c r="I146" s="220">
        <f t="shared" ref="I146" si="4491">SUM(I144:I145)</f>
        <v>10.37161665</v>
      </c>
      <c r="J146" s="220">
        <f t="shared" ref="J146" si="4492">SUM(J144:J145)</f>
        <v>0</v>
      </c>
      <c r="K146" s="220">
        <f t="shared" ref="K146" si="4493">SUM(K144:K145)</f>
        <v>0</v>
      </c>
      <c r="L146" s="220">
        <f t="shared" ref="L146" si="4494">SUM(L144:L145)</f>
        <v>0</v>
      </c>
      <c r="M146" s="220">
        <f t="shared" ref="M146" si="4495">SUM(M144:M145)</f>
        <v>0</v>
      </c>
      <c r="N146" s="220">
        <f t="shared" ref="N146" si="4496">SUM(N144:N145)</f>
        <v>0</v>
      </c>
      <c r="O146" s="220">
        <f t="shared" ref="O146" si="4497">SUM(O144:O145)</f>
        <v>0</v>
      </c>
      <c r="P146" s="220">
        <f t="shared" ref="P146" si="4498">SUM(P144:P145)</f>
        <v>0</v>
      </c>
      <c r="Q146" s="220">
        <f t="shared" ref="Q146" si="4499">SUM(Q144:Q145)</f>
        <v>0</v>
      </c>
      <c r="R146" s="220">
        <f t="shared" ref="R146" si="4500">SUM(R144:R145)</f>
        <v>0</v>
      </c>
      <c r="S146" s="220">
        <f t="shared" ref="S146" si="4501">SUM(S144:S145)</f>
        <v>0</v>
      </c>
      <c r="T146" s="220">
        <f t="shared" ref="T146" si="4502">SUM(T144:T145)</f>
        <v>0</v>
      </c>
      <c r="U146" s="220">
        <f t="shared" ref="U146" si="4503">SUM(U144:U145)</f>
        <v>0</v>
      </c>
      <c r="V146" s="220">
        <f t="shared" ref="V146" si="4504">SUM(V144:V145)</f>
        <v>0</v>
      </c>
      <c r="W146" s="220">
        <f t="shared" ref="W146" si="4505">SUM(W144:W145)</f>
        <v>0</v>
      </c>
      <c r="X146" s="220">
        <f t="shared" ref="X146" si="4506">SUM(X144:X145)</f>
        <v>0</v>
      </c>
      <c r="Y146" s="220">
        <f t="shared" ref="Y146" si="4507">SUM(Y144:Y145)</f>
        <v>0</v>
      </c>
      <c r="Z146" s="220">
        <f t="shared" ref="Z146" si="4508">SUM(Z144:Z145)</f>
        <v>0</v>
      </c>
      <c r="AA146" s="220">
        <f t="shared" ref="AA146" si="4509">SUM(AA144:AA145)</f>
        <v>0</v>
      </c>
      <c r="AB146" s="220">
        <f t="shared" ref="AB146" si="4510">SUM(AB144:AB145)</f>
        <v>0</v>
      </c>
      <c r="AC146" s="220">
        <f t="shared" ref="AC146" si="4511">SUM(AC144:AC145)</f>
        <v>0</v>
      </c>
      <c r="AD146" s="220">
        <f t="shared" ref="AD146" si="4512">SUM(AD144:AD145)</f>
        <v>0</v>
      </c>
      <c r="AE146" s="220">
        <f t="shared" ref="AE146" si="4513">SUM(AE144:AE145)</f>
        <v>0</v>
      </c>
      <c r="AF146" s="220">
        <f t="shared" ref="AF146" si="4514">SUM(AF144:AF145)</f>
        <v>0</v>
      </c>
      <c r="AG146" s="220">
        <f t="shared" ref="AG146" si="4515">SUM(AG144:AG145)</f>
        <v>0</v>
      </c>
      <c r="AH146" s="220">
        <f t="shared" ref="AH146" si="4516">SUM(AH144:AH145)</f>
        <v>0</v>
      </c>
      <c r="AI146" s="220">
        <f t="shared" ref="AI146" si="4517">SUM(AI144:AI145)</f>
        <v>0</v>
      </c>
      <c r="AJ146" s="220">
        <f t="shared" ref="AJ146" si="4518">SUM(AJ144:AJ145)</f>
        <v>0</v>
      </c>
      <c r="AK146" s="219">
        <f t="shared" ref="AK146" si="4519">SUM(AK144:AK145)</f>
        <v>0</v>
      </c>
      <c r="AL146" s="220">
        <f t="shared" ref="AL146" si="4520">SUM(AL144:AL145)</f>
        <v>0</v>
      </c>
      <c r="AM146" s="220">
        <f t="shared" ref="AM146" si="4521">SUM(AM144:AM145)</f>
        <v>0</v>
      </c>
      <c r="AN146" s="220">
        <f t="shared" ref="AN146" si="4522">SUM(AN144:AN145)</f>
        <v>10.37161665</v>
      </c>
      <c r="AO146" s="220">
        <f t="shared" ref="AO146" si="4523">SUM(AO144:AO145)</f>
        <v>0</v>
      </c>
      <c r="AP146" s="220">
        <f t="shared" ref="AP146" si="4524">SUM(AP144:AP145)</f>
        <v>0</v>
      </c>
      <c r="AQ146" s="220">
        <f t="shared" ref="AQ146" si="4525">SUM(AQ144:AQ145)</f>
        <v>0</v>
      </c>
      <c r="AR146" s="220">
        <f t="shared" ref="AR146" si="4526">SUM(AR144:AR145)</f>
        <v>0</v>
      </c>
      <c r="AS146" s="220">
        <f t="shared" ref="AS146" si="4527">SUM(AS144:AS145)</f>
        <v>0</v>
      </c>
      <c r="AT146" s="220">
        <f t="shared" ref="AT146" si="4528">SUM(AT144:AT145)</f>
        <v>0</v>
      </c>
      <c r="AU146" s="220">
        <f t="shared" ref="AU146" si="4529">SUM(AU144:AU145)</f>
        <v>0</v>
      </c>
      <c r="AV146" s="220">
        <f t="shared" ref="AV146" si="4530">SUM(AV144:AV145)</f>
        <v>0</v>
      </c>
      <c r="AW146" s="220">
        <f t="shared" ref="AW146" si="4531">SUM(AW144:AW145)</f>
        <v>0</v>
      </c>
      <c r="AX146" s="220">
        <f t="shared" ref="AX146" si="4532">SUM(AX144:AX145)</f>
        <v>0</v>
      </c>
      <c r="AY146" s="220">
        <f t="shared" ref="AY146" si="4533">SUM(AY144:AY145)</f>
        <v>0</v>
      </c>
      <c r="AZ146" s="220">
        <f t="shared" ref="AZ146" si="4534">SUM(AZ144:AZ145)</f>
        <v>0</v>
      </c>
      <c r="BA146" s="220">
        <f t="shared" ref="BA146" si="4535">SUM(BA144:BA145)</f>
        <v>0</v>
      </c>
      <c r="BB146" s="220">
        <f t="shared" ref="BB146" si="4536">SUM(BB144:BB145)</f>
        <v>0</v>
      </c>
      <c r="BC146" s="220">
        <f t="shared" ref="BC146" si="4537">SUM(BC144:BC145)</f>
        <v>0</v>
      </c>
      <c r="BD146" s="220">
        <f t="shared" ref="BD146" si="4538">SUM(BD144:BD145)</f>
        <v>0</v>
      </c>
      <c r="BE146" s="220">
        <f t="shared" ref="BE146" si="4539">SUM(BE144:BE145)</f>
        <v>0</v>
      </c>
      <c r="BF146" s="220">
        <f t="shared" ref="BF146" si="4540">SUM(BF144:BF145)</f>
        <v>0</v>
      </c>
      <c r="BG146" s="220">
        <f t="shared" ref="BG146" si="4541">SUM(BG144:BG145)</f>
        <v>0</v>
      </c>
      <c r="BH146" s="220">
        <f t="shared" ref="BH146" si="4542">SUM(BH144:BH145)</f>
        <v>0</v>
      </c>
      <c r="BI146" s="220">
        <f t="shared" ref="BI146" si="4543">SUM(BI144:BI145)</f>
        <v>0</v>
      </c>
      <c r="BJ146" s="220">
        <f t="shared" ref="BJ146" si="4544">SUM(BJ144:BJ145)</f>
        <v>0</v>
      </c>
      <c r="BK146" s="220">
        <f t="shared" ref="BK146" si="4545">SUM(BK144:BK145)</f>
        <v>0</v>
      </c>
      <c r="BL146" s="220">
        <f t="shared" ref="BL146" si="4546">SUM(BL144:BL145)</f>
        <v>0</v>
      </c>
      <c r="BM146" s="220">
        <f t="shared" ref="BM146" si="4547">SUM(BM144:BM145)</f>
        <v>0</v>
      </c>
      <c r="BN146" s="220">
        <f t="shared" ref="BN146" si="4548">SUM(BN144:BN145)</f>
        <v>0</v>
      </c>
      <c r="BO146" s="221">
        <f t="shared" ref="BO146" si="4549">SUM(BO144:BO145)</f>
        <v>0</v>
      </c>
      <c r="BP146" s="219">
        <f t="shared" ref="BP146" si="4550">SUM(BP144:BP145)</f>
        <v>0</v>
      </c>
      <c r="BQ146" s="220">
        <f t="shared" ref="BQ146" si="4551">SUM(BQ144:BQ145)</f>
        <v>0</v>
      </c>
      <c r="BR146" s="220">
        <f t="shared" ref="BR146" si="4552">SUM(BR144:BR145)</f>
        <v>0</v>
      </c>
      <c r="BS146" s="220">
        <f t="shared" ref="BS146" si="4553">SUM(BS144:BS145)</f>
        <v>0</v>
      </c>
      <c r="BT146" s="220">
        <f t="shared" ref="BT146" si="4554">SUM(BT144:BT145)</f>
        <v>0</v>
      </c>
      <c r="BU146" s="220">
        <f t="shared" ref="BU146" si="4555">SUM(BU144:BU145)</f>
        <v>0</v>
      </c>
      <c r="BV146" s="220">
        <f t="shared" ref="BV146" si="4556">SUM(BV144:BV145)</f>
        <v>0</v>
      </c>
      <c r="BW146" s="220">
        <f t="shared" ref="BW146" si="4557">SUM(BW144:BW145)</f>
        <v>0</v>
      </c>
      <c r="BX146" s="220">
        <f t="shared" ref="BX146" si="4558">SUM(BX144:BX145)</f>
        <v>0</v>
      </c>
      <c r="BY146" s="220">
        <f t="shared" ref="BY146" si="4559">SUM(BY144:BY145)</f>
        <v>0</v>
      </c>
      <c r="BZ146" s="220">
        <f t="shared" ref="BZ146" si="4560">SUM(BZ144:BZ145)</f>
        <v>0</v>
      </c>
      <c r="CA146" s="220">
        <f t="shared" ref="CA146" si="4561">SUM(CA144:CA145)</f>
        <v>0</v>
      </c>
      <c r="CB146" s="220">
        <f t="shared" ref="CB146" si="4562">SUM(CB144:CB145)</f>
        <v>0</v>
      </c>
      <c r="CC146" s="220">
        <f t="shared" ref="CC146" si="4563">SUM(CC144:CC145)</f>
        <v>0</v>
      </c>
      <c r="CD146" s="220">
        <f t="shared" ref="CD146" si="4564">SUM(CD144:CD145)</f>
        <v>0</v>
      </c>
      <c r="CE146" s="220">
        <f t="shared" ref="CE146" si="4565">SUM(CE144:CE145)</f>
        <v>0</v>
      </c>
      <c r="CF146" s="220">
        <f t="shared" ref="CF146" si="4566">SUM(CF144:CF145)</f>
        <v>0</v>
      </c>
      <c r="CG146" s="220">
        <f t="shared" ref="CG146" si="4567">SUM(CG144:CG145)</f>
        <v>0</v>
      </c>
      <c r="CH146" s="220">
        <f t="shared" ref="CH146" si="4568">SUM(CH144:CH145)</f>
        <v>0</v>
      </c>
      <c r="CI146" s="220">
        <f t="shared" ref="CI146" si="4569">SUM(CI144:CI145)</f>
        <v>0</v>
      </c>
      <c r="CJ146" s="220">
        <f t="shared" ref="CJ146" si="4570">SUM(CJ144:CJ145)</f>
        <v>0</v>
      </c>
      <c r="CK146" s="220">
        <f t="shared" ref="CK146" si="4571">SUM(CK144:CK145)</f>
        <v>0</v>
      </c>
      <c r="CL146" s="220">
        <f t="shared" ref="CL146" si="4572">SUM(CL144:CL145)</f>
        <v>0</v>
      </c>
      <c r="CM146" s="220">
        <f t="shared" ref="CM146" si="4573">SUM(CM144:CM145)</f>
        <v>0</v>
      </c>
      <c r="CN146" s="220">
        <f t="shared" ref="CN146" si="4574">SUM(CN144:CN145)</f>
        <v>0</v>
      </c>
      <c r="CO146" s="220">
        <f t="shared" ref="CO146" si="4575">SUM(CO144:CO145)</f>
        <v>0</v>
      </c>
      <c r="CP146" s="220">
        <f t="shared" ref="CP146" si="4576">SUM(CP144:CP145)</f>
        <v>0</v>
      </c>
      <c r="CQ146" s="220">
        <f t="shared" ref="CQ146" si="4577">SUM(CQ144:CQ145)</f>
        <v>0</v>
      </c>
      <c r="CR146" s="220">
        <f t="shared" ref="CR146" si="4578">SUM(CR144:CR145)</f>
        <v>0</v>
      </c>
      <c r="CS146" s="220">
        <f t="shared" ref="CS146" si="4579">SUM(CS144:CS145)</f>
        <v>0</v>
      </c>
      <c r="CT146" s="221">
        <f t="shared" ref="CT146" si="4580">SUM(CT144:CT145)</f>
        <v>0</v>
      </c>
      <c r="CU146" s="226"/>
      <c r="CV146" s="219">
        <f t="shared" ref="CV146" si="4581">SUM(CV144:CV145)</f>
        <v>10.37161665</v>
      </c>
      <c r="CW146" s="220">
        <f t="shared" ref="CW146" si="4582">SUM(CW144:CW145)</f>
        <v>10.37161665</v>
      </c>
      <c r="CX146" s="220">
        <f t="shared" ref="CX146" si="4583">SUM(CX144:CX145)</f>
        <v>0</v>
      </c>
      <c r="CY146" s="220">
        <f t="shared" ref="CY146" si="4584">SUM(CY144:CY145)</f>
        <v>0</v>
      </c>
      <c r="CZ146" s="222">
        <f t="shared" ref="CZ146" si="4585">SUM(CZ144:CZ145)</f>
        <v>10.37161665</v>
      </c>
    </row>
    <row r="147" spans="1:104" ht="15" customHeight="1" x14ac:dyDescent="0.25">
      <c r="A147" s="58" t="s">
        <v>500</v>
      </c>
      <c r="B147" s="53" t="s">
        <v>302</v>
      </c>
      <c r="C147" s="250"/>
      <c r="D147" s="245" t="s">
        <v>501</v>
      </c>
      <c r="E147" s="85" t="s">
        <v>132</v>
      </c>
      <c r="F147" s="55">
        <f>SUMIFS('CWO Bulan Ini'!$DA:$DA,'CWO Bulan Ini'!$DJ:$DJ,'Area-Cabang'!$B147,'CWO Bulan Ini'!$DH:$DH,'Area-Cabang'!$E147,'CWO Bulan Ini'!$CZ:$CZ,'Area-Cabang'!F$41)</f>
        <v>0</v>
      </c>
      <c r="G147" s="56">
        <f>SUMIFS('CWO Bulan Ini'!$DA:$DA,'CWO Bulan Ini'!$DJ:$DJ,'Area-Cabang'!$B147,'CWO Bulan Ini'!$DH:$DH,'Area-Cabang'!$E147,'CWO Bulan Ini'!$CZ:$CZ,'Area-Cabang'!G$41)</f>
        <v>0</v>
      </c>
      <c r="H147" s="56">
        <f>SUMIFS('CWO Bulan Ini'!$DA:$DA,'CWO Bulan Ini'!$DJ:$DJ,'Area-Cabang'!$B147,'CWO Bulan Ini'!$DH:$DH,'Area-Cabang'!$E147,'CWO Bulan Ini'!$CZ:$CZ,'Area-Cabang'!H$41)</f>
        <v>0</v>
      </c>
      <c r="I147" s="56">
        <f>SUMIFS('CWO Bulan Ini'!$DA:$DA,'CWO Bulan Ini'!$DJ:$DJ,'Area-Cabang'!$B147,'CWO Bulan Ini'!$DH:$DH,'Area-Cabang'!$E147,'CWO Bulan Ini'!$CZ:$CZ,'Area-Cabang'!I$41)</f>
        <v>0</v>
      </c>
      <c r="J147" s="56">
        <f>SUMIFS('CWO Bulan Ini'!$DA:$DA,'CWO Bulan Ini'!$DJ:$DJ,'Area-Cabang'!$B147,'CWO Bulan Ini'!$DH:$DH,'Area-Cabang'!$E147,'CWO Bulan Ini'!$CZ:$CZ,'Area-Cabang'!J$41)</f>
        <v>0</v>
      </c>
      <c r="K147" s="56">
        <f>SUMIFS('CWO Bulan Ini'!$DA:$DA,'CWO Bulan Ini'!$DJ:$DJ,'Area-Cabang'!$B147,'CWO Bulan Ini'!$DH:$DH,'Area-Cabang'!$E147,'CWO Bulan Ini'!$CZ:$CZ,'Area-Cabang'!K$41)</f>
        <v>0</v>
      </c>
      <c r="L147" s="56">
        <f>SUMIFS('CWO Bulan Ini'!$DA:$DA,'CWO Bulan Ini'!$DJ:$DJ,'Area-Cabang'!$B147,'CWO Bulan Ini'!$DH:$DH,'Area-Cabang'!$E147,'CWO Bulan Ini'!$CZ:$CZ,'Area-Cabang'!L$41)</f>
        <v>0</v>
      </c>
      <c r="M147" s="56">
        <f>SUMIFS('CWO Bulan Ini'!$DA:$DA,'CWO Bulan Ini'!$DJ:$DJ,'Area-Cabang'!$B147,'CWO Bulan Ini'!$DH:$DH,'Area-Cabang'!$E147,'CWO Bulan Ini'!$CZ:$CZ,'Area-Cabang'!M$41)</f>
        <v>0</v>
      </c>
      <c r="N147" s="56">
        <f>SUMIFS('CWO Bulan Ini'!$DA:$DA,'CWO Bulan Ini'!$DJ:$DJ,'Area-Cabang'!$B147,'CWO Bulan Ini'!$DH:$DH,'Area-Cabang'!$E147,'CWO Bulan Ini'!$CZ:$CZ,'Area-Cabang'!N$41)</f>
        <v>0</v>
      </c>
      <c r="O147" s="56">
        <f>SUMIFS('CWO Bulan Ini'!$DA:$DA,'CWO Bulan Ini'!$DJ:$DJ,'Area-Cabang'!$B147,'CWO Bulan Ini'!$DH:$DH,'Area-Cabang'!$E147,'CWO Bulan Ini'!$CZ:$CZ,'Area-Cabang'!O$41)</f>
        <v>0</v>
      </c>
      <c r="P147" s="56">
        <f>SUMIFS('CWO Bulan Ini'!$DA:$DA,'CWO Bulan Ini'!$DJ:$DJ,'Area-Cabang'!$B147,'CWO Bulan Ini'!$DH:$DH,'Area-Cabang'!$E147,'CWO Bulan Ini'!$CZ:$CZ,'Area-Cabang'!P$41)</f>
        <v>0</v>
      </c>
      <c r="Q147" s="56">
        <f>SUMIFS('CWO Bulan Ini'!$DA:$DA,'CWO Bulan Ini'!$DJ:$DJ,'Area-Cabang'!$B147,'CWO Bulan Ini'!$DH:$DH,'Area-Cabang'!$E147,'CWO Bulan Ini'!$CZ:$CZ,'Area-Cabang'!Q$41)</f>
        <v>0</v>
      </c>
      <c r="R147" s="56">
        <f>SUMIFS('CWO Bulan Ini'!$DA:$DA,'CWO Bulan Ini'!$DJ:$DJ,'Area-Cabang'!$B147,'CWO Bulan Ini'!$DH:$DH,'Area-Cabang'!$E147,'CWO Bulan Ini'!$CZ:$CZ,'Area-Cabang'!R$41)</f>
        <v>0</v>
      </c>
      <c r="S147" s="56">
        <f>SUMIFS('CWO Bulan Ini'!$DA:$DA,'CWO Bulan Ini'!$DJ:$DJ,'Area-Cabang'!$B147,'CWO Bulan Ini'!$DH:$DH,'Area-Cabang'!$E147,'CWO Bulan Ini'!$CZ:$CZ,'Area-Cabang'!S$41)</f>
        <v>0</v>
      </c>
      <c r="T147" s="56">
        <f>SUMIFS('CWO Bulan Ini'!$DA:$DA,'CWO Bulan Ini'!$DJ:$DJ,'Area-Cabang'!$B147,'CWO Bulan Ini'!$DH:$DH,'Area-Cabang'!$E147,'CWO Bulan Ini'!$CZ:$CZ,'Area-Cabang'!T$41)</f>
        <v>92.620355989999993</v>
      </c>
      <c r="U147" s="56">
        <f>SUMIFS('CWO Bulan Ini'!$DA:$DA,'CWO Bulan Ini'!$DJ:$DJ,'Area-Cabang'!$B147,'CWO Bulan Ini'!$DH:$DH,'Area-Cabang'!$E147,'CWO Bulan Ini'!$CZ:$CZ,'Area-Cabang'!U$41)</f>
        <v>0</v>
      </c>
      <c r="V147" s="56">
        <f>SUMIFS('CWO Bulan Ini'!$DA:$DA,'CWO Bulan Ini'!$DJ:$DJ,'Area-Cabang'!$B147,'CWO Bulan Ini'!$DH:$DH,'Area-Cabang'!$E147,'CWO Bulan Ini'!$CZ:$CZ,'Area-Cabang'!V$41)</f>
        <v>0</v>
      </c>
      <c r="W147" s="56">
        <f>SUMIFS('CWO Bulan Ini'!$DA:$DA,'CWO Bulan Ini'!$DJ:$DJ,'Area-Cabang'!$B147,'CWO Bulan Ini'!$DH:$DH,'Area-Cabang'!$E147,'CWO Bulan Ini'!$CZ:$CZ,'Area-Cabang'!W$41)</f>
        <v>0</v>
      </c>
      <c r="X147" s="56">
        <f>SUMIFS('CWO Bulan Ini'!$DA:$DA,'CWO Bulan Ini'!$DJ:$DJ,'Area-Cabang'!$B147,'CWO Bulan Ini'!$DH:$DH,'Area-Cabang'!$E147,'CWO Bulan Ini'!$CZ:$CZ,'Area-Cabang'!X$41)</f>
        <v>0</v>
      </c>
      <c r="Y147" s="56">
        <f>SUMIFS('CWO Bulan Ini'!$DA:$DA,'CWO Bulan Ini'!$DJ:$DJ,'Area-Cabang'!$B147,'CWO Bulan Ini'!$DH:$DH,'Area-Cabang'!$E147,'CWO Bulan Ini'!$CZ:$CZ,'Area-Cabang'!Y$41)</f>
        <v>0</v>
      </c>
      <c r="Z147" s="56">
        <f>SUMIFS('CWO Bulan Ini'!$DA:$DA,'CWO Bulan Ini'!$DJ:$DJ,'Area-Cabang'!$B147,'CWO Bulan Ini'!$DH:$DH,'Area-Cabang'!$E147,'CWO Bulan Ini'!$CZ:$CZ,'Area-Cabang'!Z$41)</f>
        <v>21.654243079999997</v>
      </c>
      <c r="AA147" s="56">
        <f>SUMIFS('CWO Bulan Ini'!$DA:$DA,'CWO Bulan Ini'!$DJ:$DJ,'Area-Cabang'!$B147,'CWO Bulan Ini'!$DH:$DH,'Area-Cabang'!$E147,'CWO Bulan Ini'!$CZ:$CZ,'Area-Cabang'!AA$41)</f>
        <v>0</v>
      </c>
      <c r="AB147" s="56">
        <f>SUMIFS('CWO Bulan Ini'!$DA:$DA,'CWO Bulan Ini'!$DJ:$DJ,'Area-Cabang'!$B147,'CWO Bulan Ini'!$DH:$DH,'Area-Cabang'!$E147,'CWO Bulan Ini'!$CZ:$CZ,'Area-Cabang'!AB$41)</f>
        <v>0</v>
      </c>
      <c r="AC147" s="56">
        <f>SUMIFS('CWO Bulan Ini'!$DA:$DA,'CWO Bulan Ini'!$DJ:$DJ,'Area-Cabang'!$B147,'CWO Bulan Ini'!$DH:$DH,'Area-Cabang'!$E147,'CWO Bulan Ini'!$CZ:$CZ,'Area-Cabang'!AC$41)</f>
        <v>0</v>
      </c>
      <c r="AD147" s="56">
        <f>SUMIFS('CWO Bulan Ini'!$DA:$DA,'CWO Bulan Ini'!$DJ:$DJ,'Area-Cabang'!$B147,'CWO Bulan Ini'!$DH:$DH,'Area-Cabang'!$E147,'CWO Bulan Ini'!$CZ:$CZ,'Area-Cabang'!AD$41)</f>
        <v>0</v>
      </c>
      <c r="AE147" s="56">
        <f>SUMIFS('CWO Bulan Ini'!$DA:$DA,'CWO Bulan Ini'!$DJ:$DJ,'Area-Cabang'!$B147,'CWO Bulan Ini'!$DH:$DH,'Area-Cabang'!$E147,'CWO Bulan Ini'!$CZ:$CZ,'Area-Cabang'!AE$41)</f>
        <v>0</v>
      </c>
      <c r="AF147" s="56">
        <f>SUMIFS('CWO Bulan Ini'!$DA:$DA,'CWO Bulan Ini'!$DJ:$DJ,'Area-Cabang'!$B147,'CWO Bulan Ini'!$DH:$DH,'Area-Cabang'!$E147,'CWO Bulan Ini'!$CZ:$CZ,'Area-Cabang'!AF$41)</f>
        <v>0</v>
      </c>
      <c r="AG147" s="56">
        <f>SUMIFS('CWO Bulan Ini'!$DA:$DA,'CWO Bulan Ini'!$DJ:$DJ,'Area-Cabang'!$B147,'CWO Bulan Ini'!$DH:$DH,'Area-Cabang'!$E147,'CWO Bulan Ini'!$CZ:$CZ,'Area-Cabang'!AG$41)</f>
        <v>0</v>
      </c>
      <c r="AH147" s="56">
        <f>SUMIFS('CWO Bulan Ini'!$DA:$DA,'CWO Bulan Ini'!$DJ:$DJ,'Area-Cabang'!$B147,'CWO Bulan Ini'!$DH:$DH,'Area-Cabang'!$E147,'CWO Bulan Ini'!$CZ:$CZ,'Area-Cabang'!AH$41)</f>
        <v>0</v>
      </c>
      <c r="AI147" s="56">
        <f>SUMIFS('CWO Bulan Ini'!$DA:$DA,'CWO Bulan Ini'!$DJ:$DJ,'Area-Cabang'!$B147,'CWO Bulan Ini'!$DH:$DH,'Area-Cabang'!$E147,'CWO Bulan Ini'!$CZ:$CZ,'Area-Cabang'!AI$41)</f>
        <v>0</v>
      </c>
      <c r="AJ147" s="56">
        <f>SUMIFS('CWO Bulan Ini'!$DA:$DA,'CWO Bulan Ini'!$DJ:$DJ,'Area-Cabang'!$B147,'CWO Bulan Ini'!$DH:$DH,'Area-Cabang'!$E147,'CWO Bulan Ini'!$CZ:$CZ,'Area-Cabang'!AJ$41)</f>
        <v>0</v>
      </c>
      <c r="AK147" s="55">
        <f>SUMIFS('CWO Bulan Ini'!$DD:$DD,'CWO Bulan Ini'!$DJ:$DJ,'Area-Cabang'!$B147,'CWO Bulan Ini'!$DH:$DH,'Area-Cabang'!$E147,'CWO Bulan Ini'!$CZ:$CZ,'Area-Cabang'!AK$41)</f>
        <v>0</v>
      </c>
      <c r="AL147" s="56">
        <f>SUMIFS('CWO Bulan Ini'!$DD:$DD,'CWO Bulan Ini'!$DJ:$DJ,'Area-Cabang'!$B147,'CWO Bulan Ini'!$DH:$DH,'Area-Cabang'!$E147,'CWO Bulan Ini'!$CZ:$CZ,'Area-Cabang'!AL$41)</f>
        <v>0</v>
      </c>
      <c r="AM147" s="56">
        <f>SUMIFS('CWO Bulan Ini'!$DD:$DD,'CWO Bulan Ini'!$DJ:$DJ,'Area-Cabang'!$B147,'CWO Bulan Ini'!$DH:$DH,'Area-Cabang'!$E147,'CWO Bulan Ini'!$CZ:$CZ,'Area-Cabang'!AM$41)</f>
        <v>0</v>
      </c>
      <c r="AN147" s="56">
        <f>SUMIFS('CWO Bulan Ini'!$DD:$DD,'CWO Bulan Ini'!$DJ:$DJ,'Area-Cabang'!$B147,'CWO Bulan Ini'!$DH:$DH,'Area-Cabang'!$E147,'CWO Bulan Ini'!$CZ:$CZ,'Area-Cabang'!AN$41)</f>
        <v>0</v>
      </c>
      <c r="AO147" s="56">
        <f>SUMIFS('CWO Bulan Ini'!$DD:$DD,'CWO Bulan Ini'!$DJ:$DJ,'Area-Cabang'!$B147,'CWO Bulan Ini'!$DH:$DH,'Area-Cabang'!$E147,'CWO Bulan Ini'!$CZ:$CZ,'Area-Cabang'!AO$41)</f>
        <v>0</v>
      </c>
      <c r="AP147" s="56">
        <f>SUMIFS('CWO Bulan Ini'!$DD:$DD,'CWO Bulan Ini'!$DJ:$DJ,'Area-Cabang'!$B147,'CWO Bulan Ini'!$DH:$DH,'Area-Cabang'!$E147,'CWO Bulan Ini'!$CZ:$CZ,'Area-Cabang'!AP$41)</f>
        <v>0</v>
      </c>
      <c r="AQ147" s="56">
        <f>SUMIFS('CWO Bulan Ini'!$DD:$DD,'CWO Bulan Ini'!$DJ:$DJ,'Area-Cabang'!$B147,'CWO Bulan Ini'!$DH:$DH,'Area-Cabang'!$E147,'CWO Bulan Ini'!$CZ:$CZ,'Area-Cabang'!AQ$41)</f>
        <v>0</v>
      </c>
      <c r="AR147" s="56">
        <f>SUMIFS('CWO Bulan Ini'!$DD:$DD,'CWO Bulan Ini'!$DJ:$DJ,'Area-Cabang'!$B147,'CWO Bulan Ini'!$DH:$DH,'Area-Cabang'!$E147,'CWO Bulan Ini'!$CZ:$CZ,'Area-Cabang'!AR$41)</f>
        <v>0</v>
      </c>
      <c r="AS147" s="56">
        <f>SUMIFS('CWO Bulan Ini'!$DD:$DD,'CWO Bulan Ini'!$DJ:$DJ,'Area-Cabang'!$B147,'CWO Bulan Ini'!$DH:$DH,'Area-Cabang'!$E147,'CWO Bulan Ini'!$CZ:$CZ,'Area-Cabang'!AS$41)</f>
        <v>0</v>
      </c>
      <c r="AT147" s="56">
        <f>SUMIFS('CWO Bulan Ini'!$DD:$DD,'CWO Bulan Ini'!$DJ:$DJ,'Area-Cabang'!$B147,'CWO Bulan Ini'!$DH:$DH,'Area-Cabang'!$E147,'CWO Bulan Ini'!$CZ:$CZ,'Area-Cabang'!AT$41)</f>
        <v>0</v>
      </c>
      <c r="AU147" s="56">
        <f>SUMIFS('CWO Bulan Ini'!$DD:$DD,'CWO Bulan Ini'!$DJ:$DJ,'Area-Cabang'!$B147,'CWO Bulan Ini'!$DH:$DH,'Area-Cabang'!$E147,'CWO Bulan Ini'!$CZ:$CZ,'Area-Cabang'!AU$41)</f>
        <v>0</v>
      </c>
      <c r="AV147" s="56">
        <f>SUMIFS('CWO Bulan Ini'!$DD:$DD,'CWO Bulan Ini'!$DJ:$DJ,'Area-Cabang'!$B147,'CWO Bulan Ini'!$DH:$DH,'Area-Cabang'!$E147,'CWO Bulan Ini'!$CZ:$CZ,'Area-Cabang'!AV$41)</f>
        <v>0</v>
      </c>
      <c r="AW147" s="56">
        <f>SUMIFS('CWO Bulan Ini'!$DD:$DD,'CWO Bulan Ini'!$DJ:$DJ,'Area-Cabang'!$B147,'CWO Bulan Ini'!$DH:$DH,'Area-Cabang'!$E147,'CWO Bulan Ini'!$CZ:$CZ,'Area-Cabang'!AW$41)</f>
        <v>0</v>
      </c>
      <c r="AX147" s="56">
        <f>SUMIFS('CWO Bulan Ini'!$DD:$DD,'CWO Bulan Ini'!$DJ:$DJ,'Area-Cabang'!$B147,'CWO Bulan Ini'!$DH:$DH,'Area-Cabang'!$E147,'CWO Bulan Ini'!$CZ:$CZ,'Area-Cabang'!AX$41)</f>
        <v>0</v>
      </c>
      <c r="AY147" s="56">
        <f>SUMIFS('CWO Bulan Ini'!$DD:$DD,'CWO Bulan Ini'!$DJ:$DJ,'Area-Cabang'!$B147,'CWO Bulan Ini'!$DH:$DH,'Area-Cabang'!$E147,'CWO Bulan Ini'!$CZ:$CZ,'Area-Cabang'!AY$41)</f>
        <v>0</v>
      </c>
      <c r="AZ147" s="56">
        <f>SUMIFS('CWO Bulan Ini'!$DD:$DD,'CWO Bulan Ini'!$DJ:$DJ,'Area-Cabang'!$B147,'CWO Bulan Ini'!$DH:$DH,'Area-Cabang'!$E147,'CWO Bulan Ini'!$CZ:$CZ,'Area-Cabang'!AZ$41)</f>
        <v>0</v>
      </c>
      <c r="BA147" s="56">
        <f>SUMIFS('CWO Bulan Ini'!$DD:$DD,'CWO Bulan Ini'!$DJ:$DJ,'Area-Cabang'!$B147,'CWO Bulan Ini'!$DH:$DH,'Area-Cabang'!$E147,'CWO Bulan Ini'!$CZ:$CZ,'Area-Cabang'!BA$41)</f>
        <v>0</v>
      </c>
      <c r="BB147" s="56">
        <f>SUMIFS('CWO Bulan Ini'!$DD:$DD,'CWO Bulan Ini'!$DJ:$DJ,'Area-Cabang'!$B147,'CWO Bulan Ini'!$DH:$DH,'Area-Cabang'!$E147,'CWO Bulan Ini'!$CZ:$CZ,'Area-Cabang'!BB$41)</f>
        <v>0</v>
      </c>
      <c r="BC147" s="56">
        <f>SUMIFS('CWO Bulan Ini'!$DD:$DD,'CWO Bulan Ini'!$DJ:$DJ,'Area-Cabang'!$B147,'CWO Bulan Ini'!$DH:$DH,'Area-Cabang'!$E147,'CWO Bulan Ini'!$CZ:$CZ,'Area-Cabang'!BC$41)</f>
        <v>0</v>
      </c>
      <c r="BD147" s="56">
        <f>SUMIFS('CWO Bulan Ini'!$DD:$DD,'CWO Bulan Ini'!$DJ:$DJ,'Area-Cabang'!$B147,'CWO Bulan Ini'!$DH:$DH,'Area-Cabang'!$E147,'CWO Bulan Ini'!$CZ:$CZ,'Area-Cabang'!BD$41)</f>
        <v>0</v>
      </c>
      <c r="BE147" s="56">
        <f>SUMIFS('CWO Bulan Ini'!$DD:$DD,'CWO Bulan Ini'!$DJ:$DJ,'Area-Cabang'!$B147,'CWO Bulan Ini'!$DH:$DH,'Area-Cabang'!$E147,'CWO Bulan Ini'!$CZ:$CZ,'Area-Cabang'!BE$41)</f>
        <v>0</v>
      </c>
      <c r="BF147" s="56">
        <f>SUMIFS('CWO Bulan Ini'!$DD:$DD,'CWO Bulan Ini'!$DJ:$DJ,'Area-Cabang'!$B147,'CWO Bulan Ini'!$DH:$DH,'Area-Cabang'!$E147,'CWO Bulan Ini'!$CZ:$CZ,'Area-Cabang'!BF$41)</f>
        <v>0</v>
      </c>
      <c r="BG147" s="56">
        <f>SUMIFS('CWO Bulan Ini'!$DD:$DD,'CWO Bulan Ini'!$DJ:$DJ,'Area-Cabang'!$B147,'CWO Bulan Ini'!$DH:$DH,'Area-Cabang'!$E147,'CWO Bulan Ini'!$CZ:$CZ,'Area-Cabang'!BG$41)</f>
        <v>0</v>
      </c>
      <c r="BH147" s="56">
        <f>SUMIFS('CWO Bulan Ini'!$DD:$DD,'CWO Bulan Ini'!$DJ:$DJ,'Area-Cabang'!$B147,'CWO Bulan Ini'!$DH:$DH,'Area-Cabang'!$E147,'CWO Bulan Ini'!$CZ:$CZ,'Area-Cabang'!BH$41)</f>
        <v>0</v>
      </c>
      <c r="BI147" s="56">
        <f>SUMIFS('CWO Bulan Ini'!$DD:$DD,'CWO Bulan Ini'!$DJ:$DJ,'Area-Cabang'!$B147,'CWO Bulan Ini'!$DH:$DH,'Area-Cabang'!$E147,'CWO Bulan Ini'!$CZ:$CZ,'Area-Cabang'!BI$41)</f>
        <v>0</v>
      </c>
      <c r="BJ147" s="56">
        <f>SUMIFS('CWO Bulan Ini'!$DD:$DD,'CWO Bulan Ini'!$DJ:$DJ,'Area-Cabang'!$B147,'CWO Bulan Ini'!$DH:$DH,'Area-Cabang'!$E147,'CWO Bulan Ini'!$CZ:$CZ,'Area-Cabang'!BJ$41)</f>
        <v>0</v>
      </c>
      <c r="BK147" s="56">
        <f>SUMIFS('CWO Bulan Ini'!$DD:$DD,'CWO Bulan Ini'!$DJ:$DJ,'Area-Cabang'!$B147,'CWO Bulan Ini'!$DH:$DH,'Area-Cabang'!$E147,'CWO Bulan Ini'!$CZ:$CZ,'Area-Cabang'!BK$41)</f>
        <v>0</v>
      </c>
      <c r="BL147" s="56">
        <f>SUMIFS('CWO Bulan Ini'!$DD:$DD,'CWO Bulan Ini'!$DJ:$DJ,'Area-Cabang'!$B147,'CWO Bulan Ini'!$DH:$DH,'Area-Cabang'!$E147,'CWO Bulan Ini'!$CZ:$CZ,'Area-Cabang'!BL$41)</f>
        <v>0</v>
      </c>
      <c r="BM147" s="56">
        <f>SUMIFS('CWO Bulan Ini'!$DD:$DD,'CWO Bulan Ini'!$DJ:$DJ,'Area-Cabang'!$B147,'CWO Bulan Ini'!$DH:$DH,'Area-Cabang'!$E147,'CWO Bulan Ini'!$CZ:$CZ,'Area-Cabang'!BM$41)</f>
        <v>0</v>
      </c>
      <c r="BN147" s="56">
        <f>SUMIFS('CWO Bulan Ini'!$DD:$DD,'CWO Bulan Ini'!$DJ:$DJ,'Area-Cabang'!$B147,'CWO Bulan Ini'!$DH:$DH,'Area-Cabang'!$E147,'CWO Bulan Ini'!$CZ:$CZ,'Area-Cabang'!BN$41)</f>
        <v>0</v>
      </c>
      <c r="BO147" s="57">
        <f>SUMIFS('CWO Bulan Ini'!$DD:$DD,'CWO Bulan Ini'!$DJ:$DJ,'Area-Cabang'!$B147,'CWO Bulan Ini'!$DH:$DH,'Area-Cabang'!$E147,'CWO Bulan Ini'!$CZ:$CZ,'Area-Cabang'!BO$41)</f>
        <v>0</v>
      </c>
      <c r="BP147" s="55">
        <f>SUMIFS('CWO Bulan Ini'!$DC:$DC,'CWO Bulan Ini'!$DJ:$DJ,'Area-Cabang'!$B147,'CWO Bulan Ini'!$DH:$DH,'Area-Cabang'!$E147,'CWO Bulan Ini'!$CZ:$CZ,'Area-Cabang'!BP$41)</f>
        <v>0</v>
      </c>
      <c r="BQ147" s="56">
        <f>SUMIFS('CWO Bulan Ini'!$DC:$DC,'CWO Bulan Ini'!$DJ:$DJ,'Area-Cabang'!$B147,'CWO Bulan Ini'!$DH:$DH,'Area-Cabang'!$E147,'CWO Bulan Ini'!$CZ:$CZ,'Area-Cabang'!BQ$41)</f>
        <v>0</v>
      </c>
      <c r="BR147" s="56">
        <f>SUMIFS('CWO Bulan Ini'!$DC:$DC,'CWO Bulan Ini'!$DJ:$DJ,'Area-Cabang'!$B147,'CWO Bulan Ini'!$DH:$DH,'Area-Cabang'!$E147,'CWO Bulan Ini'!$CZ:$CZ,'Area-Cabang'!BR$41)</f>
        <v>0</v>
      </c>
      <c r="BS147" s="56">
        <f>SUMIFS('CWO Bulan Ini'!$DC:$DC,'CWO Bulan Ini'!$DJ:$DJ,'Area-Cabang'!$B147,'CWO Bulan Ini'!$DH:$DH,'Area-Cabang'!$E147,'CWO Bulan Ini'!$CZ:$CZ,'Area-Cabang'!BS$41)</f>
        <v>0</v>
      </c>
      <c r="BT147" s="56">
        <f>SUMIFS('CWO Bulan Ini'!$DC:$DC,'CWO Bulan Ini'!$DJ:$DJ,'Area-Cabang'!$B147,'CWO Bulan Ini'!$DH:$DH,'Area-Cabang'!$E147,'CWO Bulan Ini'!$CZ:$CZ,'Area-Cabang'!BT$41)</f>
        <v>0</v>
      </c>
      <c r="BU147" s="56">
        <f>SUMIFS('CWO Bulan Ini'!$DC:$DC,'CWO Bulan Ini'!$DJ:$DJ,'Area-Cabang'!$B147,'CWO Bulan Ini'!$DH:$DH,'Area-Cabang'!$E147,'CWO Bulan Ini'!$CZ:$CZ,'Area-Cabang'!BU$41)</f>
        <v>0</v>
      </c>
      <c r="BV147" s="56">
        <f>SUMIFS('CWO Bulan Ini'!$DC:$DC,'CWO Bulan Ini'!$DJ:$DJ,'Area-Cabang'!$B147,'CWO Bulan Ini'!$DH:$DH,'Area-Cabang'!$E147,'CWO Bulan Ini'!$CZ:$CZ,'Area-Cabang'!BV$41)</f>
        <v>0</v>
      </c>
      <c r="BW147" s="56">
        <f>SUMIFS('CWO Bulan Ini'!$DC:$DC,'CWO Bulan Ini'!$DJ:$DJ,'Area-Cabang'!$B147,'CWO Bulan Ini'!$DH:$DH,'Area-Cabang'!$E147,'CWO Bulan Ini'!$CZ:$CZ,'Area-Cabang'!BW$41)</f>
        <v>0</v>
      </c>
      <c r="BX147" s="56">
        <f>SUMIFS('CWO Bulan Ini'!$DC:$DC,'CWO Bulan Ini'!$DJ:$DJ,'Area-Cabang'!$B147,'CWO Bulan Ini'!$DH:$DH,'Area-Cabang'!$E147,'CWO Bulan Ini'!$CZ:$CZ,'Area-Cabang'!BX$41)</f>
        <v>0</v>
      </c>
      <c r="BY147" s="56">
        <f>SUMIFS('CWO Bulan Ini'!$DC:$DC,'CWO Bulan Ini'!$DJ:$DJ,'Area-Cabang'!$B147,'CWO Bulan Ini'!$DH:$DH,'Area-Cabang'!$E147,'CWO Bulan Ini'!$CZ:$CZ,'Area-Cabang'!BY$41)</f>
        <v>0</v>
      </c>
      <c r="BZ147" s="56">
        <f>SUMIFS('CWO Bulan Ini'!$DC:$DC,'CWO Bulan Ini'!$DJ:$DJ,'Area-Cabang'!$B147,'CWO Bulan Ini'!$DH:$DH,'Area-Cabang'!$E147,'CWO Bulan Ini'!$CZ:$CZ,'Area-Cabang'!BZ$41)</f>
        <v>0</v>
      </c>
      <c r="CA147" s="56">
        <f>SUMIFS('CWO Bulan Ini'!$DC:$DC,'CWO Bulan Ini'!$DJ:$DJ,'Area-Cabang'!$B147,'CWO Bulan Ini'!$DH:$DH,'Area-Cabang'!$E147,'CWO Bulan Ini'!$CZ:$CZ,'Area-Cabang'!CA$41)</f>
        <v>0</v>
      </c>
      <c r="CB147" s="56">
        <f>SUMIFS('CWO Bulan Ini'!$DC:$DC,'CWO Bulan Ini'!$DJ:$DJ,'Area-Cabang'!$B147,'CWO Bulan Ini'!$DH:$DH,'Area-Cabang'!$E147,'CWO Bulan Ini'!$CZ:$CZ,'Area-Cabang'!CB$41)</f>
        <v>0</v>
      </c>
      <c r="CC147" s="56">
        <f>SUMIFS('CWO Bulan Ini'!$DC:$DC,'CWO Bulan Ini'!$DJ:$DJ,'Area-Cabang'!$B147,'CWO Bulan Ini'!$DH:$DH,'Area-Cabang'!$E147,'CWO Bulan Ini'!$CZ:$CZ,'Area-Cabang'!CC$41)</f>
        <v>0</v>
      </c>
      <c r="CD147" s="56">
        <f>SUMIFS('CWO Bulan Ini'!$DC:$DC,'CWO Bulan Ini'!$DJ:$DJ,'Area-Cabang'!$B147,'CWO Bulan Ini'!$DH:$DH,'Area-Cabang'!$E147,'CWO Bulan Ini'!$CZ:$CZ,'Area-Cabang'!CD$41)</f>
        <v>0</v>
      </c>
      <c r="CE147" s="56">
        <f>SUMIFS('CWO Bulan Ini'!$DC:$DC,'CWO Bulan Ini'!$DJ:$DJ,'Area-Cabang'!$B147,'CWO Bulan Ini'!$DH:$DH,'Area-Cabang'!$E147,'CWO Bulan Ini'!$CZ:$CZ,'Area-Cabang'!CE$41)</f>
        <v>0</v>
      </c>
      <c r="CF147" s="56">
        <f>SUMIFS('CWO Bulan Ini'!$DC:$DC,'CWO Bulan Ini'!$DJ:$DJ,'Area-Cabang'!$B147,'CWO Bulan Ini'!$DH:$DH,'Area-Cabang'!$E147,'CWO Bulan Ini'!$CZ:$CZ,'Area-Cabang'!CF$41)</f>
        <v>0</v>
      </c>
      <c r="CG147" s="56">
        <f>SUMIFS('CWO Bulan Ini'!$DC:$DC,'CWO Bulan Ini'!$DJ:$DJ,'Area-Cabang'!$B147,'CWO Bulan Ini'!$DH:$DH,'Area-Cabang'!$E147,'CWO Bulan Ini'!$CZ:$CZ,'Area-Cabang'!CG$41)</f>
        <v>0</v>
      </c>
      <c r="CH147" s="56">
        <f>SUMIFS('CWO Bulan Ini'!$DC:$DC,'CWO Bulan Ini'!$DJ:$DJ,'Area-Cabang'!$B147,'CWO Bulan Ini'!$DH:$DH,'Area-Cabang'!$E147,'CWO Bulan Ini'!$CZ:$CZ,'Area-Cabang'!CH$41)</f>
        <v>0</v>
      </c>
      <c r="CI147" s="56">
        <f>SUMIFS('CWO Bulan Ini'!$DC:$DC,'CWO Bulan Ini'!$DJ:$DJ,'Area-Cabang'!$B147,'CWO Bulan Ini'!$DH:$DH,'Area-Cabang'!$E147,'CWO Bulan Ini'!$CZ:$CZ,'Area-Cabang'!CI$41)</f>
        <v>0</v>
      </c>
      <c r="CJ147" s="56">
        <f>SUMIFS('CWO Bulan Ini'!$DC:$DC,'CWO Bulan Ini'!$DJ:$DJ,'Area-Cabang'!$B147,'CWO Bulan Ini'!$DH:$DH,'Area-Cabang'!$E147,'CWO Bulan Ini'!$CZ:$CZ,'Area-Cabang'!CJ$41)</f>
        <v>0</v>
      </c>
      <c r="CK147" s="56">
        <f>SUMIFS('CWO Bulan Ini'!$DC:$DC,'CWO Bulan Ini'!$DJ:$DJ,'Area-Cabang'!$B147,'CWO Bulan Ini'!$DH:$DH,'Area-Cabang'!$E147,'CWO Bulan Ini'!$CZ:$CZ,'Area-Cabang'!CK$41)</f>
        <v>0</v>
      </c>
      <c r="CL147" s="56">
        <f>SUMIFS('CWO Bulan Ini'!$DC:$DC,'CWO Bulan Ini'!$DJ:$DJ,'Area-Cabang'!$B147,'CWO Bulan Ini'!$DH:$DH,'Area-Cabang'!$E147,'CWO Bulan Ini'!$CZ:$CZ,'Area-Cabang'!CL$41)</f>
        <v>0</v>
      </c>
      <c r="CM147" s="56">
        <f>SUMIFS('CWO Bulan Ini'!$DC:$DC,'CWO Bulan Ini'!$DJ:$DJ,'Area-Cabang'!$B147,'CWO Bulan Ini'!$DH:$DH,'Area-Cabang'!$E147,'CWO Bulan Ini'!$CZ:$CZ,'Area-Cabang'!CM$41)</f>
        <v>0</v>
      </c>
      <c r="CN147" s="56">
        <f>SUMIFS('CWO Bulan Ini'!$DC:$DC,'CWO Bulan Ini'!$DJ:$DJ,'Area-Cabang'!$B147,'CWO Bulan Ini'!$DH:$DH,'Area-Cabang'!$E147,'CWO Bulan Ini'!$CZ:$CZ,'Area-Cabang'!CN$41)</f>
        <v>0</v>
      </c>
      <c r="CO147" s="56">
        <f>SUMIFS('CWO Bulan Ini'!$DC:$DC,'CWO Bulan Ini'!$DJ:$DJ,'Area-Cabang'!$B147,'CWO Bulan Ini'!$DH:$DH,'Area-Cabang'!$E147,'CWO Bulan Ini'!$CZ:$CZ,'Area-Cabang'!CO$41)</f>
        <v>0</v>
      </c>
      <c r="CP147" s="56">
        <f>SUMIFS('CWO Bulan Ini'!$DC:$DC,'CWO Bulan Ini'!$DJ:$DJ,'Area-Cabang'!$B147,'CWO Bulan Ini'!$DH:$DH,'Area-Cabang'!$E147,'CWO Bulan Ini'!$CZ:$CZ,'Area-Cabang'!CP$41)</f>
        <v>0</v>
      </c>
      <c r="CQ147" s="56">
        <f>SUMIFS('CWO Bulan Ini'!$DC:$DC,'CWO Bulan Ini'!$DJ:$DJ,'Area-Cabang'!$B147,'CWO Bulan Ini'!$DH:$DH,'Area-Cabang'!$E147,'CWO Bulan Ini'!$CZ:$CZ,'Area-Cabang'!CQ$41)</f>
        <v>0</v>
      </c>
      <c r="CR147" s="56">
        <f>SUMIFS('CWO Bulan Ini'!$DC:$DC,'CWO Bulan Ini'!$DJ:$DJ,'Area-Cabang'!$B147,'CWO Bulan Ini'!$DH:$DH,'Area-Cabang'!$E147,'CWO Bulan Ini'!$CZ:$CZ,'Area-Cabang'!CR$41)</f>
        <v>0</v>
      </c>
      <c r="CS147" s="56">
        <f>SUMIFS('CWO Bulan Ini'!$DC:$DC,'CWO Bulan Ini'!$DJ:$DJ,'Area-Cabang'!$B147,'CWO Bulan Ini'!$DH:$DH,'Area-Cabang'!$E147,'CWO Bulan Ini'!$CZ:$CZ,'Area-Cabang'!CS$41)</f>
        <v>0</v>
      </c>
      <c r="CT147" s="57">
        <f>SUMIFS('CWO Bulan Ini'!$DC:$DC,'CWO Bulan Ini'!$DJ:$DJ,'Area-Cabang'!$B147,'CWO Bulan Ini'!$DH:$DH,'Area-Cabang'!$E147,'CWO Bulan Ini'!$CZ:$CZ,'Area-Cabang'!CT$41)</f>
        <v>0</v>
      </c>
      <c r="CV147" s="97">
        <f t="shared" ref="CV147:CV148" si="4586">SUM(F147:AJ147)</f>
        <v>114.27459906999999</v>
      </c>
      <c r="CW147" s="98">
        <f t="shared" ref="CW147:CW148" si="4587">SUM(AK147:BO147)</f>
        <v>0</v>
      </c>
      <c r="CX147" s="98">
        <f t="shared" ref="CX147:CX148" si="4588">SUM(BP147:CT147)</f>
        <v>0</v>
      </c>
      <c r="CY147" s="98">
        <f t="shared" ref="CY147:CY148" si="4589">CV147-CW147-CX147</f>
        <v>114.27459906999999</v>
      </c>
      <c r="CZ147" s="105">
        <f t="shared" ref="CZ147:CZ148" si="4590">CY147+CW147</f>
        <v>114.27459906999999</v>
      </c>
    </row>
    <row r="148" spans="1:104" ht="15" customHeight="1" x14ac:dyDescent="0.25">
      <c r="A148" s="58" t="s">
        <v>500</v>
      </c>
      <c r="B148" s="58" t="s">
        <v>302</v>
      </c>
      <c r="C148" s="250"/>
      <c r="D148" s="244"/>
      <c r="E148" s="40" t="s">
        <v>349</v>
      </c>
      <c r="F148" s="41">
        <f>SUMIFS('CWO Bulan Ini'!$DA:$DA,'CWO Bulan Ini'!$DJ:$DJ,'Area-Cabang'!$B148,'CWO Bulan Ini'!$DH:$DH,'Area-Cabang'!$E148,'CWO Bulan Ini'!$CZ:$CZ,'Area-Cabang'!F$41)</f>
        <v>0</v>
      </c>
      <c r="G148" s="42">
        <f>SUMIFS('CWO Bulan Ini'!$DA:$DA,'CWO Bulan Ini'!$DJ:$DJ,'Area-Cabang'!$B148,'CWO Bulan Ini'!$DH:$DH,'Area-Cabang'!$E148,'CWO Bulan Ini'!$CZ:$CZ,'Area-Cabang'!G$41)</f>
        <v>0</v>
      </c>
      <c r="H148" s="42">
        <f>SUMIFS('CWO Bulan Ini'!$DA:$DA,'CWO Bulan Ini'!$DJ:$DJ,'Area-Cabang'!$B148,'CWO Bulan Ini'!$DH:$DH,'Area-Cabang'!$E148,'CWO Bulan Ini'!$CZ:$CZ,'Area-Cabang'!H$41)</f>
        <v>0</v>
      </c>
      <c r="I148" s="42">
        <f>SUMIFS('CWO Bulan Ini'!$DA:$DA,'CWO Bulan Ini'!$DJ:$DJ,'Area-Cabang'!$B148,'CWO Bulan Ini'!$DH:$DH,'Area-Cabang'!$E148,'CWO Bulan Ini'!$CZ:$CZ,'Area-Cabang'!I$41)</f>
        <v>0</v>
      </c>
      <c r="J148" s="42">
        <f>SUMIFS('CWO Bulan Ini'!$DA:$DA,'CWO Bulan Ini'!$DJ:$DJ,'Area-Cabang'!$B148,'CWO Bulan Ini'!$DH:$DH,'Area-Cabang'!$E148,'CWO Bulan Ini'!$CZ:$CZ,'Area-Cabang'!J$41)</f>
        <v>0</v>
      </c>
      <c r="K148" s="42">
        <f>SUMIFS('CWO Bulan Ini'!$DA:$DA,'CWO Bulan Ini'!$DJ:$DJ,'Area-Cabang'!$B148,'CWO Bulan Ini'!$DH:$DH,'Area-Cabang'!$E148,'CWO Bulan Ini'!$CZ:$CZ,'Area-Cabang'!K$41)</f>
        <v>0</v>
      </c>
      <c r="L148" s="42">
        <f>SUMIFS('CWO Bulan Ini'!$DA:$DA,'CWO Bulan Ini'!$DJ:$DJ,'Area-Cabang'!$B148,'CWO Bulan Ini'!$DH:$DH,'Area-Cabang'!$E148,'CWO Bulan Ini'!$CZ:$CZ,'Area-Cabang'!L$41)</f>
        <v>0</v>
      </c>
      <c r="M148" s="42">
        <f>SUMIFS('CWO Bulan Ini'!$DA:$DA,'CWO Bulan Ini'!$DJ:$DJ,'Area-Cabang'!$B148,'CWO Bulan Ini'!$DH:$DH,'Area-Cabang'!$E148,'CWO Bulan Ini'!$CZ:$CZ,'Area-Cabang'!M$41)</f>
        <v>0</v>
      </c>
      <c r="N148" s="42">
        <f>SUMIFS('CWO Bulan Ini'!$DA:$DA,'CWO Bulan Ini'!$DJ:$DJ,'Area-Cabang'!$B148,'CWO Bulan Ini'!$DH:$DH,'Area-Cabang'!$E148,'CWO Bulan Ini'!$CZ:$CZ,'Area-Cabang'!N$41)</f>
        <v>0</v>
      </c>
      <c r="O148" s="42">
        <f>SUMIFS('CWO Bulan Ini'!$DA:$DA,'CWO Bulan Ini'!$DJ:$DJ,'Area-Cabang'!$B148,'CWO Bulan Ini'!$DH:$DH,'Area-Cabang'!$E148,'CWO Bulan Ini'!$CZ:$CZ,'Area-Cabang'!O$41)</f>
        <v>0</v>
      </c>
      <c r="P148" s="42">
        <f>SUMIFS('CWO Bulan Ini'!$DA:$DA,'CWO Bulan Ini'!$DJ:$DJ,'Area-Cabang'!$B148,'CWO Bulan Ini'!$DH:$DH,'Area-Cabang'!$E148,'CWO Bulan Ini'!$CZ:$CZ,'Area-Cabang'!P$41)</f>
        <v>0</v>
      </c>
      <c r="Q148" s="42">
        <f>SUMIFS('CWO Bulan Ini'!$DA:$DA,'CWO Bulan Ini'!$DJ:$DJ,'Area-Cabang'!$B148,'CWO Bulan Ini'!$DH:$DH,'Area-Cabang'!$E148,'CWO Bulan Ini'!$CZ:$CZ,'Area-Cabang'!Q$41)</f>
        <v>0</v>
      </c>
      <c r="R148" s="42">
        <f>SUMIFS('CWO Bulan Ini'!$DA:$DA,'CWO Bulan Ini'!$DJ:$DJ,'Area-Cabang'!$B148,'CWO Bulan Ini'!$DH:$DH,'Area-Cabang'!$E148,'CWO Bulan Ini'!$CZ:$CZ,'Area-Cabang'!R$41)</f>
        <v>0</v>
      </c>
      <c r="S148" s="42">
        <f>SUMIFS('CWO Bulan Ini'!$DA:$DA,'CWO Bulan Ini'!$DJ:$DJ,'Area-Cabang'!$B148,'CWO Bulan Ini'!$DH:$DH,'Area-Cabang'!$E148,'CWO Bulan Ini'!$CZ:$CZ,'Area-Cabang'!S$41)</f>
        <v>0</v>
      </c>
      <c r="T148" s="42">
        <f>SUMIFS('CWO Bulan Ini'!$DA:$DA,'CWO Bulan Ini'!$DJ:$DJ,'Area-Cabang'!$B148,'CWO Bulan Ini'!$DH:$DH,'Area-Cabang'!$E148,'CWO Bulan Ini'!$CZ:$CZ,'Area-Cabang'!T$41)</f>
        <v>0</v>
      </c>
      <c r="U148" s="42">
        <f>SUMIFS('CWO Bulan Ini'!$DA:$DA,'CWO Bulan Ini'!$DJ:$DJ,'Area-Cabang'!$B148,'CWO Bulan Ini'!$DH:$DH,'Area-Cabang'!$E148,'CWO Bulan Ini'!$CZ:$CZ,'Area-Cabang'!U$41)</f>
        <v>0</v>
      </c>
      <c r="V148" s="42">
        <f>SUMIFS('CWO Bulan Ini'!$DA:$DA,'CWO Bulan Ini'!$DJ:$DJ,'Area-Cabang'!$B148,'CWO Bulan Ini'!$DH:$DH,'Area-Cabang'!$E148,'CWO Bulan Ini'!$CZ:$CZ,'Area-Cabang'!V$41)</f>
        <v>0</v>
      </c>
      <c r="W148" s="42">
        <f>SUMIFS('CWO Bulan Ini'!$DA:$DA,'CWO Bulan Ini'!$DJ:$DJ,'Area-Cabang'!$B148,'CWO Bulan Ini'!$DH:$DH,'Area-Cabang'!$E148,'CWO Bulan Ini'!$CZ:$CZ,'Area-Cabang'!W$41)</f>
        <v>0</v>
      </c>
      <c r="X148" s="42">
        <f>SUMIFS('CWO Bulan Ini'!$DA:$DA,'CWO Bulan Ini'!$DJ:$DJ,'Area-Cabang'!$B148,'CWO Bulan Ini'!$DH:$DH,'Area-Cabang'!$E148,'CWO Bulan Ini'!$CZ:$CZ,'Area-Cabang'!X$41)</f>
        <v>0</v>
      </c>
      <c r="Y148" s="42">
        <f>SUMIFS('CWO Bulan Ini'!$DA:$DA,'CWO Bulan Ini'!$DJ:$DJ,'Area-Cabang'!$B148,'CWO Bulan Ini'!$DH:$DH,'Area-Cabang'!$E148,'CWO Bulan Ini'!$CZ:$CZ,'Area-Cabang'!Y$41)</f>
        <v>0</v>
      </c>
      <c r="Z148" s="42">
        <f>SUMIFS('CWO Bulan Ini'!$DA:$DA,'CWO Bulan Ini'!$DJ:$DJ,'Area-Cabang'!$B148,'CWO Bulan Ini'!$DH:$DH,'Area-Cabang'!$E148,'CWO Bulan Ini'!$CZ:$CZ,'Area-Cabang'!Z$41)</f>
        <v>0</v>
      </c>
      <c r="AA148" s="42">
        <f>SUMIFS('CWO Bulan Ini'!$DA:$DA,'CWO Bulan Ini'!$DJ:$DJ,'Area-Cabang'!$B148,'CWO Bulan Ini'!$DH:$DH,'Area-Cabang'!$E148,'CWO Bulan Ini'!$CZ:$CZ,'Area-Cabang'!AA$41)</f>
        <v>0</v>
      </c>
      <c r="AB148" s="42">
        <f>SUMIFS('CWO Bulan Ini'!$DA:$DA,'CWO Bulan Ini'!$DJ:$DJ,'Area-Cabang'!$B148,'CWO Bulan Ini'!$DH:$DH,'Area-Cabang'!$E148,'CWO Bulan Ini'!$CZ:$CZ,'Area-Cabang'!AB$41)</f>
        <v>0</v>
      </c>
      <c r="AC148" s="42">
        <f>SUMIFS('CWO Bulan Ini'!$DA:$DA,'CWO Bulan Ini'!$DJ:$DJ,'Area-Cabang'!$B148,'CWO Bulan Ini'!$DH:$DH,'Area-Cabang'!$E148,'CWO Bulan Ini'!$CZ:$CZ,'Area-Cabang'!AC$41)</f>
        <v>0</v>
      </c>
      <c r="AD148" s="42">
        <f>SUMIFS('CWO Bulan Ini'!$DA:$DA,'CWO Bulan Ini'!$DJ:$DJ,'Area-Cabang'!$B148,'CWO Bulan Ini'!$DH:$DH,'Area-Cabang'!$E148,'CWO Bulan Ini'!$CZ:$CZ,'Area-Cabang'!AD$41)</f>
        <v>0</v>
      </c>
      <c r="AE148" s="42">
        <f>SUMIFS('CWO Bulan Ini'!$DA:$DA,'CWO Bulan Ini'!$DJ:$DJ,'Area-Cabang'!$B148,'CWO Bulan Ini'!$DH:$DH,'Area-Cabang'!$E148,'CWO Bulan Ini'!$CZ:$CZ,'Area-Cabang'!AE$41)</f>
        <v>0</v>
      </c>
      <c r="AF148" s="42">
        <f>SUMIFS('CWO Bulan Ini'!$DA:$DA,'CWO Bulan Ini'!$DJ:$DJ,'Area-Cabang'!$B148,'CWO Bulan Ini'!$DH:$DH,'Area-Cabang'!$E148,'CWO Bulan Ini'!$CZ:$CZ,'Area-Cabang'!AF$41)</f>
        <v>0</v>
      </c>
      <c r="AG148" s="42">
        <f>SUMIFS('CWO Bulan Ini'!$DA:$DA,'CWO Bulan Ini'!$DJ:$DJ,'Area-Cabang'!$B148,'CWO Bulan Ini'!$DH:$DH,'Area-Cabang'!$E148,'CWO Bulan Ini'!$CZ:$CZ,'Area-Cabang'!AG$41)</f>
        <v>0</v>
      </c>
      <c r="AH148" s="42">
        <f>SUMIFS('CWO Bulan Ini'!$DA:$DA,'CWO Bulan Ini'!$DJ:$DJ,'Area-Cabang'!$B148,'CWO Bulan Ini'!$DH:$DH,'Area-Cabang'!$E148,'CWO Bulan Ini'!$CZ:$CZ,'Area-Cabang'!AH$41)</f>
        <v>0</v>
      </c>
      <c r="AI148" s="42">
        <f>SUMIFS('CWO Bulan Ini'!$DA:$DA,'CWO Bulan Ini'!$DJ:$DJ,'Area-Cabang'!$B148,'CWO Bulan Ini'!$DH:$DH,'Area-Cabang'!$E148,'CWO Bulan Ini'!$CZ:$CZ,'Area-Cabang'!AI$41)</f>
        <v>0</v>
      </c>
      <c r="AJ148" s="42">
        <f>SUMIFS('CWO Bulan Ini'!$DA:$DA,'CWO Bulan Ini'!$DJ:$DJ,'Area-Cabang'!$B148,'CWO Bulan Ini'!$DH:$DH,'Area-Cabang'!$E148,'CWO Bulan Ini'!$CZ:$CZ,'Area-Cabang'!AJ$41)</f>
        <v>0</v>
      </c>
      <c r="AK148" s="41">
        <f>SUMIFS('CWO Bulan Ini'!$DD:$DD,'CWO Bulan Ini'!$DJ:$DJ,'Area-Cabang'!$B148,'CWO Bulan Ini'!$DH:$DH,'Area-Cabang'!$E148,'CWO Bulan Ini'!$CZ:$CZ,'Area-Cabang'!AK$41)</f>
        <v>0</v>
      </c>
      <c r="AL148" s="42">
        <f>SUMIFS('CWO Bulan Ini'!$DD:$DD,'CWO Bulan Ini'!$DJ:$DJ,'Area-Cabang'!$B148,'CWO Bulan Ini'!$DH:$DH,'Area-Cabang'!$E148,'CWO Bulan Ini'!$CZ:$CZ,'Area-Cabang'!AL$41)</f>
        <v>0</v>
      </c>
      <c r="AM148" s="42">
        <f>SUMIFS('CWO Bulan Ini'!$DD:$DD,'CWO Bulan Ini'!$DJ:$DJ,'Area-Cabang'!$B148,'CWO Bulan Ini'!$DH:$DH,'Area-Cabang'!$E148,'CWO Bulan Ini'!$CZ:$CZ,'Area-Cabang'!AM$41)</f>
        <v>0</v>
      </c>
      <c r="AN148" s="42">
        <f>SUMIFS('CWO Bulan Ini'!$DD:$DD,'CWO Bulan Ini'!$DJ:$DJ,'Area-Cabang'!$B148,'CWO Bulan Ini'!$DH:$DH,'Area-Cabang'!$E148,'CWO Bulan Ini'!$CZ:$CZ,'Area-Cabang'!AN$41)</f>
        <v>0</v>
      </c>
      <c r="AO148" s="42">
        <f>SUMIFS('CWO Bulan Ini'!$DD:$DD,'CWO Bulan Ini'!$DJ:$DJ,'Area-Cabang'!$B148,'CWO Bulan Ini'!$DH:$DH,'Area-Cabang'!$E148,'CWO Bulan Ini'!$CZ:$CZ,'Area-Cabang'!AO$41)</f>
        <v>0</v>
      </c>
      <c r="AP148" s="42">
        <f>SUMIFS('CWO Bulan Ini'!$DD:$DD,'CWO Bulan Ini'!$DJ:$DJ,'Area-Cabang'!$B148,'CWO Bulan Ini'!$DH:$DH,'Area-Cabang'!$E148,'CWO Bulan Ini'!$CZ:$CZ,'Area-Cabang'!AP$41)</f>
        <v>0</v>
      </c>
      <c r="AQ148" s="42">
        <f>SUMIFS('CWO Bulan Ini'!$DD:$DD,'CWO Bulan Ini'!$DJ:$DJ,'Area-Cabang'!$B148,'CWO Bulan Ini'!$DH:$DH,'Area-Cabang'!$E148,'CWO Bulan Ini'!$CZ:$CZ,'Area-Cabang'!AQ$41)</f>
        <v>0</v>
      </c>
      <c r="AR148" s="42">
        <f>SUMIFS('CWO Bulan Ini'!$DD:$DD,'CWO Bulan Ini'!$DJ:$DJ,'Area-Cabang'!$B148,'CWO Bulan Ini'!$DH:$DH,'Area-Cabang'!$E148,'CWO Bulan Ini'!$CZ:$CZ,'Area-Cabang'!AR$41)</f>
        <v>0</v>
      </c>
      <c r="AS148" s="42">
        <f>SUMIFS('CWO Bulan Ini'!$DD:$DD,'CWO Bulan Ini'!$DJ:$DJ,'Area-Cabang'!$B148,'CWO Bulan Ini'!$DH:$DH,'Area-Cabang'!$E148,'CWO Bulan Ini'!$CZ:$CZ,'Area-Cabang'!AS$41)</f>
        <v>0</v>
      </c>
      <c r="AT148" s="42">
        <f>SUMIFS('CWO Bulan Ini'!$DD:$DD,'CWO Bulan Ini'!$DJ:$DJ,'Area-Cabang'!$B148,'CWO Bulan Ini'!$DH:$DH,'Area-Cabang'!$E148,'CWO Bulan Ini'!$CZ:$CZ,'Area-Cabang'!AT$41)</f>
        <v>0</v>
      </c>
      <c r="AU148" s="42">
        <f>SUMIFS('CWO Bulan Ini'!$DD:$DD,'CWO Bulan Ini'!$DJ:$DJ,'Area-Cabang'!$B148,'CWO Bulan Ini'!$DH:$DH,'Area-Cabang'!$E148,'CWO Bulan Ini'!$CZ:$CZ,'Area-Cabang'!AU$41)</f>
        <v>0</v>
      </c>
      <c r="AV148" s="42">
        <f>SUMIFS('CWO Bulan Ini'!$DD:$DD,'CWO Bulan Ini'!$DJ:$DJ,'Area-Cabang'!$B148,'CWO Bulan Ini'!$DH:$DH,'Area-Cabang'!$E148,'CWO Bulan Ini'!$CZ:$CZ,'Area-Cabang'!AV$41)</f>
        <v>0</v>
      </c>
      <c r="AW148" s="42">
        <f>SUMIFS('CWO Bulan Ini'!$DD:$DD,'CWO Bulan Ini'!$DJ:$DJ,'Area-Cabang'!$B148,'CWO Bulan Ini'!$DH:$DH,'Area-Cabang'!$E148,'CWO Bulan Ini'!$CZ:$CZ,'Area-Cabang'!AW$41)</f>
        <v>0</v>
      </c>
      <c r="AX148" s="42">
        <f>SUMIFS('CWO Bulan Ini'!$DD:$DD,'CWO Bulan Ini'!$DJ:$DJ,'Area-Cabang'!$B148,'CWO Bulan Ini'!$DH:$DH,'Area-Cabang'!$E148,'CWO Bulan Ini'!$CZ:$CZ,'Area-Cabang'!AX$41)</f>
        <v>0</v>
      </c>
      <c r="AY148" s="42">
        <f>SUMIFS('CWO Bulan Ini'!$DD:$DD,'CWO Bulan Ini'!$DJ:$DJ,'Area-Cabang'!$B148,'CWO Bulan Ini'!$DH:$DH,'Area-Cabang'!$E148,'CWO Bulan Ini'!$CZ:$CZ,'Area-Cabang'!AY$41)</f>
        <v>0</v>
      </c>
      <c r="AZ148" s="42">
        <f>SUMIFS('CWO Bulan Ini'!$DD:$DD,'CWO Bulan Ini'!$DJ:$DJ,'Area-Cabang'!$B148,'CWO Bulan Ini'!$DH:$DH,'Area-Cabang'!$E148,'CWO Bulan Ini'!$CZ:$CZ,'Area-Cabang'!AZ$41)</f>
        <v>0</v>
      </c>
      <c r="BA148" s="42">
        <f>SUMIFS('CWO Bulan Ini'!$DD:$DD,'CWO Bulan Ini'!$DJ:$DJ,'Area-Cabang'!$B148,'CWO Bulan Ini'!$DH:$DH,'Area-Cabang'!$E148,'CWO Bulan Ini'!$CZ:$CZ,'Area-Cabang'!BA$41)</f>
        <v>0</v>
      </c>
      <c r="BB148" s="42">
        <f>SUMIFS('CWO Bulan Ini'!$DD:$DD,'CWO Bulan Ini'!$DJ:$DJ,'Area-Cabang'!$B148,'CWO Bulan Ini'!$DH:$DH,'Area-Cabang'!$E148,'CWO Bulan Ini'!$CZ:$CZ,'Area-Cabang'!BB$41)</f>
        <v>0</v>
      </c>
      <c r="BC148" s="42">
        <f>SUMIFS('CWO Bulan Ini'!$DD:$DD,'CWO Bulan Ini'!$DJ:$DJ,'Area-Cabang'!$B148,'CWO Bulan Ini'!$DH:$DH,'Area-Cabang'!$E148,'CWO Bulan Ini'!$CZ:$CZ,'Area-Cabang'!BC$41)</f>
        <v>0</v>
      </c>
      <c r="BD148" s="42">
        <f>SUMIFS('CWO Bulan Ini'!$DD:$DD,'CWO Bulan Ini'!$DJ:$DJ,'Area-Cabang'!$B148,'CWO Bulan Ini'!$DH:$DH,'Area-Cabang'!$E148,'CWO Bulan Ini'!$CZ:$CZ,'Area-Cabang'!BD$41)</f>
        <v>0</v>
      </c>
      <c r="BE148" s="42">
        <f>SUMIFS('CWO Bulan Ini'!$DD:$DD,'CWO Bulan Ini'!$DJ:$DJ,'Area-Cabang'!$B148,'CWO Bulan Ini'!$DH:$DH,'Area-Cabang'!$E148,'CWO Bulan Ini'!$CZ:$CZ,'Area-Cabang'!BE$41)</f>
        <v>0</v>
      </c>
      <c r="BF148" s="42">
        <f>SUMIFS('CWO Bulan Ini'!$DD:$DD,'CWO Bulan Ini'!$DJ:$DJ,'Area-Cabang'!$B148,'CWO Bulan Ini'!$DH:$DH,'Area-Cabang'!$E148,'CWO Bulan Ini'!$CZ:$CZ,'Area-Cabang'!BF$41)</f>
        <v>0</v>
      </c>
      <c r="BG148" s="42">
        <f>SUMIFS('CWO Bulan Ini'!$DD:$DD,'CWO Bulan Ini'!$DJ:$DJ,'Area-Cabang'!$B148,'CWO Bulan Ini'!$DH:$DH,'Area-Cabang'!$E148,'CWO Bulan Ini'!$CZ:$CZ,'Area-Cabang'!BG$41)</f>
        <v>0</v>
      </c>
      <c r="BH148" s="42">
        <f>SUMIFS('CWO Bulan Ini'!$DD:$DD,'CWO Bulan Ini'!$DJ:$DJ,'Area-Cabang'!$B148,'CWO Bulan Ini'!$DH:$DH,'Area-Cabang'!$E148,'CWO Bulan Ini'!$CZ:$CZ,'Area-Cabang'!BH$41)</f>
        <v>0</v>
      </c>
      <c r="BI148" s="42">
        <f>SUMIFS('CWO Bulan Ini'!$DD:$DD,'CWO Bulan Ini'!$DJ:$DJ,'Area-Cabang'!$B148,'CWO Bulan Ini'!$DH:$DH,'Area-Cabang'!$E148,'CWO Bulan Ini'!$CZ:$CZ,'Area-Cabang'!BI$41)</f>
        <v>0</v>
      </c>
      <c r="BJ148" s="42">
        <f>SUMIFS('CWO Bulan Ini'!$DD:$DD,'CWO Bulan Ini'!$DJ:$DJ,'Area-Cabang'!$B148,'CWO Bulan Ini'!$DH:$DH,'Area-Cabang'!$E148,'CWO Bulan Ini'!$CZ:$CZ,'Area-Cabang'!BJ$41)</f>
        <v>0</v>
      </c>
      <c r="BK148" s="42">
        <f>SUMIFS('CWO Bulan Ini'!$DD:$DD,'CWO Bulan Ini'!$DJ:$DJ,'Area-Cabang'!$B148,'CWO Bulan Ini'!$DH:$DH,'Area-Cabang'!$E148,'CWO Bulan Ini'!$CZ:$CZ,'Area-Cabang'!BK$41)</f>
        <v>0</v>
      </c>
      <c r="BL148" s="42">
        <f>SUMIFS('CWO Bulan Ini'!$DD:$DD,'CWO Bulan Ini'!$DJ:$DJ,'Area-Cabang'!$B148,'CWO Bulan Ini'!$DH:$DH,'Area-Cabang'!$E148,'CWO Bulan Ini'!$CZ:$CZ,'Area-Cabang'!BL$41)</f>
        <v>0</v>
      </c>
      <c r="BM148" s="42">
        <f>SUMIFS('CWO Bulan Ini'!$DD:$DD,'CWO Bulan Ini'!$DJ:$DJ,'Area-Cabang'!$B148,'CWO Bulan Ini'!$DH:$DH,'Area-Cabang'!$E148,'CWO Bulan Ini'!$CZ:$CZ,'Area-Cabang'!BM$41)</f>
        <v>0</v>
      </c>
      <c r="BN148" s="42">
        <f>SUMIFS('CWO Bulan Ini'!$DD:$DD,'CWO Bulan Ini'!$DJ:$DJ,'Area-Cabang'!$B148,'CWO Bulan Ini'!$DH:$DH,'Area-Cabang'!$E148,'CWO Bulan Ini'!$CZ:$CZ,'Area-Cabang'!BN$41)</f>
        <v>0</v>
      </c>
      <c r="BO148" s="43">
        <f>SUMIFS('CWO Bulan Ini'!$DD:$DD,'CWO Bulan Ini'!$DJ:$DJ,'Area-Cabang'!$B148,'CWO Bulan Ini'!$DH:$DH,'Area-Cabang'!$E148,'CWO Bulan Ini'!$CZ:$CZ,'Area-Cabang'!BO$41)</f>
        <v>0</v>
      </c>
      <c r="BP148" s="41">
        <f>SUMIFS('CWO Bulan Ini'!$DC:$DC,'CWO Bulan Ini'!$DJ:$DJ,'Area-Cabang'!$B148,'CWO Bulan Ini'!$DH:$DH,'Area-Cabang'!$E148,'CWO Bulan Ini'!$CZ:$CZ,'Area-Cabang'!BP$41)</f>
        <v>0</v>
      </c>
      <c r="BQ148" s="42">
        <f>SUMIFS('CWO Bulan Ini'!$DC:$DC,'CWO Bulan Ini'!$DJ:$DJ,'Area-Cabang'!$B148,'CWO Bulan Ini'!$DH:$DH,'Area-Cabang'!$E148,'CWO Bulan Ini'!$CZ:$CZ,'Area-Cabang'!BQ$41)</f>
        <v>0</v>
      </c>
      <c r="BR148" s="42">
        <f>SUMIFS('CWO Bulan Ini'!$DC:$DC,'CWO Bulan Ini'!$DJ:$DJ,'Area-Cabang'!$B148,'CWO Bulan Ini'!$DH:$DH,'Area-Cabang'!$E148,'CWO Bulan Ini'!$CZ:$CZ,'Area-Cabang'!BR$41)</f>
        <v>0</v>
      </c>
      <c r="BS148" s="42">
        <f>SUMIFS('CWO Bulan Ini'!$DC:$DC,'CWO Bulan Ini'!$DJ:$DJ,'Area-Cabang'!$B148,'CWO Bulan Ini'!$DH:$DH,'Area-Cabang'!$E148,'CWO Bulan Ini'!$CZ:$CZ,'Area-Cabang'!BS$41)</f>
        <v>0</v>
      </c>
      <c r="BT148" s="42">
        <f>SUMIFS('CWO Bulan Ini'!$DC:$DC,'CWO Bulan Ini'!$DJ:$DJ,'Area-Cabang'!$B148,'CWO Bulan Ini'!$DH:$DH,'Area-Cabang'!$E148,'CWO Bulan Ini'!$CZ:$CZ,'Area-Cabang'!BT$41)</f>
        <v>0</v>
      </c>
      <c r="BU148" s="42">
        <f>SUMIFS('CWO Bulan Ini'!$DC:$DC,'CWO Bulan Ini'!$DJ:$DJ,'Area-Cabang'!$B148,'CWO Bulan Ini'!$DH:$DH,'Area-Cabang'!$E148,'CWO Bulan Ini'!$CZ:$CZ,'Area-Cabang'!BU$41)</f>
        <v>0</v>
      </c>
      <c r="BV148" s="42">
        <f>SUMIFS('CWO Bulan Ini'!$DC:$DC,'CWO Bulan Ini'!$DJ:$DJ,'Area-Cabang'!$B148,'CWO Bulan Ini'!$DH:$DH,'Area-Cabang'!$E148,'CWO Bulan Ini'!$CZ:$CZ,'Area-Cabang'!BV$41)</f>
        <v>0</v>
      </c>
      <c r="BW148" s="42">
        <f>SUMIFS('CWO Bulan Ini'!$DC:$DC,'CWO Bulan Ini'!$DJ:$DJ,'Area-Cabang'!$B148,'CWO Bulan Ini'!$DH:$DH,'Area-Cabang'!$E148,'CWO Bulan Ini'!$CZ:$CZ,'Area-Cabang'!BW$41)</f>
        <v>0</v>
      </c>
      <c r="BX148" s="42">
        <f>SUMIFS('CWO Bulan Ini'!$DC:$DC,'CWO Bulan Ini'!$DJ:$DJ,'Area-Cabang'!$B148,'CWO Bulan Ini'!$DH:$DH,'Area-Cabang'!$E148,'CWO Bulan Ini'!$CZ:$CZ,'Area-Cabang'!BX$41)</f>
        <v>0</v>
      </c>
      <c r="BY148" s="42">
        <f>SUMIFS('CWO Bulan Ini'!$DC:$DC,'CWO Bulan Ini'!$DJ:$DJ,'Area-Cabang'!$B148,'CWO Bulan Ini'!$DH:$DH,'Area-Cabang'!$E148,'CWO Bulan Ini'!$CZ:$CZ,'Area-Cabang'!BY$41)</f>
        <v>0</v>
      </c>
      <c r="BZ148" s="42">
        <f>SUMIFS('CWO Bulan Ini'!$DC:$DC,'CWO Bulan Ini'!$DJ:$DJ,'Area-Cabang'!$B148,'CWO Bulan Ini'!$DH:$DH,'Area-Cabang'!$E148,'CWO Bulan Ini'!$CZ:$CZ,'Area-Cabang'!BZ$41)</f>
        <v>0</v>
      </c>
      <c r="CA148" s="42">
        <f>SUMIFS('CWO Bulan Ini'!$DC:$DC,'CWO Bulan Ini'!$DJ:$DJ,'Area-Cabang'!$B148,'CWO Bulan Ini'!$DH:$DH,'Area-Cabang'!$E148,'CWO Bulan Ini'!$CZ:$CZ,'Area-Cabang'!CA$41)</f>
        <v>0</v>
      </c>
      <c r="CB148" s="42">
        <f>SUMIFS('CWO Bulan Ini'!$DC:$DC,'CWO Bulan Ini'!$DJ:$DJ,'Area-Cabang'!$B148,'CWO Bulan Ini'!$DH:$DH,'Area-Cabang'!$E148,'CWO Bulan Ini'!$CZ:$CZ,'Area-Cabang'!CB$41)</f>
        <v>0</v>
      </c>
      <c r="CC148" s="42">
        <f>SUMIFS('CWO Bulan Ini'!$DC:$DC,'CWO Bulan Ini'!$DJ:$DJ,'Area-Cabang'!$B148,'CWO Bulan Ini'!$DH:$DH,'Area-Cabang'!$E148,'CWO Bulan Ini'!$CZ:$CZ,'Area-Cabang'!CC$41)</f>
        <v>0</v>
      </c>
      <c r="CD148" s="42">
        <f>SUMIFS('CWO Bulan Ini'!$DC:$DC,'CWO Bulan Ini'!$DJ:$DJ,'Area-Cabang'!$B148,'CWO Bulan Ini'!$DH:$DH,'Area-Cabang'!$E148,'CWO Bulan Ini'!$CZ:$CZ,'Area-Cabang'!CD$41)</f>
        <v>0</v>
      </c>
      <c r="CE148" s="42">
        <f>SUMIFS('CWO Bulan Ini'!$DC:$DC,'CWO Bulan Ini'!$DJ:$DJ,'Area-Cabang'!$B148,'CWO Bulan Ini'!$DH:$DH,'Area-Cabang'!$E148,'CWO Bulan Ini'!$CZ:$CZ,'Area-Cabang'!CE$41)</f>
        <v>0</v>
      </c>
      <c r="CF148" s="42">
        <f>SUMIFS('CWO Bulan Ini'!$DC:$DC,'CWO Bulan Ini'!$DJ:$DJ,'Area-Cabang'!$B148,'CWO Bulan Ini'!$DH:$DH,'Area-Cabang'!$E148,'CWO Bulan Ini'!$CZ:$CZ,'Area-Cabang'!CF$41)</f>
        <v>0</v>
      </c>
      <c r="CG148" s="42">
        <f>SUMIFS('CWO Bulan Ini'!$DC:$DC,'CWO Bulan Ini'!$DJ:$DJ,'Area-Cabang'!$B148,'CWO Bulan Ini'!$DH:$DH,'Area-Cabang'!$E148,'CWO Bulan Ini'!$CZ:$CZ,'Area-Cabang'!CG$41)</f>
        <v>0</v>
      </c>
      <c r="CH148" s="42">
        <f>SUMIFS('CWO Bulan Ini'!$DC:$DC,'CWO Bulan Ini'!$DJ:$DJ,'Area-Cabang'!$B148,'CWO Bulan Ini'!$DH:$DH,'Area-Cabang'!$E148,'CWO Bulan Ini'!$CZ:$CZ,'Area-Cabang'!CH$41)</f>
        <v>0</v>
      </c>
      <c r="CI148" s="42">
        <f>SUMIFS('CWO Bulan Ini'!$DC:$DC,'CWO Bulan Ini'!$DJ:$DJ,'Area-Cabang'!$B148,'CWO Bulan Ini'!$DH:$DH,'Area-Cabang'!$E148,'CWO Bulan Ini'!$CZ:$CZ,'Area-Cabang'!CI$41)</f>
        <v>0</v>
      </c>
      <c r="CJ148" s="42">
        <f>SUMIFS('CWO Bulan Ini'!$DC:$DC,'CWO Bulan Ini'!$DJ:$DJ,'Area-Cabang'!$B148,'CWO Bulan Ini'!$DH:$DH,'Area-Cabang'!$E148,'CWO Bulan Ini'!$CZ:$CZ,'Area-Cabang'!CJ$41)</f>
        <v>0</v>
      </c>
      <c r="CK148" s="42">
        <f>SUMIFS('CWO Bulan Ini'!$DC:$DC,'CWO Bulan Ini'!$DJ:$DJ,'Area-Cabang'!$B148,'CWO Bulan Ini'!$DH:$DH,'Area-Cabang'!$E148,'CWO Bulan Ini'!$CZ:$CZ,'Area-Cabang'!CK$41)</f>
        <v>0</v>
      </c>
      <c r="CL148" s="42">
        <f>SUMIFS('CWO Bulan Ini'!$DC:$DC,'CWO Bulan Ini'!$DJ:$DJ,'Area-Cabang'!$B148,'CWO Bulan Ini'!$DH:$DH,'Area-Cabang'!$E148,'CWO Bulan Ini'!$CZ:$CZ,'Area-Cabang'!CL$41)</f>
        <v>0</v>
      </c>
      <c r="CM148" s="42">
        <f>SUMIFS('CWO Bulan Ini'!$DC:$DC,'CWO Bulan Ini'!$DJ:$DJ,'Area-Cabang'!$B148,'CWO Bulan Ini'!$DH:$DH,'Area-Cabang'!$E148,'CWO Bulan Ini'!$CZ:$CZ,'Area-Cabang'!CM$41)</f>
        <v>0</v>
      </c>
      <c r="CN148" s="42">
        <f>SUMIFS('CWO Bulan Ini'!$DC:$DC,'CWO Bulan Ini'!$DJ:$DJ,'Area-Cabang'!$B148,'CWO Bulan Ini'!$DH:$DH,'Area-Cabang'!$E148,'CWO Bulan Ini'!$CZ:$CZ,'Area-Cabang'!CN$41)</f>
        <v>0</v>
      </c>
      <c r="CO148" s="42">
        <f>SUMIFS('CWO Bulan Ini'!$DC:$DC,'CWO Bulan Ini'!$DJ:$DJ,'Area-Cabang'!$B148,'CWO Bulan Ini'!$DH:$DH,'Area-Cabang'!$E148,'CWO Bulan Ini'!$CZ:$CZ,'Area-Cabang'!CO$41)</f>
        <v>0</v>
      </c>
      <c r="CP148" s="42">
        <f>SUMIFS('CWO Bulan Ini'!$DC:$DC,'CWO Bulan Ini'!$DJ:$DJ,'Area-Cabang'!$B148,'CWO Bulan Ini'!$DH:$DH,'Area-Cabang'!$E148,'CWO Bulan Ini'!$CZ:$CZ,'Area-Cabang'!CP$41)</f>
        <v>0</v>
      </c>
      <c r="CQ148" s="42">
        <f>SUMIFS('CWO Bulan Ini'!$DC:$DC,'CWO Bulan Ini'!$DJ:$DJ,'Area-Cabang'!$B148,'CWO Bulan Ini'!$DH:$DH,'Area-Cabang'!$E148,'CWO Bulan Ini'!$CZ:$CZ,'Area-Cabang'!CQ$41)</f>
        <v>0</v>
      </c>
      <c r="CR148" s="42">
        <f>SUMIFS('CWO Bulan Ini'!$DC:$DC,'CWO Bulan Ini'!$DJ:$DJ,'Area-Cabang'!$B148,'CWO Bulan Ini'!$DH:$DH,'Area-Cabang'!$E148,'CWO Bulan Ini'!$CZ:$CZ,'Area-Cabang'!CR$41)</f>
        <v>0</v>
      </c>
      <c r="CS148" s="42">
        <f>SUMIFS('CWO Bulan Ini'!$DC:$DC,'CWO Bulan Ini'!$DJ:$DJ,'Area-Cabang'!$B148,'CWO Bulan Ini'!$DH:$DH,'Area-Cabang'!$E148,'CWO Bulan Ini'!$CZ:$CZ,'Area-Cabang'!CS$41)</f>
        <v>0</v>
      </c>
      <c r="CT148" s="43">
        <f>SUMIFS('CWO Bulan Ini'!$DC:$DC,'CWO Bulan Ini'!$DJ:$DJ,'Area-Cabang'!$B148,'CWO Bulan Ini'!$DH:$DH,'Area-Cabang'!$E148,'CWO Bulan Ini'!$CZ:$CZ,'Area-Cabang'!CT$41)</f>
        <v>0</v>
      </c>
      <c r="CV148" s="96">
        <f t="shared" si="4586"/>
        <v>0</v>
      </c>
      <c r="CW148" s="93">
        <f t="shared" si="4587"/>
        <v>0</v>
      </c>
      <c r="CX148" s="93">
        <f t="shared" si="4588"/>
        <v>0</v>
      </c>
      <c r="CY148" s="93">
        <f t="shared" si="4589"/>
        <v>0</v>
      </c>
      <c r="CZ148" s="106">
        <f t="shared" si="4590"/>
        <v>0</v>
      </c>
    </row>
    <row r="149" spans="1:104" ht="15" customHeight="1" x14ac:dyDescent="0.25">
      <c r="A149" s="58" t="s">
        <v>500</v>
      </c>
      <c r="B149" s="53" t="s">
        <v>851</v>
      </c>
      <c r="C149" s="250"/>
      <c r="D149" s="227" t="s">
        <v>842</v>
      </c>
      <c r="E149" s="228"/>
      <c r="F149" s="219">
        <f t="shared" ref="F149" si="4591">SUM(F147:F148)</f>
        <v>0</v>
      </c>
      <c r="G149" s="220">
        <f t="shared" ref="G149" si="4592">SUM(G147:G148)</f>
        <v>0</v>
      </c>
      <c r="H149" s="220">
        <f t="shared" ref="H149" si="4593">SUM(H147:H148)</f>
        <v>0</v>
      </c>
      <c r="I149" s="220">
        <f t="shared" ref="I149" si="4594">SUM(I147:I148)</f>
        <v>0</v>
      </c>
      <c r="J149" s="220">
        <f t="shared" ref="J149" si="4595">SUM(J147:J148)</f>
        <v>0</v>
      </c>
      <c r="K149" s="220">
        <f t="shared" ref="K149" si="4596">SUM(K147:K148)</f>
        <v>0</v>
      </c>
      <c r="L149" s="220">
        <f t="shared" ref="L149" si="4597">SUM(L147:L148)</f>
        <v>0</v>
      </c>
      <c r="M149" s="220">
        <f t="shared" ref="M149" si="4598">SUM(M147:M148)</f>
        <v>0</v>
      </c>
      <c r="N149" s="220">
        <f t="shared" ref="N149" si="4599">SUM(N147:N148)</f>
        <v>0</v>
      </c>
      <c r="O149" s="220">
        <f t="shared" ref="O149" si="4600">SUM(O147:O148)</f>
        <v>0</v>
      </c>
      <c r="P149" s="220">
        <f t="shared" ref="P149" si="4601">SUM(P147:P148)</f>
        <v>0</v>
      </c>
      <c r="Q149" s="220">
        <f t="shared" ref="Q149" si="4602">SUM(Q147:Q148)</f>
        <v>0</v>
      </c>
      <c r="R149" s="220">
        <f t="shared" ref="R149" si="4603">SUM(R147:R148)</f>
        <v>0</v>
      </c>
      <c r="S149" s="220">
        <f t="shared" ref="S149" si="4604">SUM(S147:S148)</f>
        <v>0</v>
      </c>
      <c r="T149" s="220">
        <f t="shared" ref="T149" si="4605">SUM(T147:T148)</f>
        <v>92.620355989999993</v>
      </c>
      <c r="U149" s="220">
        <f t="shared" ref="U149" si="4606">SUM(U147:U148)</f>
        <v>0</v>
      </c>
      <c r="V149" s="220">
        <f t="shared" ref="V149" si="4607">SUM(V147:V148)</f>
        <v>0</v>
      </c>
      <c r="W149" s="220">
        <f t="shared" ref="W149" si="4608">SUM(W147:W148)</f>
        <v>0</v>
      </c>
      <c r="X149" s="220">
        <f t="shared" ref="X149" si="4609">SUM(X147:X148)</f>
        <v>0</v>
      </c>
      <c r="Y149" s="220">
        <f t="shared" ref="Y149" si="4610">SUM(Y147:Y148)</f>
        <v>0</v>
      </c>
      <c r="Z149" s="220">
        <f t="shared" ref="Z149" si="4611">SUM(Z147:Z148)</f>
        <v>21.654243079999997</v>
      </c>
      <c r="AA149" s="220">
        <f t="shared" ref="AA149" si="4612">SUM(AA147:AA148)</f>
        <v>0</v>
      </c>
      <c r="AB149" s="220">
        <f t="shared" ref="AB149" si="4613">SUM(AB147:AB148)</f>
        <v>0</v>
      </c>
      <c r="AC149" s="220">
        <f t="shared" ref="AC149" si="4614">SUM(AC147:AC148)</f>
        <v>0</v>
      </c>
      <c r="AD149" s="220">
        <f t="shared" ref="AD149" si="4615">SUM(AD147:AD148)</f>
        <v>0</v>
      </c>
      <c r="AE149" s="220">
        <f t="shared" ref="AE149" si="4616">SUM(AE147:AE148)</f>
        <v>0</v>
      </c>
      <c r="AF149" s="220">
        <f t="shared" ref="AF149" si="4617">SUM(AF147:AF148)</f>
        <v>0</v>
      </c>
      <c r="AG149" s="220">
        <f t="shared" ref="AG149" si="4618">SUM(AG147:AG148)</f>
        <v>0</v>
      </c>
      <c r="AH149" s="220">
        <f t="shared" ref="AH149" si="4619">SUM(AH147:AH148)</f>
        <v>0</v>
      </c>
      <c r="AI149" s="220">
        <f t="shared" ref="AI149" si="4620">SUM(AI147:AI148)</f>
        <v>0</v>
      </c>
      <c r="AJ149" s="220">
        <f t="shared" ref="AJ149" si="4621">SUM(AJ147:AJ148)</f>
        <v>0</v>
      </c>
      <c r="AK149" s="219">
        <f t="shared" ref="AK149" si="4622">SUM(AK147:AK148)</f>
        <v>0</v>
      </c>
      <c r="AL149" s="220">
        <f t="shared" ref="AL149" si="4623">SUM(AL147:AL148)</f>
        <v>0</v>
      </c>
      <c r="AM149" s="220">
        <f t="shared" ref="AM149" si="4624">SUM(AM147:AM148)</f>
        <v>0</v>
      </c>
      <c r="AN149" s="220">
        <f t="shared" ref="AN149" si="4625">SUM(AN147:AN148)</f>
        <v>0</v>
      </c>
      <c r="AO149" s="220">
        <f t="shared" ref="AO149" si="4626">SUM(AO147:AO148)</f>
        <v>0</v>
      </c>
      <c r="AP149" s="220">
        <f t="shared" ref="AP149" si="4627">SUM(AP147:AP148)</f>
        <v>0</v>
      </c>
      <c r="AQ149" s="220">
        <f t="shared" ref="AQ149" si="4628">SUM(AQ147:AQ148)</f>
        <v>0</v>
      </c>
      <c r="AR149" s="220">
        <f t="shared" ref="AR149" si="4629">SUM(AR147:AR148)</f>
        <v>0</v>
      </c>
      <c r="AS149" s="220">
        <f t="shared" ref="AS149" si="4630">SUM(AS147:AS148)</f>
        <v>0</v>
      </c>
      <c r="AT149" s="220">
        <f t="shared" ref="AT149" si="4631">SUM(AT147:AT148)</f>
        <v>0</v>
      </c>
      <c r="AU149" s="220">
        <f t="shared" ref="AU149" si="4632">SUM(AU147:AU148)</f>
        <v>0</v>
      </c>
      <c r="AV149" s="220">
        <f t="shared" ref="AV149" si="4633">SUM(AV147:AV148)</f>
        <v>0</v>
      </c>
      <c r="AW149" s="220">
        <f t="shared" ref="AW149" si="4634">SUM(AW147:AW148)</f>
        <v>0</v>
      </c>
      <c r="AX149" s="220">
        <f t="shared" ref="AX149" si="4635">SUM(AX147:AX148)</f>
        <v>0</v>
      </c>
      <c r="AY149" s="220">
        <f t="shared" ref="AY149" si="4636">SUM(AY147:AY148)</f>
        <v>0</v>
      </c>
      <c r="AZ149" s="220">
        <f t="shared" ref="AZ149" si="4637">SUM(AZ147:AZ148)</f>
        <v>0</v>
      </c>
      <c r="BA149" s="220">
        <f t="shared" ref="BA149" si="4638">SUM(BA147:BA148)</f>
        <v>0</v>
      </c>
      <c r="BB149" s="220">
        <f t="shared" ref="BB149" si="4639">SUM(BB147:BB148)</f>
        <v>0</v>
      </c>
      <c r="BC149" s="220">
        <f t="shared" ref="BC149" si="4640">SUM(BC147:BC148)</f>
        <v>0</v>
      </c>
      <c r="BD149" s="220">
        <f t="shared" ref="BD149" si="4641">SUM(BD147:BD148)</f>
        <v>0</v>
      </c>
      <c r="BE149" s="220">
        <f t="shared" ref="BE149" si="4642">SUM(BE147:BE148)</f>
        <v>0</v>
      </c>
      <c r="BF149" s="220">
        <f t="shared" ref="BF149" si="4643">SUM(BF147:BF148)</f>
        <v>0</v>
      </c>
      <c r="BG149" s="220">
        <f t="shared" ref="BG149" si="4644">SUM(BG147:BG148)</f>
        <v>0</v>
      </c>
      <c r="BH149" s="220">
        <f t="shared" ref="BH149" si="4645">SUM(BH147:BH148)</f>
        <v>0</v>
      </c>
      <c r="BI149" s="220">
        <f t="shared" ref="BI149" si="4646">SUM(BI147:BI148)</f>
        <v>0</v>
      </c>
      <c r="BJ149" s="220">
        <f t="shared" ref="BJ149" si="4647">SUM(BJ147:BJ148)</f>
        <v>0</v>
      </c>
      <c r="BK149" s="220">
        <f t="shared" ref="BK149" si="4648">SUM(BK147:BK148)</f>
        <v>0</v>
      </c>
      <c r="BL149" s="220">
        <f t="shared" ref="BL149" si="4649">SUM(BL147:BL148)</f>
        <v>0</v>
      </c>
      <c r="BM149" s="220">
        <f t="shared" ref="BM149" si="4650">SUM(BM147:BM148)</f>
        <v>0</v>
      </c>
      <c r="BN149" s="220">
        <f t="shared" ref="BN149" si="4651">SUM(BN147:BN148)</f>
        <v>0</v>
      </c>
      <c r="BO149" s="221">
        <f t="shared" ref="BO149" si="4652">SUM(BO147:BO148)</f>
        <v>0</v>
      </c>
      <c r="BP149" s="219">
        <f t="shared" ref="BP149" si="4653">SUM(BP147:BP148)</f>
        <v>0</v>
      </c>
      <c r="BQ149" s="220">
        <f t="shared" ref="BQ149" si="4654">SUM(BQ147:BQ148)</f>
        <v>0</v>
      </c>
      <c r="BR149" s="220">
        <f t="shared" ref="BR149" si="4655">SUM(BR147:BR148)</f>
        <v>0</v>
      </c>
      <c r="BS149" s="220">
        <f t="shared" ref="BS149" si="4656">SUM(BS147:BS148)</f>
        <v>0</v>
      </c>
      <c r="BT149" s="220">
        <f t="shared" ref="BT149" si="4657">SUM(BT147:BT148)</f>
        <v>0</v>
      </c>
      <c r="BU149" s="220">
        <f t="shared" ref="BU149" si="4658">SUM(BU147:BU148)</f>
        <v>0</v>
      </c>
      <c r="BV149" s="220">
        <f t="shared" ref="BV149" si="4659">SUM(BV147:BV148)</f>
        <v>0</v>
      </c>
      <c r="BW149" s="220">
        <f t="shared" ref="BW149" si="4660">SUM(BW147:BW148)</f>
        <v>0</v>
      </c>
      <c r="BX149" s="220">
        <f t="shared" ref="BX149" si="4661">SUM(BX147:BX148)</f>
        <v>0</v>
      </c>
      <c r="BY149" s="220">
        <f t="shared" ref="BY149" si="4662">SUM(BY147:BY148)</f>
        <v>0</v>
      </c>
      <c r="BZ149" s="220">
        <f t="shared" ref="BZ149" si="4663">SUM(BZ147:BZ148)</f>
        <v>0</v>
      </c>
      <c r="CA149" s="220">
        <f t="shared" ref="CA149" si="4664">SUM(CA147:CA148)</f>
        <v>0</v>
      </c>
      <c r="CB149" s="220">
        <f t="shared" ref="CB149" si="4665">SUM(CB147:CB148)</f>
        <v>0</v>
      </c>
      <c r="CC149" s="220">
        <f t="shared" ref="CC149" si="4666">SUM(CC147:CC148)</f>
        <v>0</v>
      </c>
      <c r="CD149" s="220">
        <f t="shared" ref="CD149" si="4667">SUM(CD147:CD148)</f>
        <v>0</v>
      </c>
      <c r="CE149" s="220">
        <f t="shared" ref="CE149" si="4668">SUM(CE147:CE148)</f>
        <v>0</v>
      </c>
      <c r="CF149" s="220">
        <f t="shared" ref="CF149" si="4669">SUM(CF147:CF148)</f>
        <v>0</v>
      </c>
      <c r="CG149" s="220">
        <f t="shared" ref="CG149" si="4670">SUM(CG147:CG148)</f>
        <v>0</v>
      </c>
      <c r="CH149" s="220">
        <f t="shared" ref="CH149" si="4671">SUM(CH147:CH148)</f>
        <v>0</v>
      </c>
      <c r="CI149" s="220">
        <f t="shared" ref="CI149" si="4672">SUM(CI147:CI148)</f>
        <v>0</v>
      </c>
      <c r="CJ149" s="220">
        <f t="shared" ref="CJ149" si="4673">SUM(CJ147:CJ148)</f>
        <v>0</v>
      </c>
      <c r="CK149" s="220">
        <f t="shared" ref="CK149" si="4674">SUM(CK147:CK148)</f>
        <v>0</v>
      </c>
      <c r="CL149" s="220">
        <f t="shared" ref="CL149" si="4675">SUM(CL147:CL148)</f>
        <v>0</v>
      </c>
      <c r="CM149" s="220">
        <f t="shared" ref="CM149" si="4676">SUM(CM147:CM148)</f>
        <v>0</v>
      </c>
      <c r="CN149" s="220">
        <f t="shared" ref="CN149" si="4677">SUM(CN147:CN148)</f>
        <v>0</v>
      </c>
      <c r="CO149" s="220">
        <f t="shared" ref="CO149" si="4678">SUM(CO147:CO148)</f>
        <v>0</v>
      </c>
      <c r="CP149" s="220">
        <f t="shared" ref="CP149" si="4679">SUM(CP147:CP148)</f>
        <v>0</v>
      </c>
      <c r="CQ149" s="220">
        <f t="shared" ref="CQ149" si="4680">SUM(CQ147:CQ148)</f>
        <v>0</v>
      </c>
      <c r="CR149" s="220">
        <f t="shared" ref="CR149" si="4681">SUM(CR147:CR148)</f>
        <v>0</v>
      </c>
      <c r="CS149" s="220">
        <f t="shared" ref="CS149" si="4682">SUM(CS147:CS148)</f>
        <v>0</v>
      </c>
      <c r="CT149" s="221">
        <f t="shared" ref="CT149" si="4683">SUM(CT147:CT148)</f>
        <v>0</v>
      </c>
      <c r="CU149" s="226"/>
      <c r="CV149" s="219">
        <f t="shared" ref="CV149" si="4684">SUM(CV147:CV148)</f>
        <v>114.27459906999999</v>
      </c>
      <c r="CW149" s="220">
        <f t="shared" ref="CW149" si="4685">SUM(CW147:CW148)</f>
        <v>0</v>
      </c>
      <c r="CX149" s="220">
        <f t="shared" ref="CX149" si="4686">SUM(CX147:CX148)</f>
        <v>0</v>
      </c>
      <c r="CY149" s="220">
        <f t="shared" ref="CY149" si="4687">SUM(CY147:CY148)</f>
        <v>114.27459906999999</v>
      </c>
      <c r="CZ149" s="222">
        <f t="shared" ref="CZ149" si="4688">SUM(CZ147:CZ148)</f>
        <v>114.27459906999999</v>
      </c>
    </row>
    <row r="150" spans="1:104" ht="15" customHeight="1" x14ac:dyDescent="0.25">
      <c r="A150" s="58" t="s">
        <v>500</v>
      </c>
      <c r="B150" s="53" t="s">
        <v>396</v>
      </c>
      <c r="C150" s="250"/>
      <c r="D150" s="245" t="s">
        <v>396</v>
      </c>
      <c r="E150" s="85" t="s">
        <v>132</v>
      </c>
      <c r="F150" s="55">
        <f>SUMIFS('CWO Bulan Ini'!$DA:$DA,'CWO Bulan Ini'!$DJ:$DJ,'Area-Cabang'!$B150,'CWO Bulan Ini'!$DH:$DH,'Area-Cabang'!$E150,'CWO Bulan Ini'!$CZ:$CZ,'Area-Cabang'!F$41)</f>
        <v>0</v>
      </c>
      <c r="G150" s="56">
        <f>SUMIFS('CWO Bulan Ini'!$DA:$DA,'CWO Bulan Ini'!$DJ:$DJ,'Area-Cabang'!$B150,'CWO Bulan Ini'!$DH:$DH,'Area-Cabang'!$E150,'CWO Bulan Ini'!$CZ:$CZ,'Area-Cabang'!G$41)</f>
        <v>0</v>
      </c>
      <c r="H150" s="56">
        <f>SUMIFS('CWO Bulan Ini'!$DA:$DA,'CWO Bulan Ini'!$DJ:$DJ,'Area-Cabang'!$B150,'CWO Bulan Ini'!$DH:$DH,'Area-Cabang'!$E150,'CWO Bulan Ini'!$CZ:$CZ,'Area-Cabang'!H$41)</f>
        <v>0</v>
      </c>
      <c r="I150" s="56">
        <f>SUMIFS('CWO Bulan Ini'!$DA:$DA,'CWO Bulan Ini'!$DJ:$DJ,'Area-Cabang'!$B150,'CWO Bulan Ini'!$DH:$DH,'Area-Cabang'!$E150,'CWO Bulan Ini'!$CZ:$CZ,'Area-Cabang'!I$41)</f>
        <v>0</v>
      </c>
      <c r="J150" s="56">
        <f>SUMIFS('CWO Bulan Ini'!$DA:$DA,'CWO Bulan Ini'!$DJ:$DJ,'Area-Cabang'!$B150,'CWO Bulan Ini'!$DH:$DH,'Area-Cabang'!$E150,'CWO Bulan Ini'!$CZ:$CZ,'Area-Cabang'!J$41)</f>
        <v>0</v>
      </c>
      <c r="K150" s="56">
        <f>SUMIFS('CWO Bulan Ini'!$DA:$DA,'CWO Bulan Ini'!$DJ:$DJ,'Area-Cabang'!$B150,'CWO Bulan Ini'!$DH:$DH,'Area-Cabang'!$E150,'CWO Bulan Ini'!$CZ:$CZ,'Area-Cabang'!K$41)</f>
        <v>0</v>
      </c>
      <c r="L150" s="56">
        <f>SUMIFS('CWO Bulan Ini'!$DA:$DA,'CWO Bulan Ini'!$DJ:$DJ,'Area-Cabang'!$B150,'CWO Bulan Ini'!$DH:$DH,'Area-Cabang'!$E150,'CWO Bulan Ini'!$CZ:$CZ,'Area-Cabang'!L$41)</f>
        <v>0</v>
      </c>
      <c r="M150" s="56">
        <f>SUMIFS('CWO Bulan Ini'!$DA:$DA,'CWO Bulan Ini'!$DJ:$DJ,'Area-Cabang'!$B150,'CWO Bulan Ini'!$DH:$DH,'Area-Cabang'!$E150,'CWO Bulan Ini'!$CZ:$CZ,'Area-Cabang'!M$41)</f>
        <v>0</v>
      </c>
      <c r="N150" s="56">
        <f>SUMIFS('CWO Bulan Ini'!$DA:$DA,'CWO Bulan Ini'!$DJ:$DJ,'Area-Cabang'!$B150,'CWO Bulan Ini'!$DH:$DH,'Area-Cabang'!$E150,'CWO Bulan Ini'!$CZ:$CZ,'Area-Cabang'!N$41)</f>
        <v>0</v>
      </c>
      <c r="O150" s="56">
        <f>SUMIFS('CWO Bulan Ini'!$DA:$DA,'CWO Bulan Ini'!$DJ:$DJ,'Area-Cabang'!$B150,'CWO Bulan Ini'!$DH:$DH,'Area-Cabang'!$E150,'CWO Bulan Ini'!$CZ:$CZ,'Area-Cabang'!O$41)</f>
        <v>0</v>
      </c>
      <c r="P150" s="56">
        <f>SUMIFS('CWO Bulan Ini'!$DA:$DA,'CWO Bulan Ini'!$DJ:$DJ,'Area-Cabang'!$B150,'CWO Bulan Ini'!$DH:$DH,'Area-Cabang'!$E150,'CWO Bulan Ini'!$CZ:$CZ,'Area-Cabang'!P$41)</f>
        <v>0</v>
      </c>
      <c r="Q150" s="56">
        <f>SUMIFS('CWO Bulan Ini'!$DA:$DA,'CWO Bulan Ini'!$DJ:$DJ,'Area-Cabang'!$B150,'CWO Bulan Ini'!$DH:$DH,'Area-Cabang'!$E150,'CWO Bulan Ini'!$CZ:$CZ,'Area-Cabang'!Q$41)</f>
        <v>0</v>
      </c>
      <c r="R150" s="56">
        <f>SUMIFS('CWO Bulan Ini'!$DA:$DA,'CWO Bulan Ini'!$DJ:$DJ,'Area-Cabang'!$B150,'CWO Bulan Ini'!$DH:$DH,'Area-Cabang'!$E150,'CWO Bulan Ini'!$CZ:$CZ,'Area-Cabang'!R$41)</f>
        <v>0</v>
      </c>
      <c r="S150" s="56">
        <f>SUMIFS('CWO Bulan Ini'!$DA:$DA,'CWO Bulan Ini'!$DJ:$DJ,'Area-Cabang'!$B150,'CWO Bulan Ini'!$DH:$DH,'Area-Cabang'!$E150,'CWO Bulan Ini'!$CZ:$CZ,'Area-Cabang'!S$41)</f>
        <v>0</v>
      </c>
      <c r="T150" s="56">
        <f>SUMIFS('CWO Bulan Ini'!$DA:$DA,'CWO Bulan Ini'!$DJ:$DJ,'Area-Cabang'!$B150,'CWO Bulan Ini'!$DH:$DH,'Area-Cabang'!$E150,'CWO Bulan Ini'!$CZ:$CZ,'Area-Cabang'!T$41)</f>
        <v>0</v>
      </c>
      <c r="U150" s="56">
        <f>SUMIFS('CWO Bulan Ini'!$DA:$DA,'CWO Bulan Ini'!$DJ:$DJ,'Area-Cabang'!$B150,'CWO Bulan Ini'!$DH:$DH,'Area-Cabang'!$E150,'CWO Bulan Ini'!$CZ:$CZ,'Area-Cabang'!U$41)</f>
        <v>0</v>
      </c>
      <c r="V150" s="56">
        <f>SUMIFS('CWO Bulan Ini'!$DA:$DA,'CWO Bulan Ini'!$DJ:$DJ,'Area-Cabang'!$B150,'CWO Bulan Ini'!$DH:$DH,'Area-Cabang'!$E150,'CWO Bulan Ini'!$CZ:$CZ,'Area-Cabang'!V$41)</f>
        <v>0</v>
      </c>
      <c r="W150" s="56">
        <f>SUMIFS('CWO Bulan Ini'!$DA:$DA,'CWO Bulan Ini'!$DJ:$DJ,'Area-Cabang'!$B150,'CWO Bulan Ini'!$DH:$DH,'Area-Cabang'!$E150,'CWO Bulan Ini'!$CZ:$CZ,'Area-Cabang'!W$41)</f>
        <v>0</v>
      </c>
      <c r="X150" s="56">
        <f>SUMIFS('CWO Bulan Ini'!$DA:$DA,'CWO Bulan Ini'!$DJ:$DJ,'Area-Cabang'!$B150,'CWO Bulan Ini'!$DH:$DH,'Area-Cabang'!$E150,'CWO Bulan Ini'!$CZ:$CZ,'Area-Cabang'!X$41)</f>
        <v>0</v>
      </c>
      <c r="Y150" s="56">
        <f>SUMIFS('CWO Bulan Ini'!$DA:$DA,'CWO Bulan Ini'!$DJ:$DJ,'Area-Cabang'!$B150,'CWO Bulan Ini'!$DH:$DH,'Area-Cabang'!$E150,'CWO Bulan Ini'!$CZ:$CZ,'Area-Cabang'!Y$41)</f>
        <v>0</v>
      </c>
      <c r="Z150" s="56">
        <f>SUMIFS('CWO Bulan Ini'!$DA:$DA,'CWO Bulan Ini'!$DJ:$DJ,'Area-Cabang'!$B150,'CWO Bulan Ini'!$DH:$DH,'Area-Cabang'!$E150,'CWO Bulan Ini'!$CZ:$CZ,'Area-Cabang'!Z$41)</f>
        <v>0</v>
      </c>
      <c r="AA150" s="56">
        <f>SUMIFS('CWO Bulan Ini'!$DA:$DA,'CWO Bulan Ini'!$DJ:$DJ,'Area-Cabang'!$B150,'CWO Bulan Ini'!$DH:$DH,'Area-Cabang'!$E150,'CWO Bulan Ini'!$CZ:$CZ,'Area-Cabang'!AA$41)</f>
        <v>0</v>
      </c>
      <c r="AB150" s="56">
        <f>SUMIFS('CWO Bulan Ini'!$DA:$DA,'CWO Bulan Ini'!$DJ:$DJ,'Area-Cabang'!$B150,'CWO Bulan Ini'!$DH:$DH,'Area-Cabang'!$E150,'CWO Bulan Ini'!$CZ:$CZ,'Area-Cabang'!AB$41)</f>
        <v>0</v>
      </c>
      <c r="AC150" s="56">
        <f>SUMIFS('CWO Bulan Ini'!$DA:$DA,'CWO Bulan Ini'!$DJ:$DJ,'Area-Cabang'!$B150,'CWO Bulan Ini'!$DH:$DH,'Area-Cabang'!$E150,'CWO Bulan Ini'!$CZ:$CZ,'Area-Cabang'!AC$41)</f>
        <v>0</v>
      </c>
      <c r="AD150" s="56">
        <f>SUMIFS('CWO Bulan Ini'!$DA:$DA,'CWO Bulan Ini'!$DJ:$DJ,'Area-Cabang'!$B150,'CWO Bulan Ini'!$DH:$DH,'Area-Cabang'!$E150,'CWO Bulan Ini'!$CZ:$CZ,'Area-Cabang'!AD$41)</f>
        <v>0</v>
      </c>
      <c r="AE150" s="56">
        <f>SUMIFS('CWO Bulan Ini'!$DA:$DA,'CWO Bulan Ini'!$DJ:$DJ,'Area-Cabang'!$B150,'CWO Bulan Ini'!$DH:$DH,'Area-Cabang'!$E150,'CWO Bulan Ini'!$CZ:$CZ,'Area-Cabang'!AE$41)</f>
        <v>126.52319047</v>
      </c>
      <c r="AF150" s="56">
        <f>SUMIFS('CWO Bulan Ini'!$DA:$DA,'CWO Bulan Ini'!$DJ:$DJ,'Area-Cabang'!$B150,'CWO Bulan Ini'!$DH:$DH,'Area-Cabang'!$E150,'CWO Bulan Ini'!$CZ:$CZ,'Area-Cabang'!AF$41)</f>
        <v>0</v>
      </c>
      <c r="AG150" s="56">
        <f>SUMIFS('CWO Bulan Ini'!$DA:$DA,'CWO Bulan Ini'!$DJ:$DJ,'Area-Cabang'!$B150,'CWO Bulan Ini'!$DH:$DH,'Area-Cabang'!$E150,'CWO Bulan Ini'!$CZ:$CZ,'Area-Cabang'!AG$41)</f>
        <v>0</v>
      </c>
      <c r="AH150" s="56">
        <f>SUMIFS('CWO Bulan Ini'!$DA:$DA,'CWO Bulan Ini'!$DJ:$DJ,'Area-Cabang'!$B150,'CWO Bulan Ini'!$DH:$DH,'Area-Cabang'!$E150,'CWO Bulan Ini'!$CZ:$CZ,'Area-Cabang'!AH$41)</f>
        <v>0</v>
      </c>
      <c r="AI150" s="56">
        <f>SUMIFS('CWO Bulan Ini'!$DA:$DA,'CWO Bulan Ini'!$DJ:$DJ,'Area-Cabang'!$B150,'CWO Bulan Ini'!$DH:$DH,'Area-Cabang'!$E150,'CWO Bulan Ini'!$CZ:$CZ,'Area-Cabang'!AI$41)</f>
        <v>0</v>
      </c>
      <c r="AJ150" s="56">
        <f>SUMIFS('CWO Bulan Ini'!$DA:$DA,'CWO Bulan Ini'!$DJ:$DJ,'Area-Cabang'!$B150,'CWO Bulan Ini'!$DH:$DH,'Area-Cabang'!$E150,'CWO Bulan Ini'!$CZ:$CZ,'Area-Cabang'!AJ$41)</f>
        <v>0</v>
      </c>
      <c r="AK150" s="55">
        <f>SUMIFS('CWO Bulan Ini'!$DD:$DD,'CWO Bulan Ini'!$DJ:$DJ,'Area-Cabang'!$B150,'CWO Bulan Ini'!$DH:$DH,'Area-Cabang'!$E150,'CWO Bulan Ini'!$CZ:$CZ,'Area-Cabang'!AK$41)</f>
        <v>0</v>
      </c>
      <c r="AL150" s="56">
        <f>SUMIFS('CWO Bulan Ini'!$DD:$DD,'CWO Bulan Ini'!$DJ:$DJ,'Area-Cabang'!$B150,'CWO Bulan Ini'!$DH:$DH,'Area-Cabang'!$E150,'CWO Bulan Ini'!$CZ:$CZ,'Area-Cabang'!AL$41)</f>
        <v>0</v>
      </c>
      <c r="AM150" s="56">
        <f>SUMIFS('CWO Bulan Ini'!$DD:$DD,'CWO Bulan Ini'!$DJ:$DJ,'Area-Cabang'!$B150,'CWO Bulan Ini'!$DH:$DH,'Area-Cabang'!$E150,'CWO Bulan Ini'!$CZ:$CZ,'Area-Cabang'!AM$41)</f>
        <v>0</v>
      </c>
      <c r="AN150" s="56">
        <f>SUMIFS('CWO Bulan Ini'!$DD:$DD,'CWO Bulan Ini'!$DJ:$DJ,'Area-Cabang'!$B150,'CWO Bulan Ini'!$DH:$DH,'Area-Cabang'!$E150,'CWO Bulan Ini'!$CZ:$CZ,'Area-Cabang'!AN$41)</f>
        <v>0</v>
      </c>
      <c r="AO150" s="56">
        <f>SUMIFS('CWO Bulan Ini'!$DD:$DD,'CWO Bulan Ini'!$DJ:$DJ,'Area-Cabang'!$B150,'CWO Bulan Ini'!$DH:$DH,'Area-Cabang'!$E150,'CWO Bulan Ini'!$CZ:$CZ,'Area-Cabang'!AO$41)</f>
        <v>0</v>
      </c>
      <c r="AP150" s="56">
        <f>SUMIFS('CWO Bulan Ini'!$DD:$DD,'CWO Bulan Ini'!$DJ:$DJ,'Area-Cabang'!$B150,'CWO Bulan Ini'!$DH:$DH,'Area-Cabang'!$E150,'CWO Bulan Ini'!$CZ:$CZ,'Area-Cabang'!AP$41)</f>
        <v>0</v>
      </c>
      <c r="AQ150" s="56">
        <f>SUMIFS('CWO Bulan Ini'!$DD:$DD,'CWO Bulan Ini'!$DJ:$DJ,'Area-Cabang'!$B150,'CWO Bulan Ini'!$DH:$DH,'Area-Cabang'!$E150,'CWO Bulan Ini'!$CZ:$CZ,'Area-Cabang'!AQ$41)</f>
        <v>0</v>
      </c>
      <c r="AR150" s="56">
        <f>SUMIFS('CWO Bulan Ini'!$DD:$DD,'CWO Bulan Ini'!$DJ:$DJ,'Area-Cabang'!$B150,'CWO Bulan Ini'!$DH:$DH,'Area-Cabang'!$E150,'CWO Bulan Ini'!$CZ:$CZ,'Area-Cabang'!AR$41)</f>
        <v>0</v>
      </c>
      <c r="AS150" s="56">
        <f>SUMIFS('CWO Bulan Ini'!$DD:$DD,'CWO Bulan Ini'!$DJ:$DJ,'Area-Cabang'!$B150,'CWO Bulan Ini'!$DH:$DH,'Area-Cabang'!$E150,'CWO Bulan Ini'!$CZ:$CZ,'Area-Cabang'!AS$41)</f>
        <v>0</v>
      </c>
      <c r="AT150" s="56">
        <f>SUMIFS('CWO Bulan Ini'!$DD:$DD,'CWO Bulan Ini'!$DJ:$DJ,'Area-Cabang'!$B150,'CWO Bulan Ini'!$DH:$DH,'Area-Cabang'!$E150,'CWO Bulan Ini'!$CZ:$CZ,'Area-Cabang'!AT$41)</f>
        <v>0</v>
      </c>
      <c r="AU150" s="56">
        <f>SUMIFS('CWO Bulan Ini'!$DD:$DD,'CWO Bulan Ini'!$DJ:$DJ,'Area-Cabang'!$B150,'CWO Bulan Ini'!$DH:$DH,'Area-Cabang'!$E150,'CWO Bulan Ini'!$CZ:$CZ,'Area-Cabang'!AU$41)</f>
        <v>0</v>
      </c>
      <c r="AV150" s="56">
        <f>SUMIFS('CWO Bulan Ini'!$DD:$DD,'CWO Bulan Ini'!$DJ:$DJ,'Area-Cabang'!$B150,'CWO Bulan Ini'!$DH:$DH,'Area-Cabang'!$E150,'CWO Bulan Ini'!$CZ:$CZ,'Area-Cabang'!AV$41)</f>
        <v>0</v>
      </c>
      <c r="AW150" s="56">
        <f>SUMIFS('CWO Bulan Ini'!$DD:$DD,'CWO Bulan Ini'!$DJ:$DJ,'Area-Cabang'!$B150,'CWO Bulan Ini'!$DH:$DH,'Area-Cabang'!$E150,'CWO Bulan Ini'!$CZ:$CZ,'Area-Cabang'!AW$41)</f>
        <v>0</v>
      </c>
      <c r="AX150" s="56">
        <f>SUMIFS('CWO Bulan Ini'!$DD:$DD,'CWO Bulan Ini'!$DJ:$DJ,'Area-Cabang'!$B150,'CWO Bulan Ini'!$DH:$DH,'Area-Cabang'!$E150,'CWO Bulan Ini'!$CZ:$CZ,'Area-Cabang'!AX$41)</f>
        <v>0</v>
      </c>
      <c r="AY150" s="56">
        <f>SUMIFS('CWO Bulan Ini'!$DD:$DD,'CWO Bulan Ini'!$DJ:$DJ,'Area-Cabang'!$B150,'CWO Bulan Ini'!$DH:$DH,'Area-Cabang'!$E150,'CWO Bulan Ini'!$CZ:$CZ,'Area-Cabang'!AY$41)</f>
        <v>0</v>
      </c>
      <c r="AZ150" s="56">
        <f>SUMIFS('CWO Bulan Ini'!$DD:$DD,'CWO Bulan Ini'!$DJ:$DJ,'Area-Cabang'!$B150,'CWO Bulan Ini'!$DH:$DH,'Area-Cabang'!$E150,'CWO Bulan Ini'!$CZ:$CZ,'Area-Cabang'!AZ$41)</f>
        <v>0</v>
      </c>
      <c r="BA150" s="56">
        <f>SUMIFS('CWO Bulan Ini'!$DD:$DD,'CWO Bulan Ini'!$DJ:$DJ,'Area-Cabang'!$B150,'CWO Bulan Ini'!$DH:$DH,'Area-Cabang'!$E150,'CWO Bulan Ini'!$CZ:$CZ,'Area-Cabang'!BA$41)</f>
        <v>0</v>
      </c>
      <c r="BB150" s="56">
        <f>SUMIFS('CWO Bulan Ini'!$DD:$DD,'CWO Bulan Ini'!$DJ:$DJ,'Area-Cabang'!$B150,'CWO Bulan Ini'!$DH:$DH,'Area-Cabang'!$E150,'CWO Bulan Ini'!$CZ:$CZ,'Area-Cabang'!BB$41)</f>
        <v>0</v>
      </c>
      <c r="BC150" s="56">
        <f>SUMIFS('CWO Bulan Ini'!$DD:$DD,'CWO Bulan Ini'!$DJ:$DJ,'Area-Cabang'!$B150,'CWO Bulan Ini'!$DH:$DH,'Area-Cabang'!$E150,'CWO Bulan Ini'!$CZ:$CZ,'Area-Cabang'!BC$41)</f>
        <v>0</v>
      </c>
      <c r="BD150" s="56">
        <f>SUMIFS('CWO Bulan Ini'!$DD:$DD,'CWO Bulan Ini'!$DJ:$DJ,'Area-Cabang'!$B150,'CWO Bulan Ini'!$DH:$DH,'Area-Cabang'!$E150,'CWO Bulan Ini'!$CZ:$CZ,'Area-Cabang'!BD$41)</f>
        <v>0</v>
      </c>
      <c r="BE150" s="56">
        <f>SUMIFS('CWO Bulan Ini'!$DD:$DD,'CWO Bulan Ini'!$DJ:$DJ,'Area-Cabang'!$B150,'CWO Bulan Ini'!$DH:$DH,'Area-Cabang'!$E150,'CWO Bulan Ini'!$CZ:$CZ,'Area-Cabang'!BE$41)</f>
        <v>0</v>
      </c>
      <c r="BF150" s="56">
        <f>SUMIFS('CWO Bulan Ini'!$DD:$DD,'CWO Bulan Ini'!$DJ:$DJ,'Area-Cabang'!$B150,'CWO Bulan Ini'!$DH:$DH,'Area-Cabang'!$E150,'CWO Bulan Ini'!$CZ:$CZ,'Area-Cabang'!BF$41)</f>
        <v>0</v>
      </c>
      <c r="BG150" s="56">
        <f>SUMIFS('CWO Bulan Ini'!$DD:$DD,'CWO Bulan Ini'!$DJ:$DJ,'Area-Cabang'!$B150,'CWO Bulan Ini'!$DH:$DH,'Area-Cabang'!$E150,'CWO Bulan Ini'!$CZ:$CZ,'Area-Cabang'!BG$41)</f>
        <v>0</v>
      </c>
      <c r="BH150" s="56">
        <f>SUMIFS('CWO Bulan Ini'!$DD:$DD,'CWO Bulan Ini'!$DJ:$DJ,'Area-Cabang'!$B150,'CWO Bulan Ini'!$DH:$DH,'Area-Cabang'!$E150,'CWO Bulan Ini'!$CZ:$CZ,'Area-Cabang'!BH$41)</f>
        <v>0</v>
      </c>
      <c r="BI150" s="56">
        <f>SUMIFS('CWO Bulan Ini'!$DD:$DD,'CWO Bulan Ini'!$DJ:$DJ,'Area-Cabang'!$B150,'CWO Bulan Ini'!$DH:$DH,'Area-Cabang'!$E150,'CWO Bulan Ini'!$CZ:$CZ,'Area-Cabang'!BI$41)</f>
        <v>0</v>
      </c>
      <c r="BJ150" s="56">
        <f>SUMIFS('CWO Bulan Ini'!$DD:$DD,'CWO Bulan Ini'!$DJ:$DJ,'Area-Cabang'!$B150,'CWO Bulan Ini'!$DH:$DH,'Area-Cabang'!$E150,'CWO Bulan Ini'!$CZ:$CZ,'Area-Cabang'!BJ$41)</f>
        <v>0</v>
      </c>
      <c r="BK150" s="56">
        <f>SUMIFS('CWO Bulan Ini'!$DD:$DD,'CWO Bulan Ini'!$DJ:$DJ,'Area-Cabang'!$B150,'CWO Bulan Ini'!$DH:$DH,'Area-Cabang'!$E150,'CWO Bulan Ini'!$CZ:$CZ,'Area-Cabang'!BK$41)</f>
        <v>0</v>
      </c>
      <c r="BL150" s="56">
        <f>SUMIFS('CWO Bulan Ini'!$DD:$DD,'CWO Bulan Ini'!$DJ:$DJ,'Area-Cabang'!$B150,'CWO Bulan Ini'!$DH:$DH,'Area-Cabang'!$E150,'CWO Bulan Ini'!$CZ:$CZ,'Area-Cabang'!BL$41)</f>
        <v>0</v>
      </c>
      <c r="BM150" s="56">
        <f>SUMIFS('CWO Bulan Ini'!$DD:$DD,'CWO Bulan Ini'!$DJ:$DJ,'Area-Cabang'!$B150,'CWO Bulan Ini'!$DH:$DH,'Area-Cabang'!$E150,'CWO Bulan Ini'!$CZ:$CZ,'Area-Cabang'!BM$41)</f>
        <v>0</v>
      </c>
      <c r="BN150" s="56">
        <f>SUMIFS('CWO Bulan Ini'!$DD:$DD,'CWO Bulan Ini'!$DJ:$DJ,'Area-Cabang'!$B150,'CWO Bulan Ini'!$DH:$DH,'Area-Cabang'!$E150,'CWO Bulan Ini'!$CZ:$CZ,'Area-Cabang'!BN$41)</f>
        <v>0</v>
      </c>
      <c r="BO150" s="57">
        <f>SUMIFS('CWO Bulan Ini'!$DD:$DD,'CWO Bulan Ini'!$DJ:$DJ,'Area-Cabang'!$B150,'CWO Bulan Ini'!$DH:$DH,'Area-Cabang'!$E150,'CWO Bulan Ini'!$CZ:$CZ,'Area-Cabang'!BO$41)</f>
        <v>0</v>
      </c>
      <c r="BP150" s="55">
        <f>SUMIFS('CWO Bulan Ini'!$DC:$DC,'CWO Bulan Ini'!$DJ:$DJ,'Area-Cabang'!$B150,'CWO Bulan Ini'!$DH:$DH,'Area-Cabang'!$E150,'CWO Bulan Ini'!$CZ:$CZ,'Area-Cabang'!BP$41)</f>
        <v>0</v>
      </c>
      <c r="BQ150" s="56">
        <f>SUMIFS('CWO Bulan Ini'!$DC:$DC,'CWO Bulan Ini'!$DJ:$DJ,'Area-Cabang'!$B150,'CWO Bulan Ini'!$DH:$DH,'Area-Cabang'!$E150,'CWO Bulan Ini'!$CZ:$CZ,'Area-Cabang'!BQ$41)</f>
        <v>0</v>
      </c>
      <c r="BR150" s="56">
        <f>SUMIFS('CWO Bulan Ini'!$DC:$DC,'CWO Bulan Ini'!$DJ:$DJ,'Area-Cabang'!$B150,'CWO Bulan Ini'!$DH:$DH,'Area-Cabang'!$E150,'CWO Bulan Ini'!$CZ:$CZ,'Area-Cabang'!BR$41)</f>
        <v>0</v>
      </c>
      <c r="BS150" s="56">
        <f>SUMIFS('CWO Bulan Ini'!$DC:$DC,'CWO Bulan Ini'!$DJ:$DJ,'Area-Cabang'!$B150,'CWO Bulan Ini'!$DH:$DH,'Area-Cabang'!$E150,'CWO Bulan Ini'!$CZ:$CZ,'Area-Cabang'!BS$41)</f>
        <v>0</v>
      </c>
      <c r="BT150" s="56">
        <f>SUMIFS('CWO Bulan Ini'!$DC:$DC,'CWO Bulan Ini'!$DJ:$DJ,'Area-Cabang'!$B150,'CWO Bulan Ini'!$DH:$DH,'Area-Cabang'!$E150,'CWO Bulan Ini'!$CZ:$CZ,'Area-Cabang'!BT$41)</f>
        <v>0</v>
      </c>
      <c r="BU150" s="56">
        <f>SUMIFS('CWO Bulan Ini'!$DC:$DC,'CWO Bulan Ini'!$DJ:$DJ,'Area-Cabang'!$B150,'CWO Bulan Ini'!$DH:$DH,'Area-Cabang'!$E150,'CWO Bulan Ini'!$CZ:$CZ,'Area-Cabang'!BU$41)</f>
        <v>0</v>
      </c>
      <c r="BV150" s="56">
        <f>SUMIFS('CWO Bulan Ini'!$DC:$DC,'CWO Bulan Ini'!$DJ:$DJ,'Area-Cabang'!$B150,'CWO Bulan Ini'!$DH:$DH,'Area-Cabang'!$E150,'CWO Bulan Ini'!$CZ:$CZ,'Area-Cabang'!BV$41)</f>
        <v>0</v>
      </c>
      <c r="BW150" s="56">
        <f>SUMIFS('CWO Bulan Ini'!$DC:$DC,'CWO Bulan Ini'!$DJ:$DJ,'Area-Cabang'!$B150,'CWO Bulan Ini'!$DH:$DH,'Area-Cabang'!$E150,'CWO Bulan Ini'!$CZ:$CZ,'Area-Cabang'!BW$41)</f>
        <v>0</v>
      </c>
      <c r="BX150" s="56">
        <f>SUMIFS('CWO Bulan Ini'!$DC:$DC,'CWO Bulan Ini'!$DJ:$DJ,'Area-Cabang'!$B150,'CWO Bulan Ini'!$DH:$DH,'Area-Cabang'!$E150,'CWO Bulan Ini'!$CZ:$CZ,'Area-Cabang'!BX$41)</f>
        <v>0</v>
      </c>
      <c r="BY150" s="56">
        <f>SUMIFS('CWO Bulan Ini'!$DC:$DC,'CWO Bulan Ini'!$DJ:$DJ,'Area-Cabang'!$B150,'CWO Bulan Ini'!$DH:$DH,'Area-Cabang'!$E150,'CWO Bulan Ini'!$CZ:$CZ,'Area-Cabang'!BY$41)</f>
        <v>0</v>
      </c>
      <c r="BZ150" s="56">
        <f>SUMIFS('CWO Bulan Ini'!$DC:$DC,'CWO Bulan Ini'!$DJ:$DJ,'Area-Cabang'!$B150,'CWO Bulan Ini'!$DH:$DH,'Area-Cabang'!$E150,'CWO Bulan Ini'!$CZ:$CZ,'Area-Cabang'!BZ$41)</f>
        <v>0</v>
      </c>
      <c r="CA150" s="56">
        <f>SUMIFS('CWO Bulan Ini'!$DC:$DC,'CWO Bulan Ini'!$DJ:$DJ,'Area-Cabang'!$B150,'CWO Bulan Ini'!$DH:$DH,'Area-Cabang'!$E150,'CWO Bulan Ini'!$CZ:$CZ,'Area-Cabang'!CA$41)</f>
        <v>0</v>
      </c>
      <c r="CB150" s="56">
        <f>SUMIFS('CWO Bulan Ini'!$DC:$DC,'CWO Bulan Ini'!$DJ:$DJ,'Area-Cabang'!$B150,'CWO Bulan Ini'!$DH:$DH,'Area-Cabang'!$E150,'CWO Bulan Ini'!$CZ:$CZ,'Area-Cabang'!CB$41)</f>
        <v>0</v>
      </c>
      <c r="CC150" s="56">
        <f>SUMIFS('CWO Bulan Ini'!$DC:$DC,'CWO Bulan Ini'!$DJ:$DJ,'Area-Cabang'!$B150,'CWO Bulan Ini'!$DH:$DH,'Area-Cabang'!$E150,'CWO Bulan Ini'!$CZ:$CZ,'Area-Cabang'!CC$41)</f>
        <v>0</v>
      </c>
      <c r="CD150" s="56">
        <f>SUMIFS('CWO Bulan Ini'!$DC:$DC,'CWO Bulan Ini'!$DJ:$DJ,'Area-Cabang'!$B150,'CWO Bulan Ini'!$DH:$DH,'Area-Cabang'!$E150,'CWO Bulan Ini'!$CZ:$CZ,'Area-Cabang'!CD$41)</f>
        <v>0</v>
      </c>
      <c r="CE150" s="56">
        <f>SUMIFS('CWO Bulan Ini'!$DC:$DC,'CWO Bulan Ini'!$DJ:$DJ,'Area-Cabang'!$B150,'CWO Bulan Ini'!$DH:$DH,'Area-Cabang'!$E150,'CWO Bulan Ini'!$CZ:$CZ,'Area-Cabang'!CE$41)</f>
        <v>0</v>
      </c>
      <c r="CF150" s="56">
        <f>SUMIFS('CWO Bulan Ini'!$DC:$DC,'CWO Bulan Ini'!$DJ:$DJ,'Area-Cabang'!$B150,'CWO Bulan Ini'!$DH:$DH,'Area-Cabang'!$E150,'CWO Bulan Ini'!$CZ:$CZ,'Area-Cabang'!CF$41)</f>
        <v>0</v>
      </c>
      <c r="CG150" s="56">
        <f>SUMIFS('CWO Bulan Ini'!$DC:$DC,'CWO Bulan Ini'!$DJ:$DJ,'Area-Cabang'!$B150,'CWO Bulan Ini'!$DH:$DH,'Area-Cabang'!$E150,'CWO Bulan Ini'!$CZ:$CZ,'Area-Cabang'!CG$41)</f>
        <v>0</v>
      </c>
      <c r="CH150" s="56">
        <f>SUMIFS('CWO Bulan Ini'!$DC:$DC,'CWO Bulan Ini'!$DJ:$DJ,'Area-Cabang'!$B150,'CWO Bulan Ini'!$DH:$DH,'Area-Cabang'!$E150,'CWO Bulan Ini'!$CZ:$CZ,'Area-Cabang'!CH$41)</f>
        <v>0</v>
      </c>
      <c r="CI150" s="56">
        <f>SUMIFS('CWO Bulan Ini'!$DC:$DC,'CWO Bulan Ini'!$DJ:$DJ,'Area-Cabang'!$B150,'CWO Bulan Ini'!$DH:$DH,'Area-Cabang'!$E150,'CWO Bulan Ini'!$CZ:$CZ,'Area-Cabang'!CI$41)</f>
        <v>0</v>
      </c>
      <c r="CJ150" s="56">
        <f>SUMIFS('CWO Bulan Ini'!$DC:$DC,'CWO Bulan Ini'!$DJ:$DJ,'Area-Cabang'!$B150,'CWO Bulan Ini'!$DH:$DH,'Area-Cabang'!$E150,'CWO Bulan Ini'!$CZ:$CZ,'Area-Cabang'!CJ$41)</f>
        <v>0</v>
      </c>
      <c r="CK150" s="56">
        <f>SUMIFS('CWO Bulan Ini'!$DC:$DC,'CWO Bulan Ini'!$DJ:$DJ,'Area-Cabang'!$B150,'CWO Bulan Ini'!$DH:$DH,'Area-Cabang'!$E150,'CWO Bulan Ini'!$CZ:$CZ,'Area-Cabang'!CK$41)</f>
        <v>0</v>
      </c>
      <c r="CL150" s="56">
        <f>SUMIFS('CWO Bulan Ini'!$DC:$DC,'CWO Bulan Ini'!$DJ:$DJ,'Area-Cabang'!$B150,'CWO Bulan Ini'!$DH:$DH,'Area-Cabang'!$E150,'CWO Bulan Ini'!$CZ:$CZ,'Area-Cabang'!CL$41)</f>
        <v>0</v>
      </c>
      <c r="CM150" s="56">
        <f>SUMIFS('CWO Bulan Ini'!$DC:$DC,'CWO Bulan Ini'!$DJ:$DJ,'Area-Cabang'!$B150,'CWO Bulan Ini'!$DH:$DH,'Area-Cabang'!$E150,'CWO Bulan Ini'!$CZ:$CZ,'Area-Cabang'!CM$41)</f>
        <v>0</v>
      </c>
      <c r="CN150" s="56">
        <f>SUMIFS('CWO Bulan Ini'!$DC:$DC,'CWO Bulan Ini'!$DJ:$DJ,'Area-Cabang'!$B150,'CWO Bulan Ini'!$DH:$DH,'Area-Cabang'!$E150,'CWO Bulan Ini'!$CZ:$CZ,'Area-Cabang'!CN$41)</f>
        <v>0</v>
      </c>
      <c r="CO150" s="56">
        <f>SUMIFS('CWO Bulan Ini'!$DC:$DC,'CWO Bulan Ini'!$DJ:$DJ,'Area-Cabang'!$B150,'CWO Bulan Ini'!$DH:$DH,'Area-Cabang'!$E150,'CWO Bulan Ini'!$CZ:$CZ,'Area-Cabang'!CO$41)</f>
        <v>0</v>
      </c>
      <c r="CP150" s="56">
        <f>SUMIFS('CWO Bulan Ini'!$DC:$DC,'CWO Bulan Ini'!$DJ:$DJ,'Area-Cabang'!$B150,'CWO Bulan Ini'!$DH:$DH,'Area-Cabang'!$E150,'CWO Bulan Ini'!$CZ:$CZ,'Area-Cabang'!CP$41)</f>
        <v>0</v>
      </c>
      <c r="CQ150" s="56">
        <f>SUMIFS('CWO Bulan Ini'!$DC:$DC,'CWO Bulan Ini'!$DJ:$DJ,'Area-Cabang'!$B150,'CWO Bulan Ini'!$DH:$DH,'Area-Cabang'!$E150,'CWO Bulan Ini'!$CZ:$CZ,'Area-Cabang'!CQ$41)</f>
        <v>0</v>
      </c>
      <c r="CR150" s="56">
        <f>SUMIFS('CWO Bulan Ini'!$DC:$DC,'CWO Bulan Ini'!$DJ:$DJ,'Area-Cabang'!$B150,'CWO Bulan Ini'!$DH:$DH,'Area-Cabang'!$E150,'CWO Bulan Ini'!$CZ:$CZ,'Area-Cabang'!CR$41)</f>
        <v>0</v>
      </c>
      <c r="CS150" s="56">
        <f>SUMIFS('CWO Bulan Ini'!$DC:$DC,'CWO Bulan Ini'!$DJ:$DJ,'Area-Cabang'!$B150,'CWO Bulan Ini'!$DH:$DH,'Area-Cabang'!$E150,'CWO Bulan Ini'!$CZ:$CZ,'Area-Cabang'!CS$41)</f>
        <v>0</v>
      </c>
      <c r="CT150" s="57">
        <f>SUMIFS('CWO Bulan Ini'!$DC:$DC,'CWO Bulan Ini'!$DJ:$DJ,'Area-Cabang'!$B150,'CWO Bulan Ini'!$DH:$DH,'Area-Cabang'!$E150,'CWO Bulan Ini'!$CZ:$CZ,'Area-Cabang'!CT$41)</f>
        <v>0</v>
      </c>
      <c r="CV150" s="97">
        <f t="shared" ref="CV150:CV151" si="4689">SUM(F150:AJ150)</f>
        <v>126.52319047</v>
      </c>
      <c r="CW150" s="98">
        <f t="shared" ref="CW150:CW151" si="4690">SUM(AK150:BO150)</f>
        <v>0</v>
      </c>
      <c r="CX150" s="98">
        <f t="shared" ref="CX150:CX151" si="4691">SUM(BP150:CT150)</f>
        <v>0</v>
      </c>
      <c r="CY150" s="98">
        <f t="shared" ref="CY150:CY151" si="4692">CV150-CW150-CX150</f>
        <v>126.52319047</v>
      </c>
      <c r="CZ150" s="105">
        <f t="shared" ref="CZ150:CZ151" si="4693">CY150+CW150</f>
        <v>126.52319047</v>
      </c>
    </row>
    <row r="151" spans="1:104" ht="15" customHeight="1" x14ac:dyDescent="0.25">
      <c r="A151" s="58" t="s">
        <v>500</v>
      </c>
      <c r="B151" s="58" t="s">
        <v>396</v>
      </c>
      <c r="C151" s="250"/>
      <c r="D151" s="244"/>
      <c r="E151" s="40" t="s">
        <v>349</v>
      </c>
      <c r="F151" s="41">
        <f>SUMIFS('CWO Bulan Ini'!$DA:$DA,'CWO Bulan Ini'!$DJ:$DJ,'Area-Cabang'!$B151,'CWO Bulan Ini'!$DH:$DH,'Area-Cabang'!$E151,'CWO Bulan Ini'!$CZ:$CZ,'Area-Cabang'!F$41)</f>
        <v>0</v>
      </c>
      <c r="G151" s="42">
        <f>SUMIFS('CWO Bulan Ini'!$DA:$DA,'CWO Bulan Ini'!$DJ:$DJ,'Area-Cabang'!$B151,'CWO Bulan Ini'!$DH:$DH,'Area-Cabang'!$E151,'CWO Bulan Ini'!$CZ:$CZ,'Area-Cabang'!G$41)</f>
        <v>0</v>
      </c>
      <c r="H151" s="42">
        <f>SUMIFS('CWO Bulan Ini'!$DA:$DA,'CWO Bulan Ini'!$DJ:$DJ,'Area-Cabang'!$B151,'CWO Bulan Ini'!$DH:$DH,'Area-Cabang'!$E151,'CWO Bulan Ini'!$CZ:$CZ,'Area-Cabang'!H$41)</f>
        <v>0</v>
      </c>
      <c r="I151" s="42">
        <f>SUMIFS('CWO Bulan Ini'!$DA:$DA,'CWO Bulan Ini'!$DJ:$DJ,'Area-Cabang'!$B151,'CWO Bulan Ini'!$DH:$DH,'Area-Cabang'!$E151,'CWO Bulan Ini'!$CZ:$CZ,'Area-Cabang'!I$41)</f>
        <v>0</v>
      </c>
      <c r="J151" s="42">
        <f>SUMIFS('CWO Bulan Ini'!$DA:$DA,'CWO Bulan Ini'!$DJ:$DJ,'Area-Cabang'!$B151,'CWO Bulan Ini'!$DH:$DH,'Area-Cabang'!$E151,'CWO Bulan Ini'!$CZ:$CZ,'Area-Cabang'!J$41)</f>
        <v>0</v>
      </c>
      <c r="K151" s="42">
        <f>SUMIFS('CWO Bulan Ini'!$DA:$DA,'CWO Bulan Ini'!$DJ:$DJ,'Area-Cabang'!$B151,'CWO Bulan Ini'!$DH:$DH,'Area-Cabang'!$E151,'CWO Bulan Ini'!$CZ:$CZ,'Area-Cabang'!K$41)</f>
        <v>0</v>
      </c>
      <c r="L151" s="42">
        <f>SUMIFS('CWO Bulan Ini'!$DA:$DA,'CWO Bulan Ini'!$DJ:$DJ,'Area-Cabang'!$B151,'CWO Bulan Ini'!$DH:$DH,'Area-Cabang'!$E151,'CWO Bulan Ini'!$CZ:$CZ,'Area-Cabang'!L$41)</f>
        <v>0</v>
      </c>
      <c r="M151" s="42">
        <f>SUMIFS('CWO Bulan Ini'!$DA:$DA,'CWO Bulan Ini'!$DJ:$DJ,'Area-Cabang'!$B151,'CWO Bulan Ini'!$DH:$DH,'Area-Cabang'!$E151,'CWO Bulan Ini'!$CZ:$CZ,'Area-Cabang'!M$41)</f>
        <v>0</v>
      </c>
      <c r="N151" s="42">
        <f>SUMIFS('CWO Bulan Ini'!$DA:$DA,'CWO Bulan Ini'!$DJ:$DJ,'Area-Cabang'!$B151,'CWO Bulan Ini'!$DH:$DH,'Area-Cabang'!$E151,'CWO Bulan Ini'!$CZ:$CZ,'Area-Cabang'!N$41)</f>
        <v>0</v>
      </c>
      <c r="O151" s="42">
        <f>SUMIFS('CWO Bulan Ini'!$DA:$DA,'CWO Bulan Ini'!$DJ:$DJ,'Area-Cabang'!$B151,'CWO Bulan Ini'!$DH:$DH,'Area-Cabang'!$E151,'CWO Bulan Ini'!$CZ:$CZ,'Area-Cabang'!O$41)</f>
        <v>0</v>
      </c>
      <c r="P151" s="42">
        <f>SUMIFS('CWO Bulan Ini'!$DA:$DA,'CWO Bulan Ini'!$DJ:$DJ,'Area-Cabang'!$B151,'CWO Bulan Ini'!$DH:$DH,'Area-Cabang'!$E151,'CWO Bulan Ini'!$CZ:$CZ,'Area-Cabang'!P$41)</f>
        <v>0</v>
      </c>
      <c r="Q151" s="42">
        <f>SUMIFS('CWO Bulan Ini'!$DA:$DA,'CWO Bulan Ini'!$DJ:$DJ,'Area-Cabang'!$B151,'CWO Bulan Ini'!$DH:$DH,'Area-Cabang'!$E151,'CWO Bulan Ini'!$CZ:$CZ,'Area-Cabang'!Q$41)</f>
        <v>0</v>
      </c>
      <c r="R151" s="42">
        <f>SUMIFS('CWO Bulan Ini'!$DA:$DA,'CWO Bulan Ini'!$DJ:$DJ,'Area-Cabang'!$B151,'CWO Bulan Ini'!$DH:$DH,'Area-Cabang'!$E151,'CWO Bulan Ini'!$CZ:$CZ,'Area-Cabang'!R$41)</f>
        <v>0</v>
      </c>
      <c r="S151" s="42">
        <f>SUMIFS('CWO Bulan Ini'!$DA:$DA,'CWO Bulan Ini'!$DJ:$DJ,'Area-Cabang'!$B151,'CWO Bulan Ini'!$DH:$DH,'Area-Cabang'!$E151,'CWO Bulan Ini'!$CZ:$CZ,'Area-Cabang'!S$41)</f>
        <v>0</v>
      </c>
      <c r="T151" s="42">
        <f>SUMIFS('CWO Bulan Ini'!$DA:$DA,'CWO Bulan Ini'!$DJ:$DJ,'Area-Cabang'!$B151,'CWO Bulan Ini'!$DH:$DH,'Area-Cabang'!$E151,'CWO Bulan Ini'!$CZ:$CZ,'Area-Cabang'!T$41)</f>
        <v>0</v>
      </c>
      <c r="U151" s="42">
        <f>SUMIFS('CWO Bulan Ini'!$DA:$DA,'CWO Bulan Ini'!$DJ:$DJ,'Area-Cabang'!$B151,'CWO Bulan Ini'!$DH:$DH,'Area-Cabang'!$E151,'CWO Bulan Ini'!$CZ:$CZ,'Area-Cabang'!U$41)</f>
        <v>0</v>
      </c>
      <c r="V151" s="42">
        <f>SUMIFS('CWO Bulan Ini'!$DA:$DA,'CWO Bulan Ini'!$DJ:$DJ,'Area-Cabang'!$B151,'CWO Bulan Ini'!$DH:$DH,'Area-Cabang'!$E151,'CWO Bulan Ini'!$CZ:$CZ,'Area-Cabang'!V$41)</f>
        <v>0</v>
      </c>
      <c r="W151" s="42">
        <f>SUMIFS('CWO Bulan Ini'!$DA:$DA,'CWO Bulan Ini'!$DJ:$DJ,'Area-Cabang'!$B151,'CWO Bulan Ini'!$DH:$DH,'Area-Cabang'!$E151,'CWO Bulan Ini'!$CZ:$CZ,'Area-Cabang'!W$41)</f>
        <v>0</v>
      </c>
      <c r="X151" s="42">
        <f>SUMIFS('CWO Bulan Ini'!$DA:$DA,'CWO Bulan Ini'!$DJ:$DJ,'Area-Cabang'!$B151,'CWO Bulan Ini'!$DH:$DH,'Area-Cabang'!$E151,'CWO Bulan Ini'!$CZ:$CZ,'Area-Cabang'!X$41)</f>
        <v>0</v>
      </c>
      <c r="Y151" s="42">
        <f>SUMIFS('CWO Bulan Ini'!$DA:$DA,'CWO Bulan Ini'!$DJ:$DJ,'Area-Cabang'!$B151,'CWO Bulan Ini'!$DH:$DH,'Area-Cabang'!$E151,'CWO Bulan Ini'!$CZ:$CZ,'Area-Cabang'!Y$41)</f>
        <v>0</v>
      </c>
      <c r="Z151" s="42">
        <f>SUMIFS('CWO Bulan Ini'!$DA:$DA,'CWO Bulan Ini'!$DJ:$DJ,'Area-Cabang'!$B151,'CWO Bulan Ini'!$DH:$DH,'Area-Cabang'!$E151,'CWO Bulan Ini'!$CZ:$CZ,'Area-Cabang'!Z$41)</f>
        <v>0</v>
      </c>
      <c r="AA151" s="42">
        <f>SUMIFS('CWO Bulan Ini'!$DA:$DA,'CWO Bulan Ini'!$DJ:$DJ,'Area-Cabang'!$B151,'CWO Bulan Ini'!$DH:$DH,'Area-Cabang'!$E151,'CWO Bulan Ini'!$CZ:$CZ,'Area-Cabang'!AA$41)</f>
        <v>0</v>
      </c>
      <c r="AB151" s="42">
        <f>SUMIFS('CWO Bulan Ini'!$DA:$DA,'CWO Bulan Ini'!$DJ:$DJ,'Area-Cabang'!$B151,'CWO Bulan Ini'!$DH:$DH,'Area-Cabang'!$E151,'CWO Bulan Ini'!$CZ:$CZ,'Area-Cabang'!AB$41)</f>
        <v>0</v>
      </c>
      <c r="AC151" s="42">
        <f>SUMIFS('CWO Bulan Ini'!$DA:$DA,'CWO Bulan Ini'!$DJ:$DJ,'Area-Cabang'!$B151,'CWO Bulan Ini'!$DH:$DH,'Area-Cabang'!$E151,'CWO Bulan Ini'!$CZ:$CZ,'Area-Cabang'!AC$41)</f>
        <v>0</v>
      </c>
      <c r="AD151" s="42">
        <f>SUMIFS('CWO Bulan Ini'!$DA:$DA,'CWO Bulan Ini'!$DJ:$DJ,'Area-Cabang'!$B151,'CWO Bulan Ini'!$DH:$DH,'Area-Cabang'!$E151,'CWO Bulan Ini'!$CZ:$CZ,'Area-Cabang'!AD$41)</f>
        <v>0</v>
      </c>
      <c r="AE151" s="42">
        <f>SUMIFS('CWO Bulan Ini'!$DA:$DA,'CWO Bulan Ini'!$DJ:$DJ,'Area-Cabang'!$B151,'CWO Bulan Ini'!$DH:$DH,'Area-Cabang'!$E151,'CWO Bulan Ini'!$CZ:$CZ,'Area-Cabang'!AE$41)</f>
        <v>0</v>
      </c>
      <c r="AF151" s="42">
        <f>SUMIFS('CWO Bulan Ini'!$DA:$DA,'CWO Bulan Ini'!$DJ:$DJ,'Area-Cabang'!$B151,'CWO Bulan Ini'!$DH:$DH,'Area-Cabang'!$E151,'CWO Bulan Ini'!$CZ:$CZ,'Area-Cabang'!AF$41)</f>
        <v>0</v>
      </c>
      <c r="AG151" s="42">
        <f>SUMIFS('CWO Bulan Ini'!$DA:$DA,'CWO Bulan Ini'!$DJ:$DJ,'Area-Cabang'!$B151,'CWO Bulan Ini'!$DH:$DH,'Area-Cabang'!$E151,'CWO Bulan Ini'!$CZ:$CZ,'Area-Cabang'!AG$41)</f>
        <v>0</v>
      </c>
      <c r="AH151" s="42">
        <f>SUMIFS('CWO Bulan Ini'!$DA:$DA,'CWO Bulan Ini'!$DJ:$DJ,'Area-Cabang'!$B151,'CWO Bulan Ini'!$DH:$DH,'Area-Cabang'!$E151,'CWO Bulan Ini'!$CZ:$CZ,'Area-Cabang'!AH$41)</f>
        <v>0</v>
      </c>
      <c r="AI151" s="42">
        <f>SUMIFS('CWO Bulan Ini'!$DA:$DA,'CWO Bulan Ini'!$DJ:$DJ,'Area-Cabang'!$B151,'CWO Bulan Ini'!$DH:$DH,'Area-Cabang'!$E151,'CWO Bulan Ini'!$CZ:$CZ,'Area-Cabang'!AI$41)</f>
        <v>0</v>
      </c>
      <c r="AJ151" s="42">
        <f>SUMIFS('CWO Bulan Ini'!$DA:$DA,'CWO Bulan Ini'!$DJ:$DJ,'Area-Cabang'!$B151,'CWO Bulan Ini'!$DH:$DH,'Area-Cabang'!$E151,'CWO Bulan Ini'!$CZ:$CZ,'Area-Cabang'!AJ$41)</f>
        <v>0</v>
      </c>
      <c r="AK151" s="41">
        <f>SUMIFS('CWO Bulan Ini'!$DD:$DD,'CWO Bulan Ini'!$DJ:$DJ,'Area-Cabang'!$B151,'CWO Bulan Ini'!$DH:$DH,'Area-Cabang'!$E151,'CWO Bulan Ini'!$CZ:$CZ,'Area-Cabang'!AK$41)</f>
        <v>0</v>
      </c>
      <c r="AL151" s="42">
        <f>SUMIFS('CWO Bulan Ini'!$DD:$DD,'CWO Bulan Ini'!$DJ:$DJ,'Area-Cabang'!$B151,'CWO Bulan Ini'!$DH:$DH,'Area-Cabang'!$E151,'CWO Bulan Ini'!$CZ:$CZ,'Area-Cabang'!AL$41)</f>
        <v>0</v>
      </c>
      <c r="AM151" s="42">
        <f>SUMIFS('CWO Bulan Ini'!$DD:$DD,'CWO Bulan Ini'!$DJ:$DJ,'Area-Cabang'!$B151,'CWO Bulan Ini'!$DH:$DH,'Area-Cabang'!$E151,'CWO Bulan Ini'!$CZ:$CZ,'Area-Cabang'!AM$41)</f>
        <v>0</v>
      </c>
      <c r="AN151" s="42">
        <f>SUMIFS('CWO Bulan Ini'!$DD:$DD,'CWO Bulan Ini'!$DJ:$DJ,'Area-Cabang'!$B151,'CWO Bulan Ini'!$DH:$DH,'Area-Cabang'!$E151,'CWO Bulan Ini'!$CZ:$CZ,'Area-Cabang'!AN$41)</f>
        <v>0</v>
      </c>
      <c r="AO151" s="42">
        <f>SUMIFS('CWO Bulan Ini'!$DD:$DD,'CWO Bulan Ini'!$DJ:$DJ,'Area-Cabang'!$B151,'CWO Bulan Ini'!$DH:$DH,'Area-Cabang'!$E151,'CWO Bulan Ini'!$CZ:$CZ,'Area-Cabang'!AO$41)</f>
        <v>0</v>
      </c>
      <c r="AP151" s="42">
        <f>SUMIFS('CWO Bulan Ini'!$DD:$DD,'CWO Bulan Ini'!$DJ:$DJ,'Area-Cabang'!$B151,'CWO Bulan Ini'!$DH:$DH,'Area-Cabang'!$E151,'CWO Bulan Ini'!$CZ:$CZ,'Area-Cabang'!AP$41)</f>
        <v>0</v>
      </c>
      <c r="AQ151" s="42">
        <f>SUMIFS('CWO Bulan Ini'!$DD:$DD,'CWO Bulan Ini'!$DJ:$DJ,'Area-Cabang'!$B151,'CWO Bulan Ini'!$DH:$DH,'Area-Cabang'!$E151,'CWO Bulan Ini'!$CZ:$CZ,'Area-Cabang'!AQ$41)</f>
        <v>0</v>
      </c>
      <c r="AR151" s="42">
        <f>SUMIFS('CWO Bulan Ini'!$DD:$DD,'CWO Bulan Ini'!$DJ:$DJ,'Area-Cabang'!$B151,'CWO Bulan Ini'!$DH:$DH,'Area-Cabang'!$E151,'CWO Bulan Ini'!$CZ:$CZ,'Area-Cabang'!AR$41)</f>
        <v>0</v>
      </c>
      <c r="AS151" s="42">
        <f>SUMIFS('CWO Bulan Ini'!$DD:$DD,'CWO Bulan Ini'!$DJ:$DJ,'Area-Cabang'!$B151,'CWO Bulan Ini'!$DH:$DH,'Area-Cabang'!$E151,'CWO Bulan Ini'!$CZ:$CZ,'Area-Cabang'!AS$41)</f>
        <v>0</v>
      </c>
      <c r="AT151" s="42">
        <f>SUMIFS('CWO Bulan Ini'!$DD:$DD,'CWO Bulan Ini'!$DJ:$DJ,'Area-Cabang'!$B151,'CWO Bulan Ini'!$DH:$DH,'Area-Cabang'!$E151,'CWO Bulan Ini'!$CZ:$CZ,'Area-Cabang'!AT$41)</f>
        <v>0</v>
      </c>
      <c r="AU151" s="42">
        <f>SUMIFS('CWO Bulan Ini'!$DD:$DD,'CWO Bulan Ini'!$DJ:$DJ,'Area-Cabang'!$B151,'CWO Bulan Ini'!$DH:$DH,'Area-Cabang'!$E151,'CWO Bulan Ini'!$CZ:$CZ,'Area-Cabang'!AU$41)</f>
        <v>0</v>
      </c>
      <c r="AV151" s="42">
        <f>SUMIFS('CWO Bulan Ini'!$DD:$DD,'CWO Bulan Ini'!$DJ:$DJ,'Area-Cabang'!$B151,'CWO Bulan Ini'!$DH:$DH,'Area-Cabang'!$E151,'CWO Bulan Ini'!$CZ:$CZ,'Area-Cabang'!AV$41)</f>
        <v>0</v>
      </c>
      <c r="AW151" s="42">
        <f>SUMIFS('CWO Bulan Ini'!$DD:$DD,'CWO Bulan Ini'!$DJ:$DJ,'Area-Cabang'!$B151,'CWO Bulan Ini'!$DH:$DH,'Area-Cabang'!$E151,'CWO Bulan Ini'!$CZ:$CZ,'Area-Cabang'!AW$41)</f>
        <v>0</v>
      </c>
      <c r="AX151" s="42">
        <f>SUMIFS('CWO Bulan Ini'!$DD:$DD,'CWO Bulan Ini'!$DJ:$DJ,'Area-Cabang'!$B151,'CWO Bulan Ini'!$DH:$DH,'Area-Cabang'!$E151,'CWO Bulan Ini'!$CZ:$CZ,'Area-Cabang'!AX$41)</f>
        <v>0</v>
      </c>
      <c r="AY151" s="42">
        <f>SUMIFS('CWO Bulan Ini'!$DD:$DD,'CWO Bulan Ini'!$DJ:$DJ,'Area-Cabang'!$B151,'CWO Bulan Ini'!$DH:$DH,'Area-Cabang'!$E151,'CWO Bulan Ini'!$CZ:$CZ,'Area-Cabang'!AY$41)</f>
        <v>0</v>
      </c>
      <c r="AZ151" s="42">
        <f>SUMIFS('CWO Bulan Ini'!$DD:$DD,'CWO Bulan Ini'!$DJ:$DJ,'Area-Cabang'!$B151,'CWO Bulan Ini'!$DH:$DH,'Area-Cabang'!$E151,'CWO Bulan Ini'!$CZ:$CZ,'Area-Cabang'!AZ$41)</f>
        <v>0</v>
      </c>
      <c r="BA151" s="42">
        <f>SUMIFS('CWO Bulan Ini'!$DD:$DD,'CWO Bulan Ini'!$DJ:$DJ,'Area-Cabang'!$B151,'CWO Bulan Ini'!$DH:$DH,'Area-Cabang'!$E151,'CWO Bulan Ini'!$CZ:$CZ,'Area-Cabang'!BA$41)</f>
        <v>0</v>
      </c>
      <c r="BB151" s="42">
        <f>SUMIFS('CWO Bulan Ini'!$DD:$DD,'CWO Bulan Ini'!$DJ:$DJ,'Area-Cabang'!$B151,'CWO Bulan Ini'!$DH:$DH,'Area-Cabang'!$E151,'CWO Bulan Ini'!$CZ:$CZ,'Area-Cabang'!BB$41)</f>
        <v>0</v>
      </c>
      <c r="BC151" s="42">
        <f>SUMIFS('CWO Bulan Ini'!$DD:$DD,'CWO Bulan Ini'!$DJ:$DJ,'Area-Cabang'!$B151,'CWO Bulan Ini'!$DH:$DH,'Area-Cabang'!$E151,'CWO Bulan Ini'!$CZ:$CZ,'Area-Cabang'!BC$41)</f>
        <v>0</v>
      </c>
      <c r="BD151" s="42">
        <f>SUMIFS('CWO Bulan Ini'!$DD:$DD,'CWO Bulan Ini'!$DJ:$DJ,'Area-Cabang'!$B151,'CWO Bulan Ini'!$DH:$DH,'Area-Cabang'!$E151,'CWO Bulan Ini'!$CZ:$CZ,'Area-Cabang'!BD$41)</f>
        <v>0</v>
      </c>
      <c r="BE151" s="42">
        <f>SUMIFS('CWO Bulan Ini'!$DD:$DD,'CWO Bulan Ini'!$DJ:$DJ,'Area-Cabang'!$B151,'CWO Bulan Ini'!$DH:$DH,'Area-Cabang'!$E151,'CWO Bulan Ini'!$CZ:$CZ,'Area-Cabang'!BE$41)</f>
        <v>0</v>
      </c>
      <c r="BF151" s="42">
        <f>SUMIFS('CWO Bulan Ini'!$DD:$DD,'CWO Bulan Ini'!$DJ:$DJ,'Area-Cabang'!$B151,'CWO Bulan Ini'!$DH:$DH,'Area-Cabang'!$E151,'CWO Bulan Ini'!$CZ:$CZ,'Area-Cabang'!BF$41)</f>
        <v>0</v>
      </c>
      <c r="BG151" s="42">
        <f>SUMIFS('CWO Bulan Ini'!$DD:$DD,'CWO Bulan Ini'!$DJ:$DJ,'Area-Cabang'!$B151,'CWO Bulan Ini'!$DH:$DH,'Area-Cabang'!$E151,'CWO Bulan Ini'!$CZ:$CZ,'Area-Cabang'!BG$41)</f>
        <v>0</v>
      </c>
      <c r="BH151" s="42">
        <f>SUMIFS('CWO Bulan Ini'!$DD:$DD,'CWO Bulan Ini'!$DJ:$DJ,'Area-Cabang'!$B151,'CWO Bulan Ini'!$DH:$DH,'Area-Cabang'!$E151,'CWO Bulan Ini'!$CZ:$CZ,'Area-Cabang'!BH$41)</f>
        <v>0</v>
      </c>
      <c r="BI151" s="42">
        <f>SUMIFS('CWO Bulan Ini'!$DD:$DD,'CWO Bulan Ini'!$DJ:$DJ,'Area-Cabang'!$B151,'CWO Bulan Ini'!$DH:$DH,'Area-Cabang'!$E151,'CWO Bulan Ini'!$CZ:$CZ,'Area-Cabang'!BI$41)</f>
        <v>0</v>
      </c>
      <c r="BJ151" s="42">
        <f>SUMIFS('CWO Bulan Ini'!$DD:$DD,'CWO Bulan Ini'!$DJ:$DJ,'Area-Cabang'!$B151,'CWO Bulan Ini'!$DH:$DH,'Area-Cabang'!$E151,'CWO Bulan Ini'!$CZ:$CZ,'Area-Cabang'!BJ$41)</f>
        <v>0</v>
      </c>
      <c r="BK151" s="42">
        <f>SUMIFS('CWO Bulan Ini'!$DD:$DD,'CWO Bulan Ini'!$DJ:$DJ,'Area-Cabang'!$B151,'CWO Bulan Ini'!$DH:$DH,'Area-Cabang'!$E151,'CWO Bulan Ini'!$CZ:$CZ,'Area-Cabang'!BK$41)</f>
        <v>0</v>
      </c>
      <c r="BL151" s="42">
        <f>SUMIFS('CWO Bulan Ini'!$DD:$DD,'CWO Bulan Ini'!$DJ:$DJ,'Area-Cabang'!$B151,'CWO Bulan Ini'!$DH:$DH,'Area-Cabang'!$E151,'CWO Bulan Ini'!$CZ:$CZ,'Area-Cabang'!BL$41)</f>
        <v>0</v>
      </c>
      <c r="BM151" s="42">
        <f>SUMIFS('CWO Bulan Ini'!$DD:$DD,'CWO Bulan Ini'!$DJ:$DJ,'Area-Cabang'!$B151,'CWO Bulan Ini'!$DH:$DH,'Area-Cabang'!$E151,'CWO Bulan Ini'!$CZ:$CZ,'Area-Cabang'!BM$41)</f>
        <v>0</v>
      </c>
      <c r="BN151" s="42">
        <f>SUMIFS('CWO Bulan Ini'!$DD:$DD,'CWO Bulan Ini'!$DJ:$DJ,'Area-Cabang'!$B151,'CWO Bulan Ini'!$DH:$DH,'Area-Cabang'!$E151,'CWO Bulan Ini'!$CZ:$CZ,'Area-Cabang'!BN$41)</f>
        <v>0</v>
      </c>
      <c r="BO151" s="43">
        <f>SUMIFS('CWO Bulan Ini'!$DD:$DD,'CWO Bulan Ini'!$DJ:$DJ,'Area-Cabang'!$B151,'CWO Bulan Ini'!$DH:$DH,'Area-Cabang'!$E151,'CWO Bulan Ini'!$CZ:$CZ,'Area-Cabang'!BO$41)</f>
        <v>0</v>
      </c>
      <c r="BP151" s="41">
        <f>SUMIFS('CWO Bulan Ini'!$DC:$DC,'CWO Bulan Ini'!$DJ:$DJ,'Area-Cabang'!$B151,'CWO Bulan Ini'!$DH:$DH,'Area-Cabang'!$E151,'CWO Bulan Ini'!$CZ:$CZ,'Area-Cabang'!BP$41)</f>
        <v>0</v>
      </c>
      <c r="BQ151" s="42">
        <f>SUMIFS('CWO Bulan Ini'!$DC:$DC,'CWO Bulan Ini'!$DJ:$DJ,'Area-Cabang'!$B151,'CWO Bulan Ini'!$DH:$DH,'Area-Cabang'!$E151,'CWO Bulan Ini'!$CZ:$CZ,'Area-Cabang'!BQ$41)</f>
        <v>0</v>
      </c>
      <c r="BR151" s="42">
        <f>SUMIFS('CWO Bulan Ini'!$DC:$DC,'CWO Bulan Ini'!$DJ:$DJ,'Area-Cabang'!$B151,'CWO Bulan Ini'!$DH:$DH,'Area-Cabang'!$E151,'CWO Bulan Ini'!$CZ:$CZ,'Area-Cabang'!BR$41)</f>
        <v>0</v>
      </c>
      <c r="BS151" s="42">
        <f>SUMIFS('CWO Bulan Ini'!$DC:$DC,'CWO Bulan Ini'!$DJ:$DJ,'Area-Cabang'!$B151,'CWO Bulan Ini'!$DH:$DH,'Area-Cabang'!$E151,'CWO Bulan Ini'!$CZ:$CZ,'Area-Cabang'!BS$41)</f>
        <v>0</v>
      </c>
      <c r="BT151" s="42">
        <f>SUMIFS('CWO Bulan Ini'!$DC:$DC,'CWO Bulan Ini'!$DJ:$DJ,'Area-Cabang'!$B151,'CWO Bulan Ini'!$DH:$DH,'Area-Cabang'!$E151,'CWO Bulan Ini'!$CZ:$CZ,'Area-Cabang'!BT$41)</f>
        <v>0</v>
      </c>
      <c r="BU151" s="42">
        <f>SUMIFS('CWO Bulan Ini'!$DC:$DC,'CWO Bulan Ini'!$DJ:$DJ,'Area-Cabang'!$B151,'CWO Bulan Ini'!$DH:$DH,'Area-Cabang'!$E151,'CWO Bulan Ini'!$CZ:$CZ,'Area-Cabang'!BU$41)</f>
        <v>0</v>
      </c>
      <c r="BV151" s="42">
        <f>SUMIFS('CWO Bulan Ini'!$DC:$DC,'CWO Bulan Ini'!$DJ:$DJ,'Area-Cabang'!$B151,'CWO Bulan Ini'!$DH:$DH,'Area-Cabang'!$E151,'CWO Bulan Ini'!$CZ:$CZ,'Area-Cabang'!BV$41)</f>
        <v>0</v>
      </c>
      <c r="BW151" s="42">
        <f>SUMIFS('CWO Bulan Ini'!$DC:$DC,'CWO Bulan Ini'!$DJ:$DJ,'Area-Cabang'!$B151,'CWO Bulan Ini'!$DH:$DH,'Area-Cabang'!$E151,'CWO Bulan Ini'!$CZ:$CZ,'Area-Cabang'!BW$41)</f>
        <v>0</v>
      </c>
      <c r="BX151" s="42">
        <f>SUMIFS('CWO Bulan Ini'!$DC:$DC,'CWO Bulan Ini'!$DJ:$DJ,'Area-Cabang'!$B151,'CWO Bulan Ini'!$DH:$DH,'Area-Cabang'!$E151,'CWO Bulan Ini'!$CZ:$CZ,'Area-Cabang'!BX$41)</f>
        <v>0</v>
      </c>
      <c r="BY151" s="42">
        <f>SUMIFS('CWO Bulan Ini'!$DC:$DC,'CWO Bulan Ini'!$DJ:$DJ,'Area-Cabang'!$B151,'CWO Bulan Ini'!$DH:$DH,'Area-Cabang'!$E151,'CWO Bulan Ini'!$CZ:$CZ,'Area-Cabang'!BY$41)</f>
        <v>0</v>
      </c>
      <c r="BZ151" s="42">
        <f>SUMIFS('CWO Bulan Ini'!$DC:$DC,'CWO Bulan Ini'!$DJ:$DJ,'Area-Cabang'!$B151,'CWO Bulan Ini'!$DH:$DH,'Area-Cabang'!$E151,'CWO Bulan Ini'!$CZ:$CZ,'Area-Cabang'!BZ$41)</f>
        <v>0</v>
      </c>
      <c r="CA151" s="42">
        <f>SUMIFS('CWO Bulan Ini'!$DC:$DC,'CWO Bulan Ini'!$DJ:$DJ,'Area-Cabang'!$B151,'CWO Bulan Ini'!$DH:$DH,'Area-Cabang'!$E151,'CWO Bulan Ini'!$CZ:$CZ,'Area-Cabang'!CA$41)</f>
        <v>0</v>
      </c>
      <c r="CB151" s="42">
        <f>SUMIFS('CWO Bulan Ini'!$DC:$DC,'CWO Bulan Ini'!$DJ:$DJ,'Area-Cabang'!$B151,'CWO Bulan Ini'!$DH:$DH,'Area-Cabang'!$E151,'CWO Bulan Ini'!$CZ:$CZ,'Area-Cabang'!CB$41)</f>
        <v>0</v>
      </c>
      <c r="CC151" s="42">
        <f>SUMIFS('CWO Bulan Ini'!$DC:$DC,'CWO Bulan Ini'!$DJ:$DJ,'Area-Cabang'!$B151,'CWO Bulan Ini'!$DH:$DH,'Area-Cabang'!$E151,'CWO Bulan Ini'!$CZ:$CZ,'Area-Cabang'!CC$41)</f>
        <v>0</v>
      </c>
      <c r="CD151" s="42">
        <f>SUMIFS('CWO Bulan Ini'!$DC:$DC,'CWO Bulan Ini'!$DJ:$DJ,'Area-Cabang'!$B151,'CWO Bulan Ini'!$DH:$DH,'Area-Cabang'!$E151,'CWO Bulan Ini'!$CZ:$CZ,'Area-Cabang'!CD$41)</f>
        <v>0</v>
      </c>
      <c r="CE151" s="42">
        <f>SUMIFS('CWO Bulan Ini'!$DC:$DC,'CWO Bulan Ini'!$DJ:$DJ,'Area-Cabang'!$B151,'CWO Bulan Ini'!$DH:$DH,'Area-Cabang'!$E151,'CWO Bulan Ini'!$CZ:$CZ,'Area-Cabang'!CE$41)</f>
        <v>0</v>
      </c>
      <c r="CF151" s="42">
        <f>SUMIFS('CWO Bulan Ini'!$DC:$DC,'CWO Bulan Ini'!$DJ:$DJ,'Area-Cabang'!$B151,'CWO Bulan Ini'!$DH:$DH,'Area-Cabang'!$E151,'CWO Bulan Ini'!$CZ:$CZ,'Area-Cabang'!CF$41)</f>
        <v>0</v>
      </c>
      <c r="CG151" s="42">
        <f>SUMIFS('CWO Bulan Ini'!$DC:$DC,'CWO Bulan Ini'!$DJ:$DJ,'Area-Cabang'!$B151,'CWO Bulan Ini'!$DH:$DH,'Area-Cabang'!$E151,'CWO Bulan Ini'!$CZ:$CZ,'Area-Cabang'!CG$41)</f>
        <v>0</v>
      </c>
      <c r="CH151" s="42">
        <f>SUMIFS('CWO Bulan Ini'!$DC:$DC,'CWO Bulan Ini'!$DJ:$DJ,'Area-Cabang'!$B151,'CWO Bulan Ini'!$DH:$DH,'Area-Cabang'!$E151,'CWO Bulan Ini'!$CZ:$CZ,'Area-Cabang'!CH$41)</f>
        <v>0</v>
      </c>
      <c r="CI151" s="42">
        <f>SUMIFS('CWO Bulan Ini'!$DC:$DC,'CWO Bulan Ini'!$DJ:$DJ,'Area-Cabang'!$B151,'CWO Bulan Ini'!$DH:$DH,'Area-Cabang'!$E151,'CWO Bulan Ini'!$CZ:$CZ,'Area-Cabang'!CI$41)</f>
        <v>0</v>
      </c>
      <c r="CJ151" s="42">
        <f>SUMIFS('CWO Bulan Ini'!$DC:$DC,'CWO Bulan Ini'!$DJ:$DJ,'Area-Cabang'!$B151,'CWO Bulan Ini'!$DH:$DH,'Area-Cabang'!$E151,'CWO Bulan Ini'!$CZ:$CZ,'Area-Cabang'!CJ$41)</f>
        <v>0</v>
      </c>
      <c r="CK151" s="42">
        <f>SUMIFS('CWO Bulan Ini'!$DC:$DC,'CWO Bulan Ini'!$DJ:$DJ,'Area-Cabang'!$B151,'CWO Bulan Ini'!$DH:$DH,'Area-Cabang'!$E151,'CWO Bulan Ini'!$CZ:$CZ,'Area-Cabang'!CK$41)</f>
        <v>0</v>
      </c>
      <c r="CL151" s="42">
        <f>SUMIFS('CWO Bulan Ini'!$DC:$DC,'CWO Bulan Ini'!$DJ:$DJ,'Area-Cabang'!$B151,'CWO Bulan Ini'!$DH:$DH,'Area-Cabang'!$E151,'CWO Bulan Ini'!$CZ:$CZ,'Area-Cabang'!CL$41)</f>
        <v>0</v>
      </c>
      <c r="CM151" s="42">
        <f>SUMIFS('CWO Bulan Ini'!$DC:$DC,'CWO Bulan Ini'!$DJ:$DJ,'Area-Cabang'!$B151,'CWO Bulan Ini'!$DH:$DH,'Area-Cabang'!$E151,'CWO Bulan Ini'!$CZ:$CZ,'Area-Cabang'!CM$41)</f>
        <v>0</v>
      </c>
      <c r="CN151" s="42">
        <f>SUMIFS('CWO Bulan Ini'!$DC:$DC,'CWO Bulan Ini'!$DJ:$DJ,'Area-Cabang'!$B151,'CWO Bulan Ini'!$DH:$DH,'Area-Cabang'!$E151,'CWO Bulan Ini'!$CZ:$CZ,'Area-Cabang'!CN$41)</f>
        <v>0</v>
      </c>
      <c r="CO151" s="42">
        <f>SUMIFS('CWO Bulan Ini'!$DC:$DC,'CWO Bulan Ini'!$DJ:$DJ,'Area-Cabang'!$B151,'CWO Bulan Ini'!$DH:$DH,'Area-Cabang'!$E151,'CWO Bulan Ini'!$CZ:$CZ,'Area-Cabang'!CO$41)</f>
        <v>0</v>
      </c>
      <c r="CP151" s="42">
        <f>SUMIFS('CWO Bulan Ini'!$DC:$DC,'CWO Bulan Ini'!$DJ:$DJ,'Area-Cabang'!$B151,'CWO Bulan Ini'!$DH:$DH,'Area-Cabang'!$E151,'CWO Bulan Ini'!$CZ:$CZ,'Area-Cabang'!CP$41)</f>
        <v>0</v>
      </c>
      <c r="CQ151" s="42">
        <f>SUMIFS('CWO Bulan Ini'!$DC:$DC,'CWO Bulan Ini'!$DJ:$DJ,'Area-Cabang'!$B151,'CWO Bulan Ini'!$DH:$DH,'Area-Cabang'!$E151,'CWO Bulan Ini'!$CZ:$CZ,'Area-Cabang'!CQ$41)</f>
        <v>0</v>
      </c>
      <c r="CR151" s="42">
        <f>SUMIFS('CWO Bulan Ini'!$DC:$DC,'CWO Bulan Ini'!$DJ:$DJ,'Area-Cabang'!$B151,'CWO Bulan Ini'!$DH:$DH,'Area-Cabang'!$E151,'CWO Bulan Ini'!$CZ:$CZ,'Area-Cabang'!CR$41)</f>
        <v>0</v>
      </c>
      <c r="CS151" s="42">
        <f>SUMIFS('CWO Bulan Ini'!$DC:$DC,'CWO Bulan Ini'!$DJ:$DJ,'Area-Cabang'!$B151,'CWO Bulan Ini'!$DH:$DH,'Area-Cabang'!$E151,'CWO Bulan Ini'!$CZ:$CZ,'Area-Cabang'!CS$41)</f>
        <v>0</v>
      </c>
      <c r="CT151" s="43">
        <f>SUMIFS('CWO Bulan Ini'!$DC:$DC,'CWO Bulan Ini'!$DJ:$DJ,'Area-Cabang'!$B151,'CWO Bulan Ini'!$DH:$DH,'Area-Cabang'!$E151,'CWO Bulan Ini'!$CZ:$CZ,'Area-Cabang'!CT$41)</f>
        <v>0</v>
      </c>
      <c r="CV151" s="96">
        <f t="shared" si="4689"/>
        <v>0</v>
      </c>
      <c r="CW151" s="93">
        <f t="shared" si="4690"/>
        <v>0</v>
      </c>
      <c r="CX151" s="93">
        <f t="shared" si="4691"/>
        <v>0</v>
      </c>
      <c r="CY151" s="93">
        <f t="shared" si="4692"/>
        <v>0</v>
      </c>
      <c r="CZ151" s="106">
        <f t="shared" si="4693"/>
        <v>0</v>
      </c>
    </row>
    <row r="152" spans="1:104" ht="15" customHeight="1" x14ac:dyDescent="0.25">
      <c r="A152" s="58" t="s">
        <v>500</v>
      </c>
      <c r="B152" s="53" t="s">
        <v>843</v>
      </c>
      <c r="C152" s="252"/>
      <c r="D152" s="227" t="s">
        <v>843</v>
      </c>
      <c r="E152" s="228"/>
      <c r="F152" s="219">
        <f t="shared" ref="F152" si="4694">SUM(F150:F151)</f>
        <v>0</v>
      </c>
      <c r="G152" s="220">
        <f t="shared" ref="G152" si="4695">SUM(G150:G151)</f>
        <v>0</v>
      </c>
      <c r="H152" s="220">
        <f t="shared" ref="H152" si="4696">SUM(H150:H151)</f>
        <v>0</v>
      </c>
      <c r="I152" s="220">
        <f t="shared" ref="I152" si="4697">SUM(I150:I151)</f>
        <v>0</v>
      </c>
      <c r="J152" s="220">
        <f t="shared" ref="J152" si="4698">SUM(J150:J151)</f>
        <v>0</v>
      </c>
      <c r="K152" s="220">
        <f t="shared" ref="K152" si="4699">SUM(K150:K151)</f>
        <v>0</v>
      </c>
      <c r="L152" s="220">
        <f t="shared" ref="L152" si="4700">SUM(L150:L151)</f>
        <v>0</v>
      </c>
      <c r="M152" s="220">
        <f t="shared" ref="M152" si="4701">SUM(M150:M151)</f>
        <v>0</v>
      </c>
      <c r="N152" s="220">
        <f t="shared" ref="N152" si="4702">SUM(N150:N151)</f>
        <v>0</v>
      </c>
      <c r="O152" s="220">
        <f t="shared" ref="O152" si="4703">SUM(O150:O151)</f>
        <v>0</v>
      </c>
      <c r="P152" s="220">
        <f t="shared" ref="P152" si="4704">SUM(P150:P151)</f>
        <v>0</v>
      </c>
      <c r="Q152" s="220">
        <f t="shared" ref="Q152" si="4705">SUM(Q150:Q151)</f>
        <v>0</v>
      </c>
      <c r="R152" s="220">
        <f t="shared" ref="R152" si="4706">SUM(R150:R151)</f>
        <v>0</v>
      </c>
      <c r="S152" s="220">
        <f t="shared" ref="S152" si="4707">SUM(S150:S151)</f>
        <v>0</v>
      </c>
      <c r="T152" s="220">
        <f t="shared" ref="T152" si="4708">SUM(T150:T151)</f>
        <v>0</v>
      </c>
      <c r="U152" s="220">
        <f t="shared" ref="U152" si="4709">SUM(U150:U151)</f>
        <v>0</v>
      </c>
      <c r="V152" s="220">
        <f t="shared" ref="V152" si="4710">SUM(V150:V151)</f>
        <v>0</v>
      </c>
      <c r="W152" s="220">
        <f t="shared" ref="W152" si="4711">SUM(W150:W151)</f>
        <v>0</v>
      </c>
      <c r="X152" s="220">
        <f t="shared" ref="X152" si="4712">SUM(X150:X151)</f>
        <v>0</v>
      </c>
      <c r="Y152" s="220">
        <f t="shared" ref="Y152" si="4713">SUM(Y150:Y151)</f>
        <v>0</v>
      </c>
      <c r="Z152" s="220">
        <f t="shared" ref="Z152" si="4714">SUM(Z150:Z151)</f>
        <v>0</v>
      </c>
      <c r="AA152" s="220">
        <f t="shared" ref="AA152" si="4715">SUM(AA150:AA151)</f>
        <v>0</v>
      </c>
      <c r="AB152" s="220">
        <f t="shared" ref="AB152" si="4716">SUM(AB150:AB151)</f>
        <v>0</v>
      </c>
      <c r="AC152" s="220">
        <f t="shared" ref="AC152" si="4717">SUM(AC150:AC151)</f>
        <v>0</v>
      </c>
      <c r="AD152" s="220">
        <f t="shared" ref="AD152" si="4718">SUM(AD150:AD151)</f>
        <v>0</v>
      </c>
      <c r="AE152" s="220">
        <f t="shared" ref="AE152" si="4719">SUM(AE150:AE151)</f>
        <v>126.52319047</v>
      </c>
      <c r="AF152" s="220">
        <f t="shared" ref="AF152" si="4720">SUM(AF150:AF151)</f>
        <v>0</v>
      </c>
      <c r="AG152" s="220">
        <f t="shared" ref="AG152" si="4721">SUM(AG150:AG151)</f>
        <v>0</v>
      </c>
      <c r="AH152" s="220">
        <f t="shared" ref="AH152" si="4722">SUM(AH150:AH151)</f>
        <v>0</v>
      </c>
      <c r="AI152" s="220">
        <f t="shared" ref="AI152" si="4723">SUM(AI150:AI151)</f>
        <v>0</v>
      </c>
      <c r="AJ152" s="220">
        <f t="shared" ref="AJ152" si="4724">SUM(AJ150:AJ151)</f>
        <v>0</v>
      </c>
      <c r="AK152" s="219">
        <f t="shared" ref="AK152" si="4725">SUM(AK150:AK151)</f>
        <v>0</v>
      </c>
      <c r="AL152" s="220">
        <f t="shared" ref="AL152" si="4726">SUM(AL150:AL151)</f>
        <v>0</v>
      </c>
      <c r="AM152" s="220">
        <f t="shared" ref="AM152" si="4727">SUM(AM150:AM151)</f>
        <v>0</v>
      </c>
      <c r="AN152" s="220">
        <f t="shared" ref="AN152" si="4728">SUM(AN150:AN151)</f>
        <v>0</v>
      </c>
      <c r="AO152" s="220">
        <f t="shared" ref="AO152" si="4729">SUM(AO150:AO151)</f>
        <v>0</v>
      </c>
      <c r="AP152" s="220">
        <f t="shared" ref="AP152" si="4730">SUM(AP150:AP151)</f>
        <v>0</v>
      </c>
      <c r="AQ152" s="220">
        <f t="shared" ref="AQ152" si="4731">SUM(AQ150:AQ151)</f>
        <v>0</v>
      </c>
      <c r="AR152" s="220">
        <f t="shared" ref="AR152" si="4732">SUM(AR150:AR151)</f>
        <v>0</v>
      </c>
      <c r="AS152" s="220">
        <f t="shared" ref="AS152" si="4733">SUM(AS150:AS151)</f>
        <v>0</v>
      </c>
      <c r="AT152" s="220">
        <f t="shared" ref="AT152" si="4734">SUM(AT150:AT151)</f>
        <v>0</v>
      </c>
      <c r="AU152" s="220">
        <f t="shared" ref="AU152" si="4735">SUM(AU150:AU151)</f>
        <v>0</v>
      </c>
      <c r="AV152" s="220">
        <f t="shared" ref="AV152" si="4736">SUM(AV150:AV151)</f>
        <v>0</v>
      </c>
      <c r="AW152" s="220">
        <f t="shared" ref="AW152" si="4737">SUM(AW150:AW151)</f>
        <v>0</v>
      </c>
      <c r="AX152" s="220">
        <f t="shared" ref="AX152" si="4738">SUM(AX150:AX151)</f>
        <v>0</v>
      </c>
      <c r="AY152" s="220">
        <f t="shared" ref="AY152" si="4739">SUM(AY150:AY151)</f>
        <v>0</v>
      </c>
      <c r="AZ152" s="220">
        <f t="shared" ref="AZ152" si="4740">SUM(AZ150:AZ151)</f>
        <v>0</v>
      </c>
      <c r="BA152" s="220">
        <f t="shared" ref="BA152" si="4741">SUM(BA150:BA151)</f>
        <v>0</v>
      </c>
      <c r="BB152" s="220">
        <f t="shared" ref="BB152" si="4742">SUM(BB150:BB151)</f>
        <v>0</v>
      </c>
      <c r="BC152" s="220">
        <f t="shared" ref="BC152" si="4743">SUM(BC150:BC151)</f>
        <v>0</v>
      </c>
      <c r="BD152" s="220">
        <f t="shared" ref="BD152" si="4744">SUM(BD150:BD151)</f>
        <v>0</v>
      </c>
      <c r="BE152" s="220">
        <f t="shared" ref="BE152" si="4745">SUM(BE150:BE151)</f>
        <v>0</v>
      </c>
      <c r="BF152" s="220">
        <f t="shared" ref="BF152" si="4746">SUM(BF150:BF151)</f>
        <v>0</v>
      </c>
      <c r="BG152" s="220">
        <f t="shared" ref="BG152" si="4747">SUM(BG150:BG151)</f>
        <v>0</v>
      </c>
      <c r="BH152" s="220">
        <f t="shared" ref="BH152" si="4748">SUM(BH150:BH151)</f>
        <v>0</v>
      </c>
      <c r="BI152" s="220">
        <f t="shared" ref="BI152" si="4749">SUM(BI150:BI151)</f>
        <v>0</v>
      </c>
      <c r="BJ152" s="220">
        <f t="shared" ref="BJ152" si="4750">SUM(BJ150:BJ151)</f>
        <v>0</v>
      </c>
      <c r="BK152" s="220">
        <f t="shared" ref="BK152" si="4751">SUM(BK150:BK151)</f>
        <v>0</v>
      </c>
      <c r="BL152" s="220">
        <f t="shared" ref="BL152" si="4752">SUM(BL150:BL151)</f>
        <v>0</v>
      </c>
      <c r="BM152" s="220">
        <f t="shared" ref="BM152" si="4753">SUM(BM150:BM151)</f>
        <v>0</v>
      </c>
      <c r="BN152" s="220">
        <f t="shared" ref="BN152" si="4754">SUM(BN150:BN151)</f>
        <v>0</v>
      </c>
      <c r="BO152" s="221">
        <f t="shared" ref="BO152" si="4755">SUM(BO150:BO151)</f>
        <v>0</v>
      </c>
      <c r="BP152" s="219">
        <f t="shared" ref="BP152" si="4756">SUM(BP150:BP151)</f>
        <v>0</v>
      </c>
      <c r="BQ152" s="220">
        <f t="shared" ref="BQ152" si="4757">SUM(BQ150:BQ151)</f>
        <v>0</v>
      </c>
      <c r="BR152" s="220">
        <f t="shared" ref="BR152" si="4758">SUM(BR150:BR151)</f>
        <v>0</v>
      </c>
      <c r="BS152" s="220">
        <f t="shared" ref="BS152" si="4759">SUM(BS150:BS151)</f>
        <v>0</v>
      </c>
      <c r="BT152" s="220">
        <f t="shared" ref="BT152" si="4760">SUM(BT150:BT151)</f>
        <v>0</v>
      </c>
      <c r="BU152" s="220">
        <f t="shared" ref="BU152" si="4761">SUM(BU150:BU151)</f>
        <v>0</v>
      </c>
      <c r="BV152" s="220">
        <f t="shared" ref="BV152" si="4762">SUM(BV150:BV151)</f>
        <v>0</v>
      </c>
      <c r="BW152" s="220">
        <f t="shared" ref="BW152" si="4763">SUM(BW150:BW151)</f>
        <v>0</v>
      </c>
      <c r="BX152" s="220">
        <f t="shared" ref="BX152" si="4764">SUM(BX150:BX151)</f>
        <v>0</v>
      </c>
      <c r="BY152" s="220">
        <f t="shared" ref="BY152" si="4765">SUM(BY150:BY151)</f>
        <v>0</v>
      </c>
      <c r="BZ152" s="220">
        <f t="shared" ref="BZ152" si="4766">SUM(BZ150:BZ151)</f>
        <v>0</v>
      </c>
      <c r="CA152" s="220">
        <f t="shared" ref="CA152" si="4767">SUM(CA150:CA151)</f>
        <v>0</v>
      </c>
      <c r="CB152" s="220">
        <f t="shared" ref="CB152" si="4768">SUM(CB150:CB151)</f>
        <v>0</v>
      </c>
      <c r="CC152" s="220">
        <f t="shared" ref="CC152" si="4769">SUM(CC150:CC151)</f>
        <v>0</v>
      </c>
      <c r="CD152" s="220">
        <f t="shared" ref="CD152" si="4770">SUM(CD150:CD151)</f>
        <v>0</v>
      </c>
      <c r="CE152" s="220">
        <f t="shared" ref="CE152" si="4771">SUM(CE150:CE151)</f>
        <v>0</v>
      </c>
      <c r="CF152" s="220">
        <f t="shared" ref="CF152" si="4772">SUM(CF150:CF151)</f>
        <v>0</v>
      </c>
      <c r="CG152" s="220">
        <f t="shared" ref="CG152" si="4773">SUM(CG150:CG151)</f>
        <v>0</v>
      </c>
      <c r="CH152" s="220">
        <f t="shared" ref="CH152" si="4774">SUM(CH150:CH151)</f>
        <v>0</v>
      </c>
      <c r="CI152" s="220">
        <f t="shared" ref="CI152" si="4775">SUM(CI150:CI151)</f>
        <v>0</v>
      </c>
      <c r="CJ152" s="220">
        <f t="shared" ref="CJ152" si="4776">SUM(CJ150:CJ151)</f>
        <v>0</v>
      </c>
      <c r="CK152" s="220">
        <f t="shared" ref="CK152" si="4777">SUM(CK150:CK151)</f>
        <v>0</v>
      </c>
      <c r="CL152" s="220">
        <f t="shared" ref="CL152" si="4778">SUM(CL150:CL151)</f>
        <v>0</v>
      </c>
      <c r="CM152" s="220">
        <f t="shared" ref="CM152" si="4779">SUM(CM150:CM151)</f>
        <v>0</v>
      </c>
      <c r="CN152" s="220">
        <f t="shared" ref="CN152" si="4780">SUM(CN150:CN151)</f>
        <v>0</v>
      </c>
      <c r="CO152" s="220">
        <f t="shared" ref="CO152" si="4781">SUM(CO150:CO151)</f>
        <v>0</v>
      </c>
      <c r="CP152" s="220">
        <f t="shared" ref="CP152" si="4782">SUM(CP150:CP151)</f>
        <v>0</v>
      </c>
      <c r="CQ152" s="220">
        <f t="shared" ref="CQ152" si="4783">SUM(CQ150:CQ151)</f>
        <v>0</v>
      </c>
      <c r="CR152" s="220">
        <f t="shared" ref="CR152" si="4784">SUM(CR150:CR151)</f>
        <v>0</v>
      </c>
      <c r="CS152" s="220">
        <f t="shared" ref="CS152" si="4785">SUM(CS150:CS151)</f>
        <v>0</v>
      </c>
      <c r="CT152" s="221">
        <f t="shared" ref="CT152" si="4786">SUM(CT150:CT151)</f>
        <v>0</v>
      </c>
      <c r="CU152" s="226"/>
      <c r="CV152" s="219">
        <f t="shared" ref="CV152" si="4787">SUM(CV150:CV151)</f>
        <v>126.52319047</v>
      </c>
      <c r="CW152" s="220">
        <f t="shared" ref="CW152" si="4788">SUM(CW150:CW151)</f>
        <v>0</v>
      </c>
      <c r="CX152" s="220">
        <f t="shared" ref="CX152" si="4789">SUM(CX150:CX151)</f>
        <v>0</v>
      </c>
      <c r="CY152" s="220">
        <f t="shared" ref="CY152" si="4790">SUM(CY150:CY151)</f>
        <v>126.52319047</v>
      </c>
      <c r="CZ152" s="222">
        <f t="shared" ref="CZ152" si="4791">SUM(CZ150:CZ151)</f>
        <v>126.52319047</v>
      </c>
    </row>
    <row r="153" spans="1:104" ht="15" customHeight="1" x14ac:dyDescent="0.25">
      <c r="A153" s="53" t="s">
        <v>480</v>
      </c>
      <c r="B153" s="53" t="s">
        <v>411</v>
      </c>
      <c r="C153" s="249" t="s">
        <v>480</v>
      </c>
      <c r="D153" s="245" t="s">
        <v>411</v>
      </c>
      <c r="E153" s="85" t="s">
        <v>132</v>
      </c>
      <c r="F153" s="55">
        <f>SUMIFS('CWO Bulan Ini'!$DA:$DA,'CWO Bulan Ini'!$DJ:$DJ,'Area-Cabang'!$B153,'CWO Bulan Ini'!$DH:$DH,'Area-Cabang'!$E153,'CWO Bulan Ini'!$CZ:$CZ,'Area-Cabang'!F$41)</f>
        <v>0</v>
      </c>
      <c r="G153" s="56">
        <f>SUMIFS('CWO Bulan Ini'!$DA:$DA,'CWO Bulan Ini'!$DJ:$DJ,'Area-Cabang'!$B153,'CWO Bulan Ini'!$DH:$DH,'Area-Cabang'!$E153,'CWO Bulan Ini'!$CZ:$CZ,'Area-Cabang'!G$41)</f>
        <v>0</v>
      </c>
      <c r="H153" s="56">
        <f>SUMIFS('CWO Bulan Ini'!$DA:$DA,'CWO Bulan Ini'!$DJ:$DJ,'Area-Cabang'!$B153,'CWO Bulan Ini'!$DH:$DH,'Area-Cabang'!$E153,'CWO Bulan Ini'!$CZ:$CZ,'Area-Cabang'!H$41)</f>
        <v>0</v>
      </c>
      <c r="I153" s="56">
        <f>SUMIFS('CWO Bulan Ini'!$DA:$DA,'CWO Bulan Ini'!$DJ:$DJ,'Area-Cabang'!$B153,'CWO Bulan Ini'!$DH:$DH,'Area-Cabang'!$E153,'CWO Bulan Ini'!$CZ:$CZ,'Area-Cabang'!I$41)</f>
        <v>0</v>
      </c>
      <c r="J153" s="56">
        <f>SUMIFS('CWO Bulan Ini'!$DA:$DA,'CWO Bulan Ini'!$DJ:$DJ,'Area-Cabang'!$B153,'CWO Bulan Ini'!$DH:$DH,'Area-Cabang'!$E153,'CWO Bulan Ini'!$CZ:$CZ,'Area-Cabang'!J$41)</f>
        <v>0</v>
      </c>
      <c r="K153" s="56">
        <f>SUMIFS('CWO Bulan Ini'!$DA:$DA,'CWO Bulan Ini'!$DJ:$DJ,'Area-Cabang'!$B153,'CWO Bulan Ini'!$DH:$DH,'Area-Cabang'!$E153,'CWO Bulan Ini'!$CZ:$CZ,'Area-Cabang'!K$41)</f>
        <v>0</v>
      </c>
      <c r="L153" s="56">
        <f>SUMIFS('CWO Bulan Ini'!$DA:$DA,'CWO Bulan Ini'!$DJ:$DJ,'Area-Cabang'!$B153,'CWO Bulan Ini'!$DH:$DH,'Area-Cabang'!$E153,'CWO Bulan Ini'!$CZ:$CZ,'Area-Cabang'!L$41)</f>
        <v>0</v>
      </c>
      <c r="M153" s="56">
        <f>SUMIFS('CWO Bulan Ini'!$DA:$DA,'CWO Bulan Ini'!$DJ:$DJ,'Area-Cabang'!$B153,'CWO Bulan Ini'!$DH:$DH,'Area-Cabang'!$E153,'CWO Bulan Ini'!$CZ:$CZ,'Area-Cabang'!M$41)</f>
        <v>0</v>
      </c>
      <c r="N153" s="56">
        <f>SUMIFS('CWO Bulan Ini'!$DA:$DA,'CWO Bulan Ini'!$DJ:$DJ,'Area-Cabang'!$B153,'CWO Bulan Ini'!$DH:$DH,'Area-Cabang'!$E153,'CWO Bulan Ini'!$CZ:$CZ,'Area-Cabang'!N$41)</f>
        <v>0</v>
      </c>
      <c r="O153" s="56">
        <f>SUMIFS('CWO Bulan Ini'!$DA:$DA,'CWO Bulan Ini'!$DJ:$DJ,'Area-Cabang'!$B153,'CWO Bulan Ini'!$DH:$DH,'Area-Cabang'!$E153,'CWO Bulan Ini'!$CZ:$CZ,'Area-Cabang'!O$41)</f>
        <v>0</v>
      </c>
      <c r="P153" s="56">
        <f>SUMIFS('CWO Bulan Ini'!$DA:$DA,'CWO Bulan Ini'!$DJ:$DJ,'Area-Cabang'!$B153,'CWO Bulan Ini'!$DH:$DH,'Area-Cabang'!$E153,'CWO Bulan Ini'!$CZ:$CZ,'Area-Cabang'!P$41)</f>
        <v>0</v>
      </c>
      <c r="Q153" s="56">
        <f>SUMIFS('CWO Bulan Ini'!$DA:$DA,'CWO Bulan Ini'!$DJ:$DJ,'Area-Cabang'!$B153,'CWO Bulan Ini'!$DH:$DH,'Area-Cabang'!$E153,'CWO Bulan Ini'!$CZ:$CZ,'Area-Cabang'!Q$41)</f>
        <v>0</v>
      </c>
      <c r="R153" s="56">
        <f>SUMIFS('CWO Bulan Ini'!$DA:$DA,'CWO Bulan Ini'!$DJ:$DJ,'Area-Cabang'!$B153,'CWO Bulan Ini'!$DH:$DH,'Area-Cabang'!$E153,'CWO Bulan Ini'!$CZ:$CZ,'Area-Cabang'!R$41)</f>
        <v>0</v>
      </c>
      <c r="S153" s="56">
        <f>SUMIFS('CWO Bulan Ini'!$DA:$DA,'CWO Bulan Ini'!$DJ:$DJ,'Area-Cabang'!$B153,'CWO Bulan Ini'!$DH:$DH,'Area-Cabang'!$E153,'CWO Bulan Ini'!$CZ:$CZ,'Area-Cabang'!S$41)</f>
        <v>0</v>
      </c>
      <c r="T153" s="56">
        <f>SUMIFS('CWO Bulan Ini'!$DA:$DA,'CWO Bulan Ini'!$DJ:$DJ,'Area-Cabang'!$B153,'CWO Bulan Ini'!$DH:$DH,'Area-Cabang'!$E153,'CWO Bulan Ini'!$CZ:$CZ,'Area-Cabang'!T$41)</f>
        <v>0</v>
      </c>
      <c r="U153" s="56">
        <f>SUMIFS('CWO Bulan Ini'!$DA:$DA,'CWO Bulan Ini'!$DJ:$DJ,'Area-Cabang'!$B153,'CWO Bulan Ini'!$DH:$DH,'Area-Cabang'!$E153,'CWO Bulan Ini'!$CZ:$CZ,'Area-Cabang'!U$41)</f>
        <v>0</v>
      </c>
      <c r="V153" s="56">
        <f>SUMIFS('CWO Bulan Ini'!$DA:$DA,'CWO Bulan Ini'!$DJ:$DJ,'Area-Cabang'!$B153,'CWO Bulan Ini'!$DH:$DH,'Area-Cabang'!$E153,'CWO Bulan Ini'!$CZ:$CZ,'Area-Cabang'!V$41)</f>
        <v>0</v>
      </c>
      <c r="W153" s="56">
        <f>SUMIFS('CWO Bulan Ini'!$DA:$DA,'CWO Bulan Ini'!$DJ:$DJ,'Area-Cabang'!$B153,'CWO Bulan Ini'!$DH:$DH,'Area-Cabang'!$E153,'CWO Bulan Ini'!$CZ:$CZ,'Area-Cabang'!W$41)</f>
        <v>0</v>
      </c>
      <c r="X153" s="56">
        <f>SUMIFS('CWO Bulan Ini'!$DA:$DA,'CWO Bulan Ini'!$DJ:$DJ,'Area-Cabang'!$B153,'CWO Bulan Ini'!$DH:$DH,'Area-Cabang'!$E153,'CWO Bulan Ini'!$CZ:$CZ,'Area-Cabang'!X$41)</f>
        <v>0</v>
      </c>
      <c r="Y153" s="56">
        <f>SUMIFS('CWO Bulan Ini'!$DA:$DA,'CWO Bulan Ini'!$DJ:$DJ,'Area-Cabang'!$B153,'CWO Bulan Ini'!$DH:$DH,'Area-Cabang'!$E153,'CWO Bulan Ini'!$CZ:$CZ,'Area-Cabang'!Y$41)</f>
        <v>0</v>
      </c>
      <c r="Z153" s="56">
        <f>SUMIFS('CWO Bulan Ini'!$DA:$DA,'CWO Bulan Ini'!$DJ:$DJ,'Area-Cabang'!$B153,'CWO Bulan Ini'!$DH:$DH,'Area-Cabang'!$E153,'CWO Bulan Ini'!$CZ:$CZ,'Area-Cabang'!Z$41)</f>
        <v>0</v>
      </c>
      <c r="AA153" s="56">
        <f>SUMIFS('CWO Bulan Ini'!$DA:$DA,'CWO Bulan Ini'!$DJ:$DJ,'Area-Cabang'!$B153,'CWO Bulan Ini'!$DH:$DH,'Area-Cabang'!$E153,'CWO Bulan Ini'!$CZ:$CZ,'Area-Cabang'!AA$41)</f>
        <v>0</v>
      </c>
      <c r="AB153" s="56">
        <f>SUMIFS('CWO Bulan Ini'!$DA:$DA,'CWO Bulan Ini'!$DJ:$DJ,'Area-Cabang'!$B153,'CWO Bulan Ini'!$DH:$DH,'Area-Cabang'!$E153,'CWO Bulan Ini'!$CZ:$CZ,'Area-Cabang'!AB$41)</f>
        <v>0</v>
      </c>
      <c r="AC153" s="56">
        <f>SUMIFS('CWO Bulan Ini'!$DA:$DA,'CWO Bulan Ini'!$DJ:$DJ,'Area-Cabang'!$B153,'CWO Bulan Ini'!$DH:$DH,'Area-Cabang'!$E153,'CWO Bulan Ini'!$CZ:$CZ,'Area-Cabang'!AC$41)</f>
        <v>0</v>
      </c>
      <c r="AD153" s="56">
        <f>SUMIFS('CWO Bulan Ini'!$DA:$DA,'CWO Bulan Ini'!$DJ:$DJ,'Area-Cabang'!$B153,'CWO Bulan Ini'!$DH:$DH,'Area-Cabang'!$E153,'CWO Bulan Ini'!$CZ:$CZ,'Area-Cabang'!AD$41)</f>
        <v>0</v>
      </c>
      <c r="AE153" s="56">
        <f>SUMIFS('CWO Bulan Ini'!$DA:$DA,'CWO Bulan Ini'!$DJ:$DJ,'Area-Cabang'!$B153,'CWO Bulan Ini'!$DH:$DH,'Area-Cabang'!$E153,'CWO Bulan Ini'!$CZ:$CZ,'Area-Cabang'!AE$41)</f>
        <v>0</v>
      </c>
      <c r="AF153" s="56">
        <f>SUMIFS('CWO Bulan Ini'!$DA:$DA,'CWO Bulan Ini'!$DJ:$DJ,'Area-Cabang'!$B153,'CWO Bulan Ini'!$DH:$DH,'Area-Cabang'!$E153,'CWO Bulan Ini'!$CZ:$CZ,'Area-Cabang'!AF$41)</f>
        <v>0</v>
      </c>
      <c r="AG153" s="56">
        <f>SUMIFS('CWO Bulan Ini'!$DA:$DA,'CWO Bulan Ini'!$DJ:$DJ,'Area-Cabang'!$B153,'CWO Bulan Ini'!$DH:$DH,'Area-Cabang'!$E153,'CWO Bulan Ini'!$CZ:$CZ,'Area-Cabang'!AG$41)</f>
        <v>0</v>
      </c>
      <c r="AH153" s="56">
        <f>SUMIFS('CWO Bulan Ini'!$DA:$DA,'CWO Bulan Ini'!$DJ:$DJ,'Area-Cabang'!$B153,'CWO Bulan Ini'!$DH:$DH,'Area-Cabang'!$E153,'CWO Bulan Ini'!$CZ:$CZ,'Area-Cabang'!AH$41)</f>
        <v>0</v>
      </c>
      <c r="AI153" s="56">
        <f>SUMIFS('CWO Bulan Ini'!$DA:$DA,'CWO Bulan Ini'!$DJ:$DJ,'Area-Cabang'!$B153,'CWO Bulan Ini'!$DH:$DH,'Area-Cabang'!$E153,'CWO Bulan Ini'!$CZ:$CZ,'Area-Cabang'!AI$41)</f>
        <v>0</v>
      </c>
      <c r="AJ153" s="56">
        <f>SUMIFS('CWO Bulan Ini'!$DA:$DA,'CWO Bulan Ini'!$DJ:$DJ,'Area-Cabang'!$B153,'CWO Bulan Ini'!$DH:$DH,'Area-Cabang'!$E153,'CWO Bulan Ini'!$CZ:$CZ,'Area-Cabang'!AJ$41)</f>
        <v>0</v>
      </c>
      <c r="AK153" s="55">
        <f>SUMIFS('CWO Bulan Ini'!$DD:$DD,'CWO Bulan Ini'!$DJ:$DJ,'Area-Cabang'!$B153,'CWO Bulan Ini'!$DH:$DH,'Area-Cabang'!$E153,'CWO Bulan Ini'!$CZ:$CZ,'Area-Cabang'!AK$41)</f>
        <v>0</v>
      </c>
      <c r="AL153" s="56">
        <f>SUMIFS('CWO Bulan Ini'!$DD:$DD,'CWO Bulan Ini'!$DJ:$DJ,'Area-Cabang'!$B153,'CWO Bulan Ini'!$DH:$DH,'Area-Cabang'!$E153,'CWO Bulan Ini'!$CZ:$CZ,'Area-Cabang'!AL$41)</f>
        <v>0</v>
      </c>
      <c r="AM153" s="56">
        <f>SUMIFS('CWO Bulan Ini'!$DD:$DD,'CWO Bulan Ini'!$DJ:$DJ,'Area-Cabang'!$B153,'CWO Bulan Ini'!$DH:$DH,'Area-Cabang'!$E153,'CWO Bulan Ini'!$CZ:$CZ,'Area-Cabang'!AM$41)</f>
        <v>0</v>
      </c>
      <c r="AN153" s="56">
        <f>SUMIFS('CWO Bulan Ini'!$DD:$DD,'CWO Bulan Ini'!$DJ:$DJ,'Area-Cabang'!$B153,'CWO Bulan Ini'!$DH:$DH,'Area-Cabang'!$E153,'CWO Bulan Ini'!$CZ:$CZ,'Area-Cabang'!AN$41)</f>
        <v>0</v>
      </c>
      <c r="AO153" s="56">
        <f>SUMIFS('CWO Bulan Ini'!$DD:$DD,'CWO Bulan Ini'!$DJ:$DJ,'Area-Cabang'!$B153,'CWO Bulan Ini'!$DH:$DH,'Area-Cabang'!$E153,'CWO Bulan Ini'!$CZ:$CZ,'Area-Cabang'!AO$41)</f>
        <v>0</v>
      </c>
      <c r="AP153" s="56">
        <f>SUMIFS('CWO Bulan Ini'!$DD:$DD,'CWO Bulan Ini'!$DJ:$DJ,'Area-Cabang'!$B153,'CWO Bulan Ini'!$DH:$DH,'Area-Cabang'!$E153,'CWO Bulan Ini'!$CZ:$CZ,'Area-Cabang'!AP$41)</f>
        <v>0</v>
      </c>
      <c r="AQ153" s="56">
        <f>SUMIFS('CWO Bulan Ini'!$DD:$DD,'CWO Bulan Ini'!$DJ:$DJ,'Area-Cabang'!$B153,'CWO Bulan Ini'!$DH:$DH,'Area-Cabang'!$E153,'CWO Bulan Ini'!$CZ:$CZ,'Area-Cabang'!AQ$41)</f>
        <v>0</v>
      </c>
      <c r="AR153" s="56">
        <f>SUMIFS('CWO Bulan Ini'!$DD:$DD,'CWO Bulan Ini'!$DJ:$DJ,'Area-Cabang'!$B153,'CWO Bulan Ini'!$DH:$DH,'Area-Cabang'!$E153,'CWO Bulan Ini'!$CZ:$CZ,'Area-Cabang'!AR$41)</f>
        <v>0</v>
      </c>
      <c r="AS153" s="56">
        <f>SUMIFS('CWO Bulan Ini'!$DD:$DD,'CWO Bulan Ini'!$DJ:$DJ,'Area-Cabang'!$B153,'CWO Bulan Ini'!$DH:$DH,'Area-Cabang'!$E153,'CWO Bulan Ini'!$CZ:$CZ,'Area-Cabang'!AS$41)</f>
        <v>0</v>
      </c>
      <c r="AT153" s="56">
        <f>SUMIFS('CWO Bulan Ini'!$DD:$DD,'CWO Bulan Ini'!$DJ:$DJ,'Area-Cabang'!$B153,'CWO Bulan Ini'!$DH:$DH,'Area-Cabang'!$E153,'CWO Bulan Ini'!$CZ:$CZ,'Area-Cabang'!AT$41)</f>
        <v>0</v>
      </c>
      <c r="AU153" s="56">
        <f>SUMIFS('CWO Bulan Ini'!$DD:$DD,'CWO Bulan Ini'!$DJ:$DJ,'Area-Cabang'!$B153,'CWO Bulan Ini'!$DH:$DH,'Area-Cabang'!$E153,'CWO Bulan Ini'!$CZ:$CZ,'Area-Cabang'!AU$41)</f>
        <v>0</v>
      </c>
      <c r="AV153" s="56">
        <f>SUMIFS('CWO Bulan Ini'!$DD:$DD,'CWO Bulan Ini'!$DJ:$DJ,'Area-Cabang'!$B153,'CWO Bulan Ini'!$DH:$DH,'Area-Cabang'!$E153,'CWO Bulan Ini'!$CZ:$CZ,'Area-Cabang'!AV$41)</f>
        <v>0</v>
      </c>
      <c r="AW153" s="56">
        <f>SUMIFS('CWO Bulan Ini'!$DD:$DD,'CWO Bulan Ini'!$DJ:$DJ,'Area-Cabang'!$B153,'CWO Bulan Ini'!$DH:$DH,'Area-Cabang'!$E153,'CWO Bulan Ini'!$CZ:$CZ,'Area-Cabang'!AW$41)</f>
        <v>0</v>
      </c>
      <c r="AX153" s="56">
        <f>SUMIFS('CWO Bulan Ini'!$DD:$DD,'CWO Bulan Ini'!$DJ:$DJ,'Area-Cabang'!$B153,'CWO Bulan Ini'!$DH:$DH,'Area-Cabang'!$E153,'CWO Bulan Ini'!$CZ:$CZ,'Area-Cabang'!AX$41)</f>
        <v>0</v>
      </c>
      <c r="AY153" s="56">
        <f>SUMIFS('CWO Bulan Ini'!$DD:$DD,'CWO Bulan Ini'!$DJ:$DJ,'Area-Cabang'!$B153,'CWO Bulan Ini'!$DH:$DH,'Area-Cabang'!$E153,'CWO Bulan Ini'!$CZ:$CZ,'Area-Cabang'!AY$41)</f>
        <v>0</v>
      </c>
      <c r="AZ153" s="56">
        <f>SUMIFS('CWO Bulan Ini'!$DD:$DD,'CWO Bulan Ini'!$DJ:$DJ,'Area-Cabang'!$B153,'CWO Bulan Ini'!$DH:$DH,'Area-Cabang'!$E153,'CWO Bulan Ini'!$CZ:$CZ,'Area-Cabang'!AZ$41)</f>
        <v>0</v>
      </c>
      <c r="BA153" s="56">
        <f>SUMIFS('CWO Bulan Ini'!$DD:$DD,'CWO Bulan Ini'!$DJ:$DJ,'Area-Cabang'!$B153,'CWO Bulan Ini'!$DH:$DH,'Area-Cabang'!$E153,'CWO Bulan Ini'!$CZ:$CZ,'Area-Cabang'!BA$41)</f>
        <v>0</v>
      </c>
      <c r="BB153" s="56">
        <f>SUMIFS('CWO Bulan Ini'!$DD:$DD,'CWO Bulan Ini'!$DJ:$DJ,'Area-Cabang'!$B153,'CWO Bulan Ini'!$DH:$DH,'Area-Cabang'!$E153,'CWO Bulan Ini'!$CZ:$CZ,'Area-Cabang'!BB$41)</f>
        <v>0</v>
      </c>
      <c r="BC153" s="56">
        <f>SUMIFS('CWO Bulan Ini'!$DD:$DD,'CWO Bulan Ini'!$DJ:$DJ,'Area-Cabang'!$B153,'CWO Bulan Ini'!$DH:$DH,'Area-Cabang'!$E153,'CWO Bulan Ini'!$CZ:$CZ,'Area-Cabang'!BC$41)</f>
        <v>0</v>
      </c>
      <c r="BD153" s="56">
        <f>SUMIFS('CWO Bulan Ini'!$DD:$DD,'CWO Bulan Ini'!$DJ:$DJ,'Area-Cabang'!$B153,'CWO Bulan Ini'!$DH:$DH,'Area-Cabang'!$E153,'CWO Bulan Ini'!$CZ:$CZ,'Area-Cabang'!BD$41)</f>
        <v>0</v>
      </c>
      <c r="BE153" s="56">
        <f>SUMIFS('CWO Bulan Ini'!$DD:$DD,'CWO Bulan Ini'!$DJ:$DJ,'Area-Cabang'!$B153,'CWO Bulan Ini'!$DH:$DH,'Area-Cabang'!$E153,'CWO Bulan Ini'!$CZ:$CZ,'Area-Cabang'!BE$41)</f>
        <v>0</v>
      </c>
      <c r="BF153" s="56">
        <f>SUMIFS('CWO Bulan Ini'!$DD:$DD,'CWO Bulan Ini'!$DJ:$DJ,'Area-Cabang'!$B153,'CWO Bulan Ini'!$DH:$DH,'Area-Cabang'!$E153,'CWO Bulan Ini'!$CZ:$CZ,'Area-Cabang'!BF$41)</f>
        <v>0</v>
      </c>
      <c r="BG153" s="56">
        <f>SUMIFS('CWO Bulan Ini'!$DD:$DD,'CWO Bulan Ini'!$DJ:$DJ,'Area-Cabang'!$B153,'CWO Bulan Ini'!$DH:$DH,'Area-Cabang'!$E153,'CWO Bulan Ini'!$CZ:$CZ,'Area-Cabang'!BG$41)</f>
        <v>0</v>
      </c>
      <c r="BH153" s="56">
        <f>SUMIFS('CWO Bulan Ini'!$DD:$DD,'CWO Bulan Ini'!$DJ:$DJ,'Area-Cabang'!$B153,'CWO Bulan Ini'!$DH:$DH,'Area-Cabang'!$E153,'CWO Bulan Ini'!$CZ:$CZ,'Area-Cabang'!BH$41)</f>
        <v>0</v>
      </c>
      <c r="BI153" s="56">
        <f>SUMIFS('CWO Bulan Ini'!$DD:$DD,'CWO Bulan Ini'!$DJ:$DJ,'Area-Cabang'!$B153,'CWO Bulan Ini'!$DH:$DH,'Area-Cabang'!$E153,'CWO Bulan Ini'!$CZ:$CZ,'Area-Cabang'!BI$41)</f>
        <v>0</v>
      </c>
      <c r="BJ153" s="56">
        <f>SUMIFS('CWO Bulan Ini'!$DD:$DD,'CWO Bulan Ini'!$DJ:$DJ,'Area-Cabang'!$B153,'CWO Bulan Ini'!$DH:$DH,'Area-Cabang'!$E153,'CWO Bulan Ini'!$CZ:$CZ,'Area-Cabang'!BJ$41)</f>
        <v>0</v>
      </c>
      <c r="BK153" s="56">
        <f>SUMIFS('CWO Bulan Ini'!$DD:$DD,'CWO Bulan Ini'!$DJ:$DJ,'Area-Cabang'!$B153,'CWO Bulan Ini'!$DH:$DH,'Area-Cabang'!$E153,'CWO Bulan Ini'!$CZ:$CZ,'Area-Cabang'!BK$41)</f>
        <v>0</v>
      </c>
      <c r="BL153" s="56">
        <f>SUMIFS('CWO Bulan Ini'!$DD:$DD,'CWO Bulan Ini'!$DJ:$DJ,'Area-Cabang'!$B153,'CWO Bulan Ini'!$DH:$DH,'Area-Cabang'!$E153,'CWO Bulan Ini'!$CZ:$CZ,'Area-Cabang'!BL$41)</f>
        <v>0</v>
      </c>
      <c r="BM153" s="56">
        <f>SUMIFS('CWO Bulan Ini'!$DD:$DD,'CWO Bulan Ini'!$DJ:$DJ,'Area-Cabang'!$B153,'CWO Bulan Ini'!$DH:$DH,'Area-Cabang'!$E153,'CWO Bulan Ini'!$CZ:$CZ,'Area-Cabang'!BM$41)</f>
        <v>0</v>
      </c>
      <c r="BN153" s="56">
        <f>SUMIFS('CWO Bulan Ini'!$DD:$DD,'CWO Bulan Ini'!$DJ:$DJ,'Area-Cabang'!$B153,'CWO Bulan Ini'!$DH:$DH,'Area-Cabang'!$E153,'CWO Bulan Ini'!$CZ:$CZ,'Area-Cabang'!BN$41)</f>
        <v>0</v>
      </c>
      <c r="BO153" s="57">
        <f>SUMIFS('CWO Bulan Ini'!$DD:$DD,'CWO Bulan Ini'!$DJ:$DJ,'Area-Cabang'!$B153,'CWO Bulan Ini'!$DH:$DH,'Area-Cabang'!$E153,'CWO Bulan Ini'!$CZ:$CZ,'Area-Cabang'!BO$41)</f>
        <v>0</v>
      </c>
      <c r="BP153" s="55">
        <f>SUMIFS('CWO Bulan Ini'!$DC:$DC,'CWO Bulan Ini'!$DJ:$DJ,'Area-Cabang'!$B153,'CWO Bulan Ini'!$DH:$DH,'Area-Cabang'!$E153,'CWO Bulan Ini'!$CZ:$CZ,'Area-Cabang'!BP$41)</f>
        <v>0</v>
      </c>
      <c r="BQ153" s="56">
        <f>SUMIFS('CWO Bulan Ini'!$DC:$DC,'CWO Bulan Ini'!$DJ:$DJ,'Area-Cabang'!$B153,'CWO Bulan Ini'!$DH:$DH,'Area-Cabang'!$E153,'CWO Bulan Ini'!$CZ:$CZ,'Area-Cabang'!BQ$41)</f>
        <v>0</v>
      </c>
      <c r="BR153" s="56">
        <f>SUMIFS('CWO Bulan Ini'!$DC:$DC,'CWO Bulan Ini'!$DJ:$DJ,'Area-Cabang'!$B153,'CWO Bulan Ini'!$DH:$DH,'Area-Cabang'!$E153,'CWO Bulan Ini'!$CZ:$CZ,'Area-Cabang'!BR$41)</f>
        <v>0</v>
      </c>
      <c r="BS153" s="56">
        <f>SUMIFS('CWO Bulan Ini'!$DC:$DC,'CWO Bulan Ini'!$DJ:$DJ,'Area-Cabang'!$B153,'CWO Bulan Ini'!$DH:$DH,'Area-Cabang'!$E153,'CWO Bulan Ini'!$CZ:$CZ,'Area-Cabang'!BS$41)</f>
        <v>0</v>
      </c>
      <c r="BT153" s="56">
        <f>SUMIFS('CWO Bulan Ini'!$DC:$DC,'CWO Bulan Ini'!$DJ:$DJ,'Area-Cabang'!$B153,'CWO Bulan Ini'!$DH:$DH,'Area-Cabang'!$E153,'CWO Bulan Ini'!$CZ:$CZ,'Area-Cabang'!BT$41)</f>
        <v>0</v>
      </c>
      <c r="BU153" s="56">
        <f>SUMIFS('CWO Bulan Ini'!$DC:$DC,'CWO Bulan Ini'!$DJ:$DJ,'Area-Cabang'!$B153,'CWO Bulan Ini'!$DH:$DH,'Area-Cabang'!$E153,'CWO Bulan Ini'!$CZ:$CZ,'Area-Cabang'!BU$41)</f>
        <v>0</v>
      </c>
      <c r="BV153" s="56">
        <f>SUMIFS('CWO Bulan Ini'!$DC:$DC,'CWO Bulan Ini'!$DJ:$DJ,'Area-Cabang'!$B153,'CWO Bulan Ini'!$DH:$DH,'Area-Cabang'!$E153,'CWO Bulan Ini'!$CZ:$CZ,'Area-Cabang'!BV$41)</f>
        <v>0</v>
      </c>
      <c r="BW153" s="56">
        <f>SUMIFS('CWO Bulan Ini'!$DC:$DC,'CWO Bulan Ini'!$DJ:$DJ,'Area-Cabang'!$B153,'CWO Bulan Ini'!$DH:$DH,'Area-Cabang'!$E153,'CWO Bulan Ini'!$CZ:$CZ,'Area-Cabang'!BW$41)</f>
        <v>0</v>
      </c>
      <c r="BX153" s="56">
        <f>SUMIFS('CWO Bulan Ini'!$DC:$DC,'CWO Bulan Ini'!$DJ:$DJ,'Area-Cabang'!$B153,'CWO Bulan Ini'!$DH:$DH,'Area-Cabang'!$E153,'CWO Bulan Ini'!$CZ:$CZ,'Area-Cabang'!BX$41)</f>
        <v>0</v>
      </c>
      <c r="BY153" s="56">
        <f>SUMIFS('CWO Bulan Ini'!$DC:$DC,'CWO Bulan Ini'!$DJ:$DJ,'Area-Cabang'!$B153,'CWO Bulan Ini'!$DH:$DH,'Area-Cabang'!$E153,'CWO Bulan Ini'!$CZ:$CZ,'Area-Cabang'!BY$41)</f>
        <v>0</v>
      </c>
      <c r="BZ153" s="56">
        <f>SUMIFS('CWO Bulan Ini'!$DC:$DC,'CWO Bulan Ini'!$DJ:$DJ,'Area-Cabang'!$B153,'CWO Bulan Ini'!$DH:$DH,'Area-Cabang'!$E153,'CWO Bulan Ini'!$CZ:$CZ,'Area-Cabang'!BZ$41)</f>
        <v>0</v>
      </c>
      <c r="CA153" s="56">
        <f>SUMIFS('CWO Bulan Ini'!$DC:$DC,'CWO Bulan Ini'!$DJ:$DJ,'Area-Cabang'!$B153,'CWO Bulan Ini'!$DH:$DH,'Area-Cabang'!$E153,'CWO Bulan Ini'!$CZ:$CZ,'Area-Cabang'!CA$41)</f>
        <v>0</v>
      </c>
      <c r="CB153" s="56">
        <f>SUMIFS('CWO Bulan Ini'!$DC:$DC,'CWO Bulan Ini'!$DJ:$DJ,'Area-Cabang'!$B153,'CWO Bulan Ini'!$DH:$DH,'Area-Cabang'!$E153,'CWO Bulan Ini'!$CZ:$CZ,'Area-Cabang'!CB$41)</f>
        <v>0</v>
      </c>
      <c r="CC153" s="56">
        <f>SUMIFS('CWO Bulan Ini'!$DC:$DC,'CWO Bulan Ini'!$DJ:$DJ,'Area-Cabang'!$B153,'CWO Bulan Ini'!$DH:$DH,'Area-Cabang'!$E153,'CWO Bulan Ini'!$CZ:$CZ,'Area-Cabang'!CC$41)</f>
        <v>0</v>
      </c>
      <c r="CD153" s="56">
        <f>SUMIFS('CWO Bulan Ini'!$DC:$DC,'CWO Bulan Ini'!$DJ:$DJ,'Area-Cabang'!$B153,'CWO Bulan Ini'!$DH:$DH,'Area-Cabang'!$E153,'CWO Bulan Ini'!$CZ:$CZ,'Area-Cabang'!CD$41)</f>
        <v>0</v>
      </c>
      <c r="CE153" s="56">
        <f>SUMIFS('CWO Bulan Ini'!$DC:$DC,'CWO Bulan Ini'!$DJ:$DJ,'Area-Cabang'!$B153,'CWO Bulan Ini'!$DH:$DH,'Area-Cabang'!$E153,'CWO Bulan Ini'!$CZ:$CZ,'Area-Cabang'!CE$41)</f>
        <v>0</v>
      </c>
      <c r="CF153" s="56">
        <f>SUMIFS('CWO Bulan Ini'!$DC:$DC,'CWO Bulan Ini'!$DJ:$DJ,'Area-Cabang'!$B153,'CWO Bulan Ini'!$DH:$DH,'Area-Cabang'!$E153,'CWO Bulan Ini'!$CZ:$CZ,'Area-Cabang'!CF$41)</f>
        <v>0</v>
      </c>
      <c r="CG153" s="56">
        <f>SUMIFS('CWO Bulan Ini'!$DC:$DC,'CWO Bulan Ini'!$DJ:$DJ,'Area-Cabang'!$B153,'CWO Bulan Ini'!$DH:$DH,'Area-Cabang'!$E153,'CWO Bulan Ini'!$CZ:$CZ,'Area-Cabang'!CG$41)</f>
        <v>0</v>
      </c>
      <c r="CH153" s="56">
        <f>SUMIFS('CWO Bulan Ini'!$DC:$DC,'CWO Bulan Ini'!$DJ:$DJ,'Area-Cabang'!$B153,'CWO Bulan Ini'!$DH:$DH,'Area-Cabang'!$E153,'CWO Bulan Ini'!$CZ:$CZ,'Area-Cabang'!CH$41)</f>
        <v>0</v>
      </c>
      <c r="CI153" s="56">
        <f>SUMIFS('CWO Bulan Ini'!$DC:$DC,'CWO Bulan Ini'!$DJ:$DJ,'Area-Cabang'!$B153,'CWO Bulan Ini'!$DH:$DH,'Area-Cabang'!$E153,'CWO Bulan Ini'!$CZ:$CZ,'Area-Cabang'!CI$41)</f>
        <v>0</v>
      </c>
      <c r="CJ153" s="56">
        <f>SUMIFS('CWO Bulan Ini'!$DC:$DC,'CWO Bulan Ini'!$DJ:$DJ,'Area-Cabang'!$B153,'CWO Bulan Ini'!$DH:$DH,'Area-Cabang'!$E153,'CWO Bulan Ini'!$CZ:$CZ,'Area-Cabang'!CJ$41)</f>
        <v>0</v>
      </c>
      <c r="CK153" s="56">
        <f>SUMIFS('CWO Bulan Ini'!$DC:$DC,'CWO Bulan Ini'!$DJ:$DJ,'Area-Cabang'!$B153,'CWO Bulan Ini'!$DH:$DH,'Area-Cabang'!$E153,'CWO Bulan Ini'!$CZ:$CZ,'Area-Cabang'!CK$41)</f>
        <v>0</v>
      </c>
      <c r="CL153" s="56">
        <f>SUMIFS('CWO Bulan Ini'!$DC:$DC,'CWO Bulan Ini'!$DJ:$DJ,'Area-Cabang'!$B153,'CWO Bulan Ini'!$DH:$DH,'Area-Cabang'!$E153,'CWO Bulan Ini'!$CZ:$CZ,'Area-Cabang'!CL$41)</f>
        <v>0</v>
      </c>
      <c r="CM153" s="56">
        <f>SUMIFS('CWO Bulan Ini'!$DC:$DC,'CWO Bulan Ini'!$DJ:$DJ,'Area-Cabang'!$B153,'CWO Bulan Ini'!$DH:$DH,'Area-Cabang'!$E153,'CWO Bulan Ini'!$CZ:$CZ,'Area-Cabang'!CM$41)</f>
        <v>0</v>
      </c>
      <c r="CN153" s="56">
        <f>SUMIFS('CWO Bulan Ini'!$DC:$DC,'CWO Bulan Ini'!$DJ:$DJ,'Area-Cabang'!$B153,'CWO Bulan Ini'!$DH:$DH,'Area-Cabang'!$E153,'CWO Bulan Ini'!$CZ:$CZ,'Area-Cabang'!CN$41)</f>
        <v>0</v>
      </c>
      <c r="CO153" s="56">
        <f>SUMIFS('CWO Bulan Ini'!$DC:$DC,'CWO Bulan Ini'!$DJ:$DJ,'Area-Cabang'!$B153,'CWO Bulan Ini'!$DH:$DH,'Area-Cabang'!$E153,'CWO Bulan Ini'!$CZ:$CZ,'Area-Cabang'!CO$41)</f>
        <v>0</v>
      </c>
      <c r="CP153" s="56">
        <f>SUMIFS('CWO Bulan Ini'!$DC:$DC,'CWO Bulan Ini'!$DJ:$DJ,'Area-Cabang'!$B153,'CWO Bulan Ini'!$DH:$DH,'Area-Cabang'!$E153,'CWO Bulan Ini'!$CZ:$CZ,'Area-Cabang'!CP$41)</f>
        <v>0</v>
      </c>
      <c r="CQ153" s="56">
        <f>SUMIFS('CWO Bulan Ini'!$DC:$DC,'CWO Bulan Ini'!$DJ:$DJ,'Area-Cabang'!$B153,'CWO Bulan Ini'!$DH:$DH,'Area-Cabang'!$E153,'CWO Bulan Ini'!$CZ:$CZ,'Area-Cabang'!CQ$41)</f>
        <v>0</v>
      </c>
      <c r="CR153" s="56">
        <f>SUMIFS('CWO Bulan Ini'!$DC:$DC,'CWO Bulan Ini'!$DJ:$DJ,'Area-Cabang'!$B153,'CWO Bulan Ini'!$DH:$DH,'Area-Cabang'!$E153,'CWO Bulan Ini'!$CZ:$CZ,'Area-Cabang'!CR$41)</f>
        <v>0</v>
      </c>
      <c r="CS153" s="56">
        <f>SUMIFS('CWO Bulan Ini'!$DC:$DC,'CWO Bulan Ini'!$DJ:$DJ,'Area-Cabang'!$B153,'CWO Bulan Ini'!$DH:$DH,'Area-Cabang'!$E153,'CWO Bulan Ini'!$CZ:$CZ,'Area-Cabang'!CS$41)</f>
        <v>0</v>
      </c>
      <c r="CT153" s="57">
        <f>SUMIFS('CWO Bulan Ini'!$DC:$DC,'CWO Bulan Ini'!$DJ:$DJ,'Area-Cabang'!$B153,'CWO Bulan Ini'!$DH:$DH,'Area-Cabang'!$E153,'CWO Bulan Ini'!$CZ:$CZ,'Area-Cabang'!CT$41)</f>
        <v>0</v>
      </c>
      <c r="CV153" s="97">
        <f t="shared" ref="CV153:CV154" si="4792">SUM(F153:AJ153)</f>
        <v>0</v>
      </c>
      <c r="CW153" s="98">
        <f t="shared" ref="CW153:CW154" si="4793">SUM(AK153:BO153)</f>
        <v>0</v>
      </c>
      <c r="CX153" s="98">
        <f t="shared" ref="CX153:CX154" si="4794">SUM(BP153:CT153)</f>
        <v>0</v>
      </c>
      <c r="CY153" s="98">
        <f t="shared" ref="CY153:CY154" si="4795">CV153-CW153-CX153</f>
        <v>0</v>
      </c>
      <c r="CZ153" s="105">
        <f t="shared" ref="CZ153:CZ154" si="4796">CY153+CW153</f>
        <v>0</v>
      </c>
    </row>
    <row r="154" spans="1:104" ht="15" customHeight="1" x14ac:dyDescent="0.25">
      <c r="A154" s="58" t="s">
        <v>480</v>
      </c>
      <c r="B154" s="58" t="s">
        <v>411</v>
      </c>
      <c r="C154" s="250"/>
      <c r="D154" s="244"/>
      <c r="E154" s="40" t="s">
        <v>349</v>
      </c>
      <c r="F154" s="41">
        <f>SUMIFS('CWO Bulan Ini'!$DA:$DA,'CWO Bulan Ini'!$DJ:$DJ,'Area-Cabang'!$B154,'CWO Bulan Ini'!$DH:$DH,'Area-Cabang'!$E154,'CWO Bulan Ini'!$CZ:$CZ,'Area-Cabang'!F$41)</f>
        <v>0</v>
      </c>
      <c r="G154" s="42">
        <f>SUMIFS('CWO Bulan Ini'!$DA:$DA,'CWO Bulan Ini'!$DJ:$DJ,'Area-Cabang'!$B154,'CWO Bulan Ini'!$DH:$DH,'Area-Cabang'!$E154,'CWO Bulan Ini'!$CZ:$CZ,'Area-Cabang'!G$41)</f>
        <v>0</v>
      </c>
      <c r="H154" s="42">
        <f>SUMIFS('CWO Bulan Ini'!$DA:$DA,'CWO Bulan Ini'!$DJ:$DJ,'Area-Cabang'!$B154,'CWO Bulan Ini'!$DH:$DH,'Area-Cabang'!$E154,'CWO Bulan Ini'!$CZ:$CZ,'Area-Cabang'!H$41)</f>
        <v>0</v>
      </c>
      <c r="I154" s="42">
        <f>SUMIFS('CWO Bulan Ini'!$DA:$DA,'CWO Bulan Ini'!$DJ:$DJ,'Area-Cabang'!$B154,'CWO Bulan Ini'!$DH:$DH,'Area-Cabang'!$E154,'CWO Bulan Ini'!$CZ:$CZ,'Area-Cabang'!I$41)</f>
        <v>0</v>
      </c>
      <c r="J154" s="42">
        <f>SUMIFS('CWO Bulan Ini'!$DA:$DA,'CWO Bulan Ini'!$DJ:$DJ,'Area-Cabang'!$B154,'CWO Bulan Ini'!$DH:$DH,'Area-Cabang'!$E154,'CWO Bulan Ini'!$CZ:$CZ,'Area-Cabang'!J$41)</f>
        <v>0</v>
      </c>
      <c r="K154" s="42">
        <f>SUMIFS('CWO Bulan Ini'!$DA:$DA,'CWO Bulan Ini'!$DJ:$DJ,'Area-Cabang'!$B154,'CWO Bulan Ini'!$DH:$DH,'Area-Cabang'!$E154,'CWO Bulan Ini'!$CZ:$CZ,'Area-Cabang'!K$41)</f>
        <v>0</v>
      </c>
      <c r="L154" s="42">
        <f>SUMIFS('CWO Bulan Ini'!$DA:$DA,'CWO Bulan Ini'!$DJ:$DJ,'Area-Cabang'!$B154,'CWO Bulan Ini'!$DH:$DH,'Area-Cabang'!$E154,'CWO Bulan Ini'!$CZ:$CZ,'Area-Cabang'!L$41)</f>
        <v>0</v>
      </c>
      <c r="M154" s="42">
        <f>SUMIFS('CWO Bulan Ini'!$DA:$DA,'CWO Bulan Ini'!$DJ:$DJ,'Area-Cabang'!$B154,'CWO Bulan Ini'!$DH:$DH,'Area-Cabang'!$E154,'CWO Bulan Ini'!$CZ:$CZ,'Area-Cabang'!M$41)</f>
        <v>0</v>
      </c>
      <c r="N154" s="42">
        <f>SUMIFS('CWO Bulan Ini'!$DA:$DA,'CWO Bulan Ini'!$DJ:$DJ,'Area-Cabang'!$B154,'CWO Bulan Ini'!$DH:$DH,'Area-Cabang'!$E154,'CWO Bulan Ini'!$CZ:$CZ,'Area-Cabang'!N$41)</f>
        <v>0</v>
      </c>
      <c r="O154" s="42">
        <f>SUMIFS('CWO Bulan Ini'!$DA:$DA,'CWO Bulan Ini'!$DJ:$DJ,'Area-Cabang'!$B154,'CWO Bulan Ini'!$DH:$DH,'Area-Cabang'!$E154,'CWO Bulan Ini'!$CZ:$CZ,'Area-Cabang'!O$41)</f>
        <v>0</v>
      </c>
      <c r="P154" s="42">
        <f>SUMIFS('CWO Bulan Ini'!$DA:$DA,'CWO Bulan Ini'!$DJ:$DJ,'Area-Cabang'!$B154,'CWO Bulan Ini'!$DH:$DH,'Area-Cabang'!$E154,'CWO Bulan Ini'!$CZ:$CZ,'Area-Cabang'!P$41)</f>
        <v>0</v>
      </c>
      <c r="Q154" s="42">
        <f>SUMIFS('CWO Bulan Ini'!$DA:$DA,'CWO Bulan Ini'!$DJ:$DJ,'Area-Cabang'!$B154,'CWO Bulan Ini'!$DH:$DH,'Area-Cabang'!$E154,'CWO Bulan Ini'!$CZ:$CZ,'Area-Cabang'!Q$41)</f>
        <v>0</v>
      </c>
      <c r="R154" s="42">
        <f>SUMIFS('CWO Bulan Ini'!$DA:$DA,'CWO Bulan Ini'!$DJ:$DJ,'Area-Cabang'!$B154,'CWO Bulan Ini'!$DH:$DH,'Area-Cabang'!$E154,'CWO Bulan Ini'!$CZ:$CZ,'Area-Cabang'!R$41)</f>
        <v>0</v>
      </c>
      <c r="S154" s="42">
        <f>SUMIFS('CWO Bulan Ini'!$DA:$DA,'CWO Bulan Ini'!$DJ:$DJ,'Area-Cabang'!$B154,'CWO Bulan Ini'!$DH:$DH,'Area-Cabang'!$E154,'CWO Bulan Ini'!$CZ:$CZ,'Area-Cabang'!S$41)</f>
        <v>0</v>
      </c>
      <c r="T154" s="42">
        <f>SUMIFS('CWO Bulan Ini'!$DA:$DA,'CWO Bulan Ini'!$DJ:$DJ,'Area-Cabang'!$B154,'CWO Bulan Ini'!$DH:$DH,'Area-Cabang'!$E154,'CWO Bulan Ini'!$CZ:$CZ,'Area-Cabang'!T$41)</f>
        <v>0</v>
      </c>
      <c r="U154" s="42">
        <f>SUMIFS('CWO Bulan Ini'!$DA:$DA,'CWO Bulan Ini'!$DJ:$DJ,'Area-Cabang'!$B154,'CWO Bulan Ini'!$DH:$DH,'Area-Cabang'!$E154,'CWO Bulan Ini'!$CZ:$CZ,'Area-Cabang'!U$41)</f>
        <v>0</v>
      </c>
      <c r="V154" s="42">
        <f>SUMIFS('CWO Bulan Ini'!$DA:$DA,'CWO Bulan Ini'!$DJ:$DJ,'Area-Cabang'!$B154,'CWO Bulan Ini'!$DH:$DH,'Area-Cabang'!$E154,'CWO Bulan Ini'!$CZ:$CZ,'Area-Cabang'!V$41)</f>
        <v>0</v>
      </c>
      <c r="W154" s="42">
        <f>SUMIFS('CWO Bulan Ini'!$DA:$DA,'CWO Bulan Ini'!$DJ:$DJ,'Area-Cabang'!$B154,'CWO Bulan Ini'!$DH:$DH,'Area-Cabang'!$E154,'CWO Bulan Ini'!$CZ:$CZ,'Area-Cabang'!W$41)</f>
        <v>0</v>
      </c>
      <c r="X154" s="42">
        <f>SUMIFS('CWO Bulan Ini'!$DA:$DA,'CWO Bulan Ini'!$DJ:$DJ,'Area-Cabang'!$B154,'CWO Bulan Ini'!$DH:$DH,'Area-Cabang'!$E154,'CWO Bulan Ini'!$CZ:$CZ,'Area-Cabang'!X$41)</f>
        <v>0</v>
      </c>
      <c r="Y154" s="42">
        <f>SUMIFS('CWO Bulan Ini'!$DA:$DA,'CWO Bulan Ini'!$DJ:$DJ,'Area-Cabang'!$B154,'CWO Bulan Ini'!$DH:$DH,'Area-Cabang'!$E154,'CWO Bulan Ini'!$CZ:$CZ,'Area-Cabang'!Y$41)</f>
        <v>0</v>
      </c>
      <c r="Z154" s="42">
        <f>SUMIFS('CWO Bulan Ini'!$DA:$DA,'CWO Bulan Ini'!$DJ:$DJ,'Area-Cabang'!$B154,'CWO Bulan Ini'!$DH:$DH,'Area-Cabang'!$E154,'CWO Bulan Ini'!$CZ:$CZ,'Area-Cabang'!Z$41)</f>
        <v>0</v>
      </c>
      <c r="AA154" s="42">
        <f>SUMIFS('CWO Bulan Ini'!$DA:$DA,'CWO Bulan Ini'!$DJ:$DJ,'Area-Cabang'!$B154,'CWO Bulan Ini'!$DH:$DH,'Area-Cabang'!$E154,'CWO Bulan Ini'!$CZ:$CZ,'Area-Cabang'!AA$41)</f>
        <v>0</v>
      </c>
      <c r="AB154" s="42">
        <f>SUMIFS('CWO Bulan Ini'!$DA:$DA,'CWO Bulan Ini'!$DJ:$DJ,'Area-Cabang'!$B154,'CWO Bulan Ini'!$DH:$DH,'Area-Cabang'!$E154,'CWO Bulan Ini'!$CZ:$CZ,'Area-Cabang'!AB$41)</f>
        <v>0</v>
      </c>
      <c r="AC154" s="42">
        <f>SUMIFS('CWO Bulan Ini'!$DA:$DA,'CWO Bulan Ini'!$DJ:$DJ,'Area-Cabang'!$B154,'CWO Bulan Ini'!$DH:$DH,'Area-Cabang'!$E154,'CWO Bulan Ini'!$CZ:$CZ,'Area-Cabang'!AC$41)</f>
        <v>0</v>
      </c>
      <c r="AD154" s="42">
        <f>SUMIFS('CWO Bulan Ini'!$DA:$DA,'CWO Bulan Ini'!$DJ:$DJ,'Area-Cabang'!$B154,'CWO Bulan Ini'!$DH:$DH,'Area-Cabang'!$E154,'CWO Bulan Ini'!$CZ:$CZ,'Area-Cabang'!AD$41)</f>
        <v>0</v>
      </c>
      <c r="AE154" s="42">
        <f>SUMIFS('CWO Bulan Ini'!$DA:$DA,'CWO Bulan Ini'!$DJ:$DJ,'Area-Cabang'!$B154,'CWO Bulan Ini'!$DH:$DH,'Area-Cabang'!$E154,'CWO Bulan Ini'!$CZ:$CZ,'Area-Cabang'!AE$41)</f>
        <v>0</v>
      </c>
      <c r="AF154" s="42">
        <f>SUMIFS('CWO Bulan Ini'!$DA:$DA,'CWO Bulan Ini'!$DJ:$DJ,'Area-Cabang'!$B154,'CWO Bulan Ini'!$DH:$DH,'Area-Cabang'!$E154,'CWO Bulan Ini'!$CZ:$CZ,'Area-Cabang'!AF$41)</f>
        <v>0</v>
      </c>
      <c r="AG154" s="42">
        <f>SUMIFS('CWO Bulan Ini'!$DA:$DA,'CWO Bulan Ini'!$DJ:$DJ,'Area-Cabang'!$B154,'CWO Bulan Ini'!$DH:$DH,'Area-Cabang'!$E154,'CWO Bulan Ini'!$CZ:$CZ,'Area-Cabang'!AG$41)</f>
        <v>0</v>
      </c>
      <c r="AH154" s="42">
        <f>SUMIFS('CWO Bulan Ini'!$DA:$DA,'CWO Bulan Ini'!$DJ:$DJ,'Area-Cabang'!$B154,'CWO Bulan Ini'!$DH:$DH,'Area-Cabang'!$E154,'CWO Bulan Ini'!$CZ:$CZ,'Area-Cabang'!AH$41)</f>
        <v>0</v>
      </c>
      <c r="AI154" s="42">
        <f>SUMIFS('CWO Bulan Ini'!$DA:$DA,'CWO Bulan Ini'!$DJ:$DJ,'Area-Cabang'!$B154,'CWO Bulan Ini'!$DH:$DH,'Area-Cabang'!$E154,'CWO Bulan Ini'!$CZ:$CZ,'Area-Cabang'!AI$41)</f>
        <v>0</v>
      </c>
      <c r="AJ154" s="42">
        <f>SUMIFS('CWO Bulan Ini'!$DA:$DA,'CWO Bulan Ini'!$DJ:$DJ,'Area-Cabang'!$B154,'CWO Bulan Ini'!$DH:$DH,'Area-Cabang'!$E154,'CWO Bulan Ini'!$CZ:$CZ,'Area-Cabang'!AJ$41)</f>
        <v>0</v>
      </c>
      <c r="AK154" s="41">
        <f>SUMIFS('CWO Bulan Ini'!$DD:$DD,'CWO Bulan Ini'!$DJ:$DJ,'Area-Cabang'!$B154,'CWO Bulan Ini'!$DH:$DH,'Area-Cabang'!$E154,'CWO Bulan Ini'!$CZ:$CZ,'Area-Cabang'!AK$41)</f>
        <v>0</v>
      </c>
      <c r="AL154" s="42">
        <f>SUMIFS('CWO Bulan Ini'!$DD:$DD,'CWO Bulan Ini'!$DJ:$DJ,'Area-Cabang'!$B154,'CWO Bulan Ini'!$DH:$DH,'Area-Cabang'!$E154,'CWO Bulan Ini'!$CZ:$CZ,'Area-Cabang'!AL$41)</f>
        <v>0</v>
      </c>
      <c r="AM154" s="42">
        <f>SUMIFS('CWO Bulan Ini'!$DD:$DD,'CWO Bulan Ini'!$DJ:$DJ,'Area-Cabang'!$B154,'CWO Bulan Ini'!$DH:$DH,'Area-Cabang'!$E154,'CWO Bulan Ini'!$CZ:$CZ,'Area-Cabang'!AM$41)</f>
        <v>0</v>
      </c>
      <c r="AN154" s="42">
        <f>SUMIFS('CWO Bulan Ini'!$DD:$DD,'CWO Bulan Ini'!$DJ:$DJ,'Area-Cabang'!$B154,'CWO Bulan Ini'!$DH:$DH,'Area-Cabang'!$E154,'CWO Bulan Ini'!$CZ:$CZ,'Area-Cabang'!AN$41)</f>
        <v>0</v>
      </c>
      <c r="AO154" s="42">
        <f>SUMIFS('CWO Bulan Ini'!$DD:$DD,'CWO Bulan Ini'!$DJ:$DJ,'Area-Cabang'!$B154,'CWO Bulan Ini'!$DH:$DH,'Area-Cabang'!$E154,'CWO Bulan Ini'!$CZ:$CZ,'Area-Cabang'!AO$41)</f>
        <v>0</v>
      </c>
      <c r="AP154" s="42">
        <f>SUMIFS('CWO Bulan Ini'!$DD:$DD,'CWO Bulan Ini'!$DJ:$DJ,'Area-Cabang'!$B154,'CWO Bulan Ini'!$DH:$DH,'Area-Cabang'!$E154,'CWO Bulan Ini'!$CZ:$CZ,'Area-Cabang'!AP$41)</f>
        <v>0</v>
      </c>
      <c r="AQ154" s="42">
        <f>SUMIFS('CWO Bulan Ini'!$DD:$DD,'CWO Bulan Ini'!$DJ:$DJ,'Area-Cabang'!$B154,'CWO Bulan Ini'!$DH:$DH,'Area-Cabang'!$E154,'CWO Bulan Ini'!$CZ:$CZ,'Area-Cabang'!AQ$41)</f>
        <v>0</v>
      </c>
      <c r="AR154" s="42">
        <f>SUMIFS('CWO Bulan Ini'!$DD:$DD,'CWO Bulan Ini'!$DJ:$DJ,'Area-Cabang'!$B154,'CWO Bulan Ini'!$DH:$DH,'Area-Cabang'!$E154,'CWO Bulan Ini'!$CZ:$CZ,'Area-Cabang'!AR$41)</f>
        <v>0</v>
      </c>
      <c r="AS154" s="42">
        <f>SUMIFS('CWO Bulan Ini'!$DD:$DD,'CWO Bulan Ini'!$DJ:$DJ,'Area-Cabang'!$B154,'CWO Bulan Ini'!$DH:$DH,'Area-Cabang'!$E154,'CWO Bulan Ini'!$CZ:$CZ,'Area-Cabang'!AS$41)</f>
        <v>0</v>
      </c>
      <c r="AT154" s="42">
        <f>SUMIFS('CWO Bulan Ini'!$DD:$DD,'CWO Bulan Ini'!$DJ:$DJ,'Area-Cabang'!$B154,'CWO Bulan Ini'!$DH:$DH,'Area-Cabang'!$E154,'CWO Bulan Ini'!$CZ:$CZ,'Area-Cabang'!AT$41)</f>
        <v>0</v>
      </c>
      <c r="AU154" s="42">
        <f>SUMIFS('CWO Bulan Ini'!$DD:$DD,'CWO Bulan Ini'!$DJ:$DJ,'Area-Cabang'!$B154,'CWO Bulan Ini'!$DH:$DH,'Area-Cabang'!$E154,'CWO Bulan Ini'!$CZ:$CZ,'Area-Cabang'!AU$41)</f>
        <v>0</v>
      </c>
      <c r="AV154" s="42">
        <f>SUMIFS('CWO Bulan Ini'!$DD:$DD,'CWO Bulan Ini'!$DJ:$DJ,'Area-Cabang'!$B154,'CWO Bulan Ini'!$DH:$DH,'Area-Cabang'!$E154,'CWO Bulan Ini'!$CZ:$CZ,'Area-Cabang'!AV$41)</f>
        <v>0</v>
      </c>
      <c r="AW154" s="42">
        <f>SUMIFS('CWO Bulan Ini'!$DD:$DD,'CWO Bulan Ini'!$DJ:$DJ,'Area-Cabang'!$B154,'CWO Bulan Ini'!$DH:$DH,'Area-Cabang'!$E154,'CWO Bulan Ini'!$CZ:$CZ,'Area-Cabang'!AW$41)</f>
        <v>0</v>
      </c>
      <c r="AX154" s="42">
        <f>SUMIFS('CWO Bulan Ini'!$DD:$DD,'CWO Bulan Ini'!$DJ:$DJ,'Area-Cabang'!$B154,'CWO Bulan Ini'!$DH:$DH,'Area-Cabang'!$E154,'CWO Bulan Ini'!$CZ:$CZ,'Area-Cabang'!AX$41)</f>
        <v>0</v>
      </c>
      <c r="AY154" s="42">
        <f>SUMIFS('CWO Bulan Ini'!$DD:$DD,'CWO Bulan Ini'!$DJ:$DJ,'Area-Cabang'!$B154,'CWO Bulan Ini'!$DH:$DH,'Area-Cabang'!$E154,'CWO Bulan Ini'!$CZ:$CZ,'Area-Cabang'!AY$41)</f>
        <v>0</v>
      </c>
      <c r="AZ154" s="42">
        <f>SUMIFS('CWO Bulan Ini'!$DD:$DD,'CWO Bulan Ini'!$DJ:$DJ,'Area-Cabang'!$B154,'CWO Bulan Ini'!$DH:$DH,'Area-Cabang'!$E154,'CWO Bulan Ini'!$CZ:$CZ,'Area-Cabang'!AZ$41)</f>
        <v>0</v>
      </c>
      <c r="BA154" s="42">
        <f>SUMIFS('CWO Bulan Ini'!$DD:$DD,'CWO Bulan Ini'!$DJ:$DJ,'Area-Cabang'!$B154,'CWO Bulan Ini'!$DH:$DH,'Area-Cabang'!$E154,'CWO Bulan Ini'!$CZ:$CZ,'Area-Cabang'!BA$41)</f>
        <v>0</v>
      </c>
      <c r="BB154" s="42">
        <f>SUMIFS('CWO Bulan Ini'!$DD:$DD,'CWO Bulan Ini'!$DJ:$DJ,'Area-Cabang'!$B154,'CWO Bulan Ini'!$DH:$DH,'Area-Cabang'!$E154,'CWO Bulan Ini'!$CZ:$CZ,'Area-Cabang'!BB$41)</f>
        <v>0</v>
      </c>
      <c r="BC154" s="42">
        <f>SUMIFS('CWO Bulan Ini'!$DD:$DD,'CWO Bulan Ini'!$DJ:$DJ,'Area-Cabang'!$B154,'CWO Bulan Ini'!$DH:$DH,'Area-Cabang'!$E154,'CWO Bulan Ini'!$CZ:$CZ,'Area-Cabang'!BC$41)</f>
        <v>0</v>
      </c>
      <c r="BD154" s="42">
        <f>SUMIFS('CWO Bulan Ini'!$DD:$DD,'CWO Bulan Ini'!$DJ:$DJ,'Area-Cabang'!$B154,'CWO Bulan Ini'!$DH:$DH,'Area-Cabang'!$E154,'CWO Bulan Ini'!$CZ:$CZ,'Area-Cabang'!BD$41)</f>
        <v>0</v>
      </c>
      <c r="BE154" s="42">
        <f>SUMIFS('CWO Bulan Ini'!$DD:$DD,'CWO Bulan Ini'!$DJ:$DJ,'Area-Cabang'!$B154,'CWO Bulan Ini'!$DH:$DH,'Area-Cabang'!$E154,'CWO Bulan Ini'!$CZ:$CZ,'Area-Cabang'!BE$41)</f>
        <v>0</v>
      </c>
      <c r="BF154" s="42">
        <f>SUMIFS('CWO Bulan Ini'!$DD:$DD,'CWO Bulan Ini'!$DJ:$DJ,'Area-Cabang'!$B154,'CWO Bulan Ini'!$DH:$DH,'Area-Cabang'!$E154,'CWO Bulan Ini'!$CZ:$CZ,'Area-Cabang'!BF$41)</f>
        <v>0</v>
      </c>
      <c r="BG154" s="42">
        <f>SUMIFS('CWO Bulan Ini'!$DD:$DD,'CWO Bulan Ini'!$DJ:$DJ,'Area-Cabang'!$B154,'CWO Bulan Ini'!$DH:$DH,'Area-Cabang'!$E154,'CWO Bulan Ini'!$CZ:$CZ,'Area-Cabang'!BG$41)</f>
        <v>0</v>
      </c>
      <c r="BH154" s="42">
        <f>SUMIFS('CWO Bulan Ini'!$DD:$DD,'CWO Bulan Ini'!$DJ:$DJ,'Area-Cabang'!$B154,'CWO Bulan Ini'!$DH:$DH,'Area-Cabang'!$E154,'CWO Bulan Ini'!$CZ:$CZ,'Area-Cabang'!BH$41)</f>
        <v>0</v>
      </c>
      <c r="BI154" s="42">
        <f>SUMIFS('CWO Bulan Ini'!$DD:$DD,'CWO Bulan Ini'!$DJ:$DJ,'Area-Cabang'!$B154,'CWO Bulan Ini'!$DH:$DH,'Area-Cabang'!$E154,'CWO Bulan Ini'!$CZ:$CZ,'Area-Cabang'!BI$41)</f>
        <v>0</v>
      </c>
      <c r="BJ154" s="42">
        <f>SUMIFS('CWO Bulan Ini'!$DD:$DD,'CWO Bulan Ini'!$DJ:$DJ,'Area-Cabang'!$B154,'CWO Bulan Ini'!$DH:$DH,'Area-Cabang'!$E154,'CWO Bulan Ini'!$CZ:$CZ,'Area-Cabang'!BJ$41)</f>
        <v>0</v>
      </c>
      <c r="BK154" s="42">
        <f>SUMIFS('CWO Bulan Ini'!$DD:$DD,'CWO Bulan Ini'!$DJ:$DJ,'Area-Cabang'!$B154,'CWO Bulan Ini'!$DH:$DH,'Area-Cabang'!$E154,'CWO Bulan Ini'!$CZ:$CZ,'Area-Cabang'!BK$41)</f>
        <v>0</v>
      </c>
      <c r="BL154" s="42">
        <f>SUMIFS('CWO Bulan Ini'!$DD:$DD,'CWO Bulan Ini'!$DJ:$DJ,'Area-Cabang'!$B154,'CWO Bulan Ini'!$DH:$DH,'Area-Cabang'!$E154,'CWO Bulan Ini'!$CZ:$CZ,'Area-Cabang'!BL$41)</f>
        <v>0</v>
      </c>
      <c r="BM154" s="42">
        <f>SUMIFS('CWO Bulan Ini'!$DD:$DD,'CWO Bulan Ini'!$DJ:$DJ,'Area-Cabang'!$B154,'CWO Bulan Ini'!$DH:$DH,'Area-Cabang'!$E154,'CWO Bulan Ini'!$CZ:$CZ,'Area-Cabang'!BM$41)</f>
        <v>0</v>
      </c>
      <c r="BN154" s="42">
        <f>SUMIFS('CWO Bulan Ini'!$DD:$DD,'CWO Bulan Ini'!$DJ:$DJ,'Area-Cabang'!$B154,'CWO Bulan Ini'!$DH:$DH,'Area-Cabang'!$E154,'CWO Bulan Ini'!$CZ:$CZ,'Area-Cabang'!BN$41)</f>
        <v>0</v>
      </c>
      <c r="BO154" s="43">
        <f>SUMIFS('CWO Bulan Ini'!$DD:$DD,'CWO Bulan Ini'!$DJ:$DJ,'Area-Cabang'!$B154,'CWO Bulan Ini'!$DH:$DH,'Area-Cabang'!$E154,'CWO Bulan Ini'!$CZ:$CZ,'Area-Cabang'!BO$41)</f>
        <v>0</v>
      </c>
      <c r="BP154" s="41">
        <f>SUMIFS('CWO Bulan Ini'!$DC:$DC,'CWO Bulan Ini'!$DJ:$DJ,'Area-Cabang'!$B154,'CWO Bulan Ini'!$DH:$DH,'Area-Cabang'!$E154,'CWO Bulan Ini'!$CZ:$CZ,'Area-Cabang'!BP$41)</f>
        <v>0</v>
      </c>
      <c r="BQ154" s="42">
        <f>SUMIFS('CWO Bulan Ini'!$DC:$DC,'CWO Bulan Ini'!$DJ:$DJ,'Area-Cabang'!$B154,'CWO Bulan Ini'!$DH:$DH,'Area-Cabang'!$E154,'CWO Bulan Ini'!$CZ:$CZ,'Area-Cabang'!BQ$41)</f>
        <v>0</v>
      </c>
      <c r="BR154" s="42">
        <f>SUMIFS('CWO Bulan Ini'!$DC:$DC,'CWO Bulan Ini'!$DJ:$DJ,'Area-Cabang'!$B154,'CWO Bulan Ini'!$DH:$DH,'Area-Cabang'!$E154,'CWO Bulan Ini'!$CZ:$CZ,'Area-Cabang'!BR$41)</f>
        <v>0</v>
      </c>
      <c r="BS154" s="42">
        <f>SUMIFS('CWO Bulan Ini'!$DC:$DC,'CWO Bulan Ini'!$DJ:$DJ,'Area-Cabang'!$B154,'CWO Bulan Ini'!$DH:$DH,'Area-Cabang'!$E154,'CWO Bulan Ini'!$CZ:$CZ,'Area-Cabang'!BS$41)</f>
        <v>0</v>
      </c>
      <c r="BT154" s="42">
        <f>SUMIFS('CWO Bulan Ini'!$DC:$DC,'CWO Bulan Ini'!$DJ:$DJ,'Area-Cabang'!$B154,'CWO Bulan Ini'!$DH:$DH,'Area-Cabang'!$E154,'CWO Bulan Ini'!$CZ:$CZ,'Area-Cabang'!BT$41)</f>
        <v>0</v>
      </c>
      <c r="BU154" s="42">
        <f>SUMIFS('CWO Bulan Ini'!$DC:$DC,'CWO Bulan Ini'!$DJ:$DJ,'Area-Cabang'!$B154,'CWO Bulan Ini'!$DH:$DH,'Area-Cabang'!$E154,'CWO Bulan Ini'!$CZ:$CZ,'Area-Cabang'!BU$41)</f>
        <v>0</v>
      </c>
      <c r="BV154" s="42">
        <f>SUMIFS('CWO Bulan Ini'!$DC:$DC,'CWO Bulan Ini'!$DJ:$DJ,'Area-Cabang'!$B154,'CWO Bulan Ini'!$DH:$DH,'Area-Cabang'!$E154,'CWO Bulan Ini'!$CZ:$CZ,'Area-Cabang'!BV$41)</f>
        <v>0</v>
      </c>
      <c r="BW154" s="42">
        <f>SUMIFS('CWO Bulan Ini'!$DC:$DC,'CWO Bulan Ini'!$DJ:$DJ,'Area-Cabang'!$B154,'CWO Bulan Ini'!$DH:$DH,'Area-Cabang'!$E154,'CWO Bulan Ini'!$CZ:$CZ,'Area-Cabang'!BW$41)</f>
        <v>0</v>
      </c>
      <c r="BX154" s="42">
        <f>SUMIFS('CWO Bulan Ini'!$DC:$DC,'CWO Bulan Ini'!$DJ:$DJ,'Area-Cabang'!$B154,'CWO Bulan Ini'!$DH:$DH,'Area-Cabang'!$E154,'CWO Bulan Ini'!$CZ:$CZ,'Area-Cabang'!BX$41)</f>
        <v>0</v>
      </c>
      <c r="BY154" s="42">
        <f>SUMIFS('CWO Bulan Ini'!$DC:$DC,'CWO Bulan Ini'!$DJ:$DJ,'Area-Cabang'!$B154,'CWO Bulan Ini'!$DH:$DH,'Area-Cabang'!$E154,'CWO Bulan Ini'!$CZ:$CZ,'Area-Cabang'!BY$41)</f>
        <v>0</v>
      </c>
      <c r="BZ154" s="42">
        <f>SUMIFS('CWO Bulan Ini'!$DC:$DC,'CWO Bulan Ini'!$DJ:$DJ,'Area-Cabang'!$B154,'CWO Bulan Ini'!$DH:$DH,'Area-Cabang'!$E154,'CWO Bulan Ini'!$CZ:$CZ,'Area-Cabang'!BZ$41)</f>
        <v>0</v>
      </c>
      <c r="CA154" s="42">
        <f>SUMIFS('CWO Bulan Ini'!$DC:$DC,'CWO Bulan Ini'!$DJ:$DJ,'Area-Cabang'!$B154,'CWO Bulan Ini'!$DH:$DH,'Area-Cabang'!$E154,'CWO Bulan Ini'!$CZ:$CZ,'Area-Cabang'!CA$41)</f>
        <v>0</v>
      </c>
      <c r="CB154" s="42">
        <f>SUMIFS('CWO Bulan Ini'!$DC:$DC,'CWO Bulan Ini'!$DJ:$DJ,'Area-Cabang'!$B154,'CWO Bulan Ini'!$DH:$DH,'Area-Cabang'!$E154,'CWO Bulan Ini'!$CZ:$CZ,'Area-Cabang'!CB$41)</f>
        <v>0</v>
      </c>
      <c r="CC154" s="42">
        <f>SUMIFS('CWO Bulan Ini'!$DC:$DC,'CWO Bulan Ini'!$DJ:$DJ,'Area-Cabang'!$B154,'CWO Bulan Ini'!$DH:$DH,'Area-Cabang'!$E154,'CWO Bulan Ini'!$CZ:$CZ,'Area-Cabang'!CC$41)</f>
        <v>0</v>
      </c>
      <c r="CD154" s="42">
        <f>SUMIFS('CWO Bulan Ini'!$DC:$DC,'CWO Bulan Ini'!$DJ:$DJ,'Area-Cabang'!$B154,'CWO Bulan Ini'!$DH:$DH,'Area-Cabang'!$E154,'CWO Bulan Ini'!$CZ:$CZ,'Area-Cabang'!CD$41)</f>
        <v>0</v>
      </c>
      <c r="CE154" s="42">
        <f>SUMIFS('CWO Bulan Ini'!$DC:$DC,'CWO Bulan Ini'!$DJ:$DJ,'Area-Cabang'!$B154,'CWO Bulan Ini'!$DH:$DH,'Area-Cabang'!$E154,'CWO Bulan Ini'!$CZ:$CZ,'Area-Cabang'!CE$41)</f>
        <v>0</v>
      </c>
      <c r="CF154" s="42">
        <f>SUMIFS('CWO Bulan Ini'!$DC:$DC,'CWO Bulan Ini'!$DJ:$DJ,'Area-Cabang'!$B154,'CWO Bulan Ini'!$DH:$DH,'Area-Cabang'!$E154,'CWO Bulan Ini'!$CZ:$CZ,'Area-Cabang'!CF$41)</f>
        <v>0</v>
      </c>
      <c r="CG154" s="42">
        <f>SUMIFS('CWO Bulan Ini'!$DC:$DC,'CWO Bulan Ini'!$DJ:$DJ,'Area-Cabang'!$B154,'CWO Bulan Ini'!$DH:$DH,'Area-Cabang'!$E154,'CWO Bulan Ini'!$CZ:$CZ,'Area-Cabang'!CG$41)</f>
        <v>0</v>
      </c>
      <c r="CH154" s="42">
        <f>SUMIFS('CWO Bulan Ini'!$DC:$DC,'CWO Bulan Ini'!$DJ:$DJ,'Area-Cabang'!$B154,'CWO Bulan Ini'!$DH:$DH,'Area-Cabang'!$E154,'CWO Bulan Ini'!$CZ:$CZ,'Area-Cabang'!CH$41)</f>
        <v>0</v>
      </c>
      <c r="CI154" s="42">
        <f>SUMIFS('CWO Bulan Ini'!$DC:$DC,'CWO Bulan Ini'!$DJ:$DJ,'Area-Cabang'!$B154,'CWO Bulan Ini'!$DH:$DH,'Area-Cabang'!$E154,'CWO Bulan Ini'!$CZ:$CZ,'Area-Cabang'!CI$41)</f>
        <v>0</v>
      </c>
      <c r="CJ154" s="42">
        <f>SUMIFS('CWO Bulan Ini'!$DC:$DC,'CWO Bulan Ini'!$DJ:$DJ,'Area-Cabang'!$B154,'CWO Bulan Ini'!$DH:$DH,'Area-Cabang'!$E154,'CWO Bulan Ini'!$CZ:$CZ,'Area-Cabang'!CJ$41)</f>
        <v>0</v>
      </c>
      <c r="CK154" s="42">
        <f>SUMIFS('CWO Bulan Ini'!$DC:$DC,'CWO Bulan Ini'!$DJ:$DJ,'Area-Cabang'!$B154,'CWO Bulan Ini'!$DH:$DH,'Area-Cabang'!$E154,'CWO Bulan Ini'!$CZ:$CZ,'Area-Cabang'!CK$41)</f>
        <v>0</v>
      </c>
      <c r="CL154" s="42">
        <f>SUMIFS('CWO Bulan Ini'!$DC:$DC,'CWO Bulan Ini'!$DJ:$DJ,'Area-Cabang'!$B154,'CWO Bulan Ini'!$DH:$DH,'Area-Cabang'!$E154,'CWO Bulan Ini'!$CZ:$CZ,'Area-Cabang'!CL$41)</f>
        <v>0</v>
      </c>
      <c r="CM154" s="42">
        <f>SUMIFS('CWO Bulan Ini'!$DC:$DC,'CWO Bulan Ini'!$DJ:$DJ,'Area-Cabang'!$B154,'CWO Bulan Ini'!$DH:$DH,'Area-Cabang'!$E154,'CWO Bulan Ini'!$CZ:$CZ,'Area-Cabang'!CM$41)</f>
        <v>0</v>
      </c>
      <c r="CN154" s="42">
        <f>SUMIFS('CWO Bulan Ini'!$DC:$DC,'CWO Bulan Ini'!$DJ:$DJ,'Area-Cabang'!$B154,'CWO Bulan Ini'!$DH:$DH,'Area-Cabang'!$E154,'CWO Bulan Ini'!$CZ:$CZ,'Area-Cabang'!CN$41)</f>
        <v>0</v>
      </c>
      <c r="CO154" s="42">
        <f>SUMIFS('CWO Bulan Ini'!$DC:$DC,'CWO Bulan Ini'!$DJ:$DJ,'Area-Cabang'!$B154,'CWO Bulan Ini'!$DH:$DH,'Area-Cabang'!$E154,'CWO Bulan Ini'!$CZ:$CZ,'Area-Cabang'!CO$41)</f>
        <v>0</v>
      </c>
      <c r="CP154" s="42">
        <f>SUMIFS('CWO Bulan Ini'!$DC:$DC,'CWO Bulan Ini'!$DJ:$DJ,'Area-Cabang'!$B154,'CWO Bulan Ini'!$DH:$DH,'Area-Cabang'!$E154,'CWO Bulan Ini'!$CZ:$CZ,'Area-Cabang'!CP$41)</f>
        <v>0</v>
      </c>
      <c r="CQ154" s="42">
        <f>SUMIFS('CWO Bulan Ini'!$DC:$DC,'CWO Bulan Ini'!$DJ:$DJ,'Area-Cabang'!$B154,'CWO Bulan Ini'!$DH:$DH,'Area-Cabang'!$E154,'CWO Bulan Ini'!$CZ:$CZ,'Area-Cabang'!CQ$41)</f>
        <v>0</v>
      </c>
      <c r="CR154" s="42">
        <f>SUMIFS('CWO Bulan Ini'!$DC:$DC,'CWO Bulan Ini'!$DJ:$DJ,'Area-Cabang'!$B154,'CWO Bulan Ini'!$DH:$DH,'Area-Cabang'!$E154,'CWO Bulan Ini'!$CZ:$CZ,'Area-Cabang'!CR$41)</f>
        <v>0</v>
      </c>
      <c r="CS154" s="42">
        <f>SUMIFS('CWO Bulan Ini'!$DC:$DC,'CWO Bulan Ini'!$DJ:$DJ,'Area-Cabang'!$B154,'CWO Bulan Ini'!$DH:$DH,'Area-Cabang'!$E154,'CWO Bulan Ini'!$CZ:$CZ,'Area-Cabang'!CS$41)</f>
        <v>0</v>
      </c>
      <c r="CT154" s="43">
        <f>SUMIFS('CWO Bulan Ini'!$DC:$DC,'CWO Bulan Ini'!$DJ:$DJ,'Area-Cabang'!$B154,'CWO Bulan Ini'!$DH:$DH,'Area-Cabang'!$E154,'CWO Bulan Ini'!$CZ:$CZ,'Area-Cabang'!CT$41)</f>
        <v>0</v>
      </c>
      <c r="CV154" s="96">
        <f t="shared" si="4792"/>
        <v>0</v>
      </c>
      <c r="CW154" s="93">
        <f t="shared" si="4793"/>
        <v>0</v>
      </c>
      <c r="CX154" s="93">
        <f t="shared" si="4794"/>
        <v>0</v>
      </c>
      <c r="CY154" s="93">
        <f t="shared" si="4795"/>
        <v>0</v>
      </c>
      <c r="CZ154" s="106">
        <f t="shared" si="4796"/>
        <v>0</v>
      </c>
    </row>
    <row r="155" spans="1:104" ht="15" customHeight="1" x14ac:dyDescent="0.25">
      <c r="A155" s="58" t="s">
        <v>480</v>
      </c>
      <c r="B155" s="53" t="s">
        <v>844</v>
      </c>
      <c r="C155" s="250"/>
      <c r="D155" s="227" t="s">
        <v>844</v>
      </c>
      <c r="E155" s="228"/>
      <c r="F155" s="219">
        <f t="shared" ref="F155" si="4797">SUM(F153:F154)</f>
        <v>0</v>
      </c>
      <c r="G155" s="220">
        <f t="shared" ref="G155" si="4798">SUM(G153:G154)</f>
        <v>0</v>
      </c>
      <c r="H155" s="220">
        <f t="shared" ref="H155" si="4799">SUM(H153:H154)</f>
        <v>0</v>
      </c>
      <c r="I155" s="220">
        <f t="shared" ref="I155" si="4800">SUM(I153:I154)</f>
        <v>0</v>
      </c>
      <c r="J155" s="220">
        <f t="shared" ref="J155" si="4801">SUM(J153:J154)</f>
        <v>0</v>
      </c>
      <c r="K155" s="220">
        <f t="shared" ref="K155" si="4802">SUM(K153:K154)</f>
        <v>0</v>
      </c>
      <c r="L155" s="220">
        <f t="shared" ref="L155" si="4803">SUM(L153:L154)</f>
        <v>0</v>
      </c>
      <c r="M155" s="220">
        <f t="shared" ref="M155" si="4804">SUM(M153:M154)</f>
        <v>0</v>
      </c>
      <c r="N155" s="220">
        <f t="shared" ref="N155" si="4805">SUM(N153:N154)</f>
        <v>0</v>
      </c>
      <c r="O155" s="220">
        <f t="shared" ref="O155" si="4806">SUM(O153:O154)</f>
        <v>0</v>
      </c>
      <c r="P155" s="220">
        <f t="shared" ref="P155" si="4807">SUM(P153:P154)</f>
        <v>0</v>
      </c>
      <c r="Q155" s="220">
        <f t="shared" ref="Q155" si="4808">SUM(Q153:Q154)</f>
        <v>0</v>
      </c>
      <c r="R155" s="220">
        <f t="shared" ref="R155" si="4809">SUM(R153:R154)</f>
        <v>0</v>
      </c>
      <c r="S155" s="220">
        <f t="shared" ref="S155" si="4810">SUM(S153:S154)</f>
        <v>0</v>
      </c>
      <c r="T155" s="220">
        <f t="shared" ref="T155" si="4811">SUM(T153:T154)</f>
        <v>0</v>
      </c>
      <c r="U155" s="220">
        <f t="shared" ref="U155" si="4812">SUM(U153:U154)</f>
        <v>0</v>
      </c>
      <c r="V155" s="220">
        <f t="shared" ref="V155" si="4813">SUM(V153:V154)</f>
        <v>0</v>
      </c>
      <c r="W155" s="220">
        <f t="shared" ref="W155" si="4814">SUM(W153:W154)</f>
        <v>0</v>
      </c>
      <c r="X155" s="220">
        <f t="shared" ref="X155" si="4815">SUM(X153:X154)</f>
        <v>0</v>
      </c>
      <c r="Y155" s="220">
        <f t="shared" ref="Y155" si="4816">SUM(Y153:Y154)</f>
        <v>0</v>
      </c>
      <c r="Z155" s="220">
        <f t="shared" ref="Z155" si="4817">SUM(Z153:Z154)</f>
        <v>0</v>
      </c>
      <c r="AA155" s="220">
        <f t="shared" ref="AA155" si="4818">SUM(AA153:AA154)</f>
        <v>0</v>
      </c>
      <c r="AB155" s="220">
        <f t="shared" ref="AB155" si="4819">SUM(AB153:AB154)</f>
        <v>0</v>
      </c>
      <c r="AC155" s="220">
        <f t="shared" ref="AC155" si="4820">SUM(AC153:AC154)</f>
        <v>0</v>
      </c>
      <c r="AD155" s="220">
        <f t="shared" ref="AD155" si="4821">SUM(AD153:AD154)</f>
        <v>0</v>
      </c>
      <c r="AE155" s="220">
        <f t="shared" ref="AE155" si="4822">SUM(AE153:AE154)</f>
        <v>0</v>
      </c>
      <c r="AF155" s="220">
        <f t="shared" ref="AF155" si="4823">SUM(AF153:AF154)</f>
        <v>0</v>
      </c>
      <c r="AG155" s="220">
        <f t="shared" ref="AG155" si="4824">SUM(AG153:AG154)</f>
        <v>0</v>
      </c>
      <c r="AH155" s="220">
        <f t="shared" ref="AH155" si="4825">SUM(AH153:AH154)</f>
        <v>0</v>
      </c>
      <c r="AI155" s="220">
        <f t="shared" ref="AI155" si="4826">SUM(AI153:AI154)</f>
        <v>0</v>
      </c>
      <c r="AJ155" s="220">
        <f t="shared" ref="AJ155" si="4827">SUM(AJ153:AJ154)</f>
        <v>0</v>
      </c>
      <c r="AK155" s="219">
        <f t="shared" ref="AK155" si="4828">SUM(AK153:AK154)</f>
        <v>0</v>
      </c>
      <c r="AL155" s="220">
        <f t="shared" ref="AL155" si="4829">SUM(AL153:AL154)</f>
        <v>0</v>
      </c>
      <c r="AM155" s="220">
        <f t="shared" ref="AM155" si="4830">SUM(AM153:AM154)</f>
        <v>0</v>
      </c>
      <c r="AN155" s="220">
        <f t="shared" ref="AN155" si="4831">SUM(AN153:AN154)</f>
        <v>0</v>
      </c>
      <c r="AO155" s="220">
        <f t="shared" ref="AO155" si="4832">SUM(AO153:AO154)</f>
        <v>0</v>
      </c>
      <c r="AP155" s="220">
        <f t="shared" ref="AP155" si="4833">SUM(AP153:AP154)</f>
        <v>0</v>
      </c>
      <c r="AQ155" s="220">
        <f t="shared" ref="AQ155" si="4834">SUM(AQ153:AQ154)</f>
        <v>0</v>
      </c>
      <c r="AR155" s="220">
        <f t="shared" ref="AR155" si="4835">SUM(AR153:AR154)</f>
        <v>0</v>
      </c>
      <c r="AS155" s="220">
        <f t="shared" ref="AS155" si="4836">SUM(AS153:AS154)</f>
        <v>0</v>
      </c>
      <c r="AT155" s="220">
        <f t="shared" ref="AT155" si="4837">SUM(AT153:AT154)</f>
        <v>0</v>
      </c>
      <c r="AU155" s="220">
        <f t="shared" ref="AU155" si="4838">SUM(AU153:AU154)</f>
        <v>0</v>
      </c>
      <c r="AV155" s="220">
        <f t="shared" ref="AV155" si="4839">SUM(AV153:AV154)</f>
        <v>0</v>
      </c>
      <c r="AW155" s="220">
        <f t="shared" ref="AW155" si="4840">SUM(AW153:AW154)</f>
        <v>0</v>
      </c>
      <c r="AX155" s="220">
        <f t="shared" ref="AX155" si="4841">SUM(AX153:AX154)</f>
        <v>0</v>
      </c>
      <c r="AY155" s="220">
        <f t="shared" ref="AY155" si="4842">SUM(AY153:AY154)</f>
        <v>0</v>
      </c>
      <c r="AZ155" s="220">
        <f t="shared" ref="AZ155" si="4843">SUM(AZ153:AZ154)</f>
        <v>0</v>
      </c>
      <c r="BA155" s="220">
        <f t="shared" ref="BA155" si="4844">SUM(BA153:BA154)</f>
        <v>0</v>
      </c>
      <c r="BB155" s="220">
        <f t="shared" ref="BB155" si="4845">SUM(BB153:BB154)</f>
        <v>0</v>
      </c>
      <c r="BC155" s="220">
        <f t="shared" ref="BC155" si="4846">SUM(BC153:BC154)</f>
        <v>0</v>
      </c>
      <c r="BD155" s="220">
        <f t="shared" ref="BD155" si="4847">SUM(BD153:BD154)</f>
        <v>0</v>
      </c>
      <c r="BE155" s="220">
        <f t="shared" ref="BE155" si="4848">SUM(BE153:BE154)</f>
        <v>0</v>
      </c>
      <c r="BF155" s="220">
        <f t="shared" ref="BF155" si="4849">SUM(BF153:BF154)</f>
        <v>0</v>
      </c>
      <c r="BG155" s="220">
        <f t="shared" ref="BG155" si="4850">SUM(BG153:BG154)</f>
        <v>0</v>
      </c>
      <c r="BH155" s="220">
        <f t="shared" ref="BH155" si="4851">SUM(BH153:BH154)</f>
        <v>0</v>
      </c>
      <c r="BI155" s="220">
        <f t="shared" ref="BI155" si="4852">SUM(BI153:BI154)</f>
        <v>0</v>
      </c>
      <c r="BJ155" s="220">
        <f t="shared" ref="BJ155" si="4853">SUM(BJ153:BJ154)</f>
        <v>0</v>
      </c>
      <c r="BK155" s="220">
        <f t="shared" ref="BK155" si="4854">SUM(BK153:BK154)</f>
        <v>0</v>
      </c>
      <c r="BL155" s="220">
        <f t="shared" ref="BL155" si="4855">SUM(BL153:BL154)</f>
        <v>0</v>
      </c>
      <c r="BM155" s="220">
        <f t="shared" ref="BM155" si="4856">SUM(BM153:BM154)</f>
        <v>0</v>
      </c>
      <c r="BN155" s="220">
        <f t="shared" ref="BN155" si="4857">SUM(BN153:BN154)</f>
        <v>0</v>
      </c>
      <c r="BO155" s="221">
        <f t="shared" ref="BO155" si="4858">SUM(BO153:BO154)</f>
        <v>0</v>
      </c>
      <c r="BP155" s="219">
        <f t="shared" ref="BP155" si="4859">SUM(BP153:BP154)</f>
        <v>0</v>
      </c>
      <c r="BQ155" s="220">
        <f t="shared" ref="BQ155" si="4860">SUM(BQ153:BQ154)</f>
        <v>0</v>
      </c>
      <c r="BR155" s="220">
        <f t="shared" ref="BR155" si="4861">SUM(BR153:BR154)</f>
        <v>0</v>
      </c>
      <c r="BS155" s="220">
        <f t="shared" ref="BS155" si="4862">SUM(BS153:BS154)</f>
        <v>0</v>
      </c>
      <c r="BT155" s="220">
        <f t="shared" ref="BT155" si="4863">SUM(BT153:BT154)</f>
        <v>0</v>
      </c>
      <c r="BU155" s="220">
        <f t="shared" ref="BU155" si="4864">SUM(BU153:BU154)</f>
        <v>0</v>
      </c>
      <c r="BV155" s="220">
        <f t="shared" ref="BV155" si="4865">SUM(BV153:BV154)</f>
        <v>0</v>
      </c>
      <c r="BW155" s="220">
        <f t="shared" ref="BW155" si="4866">SUM(BW153:BW154)</f>
        <v>0</v>
      </c>
      <c r="BX155" s="220">
        <f t="shared" ref="BX155" si="4867">SUM(BX153:BX154)</f>
        <v>0</v>
      </c>
      <c r="BY155" s="220">
        <f t="shared" ref="BY155" si="4868">SUM(BY153:BY154)</f>
        <v>0</v>
      </c>
      <c r="BZ155" s="220">
        <f t="shared" ref="BZ155" si="4869">SUM(BZ153:BZ154)</f>
        <v>0</v>
      </c>
      <c r="CA155" s="220">
        <f t="shared" ref="CA155" si="4870">SUM(CA153:CA154)</f>
        <v>0</v>
      </c>
      <c r="CB155" s="220">
        <f t="shared" ref="CB155" si="4871">SUM(CB153:CB154)</f>
        <v>0</v>
      </c>
      <c r="CC155" s="220">
        <f t="shared" ref="CC155" si="4872">SUM(CC153:CC154)</f>
        <v>0</v>
      </c>
      <c r="CD155" s="220">
        <f t="shared" ref="CD155" si="4873">SUM(CD153:CD154)</f>
        <v>0</v>
      </c>
      <c r="CE155" s="220">
        <f t="shared" ref="CE155" si="4874">SUM(CE153:CE154)</f>
        <v>0</v>
      </c>
      <c r="CF155" s="220">
        <f t="shared" ref="CF155" si="4875">SUM(CF153:CF154)</f>
        <v>0</v>
      </c>
      <c r="CG155" s="220">
        <f t="shared" ref="CG155" si="4876">SUM(CG153:CG154)</f>
        <v>0</v>
      </c>
      <c r="CH155" s="220">
        <f t="shared" ref="CH155" si="4877">SUM(CH153:CH154)</f>
        <v>0</v>
      </c>
      <c r="CI155" s="220">
        <f t="shared" ref="CI155" si="4878">SUM(CI153:CI154)</f>
        <v>0</v>
      </c>
      <c r="CJ155" s="220">
        <f t="shared" ref="CJ155" si="4879">SUM(CJ153:CJ154)</f>
        <v>0</v>
      </c>
      <c r="CK155" s="220">
        <f t="shared" ref="CK155" si="4880">SUM(CK153:CK154)</f>
        <v>0</v>
      </c>
      <c r="CL155" s="220">
        <f t="shared" ref="CL155" si="4881">SUM(CL153:CL154)</f>
        <v>0</v>
      </c>
      <c r="CM155" s="220">
        <f t="shared" ref="CM155" si="4882">SUM(CM153:CM154)</f>
        <v>0</v>
      </c>
      <c r="CN155" s="220">
        <f t="shared" ref="CN155" si="4883">SUM(CN153:CN154)</f>
        <v>0</v>
      </c>
      <c r="CO155" s="220">
        <f t="shared" ref="CO155" si="4884">SUM(CO153:CO154)</f>
        <v>0</v>
      </c>
      <c r="CP155" s="220">
        <f t="shared" ref="CP155" si="4885">SUM(CP153:CP154)</f>
        <v>0</v>
      </c>
      <c r="CQ155" s="220">
        <f t="shared" ref="CQ155" si="4886">SUM(CQ153:CQ154)</f>
        <v>0</v>
      </c>
      <c r="CR155" s="220">
        <f t="shared" ref="CR155" si="4887">SUM(CR153:CR154)</f>
        <v>0</v>
      </c>
      <c r="CS155" s="220">
        <f t="shared" ref="CS155" si="4888">SUM(CS153:CS154)</f>
        <v>0</v>
      </c>
      <c r="CT155" s="221">
        <f t="shared" ref="CT155" si="4889">SUM(CT153:CT154)</f>
        <v>0</v>
      </c>
      <c r="CU155" s="226"/>
      <c r="CV155" s="219">
        <f t="shared" ref="CV155" si="4890">SUM(CV153:CV154)</f>
        <v>0</v>
      </c>
      <c r="CW155" s="220">
        <f t="shared" ref="CW155" si="4891">SUM(CW153:CW154)</f>
        <v>0</v>
      </c>
      <c r="CX155" s="220">
        <f t="shared" ref="CX155" si="4892">SUM(CX153:CX154)</f>
        <v>0</v>
      </c>
      <c r="CY155" s="220">
        <f t="shared" ref="CY155" si="4893">SUM(CY153:CY154)</f>
        <v>0</v>
      </c>
      <c r="CZ155" s="222">
        <f t="shared" ref="CZ155" si="4894">SUM(CZ153:CZ154)</f>
        <v>0</v>
      </c>
    </row>
    <row r="156" spans="1:104" ht="15" customHeight="1" x14ac:dyDescent="0.25">
      <c r="A156" s="58" t="s">
        <v>480</v>
      </c>
      <c r="B156" s="53" t="s">
        <v>242</v>
      </c>
      <c r="C156" s="250"/>
      <c r="D156" s="245" t="s">
        <v>242</v>
      </c>
      <c r="E156" s="85" t="s">
        <v>132</v>
      </c>
      <c r="F156" s="55">
        <f>SUMIFS('CWO Bulan Ini'!$DA:$DA,'CWO Bulan Ini'!$DJ:$DJ,'Area-Cabang'!$B156,'CWO Bulan Ini'!$DH:$DH,'Area-Cabang'!$E156,'CWO Bulan Ini'!$CZ:$CZ,'Area-Cabang'!F$41)</f>
        <v>0</v>
      </c>
      <c r="G156" s="56">
        <f>SUMIFS('CWO Bulan Ini'!$DA:$DA,'CWO Bulan Ini'!$DJ:$DJ,'Area-Cabang'!$B156,'CWO Bulan Ini'!$DH:$DH,'Area-Cabang'!$E156,'CWO Bulan Ini'!$CZ:$CZ,'Area-Cabang'!G$41)</f>
        <v>0</v>
      </c>
      <c r="H156" s="56">
        <f>SUMIFS('CWO Bulan Ini'!$DA:$DA,'CWO Bulan Ini'!$DJ:$DJ,'Area-Cabang'!$B156,'CWO Bulan Ini'!$DH:$DH,'Area-Cabang'!$E156,'CWO Bulan Ini'!$CZ:$CZ,'Area-Cabang'!H$41)</f>
        <v>0</v>
      </c>
      <c r="I156" s="56">
        <f>SUMIFS('CWO Bulan Ini'!$DA:$DA,'CWO Bulan Ini'!$DJ:$DJ,'Area-Cabang'!$B156,'CWO Bulan Ini'!$DH:$DH,'Area-Cabang'!$E156,'CWO Bulan Ini'!$CZ:$CZ,'Area-Cabang'!I$41)</f>
        <v>253.41180994999999</v>
      </c>
      <c r="J156" s="56">
        <f>SUMIFS('CWO Bulan Ini'!$DA:$DA,'CWO Bulan Ini'!$DJ:$DJ,'Area-Cabang'!$B156,'CWO Bulan Ini'!$DH:$DH,'Area-Cabang'!$E156,'CWO Bulan Ini'!$CZ:$CZ,'Area-Cabang'!J$41)</f>
        <v>0</v>
      </c>
      <c r="K156" s="56">
        <f>SUMIFS('CWO Bulan Ini'!$DA:$DA,'CWO Bulan Ini'!$DJ:$DJ,'Area-Cabang'!$B156,'CWO Bulan Ini'!$DH:$DH,'Area-Cabang'!$E156,'CWO Bulan Ini'!$CZ:$CZ,'Area-Cabang'!K$41)</f>
        <v>0</v>
      </c>
      <c r="L156" s="56">
        <f>SUMIFS('CWO Bulan Ini'!$DA:$DA,'CWO Bulan Ini'!$DJ:$DJ,'Area-Cabang'!$B156,'CWO Bulan Ini'!$DH:$DH,'Area-Cabang'!$E156,'CWO Bulan Ini'!$CZ:$CZ,'Area-Cabang'!L$41)</f>
        <v>0</v>
      </c>
      <c r="M156" s="56">
        <f>SUMIFS('CWO Bulan Ini'!$DA:$DA,'CWO Bulan Ini'!$DJ:$DJ,'Area-Cabang'!$B156,'CWO Bulan Ini'!$DH:$DH,'Area-Cabang'!$E156,'CWO Bulan Ini'!$CZ:$CZ,'Area-Cabang'!M$41)</f>
        <v>0</v>
      </c>
      <c r="N156" s="56">
        <f>SUMIFS('CWO Bulan Ini'!$DA:$DA,'CWO Bulan Ini'!$DJ:$DJ,'Area-Cabang'!$B156,'CWO Bulan Ini'!$DH:$DH,'Area-Cabang'!$E156,'CWO Bulan Ini'!$CZ:$CZ,'Area-Cabang'!N$41)</f>
        <v>0</v>
      </c>
      <c r="O156" s="56">
        <f>SUMIFS('CWO Bulan Ini'!$DA:$DA,'CWO Bulan Ini'!$DJ:$DJ,'Area-Cabang'!$B156,'CWO Bulan Ini'!$DH:$DH,'Area-Cabang'!$E156,'CWO Bulan Ini'!$CZ:$CZ,'Area-Cabang'!O$41)</f>
        <v>0</v>
      </c>
      <c r="P156" s="56">
        <f>SUMIFS('CWO Bulan Ini'!$DA:$DA,'CWO Bulan Ini'!$DJ:$DJ,'Area-Cabang'!$B156,'CWO Bulan Ini'!$DH:$DH,'Area-Cabang'!$E156,'CWO Bulan Ini'!$CZ:$CZ,'Area-Cabang'!P$41)</f>
        <v>0</v>
      </c>
      <c r="Q156" s="56">
        <f>SUMIFS('CWO Bulan Ini'!$DA:$DA,'CWO Bulan Ini'!$DJ:$DJ,'Area-Cabang'!$B156,'CWO Bulan Ini'!$DH:$DH,'Area-Cabang'!$E156,'CWO Bulan Ini'!$CZ:$CZ,'Area-Cabang'!Q$41)</f>
        <v>0</v>
      </c>
      <c r="R156" s="56">
        <f>SUMIFS('CWO Bulan Ini'!$DA:$DA,'CWO Bulan Ini'!$DJ:$DJ,'Area-Cabang'!$B156,'CWO Bulan Ini'!$DH:$DH,'Area-Cabang'!$E156,'CWO Bulan Ini'!$CZ:$CZ,'Area-Cabang'!R$41)</f>
        <v>0</v>
      </c>
      <c r="S156" s="56">
        <f>SUMIFS('CWO Bulan Ini'!$DA:$DA,'CWO Bulan Ini'!$DJ:$DJ,'Area-Cabang'!$B156,'CWO Bulan Ini'!$DH:$DH,'Area-Cabang'!$E156,'CWO Bulan Ini'!$CZ:$CZ,'Area-Cabang'!S$41)</f>
        <v>0</v>
      </c>
      <c r="T156" s="56">
        <f>SUMIFS('CWO Bulan Ini'!$DA:$DA,'CWO Bulan Ini'!$DJ:$DJ,'Area-Cabang'!$B156,'CWO Bulan Ini'!$DH:$DH,'Area-Cabang'!$E156,'CWO Bulan Ini'!$CZ:$CZ,'Area-Cabang'!T$41)</f>
        <v>0</v>
      </c>
      <c r="U156" s="56">
        <f>SUMIFS('CWO Bulan Ini'!$DA:$DA,'CWO Bulan Ini'!$DJ:$DJ,'Area-Cabang'!$B156,'CWO Bulan Ini'!$DH:$DH,'Area-Cabang'!$E156,'CWO Bulan Ini'!$CZ:$CZ,'Area-Cabang'!U$41)</f>
        <v>0</v>
      </c>
      <c r="V156" s="56">
        <f>SUMIFS('CWO Bulan Ini'!$DA:$DA,'CWO Bulan Ini'!$DJ:$DJ,'Area-Cabang'!$B156,'CWO Bulan Ini'!$DH:$DH,'Area-Cabang'!$E156,'CWO Bulan Ini'!$CZ:$CZ,'Area-Cabang'!V$41)</f>
        <v>0</v>
      </c>
      <c r="W156" s="56">
        <f>SUMIFS('CWO Bulan Ini'!$DA:$DA,'CWO Bulan Ini'!$DJ:$DJ,'Area-Cabang'!$B156,'CWO Bulan Ini'!$DH:$DH,'Area-Cabang'!$E156,'CWO Bulan Ini'!$CZ:$CZ,'Area-Cabang'!W$41)</f>
        <v>0</v>
      </c>
      <c r="X156" s="56">
        <f>SUMIFS('CWO Bulan Ini'!$DA:$DA,'CWO Bulan Ini'!$DJ:$DJ,'Area-Cabang'!$B156,'CWO Bulan Ini'!$DH:$DH,'Area-Cabang'!$E156,'CWO Bulan Ini'!$CZ:$CZ,'Area-Cabang'!X$41)</f>
        <v>0</v>
      </c>
      <c r="Y156" s="56">
        <f>SUMIFS('CWO Bulan Ini'!$DA:$DA,'CWO Bulan Ini'!$DJ:$DJ,'Area-Cabang'!$B156,'CWO Bulan Ini'!$DH:$DH,'Area-Cabang'!$E156,'CWO Bulan Ini'!$CZ:$CZ,'Area-Cabang'!Y$41)</f>
        <v>0</v>
      </c>
      <c r="Z156" s="56">
        <f>SUMIFS('CWO Bulan Ini'!$DA:$DA,'CWO Bulan Ini'!$DJ:$DJ,'Area-Cabang'!$B156,'CWO Bulan Ini'!$DH:$DH,'Area-Cabang'!$E156,'CWO Bulan Ini'!$CZ:$CZ,'Area-Cabang'!Z$41)</f>
        <v>0</v>
      </c>
      <c r="AA156" s="56">
        <f>SUMIFS('CWO Bulan Ini'!$DA:$DA,'CWO Bulan Ini'!$DJ:$DJ,'Area-Cabang'!$B156,'CWO Bulan Ini'!$DH:$DH,'Area-Cabang'!$E156,'CWO Bulan Ini'!$CZ:$CZ,'Area-Cabang'!AA$41)</f>
        <v>0</v>
      </c>
      <c r="AB156" s="56">
        <f>SUMIFS('CWO Bulan Ini'!$DA:$DA,'CWO Bulan Ini'!$DJ:$DJ,'Area-Cabang'!$B156,'CWO Bulan Ini'!$DH:$DH,'Area-Cabang'!$E156,'CWO Bulan Ini'!$CZ:$CZ,'Area-Cabang'!AB$41)</f>
        <v>0</v>
      </c>
      <c r="AC156" s="56">
        <f>SUMIFS('CWO Bulan Ini'!$DA:$DA,'CWO Bulan Ini'!$DJ:$DJ,'Area-Cabang'!$B156,'CWO Bulan Ini'!$DH:$DH,'Area-Cabang'!$E156,'CWO Bulan Ini'!$CZ:$CZ,'Area-Cabang'!AC$41)</f>
        <v>0</v>
      </c>
      <c r="AD156" s="56">
        <f>SUMIFS('CWO Bulan Ini'!$DA:$DA,'CWO Bulan Ini'!$DJ:$DJ,'Area-Cabang'!$B156,'CWO Bulan Ini'!$DH:$DH,'Area-Cabang'!$E156,'CWO Bulan Ini'!$CZ:$CZ,'Area-Cabang'!AD$41)</f>
        <v>0</v>
      </c>
      <c r="AE156" s="56">
        <f>SUMIFS('CWO Bulan Ini'!$DA:$DA,'CWO Bulan Ini'!$DJ:$DJ,'Area-Cabang'!$B156,'CWO Bulan Ini'!$DH:$DH,'Area-Cabang'!$E156,'CWO Bulan Ini'!$CZ:$CZ,'Area-Cabang'!AE$41)</f>
        <v>0</v>
      </c>
      <c r="AF156" s="56">
        <f>SUMIFS('CWO Bulan Ini'!$DA:$DA,'CWO Bulan Ini'!$DJ:$DJ,'Area-Cabang'!$B156,'CWO Bulan Ini'!$DH:$DH,'Area-Cabang'!$E156,'CWO Bulan Ini'!$CZ:$CZ,'Area-Cabang'!AF$41)</f>
        <v>0</v>
      </c>
      <c r="AG156" s="56">
        <f>SUMIFS('CWO Bulan Ini'!$DA:$DA,'CWO Bulan Ini'!$DJ:$DJ,'Area-Cabang'!$B156,'CWO Bulan Ini'!$DH:$DH,'Area-Cabang'!$E156,'CWO Bulan Ini'!$CZ:$CZ,'Area-Cabang'!AG$41)</f>
        <v>0</v>
      </c>
      <c r="AH156" s="56">
        <f>SUMIFS('CWO Bulan Ini'!$DA:$DA,'CWO Bulan Ini'!$DJ:$DJ,'Area-Cabang'!$B156,'CWO Bulan Ini'!$DH:$DH,'Area-Cabang'!$E156,'CWO Bulan Ini'!$CZ:$CZ,'Area-Cabang'!AH$41)</f>
        <v>0</v>
      </c>
      <c r="AI156" s="56">
        <f>SUMIFS('CWO Bulan Ini'!$DA:$DA,'CWO Bulan Ini'!$DJ:$DJ,'Area-Cabang'!$B156,'CWO Bulan Ini'!$DH:$DH,'Area-Cabang'!$E156,'CWO Bulan Ini'!$CZ:$CZ,'Area-Cabang'!AI$41)</f>
        <v>0</v>
      </c>
      <c r="AJ156" s="56">
        <f>SUMIFS('CWO Bulan Ini'!$DA:$DA,'CWO Bulan Ini'!$DJ:$DJ,'Area-Cabang'!$B156,'CWO Bulan Ini'!$DH:$DH,'Area-Cabang'!$E156,'CWO Bulan Ini'!$CZ:$CZ,'Area-Cabang'!AJ$41)</f>
        <v>0</v>
      </c>
      <c r="AK156" s="55">
        <f>SUMIFS('CWO Bulan Ini'!$DD:$DD,'CWO Bulan Ini'!$DJ:$DJ,'Area-Cabang'!$B156,'CWO Bulan Ini'!$DH:$DH,'Area-Cabang'!$E156,'CWO Bulan Ini'!$CZ:$CZ,'Area-Cabang'!AK$41)</f>
        <v>0</v>
      </c>
      <c r="AL156" s="56">
        <f>SUMIFS('CWO Bulan Ini'!$DD:$DD,'CWO Bulan Ini'!$DJ:$DJ,'Area-Cabang'!$B156,'CWO Bulan Ini'!$DH:$DH,'Area-Cabang'!$E156,'CWO Bulan Ini'!$CZ:$CZ,'Area-Cabang'!AL$41)</f>
        <v>0</v>
      </c>
      <c r="AM156" s="56">
        <f>SUMIFS('CWO Bulan Ini'!$DD:$DD,'CWO Bulan Ini'!$DJ:$DJ,'Area-Cabang'!$B156,'CWO Bulan Ini'!$DH:$DH,'Area-Cabang'!$E156,'CWO Bulan Ini'!$CZ:$CZ,'Area-Cabang'!AM$41)</f>
        <v>0</v>
      </c>
      <c r="AN156" s="56">
        <f>SUMIFS('CWO Bulan Ini'!$DD:$DD,'CWO Bulan Ini'!$DJ:$DJ,'Area-Cabang'!$B156,'CWO Bulan Ini'!$DH:$DH,'Area-Cabang'!$E156,'CWO Bulan Ini'!$CZ:$CZ,'Area-Cabang'!AN$41)</f>
        <v>253.41180994999999</v>
      </c>
      <c r="AO156" s="56">
        <f>SUMIFS('CWO Bulan Ini'!$DD:$DD,'CWO Bulan Ini'!$DJ:$DJ,'Area-Cabang'!$B156,'CWO Bulan Ini'!$DH:$DH,'Area-Cabang'!$E156,'CWO Bulan Ini'!$CZ:$CZ,'Area-Cabang'!AO$41)</f>
        <v>0</v>
      </c>
      <c r="AP156" s="56">
        <f>SUMIFS('CWO Bulan Ini'!$DD:$DD,'CWO Bulan Ini'!$DJ:$DJ,'Area-Cabang'!$B156,'CWO Bulan Ini'!$DH:$DH,'Area-Cabang'!$E156,'CWO Bulan Ini'!$CZ:$CZ,'Area-Cabang'!AP$41)</f>
        <v>0</v>
      </c>
      <c r="AQ156" s="56">
        <f>SUMIFS('CWO Bulan Ini'!$DD:$DD,'CWO Bulan Ini'!$DJ:$DJ,'Area-Cabang'!$B156,'CWO Bulan Ini'!$DH:$DH,'Area-Cabang'!$E156,'CWO Bulan Ini'!$CZ:$CZ,'Area-Cabang'!AQ$41)</f>
        <v>0</v>
      </c>
      <c r="AR156" s="56">
        <f>SUMIFS('CWO Bulan Ini'!$DD:$DD,'CWO Bulan Ini'!$DJ:$DJ,'Area-Cabang'!$B156,'CWO Bulan Ini'!$DH:$DH,'Area-Cabang'!$E156,'CWO Bulan Ini'!$CZ:$CZ,'Area-Cabang'!AR$41)</f>
        <v>0</v>
      </c>
      <c r="AS156" s="56">
        <f>SUMIFS('CWO Bulan Ini'!$DD:$DD,'CWO Bulan Ini'!$DJ:$DJ,'Area-Cabang'!$B156,'CWO Bulan Ini'!$DH:$DH,'Area-Cabang'!$E156,'CWO Bulan Ini'!$CZ:$CZ,'Area-Cabang'!AS$41)</f>
        <v>0</v>
      </c>
      <c r="AT156" s="56">
        <f>SUMIFS('CWO Bulan Ini'!$DD:$DD,'CWO Bulan Ini'!$DJ:$DJ,'Area-Cabang'!$B156,'CWO Bulan Ini'!$DH:$DH,'Area-Cabang'!$E156,'CWO Bulan Ini'!$CZ:$CZ,'Area-Cabang'!AT$41)</f>
        <v>0</v>
      </c>
      <c r="AU156" s="56">
        <f>SUMIFS('CWO Bulan Ini'!$DD:$DD,'CWO Bulan Ini'!$DJ:$DJ,'Area-Cabang'!$B156,'CWO Bulan Ini'!$DH:$DH,'Area-Cabang'!$E156,'CWO Bulan Ini'!$CZ:$CZ,'Area-Cabang'!AU$41)</f>
        <v>0</v>
      </c>
      <c r="AV156" s="56">
        <f>SUMIFS('CWO Bulan Ini'!$DD:$DD,'CWO Bulan Ini'!$DJ:$DJ,'Area-Cabang'!$B156,'CWO Bulan Ini'!$DH:$DH,'Area-Cabang'!$E156,'CWO Bulan Ini'!$CZ:$CZ,'Area-Cabang'!AV$41)</f>
        <v>0</v>
      </c>
      <c r="AW156" s="56">
        <f>SUMIFS('CWO Bulan Ini'!$DD:$DD,'CWO Bulan Ini'!$DJ:$DJ,'Area-Cabang'!$B156,'CWO Bulan Ini'!$DH:$DH,'Area-Cabang'!$E156,'CWO Bulan Ini'!$CZ:$CZ,'Area-Cabang'!AW$41)</f>
        <v>0</v>
      </c>
      <c r="AX156" s="56">
        <f>SUMIFS('CWO Bulan Ini'!$DD:$DD,'CWO Bulan Ini'!$DJ:$DJ,'Area-Cabang'!$B156,'CWO Bulan Ini'!$DH:$DH,'Area-Cabang'!$E156,'CWO Bulan Ini'!$CZ:$CZ,'Area-Cabang'!AX$41)</f>
        <v>0</v>
      </c>
      <c r="AY156" s="56">
        <f>SUMIFS('CWO Bulan Ini'!$DD:$DD,'CWO Bulan Ini'!$DJ:$DJ,'Area-Cabang'!$B156,'CWO Bulan Ini'!$DH:$DH,'Area-Cabang'!$E156,'CWO Bulan Ini'!$CZ:$CZ,'Area-Cabang'!AY$41)</f>
        <v>0</v>
      </c>
      <c r="AZ156" s="56">
        <f>SUMIFS('CWO Bulan Ini'!$DD:$DD,'CWO Bulan Ini'!$DJ:$DJ,'Area-Cabang'!$B156,'CWO Bulan Ini'!$DH:$DH,'Area-Cabang'!$E156,'CWO Bulan Ini'!$CZ:$CZ,'Area-Cabang'!AZ$41)</f>
        <v>0</v>
      </c>
      <c r="BA156" s="56">
        <f>SUMIFS('CWO Bulan Ini'!$DD:$DD,'CWO Bulan Ini'!$DJ:$DJ,'Area-Cabang'!$B156,'CWO Bulan Ini'!$DH:$DH,'Area-Cabang'!$E156,'CWO Bulan Ini'!$CZ:$CZ,'Area-Cabang'!BA$41)</f>
        <v>0</v>
      </c>
      <c r="BB156" s="56">
        <f>SUMIFS('CWO Bulan Ini'!$DD:$DD,'CWO Bulan Ini'!$DJ:$DJ,'Area-Cabang'!$B156,'CWO Bulan Ini'!$DH:$DH,'Area-Cabang'!$E156,'CWO Bulan Ini'!$CZ:$CZ,'Area-Cabang'!BB$41)</f>
        <v>0</v>
      </c>
      <c r="BC156" s="56">
        <f>SUMIFS('CWO Bulan Ini'!$DD:$DD,'CWO Bulan Ini'!$DJ:$DJ,'Area-Cabang'!$B156,'CWO Bulan Ini'!$DH:$DH,'Area-Cabang'!$E156,'CWO Bulan Ini'!$CZ:$CZ,'Area-Cabang'!BC$41)</f>
        <v>0</v>
      </c>
      <c r="BD156" s="56">
        <f>SUMIFS('CWO Bulan Ini'!$DD:$DD,'CWO Bulan Ini'!$DJ:$DJ,'Area-Cabang'!$B156,'CWO Bulan Ini'!$DH:$DH,'Area-Cabang'!$E156,'CWO Bulan Ini'!$CZ:$CZ,'Area-Cabang'!BD$41)</f>
        <v>0</v>
      </c>
      <c r="BE156" s="56">
        <f>SUMIFS('CWO Bulan Ini'!$DD:$DD,'CWO Bulan Ini'!$DJ:$DJ,'Area-Cabang'!$B156,'CWO Bulan Ini'!$DH:$DH,'Area-Cabang'!$E156,'CWO Bulan Ini'!$CZ:$CZ,'Area-Cabang'!BE$41)</f>
        <v>0</v>
      </c>
      <c r="BF156" s="56">
        <f>SUMIFS('CWO Bulan Ini'!$DD:$DD,'CWO Bulan Ini'!$DJ:$DJ,'Area-Cabang'!$B156,'CWO Bulan Ini'!$DH:$DH,'Area-Cabang'!$E156,'CWO Bulan Ini'!$CZ:$CZ,'Area-Cabang'!BF$41)</f>
        <v>0</v>
      </c>
      <c r="BG156" s="56">
        <f>SUMIFS('CWO Bulan Ini'!$DD:$DD,'CWO Bulan Ini'!$DJ:$DJ,'Area-Cabang'!$B156,'CWO Bulan Ini'!$DH:$DH,'Area-Cabang'!$E156,'CWO Bulan Ini'!$CZ:$CZ,'Area-Cabang'!BG$41)</f>
        <v>0</v>
      </c>
      <c r="BH156" s="56">
        <f>SUMIFS('CWO Bulan Ini'!$DD:$DD,'CWO Bulan Ini'!$DJ:$DJ,'Area-Cabang'!$B156,'CWO Bulan Ini'!$DH:$DH,'Area-Cabang'!$E156,'CWO Bulan Ini'!$CZ:$CZ,'Area-Cabang'!BH$41)</f>
        <v>0</v>
      </c>
      <c r="BI156" s="56">
        <f>SUMIFS('CWO Bulan Ini'!$DD:$DD,'CWO Bulan Ini'!$DJ:$DJ,'Area-Cabang'!$B156,'CWO Bulan Ini'!$DH:$DH,'Area-Cabang'!$E156,'CWO Bulan Ini'!$CZ:$CZ,'Area-Cabang'!BI$41)</f>
        <v>0</v>
      </c>
      <c r="BJ156" s="56">
        <f>SUMIFS('CWO Bulan Ini'!$DD:$DD,'CWO Bulan Ini'!$DJ:$DJ,'Area-Cabang'!$B156,'CWO Bulan Ini'!$DH:$DH,'Area-Cabang'!$E156,'CWO Bulan Ini'!$CZ:$CZ,'Area-Cabang'!BJ$41)</f>
        <v>0</v>
      </c>
      <c r="BK156" s="56">
        <f>SUMIFS('CWO Bulan Ini'!$DD:$DD,'CWO Bulan Ini'!$DJ:$DJ,'Area-Cabang'!$B156,'CWO Bulan Ini'!$DH:$DH,'Area-Cabang'!$E156,'CWO Bulan Ini'!$CZ:$CZ,'Area-Cabang'!BK$41)</f>
        <v>0</v>
      </c>
      <c r="BL156" s="56">
        <f>SUMIFS('CWO Bulan Ini'!$DD:$DD,'CWO Bulan Ini'!$DJ:$DJ,'Area-Cabang'!$B156,'CWO Bulan Ini'!$DH:$DH,'Area-Cabang'!$E156,'CWO Bulan Ini'!$CZ:$CZ,'Area-Cabang'!BL$41)</f>
        <v>0</v>
      </c>
      <c r="BM156" s="56">
        <f>SUMIFS('CWO Bulan Ini'!$DD:$DD,'CWO Bulan Ini'!$DJ:$DJ,'Area-Cabang'!$B156,'CWO Bulan Ini'!$DH:$DH,'Area-Cabang'!$E156,'CWO Bulan Ini'!$CZ:$CZ,'Area-Cabang'!BM$41)</f>
        <v>0</v>
      </c>
      <c r="BN156" s="56">
        <f>SUMIFS('CWO Bulan Ini'!$DD:$DD,'CWO Bulan Ini'!$DJ:$DJ,'Area-Cabang'!$B156,'CWO Bulan Ini'!$DH:$DH,'Area-Cabang'!$E156,'CWO Bulan Ini'!$CZ:$CZ,'Area-Cabang'!BN$41)</f>
        <v>0</v>
      </c>
      <c r="BO156" s="57">
        <f>SUMIFS('CWO Bulan Ini'!$DD:$DD,'CWO Bulan Ini'!$DJ:$DJ,'Area-Cabang'!$B156,'CWO Bulan Ini'!$DH:$DH,'Area-Cabang'!$E156,'CWO Bulan Ini'!$CZ:$CZ,'Area-Cabang'!BO$41)</f>
        <v>0</v>
      </c>
      <c r="BP156" s="55">
        <f>SUMIFS('CWO Bulan Ini'!$DC:$DC,'CWO Bulan Ini'!$DJ:$DJ,'Area-Cabang'!$B156,'CWO Bulan Ini'!$DH:$DH,'Area-Cabang'!$E156,'CWO Bulan Ini'!$CZ:$CZ,'Area-Cabang'!BP$41)</f>
        <v>0</v>
      </c>
      <c r="BQ156" s="56">
        <f>SUMIFS('CWO Bulan Ini'!$DC:$DC,'CWO Bulan Ini'!$DJ:$DJ,'Area-Cabang'!$B156,'CWO Bulan Ini'!$DH:$DH,'Area-Cabang'!$E156,'CWO Bulan Ini'!$CZ:$CZ,'Area-Cabang'!BQ$41)</f>
        <v>0</v>
      </c>
      <c r="BR156" s="56">
        <f>SUMIFS('CWO Bulan Ini'!$DC:$DC,'CWO Bulan Ini'!$DJ:$DJ,'Area-Cabang'!$B156,'CWO Bulan Ini'!$DH:$DH,'Area-Cabang'!$E156,'CWO Bulan Ini'!$CZ:$CZ,'Area-Cabang'!BR$41)</f>
        <v>0</v>
      </c>
      <c r="BS156" s="56">
        <f>SUMIFS('CWO Bulan Ini'!$DC:$DC,'CWO Bulan Ini'!$DJ:$DJ,'Area-Cabang'!$B156,'CWO Bulan Ini'!$DH:$DH,'Area-Cabang'!$E156,'CWO Bulan Ini'!$CZ:$CZ,'Area-Cabang'!BS$41)</f>
        <v>0</v>
      </c>
      <c r="BT156" s="56">
        <f>SUMIFS('CWO Bulan Ini'!$DC:$DC,'CWO Bulan Ini'!$DJ:$DJ,'Area-Cabang'!$B156,'CWO Bulan Ini'!$DH:$DH,'Area-Cabang'!$E156,'CWO Bulan Ini'!$CZ:$CZ,'Area-Cabang'!BT$41)</f>
        <v>0</v>
      </c>
      <c r="BU156" s="56">
        <f>SUMIFS('CWO Bulan Ini'!$DC:$DC,'CWO Bulan Ini'!$DJ:$DJ,'Area-Cabang'!$B156,'CWO Bulan Ini'!$DH:$DH,'Area-Cabang'!$E156,'CWO Bulan Ini'!$CZ:$CZ,'Area-Cabang'!BU$41)</f>
        <v>0</v>
      </c>
      <c r="BV156" s="56">
        <f>SUMIFS('CWO Bulan Ini'!$DC:$DC,'CWO Bulan Ini'!$DJ:$DJ,'Area-Cabang'!$B156,'CWO Bulan Ini'!$DH:$DH,'Area-Cabang'!$E156,'CWO Bulan Ini'!$CZ:$CZ,'Area-Cabang'!BV$41)</f>
        <v>0</v>
      </c>
      <c r="BW156" s="56">
        <f>SUMIFS('CWO Bulan Ini'!$DC:$DC,'CWO Bulan Ini'!$DJ:$DJ,'Area-Cabang'!$B156,'CWO Bulan Ini'!$DH:$DH,'Area-Cabang'!$E156,'CWO Bulan Ini'!$CZ:$CZ,'Area-Cabang'!BW$41)</f>
        <v>0</v>
      </c>
      <c r="BX156" s="56">
        <f>SUMIFS('CWO Bulan Ini'!$DC:$DC,'CWO Bulan Ini'!$DJ:$DJ,'Area-Cabang'!$B156,'CWO Bulan Ini'!$DH:$DH,'Area-Cabang'!$E156,'CWO Bulan Ini'!$CZ:$CZ,'Area-Cabang'!BX$41)</f>
        <v>0</v>
      </c>
      <c r="BY156" s="56">
        <f>SUMIFS('CWO Bulan Ini'!$DC:$DC,'CWO Bulan Ini'!$DJ:$DJ,'Area-Cabang'!$B156,'CWO Bulan Ini'!$DH:$DH,'Area-Cabang'!$E156,'CWO Bulan Ini'!$CZ:$CZ,'Area-Cabang'!BY$41)</f>
        <v>0</v>
      </c>
      <c r="BZ156" s="56">
        <f>SUMIFS('CWO Bulan Ini'!$DC:$DC,'CWO Bulan Ini'!$DJ:$DJ,'Area-Cabang'!$B156,'CWO Bulan Ini'!$DH:$DH,'Area-Cabang'!$E156,'CWO Bulan Ini'!$CZ:$CZ,'Area-Cabang'!BZ$41)</f>
        <v>0</v>
      </c>
      <c r="CA156" s="56">
        <f>SUMIFS('CWO Bulan Ini'!$DC:$DC,'CWO Bulan Ini'!$DJ:$DJ,'Area-Cabang'!$B156,'CWO Bulan Ini'!$DH:$DH,'Area-Cabang'!$E156,'CWO Bulan Ini'!$CZ:$CZ,'Area-Cabang'!CA$41)</f>
        <v>0</v>
      </c>
      <c r="CB156" s="56">
        <f>SUMIFS('CWO Bulan Ini'!$DC:$DC,'CWO Bulan Ini'!$DJ:$DJ,'Area-Cabang'!$B156,'CWO Bulan Ini'!$DH:$DH,'Area-Cabang'!$E156,'CWO Bulan Ini'!$CZ:$CZ,'Area-Cabang'!CB$41)</f>
        <v>0</v>
      </c>
      <c r="CC156" s="56">
        <f>SUMIFS('CWO Bulan Ini'!$DC:$DC,'CWO Bulan Ini'!$DJ:$DJ,'Area-Cabang'!$B156,'CWO Bulan Ini'!$DH:$DH,'Area-Cabang'!$E156,'CWO Bulan Ini'!$CZ:$CZ,'Area-Cabang'!CC$41)</f>
        <v>0</v>
      </c>
      <c r="CD156" s="56">
        <f>SUMIFS('CWO Bulan Ini'!$DC:$DC,'CWO Bulan Ini'!$DJ:$DJ,'Area-Cabang'!$B156,'CWO Bulan Ini'!$DH:$DH,'Area-Cabang'!$E156,'CWO Bulan Ini'!$CZ:$CZ,'Area-Cabang'!CD$41)</f>
        <v>0</v>
      </c>
      <c r="CE156" s="56">
        <f>SUMIFS('CWO Bulan Ini'!$DC:$DC,'CWO Bulan Ini'!$DJ:$DJ,'Area-Cabang'!$B156,'CWO Bulan Ini'!$DH:$DH,'Area-Cabang'!$E156,'CWO Bulan Ini'!$CZ:$CZ,'Area-Cabang'!CE$41)</f>
        <v>0</v>
      </c>
      <c r="CF156" s="56">
        <f>SUMIFS('CWO Bulan Ini'!$DC:$DC,'CWO Bulan Ini'!$DJ:$DJ,'Area-Cabang'!$B156,'CWO Bulan Ini'!$DH:$DH,'Area-Cabang'!$E156,'CWO Bulan Ini'!$CZ:$CZ,'Area-Cabang'!CF$41)</f>
        <v>0</v>
      </c>
      <c r="CG156" s="56">
        <f>SUMIFS('CWO Bulan Ini'!$DC:$DC,'CWO Bulan Ini'!$DJ:$DJ,'Area-Cabang'!$B156,'CWO Bulan Ini'!$DH:$DH,'Area-Cabang'!$E156,'CWO Bulan Ini'!$CZ:$CZ,'Area-Cabang'!CG$41)</f>
        <v>0</v>
      </c>
      <c r="CH156" s="56">
        <f>SUMIFS('CWO Bulan Ini'!$DC:$DC,'CWO Bulan Ini'!$DJ:$DJ,'Area-Cabang'!$B156,'CWO Bulan Ini'!$DH:$DH,'Area-Cabang'!$E156,'CWO Bulan Ini'!$CZ:$CZ,'Area-Cabang'!CH$41)</f>
        <v>0</v>
      </c>
      <c r="CI156" s="56">
        <f>SUMIFS('CWO Bulan Ini'!$DC:$DC,'CWO Bulan Ini'!$DJ:$DJ,'Area-Cabang'!$B156,'CWO Bulan Ini'!$DH:$DH,'Area-Cabang'!$E156,'CWO Bulan Ini'!$CZ:$CZ,'Area-Cabang'!CI$41)</f>
        <v>0</v>
      </c>
      <c r="CJ156" s="56">
        <f>SUMIFS('CWO Bulan Ini'!$DC:$DC,'CWO Bulan Ini'!$DJ:$DJ,'Area-Cabang'!$B156,'CWO Bulan Ini'!$DH:$DH,'Area-Cabang'!$E156,'CWO Bulan Ini'!$CZ:$CZ,'Area-Cabang'!CJ$41)</f>
        <v>0</v>
      </c>
      <c r="CK156" s="56">
        <f>SUMIFS('CWO Bulan Ini'!$DC:$DC,'CWO Bulan Ini'!$DJ:$DJ,'Area-Cabang'!$B156,'CWO Bulan Ini'!$DH:$DH,'Area-Cabang'!$E156,'CWO Bulan Ini'!$CZ:$CZ,'Area-Cabang'!CK$41)</f>
        <v>0</v>
      </c>
      <c r="CL156" s="56">
        <f>SUMIFS('CWO Bulan Ini'!$DC:$DC,'CWO Bulan Ini'!$DJ:$DJ,'Area-Cabang'!$B156,'CWO Bulan Ini'!$DH:$DH,'Area-Cabang'!$E156,'CWO Bulan Ini'!$CZ:$CZ,'Area-Cabang'!CL$41)</f>
        <v>0</v>
      </c>
      <c r="CM156" s="56">
        <f>SUMIFS('CWO Bulan Ini'!$DC:$DC,'CWO Bulan Ini'!$DJ:$DJ,'Area-Cabang'!$B156,'CWO Bulan Ini'!$DH:$DH,'Area-Cabang'!$E156,'CWO Bulan Ini'!$CZ:$CZ,'Area-Cabang'!CM$41)</f>
        <v>0</v>
      </c>
      <c r="CN156" s="56">
        <f>SUMIFS('CWO Bulan Ini'!$DC:$DC,'CWO Bulan Ini'!$DJ:$DJ,'Area-Cabang'!$B156,'CWO Bulan Ini'!$DH:$DH,'Area-Cabang'!$E156,'CWO Bulan Ini'!$CZ:$CZ,'Area-Cabang'!CN$41)</f>
        <v>0</v>
      </c>
      <c r="CO156" s="56">
        <f>SUMIFS('CWO Bulan Ini'!$DC:$DC,'CWO Bulan Ini'!$DJ:$DJ,'Area-Cabang'!$B156,'CWO Bulan Ini'!$DH:$DH,'Area-Cabang'!$E156,'CWO Bulan Ini'!$CZ:$CZ,'Area-Cabang'!CO$41)</f>
        <v>0</v>
      </c>
      <c r="CP156" s="56">
        <f>SUMIFS('CWO Bulan Ini'!$DC:$DC,'CWO Bulan Ini'!$DJ:$DJ,'Area-Cabang'!$B156,'CWO Bulan Ini'!$DH:$DH,'Area-Cabang'!$E156,'CWO Bulan Ini'!$CZ:$CZ,'Area-Cabang'!CP$41)</f>
        <v>0</v>
      </c>
      <c r="CQ156" s="56">
        <f>SUMIFS('CWO Bulan Ini'!$DC:$DC,'CWO Bulan Ini'!$DJ:$DJ,'Area-Cabang'!$B156,'CWO Bulan Ini'!$DH:$DH,'Area-Cabang'!$E156,'CWO Bulan Ini'!$CZ:$CZ,'Area-Cabang'!CQ$41)</f>
        <v>0</v>
      </c>
      <c r="CR156" s="56">
        <f>SUMIFS('CWO Bulan Ini'!$DC:$DC,'CWO Bulan Ini'!$DJ:$DJ,'Area-Cabang'!$B156,'CWO Bulan Ini'!$DH:$DH,'Area-Cabang'!$E156,'CWO Bulan Ini'!$CZ:$CZ,'Area-Cabang'!CR$41)</f>
        <v>0</v>
      </c>
      <c r="CS156" s="56">
        <f>SUMIFS('CWO Bulan Ini'!$DC:$DC,'CWO Bulan Ini'!$DJ:$DJ,'Area-Cabang'!$B156,'CWO Bulan Ini'!$DH:$DH,'Area-Cabang'!$E156,'CWO Bulan Ini'!$CZ:$CZ,'Area-Cabang'!CS$41)</f>
        <v>0</v>
      </c>
      <c r="CT156" s="57">
        <f>SUMIFS('CWO Bulan Ini'!$DC:$DC,'CWO Bulan Ini'!$DJ:$DJ,'Area-Cabang'!$B156,'CWO Bulan Ini'!$DH:$DH,'Area-Cabang'!$E156,'CWO Bulan Ini'!$CZ:$CZ,'Area-Cabang'!CT$41)</f>
        <v>0</v>
      </c>
      <c r="CV156" s="97">
        <f t="shared" ref="CV156:CV157" si="4895">SUM(F156:AJ156)</f>
        <v>253.41180994999999</v>
      </c>
      <c r="CW156" s="98">
        <f t="shared" ref="CW156:CW157" si="4896">SUM(AK156:BO156)</f>
        <v>253.41180994999999</v>
      </c>
      <c r="CX156" s="98">
        <f t="shared" ref="CX156:CX157" si="4897">SUM(BP156:CT156)</f>
        <v>0</v>
      </c>
      <c r="CY156" s="98">
        <f t="shared" ref="CY156:CY157" si="4898">CV156-CW156-CX156</f>
        <v>0</v>
      </c>
      <c r="CZ156" s="105">
        <f t="shared" ref="CZ156:CZ157" si="4899">CY156+CW156</f>
        <v>253.41180994999999</v>
      </c>
    </row>
    <row r="157" spans="1:104" ht="15" customHeight="1" x14ac:dyDescent="0.25">
      <c r="A157" s="58" t="s">
        <v>480</v>
      </c>
      <c r="B157" s="58" t="s">
        <v>242</v>
      </c>
      <c r="C157" s="250"/>
      <c r="D157" s="244"/>
      <c r="E157" s="40" t="s">
        <v>349</v>
      </c>
      <c r="F157" s="41">
        <f>SUMIFS('CWO Bulan Ini'!$DA:$DA,'CWO Bulan Ini'!$DJ:$DJ,'Area-Cabang'!$B157,'CWO Bulan Ini'!$DH:$DH,'Area-Cabang'!$E157,'CWO Bulan Ini'!$CZ:$CZ,'Area-Cabang'!F$41)</f>
        <v>0</v>
      </c>
      <c r="G157" s="42">
        <f>SUMIFS('CWO Bulan Ini'!$DA:$DA,'CWO Bulan Ini'!$DJ:$DJ,'Area-Cabang'!$B157,'CWO Bulan Ini'!$DH:$DH,'Area-Cabang'!$E157,'CWO Bulan Ini'!$CZ:$CZ,'Area-Cabang'!G$41)</f>
        <v>0</v>
      </c>
      <c r="H157" s="42">
        <f>SUMIFS('CWO Bulan Ini'!$DA:$DA,'CWO Bulan Ini'!$DJ:$DJ,'Area-Cabang'!$B157,'CWO Bulan Ini'!$DH:$DH,'Area-Cabang'!$E157,'CWO Bulan Ini'!$CZ:$CZ,'Area-Cabang'!H$41)</f>
        <v>0</v>
      </c>
      <c r="I157" s="42">
        <f>SUMIFS('CWO Bulan Ini'!$DA:$DA,'CWO Bulan Ini'!$DJ:$DJ,'Area-Cabang'!$B157,'CWO Bulan Ini'!$DH:$DH,'Area-Cabang'!$E157,'CWO Bulan Ini'!$CZ:$CZ,'Area-Cabang'!I$41)</f>
        <v>0</v>
      </c>
      <c r="J157" s="42">
        <f>SUMIFS('CWO Bulan Ini'!$DA:$DA,'CWO Bulan Ini'!$DJ:$DJ,'Area-Cabang'!$B157,'CWO Bulan Ini'!$DH:$DH,'Area-Cabang'!$E157,'CWO Bulan Ini'!$CZ:$CZ,'Area-Cabang'!J$41)</f>
        <v>0</v>
      </c>
      <c r="K157" s="42">
        <f>SUMIFS('CWO Bulan Ini'!$DA:$DA,'CWO Bulan Ini'!$DJ:$DJ,'Area-Cabang'!$B157,'CWO Bulan Ini'!$DH:$DH,'Area-Cabang'!$E157,'CWO Bulan Ini'!$CZ:$CZ,'Area-Cabang'!K$41)</f>
        <v>0</v>
      </c>
      <c r="L157" s="42">
        <f>SUMIFS('CWO Bulan Ini'!$DA:$DA,'CWO Bulan Ini'!$DJ:$DJ,'Area-Cabang'!$B157,'CWO Bulan Ini'!$DH:$DH,'Area-Cabang'!$E157,'CWO Bulan Ini'!$CZ:$CZ,'Area-Cabang'!L$41)</f>
        <v>0</v>
      </c>
      <c r="M157" s="42">
        <f>SUMIFS('CWO Bulan Ini'!$DA:$DA,'CWO Bulan Ini'!$DJ:$DJ,'Area-Cabang'!$B157,'CWO Bulan Ini'!$DH:$DH,'Area-Cabang'!$E157,'CWO Bulan Ini'!$CZ:$CZ,'Area-Cabang'!M$41)</f>
        <v>0</v>
      </c>
      <c r="N157" s="42">
        <f>SUMIFS('CWO Bulan Ini'!$DA:$DA,'CWO Bulan Ini'!$DJ:$DJ,'Area-Cabang'!$B157,'CWO Bulan Ini'!$DH:$DH,'Area-Cabang'!$E157,'CWO Bulan Ini'!$CZ:$CZ,'Area-Cabang'!N$41)</f>
        <v>0</v>
      </c>
      <c r="O157" s="42">
        <f>SUMIFS('CWO Bulan Ini'!$DA:$DA,'CWO Bulan Ini'!$DJ:$DJ,'Area-Cabang'!$B157,'CWO Bulan Ini'!$DH:$DH,'Area-Cabang'!$E157,'CWO Bulan Ini'!$CZ:$CZ,'Area-Cabang'!O$41)</f>
        <v>0</v>
      </c>
      <c r="P157" s="42">
        <f>SUMIFS('CWO Bulan Ini'!$DA:$DA,'CWO Bulan Ini'!$DJ:$DJ,'Area-Cabang'!$B157,'CWO Bulan Ini'!$DH:$DH,'Area-Cabang'!$E157,'CWO Bulan Ini'!$CZ:$CZ,'Area-Cabang'!P$41)</f>
        <v>0</v>
      </c>
      <c r="Q157" s="42">
        <f>SUMIFS('CWO Bulan Ini'!$DA:$DA,'CWO Bulan Ini'!$DJ:$DJ,'Area-Cabang'!$B157,'CWO Bulan Ini'!$DH:$DH,'Area-Cabang'!$E157,'CWO Bulan Ini'!$CZ:$CZ,'Area-Cabang'!Q$41)</f>
        <v>0</v>
      </c>
      <c r="R157" s="42">
        <f>SUMIFS('CWO Bulan Ini'!$DA:$DA,'CWO Bulan Ini'!$DJ:$DJ,'Area-Cabang'!$B157,'CWO Bulan Ini'!$DH:$DH,'Area-Cabang'!$E157,'CWO Bulan Ini'!$CZ:$CZ,'Area-Cabang'!R$41)</f>
        <v>0</v>
      </c>
      <c r="S157" s="42">
        <f>SUMIFS('CWO Bulan Ini'!$DA:$DA,'CWO Bulan Ini'!$DJ:$DJ,'Area-Cabang'!$B157,'CWO Bulan Ini'!$DH:$DH,'Area-Cabang'!$E157,'CWO Bulan Ini'!$CZ:$CZ,'Area-Cabang'!S$41)</f>
        <v>0</v>
      </c>
      <c r="T157" s="42">
        <f>SUMIFS('CWO Bulan Ini'!$DA:$DA,'CWO Bulan Ini'!$DJ:$DJ,'Area-Cabang'!$B157,'CWO Bulan Ini'!$DH:$DH,'Area-Cabang'!$E157,'CWO Bulan Ini'!$CZ:$CZ,'Area-Cabang'!T$41)</f>
        <v>0</v>
      </c>
      <c r="U157" s="42">
        <f>SUMIFS('CWO Bulan Ini'!$DA:$DA,'CWO Bulan Ini'!$DJ:$DJ,'Area-Cabang'!$B157,'CWO Bulan Ini'!$DH:$DH,'Area-Cabang'!$E157,'CWO Bulan Ini'!$CZ:$CZ,'Area-Cabang'!U$41)</f>
        <v>0</v>
      </c>
      <c r="V157" s="42">
        <f>SUMIFS('CWO Bulan Ini'!$DA:$DA,'CWO Bulan Ini'!$DJ:$DJ,'Area-Cabang'!$B157,'CWO Bulan Ini'!$DH:$DH,'Area-Cabang'!$E157,'CWO Bulan Ini'!$CZ:$CZ,'Area-Cabang'!V$41)</f>
        <v>0</v>
      </c>
      <c r="W157" s="42">
        <f>SUMIFS('CWO Bulan Ini'!$DA:$DA,'CWO Bulan Ini'!$DJ:$DJ,'Area-Cabang'!$B157,'CWO Bulan Ini'!$DH:$DH,'Area-Cabang'!$E157,'CWO Bulan Ini'!$CZ:$CZ,'Area-Cabang'!W$41)</f>
        <v>0</v>
      </c>
      <c r="X157" s="42">
        <f>SUMIFS('CWO Bulan Ini'!$DA:$DA,'CWO Bulan Ini'!$DJ:$DJ,'Area-Cabang'!$B157,'CWO Bulan Ini'!$DH:$DH,'Area-Cabang'!$E157,'CWO Bulan Ini'!$CZ:$CZ,'Area-Cabang'!X$41)</f>
        <v>0</v>
      </c>
      <c r="Y157" s="42">
        <f>SUMIFS('CWO Bulan Ini'!$DA:$DA,'CWO Bulan Ini'!$DJ:$DJ,'Area-Cabang'!$B157,'CWO Bulan Ini'!$DH:$DH,'Area-Cabang'!$E157,'CWO Bulan Ini'!$CZ:$CZ,'Area-Cabang'!Y$41)</f>
        <v>0</v>
      </c>
      <c r="Z157" s="42">
        <f>SUMIFS('CWO Bulan Ini'!$DA:$DA,'CWO Bulan Ini'!$DJ:$DJ,'Area-Cabang'!$B157,'CWO Bulan Ini'!$DH:$DH,'Area-Cabang'!$E157,'CWO Bulan Ini'!$CZ:$CZ,'Area-Cabang'!Z$41)</f>
        <v>0</v>
      </c>
      <c r="AA157" s="42">
        <f>SUMIFS('CWO Bulan Ini'!$DA:$DA,'CWO Bulan Ini'!$DJ:$DJ,'Area-Cabang'!$B157,'CWO Bulan Ini'!$DH:$DH,'Area-Cabang'!$E157,'CWO Bulan Ini'!$CZ:$CZ,'Area-Cabang'!AA$41)</f>
        <v>0</v>
      </c>
      <c r="AB157" s="42">
        <f>SUMIFS('CWO Bulan Ini'!$DA:$DA,'CWO Bulan Ini'!$DJ:$DJ,'Area-Cabang'!$B157,'CWO Bulan Ini'!$DH:$DH,'Area-Cabang'!$E157,'CWO Bulan Ini'!$CZ:$CZ,'Area-Cabang'!AB$41)</f>
        <v>0</v>
      </c>
      <c r="AC157" s="42">
        <f>SUMIFS('CWO Bulan Ini'!$DA:$DA,'CWO Bulan Ini'!$DJ:$DJ,'Area-Cabang'!$B157,'CWO Bulan Ini'!$DH:$DH,'Area-Cabang'!$E157,'CWO Bulan Ini'!$CZ:$CZ,'Area-Cabang'!AC$41)</f>
        <v>0</v>
      </c>
      <c r="AD157" s="42">
        <f>SUMIFS('CWO Bulan Ini'!$DA:$DA,'CWO Bulan Ini'!$DJ:$DJ,'Area-Cabang'!$B157,'CWO Bulan Ini'!$DH:$DH,'Area-Cabang'!$E157,'CWO Bulan Ini'!$CZ:$CZ,'Area-Cabang'!AD$41)</f>
        <v>0</v>
      </c>
      <c r="AE157" s="42">
        <f>SUMIFS('CWO Bulan Ini'!$DA:$DA,'CWO Bulan Ini'!$DJ:$DJ,'Area-Cabang'!$B157,'CWO Bulan Ini'!$DH:$DH,'Area-Cabang'!$E157,'CWO Bulan Ini'!$CZ:$CZ,'Area-Cabang'!AE$41)</f>
        <v>0</v>
      </c>
      <c r="AF157" s="42">
        <f>SUMIFS('CWO Bulan Ini'!$DA:$DA,'CWO Bulan Ini'!$DJ:$DJ,'Area-Cabang'!$B157,'CWO Bulan Ini'!$DH:$DH,'Area-Cabang'!$E157,'CWO Bulan Ini'!$CZ:$CZ,'Area-Cabang'!AF$41)</f>
        <v>0</v>
      </c>
      <c r="AG157" s="42">
        <f>SUMIFS('CWO Bulan Ini'!$DA:$DA,'CWO Bulan Ini'!$DJ:$DJ,'Area-Cabang'!$B157,'CWO Bulan Ini'!$DH:$DH,'Area-Cabang'!$E157,'CWO Bulan Ini'!$CZ:$CZ,'Area-Cabang'!AG$41)</f>
        <v>0</v>
      </c>
      <c r="AH157" s="42">
        <f>SUMIFS('CWO Bulan Ini'!$DA:$DA,'CWO Bulan Ini'!$DJ:$DJ,'Area-Cabang'!$B157,'CWO Bulan Ini'!$DH:$DH,'Area-Cabang'!$E157,'CWO Bulan Ini'!$CZ:$CZ,'Area-Cabang'!AH$41)</f>
        <v>0</v>
      </c>
      <c r="AI157" s="42">
        <f>SUMIFS('CWO Bulan Ini'!$DA:$DA,'CWO Bulan Ini'!$DJ:$DJ,'Area-Cabang'!$B157,'CWO Bulan Ini'!$DH:$DH,'Area-Cabang'!$E157,'CWO Bulan Ini'!$CZ:$CZ,'Area-Cabang'!AI$41)</f>
        <v>0</v>
      </c>
      <c r="AJ157" s="42">
        <f>SUMIFS('CWO Bulan Ini'!$DA:$DA,'CWO Bulan Ini'!$DJ:$DJ,'Area-Cabang'!$B157,'CWO Bulan Ini'!$DH:$DH,'Area-Cabang'!$E157,'CWO Bulan Ini'!$CZ:$CZ,'Area-Cabang'!AJ$41)</f>
        <v>0</v>
      </c>
      <c r="AK157" s="41">
        <f>SUMIFS('CWO Bulan Ini'!$DD:$DD,'CWO Bulan Ini'!$DJ:$DJ,'Area-Cabang'!$B157,'CWO Bulan Ini'!$DH:$DH,'Area-Cabang'!$E157,'CWO Bulan Ini'!$CZ:$CZ,'Area-Cabang'!AK$41)</f>
        <v>0</v>
      </c>
      <c r="AL157" s="42">
        <f>SUMIFS('CWO Bulan Ini'!$DD:$DD,'CWO Bulan Ini'!$DJ:$DJ,'Area-Cabang'!$B157,'CWO Bulan Ini'!$DH:$DH,'Area-Cabang'!$E157,'CWO Bulan Ini'!$CZ:$CZ,'Area-Cabang'!AL$41)</f>
        <v>0</v>
      </c>
      <c r="AM157" s="42">
        <f>SUMIFS('CWO Bulan Ini'!$DD:$DD,'CWO Bulan Ini'!$DJ:$DJ,'Area-Cabang'!$B157,'CWO Bulan Ini'!$DH:$DH,'Area-Cabang'!$E157,'CWO Bulan Ini'!$CZ:$CZ,'Area-Cabang'!AM$41)</f>
        <v>0</v>
      </c>
      <c r="AN157" s="42">
        <f>SUMIFS('CWO Bulan Ini'!$DD:$DD,'CWO Bulan Ini'!$DJ:$DJ,'Area-Cabang'!$B157,'CWO Bulan Ini'!$DH:$DH,'Area-Cabang'!$E157,'CWO Bulan Ini'!$CZ:$CZ,'Area-Cabang'!AN$41)</f>
        <v>0</v>
      </c>
      <c r="AO157" s="42">
        <f>SUMIFS('CWO Bulan Ini'!$DD:$DD,'CWO Bulan Ini'!$DJ:$DJ,'Area-Cabang'!$B157,'CWO Bulan Ini'!$DH:$DH,'Area-Cabang'!$E157,'CWO Bulan Ini'!$CZ:$CZ,'Area-Cabang'!AO$41)</f>
        <v>0</v>
      </c>
      <c r="AP157" s="42">
        <f>SUMIFS('CWO Bulan Ini'!$DD:$DD,'CWO Bulan Ini'!$DJ:$DJ,'Area-Cabang'!$B157,'CWO Bulan Ini'!$DH:$DH,'Area-Cabang'!$E157,'CWO Bulan Ini'!$CZ:$CZ,'Area-Cabang'!AP$41)</f>
        <v>0</v>
      </c>
      <c r="AQ157" s="42">
        <f>SUMIFS('CWO Bulan Ini'!$DD:$DD,'CWO Bulan Ini'!$DJ:$DJ,'Area-Cabang'!$B157,'CWO Bulan Ini'!$DH:$DH,'Area-Cabang'!$E157,'CWO Bulan Ini'!$CZ:$CZ,'Area-Cabang'!AQ$41)</f>
        <v>0</v>
      </c>
      <c r="AR157" s="42">
        <f>SUMIFS('CWO Bulan Ini'!$DD:$DD,'CWO Bulan Ini'!$DJ:$DJ,'Area-Cabang'!$B157,'CWO Bulan Ini'!$DH:$DH,'Area-Cabang'!$E157,'CWO Bulan Ini'!$CZ:$CZ,'Area-Cabang'!AR$41)</f>
        <v>0</v>
      </c>
      <c r="AS157" s="42">
        <f>SUMIFS('CWO Bulan Ini'!$DD:$DD,'CWO Bulan Ini'!$DJ:$DJ,'Area-Cabang'!$B157,'CWO Bulan Ini'!$DH:$DH,'Area-Cabang'!$E157,'CWO Bulan Ini'!$CZ:$CZ,'Area-Cabang'!AS$41)</f>
        <v>0</v>
      </c>
      <c r="AT157" s="42">
        <f>SUMIFS('CWO Bulan Ini'!$DD:$DD,'CWO Bulan Ini'!$DJ:$DJ,'Area-Cabang'!$B157,'CWO Bulan Ini'!$DH:$DH,'Area-Cabang'!$E157,'CWO Bulan Ini'!$CZ:$CZ,'Area-Cabang'!AT$41)</f>
        <v>0</v>
      </c>
      <c r="AU157" s="42">
        <f>SUMIFS('CWO Bulan Ini'!$DD:$DD,'CWO Bulan Ini'!$DJ:$DJ,'Area-Cabang'!$B157,'CWO Bulan Ini'!$DH:$DH,'Area-Cabang'!$E157,'CWO Bulan Ini'!$CZ:$CZ,'Area-Cabang'!AU$41)</f>
        <v>0</v>
      </c>
      <c r="AV157" s="42">
        <f>SUMIFS('CWO Bulan Ini'!$DD:$DD,'CWO Bulan Ini'!$DJ:$DJ,'Area-Cabang'!$B157,'CWO Bulan Ini'!$DH:$DH,'Area-Cabang'!$E157,'CWO Bulan Ini'!$CZ:$CZ,'Area-Cabang'!AV$41)</f>
        <v>0</v>
      </c>
      <c r="AW157" s="42">
        <f>SUMIFS('CWO Bulan Ini'!$DD:$DD,'CWO Bulan Ini'!$DJ:$DJ,'Area-Cabang'!$B157,'CWO Bulan Ini'!$DH:$DH,'Area-Cabang'!$E157,'CWO Bulan Ini'!$CZ:$CZ,'Area-Cabang'!AW$41)</f>
        <v>0</v>
      </c>
      <c r="AX157" s="42">
        <f>SUMIFS('CWO Bulan Ini'!$DD:$DD,'CWO Bulan Ini'!$DJ:$DJ,'Area-Cabang'!$B157,'CWO Bulan Ini'!$DH:$DH,'Area-Cabang'!$E157,'CWO Bulan Ini'!$CZ:$CZ,'Area-Cabang'!AX$41)</f>
        <v>0</v>
      </c>
      <c r="AY157" s="42">
        <f>SUMIFS('CWO Bulan Ini'!$DD:$DD,'CWO Bulan Ini'!$DJ:$DJ,'Area-Cabang'!$B157,'CWO Bulan Ini'!$DH:$DH,'Area-Cabang'!$E157,'CWO Bulan Ini'!$CZ:$CZ,'Area-Cabang'!AY$41)</f>
        <v>0</v>
      </c>
      <c r="AZ157" s="42">
        <f>SUMIFS('CWO Bulan Ini'!$DD:$DD,'CWO Bulan Ini'!$DJ:$DJ,'Area-Cabang'!$B157,'CWO Bulan Ini'!$DH:$DH,'Area-Cabang'!$E157,'CWO Bulan Ini'!$CZ:$CZ,'Area-Cabang'!AZ$41)</f>
        <v>0</v>
      </c>
      <c r="BA157" s="42">
        <f>SUMIFS('CWO Bulan Ini'!$DD:$DD,'CWO Bulan Ini'!$DJ:$DJ,'Area-Cabang'!$B157,'CWO Bulan Ini'!$DH:$DH,'Area-Cabang'!$E157,'CWO Bulan Ini'!$CZ:$CZ,'Area-Cabang'!BA$41)</f>
        <v>0</v>
      </c>
      <c r="BB157" s="42">
        <f>SUMIFS('CWO Bulan Ini'!$DD:$DD,'CWO Bulan Ini'!$DJ:$DJ,'Area-Cabang'!$B157,'CWO Bulan Ini'!$DH:$DH,'Area-Cabang'!$E157,'CWO Bulan Ini'!$CZ:$CZ,'Area-Cabang'!BB$41)</f>
        <v>0</v>
      </c>
      <c r="BC157" s="42">
        <f>SUMIFS('CWO Bulan Ini'!$DD:$DD,'CWO Bulan Ini'!$DJ:$DJ,'Area-Cabang'!$B157,'CWO Bulan Ini'!$DH:$DH,'Area-Cabang'!$E157,'CWO Bulan Ini'!$CZ:$CZ,'Area-Cabang'!BC$41)</f>
        <v>0</v>
      </c>
      <c r="BD157" s="42">
        <f>SUMIFS('CWO Bulan Ini'!$DD:$DD,'CWO Bulan Ini'!$DJ:$DJ,'Area-Cabang'!$B157,'CWO Bulan Ini'!$DH:$DH,'Area-Cabang'!$E157,'CWO Bulan Ini'!$CZ:$CZ,'Area-Cabang'!BD$41)</f>
        <v>0</v>
      </c>
      <c r="BE157" s="42">
        <f>SUMIFS('CWO Bulan Ini'!$DD:$DD,'CWO Bulan Ini'!$DJ:$DJ,'Area-Cabang'!$B157,'CWO Bulan Ini'!$DH:$DH,'Area-Cabang'!$E157,'CWO Bulan Ini'!$CZ:$CZ,'Area-Cabang'!BE$41)</f>
        <v>0</v>
      </c>
      <c r="BF157" s="42">
        <f>SUMIFS('CWO Bulan Ini'!$DD:$DD,'CWO Bulan Ini'!$DJ:$DJ,'Area-Cabang'!$B157,'CWO Bulan Ini'!$DH:$DH,'Area-Cabang'!$E157,'CWO Bulan Ini'!$CZ:$CZ,'Area-Cabang'!BF$41)</f>
        <v>0</v>
      </c>
      <c r="BG157" s="42">
        <f>SUMIFS('CWO Bulan Ini'!$DD:$DD,'CWO Bulan Ini'!$DJ:$DJ,'Area-Cabang'!$B157,'CWO Bulan Ini'!$DH:$DH,'Area-Cabang'!$E157,'CWO Bulan Ini'!$CZ:$CZ,'Area-Cabang'!BG$41)</f>
        <v>0</v>
      </c>
      <c r="BH157" s="42">
        <f>SUMIFS('CWO Bulan Ini'!$DD:$DD,'CWO Bulan Ini'!$DJ:$DJ,'Area-Cabang'!$B157,'CWO Bulan Ini'!$DH:$DH,'Area-Cabang'!$E157,'CWO Bulan Ini'!$CZ:$CZ,'Area-Cabang'!BH$41)</f>
        <v>0</v>
      </c>
      <c r="BI157" s="42">
        <f>SUMIFS('CWO Bulan Ini'!$DD:$DD,'CWO Bulan Ini'!$DJ:$DJ,'Area-Cabang'!$B157,'CWO Bulan Ini'!$DH:$DH,'Area-Cabang'!$E157,'CWO Bulan Ini'!$CZ:$CZ,'Area-Cabang'!BI$41)</f>
        <v>0</v>
      </c>
      <c r="BJ157" s="42">
        <f>SUMIFS('CWO Bulan Ini'!$DD:$DD,'CWO Bulan Ini'!$DJ:$DJ,'Area-Cabang'!$B157,'CWO Bulan Ini'!$DH:$DH,'Area-Cabang'!$E157,'CWO Bulan Ini'!$CZ:$CZ,'Area-Cabang'!BJ$41)</f>
        <v>0</v>
      </c>
      <c r="BK157" s="42">
        <f>SUMIFS('CWO Bulan Ini'!$DD:$DD,'CWO Bulan Ini'!$DJ:$DJ,'Area-Cabang'!$B157,'CWO Bulan Ini'!$DH:$DH,'Area-Cabang'!$E157,'CWO Bulan Ini'!$CZ:$CZ,'Area-Cabang'!BK$41)</f>
        <v>0</v>
      </c>
      <c r="BL157" s="42">
        <f>SUMIFS('CWO Bulan Ini'!$DD:$DD,'CWO Bulan Ini'!$DJ:$DJ,'Area-Cabang'!$B157,'CWO Bulan Ini'!$DH:$DH,'Area-Cabang'!$E157,'CWO Bulan Ini'!$CZ:$CZ,'Area-Cabang'!BL$41)</f>
        <v>0</v>
      </c>
      <c r="BM157" s="42">
        <f>SUMIFS('CWO Bulan Ini'!$DD:$DD,'CWO Bulan Ini'!$DJ:$DJ,'Area-Cabang'!$B157,'CWO Bulan Ini'!$DH:$DH,'Area-Cabang'!$E157,'CWO Bulan Ini'!$CZ:$CZ,'Area-Cabang'!BM$41)</f>
        <v>0</v>
      </c>
      <c r="BN157" s="42">
        <f>SUMIFS('CWO Bulan Ini'!$DD:$DD,'CWO Bulan Ini'!$DJ:$DJ,'Area-Cabang'!$B157,'CWO Bulan Ini'!$DH:$DH,'Area-Cabang'!$E157,'CWO Bulan Ini'!$CZ:$CZ,'Area-Cabang'!BN$41)</f>
        <v>0</v>
      </c>
      <c r="BO157" s="43">
        <f>SUMIFS('CWO Bulan Ini'!$DD:$DD,'CWO Bulan Ini'!$DJ:$DJ,'Area-Cabang'!$B157,'CWO Bulan Ini'!$DH:$DH,'Area-Cabang'!$E157,'CWO Bulan Ini'!$CZ:$CZ,'Area-Cabang'!BO$41)</f>
        <v>0</v>
      </c>
      <c r="BP157" s="41">
        <f>SUMIFS('CWO Bulan Ini'!$DC:$DC,'CWO Bulan Ini'!$DJ:$DJ,'Area-Cabang'!$B157,'CWO Bulan Ini'!$DH:$DH,'Area-Cabang'!$E157,'CWO Bulan Ini'!$CZ:$CZ,'Area-Cabang'!BP$41)</f>
        <v>0</v>
      </c>
      <c r="BQ157" s="42">
        <f>SUMIFS('CWO Bulan Ini'!$DC:$DC,'CWO Bulan Ini'!$DJ:$DJ,'Area-Cabang'!$B157,'CWO Bulan Ini'!$DH:$DH,'Area-Cabang'!$E157,'CWO Bulan Ini'!$CZ:$CZ,'Area-Cabang'!BQ$41)</f>
        <v>0</v>
      </c>
      <c r="BR157" s="42">
        <f>SUMIFS('CWO Bulan Ini'!$DC:$DC,'CWO Bulan Ini'!$DJ:$DJ,'Area-Cabang'!$B157,'CWO Bulan Ini'!$DH:$DH,'Area-Cabang'!$E157,'CWO Bulan Ini'!$CZ:$CZ,'Area-Cabang'!BR$41)</f>
        <v>0</v>
      </c>
      <c r="BS157" s="42">
        <f>SUMIFS('CWO Bulan Ini'!$DC:$DC,'CWO Bulan Ini'!$DJ:$DJ,'Area-Cabang'!$B157,'CWO Bulan Ini'!$DH:$DH,'Area-Cabang'!$E157,'CWO Bulan Ini'!$CZ:$CZ,'Area-Cabang'!BS$41)</f>
        <v>0</v>
      </c>
      <c r="BT157" s="42">
        <f>SUMIFS('CWO Bulan Ini'!$DC:$DC,'CWO Bulan Ini'!$DJ:$DJ,'Area-Cabang'!$B157,'CWO Bulan Ini'!$DH:$DH,'Area-Cabang'!$E157,'CWO Bulan Ini'!$CZ:$CZ,'Area-Cabang'!BT$41)</f>
        <v>0</v>
      </c>
      <c r="BU157" s="42">
        <f>SUMIFS('CWO Bulan Ini'!$DC:$DC,'CWO Bulan Ini'!$DJ:$DJ,'Area-Cabang'!$B157,'CWO Bulan Ini'!$DH:$DH,'Area-Cabang'!$E157,'CWO Bulan Ini'!$CZ:$CZ,'Area-Cabang'!BU$41)</f>
        <v>0</v>
      </c>
      <c r="BV157" s="42">
        <f>SUMIFS('CWO Bulan Ini'!$DC:$DC,'CWO Bulan Ini'!$DJ:$DJ,'Area-Cabang'!$B157,'CWO Bulan Ini'!$DH:$DH,'Area-Cabang'!$E157,'CWO Bulan Ini'!$CZ:$CZ,'Area-Cabang'!BV$41)</f>
        <v>0</v>
      </c>
      <c r="BW157" s="42">
        <f>SUMIFS('CWO Bulan Ini'!$DC:$DC,'CWO Bulan Ini'!$DJ:$DJ,'Area-Cabang'!$B157,'CWO Bulan Ini'!$DH:$DH,'Area-Cabang'!$E157,'CWO Bulan Ini'!$CZ:$CZ,'Area-Cabang'!BW$41)</f>
        <v>0</v>
      </c>
      <c r="BX157" s="42">
        <f>SUMIFS('CWO Bulan Ini'!$DC:$DC,'CWO Bulan Ini'!$DJ:$DJ,'Area-Cabang'!$B157,'CWO Bulan Ini'!$DH:$DH,'Area-Cabang'!$E157,'CWO Bulan Ini'!$CZ:$CZ,'Area-Cabang'!BX$41)</f>
        <v>0</v>
      </c>
      <c r="BY157" s="42">
        <f>SUMIFS('CWO Bulan Ini'!$DC:$DC,'CWO Bulan Ini'!$DJ:$DJ,'Area-Cabang'!$B157,'CWO Bulan Ini'!$DH:$DH,'Area-Cabang'!$E157,'CWO Bulan Ini'!$CZ:$CZ,'Area-Cabang'!BY$41)</f>
        <v>0</v>
      </c>
      <c r="BZ157" s="42">
        <f>SUMIFS('CWO Bulan Ini'!$DC:$DC,'CWO Bulan Ini'!$DJ:$DJ,'Area-Cabang'!$B157,'CWO Bulan Ini'!$DH:$DH,'Area-Cabang'!$E157,'CWO Bulan Ini'!$CZ:$CZ,'Area-Cabang'!BZ$41)</f>
        <v>0</v>
      </c>
      <c r="CA157" s="42">
        <f>SUMIFS('CWO Bulan Ini'!$DC:$DC,'CWO Bulan Ini'!$DJ:$DJ,'Area-Cabang'!$B157,'CWO Bulan Ini'!$DH:$DH,'Area-Cabang'!$E157,'CWO Bulan Ini'!$CZ:$CZ,'Area-Cabang'!CA$41)</f>
        <v>0</v>
      </c>
      <c r="CB157" s="42">
        <f>SUMIFS('CWO Bulan Ini'!$DC:$DC,'CWO Bulan Ini'!$DJ:$DJ,'Area-Cabang'!$B157,'CWO Bulan Ini'!$DH:$DH,'Area-Cabang'!$E157,'CWO Bulan Ini'!$CZ:$CZ,'Area-Cabang'!CB$41)</f>
        <v>0</v>
      </c>
      <c r="CC157" s="42">
        <f>SUMIFS('CWO Bulan Ini'!$DC:$DC,'CWO Bulan Ini'!$DJ:$DJ,'Area-Cabang'!$B157,'CWO Bulan Ini'!$DH:$DH,'Area-Cabang'!$E157,'CWO Bulan Ini'!$CZ:$CZ,'Area-Cabang'!CC$41)</f>
        <v>0</v>
      </c>
      <c r="CD157" s="42">
        <f>SUMIFS('CWO Bulan Ini'!$DC:$DC,'CWO Bulan Ini'!$DJ:$DJ,'Area-Cabang'!$B157,'CWO Bulan Ini'!$DH:$DH,'Area-Cabang'!$E157,'CWO Bulan Ini'!$CZ:$CZ,'Area-Cabang'!CD$41)</f>
        <v>0</v>
      </c>
      <c r="CE157" s="42">
        <f>SUMIFS('CWO Bulan Ini'!$DC:$DC,'CWO Bulan Ini'!$DJ:$DJ,'Area-Cabang'!$B157,'CWO Bulan Ini'!$DH:$DH,'Area-Cabang'!$E157,'CWO Bulan Ini'!$CZ:$CZ,'Area-Cabang'!CE$41)</f>
        <v>0</v>
      </c>
      <c r="CF157" s="42">
        <f>SUMIFS('CWO Bulan Ini'!$DC:$DC,'CWO Bulan Ini'!$DJ:$DJ,'Area-Cabang'!$B157,'CWO Bulan Ini'!$DH:$DH,'Area-Cabang'!$E157,'CWO Bulan Ini'!$CZ:$CZ,'Area-Cabang'!CF$41)</f>
        <v>0</v>
      </c>
      <c r="CG157" s="42">
        <f>SUMIFS('CWO Bulan Ini'!$DC:$DC,'CWO Bulan Ini'!$DJ:$DJ,'Area-Cabang'!$B157,'CWO Bulan Ini'!$DH:$DH,'Area-Cabang'!$E157,'CWO Bulan Ini'!$CZ:$CZ,'Area-Cabang'!CG$41)</f>
        <v>0</v>
      </c>
      <c r="CH157" s="42">
        <f>SUMIFS('CWO Bulan Ini'!$DC:$DC,'CWO Bulan Ini'!$DJ:$DJ,'Area-Cabang'!$B157,'CWO Bulan Ini'!$DH:$DH,'Area-Cabang'!$E157,'CWO Bulan Ini'!$CZ:$CZ,'Area-Cabang'!CH$41)</f>
        <v>0</v>
      </c>
      <c r="CI157" s="42">
        <f>SUMIFS('CWO Bulan Ini'!$DC:$DC,'CWO Bulan Ini'!$DJ:$DJ,'Area-Cabang'!$B157,'CWO Bulan Ini'!$DH:$DH,'Area-Cabang'!$E157,'CWO Bulan Ini'!$CZ:$CZ,'Area-Cabang'!CI$41)</f>
        <v>0</v>
      </c>
      <c r="CJ157" s="42">
        <f>SUMIFS('CWO Bulan Ini'!$DC:$DC,'CWO Bulan Ini'!$DJ:$DJ,'Area-Cabang'!$B157,'CWO Bulan Ini'!$DH:$DH,'Area-Cabang'!$E157,'CWO Bulan Ini'!$CZ:$CZ,'Area-Cabang'!CJ$41)</f>
        <v>0</v>
      </c>
      <c r="CK157" s="42">
        <f>SUMIFS('CWO Bulan Ini'!$DC:$DC,'CWO Bulan Ini'!$DJ:$DJ,'Area-Cabang'!$B157,'CWO Bulan Ini'!$DH:$DH,'Area-Cabang'!$E157,'CWO Bulan Ini'!$CZ:$CZ,'Area-Cabang'!CK$41)</f>
        <v>0</v>
      </c>
      <c r="CL157" s="42">
        <f>SUMIFS('CWO Bulan Ini'!$DC:$DC,'CWO Bulan Ini'!$DJ:$DJ,'Area-Cabang'!$B157,'CWO Bulan Ini'!$DH:$DH,'Area-Cabang'!$E157,'CWO Bulan Ini'!$CZ:$CZ,'Area-Cabang'!CL$41)</f>
        <v>0</v>
      </c>
      <c r="CM157" s="42">
        <f>SUMIFS('CWO Bulan Ini'!$DC:$DC,'CWO Bulan Ini'!$DJ:$DJ,'Area-Cabang'!$B157,'CWO Bulan Ini'!$DH:$DH,'Area-Cabang'!$E157,'CWO Bulan Ini'!$CZ:$CZ,'Area-Cabang'!CM$41)</f>
        <v>0</v>
      </c>
      <c r="CN157" s="42">
        <f>SUMIFS('CWO Bulan Ini'!$DC:$DC,'CWO Bulan Ini'!$DJ:$DJ,'Area-Cabang'!$B157,'CWO Bulan Ini'!$DH:$DH,'Area-Cabang'!$E157,'CWO Bulan Ini'!$CZ:$CZ,'Area-Cabang'!CN$41)</f>
        <v>0</v>
      </c>
      <c r="CO157" s="42">
        <f>SUMIFS('CWO Bulan Ini'!$DC:$DC,'CWO Bulan Ini'!$DJ:$DJ,'Area-Cabang'!$B157,'CWO Bulan Ini'!$DH:$DH,'Area-Cabang'!$E157,'CWO Bulan Ini'!$CZ:$CZ,'Area-Cabang'!CO$41)</f>
        <v>0</v>
      </c>
      <c r="CP157" s="42">
        <f>SUMIFS('CWO Bulan Ini'!$DC:$DC,'CWO Bulan Ini'!$DJ:$DJ,'Area-Cabang'!$B157,'CWO Bulan Ini'!$DH:$DH,'Area-Cabang'!$E157,'CWO Bulan Ini'!$CZ:$CZ,'Area-Cabang'!CP$41)</f>
        <v>0</v>
      </c>
      <c r="CQ157" s="42">
        <f>SUMIFS('CWO Bulan Ini'!$DC:$DC,'CWO Bulan Ini'!$DJ:$DJ,'Area-Cabang'!$B157,'CWO Bulan Ini'!$DH:$DH,'Area-Cabang'!$E157,'CWO Bulan Ini'!$CZ:$CZ,'Area-Cabang'!CQ$41)</f>
        <v>0</v>
      </c>
      <c r="CR157" s="42">
        <f>SUMIFS('CWO Bulan Ini'!$DC:$DC,'CWO Bulan Ini'!$DJ:$DJ,'Area-Cabang'!$B157,'CWO Bulan Ini'!$DH:$DH,'Area-Cabang'!$E157,'CWO Bulan Ini'!$CZ:$CZ,'Area-Cabang'!CR$41)</f>
        <v>0</v>
      </c>
      <c r="CS157" s="42">
        <f>SUMIFS('CWO Bulan Ini'!$DC:$DC,'CWO Bulan Ini'!$DJ:$DJ,'Area-Cabang'!$B157,'CWO Bulan Ini'!$DH:$DH,'Area-Cabang'!$E157,'CWO Bulan Ini'!$CZ:$CZ,'Area-Cabang'!CS$41)</f>
        <v>0</v>
      </c>
      <c r="CT157" s="43">
        <f>SUMIFS('CWO Bulan Ini'!$DC:$DC,'CWO Bulan Ini'!$DJ:$DJ,'Area-Cabang'!$B157,'CWO Bulan Ini'!$DH:$DH,'Area-Cabang'!$E157,'CWO Bulan Ini'!$CZ:$CZ,'Area-Cabang'!CT$41)</f>
        <v>0</v>
      </c>
      <c r="CV157" s="96">
        <f t="shared" si="4895"/>
        <v>0</v>
      </c>
      <c r="CW157" s="93">
        <f t="shared" si="4896"/>
        <v>0</v>
      </c>
      <c r="CX157" s="93">
        <f t="shared" si="4897"/>
        <v>0</v>
      </c>
      <c r="CY157" s="93">
        <f t="shared" si="4898"/>
        <v>0</v>
      </c>
      <c r="CZ157" s="106">
        <f t="shared" si="4899"/>
        <v>0</v>
      </c>
    </row>
    <row r="158" spans="1:104" ht="15" customHeight="1" x14ac:dyDescent="0.25">
      <c r="A158" s="58" t="s">
        <v>480</v>
      </c>
      <c r="B158" s="53" t="s">
        <v>845</v>
      </c>
      <c r="C158" s="250"/>
      <c r="D158" s="227" t="s">
        <v>845</v>
      </c>
      <c r="E158" s="228"/>
      <c r="F158" s="219">
        <f t="shared" ref="F158" si="4900">SUM(F156:F157)</f>
        <v>0</v>
      </c>
      <c r="G158" s="220">
        <f t="shared" ref="G158" si="4901">SUM(G156:G157)</f>
        <v>0</v>
      </c>
      <c r="H158" s="220">
        <f t="shared" ref="H158" si="4902">SUM(H156:H157)</f>
        <v>0</v>
      </c>
      <c r="I158" s="220">
        <f t="shared" ref="I158" si="4903">SUM(I156:I157)</f>
        <v>253.41180994999999</v>
      </c>
      <c r="J158" s="220">
        <f t="shared" ref="J158" si="4904">SUM(J156:J157)</f>
        <v>0</v>
      </c>
      <c r="K158" s="220">
        <f t="shared" ref="K158" si="4905">SUM(K156:K157)</f>
        <v>0</v>
      </c>
      <c r="L158" s="220">
        <f t="shared" ref="L158" si="4906">SUM(L156:L157)</f>
        <v>0</v>
      </c>
      <c r="M158" s="220">
        <f t="shared" ref="M158" si="4907">SUM(M156:M157)</f>
        <v>0</v>
      </c>
      <c r="N158" s="220">
        <f t="shared" ref="N158" si="4908">SUM(N156:N157)</f>
        <v>0</v>
      </c>
      <c r="O158" s="220">
        <f t="shared" ref="O158" si="4909">SUM(O156:O157)</f>
        <v>0</v>
      </c>
      <c r="P158" s="220">
        <f t="shared" ref="P158" si="4910">SUM(P156:P157)</f>
        <v>0</v>
      </c>
      <c r="Q158" s="220">
        <f t="shared" ref="Q158" si="4911">SUM(Q156:Q157)</f>
        <v>0</v>
      </c>
      <c r="R158" s="220">
        <f t="shared" ref="R158" si="4912">SUM(R156:R157)</f>
        <v>0</v>
      </c>
      <c r="S158" s="220">
        <f t="shared" ref="S158" si="4913">SUM(S156:S157)</f>
        <v>0</v>
      </c>
      <c r="T158" s="220">
        <f t="shared" ref="T158" si="4914">SUM(T156:T157)</f>
        <v>0</v>
      </c>
      <c r="U158" s="220">
        <f t="shared" ref="U158" si="4915">SUM(U156:U157)</f>
        <v>0</v>
      </c>
      <c r="V158" s="220">
        <f t="shared" ref="V158" si="4916">SUM(V156:V157)</f>
        <v>0</v>
      </c>
      <c r="W158" s="220">
        <f t="shared" ref="W158" si="4917">SUM(W156:W157)</f>
        <v>0</v>
      </c>
      <c r="X158" s="220">
        <f t="shared" ref="X158" si="4918">SUM(X156:X157)</f>
        <v>0</v>
      </c>
      <c r="Y158" s="220">
        <f t="shared" ref="Y158" si="4919">SUM(Y156:Y157)</f>
        <v>0</v>
      </c>
      <c r="Z158" s="220">
        <f t="shared" ref="Z158" si="4920">SUM(Z156:Z157)</f>
        <v>0</v>
      </c>
      <c r="AA158" s="220">
        <f t="shared" ref="AA158" si="4921">SUM(AA156:AA157)</f>
        <v>0</v>
      </c>
      <c r="AB158" s="220">
        <f t="shared" ref="AB158" si="4922">SUM(AB156:AB157)</f>
        <v>0</v>
      </c>
      <c r="AC158" s="220">
        <f t="shared" ref="AC158" si="4923">SUM(AC156:AC157)</f>
        <v>0</v>
      </c>
      <c r="AD158" s="220">
        <f t="shared" ref="AD158" si="4924">SUM(AD156:AD157)</f>
        <v>0</v>
      </c>
      <c r="AE158" s="220">
        <f t="shared" ref="AE158" si="4925">SUM(AE156:AE157)</f>
        <v>0</v>
      </c>
      <c r="AF158" s="220">
        <f t="shared" ref="AF158" si="4926">SUM(AF156:AF157)</f>
        <v>0</v>
      </c>
      <c r="AG158" s="220">
        <f t="shared" ref="AG158" si="4927">SUM(AG156:AG157)</f>
        <v>0</v>
      </c>
      <c r="AH158" s="220">
        <f t="shared" ref="AH158" si="4928">SUM(AH156:AH157)</f>
        <v>0</v>
      </c>
      <c r="AI158" s="220">
        <f t="shared" ref="AI158" si="4929">SUM(AI156:AI157)</f>
        <v>0</v>
      </c>
      <c r="AJ158" s="220">
        <f t="shared" ref="AJ158" si="4930">SUM(AJ156:AJ157)</f>
        <v>0</v>
      </c>
      <c r="AK158" s="219">
        <f t="shared" ref="AK158" si="4931">SUM(AK156:AK157)</f>
        <v>0</v>
      </c>
      <c r="AL158" s="220">
        <f t="shared" ref="AL158" si="4932">SUM(AL156:AL157)</f>
        <v>0</v>
      </c>
      <c r="AM158" s="220">
        <f t="shared" ref="AM158" si="4933">SUM(AM156:AM157)</f>
        <v>0</v>
      </c>
      <c r="AN158" s="220">
        <f t="shared" ref="AN158" si="4934">SUM(AN156:AN157)</f>
        <v>253.41180994999999</v>
      </c>
      <c r="AO158" s="220">
        <f t="shared" ref="AO158" si="4935">SUM(AO156:AO157)</f>
        <v>0</v>
      </c>
      <c r="AP158" s="220">
        <f t="shared" ref="AP158" si="4936">SUM(AP156:AP157)</f>
        <v>0</v>
      </c>
      <c r="AQ158" s="220">
        <f t="shared" ref="AQ158" si="4937">SUM(AQ156:AQ157)</f>
        <v>0</v>
      </c>
      <c r="AR158" s="220">
        <f t="shared" ref="AR158" si="4938">SUM(AR156:AR157)</f>
        <v>0</v>
      </c>
      <c r="AS158" s="220">
        <f t="shared" ref="AS158" si="4939">SUM(AS156:AS157)</f>
        <v>0</v>
      </c>
      <c r="AT158" s="220">
        <f t="shared" ref="AT158" si="4940">SUM(AT156:AT157)</f>
        <v>0</v>
      </c>
      <c r="AU158" s="220">
        <f t="shared" ref="AU158" si="4941">SUM(AU156:AU157)</f>
        <v>0</v>
      </c>
      <c r="AV158" s="220">
        <f t="shared" ref="AV158" si="4942">SUM(AV156:AV157)</f>
        <v>0</v>
      </c>
      <c r="AW158" s="220">
        <f t="shared" ref="AW158" si="4943">SUM(AW156:AW157)</f>
        <v>0</v>
      </c>
      <c r="AX158" s="220">
        <f t="shared" ref="AX158" si="4944">SUM(AX156:AX157)</f>
        <v>0</v>
      </c>
      <c r="AY158" s="220">
        <f t="shared" ref="AY158" si="4945">SUM(AY156:AY157)</f>
        <v>0</v>
      </c>
      <c r="AZ158" s="220">
        <f t="shared" ref="AZ158" si="4946">SUM(AZ156:AZ157)</f>
        <v>0</v>
      </c>
      <c r="BA158" s="220">
        <f t="shared" ref="BA158" si="4947">SUM(BA156:BA157)</f>
        <v>0</v>
      </c>
      <c r="BB158" s="220">
        <f t="shared" ref="BB158" si="4948">SUM(BB156:BB157)</f>
        <v>0</v>
      </c>
      <c r="BC158" s="220">
        <f t="shared" ref="BC158" si="4949">SUM(BC156:BC157)</f>
        <v>0</v>
      </c>
      <c r="BD158" s="220">
        <f t="shared" ref="BD158" si="4950">SUM(BD156:BD157)</f>
        <v>0</v>
      </c>
      <c r="BE158" s="220">
        <f t="shared" ref="BE158" si="4951">SUM(BE156:BE157)</f>
        <v>0</v>
      </c>
      <c r="BF158" s="220">
        <f t="shared" ref="BF158" si="4952">SUM(BF156:BF157)</f>
        <v>0</v>
      </c>
      <c r="BG158" s="220">
        <f t="shared" ref="BG158" si="4953">SUM(BG156:BG157)</f>
        <v>0</v>
      </c>
      <c r="BH158" s="220">
        <f t="shared" ref="BH158" si="4954">SUM(BH156:BH157)</f>
        <v>0</v>
      </c>
      <c r="BI158" s="220">
        <f t="shared" ref="BI158" si="4955">SUM(BI156:BI157)</f>
        <v>0</v>
      </c>
      <c r="BJ158" s="220">
        <f t="shared" ref="BJ158" si="4956">SUM(BJ156:BJ157)</f>
        <v>0</v>
      </c>
      <c r="BK158" s="220">
        <f t="shared" ref="BK158" si="4957">SUM(BK156:BK157)</f>
        <v>0</v>
      </c>
      <c r="BL158" s="220">
        <f t="shared" ref="BL158" si="4958">SUM(BL156:BL157)</f>
        <v>0</v>
      </c>
      <c r="BM158" s="220">
        <f t="shared" ref="BM158" si="4959">SUM(BM156:BM157)</f>
        <v>0</v>
      </c>
      <c r="BN158" s="220">
        <f t="shared" ref="BN158" si="4960">SUM(BN156:BN157)</f>
        <v>0</v>
      </c>
      <c r="BO158" s="221">
        <f t="shared" ref="BO158" si="4961">SUM(BO156:BO157)</f>
        <v>0</v>
      </c>
      <c r="BP158" s="219">
        <f t="shared" ref="BP158" si="4962">SUM(BP156:BP157)</f>
        <v>0</v>
      </c>
      <c r="BQ158" s="220">
        <f t="shared" ref="BQ158" si="4963">SUM(BQ156:BQ157)</f>
        <v>0</v>
      </c>
      <c r="BR158" s="220">
        <f t="shared" ref="BR158" si="4964">SUM(BR156:BR157)</f>
        <v>0</v>
      </c>
      <c r="BS158" s="220">
        <f t="shared" ref="BS158" si="4965">SUM(BS156:BS157)</f>
        <v>0</v>
      </c>
      <c r="BT158" s="220">
        <f t="shared" ref="BT158" si="4966">SUM(BT156:BT157)</f>
        <v>0</v>
      </c>
      <c r="BU158" s="220">
        <f t="shared" ref="BU158" si="4967">SUM(BU156:BU157)</f>
        <v>0</v>
      </c>
      <c r="BV158" s="220">
        <f t="shared" ref="BV158" si="4968">SUM(BV156:BV157)</f>
        <v>0</v>
      </c>
      <c r="BW158" s="220">
        <f t="shared" ref="BW158" si="4969">SUM(BW156:BW157)</f>
        <v>0</v>
      </c>
      <c r="BX158" s="220">
        <f t="shared" ref="BX158" si="4970">SUM(BX156:BX157)</f>
        <v>0</v>
      </c>
      <c r="BY158" s="220">
        <f t="shared" ref="BY158" si="4971">SUM(BY156:BY157)</f>
        <v>0</v>
      </c>
      <c r="BZ158" s="220">
        <f t="shared" ref="BZ158" si="4972">SUM(BZ156:BZ157)</f>
        <v>0</v>
      </c>
      <c r="CA158" s="220">
        <f t="shared" ref="CA158" si="4973">SUM(CA156:CA157)</f>
        <v>0</v>
      </c>
      <c r="CB158" s="220">
        <f t="shared" ref="CB158" si="4974">SUM(CB156:CB157)</f>
        <v>0</v>
      </c>
      <c r="CC158" s="220">
        <f t="shared" ref="CC158" si="4975">SUM(CC156:CC157)</f>
        <v>0</v>
      </c>
      <c r="CD158" s="220">
        <f t="shared" ref="CD158" si="4976">SUM(CD156:CD157)</f>
        <v>0</v>
      </c>
      <c r="CE158" s="220">
        <f t="shared" ref="CE158" si="4977">SUM(CE156:CE157)</f>
        <v>0</v>
      </c>
      <c r="CF158" s="220">
        <f t="shared" ref="CF158" si="4978">SUM(CF156:CF157)</f>
        <v>0</v>
      </c>
      <c r="CG158" s="220">
        <f t="shared" ref="CG158" si="4979">SUM(CG156:CG157)</f>
        <v>0</v>
      </c>
      <c r="CH158" s="220">
        <f t="shared" ref="CH158" si="4980">SUM(CH156:CH157)</f>
        <v>0</v>
      </c>
      <c r="CI158" s="220">
        <f t="shared" ref="CI158" si="4981">SUM(CI156:CI157)</f>
        <v>0</v>
      </c>
      <c r="CJ158" s="220">
        <f t="shared" ref="CJ158" si="4982">SUM(CJ156:CJ157)</f>
        <v>0</v>
      </c>
      <c r="CK158" s="220">
        <f t="shared" ref="CK158" si="4983">SUM(CK156:CK157)</f>
        <v>0</v>
      </c>
      <c r="CL158" s="220">
        <f t="shared" ref="CL158" si="4984">SUM(CL156:CL157)</f>
        <v>0</v>
      </c>
      <c r="CM158" s="220">
        <f t="shared" ref="CM158" si="4985">SUM(CM156:CM157)</f>
        <v>0</v>
      </c>
      <c r="CN158" s="220">
        <f t="shared" ref="CN158" si="4986">SUM(CN156:CN157)</f>
        <v>0</v>
      </c>
      <c r="CO158" s="220">
        <f t="shared" ref="CO158" si="4987">SUM(CO156:CO157)</f>
        <v>0</v>
      </c>
      <c r="CP158" s="220">
        <f t="shared" ref="CP158" si="4988">SUM(CP156:CP157)</f>
        <v>0</v>
      </c>
      <c r="CQ158" s="220">
        <f t="shared" ref="CQ158" si="4989">SUM(CQ156:CQ157)</f>
        <v>0</v>
      </c>
      <c r="CR158" s="220">
        <f t="shared" ref="CR158" si="4990">SUM(CR156:CR157)</f>
        <v>0</v>
      </c>
      <c r="CS158" s="220">
        <f t="shared" ref="CS158" si="4991">SUM(CS156:CS157)</f>
        <v>0</v>
      </c>
      <c r="CT158" s="221">
        <f t="shared" ref="CT158" si="4992">SUM(CT156:CT157)</f>
        <v>0</v>
      </c>
      <c r="CU158" s="226"/>
      <c r="CV158" s="219">
        <f t="shared" ref="CV158" si="4993">SUM(CV156:CV157)</f>
        <v>253.41180994999999</v>
      </c>
      <c r="CW158" s="220">
        <f t="shared" ref="CW158" si="4994">SUM(CW156:CW157)</f>
        <v>253.41180994999999</v>
      </c>
      <c r="CX158" s="220">
        <f t="shared" ref="CX158" si="4995">SUM(CX156:CX157)</f>
        <v>0</v>
      </c>
      <c r="CY158" s="220">
        <f t="shared" ref="CY158" si="4996">SUM(CY156:CY157)</f>
        <v>0</v>
      </c>
      <c r="CZ158" s="222">
        <f t="shared" ref="CZ158" si="4997">SUM(CZ156:CZ157)</f>
        <v>253.41180994999999</v>
      </c>
    </row>
    <row r="159" spans="1:104" ht="15" customHeight="1" x14ac:dyDescent="0.25">
      <c r="A159" s="58" t="s">
        <v>480</v>
      </c>
      <c r="B159" s="53" t="s">
        <v>237</v>
      </c>
      <c r="C159" s="250"/>
      <c r="D159" s="245" t="s">
        <v>237</v>
      </c>
      <c r="E159" s="85" t="s">
        <v>132</v>
      </c>
      <c r="F159" s="55">
        <f>SUMIFS('CWO Bulan Ini'!$DA:$DA,'CWO Bulan Ini'!$DJ:$DJ,'Area-Cabang'!$B159,'CWO Bulan Ini'!$DH:$DH,'Area-Cabang'!$E159,'CWO Bulan Ini'!$CZ:$CZ,'Area-Cabang'!F$41)</f>
        <v>0</v>
      </c>
      <c r="G159" s="56">
        <f>SUMIFS('CWO Bulan Ini'!$DA:$DA,'CWO Bulan Ini'!$DJ:$DJ,'Area-Cabang'!$B159,'CWO Bulan Ini'!$DH:$DH,'Area-Cabang'!$E159,'CWO Bulan Ini'!$CZ:$CZ,'Area-Cabang'!G$41)</f>
        <v>72.322370919999997</v>
      </c>
      <c r="H159" s="56">
        <f>SUMIFS('CWO Bulan Ini'!$DA:$DA,'CWO Bulan Ini'!$DJ:$DJ,'Area-Cabang'!$B159,'CWO Bulan Ini'!$DH:$DH,'Area-Cabang'!$E159,'CWO Bulan Ini'!$CZ:$CZ,'Area-Cabang'!H$41)</f>
        <v>7.4018064000000008</v>
      </c>
      <c r="I159" s="56">
        <f>SUMIFS('CWO Bulan Ini'!$DA:$DA,'CWO Bulan Ini'!$DJ:$DJ,'Area-Cabang'!$B159,'CWO Bulan Ini'!$DH:$DH,'Area-Cabang'!$E159,'CWO Bulan Ini'!$CZ:$CZ,'Area-Cabang'!I$41)</f>
        <v>204.18540508000001</v>
      </c>
      <c r="J159" s="56">
        <f>SUMIFS('CWO Bulan Ini'!$DA:$DA,'CWO Bulan Ini'!$DJ:$DJ,'Area-Cabang'!$B159,'CWO Bulan Ini'!$DH:$DH,'Area-Cabang'!$E159,'CWO Bulan Ini'!$CZ:$CZ,'Area-Cabang'!J$41)</f>
        <v>0</v>
      </c>
      <c r="K159" s="56">
        <f>SUMIFS('CWO Bulan Ini'!$DA:$DA,'CWO Bulan Ini'!$DJ:$DJ,'Area-Cabang'!$B159,'CWO Bulan Ini'!$DH:$DH,'Area-Cabang'!$E159,'CWO Bulan Ini'!$CZ:$CZ,'Area-Cabang'!K$41)</f>
        <v>0</v>
      </c>
      <c r="L159" s="56">
        <f>SUMIFS('CWO Bulan Ini'!$DA:$DA,'CWO Bulan Ini'!$DJ:$DJ,'Area-Cabang'!$B159,'CWO Bulan Ini'!$DH:$DH,'Area-Cabang'!$E159,'CWO Bulan Ini'!$CZ:$CZ,'Area-Cabang'!L$41)</f>
        <v>0</v>
      </c>
      <c r="M159" s="56">
        <f>SUMIFS('CWO Bulan Ini'!$DA:$DA,'CWO Bulan Ini'!$DJ:$DJ,'Area-Cabang'!$B159,'CWO Bulan Ini'!$DH:$DH,'Area-Cabang'!$E159,'CWO Bulan Ini'!$CZ:$CZ,'Area-Cabang'!M$41)</f>
        <v>0</v>
      </c>
      <c r="N159" s="56">
        <f>SUMIFS('CWO Bulan Ini'!$DA:$DA,'CWO Bulan Ini'!$DJ:$DJ,'Area-Cabang'!$B159,'CWO Bulan Ini'!$DH:$DH,'Area-Cabang'!$E159,'CWO Bulan Ini'!$CZ:$CZ,'Area-Cabang'!N$41)</f>
        <v>52.521171509999995</v>
      </c>
      <c r="O159" s="56">
        <f>SUMIFS('CWO Bulan Ini'!$DA:$DA,'CWO Bulan Ini'!$DJ:$DJ,'Area-Cabang'!$B159,'CWO Bulan Ini'!$DH:$DH,'Area-Cabang'!$E159,'CWO Bulan Ini'!$CZ:$CZ,'Area-Cabang'!O$41)</f>
        <v>0</v>
      </c>
      <c r="P159" s="56">
        <f>SUMIFS('CWO Bulan Ini'!$DA:$DA,'CWO Bulan Ini'!$DJ:$DJ,'Area-Cabang'!$B159,'CWO Bulan Ini'!$DH:$DH,'Area-Cabang'!$E159,'CWO Bulan Ini'!$CZ:$CZ,'Area-Cabang'!P$41)</f>
        <v>0</v>
      </c>
      <c r="Q159" s="56">
        <f>SUMIFS('CWO Bulan Ini'!$DA:$DA,'CWO Bulan Ini'!$DJ:$DJ,'Area-Cabang'!$B159,'CWO Bulan Ini'!$DH:$DH,'Area-Cabang'!$E159,'CWO Bulan Ini'!$CZ:$CZ,'Area-Cabang'!Q$41)</f>
        <v>0</v>
      </c>
      <c r="R159" s="56">
        <f>SUMIFS('CWO Bulan Ini'!$DA:$DA,'CWO Bulan Ini'!$DJ:$DJ,'Area-Cabang'!$B159,'CWO Bulan Ini'!$DH:$DH,'Area-Cabang'!$E159,'CWO Bulan Ini'!$CZ:$CZ,'Area-Cabang'!R$41)</f>
        <v>0</v>
      </c>
      <c r="S159" s="56">
        <f>SUMIFS('CWO Bulan Ini'!$DA:$DA,'CWO Bulan Ini'!$DJ:$DJ,'Area-Cabang'!$B159,'CWO Bulan Ini'!$DH:$DH,'Area-Cabang'!$E159,'CWO Bulan Ini'!$CZ:$CZ,'Area-Cabang'!S$41)</f>
        <v>0</v>
      </c>
      <c r="T159" s="56">
        <f>SUMIFS('CWO Bulan Ini'!$DA:$DA,'CWO Bulan Ini'!$DJ:$DJ,'Area-Cabang'!$B159,'CWO Bulan Ini'!$DH:$DH,'Area-Cabang'!$E159,'CWO Bulan Ini'!$CZ:$CZ,'Area-Cabang'!T$41)</f>
        <v>0</v>
      </c>
      <c r="U159" s="56">
        <f>SUMIFS('CWO Bulan Ini'!$DA:$DA,'CWO Bulan Ini'!$DJ:$DJ,'Area-Cabang'!$B159,'CWO Bulan Ini'!$DH:$DH,'Area-Cabang'!$E159,'CWO Bulan Ini'!$CZ:$CZ,'Area-Cabang'!U$41)</f>
        <v>0</v>
      </c>
      <c r="V159" s="56">
        <f>SUMIFS('CWO Bulan Ini'!$DA:$DA,'CWO Bulan Ini'!$DJ:$DJ,'Area-Cabang'!$B159,'CWO Bulan Ini'!$DH:$DH,'Area-Cabang'!$E159,'CWO Bulan Ini'!$CZ:$CZ,'Area-Cabang'!V$41)</f>
        <v>0</v>
      </c>
      <c r="W159" s="56">
        <f>SUMIFS('CWO Bulan Ini'!$DA:$DA,'CWO Bulan Ini'!$DJ:$DJ,'Area-Cabang'!$B159,'CWO Bulan Ini'!$DH:$DH,'Area-Cabang'!$E159,'CWO Bulan Ini'!$CZ:$CZ,'Area-Cabang'!W$41)</f>
        <v>0</v>
      </c>
      <c r="X159" s="56">
        <f>SUMIFS('CWO Bulan Ini'!$DA:$DA,'CWO Bulan Ini'!$DJ:$DJ,'Area-Cabang'!$B159,'CWO Bulan Ini'!$DH:$DH,'Area-Cabang'!$E159,'CWO Bulan Ini'!$CZ:$CZ,'Area-Cabang'!X$41)</f>
        <v>61.282697710000001</v>
      </c>
      <c r="Y159" s="56">
        <f>SUMIFS('CWO Bulan Ini'!$DA:$DA,'CWO Bulan Ini'!$DJ:$DJ,'Area-Cabang'!$B159,'CWO Bulan Ini'!$DH:$DH,'Area-Cabang'!$E159,'CWO Bulan Ini'!$CZ:$CZ,'Area-Cabang'!Y$41)</f>
        <v>0</v>
      </c>
      <c r="Z159" s="56">
        <f>SUMIFS('CWO Bulan Ini'!$DA:$DA,'CWO Bulan Ini'!$DJ:$DJ,'Area-Cabang'!$B159,'CWO Bulan Ini'!$DH:$DH,'Area-Cabang'!$E159,'CWO Bulan Ini'!$CZ:$CZ,'Area-Cabang'!Z$41)</f>
        <v>0</v>
      </c>
      <c r="AA159" s="56">
        <f>SUMIFS('CWO Bulan Ini'!$DA:$DA,'CWO Bulan Ini'!$DJ:$DJ,'Area-Cabang'!$B159,'CWO Bulan Ini'!$DH:$DH,'Area-Cabang'!$E159,'CWO Bulan Ini'!$CZ:$CZ,'Area-Cabang'!AA$41)</f>
        <v>0</v>
      </c>
      <c r="AB159" s="56">
        <f>SUMIFS('CWO Bulan Ini'!$DA:$DA,'CWO Bulan Ini'!$DJ:$DJ,'Area-Cabang'!$B159,'CWO Bulan Ini'!$DH:$DH,'Area-Cabang'!$E159,'CWO Bulan Ini'!$CZ:$CZ,'Area-Cabang'!AB$41)</f>
        <v>0</v>
      </c>
      <c r="AC159" s="56">
        <f>SUMIFS('CWO Bulan Ini'!$DA:$DA,'CWO Bulan Ini'!$DJ:$DJ,'Area-Cabang'!$B159,'CWO Bulan Ini'!$DH:$DH,'Area-Cabang'!$E159,'CWO Bulan Ini'!$CZ:$CZ,'Area-Cabang'!AC$41)</f>
        <v>0</v>
      </c>
      <c r="AD159" s="56">
        <f>SUMIFS('CWO Bulan Ini'!$DA:$DA,'CWO Bulan Ini'!$DJ:$DJ,'Area-Cabang'!$B159,'CWO Bulan Ini'!$DH:$DH,'Area-Cabang'!$E159,'CWO Bulan Ini'!$CZ:$CZ,'Area-Cabang'!AD$41)</f>
        <v>0</v>
      </c>
      <c r="AE159" s="56">
        <f>SUMIFS('CWO Bulan Ini'!$DA:$DA,'CWO Bulan Ini'!$DJ:$DJ,'Area-Cabang'!$B159,'CWO Bulan Ini'!$DH:$DH,'Area-Cabang'!$E159,'CWO Bulan Ini'!$CZ:$CZ,'Area-Cabang'!AE$41)</f>
        <v>0</v>
      </c>
      <c r="AF159" s="56">
        <f>SUMIFS('CWO Bulan Ini'!$DA:$DA,'CWO Bulan Ini'!$DJ:$DJ,'Area-Cabang'!$B159,'CWO Bulan Ini'!$DH:$DH,'Area-Cabang'!$E159,'CWO Bulan Ini'!$CZ:$CZ,'Area-Cabang'!AF$41)</f>
        <v>0</v>
      </c>
      <c r="AG159" s="56">
        <f>SUMIFS('CWO Bulan Ini'!$DA:$DA,'CWO Bulan Ini'!$DJ:$DJ,'Area-Cabang'!$B159,'CWO Bulan Ini'!$DH:$DH,'Area-Cabang'!$E159,'CWO Bulan Ini'!$CZ:$CZ,'Area-Cabang'!AG$41)</f>
        <v>0</v>
      </c>
      <c r="AH159" s="56">
        <f>SUMIFS('CWO Bulan Ini'!$DA:$DA,'CWO Bulan Ini'!$DJ:$DJ,'Area-Cabang'!$B159,'CWO Bulan Ini'!$DH:$DH,'Area-Cabang'!$E159,'CWO Bulan Ini'!$CZ:$CZ,'Area-Cabang'!AH$41)</f>
        <v>0</v>
      </c>
      <c r="AI159" s="56">
        <f>SUMIFS('CWO Bulan Ini'!$DA:$DA,'CWO Bulan Ini'!$DJ:$DJ,'Area-Cabang'!$B159,'CWO Bulan Ini'!$DH:$DH,'Area-Cabang'!$E159,'CWO Bulan Ini'!$CZ:$CZ,'Area-Cabang'!AI$41)</f>
        <v>0</v>
      </c>
      <c r="AJ159" s="56">
        <f>SUMIFS('CWO Bulan Ini'!$DA:$DA,'CWO Bulan Ini'!$DJ:$DJ,'Area-Cabang'!$B159,'CWO Bulan Ini'!$DH:$DH,'Area-Cabang'!$E159,'CWO Bulan Ini'!$CZ:$CZ,'Area-Cabang'!AJ$41)</f>
        <v>0</v>
      </c>
      <c r="AK159" s="55">
        <f>SUMIFS('CWO Bulan Ini'!$DD:$DD,'CWO Bulan Ini'!$DJ:$DJ,'Area-Cabang'!$B159,'CWO Bulan Ini'!$DH:$DH,'Area-Cabang'!$E159,'CWO Bulan Ini'!$CZ:$CZ,'Area-Cabang'!AK$41)</f>
        <v>0</v>
      </c>
      <c r="AL159" s="56">
        <f>SUMIFS('CWO Bulan Ini'!$DD:$DD,'CWO Bulan Ini'!$DJ:$DJ,'Area-Cabang'!$B159,'CWO Bulan Ini'!$DH:$DH,'Area-Cabang'!$E159,'CWO Bulan Ini'!$CZ:$CZ,'Area-Cabang'!AL$41)</f>
        <v>72.322370919999997</v>
      </c>
      <c r="AM159" s="56">
        <f>SUMIFS('CWO Bulan Ini'!$DD:$DD,'CWO Bulan Ini'!$DJ:$DJ,'Area-Cabang'!$B159,'CWO Bulan Ini'!$DH:$DH,'Area-Cabang'!$E159,'CWO Bulan Ini'!$CZ:$CZ,'Area-Cabang'!AM$41)</f>
        <v>7.4018064000000008</v>
      </c>
      <c r="AN159" s="56">
        <f>SUMIFS('CWO Bulan Ini'!$DD:$DD,'CWO Bulan Ini'!$DJ:$DJ,'Area-Cabang'!$B159,'CWO Bulan Ini'!$DH:$DH,'Area-Cabang'!$E159,'CWO Bulan Ini'!$CZ:$CZ,'Area-Cabang'!AN$41)</f>
        <v>193.70325523</v>
      </c>
      <c r="AO159" s="56">
        <f>SUMIFS('CWO Bulan Ini'!$DD:$DD,'CWO Bulan Ini'!$DJ:$DJ,'Area-Cabang'!$B159,'CWO Bulan Ini'!$DH:$DH,'Area-Cabang'!$E159,'CWO Bulan Ini'!$CZ:$CZ,'Area-Cabang'!AO$41)</f>
        <v>0</v>
      </c>
      <c r="AP159" s="56">
        <f>SUMIFS('CWO Bulan Ini'!$DD:$DD,'CWO Bulan Ini'!$DJ:$DJ,'Area-Cabang'!$B159,'CWO Bulan Ini'!$DH:$DH,'Area-Cabang'!$E159,'CWO Bulan Ini'!$CZ:$CZ,'Area-Cabang'!AP$41)</f>
        <v>0</v>
      </c>
      <c r="AQ159" s="56">
        <f>SUMIFS('CWO Bulan Ini'!$DD:$DD,'CWO Bulan Ini'!$DJ:$DJ,'Area-Cabang'!$B159,'CWO Bulan Ini'!$DH:$DH,'Area-Cabang'!$E159,'CWO Bulan Ini'!$CZ:$CZ,'Area-Cabang'!AQ$41)</f>
        <v>0</v>
      </c>
      <c r="AR159" s="56">
        <f>SUMIFS('CWO Bulan Ini'!$DD:$DD,'CWO Bulan Ini'!$DJ:$DJ,'Area-Cabang'!$B159,'CWO Bulan Ini'!$DH:$DH,'Area-Cabang'!$E159,'CWO Bulan Ini'!$CZ:$CZ,'Area-Cabang'!AR$41)</f>
        <v>0</v>
      </c>
      <c r="AS159" s="56">
        <f>SUMIFS('CWO Bulan Ini'!$DD:$DD,'CWO Bulan Ini'!$DJ:$DJ,'Area-Cabang'!$B159,'CWO Bulan Ini'!$DH:$DH,'Area-Cabang'!$E159,'CWO Bulan Ini'!$CZ:$CZ,'Area-Cabang'!AS$41)</f>
        <v>0</v>
      </c>
      <c r="AT159" s="56">
        <f>SUMIFS('CWO Bulan Ini'!$DD:$DD,'CWO Bulan Ini'!$DJ:$DJ,'Area-Cabang'!$B159,'CWO Bulan Ini'!$DH:$DH,'Area-Cabang'!$E159,'CWO Bulan Ini'!$CZ:$CZ,'Area-Cabang'!AT$41)</f>
        <v>0</v>
      </c>
      <c r="AU159" s="56">
        <f>SUMIFS('CWO Bulan Ini'!$DD:$DD,'CWO Bulan Ini'!$DJ:$DJ,'Area-Cabang'!$B159,'CWO Bulan Ini'!$DH:$DH,'Area-Cabang'!$E159,'CWO Bulan Ini'!$CZ:$CZ,'Area-Cabang'!AU$41)</f>
        <v>0</v>
      </c>
      <c r="AV159" s="56">
        <f>SUMIFS('CWO Bulan Ini'!$DD:$DD,'CWO Bulan Ini'!$DJ:$DJ,'Area-Cabang'!$B159,'CWO Bulan Ini'!$DH:$DH,'Area-Cabang'!$E159,'CWO Bulan Ini'!$CZ:$CZ,'Area-Cabang'!AV$41)</f>
        <v>0</v>
      </c>
      <c r="AW159" s="56">
        <f>SUMIFS('CWO Bulan Ini'!$DD:$DD,'CWO Bulan Ini'!$DJ:$DJ,'Area-Cabang'!$B159,'CWO Bulan Ini'!$DH:$DH,'Area-Cabang'!$E159,'CWO Bulan Ini'!$CZ:$CZ,'Area-Cabang'!AW$41)</f>
        <v>0</v>
      </c>
      <c r="AX159" s="56">
        <f>SUMIFS('CWO Bulan Ini'!$DD:$DD,'CWO Bulan Ini'!$DJ:$DJ,'Area-Cabang'!$B159,'CWO Bulan Ini'!$DH:$DH,'Area-Cabang'!$E159,'CWO Bulan Ini'!$CZ:$CZ,'Area-Cabang'!AX$41)</f>
        <v>0</v>
      </c>
      <c r="AY159" s="56">
        <f>SUMIFS('CWO Bulan Ini'!$DD:$DD,'CWO Bulan Ini'!$DJ:$DJ,'Area-Cabang'!$B159,'CWO Bulan Ini'!$DH:$DH,'Area-Cabang'!$E159,'CWO Bulan Ini'!$CZ:$CZ,'Area-Cabang'!AY$41)</f>
        <v>0</v>
      </c>
      <c r="AZ159" s="56">
        <f>SUMIFS('CWO Bulan Ini'!$DD:$DD,'CWO Bulan Ini'!$DJ:$DJ,'Area-Cabang'!$B159,'CWO Bulan Ini'!$DH:$DH,'Area-Cabang'!$E159,'CWO Bulan Ini'!$CZ:$CZ,'Area-Cabang'!AZ$41)</f>
        <v>0</v>
      </c>
      <c r="BA159" s="56">
        <f>SUMIFS('CWO Bulan Ini'!$DD:$DD,'CWO Bulan Ini'!$DJ:$DJ,'Area-Cabang'!$B159,'CWO Bulan Ini'!$DH:$DH,'Area-Cabang'!$E159,'CWO Bulan Ini'!$CZ:$CZ,'Area-Cabang'!BA$41)</f>
        <v>0</v>
      </c>
      <c r="BB159" s="56">
        <f>SUMIFS('CWO Bulan Ini'!$DD:$DD,'CWO Bulan Ini'!$DJ:$DJ,'Area-Cabang'!$B159,'CWO Bulan Ini'!$DH:$DH,'Area-Cabang'!$E159,'CWO Bulan Ini'!$CZ:$CZ,'Area-Cabang'!BB$41)</f>
        <v>0</v>
      </c>
      <c r="BC159" s="56">
        <f>SUMIFS('CWO Bulan Ini'!$DD:$DD,'CWO Bulan Ini'!$DJ:$DJ,'Area-Cabang'!$B159,'CWO Bulan Ini'!$DH:$DH,'Area-Cabang'!$E159,'CWO Bulan Ini'!$CZ:$CZ,'Area-Cabang'!BC$41)</f>
        <v>0</v>
      </c>
      <c r="BD159" s="56">
        <f>SUMIFS('CWO Bulan Ini'!$DD:$DD,'CWO Bulan Ini'!$DJ:$DJ,'Area-Cabang'!$B159,'CWO Bulan Ini'!$DH:$DH,'Area-Cabang'!$E159,'CWO Bulan Ini'!$CZ:$CZ,'Area-Cabang'!BD$41)</f>
        <v>0</v>
      </c>
      <c r="BE159" s="56">
        <f>SUMIFS('CWO Bulan Ini'!$DD:$DD,'CWO Bulan Ini'!$DJ:$DJ,'Area-Cabang'!$B159,'CWO Bulan Ini'!$DH:$DH,'Area-Cabang'!$E159,'CWO Bulan Ini'!$CZ:$CZ,'Area-Cabang'!BE$41)</f>
        <v>0</v>
      </c>
      <c r="BF159" s="56">
        <f>SUMIFS('CWO Bulan Ini'!$DD:$DD,'CWO Bulan Ini'!$DJ:$DJ,'Area-Cabang'!$B159,'CWO Bulan Ini'!$DH:$DH,'Area-Cabang'!$E159,'CWO Bulan Ini'!$CZ:$CZ,'Area-Cabang'!BF$41)</f>
        <v>0</v>
      </c>
      <c r="BG159" s="56">
        <f>SUMIFS('CWO Bulan Ini'!$DD:$DD,'CWO Bulan Ini'!$DJ:$DJ,'Area-Cabang'!$B159,'CWO Bulan Ini'!$DH:$DH,'Area-Cabang'!$E159,'CWO Bulan Ini'!$CZ:$CZ,'Area-Cabang'!BG$41)</f>
        <v>0</v>
      </c>
      <c r="BH159" s="56">
        <f>SUMIFS('CWO Bulan Ini'!$DD:$DD,'CWO Bulan Ini'!$DJ:$DJ,'Area-Cabang'!$B159,'CWO Bulan Ini'!$DH:$DH,'Area-Cabang'!$E159,'CWO Bulan Ini'!$CZ:$CZ,'Area-Cabang'!BH$41)</f>
        <v>0</v>
      </c>
      <c r="BI159" s="56">
        <f>SUMIFS('CWO Bulan Ini'!$DD:$DD,'CWO Bulan Ini'!$DJ:$DJ,'Area-Cabang'!$B159,'CWO Bulan Ini'!$DH:$DH,'Area-Cabang'!$E159,'CWO Bulan Ini'!$CZ:$CZ,'Area-Cabang'!BI$41)</f>
        <v>0</v>
      </c>
      <c r="BJ159" s="56">
        <f>SUMIFS('CWO Bulan Ini'!$DD:$DD,'CWO Bulan Ini'!$DJ:$DJ,'Area-Cabang'!$B159,'CWO Bulan Ini'!$DH:$DH,'Area-Cabang'!$E159,'CWO Bulan Ini'!$CZ:$CZ,'Area-Cabang'!BJ$41)</f>
        <v>0</v>
      </c>
      <c r="BK159" s="56">
        <f>SUMIFS('CWO Bulan Ini'!$DD:$DD,'CWO Bulan Ini'!$DJ:$DJ,'Area-Cabang'!$B159,'CWO Bulan Ini'!$DH:$DH,'Area-Cabang'!$E159,'CWO Bulan Ini'!$CZ:$CZ,'Area-Cabang'!BK$41)</f>
        <v>0</v>
      </c>
      <c r="BL159" s="56">
        <f>SUMIFS('CWO Bulan Ini'!$DD:$DD,'CWO Bulan Ini'!$DJ:$DJ,'Area-Cabang'!$B159,'CWO Bulan Ini'!$DH:$DH,'Area-Cabang'!$E159,'CWO Bulan Ini'!$CZ:$CZ,'Area-Cabang'!BL$41)</f>
        <v>0</v>
      </c>
      <c r="BM159" s="56">
        <f>SUMIFS('CWO Bulan Ini'!$DD:$DD,'CWO Bulan Ini'!$DJ:$DJ,'Area-Cabang'!$B159,'CWO Bulan Ini'!$DH:$DH,'Area-Cabang'!$E159,'CWO Bulan Ini'!$CZ:$CZ,'Area-Cabang'!BM$41)</f>
        <v>0</v>
      </c>
      <c r="BN159" s="56">
        <f>SUMIFS('CWO Bulan Ini'!$DD:$DD,'CWO Bulan Ini'!$DJ:$DJ,'Area-Cabang'!$B159,'CWO Bulan Ini'!$DH:$DH,'Area-Cabang'!$E159,'CWO Bulan Ini'!$CZ:$CZ,'Area-Cabang'!BN$41)</f>
        <v>0</v>
      </c>
      <c r="BO159" s="57">
        <f>SUMIFS('CWO Bulan Ini'!$DD:$DD,'CWO Bulan Ini'!$DJ:$DJ,'Area-Cabang'!$B159,'CWO Bulan Ini'!$DH:$DH,'Area-Cabang'!$E159,'CWO Bulan Ini'!$CZ:$CZ,'Area-Cabang'!BO$41)</f>
        <v>0</v>
      </c>
      <c r="BP159" s="55">
        <f>SUMIFS('CWO Bulan Ini'!$DC:$DC,'CWO Bulan Ini'!$DJ:$DJ,'Area-Cabang'!$B159,'CWO Bulan Ini'!$DH:$DH,'Area-Cabang'!$E159,'CWO Bulan Ini'!$CZ:$CZ,'Area-Cabang'!BP$41)</f>
        <v>0</v>
      </c>
      <c r="BQ159" s="56">
        <f>SUMIFS('CWO Bulan Ini'!$DC:$DC,'CWO Bulan Ini'!$DJ:$DJ,'Area-Cabang'!$B159,'CWO Bulan Ini'!$DH:$DH,'Area-Cabang'!$E159,'CWO Bulan Ini'!$CZ:$CZ,'Area-Cabang'!BQ$41)</f>
        <v>0</v>
      </c>
      <c r="BR159" s="56">
        <f>SUMIFS('CWO Bulan Ini'!$DC:$DC,'CWO Bulan Ini'!$DJ:$DJ,'Area-Cabang'!$B159,'CWO Bulan Ini'!$DH:$DH,'Area-Cabang'!$E159,'CWO Bulan Ini'!$CZ:$CZ,'Area-Cabang'!BR$41)</f>
        <v>0</v>
      </c>
      <c r="BS159" s="56">
        <f>SUMIFS('CWO Bulan Ini'!$DC:$DC,'CWO Bulan Ini'!$DJ:$DJ,'Area-Cabang'!$B159,'CWO Bulan Ini'!$DH:$DH,'Area-Cabang'!$E159,'CWO Bulan Ini'!$CZ:$CZ,'Area-Cabang'!BS$41)</f>
        <v>10.482149849999999</v>
      </c>
      <c r="BT159" s="56">
        <f>SUMIFS('CWO Bulan Ini'!$DC:$DC,'CWO Bulan Ini'!$DJ:$DJ,'Area-Cabang'!$B159,'CWO Bulan Ini'!$DH:$DH,'Area-Cabang'!$E159,'CWO Bulan Ini'!$CZ:$CZ,'Area-Cabang'!BT$41)</f>
        <v>0</v>
      </c>
      <c r="BU159" s="56">
        <f>SUMIFS('CWO Bulan Ini'!$DC:$DC,'CWO Bulan Ini'!$DJ:$DJ,'Area-Cabang'!$B159,'CWO Bulan Ini'!$DH:$DH,'Area-Cabang'!$E159,'CWO Bulan Ini'!$CZ:$CZ,'Area-Cabang'!BU$41)</f>
        <v>0</v>
      </c>
      <c r="BV159" s="56">
        <f>SUMIFS('CWO Bulan Ini'!$DC:$DC,'CWO Bulan Ini'!$DJ:$DJ,'Area-Cabang'!$B159,'CWO Bulan Ini'!$DH:$DH,'Area-Cabang'!$E159,'CWO Bulan Ini'!$CZ:$CZ,'Area-Cabang'!BV$41)</f>
        <v>0</v>
      </c>
      <c r="BW159" s="56">
        <f>SUMIFS('CWO Bulan Ini'!$DC:$DC,'CWO Bulan Ini'!$DJ:$DJ,'Area-Cabang'!$B159,'CWO Bulan Ini'!$DH:$DH,'Area-Cabang'!$E159,'CWO Bulan Ini'!$CZ:$CZ,'Area-Cabang'!BW$41)</f>
        <v>0</v>
      </c>
      <c r="BX159" s="56">
        <f>SUMIFS('CWO Bulan Ini'!$DC:$DC,'CWO Bulan Ini'!$DJ:$DJ,'Area-Cabang'!$B159,'CWO Bulan Ini'!$DH:$DH,'Area-Cabang'!$E159,'CWO Bulan Ini'!$CZ:$CZ,'Area-Cabang'!BX$41)</f>
        <v>0</v>
      </c>
      <c r="BY159" s="56">
        <f>SUMIFS('CWO Bulan Ini'!$DC:$DC,'CWO Bulan Ini'!$DJ:$DJ,'Area-Cabang'!$B159,'CWO Bulan Ini'!$DH:$DH,'Area-Cabang'!$E159,'CWO Bulan Ini'!$CZ:$CZ,'Area-Cabang'!BY$41)</f>
        <v>0</v>
      </c>
      <c r="BZ159" s="56">
        <f>SUMIFS('CWO Bulan Ini'!$DC:$DC,'CWO Bulan Ini'!$DJ:$DJ,'Area-Cabang'!$B159,'CWO Bulan Ini'!$DH:$DH,'Area-Cabang'!$E159,'CWO Bulan Ini'!$CZ:$CZ,'Area-Cabang'!BZ$41)</f>
        <v>0</v>
      </c>
      <c r="CA159" s="56">
        <f>SUMIFS('CWO Bulan Ini'!$DC:$DC,'CWO Bulan Ini'!$DJ:$DJ,'Area-Cabang'!$B159,'CWO Bulan Ini'!$DH:$DH,'Area-Cabang'!$E159,'CWO Bulan Ini'!$CZ:$CZ,'Area-Cabang'!CA$41)</f>
        <v>0</v>
      </c>
      <c r="CB159" s="56">
        <f>SUMIFS('CWO Bulan Ini'!$DC:$DC,'CWO Bulan Ini'!$DJ:$DJ,'Area-Cabang'!$B159,'CWO Bulan Ini'!$DH:$DH,'Area-Cabang'!$E159,'CWO Bulan Ini'!$CZ:$CZ,'Area-Cabang'!CB$41)</f>
        <v>0</v>
      </c>
      <c r="CC159" s="56">
        <f>SUMIFS('CWO Bulan Ini'!$DC:$DC,'CWO Bulan Ini'!$DJ:$DJ,'Area-Cabang'!$B159,'CWO Bulan Ini'!$DH:$DH,'Area-Cabang'!$E159,'CWO Bulan Ini'!$CZ:$CZ,'Area-Cabang'!CC$41)</f>
        <v>0</v>
      </c>
      <c r="CD159" s="56">
        <f>SUMIFS('CWO Bulan Ini'!$DC:$DC,'CWO Bulan Ini'!$DJ:$DJ,'Area-Cabang'!$B159,'CWO Bulan Ini'!$DH:$DH,'Area-Cabang'!$E159,'CWO Bulan Ini'!$CZ:$CZ,'Area-Cabang'!CD$41)</f>
        <v>0</v>
      </c>
      <c r="CE159" s="56">
        <f>SUMIFS('CWO Bulan Ini'!$DC:$DC,'CWO Bulan Ini'!$DJ:$DJ,'Area-Cabang'!$B159,'CWO Bulan Ini'!$DH:$DH,'Area-Cabang'!$E159,'CWO Bulan Ini'!$CZ:$CZ,'Area-Cabang'!CE$41)</f>
        <v>0</v>
      </c>
      <c r="CF159" s="56">
        <f>SUMIFS('CWO Bulan Ini'!$DC:$DC,'CWO Bulan Ini'!$DJ:$DJ,'Area-Cabang'!$B159,'CWO Bulan Ini'!$DH:$DH,'Area-Cabang'!$E159,'CWO Bulan Ini'!$CZ:$CZ,'Area-Cabang'!CF$41)</f>
        <v>0</v>
      </c>
      <c r="CG159" s="56">
        <f>SUMIFS('CWO Bulan Ini'!$DC:$DC,'CWO Bulan Ini'!$DJ:$DJ,'Area-Cabang'!$B159,'CWO Bulan Ini'!$DH:$DH,'Area-Cabang'!$E159,'CWO Bulan Ini'!$CZ:$CZ,'Area-Cabang'!CG$41)</f>
        <v>0</v>
      </c>
      <c r="CH159" s="56">
        <f>SUMIFS('CWO Bulan Ini'!$DC:$DC,'CWO Bulan Ini'!$DJ:$DJ,'Area-Cabang'!$B159,'CWO Bulan Ini'!$DH:$DH,'Area-Cabang'!$E159,'CWO Bulan Ini'!$CZ:$CZ,'Area-Cabang'!CH$41)</f>
        <v>0</v>
      </c>
      <c r="CI159" s="56">
        <f>SUMIFS('CWO Bulan Ini'!$DC:$DC,'CWO Bulan Ini'!$DJ:$DJ,'Area-Cabang'!$B159,'CWO Bulan Ini'!$DH:$DH,'Area-Cabang'!$E159,'CWO Bulan Ini'!$CZ:$CZ,'Area-Cabang'!CI$41)</f>
        <v>0</v>
      </c>
      <c r="CJ159" s="56">
        <f>SUMIFS('CWO Bulan Ini'!$DC:$DC,'CWO Bulan Ini'!$DJ:$DJ,'Area-Cabang'!$B159,'CWO Bulan Ini'!$DH:$DH,'Area-Cabang'!$E159,'CWO Bulan Ini'!$CZ:$CZ,'Area-Cabang'!CJ$41)</f>
        <v>0</v>
      </c>
      <c r="CK159" s="56">
        <f>SUMIFS('CWO Bulan Ini'!$DC:$DC,'CWO Bulan Ini'!$DJ:$DJ,'Area-Cabang'!$B159,'CWO Bulan Ini'!$DH:$DH,'Area-Cabang'!$E159,'CWO Bulan Ini'!$CZ:$CZ,'Area-Cabang'!CK$41)</f>
        <v>0</v>
      </c>
      <c r="CL159" s="56">
        <f>SUMIFS('CWO Bulan Ini'!$DC:$DC,'CWO Bulan Ini'!$DJ:$DJ,'Area-Cabang'!$B159,'CWO Bulan Ini'!$DH:$DH,'Area-Cabang'!$E159,'CWO Bulan Ini'!$CZ:$CZ,'Area-Cabang'!CL$41)</f>
        <v>0</v>
      </c>
      <c r="CM159" s="56">
        <f>SUMIFS('CWO Bulan Ini'!$DC:$DC,'CWO Bulan Ini'!$DJ:$DJ,'Area-Cabang'!$B159,'CWO Bulan Ini'!$DH:$DH,'Area-Cabang'!$E159,'CWO Bulan Ini'!$CZ:$CZ,'Area-Cabang'!CM$41)</f>
        <v>0</v>
      </c>
      <c r="CN159" s="56">
        <f>SUMIFS('CWO Bulan Ini'!$DC:$DC,'CWO Bulan Ini'!$DJ:$DJ,'Area-Cabang'!$B159,'CWO Bulan Ini'!$DH:$DH,'Area-Cabang'!$E159,'CWO Bulan Ini'!$CZ:$CZ,'Area-Cabang'!CN$41)</f>
        <v>0</v>
      </c>
      <c r="CO159" s="56">
        <f>SUMIFS('CWO Bulan Ini'!$DC:$DC,'CWO Bulan Ini'!$DJ:$DJ,'Area-Cabang'!$B159,'CWO Bulan Ini'!$DH:$DH,'Area-Cabang'!$E159,'CWO Bulan Ini'!$CZ:$CZ,'Area-Cabang'!CO$41)</f>
        <v>0</v>
      </c>
      <c r="CP159" s="56">
        <f>SUMIFS('CWO Bulan Ini'!$DC:$DC,'CWO Bulan Ini'!$DJ:$DJ,'Area-Cabang'!$B159,'CWO Bulan Ini'!$DH:$DH,'Area-Cabang'!$E159,'CWO Bulan Ini'!$CZ:$CZ,'Area-Cabang'!CP$41)</f>
        <v>0</v>
      </c>
      <c r="CQ159" s="56">
        <f>SUMIFS('CWO Bulan Ini'!$DC:$DC,'CWO Bulan Ini'!$DJ:$DJ,'Area-Cabang'!$B159,'CWO Bulan Ini'!$DH:$DH,'Area-Cabang'!$E159,'CWO Bulan Ini'!$CZ:$CZ,'Area-Cabang'!CQ$41)</f>
        <v>0</v>
      </c>
      <c r="CR159" s="56">
        <f>SUMIFS('CWO Bulan Ini'!$DC:$DC,'CWO Bulan Ini'!$DJ:$DJ,'Area-Cabang'!$B159,'CWO Bulan Ini'!$DH:$DH,'Area-Cabang'!$E159,'CWO Bulan Ini'!$CZ:$CZ,'Area-Cabang'!CR$41)</f>
        <v>0</v>
      </c>
      <c r="CS159" s="56">
        <f>SUMIFS('CWO Bulan Ini'!$DC:$DC,'CWO Bulan Ini'!$DJ:$DJ,'Area-Cabang'!$B159,'CWO Bulan Ini'!$DH:$DH,'Area-Cabang'!$E159,'CWO Bulan Ini'!$CZ:$CZ,'Area-Cabang'!CS$41)</f>
        <v>0</v>
      </c>
      <c r="CT159" s="57">
        <f>SUMIFS('CWO Bulan Ini'!$DC:$DC,'CWO Bulan Ini'!$DJ:$DJ,'Area-Cabang'!$B159,'CWO Bulan Ini'!$DH:$DH,'Area-Cabang'!$E159,'CWO Bulan Ini'!$CZ:$CZ,'Area-Cabang'!CT$41)</f>
        <v>0</v>
      </c>
      <c r="CV159" s="97">
        <f t="shared" ref="CV159:CV160" si="4998">SUM(F159:AJ159)</f>
        <v>397.71345161999994</v>
      </c>
      <c r="CW159" s="98">
        <f t="shared" ref="CW159:CW160" si="4999">SUM(AK159:BO159)</f>
        <v>273.42743254999999</v>
      </c>
      <c r="CX159" s="98">
        <f t="shared" ref="CX159:CX160" si="5000">SUM(BP159:CT159)</f>
        <v>10.482149849999999</v>
      </c>
      <c r="CY159" s="98">
        <f t="shared" ref="CY159:CY160" si="5001">CV159-CW159-CX159</f>
        <v>113.80386921999995</v>
      </c>
      <c r="CZ159" s="105">
        <f t="shared" ref="CZ159:CZ160" si="5002">CY159+CW159</f>
        <v>387.23130176999996</v>
      </c>
    </row>
    <row r="160" spans="1:104" ht="15" customHeight="1" x14ac:dyDescent="0.25">
      <c r="A160" s="58" t="s">
        <v>480</v>
      </c>
      <c r="B160" s="58" t="s">
        <v>237</v>
      </c>
      <c r="C160" s="250"/>
      <c r="D160" s="244"/>
      <c r="E160" s="40" t="s">
        <v>349</v>
      </c>
      <c r="F160" s="41">
        <f>SUMIFS('CWO Bulan Ini'!$DA:$DA,'CWO Bulan Ini'!$DJ:$DJ,'Area-Cabang'!$B160,'CWO Bulan Ini'!$DH:$DH,'Area-Cabang'!$E160,'CWO Bulan Ini'!$CZ:$CZ,'Area-Cabang'!F$41)</f>
        <v>0</v>
      </c>
      <c r="G160" s="42">
        <f>SUMIFS('CWO Bulan Ini'!$DA:$DA,'CWO Bulan Ini'!$DJ:$DJ,'Area-Cabang'!$B160,'CWO Bulan Ini'!$DH:$DH,'Area-Cabang'!$E160,'CWO Bulan Ini'!$CZ:$CZ,'Area-Cabang'!G$41)</f>
        <v>0</v>
      </c>
      <c r="H160" s="42">
        <f>SUMIFS('CWO Bulan Ini'!$DA:$DA,'CWO Bulan Ini'!$DJ:$DJ,'Area-Cabang'!$B160,'CWO Bulan Ini'!$DH:$DH,'Area-Cabang'!$E160,'CWO Bulan Ini'!$CZ:$CZ,'Area-Cabang'!H$41)</f>
        <v>0</v>
      </c>
      <c r="I160" s="42">
        <f>SUMIFS('CWO Bulan Ini'!$DA:$DA,'CWO Bulan Ini'!$DJ:$DJ,'Area-Cabang'!$B160,'CWO Bulan Ini'!$DH:$DH,'Area-Cabang'!$E160,'CWO Bulan Ini'!$CZ:$CZ,'Area-Cabang'!I$41)</f>
        <v>0</v>
      </c>
      <c r="J160" s="42">
        <f>SUMIFS('CWO Bulan Ini'!$DA:$DA,'CWO Bulan Ini'!$DJ:$DJ,'Area-Cabang'!$B160,'CWO Bulan Ini'!$DH:$DH,'Area-Cabang'!$E160,'CWO Bulan Ini'!$CZ:$CZ,'Area-Cabang'!J$41)</f>
        <v>0</v>
      </c>
      <c r="K160" s="42">
        <f>SUMIFS('CWO Bulan Ini'!$DA:$DA,'CWO Bulan Ini'!$DJ:$DJ,'Area-Cabang'!$B160,'CWO Bulan Ini'!$DH:$DH,'Area-Cabang'!$E160,'CWO Bulan Ini'!$CZ:$CZ,'Area-Cabang'!K$41)</f>
        <v>0</v>
      </c>
      <c r="L160" s="42">
        <f>SUMIFS('CWO Bulan Ini'!$DA:$DA,'CWO Bulan Ini'!$DJ:$DJ,'Area-Cabang'!$B160,'CWO Bulan Ini'!$DH:$DH,'Area-Cabang'!$E160,'CWO Bulan Ini'!$CZ:$CZ,'Area-Cabang'!L$41)</f>
        <v>0</v>
      </c>
      <c r="M160" s="42">
        <f>SUMIFS('CWO Bulan Ini'!$DA:$DA,'CWO Bulan Ini'!$DJ:$DJ,'Area-Cabang'!$B160,'CWO Bulan Ini'!$DH:$DH,'Area-Cabang'!$E160,'CWO Bulan Ini'!$CZ:$CZ,'Area-Cabang'!M$41)</f>
        <v>0</v>
      </c>
      <c r="N160" s="42">
        <f>SUMIFS('CWO Bulan Ini'!$DA:$DA,'CWO Bulan Ini'!$DJ:$DJ,'Area-Cabang'!$B160,'CWO Bulan Ini'!$DH:$DH,'Area-Cabang'!$E160,'CWO Bulan Ini'!$CZ:$CZ,'Area-Cabang'!N$41)</f>
        <v>0</v>
      </c>
      <c r="O160" s="42">
        <f>SUMIFS('CWO Bulan Ini'!$DA:$DA,'CWO Bulan Ini'!$DJ:$DJ,'Area-Cabang'!$B160,'CWO Bulan Ini'!$DH:$DH,'Area-Cabang'!$E160,'CWO Bulan Ini'!$CZ:$CZ,'Area-Cabang'!O$41)</f>
        <v>0</v>
      </c>
      <c r="P160" s="42">
        <f>SUMIFS('CWO Bulan Ini'!$DA:$DA,'CWO Bulan Ini'!$DJ:$DJ,'Area-Cabang'!$B160,'CWO Bulan Ini'!$DH:$DH,'Area-Cabang'!$E160,'CWO Bulan Ini'!$CZ:$CZ,'Area-Cabang'!P$41)</f>
        <v>0</v>
      </c>
      <c r="Q160" s="42">
        <f>SUMIFS('CWO Bulan Ini'!$DA:$DA,'CWO Bulan Ini'!$DJ:$DJ,'Area-Cabang'!$B160,'CWO Bulan Ini'!$DH:$DH,'Area-Cabang'!$E160,'CWO Bulan Ini'!$CZ:$CZ,'Area-Cabang'!Q$41)</f>
        <v>0</v>
      </c>
      <c r="R160" s="42">
        <f>SUMIFS('CWO Bulan Ini'!$DA:$DA,'CWO Bulan Ini'!$DJ:$DJ,'Area-Cabang'!$B160,'CWO Bulan Ini'!$DH:$DH,'Area-Cabang'!$E160,'CWO Bulan Ini'!$CZ:$CZ,'Area-Cabang'!R$41)</f>
        <v>0</v>
      </c>
      <c r="S160" s="42">
        <f>SUMIFS('CWO Bulan Ini'!$DA:$DA,'CWO Bulan Ini'!$DJ:$DJ,'Area-Cabang'!$B160,'CWO Bulan Ini'!$DH:$DH,'Area-Cabang'!$E160,'CWO Bulan Ini'!$CZ:$CZ,'Area-Cabang'!S$41)</f>
        <v>0</v>
      </c>
      <c r="T160" s="42">
        <f>SUMIFS('CWO Bulan Ini'!$DA:$DA,'CWO Bulan Ini'!$DJ:$DJ,'Area-Cabang'!$B160,'CWO Bulan Ini'!$DH:$DH,'Area-Cabang'!$E160,'CWO Bulan Ini'!$CZ:$CZ,'Area-Cabang'!T$41)</f>
        <v>0</v>
      </c>
      <c r="U160" s="42">
        <f>SUMIFS('CWO Bulan Ini'!$DA:$DA,'CWO Bulan Ini'!$DJ:$DJ,'Area-Cabang'!$B160,'CWO Bulan Ini'!$DH:$DH,'Area-Cabang'!$E160,'CWO Bulan Ini'!$CZ:$CZ,'Area-Cabang'!U$41)</f>
        <v>0</v>
      </c>
      <c r="V160" s="42">
        <f>SUMIFS('CWO Bulan Ini'!$DA:$DA,'CWO Bulan Ini'!$DJ:$DJ,'Area-Cabang'!$B160,'CWO Bulan Ini'!$DH:$DH,'Area-Cabang'!$E160,'CWO Bulan Ini'!$CZ:$CZ,'Area-Cabang'!V$41)</f>
        <v>0</v>
      </c>
      <c r="W160" s="42">
        <f>SUMIFS('CWO Bulan Ini'!$DA:$DA,'CWO Bulan Ini'!$DJ:$DJ,'Area-Cabang'!$B160,'CWO Bulan Ini'!$DH:$DH,'Area-Cabang'!$E160,'CWO Bulan Ini'!$CZ:$CZ,'Area-Cabang'!W$41)</f>
        <v>0</v>
      </c>
      <c r="X160" s="42">
        <f>SUMIFS('CWO Bulan Ini'!$DA:$DA,'CWO Bulan Ini'!$DJ:$DJ,'Area-Cabang'!$B160,'CWO Bulan Ini'!$DH:$DH,'Area-Cabang'!$E160,'CWO Bulan Ini'!$CZ:$CZ,'Area-Cabang'!X$41)</f>
        <v>0</v>
      </c>
      <c r="Y160" s="42">
        <f>SUMIFS('CWO Bulan Ini'!$DA:$DA,'CWO Bulan Ini'!$DJ:$DJ,'Area-Cabang'!$B160,'CWO Bulan Ini'!$DH:$DH,'Area-Cabang'!$E160,'CWO Bulan Ini'!$CZ:$CZ,'Area-Cabang'!Y$41)</f>
        <v>0</v>
      </c>
      <c r="Z160" s="42">
        <f>SUMIFS('CWO Bulan Ini'!$DA:$DA,'CWO Bulan Ini'!$DJ:$DJ,'Area-Cabang'!$B160,'CWO Bulan Ini'!$DH:$DH,'Area-Cabang'!$E160,'CWO Bulan Ini'!$CZ:$CZ,'Area-Cabang'!Z$41)</f>
        <v>0</v>
      </c>
      <c r="AA160" s="42">
        <f>SUMIFS('CWO Bulan Ini'!$DA:$DA,'CWO Bulan Ini'!$DJ:$DJ,'Area-Cabang'!$B160,'CWO Bulan Ini'!$DH:$DH,'Area-Cabang'!$E160,'CWO Bulan Ini'!$CZ:$CZ,'Area-Cabang'!AA$41)</f>
        <v>0</v>
      </c>
      <c r="AB160" s="42">
        <f>SUMIFS('CWO Bulan Ini'!$DA:$DA,'CWO Bulan Ini'!$DJ:$DJ,'Area-Cabang'!$B160,'CWO Bulan Ini'!$DH:$DH,'Area-Cabang'!$E160,'CWO Bulan Ini'!$CZ:$CZ,'Area-Cabang'!AB$41)</f>
        <v>0</v>
      </c>
      <c r="AC160" s="42">
        <f>SUMIFS('CWO Bulan Ini'!$DA:$DA,'CWO Bulan Ini'!$DJ:$DJ,'Area-Cabang'!$B160,'CWO Bulan Ini'!$DH:$DH,'Area-Cabang'!$E160,'CWO Bulan Ini'!$CZ:$CZ,'Area-Cabang'!AC$41)</f>
        <v>0</v>
      </c>
      <c r="AD160" s="42">
        <f>SUMIFS('CWO Bulan Ini'!$DA:$DA,'CWO Bulan Ini'!$DJ:$DJ,'Area-Cabang'!$B160,'CWO Bulan Ini'!$DH:$DH,'Area-Cabang'!$E160,'CWO Bulan Ini'!$CZ:$CZ,'Area-Cabang'!AD$41)</f>
        <v>0</v>
      </c>
      <c r="AE160" s="42">
        <f>SUMIFS('CWO Bulan Ini'!$DA:$DA,'CWO Bulan Ini'!$DJ:$DJ,'Area-Cabang'!$B160,'CWO Bulan Ini'!$DH:$DH,'Area-Cabang'!$E160,'CWO Bulan Ini'!$CZ:$CZ,'Area-Cabang'!AE$41)</f>
        <v>0</v>
      </c>
      <c r="AF160" s="42">
        <f>SUMIFS('CWO Bulan Ini'!$DA:$DA,'CWO Bulan Ini'!$DJ:$DJ,'Area-Cabang'!$B160,'CWO Bulan Ini'!$DH:$DH,'Area-Cabang'!$E160,'CWO Bulan Ini'!$CZ:$CZ,'Area-Cabang'!AF$41)</f>
        <v>0</v>
      </c>
      <c r="AG160" s="42">
        <f>SUMIFS('CWO Bulan Ini'!$DA:$DA,'CWO Bulan Ini'!$DJ:$DJ,'Area-Cabang'!$B160,'CWO Bulan Ini'!$DH:$DH,'Area-Cabang'!$E160,'CWO Bulan Ini'!$CZ:$CZ,'Area-Cabang'!AG$41)</f>
        <v>0</v>
      </c>
      <c r="AH160" s="42">
        <f>SUMIFS('CWO Bulan Ini'!$DA:$DA,'CWO Bulan Ini'!$DJ:$DJ,'Area-Cabang'!$B160,'CWO Bulan Ini'!$DH:$DH,'Area-Cabang'!$E160,'CWO Bulan Ini'!$CZ:$CZ,'Area-Cabang'!AH$41)</f>
        <v>0</v>
      </c>
      <c r="AI160" s="42">
        <f>SUMIFS('CWO Bulan Ini'!$DA:$DA,'CWO Bulan Ini'!$DJ:$DJ,'Area-Cabang'!$B160,'CWO Bulan Ini'!$DH:$DH,'Area-Cabang'!$E160,'CWO Bulan Ini'!$CZ:$CZ,'Area-Cabang'!AI$41)</f>
        <v>0</v>
      </c>
      <c r="AJ160" s="42">
        <f>SUMIFS('CWO Bulan Ini'!$DA:$DA,'CWO Bulan Ini'!$DJ:$DJ,'Area-Cabang'!$B160,'CWO Bulan Ini'!$DH:$DH,'Area-Cabang'!$E160,'CWO Bulan Ini'!$CZ:$CZ,'Area-Cabang'!AJ$41)</f>
        <v>0</v>
      </c>
      <c r="AK160" s="41">
        <f>SUMIFS('CWO Bulan Ini'!$DD:$DD,'CWO Bulan Ini'!$DJ:$DJ,'Area-Cabang'!$B160,'CWO Bulan Ini'!$DH:$DH,'Area-Cabang'!$E160,'CWO Bulan Ini'!$CZ:$CZ,'Area-Cabang'!AK$41)</f>
        <v>0</v>
      </c>
      <c r="AL160" s="42">
        <f>SUMIFS('CWO Bulan Ini'!$DD:$DD,'CWO Bulan Ini'!$DJ:$DJ,'Area-Cabang'!$B160,'CWO Bulan Ini'!$DH:$DH,'Area-Cabang'!$E160,'CWO Bulan Ini'!$CZ:$CZ,'Area-Cabang'!AL$41)</f>
        <v>0</v>
      </c>
      <c r="AM160" s="42">
        <f>SUMIFS('CWO Bulan Ini'!$DD:$DD,'CWO Bulan Ini'!$DJ:$DJ,'Area-Cabang'!$B160,'CWO Bulan Ini'!$DH:$DH,'Area-Cabang'!$E160,'CWO Bulan Ini'!$CZ:$CZ,'Area-Cabang'!AM$41)</f>
        <v>0</v>
      </c>
      <c r="AN160" s="42">
        <f>SUMIFS('CWO Bulan Ini'!$DD:$DD,'CWO Bulan Ini'!$DJ:$DJ,'Area-Cabang'!$B160,'CWO Bulan Ini'!$DH:$DH,'Area-Cabang'!$E160,'CWO Bulan Ini'!$CZ:$CZ,'Area-Cabang'!AN$41)</f>
        <v>0</v>
      </c>
      <c r="AO160" s="42">
        <f>SUMIFS('CWO Bulan Ini'!$DD:$DD,'CWO Bulan Ini'!$DJ:$DJ,'Area-Cabang'!$B160,'CWO Bulan Ini'!$DH:$DH,'Area-Cabang'!$E160,'CWO Bulan Ini'!$CZ:$CZ,'Area-Cabang'!AO$41)</f>
        <v>0</v>
      </c>
      <c r="AP160" s="42">
        <f>SUMIFS('CWO Bulan Ini'!$DD:$DD,'CWO Bulan Ini'!$DJ:$DJ,'Area-Cabang'!$B160,'CWO Bulan Ini'!$DH:$DH,'Area-Cabang'!$E160,'CWO Bulan Ini'!$CZ:$CZ,'Area-Cabang'!AP$41)</f>
        <v>0</v>
      </c>
      <c r="AQ160" s="42">
        <f>SUMIFS('CWO Bulan Ini'!$DD:$DD,'CWO Bulan Ini'!$DJ:$DJ,'Area-Cabang'!$B160,'CWO Bulan Ini'!$DH:$DH,'Area-Cabang'!$E160,'CWO Bulan Ini'!$CZ:$CZ,'Area-Cabang'!AQ$41)</f>
        <v>0</v>
      </c>
      <c r="AR160" s="42">
        <f>SUMIFS('CWO Bulan Ini'!$DD:$DD,'CWO Bulan Ini'!$DJ:$DJ,'Area-Cabang'!$B160,'CWO Bulan Ini'!$DH:$DH,'Area-Cabang'!$E160,'CWO Bulan Ini'!$CZ:$CZ,'Area-Cabang'!AR$41)</f>
        <v>0</v>
      </c>
      <c r="AS160" s="42">
        <f>SUMIFS('CWO Bulan Ini'!$DD:$DD,'CWO Bulan Ini'!$DJ:$DJ,'Area-Cabang'!$B160,'CWO Bulan Ini'!$DH:$DH,'Area-Cabang'!$E160,'CWO Bulan Ini'!$CZ:$CZ,'Area-Cabang'!AS$41)</f>
        <v>0</v>
      </c>
      <c r="AT160" s="42">
        <f>SUMIFS('CWO Bulan Ini'!$DD:$DD,'CWO Bulan Ini'!$DJ:$DJ,'Area-Cabang'!$B160,'CWO Bulan Ini'!$DH:$DH,'Area-Cabang'!$E160,'CWO Bulan Ini'!$CZ:$CZ,'Area-Cabang'!AT$41)</f>
        <v>0</v>
      </c>
      <c r="AU160" s="42">
        <f>SUMIFS('CWO Bulan Ini'!$DD:$DD,'CWO Bulan Ini'!$DJ:$DJ,'Area-Cabang'!$B160,'CWO Bulan Ini'!$DH:$DH,'Area-Cabang'!$E160,'CWO Bulan Ini'!$CZ:$CZ,'Area-Cabang'!AU$41)</f>
        <v>0</v>
      </c>
      <c r="AV160" s="42">
        <f>SUMIFS('CWO Bulan Ini'!$DD:$DD,'CWO Bulan Ini'!$DJ:$DJ,'Area-Cabang'!$B160,'CWO Bulan Ini'!$DH:$DH,'Area-Cabang'!$E160,'CWO Bulan Ini'!$CZ:$CZ,'Area-Cabang'!AV$41)</f>
        <v>0</v>
      </c>
      <c r="AW160" s="42">
        <f>SUMIFS('CWO Bulan Ini'!$DD:$DD,'CWO Bulan Ini'!$DJ:$DJ,'Area-Cabang'!$B160,'CWO Bulan Ini'!$DH:$DH,'Area-Cabang'!$E160,'CWO Bulan Ini'!$CZ:$CZ,'Area-Cabang'!AW$41)</f>
        <v>0</v>
      </c>
      <c r="AX160" s="42">
        <f>SUMIFS('CWO Bulan Ini'!$DD:$DD,'CWO Bulan Ini'!$DJ:$DJ,'Area-Cabang'!$B160,'CWO Bulan Ini'!$DH:$DH,'Area-Cabang'!$E160,'CWO Bulan Ini'!$CZ:$CZ,'Area-Cabang'!AX$41)</f>
        <v>0</v>
      </c>
      <c r="AY160" s="42">
        <f>SUMIFS('CWO Bulan Ini'!$DD:$DD,'CWO Bulan Ini'!$DJ:$DJ,'Area-Cabang'!$B160,'CWO Bulan Ini'!$DH:$DH,'Area-Cabang'!$E160,'CWO Bulan Ini'!$CZ:$CZ,'Area-Cabang'!AY$41)</f>
        <v>0</v>
      </c>
      <c r="AZ160" s="42">
        <f>SUMIFS('CWO Bulan Ini'!$DD:$DD,'CWO Bulan Ini'!$DJ:$DJ,'Area-Cabang'!$B160,'CWO Bulan Ini'!$DH:$DH,'Area-Cabang'!$E160,'CWO Bulan Ini'!$CZ:$CZ,'Area-Cabang'!AZ$41)</f>
        <v>0</v>
      </c>
      <c r="BA160" s="42">
        <f>SUMIFS('CWO Bulan Ini'!$DD:$DD,'CWO Bulan Ini'!$DJ:$DJ,'Area-Cabang'!$B160,'CWO Bulan Ini'!$DH:$DH,'Area-Cabang'!$E160,'CWO Bulan Ini'!$CZ:$CZ,'Area-Cabang'!BA$41)</f>
        <v>0</v>
      </c>
      <c r="BB160" s="42">
        <f>SUMIFS('CWO Bulan Ini'!$DD:$DD,'CWO Bulan Ini'!$DJ:$DJ,'Area-Cabang'!$B160,'CWO Bulan Ini'!$DH:$DH,'Area-Cabang'!$E160,'CWO Bulan Ini'!$CZ:$CZ,'Area-Cabang'!BB$41)</f>
        <v>0</v>
      </c>
      <c r="BC160" s="42">
        <f>SUMIFS('CWO Bulan Ini'!$DD:$DD,'CWO Bulan Ini'!$DJ:$DJ,'Area-Cabang'!$B160,'CWO Bulan Ini'!$DH:$DH,'Area-Cabang'!$E160,'CWO Bulan Ini'!$CZ:$CZ,'Area-Cabang'!BC$41)</f>
        <v>0</v>
      </c>
      <c r="BD160" s="42">
        <f>SUMIFS('CWO Bulan Ini'!$DD:$DD,'CWO Bulan Ini'!$DJ:$DJ,'Area-Cabang'!$B160,'CWO Bulan Ini'!$DH:$DH,'Area-Cabang'!$E160,'CWO Bulan Ini'!$CZ:$CZ,'Area-Cabang'!BD$41)</f>
        <v>0</v>
      </c>
      <c r="BE160" s="42">
        <f>SUMIFS('CWO Bulan Ini'!$DD:$DD,'CWO Bulan Ini'!$DJ:$DJ,'Area-Cabang'!$B160,'CWO Bulan Ini'!$DH:$DH,'Area-Cabang'!$E160,'CWO Bulan Ini'!$CZ:$CZ,'Area-Cabang'!BE$41)</f>
        <v>0</v>
      </c>
      <c r="BF160" s="42">
        <f>SUMIFS('CWO Bulan Ini'!$DD:$DD,'CWO Bulan Ini'!$DJ:$DJ,'Area-Cabang'!$B160,'CWO Bulan Ini'!$DH:$DH,'Area-Cabang'!$E160,'CWO Bulan Ini'!$CZ:$CZ,'Area-Cabang'!BF$41)</f>
        <v>0</v>
      </c>
      <c r="BG160" s="42">
        <f>SUMIFS('CWO Bulan Ini'!$DD:$DD,'CWO Bulan Ini'!$DJ:$DJ,'Area-Cabang'!$B160,'CWO Bulan Ini'!$DH:$DH,'Area-Cabang'!$E160,'CWO Bulan Ini'!$CZ:$CZ,'Area-Cabang'!BG$41)</f>
        <v>0</v>
      </c>
      <c r="BH160" s="42">
        <f>SUMIFS('CWO Bulan Ini'!$DD:$DD,'CWO Bulan Ini'!$DJ:$DJ,'Area-Cabang'!$B160,'CWO Bulan Ini'!$DH:$DH,'Area-Cabang'!$E160,'CWO Bulan Ini'!$CZ:$CZ,'Area-Cabang'!BH$41)</f>
        <v>0</v>
      </c>
      <c r="BI160" s="42">
        <f>SUMIFS('CWO Bulan Ini'!$DD:$DD,'CWO Bulan Ini'!$DJ:$DJ,'Area-Cabang'!$B160,'CWO Bulan Ini'!$DH:$DH,'Area-Cabang'!$E160,'CWO Bulan Ini'!$CZ:$CZ,'Area-Cabang'!BI$41)</f>
        <v>0</v>
      </c>
      <c r="BJ160" s="42">
        <f>SUMIFS('CWO Bulan Ini'!$DD:$DD,'CWO Bulan Ini'!$DJ:$DJ,'Area-Cabang'!$B160,'CWO Bulan Ini'!$DH:$DH,'Area-Cabang'!$E160,'CWO Bulan Ini'!$CZ:$CZ,'Area-Cabang'!BJ$41)</f>
        <v>0</v>
      </c>
      <c r="BK160" s="42">
        <f>SUMIFS('CWO Bulan Ini'!$DD:$DD,'CWO Bulan Ini'!$DJ:$DJ,'Area-Cabang'!$B160,'CWO Bulan Ini'!$DH:$DH,'Area-Cabang'!$E160,'CWO Bulan Ini'!$CZ:$CZ,'Area-Cabang'!BK$41)</f>
        <v>0</v>
      </c>
      <c r="BL160" s="42">
        <f>SUMIFS('CWO Bulan Ini'!$DD:$DD,'CWO Bulan Ini'!$DJ:$DJ,'Area-Cabang'!$B160,'CWO Bulan Ini'!$DH:$DH,'Area-Cabang'!$E160,'CWO Bulan Ini'!$CZ:$CZ,'Area-Cabang'!BL$41)</f>
        <v>0</v>
      </c>
      <c r="BM160" s="42">
        <f>SUMIFS('CWO Bulan Ini'!$DD:$DD,'CWO Bulan Ini'!$DJ:$DJ,'Area-Cabang'!$B160,'CWO Bulan Ini'!$DH:$DH,'Area-Cabang'!$E160,'CWO Bulan Ini'!$CZ:$CZ,'Area-Cabang'!BM$41)</f>
        <v>0</v>
      </c>
      <c r="BN160" s="42">
        <f>SUMIFS('CWO Bulan Ini'!$DD:$DD,'CWO Bulan Ini'!$DJ:$DJ,'Area-Cabang'!$B160,'CWO Bulan Ini'!$DH:$DH,'Area-Cabang'!$E160,'CWO Bulan Ini'!$CZ:$CZ,'Area-Cabang'!BN$41)</f>
        <v>0</v>
      </c>
      <c r="BO160" s="43">
        <f>SUMIFS('CWO Bulan Ini'!$DD:$DD,'CWO Bulan Ini'!$DJ:$DJ,'Area-Cabang'!$B160,'CWO Bulan Ini'!$DH:$DH,'Area-Cabang'!$E160,'CWO Bulan Ini'!$CZ:$CZ,'Area-Cabang'!BO$41)</f>
        <v>0</v>
      </c>
      <c r="BP160" s="41">
        <f>SUMIFS('CWO Bulan Ini'!$DC:$DC,'CWO Bulan Ini'!$DJ:$DJ,'Area-Cabang'!$B160,'CWO Bulan Ini'!$DH:$DH,'Area-Cabang'!$E160,'CWO Bulan Ini'!$CZ:$CZ,'Area-Cabang'!BP$41)</f>
        <v>0</v>
      </c>
      <c r="BQ160" s="42">
        <f>SUMIFS('CWO Bulan Ini'!$DC:$DC,'CWO Bulan Ini'!$DJ:$DJ,'Area-Cabang'!$B160,'CWO Bulan Ini'!$DH:$DH,'Area-Cabang'!$E160,'CWO Bulan Ini'!$CZ:$CZ,'Area-Cabang'!BQ$41)</f>
        <v>0</v>
      </c>
      <c r="BR160" s="42">
        <f>SUMIFS('CWO Bulan Ini'!$DC:$DC,'CWO Bulan Ini'!$DJ:$DJ,'Area-Cabang'!$B160,'CWO Bulan Ini'!$DH:$DH,'Area-Cabang'!$E160,'CWO Bulan Ini'!$CZ:$CZ,'Area-Cabang'!BR$41)</f>
        <v>0</v>
      </c>
      <c r="BS160" s="42">
        <f>SUMIFS('CWO Bulan Ini'!$DC:$DC,'CWO Bulan Ini'!$DJ:$DJ,'Area-Cabang'!$B160,'CWO Bulan Ini'!$DH:$DH,'Area-Cabang'!$E160,'CWO Bulan Ini'!$CZ:$CZ,'Area-Cabang'!BS$41)</f>
        <v>0</v>
      </c>
      <c r="BT160" s="42">
        <f>SUMIFS('CWO Bulan Ini'!$DC:$DC,'CWO Bulan Ini'!$DJ:$DJ,'Area-Cabang'!$B160,'CWO Bulan Ini'!$DH:$DH,'Area-Cabang'!$E160,'CWO Bulan Ini'!$CZ:$CZ,'Area-Cabang'!BT$41)</f>
        <v>0</v>
      </c>
      <c r="BU160" s="42">
        <f>SUMIFS('CWO Bulan Ini'!$DC:$DC,'CWO Bulan Ini'!$DJ:$DJ,'Area-Cabang'!$B160,'CWO Bulan Ini'!$DH:$DH,'Area-Cabang'!$E160,'CWO Bulan Ini'!$CZ:$CZ,'Area-Cabang'!BU$41)</f>
        <v>0</v>
      </c>
      <c r="BV160" s="42">
        <f>SUMIFS('CWO Bulan Ini'!$DC:$DC,'CWO Bulan Ini'!$DJ:$DJ,'Area-Cabang'!$B160,'CWO Bulan Ini'!$DH:$DH,'Area-Cabang'!$E160,'CWO Bulan Ini'!$CZ:$CZ,'Area-Cabang'!BV$41)</f>
        <v>0</v>
      </c>
      <c r="BW160" s="42">
        <f>SUMIFS('CWO Bulan Ini'!$DC:$DC,'CWO Bulan Ini'!$DJ:$DJ,'Area-Cabang'!$B160,'CWO Bulan Ini'!$DH:$DH,'Area-Cabang'!$E160,'CWO Bulan Ini'!$CZ:$CZ,'Area-Cabang'!BW$41)</f>
        <v>0</v>
      </c>
      <c r="BX160" s="42">
        <f>SUMIFS('CWO Bulan Ini'!$DC:$DC,'CWO Bulan Ini'!$DJ:$DJ,'Area-Cabang'!$B160,'CWO Bulan Ini'!$DH:$DH,'Area-Cabang'!$E160,'CWO Bulan Ini'!$CZ:$CZ,'Area-Cabang'!BX$41)</f>
        <v>0</v>
      </c>
      <c r="BY160" s="42">
        <f>SUMIFS('CWO Bulan Ini'!$DC:$DC,'CWO Bulan Ini'!$DJ:$DJ,'Area-Cabang'!$B160,'CWO Bulan Ini'!$DH:$DH,'Area-Cabang'!$E160,'CWO Bulan Ini'!$CZ:$CZ,'Area-Cabang'!BY$41)</f>
        <v>0</v>
      </c>
      <c r="BZ160" s="42">
        <f>SUMIFS('CWO Bulan Ini'!$DC:$DC,'CWO Bulan Ini'!$DJ:$DJ,'Area-Cabang'!$B160,'CWO Bulan Ini'!$DH:$DH,'Area-Cabang'!$E160,'CWO Bulan Ini'!$CZ:$CZ,'Area-Cabang'!BZ$41)</f>
        <v>0</v>
      </c>
      <c r="CA160" s="42">
        <f>SUMIFS('CWO Bulan Ini'!$DC:$DC,'CWO Bulan Ini'!$DJ:$DJ,'Area-Cabang'!$B160,'CWO Bulan Ini'!$DH:$DH,'Area-Cabang'!$E160,'CWO Bulan Ini'!$CZ:$CZ,'Area-Cabang'!CA$41)</f>
        <v>0</v>
      </c>
      <c r="CB160" s="42">
        <f>SUMIFS('CWO Bulan Ini'!$DC:$DC,'CWO Bulan Ini'!$DJ:$DJ,'Area-Cabang'!$B160,'CWO Bulan Ini'!$DH:$DH,'Area-Cabang'!$E160,'CWO Bulan Ini'!$CZ:$CZ,'Area-Cabang'!CB$41)</f>
        <v>0</v>
      </c>
      <c r="CC160" s="42">
        <f>SUMIFS('CWO Bulan Ini'!$DC:$DC,'CWO Bulan Ini'!$DJ:$DJ,'Area-Cabang'!$B160,'CWO Bulan Ini'!$DH:$DH,'Area-Cabang'!$E160,'CWO Bulan Ini'!$CZ:$CZ,'Area-Cabang'!CC$41)</f>
        <v>0</v>
      </c>
      <c r="CD160" s="42">
        <f>SUMIFS('CWO Bulan Ini'!$DC:$DC,'CWO Bulan Ini'!$DJ:$DJ,'Area-Cabang'!$B160,'CWO Bulan Ini'!$DH:$DH,'Area-Cabang'!$E160,'CWO Bulan Ini'!$CZ:$CZ,'Area-Cabang'!CD$41)</f>
        <v>0</v>
      </c>
      <c r="CE160" s="42">
        <f>SUMIFS('CWO Bulan Ini'!$DC:$DC,'CWO Bulan Ini'!$DJ:$DJ,'Area-Cabang'!$B160,'CWO Bulan Ini'!$DH:$DH,'Area-Cabang'!$E160,'CWO Bulan Ini'!$CZ:$CZ,'Area-Cabang'!CE$41)</f>
        <v>0</v>
      </c>
      <c r="CF160" s="42">
        <f>SUMIFS('CWO Bulan Ini'!$DC:$DC,'CWO Bulan Ini'!$DJ:$DJ,'Area-Cabang'!$B160,'CWO Bulan Ini'!$DH:$DH,'Area-Cabang'!$E160,'CWO Bulan Ini'!$CZ:$CZ,'Area-Cabang'!CF$41)</f>
        <v>0</v>
      </c>
      <c r="CG160" s="42">
        <f>SUMIFS('CWO Bulan Ini'!$DC:$DC,'CWO Bulan Ini'!$DJ:$DJ,'Area-Cabang'!$B160,'CWO Bulan Ini'!$DH:$DH,'Area-Cabang'!$E160,'CWO Bulan Ini'!$CZ:$CZ,'Area-Cabang'!CG$41)</f>
        <v>0</v>
      </c>
      <c r="CH160" s="42">
        <f>SUMIFS('CWO Bulan Ini'!$DC:$DC,'CWO Bulan Ini'!$DJ:$DJ,'Area-Cabang'!$B160,'CWO Bulan Ini'!$DH:$DH,'Area-Cabang'!$E160,'CWO Bulan Ini'!$CZ:$CZ,'Area-Cabang'!CH$41)</f>
        <v>0</v>
      </c>
      <c r="CI160" s="42">
        <f>SUMIFS('CWO Bulan Ini'!$DC:$DC,'CWO Bulan Ini'!$DJ:$DJ,'Area-Cabang'!$B160,'CWO Bulan Ini'!$DH:$DH,'Area-Cabang'!$E160,'CWO Bulan Ini'!$CZ:$CZ,'Area-Cabang'!CI$41)</f>
        <v>0</v>
      </c>
      <c r="CJ160" s="42">
        <f>SUMIFS('CWO Bulan Ini'!$DC:$DC,'CWO Bulan Ini'!$DJ:$DJ,'Area-Cabang'!$B160,'CWO Bulan Ini'!$DH:$DH,'Area-Cabang'!$E160,'CWO Bulan Ini'!$CZ:$CZ,'Area-Cabang'!CJ$41)</f>
        <v>0</v>
      </c>
      <c r="CK160" s="42">
        <f>SUMIFS('CWO Bulan Ini'!$DC:$DC,'CWO Bulan Ini'!$DJ:$DJ,'Area-Cabang'!$B160,'CWO Bulan Ini'!$DH:$DH,'Area-Cabang'!$E160,'CWO Bulan Ini'!$CZ:$CZ,'Area-Cabang'!CK$41)</f>
        <v>0</v>
      </c>
      <c r="CL160" s="42">
        <f>SUMIFS('CWO Bulan Ini'!$DC:$DC,'CWO Bulan Ini'!$DJ:$DJ,'Area-Cabang'!$B160,'CWO Bulan Ini'!$DH:$DH,'Area-Cabang'!$E160,'CWO Bulan Ini'!$CZ:$CZ,'Area-Cabang'!CL$41)</f>
        <v>0</v>
      </c>
      <c r="CM160" s="42">
        <f>SUMIFS('CWO Bulan Ini'!$DC:$DC,'CWO Bulan Ini'!$DJ:$DJ,'Area-Cabang'!$B160,'CWO Bulan Ini'!$DH:$DH,'Area-Cabang'!$E160,'CWO Bulan Ini'!$CZ:$CZ,'Area-Cabang'!CM$41)</f>
        <v>0</v>
      </c>
      <c r="CN160" s="42">
        <f>SUMIFS('CWO Bulan Ini'!$DC:$DC,'CWO Bulan Ini'!$DJ:$DJ,'Area-Cabang'!$B160,'CWO Bulan Ini'!$DH:$DH,'Area-Cabang'!$E160,'CWO Bulan Ini'!$CZ:$CZ,'Area-Cabang'!CN$41)</f>
        <v>0</v>
      </c>
      <c r="CO160" s="42">
        <f>SUMIFS('CWO Bulan Ini'!$DC:$DC,'CWO Bulan Ini'!$DJ:$DJ,'Area-Cabang'!$B160,'CWO Bulan Ini'!$DH:$DH,'Area-Cabang'!$E160,'CWO Bulan Ini'!$CZ:$CZ,'Area-Cabang'!CO$41)</f>
        <v>0</v>
      </c>
      <c r="CP160" s="42">
        <f>SUMIFS('CWO Bulan Ini'!$DC:$DC,'CWO Bulan Ini'!$DJ:$DJ,'Area-Cabang'!$B160,'CWO Bulan Ini'!$DH:$DH,'Area-Cabang'!$E160,'CWO Bulan Ini'!$CZ:$CZ,'Area-Cabang'!CP$41)</f>
        <v>0</v>
      </c>
      <c r="CQ160" s="42">
        <f>SUMIFS('CWO Bulan Ini'!$DC:$DC,'CWO Bulan Ini'!$DJ:$DJ,'Area-Cabang'!$B160,'CWO Bulan Ini'!$DH:$DH,'Area-Cabang'!$E160,'CWO Bulan Ini'!$CZ:$CZ,'Area-Cabang'!CQ$41)</f>
        <v>0</v>
      </c>
      <c r="CR160" s="42">
        <f>SUMIFS('CWO Bulan Ini'!$DC:$DC,'CWO Bulan Ini'!$DJ:$DJ,'Area-Cabang'!$B160,'CWO Bulan Ini'!$DH:$DH,'Area-Cabang'!$E160,'CWO Bulan Ini'!$CZ:$CZ,'Area-Cabang'!CR$41)</f>
        <v>0</v>
      </c>
      <c r="CS160" s="42">
        <f>SUMIFS('CWO Bulan Ini'!$DC:$DC,'CWO Bulan Ini'!$DJ:$DJ,'Area-Cabang'!$B160,'CWO Bulan Ini'!$DH:$DH,'Area-Cabang'!$E160,'CWO Bulan Ini'!$CZ:$CZ,'Area-Cabang'!CS$41)</f>
        <v>0</v>
      </c>
      <c r="CT160" s="43">
        <f>SUMIFS('CWO Bulan Ini'!$DC:$DC,'CWO Bulan Ini'!$DJ:$DJ,'Area-Cabang'!$B160,'CWO Bulan Ini'!$DH:$DH,'Area-Cabang'!$E160,'CWO Bulan Ini'!$CZ:$CZ,'Area-Cabang'!CT$41)</f>
        <v>0</v>
      </c>
      <c r="CV160" s="96">
        <f t="shared" si="4998"/>
        <v>0</v>
      </c>
      <c r="CW160" s="93">
        <f t="shared" si="4999"/>
        <v>0</v>
      </c>
      <c r="CX160" s="93">
        <f t="shared" si="5000"/>
        <v>0</v>
      </c>
      <c r="CY160" s="93">
        <f t="shared" si="5001"/>
        <v>0</v>
      </c>
      <c r="CZ160" s="106">
        <f t="shared" si="5002"/>
        <v>0</v>
      </c>
    </row>
    <row r="161" spans="1:104" ht="15" customHeight="1" x14ac:dyDescent="0.25">
      <c r="A161" s="59" t="s">
        <v>480</v>
      </c>
      <c r="B161" s="60" t="s">
        <v>846</v>
      </c>
      <c r="C161" s="251"/>
      <c r="D161" s="227" t="s">
        <v>846</v>
      </c>
      <c r="E161" s="228"/>
      <c r="F161" s="219">
        <f t="shared" ref="F161" si="5003">SUM(F159:F160)</f>
        <v>0</v>
      </c>
      <c r="G161" s="220">
        <f t="shared" ref="G161" si="5004">SUM(G159:G160)</f>
        <v>72.322370919999997</v>
      </c>
      <c r="H161" s="220">
        <f t="shared" ref="H161" si="5005">SUM(H159:H160)</f>
        <v>7.4018064000000008</v>
      </c>
      <c r="I161" s="220">
        <f t="shared" ref="I161" si="5006">SUM(I159:I160)</f>
        <v>204.18540508000001</v>
      </c>
      <c r="J161" s="220">
        <f t="shared" ref="J161" si="5007">SUM(J159:J160)</f>
        <v>0</v>
      </c>
      <c r="K161" s="220">
        <f t="shared" ref="K161" si="5008">SUM(K159:K160)</f>
        <v>0</v>
      </c>
      <c r="L161" s="220">
        <f t="shared" ref="L161" si="5009">SUM(L159:L160)</f>
        <v>0</v>
      </c>
      <c r="M161" s="220">
        <f t="shared" ref="M161" si="5010">SUM(M159:M160)</f>
        <v>0</v>
      </c>
      <c r="N161" s="220">
        <f t="shared" ref="N161" si="5011">SUM(N159:N160)</f>
        <v>52.521171509999995</v>
      </c>
      <c r="O161" s="220">
        <f t="shared" ref="O161" si="5012">SUM(O159:O160)</f>
        <v>0</v>
      </c>
      <c r="P161" s="220">
        <f t="shared" ref="P161" si="5013">SUM(P159:P160)</f>
        <v>0</v>
      </c>
      <c r="Q161" s="220">
        <f t="shared" ref="Q161" si="5014">SUM(Q159:Q160)</f>
        <v>0</v>
      </c>
      <c r="R161" s="220">
        <f t="shared" ref="R161" si="5015">SUM(R159:R160)</f>
        <v>0</v>
      </c>
      <c r="S161" s="220">
        <f t="shared" ref="S161" si="5016">SUM(S159:S160)</f>
        <v>0</v>
      </c>
      <c r="T161" s="220">
        <f t="shared" ref="T161" si="5017">SUM(T159:T160)</f>
        <v>0</v>
      </c>
      <c r="U161" s="220">
        <f t="shared" ref="U161" si="5018">SUM(U159:U160)</f>
        <v>0</v>
      </c>
      <c r="V161" s="220">
        <f t="shared" ref="V161" si="5019">SUM(V159:V160)</f>
        <v>0</v>
      </c>
      <c r="W161" s="220">
        <f t="shared" ref="W161" si="5020">SUM(W159:W160)</f>
        <v>0</v>
      </c>
      <c r="X161" s="220">
        <f t="shared" ref="X161" si="5021">SUM(X159:X160)</f>
        <v>61.282697710000001</v>
      </c>
      <c r="Y161" s="220">
        <f t="shared" ref="Y161" si="5022">SUM(Y159:Y160)</f>
        <v>0</v>
      </c>
      <c r="Z161" s="220">
        <f t="shared" ref="Z161" si="5023">SUM(Z159:Z160)</f>
        <v>0</v>
      </c>
      <c r="AA161" s="220">
        <f t="shared" ref="AA161" si="5024">SUM(AA159:AA160)</f>
        <v>0</v>
      </c>
      <c r="AB161" s="220">
        <f t="shared" ref="AB161" si="5025">SUM(AB159:AB160)</f>
        <v>0</v>
      </c>
      <c r="AC161" s="220">
        <f t="shared" ref="AC161" si="5026">SUM(AC159:AC160)</f>
        <v>0</v>
      </c>
      <c r="AD161" s="220">
        <f t="shared" ref="AD161" si="5027">SUM(AD159:AD160)</f>
        <v>0</v>
      </c>
      <c r="AE161" s="220">
        <f t="shared" ref="AE161" si="5028">SUM(AE159:AE160)</f>
        <v>0</v>
      </c>
      <c r="AF161" s="220">
        <f t="shared" ref="AF161" si="5029">SUM(AF159:AF160)</f>
        <v>0</v>
      </c>
      <c r="AG161" s="220">
        <f t="shared" ref="AG161" si="5030">SUM(AG159:AG160)</f>
        <v>0</v>
      </c>
      <c r="AH161" s="220">
        <f t="shared" ref="AH161" si="5031">SUM(AH159:AH160)</f>
        <v>0</v>
      </c>
      <c r="AI161" s="220">
        <f t="shared" ref="AI161" si="5032">SUM(AI159:AI160)</f>
        <v>0</v>
      </c>
      <c r="AJ161" s="220">
        <f t="shared" ref="AJ161" si="5033">SUM(AJ159:AJ160)</f>
        <v>0</v>
      </c>
      <c r="AK161" s="219">
        <f t="shared" ref="AK161" si="5034">SUM(AK159:AK160)</f>
        <v>0</v>
      </c>
      <c r="AL161" s="220">
        <f t="shared" ref="AL161" si="5035">SUM(AL159:AL160)</f>
        <v>72.322370919999997</v>
      </c>
      <c r="AM161" s="220">
        <f t="shared" ref="AM161" si="5036">SUM(AM159:AM160)</f>
        <v>7.4018064000000008</v>
      </c>
      <c r="AN161" s="220">
        <f t="shared" ref="AN161" si="5037">SUM(AN159:AN160)</f>
        <v>193.70325523</v>
      </c>
      <c r="AO161" s="220">
        <f t="shared" ref="AO161" si="5038">SUM(AO159:AO160)</f>
        <v>0</v>
      </c>
      <c r="AP161" s="220">
        <f t="shared" ref="AP161" si="5039">SUM(AP159:AP160)</f>
        <v>0</v>
      </c>
      <c r="AQ161" s="220">
        <f t="shared" ref="AQ161" si="5040">SUM(AQ159:AQ160)</f>
        <v>0</v>
      </c>
      <c r="AR161" s="220">
        <f t="shared" ref="AR161" si="5041">SUM(AR159:AR160)</f>
        <v>0</v>
      </c>
      <c r="AS161" s="220">
        <f t="shared" ref="AS161" si="5042">SUM(AS159:AS160)</f>
        <v>0</v>
      </c>
      <c r="AT161" s="220">
        <f t="shared" ref="AT161" si="5043">SUM(AT159:AT160)</f>
        <v>0</v>
      </c>
      <c r="AU161" s="220">
        <f t="shared" ref="AU161" si="5044">SUM(AU159:AU160)</f>
        <v>0</v>
      </c>
      <c r="AV161" s="220">
        <f t="shared" ref="AV161" si="5045">SUM(AV159:AV160)</f>
        <v>0</v>
      </c>
      <c r="AW161" s="220">
        <f t="shared" ref="AW161" si="5046">SUM(AW159:AW160)</f>
        <v>0</v>
      </c>
      <c r="AX161" s="220">
        <f t="shared" ref="AX161" si="5047">SUM(AX159:AX160)</f>
        <v>0</v>
      </c>
      <c r="AY161" s="220">
        <f t="shared" ref="AY161" si="5048">SUM(AY159:AY160)</f>
        <v>0</v>
      </c>
      <c r="AZ161" s="220">
        <f t="shared" ref="AZ161" si="5049">SUM(AZ159:AZ160)</f>
        <v>0</v>
      </c>
      <c r="BA161" s="220">
        <f t="shared" ref="BA161" si="5050">SUM(BA159:BA160)</f>
        <v>0</v>
      </c>
      <c r="BB161" s="220">
        <f t="shared" ref="BB161" si="5051">SUM(BB159:BB160)</f>
        <v>0</v>
      </c>
      <c r="BC161" s="220">
        <f t="shared" ref="BC161" si="5052">SUM(BC159:BC160)</f>
        <v>0</v>
      </c>
      <c r="BD161" s="220">
        <f t="shared" ref="BD161" si="5053">SUM(BD159:BD160)</f>
        <v>0</v>
      </c>
      <c r="BE161" s="220">
        <f t="shared" ref="BE161" si="5054">SUM(BE159:BE160)</f>
        <v>0</v>
      </c>
      <c r="BF161" s="220">
        <f t="shared" ref="BF161" si="5055">SUM(BF159:BF160)</f>
        <v>0</v>
      </c>
      <c r="BG161" s="220">
        <f t="shared" ref="BG161" si="5056">SUM(BG159:BG160)</f>
        <v>0</v>
      </c>
      <c r="BH161" s="220">
        <f t="shared" ref="BH161" si="5057">SUM(BH159:BH160)</f>
        <v>0</v>
      </c>
      <c r="BI161" s="220">
        <f t="shared" ref="BI161" si="5058">SUM(BI159:BI160)</f>
        <v>0</v>
      </c>
      <c r="BJ161" s="220">
        <f t="shared" ref="BJ161" si="5059">SUM(BJ159:BJ160)</f>
        <v>0</v>
      </c>
      <c r="BK161" s="220">
        <f t="shared" ref="BK161" si="5060">SUM(BK159:BK160)</f>
        <v>0</v>
      </c>
      <c r="BL161" s="220">
        <f t="shared" ref="BL161" si="5061">SUM(BL159:BL160)</f>
        <v>0</v>
      </c>
      <c r="BM161" s="220">
        <f t="shared" ref="BM161" si="5062">SUM(BM159:BM160)</f>
        <v>0</v>
      </c>
      <c r="BN161" s="220">
        <f t="shared" ref="BN161" si="5063">SUM(BN159:BN160)</f>
        <v>0</v>
      </c>
      <c r="BO161" s="221">
        <f t="shared" ref="BO161" si="5064">SUM(BO159:BO160)</f>
        <v>0</v>
      </c>
      <c r="BP161" s="219">
        <f t="shared" ref="BP161" si="5065">SUM(BP159:BP160)</f>
        <v>0</v>
      </c>
      <c r="BQ161" s="220">
        <f t="shared" ref="BQ161" si="5066">SUM(BQ159:BQ160)</f>
        <v>0</v>
      </c>
      <c r="BR161" s="220">
        <f t="shared" ref="BR161" si="5067">SUM(BR159:BR160)</f>
        <v>0</v>
      </c>
      <c r="BS161" s="220">
        <f t="shared" ref="BS161" si="5068">SUM(BS159:BS160)</f>
        <v>10.482149849999999</v>
      </c>
      <c r="BT161" s="220">
        <f t="shared" ref="BT161" si="5069">SUM(BT159:BT160)</f>
        <v>0</v>
      </c>
      <c r="BU161" s="220">
        <f t="shared" ref="BU161" si="5070">SUM(BU159:BU160)</f>
        <v>0</v>
      </c>
      <c r="BV161" s="220">
        <f t="shared" ref="BV161" si="5071">SUM(BV159:BV160)</f>
        <v>0</v>
      </c>
      <c r="BW161" s="220">
        <f t="shared" ref="BW161" si="5072">SUM(BW159:BW160)</f>
        <v>0</v>
      </c>
      <c r="BX161" s="220">
        <f t="shared" ref="BX161" si="5073">SUM(BX159:BX160)</f>
        <v>0</v>
      </c>
      <c r="BY161" s="220">
        <f t="shared" ref="BY161" si="5074">SUM(BY159:BY160)</f>
        <v>0</v>
      </c>
      <c r="BZ161" s="220">
        <f t="shared" ref="BZ161" si="5075">SUM(BZ159:BZ160)</f>
        <v>0</v>
      </c>
      <c r="CA161" s="220">
        <f t="shared" ref="CA161" si="5076">SUM(CA159:CA160)</f>
        <v>0</v>
      </c>
      <c r="CB161" s="220">
        <f t="shared" ref="CB161" si="5077">SUM(CB159:CB160)</f>
        <v>0</v>
      </c>
      <c r="CC161" s="220">
        <f t="shared" ref="CC161" si="5078">SUM(CC159:CC160)</f>
        <v>0</v>
      </c>
      <c r="CD161" s="220">
        <f t="shared" ref="CD161" si="5079">SUM(CD159:CD160)</f>
        <v>0</v>
      </c>
      <c r="CE161" s="220">
        <f t="shared" ref="CE161" si="5080">SUM(CE159:CE160)</f>
        <v>0</v>
      </c>
      <c r="CF161" s="220">
        <f t="shared" ref="CF161" si="5081">SUM(CF159:CF160)</f>
        <v>0</v>
      </c>
      <c r="CG161" s="220">
        <f t="shared" ref="CG161" si="5082">SUM(CG159:CG160)</f>
        <v>0</v>
      </c>
      <c r="CH161" s="220">
        <f t="shared" ref="CH161" si="5083">SUM(CH159:CH160)</f>
        <v>0</v>
      </c>
      <c r="CI161" s="220">
        <f t="shared" ref="CI161" si="5084">SUM(CI159:CI160)</f>
        <v>0</v>
      </c>
      <c r="CJ161" s="220">
        <f t="shared" ref="CJ161" si="5085">SUM(CJ159:CJ160)</f>
        <v>0</v>
      </c>
      <c r="CK161" s="220">
        <f t="shared" ref="CK161" si="5086">SUM(CK159:CK160)</f>
        <v>0</v>
      </c>
      <c r="CL161" s="220">
        <f t="shared" ref="CL161" si="5087">SUM(CL159:CL160)</f>
        <v>0</v>
      </c>
      <c r="CM161" s="220">
        <f t="shared" ref="CM161" si="5088">SUM(CM159:CM160)</f>
        <v>0</v>
      </c>
      <c r="CN161" s="220">
        <f t="shared" ref="CN161" si="5089">SUM(CN159:CN160)</f>
        <v>0</v>
      </c>
      <c r="CO161" s="220">
        <f t="shared" ref="CO161" si="5090">SUM(CO159:CO160)</f>
        <v>0</v>
      </c>
      <c r="CP161" s="220">
        <f t="shared" ref="CP161" si="5091">SUM(CP159:CP160)</f>
        <v>0</v>
      </c>
      <c r="CQ161" s="220">
        <f t="shared" ref="CQ161" si="5092">SUM(CQ159:CQ160)</f>
        <v>0</v>
      </c>
      <c r="CR161" s="220">
        <f t="shared" ref="CR161" si="5093">SUM(CR159:CR160)</f>
        <v>0</v>
      </c>
      <c r="CS161" s="220">
        <f t="shared" ref="CS161" si="5094">SUM(CS159:CS160)</f>
        <v>0</v>
      </c>
      <c r="CT161" s="221">
        <f t="shared" ref="CT161" si="5095">SUM(CT159:CT160)</f>
        <v>0</v>
      </c>
      <c r="CU161" s="226"/>
      <c r="CV161" s="219">
        <f t="shared" ref="CV161" si="5096">SUM(CV159:CV160)</f>
        <v>397.71345161999994</v>
      </c>
      <c r="CW161" s="220">
        <f t="shared" ref="CW161" si="5097">SUM(CW159:CW160)</f>
        <v>273.42743254999999</v>
      </c>
      <c r="CX161" s="220">
        <f t="shared" ref="CX161" si="5098">SUM(CX159:CX160)</f>
        <v>10.482149849999999</v>
      </c>
      <c r="CY161" s="220">
        <f t="shared" ref="CY161" si="5099">SUM(CY159:CY160)</f>
        <v>113.80386921999995</v>
      </c>
      <c r="CZ161" s="222">
        <f t="shared" ref="CZ161" si="5100">SUM(CZ159:CZ160)</f>
        <v>387.23130176999996</v>
      </c>
    </row>
    <row r="162" spans="1:104" ht="15" customHeight="1" x14ac:dyDescent="0.25">
      <c r="A162" s="58" t="s">
        <v>576</v>
      </c>
      <c r="B162" s="53" t="s">
        <v>118</v>
      </c>
      <c r="C162" s="246" t="s">
        <v>576</v>
      </c>
      <c r="D162" s="245" t="s">
        <v>118</v>
      </c>
      <c r="E162" s="85" t="s">
        <v>132</v>
      </c>
      <c r="F162" s="55">
        <f>SUMIFS('CWO Bulan Ini'!$DA:$DA,'CWO Bulan Ini'!$DJ:$DJ,'Area-Cabang'!$B162,'CWO Bulan Ini'!$DH:$DH,'Area-Cabang'!$E162,'CWO Bulan Ini'!$CZ:$CZ,'Area-Cabang'!F$41)</f>
        <v>0</v>
      </c>
      <c r="G162" s="56">
        <f>SUMIFS('CWO Bulan Ini'!$DA:$DA,'CWO Bulan Ini'!$DJ:$DJ,'Area-Cabang'!$B162,'CWO Bulan Ini'!$DH:$DH,'Area-Cabang'!$E162,'CWO Bulan Ini'!$CZ:$CZ,'Area-Cabang'!G$41)</f>
        <v>0</v>
      </c>
      <c r="H162" s="56">
        <f>SUMIFS('CWO Bulan Ini'!$DA:$DA,'CWO Bulan Ini'!$DJ:$DJ,'Area-Cabang'!$B162,'CWO Bulan Ini'!$DH:$DH,'Area-Cabang'!$E162,'CWO Bulan Ini'!$CZ:$CZ,'Area-Cabang'!H$41)</f>
        <v>0</v>
      </c>
      <c r="I162" s="56">
        <f>SUMIFS('CWO Bulan Ini'!$DA:$DA,'CWO Bulan Ini'!$DJ:$DJ,'Area-Cabang'!$B162,'CWO Bulan Ini'!$DH:$DH,'Area-Cabang'!$E162,'CWO Bulan Ini'!$CZ:$CZ,'Area-Cabang'!I$41)</f>
        <v>0</v>
      </c>
      <c r="J162" s="56">
        <f>SUMIFS('CWO Bulan Ini'!$DA:$DA,'CWO Bulan Ini'!$DJ:$DJ,'Area-Cabang'!$B162,'CWO Bulan Ini'!$DH:$DH,'Area-Cabang'!$E162,'CWO Bulan Ini'!$CZ:$CZ,'Area-Cabang'!J$41)</f>
        <v>0</v>
      </c>
      <c r="K162" s="56">
        <f>SUMIFS('CWO Bulan Ini'!$DA:$DA,'CWO Bulan Ini'!$DJ:$DJ,'Area-Cabang'!$B162,'CWO Bulan Ini'!$DH:$DH,'Area-Cabang'!$E162,'CWO Bulan Ini'!$CZ:$CZ,'Area-Cabang'!K$41)</f>
        <v>0</v>
      </c>
      <c r="L162" s="56">
        <f>SUMIFS('CWO Bulan Ini'!$DA:$DA,'CWO Bulan Ini'!$DJ:$DJ,'Area-Cabang'!$B162,'CWO Bulan Ini'!$DH:$DH,'Area-Cabang'!$E162,'CWO Bulan Ini'!$CZ:$CZ,'Area-Cabang'!L$41)</f>
        <v>0</v>
      </c>
      <c r="M162" s="56">
        <f>SUMIFS('CWO Bulan Ini'!$DA:$DA,'CWO Bulan Ini'!$DJ:$DJ,'Area-Cabang'!$B162,'CWO Bulan Ini'!$DH:$DH,'Area-Cabang'!$E162,'CWO Bulan Ini'!$CZ:$CZ,'Area-Cabang'!M$41)</f>
        <v>0</v>
      </c>
      <c r="N162" s="56">
        <f>SUMIFS('CWO Bulan Ini'!$DA:$DA,'CWO Bulan Ini'!$DJ:$DJ,'Area-Cabang'!$B162,'CWO Bulan Ini'!$DH:$DH,'Area-Cabang'!$E162,'CWO Bulan Ini'!$CZ:$CZ,'Area-Cabang'!N$41)</f>
        <v>0</v>
      </c>
      <c r="O162" s="56">
        <f>SUMIFS('CWO Bulan Ini'!$DA:$DA,'CWO Bulan Ini'!$DJ:$DJ,'Area-Cabang'!$B162,'CWO Bulan Ini'!$DH:$DH,'Area-Cabang'!$E162,'CWO Bulan Ini'!$CZ:$CZ,'Area-Cabang'!O$41)</f>
        <v>0</v>
      </c>
      <c r="P162" s="56">
        <f>SUMIFS('CWO Bulan Ini'!$DA:$DA,'CWO Bulan Ini'!$DJ:$DJ,'Area-Cabang'!$B162,'CWO Bulan Ini'!$DH:$DH,'Area-Cabang'!$E162,'CWO Bulan Ini'!$CZ:$CZ,'Area-Cabang'!P$41)</f>
        <v>0</v>
      </c>
      <c r="Q162" s="56">
        <f>SUMIFS('CWO Bulan Ini'!$DA:$DA,'CWO Bulan Ini'!$DJ:$DJ,'Area-Cabang'!$B162,'CWO Bulan Ini'!$DH:$DH,'Area-Cabang'!$E162,'CWO Bulan Ini'!$CZ:$CZ,'Area-Cabang'!Q$41)</f>
        <v>0</v>
      </c>
      <c r="R162" s="56">
        <f>SUMIFS('CWO Bulan Ini'!$DA:$DA,'CWO Bulan Ini'!$DJ:$DJ,'Area-Cabang'!$B162,'CWO Bulan Ini'!$DH:$DH,'Area-Cabang'!$E162,'CWO Bulan Ini'!$CZ:$CZ,'Area-Cabang'!R$41)</f>
        <v>0</v>
      </c>
      <c r="S162" s="56">
        <f>SUMIFS('CWO Bulan Ini'!$DA:$DA,'CWO Bulan Ini'!$DJ:$DJ,'Area-Cabang'!$B162,'CWO Bulan Ini'!$DH:$DH,'Area-Cabang'!$E162,'CWO Bulan Ini'!$CZ:$CZ,'Area-Cabang'!S$41)</f>
        <v>0</v>
      </c>
      <c r="T162" s="56">
        <f>SUMIFS('CWO Bulan Ini'!$DA:$DA,'CWO Bulan Ini'!$DJ:$DJ,'Area-Cabang'!$B162,'CWO Bulan Ini'!$DH:$DH,'Area-Cabang'!$E162,'CWO Bulan Ini'!$CZ:$CZ,'Area-Cabang'!T$41)</f>
        <v>0</v>
      </c>
      <c r="U162" s="56">
        <f>SUMIFS('CWO Bulan Ini'!$DA:$DA,'CWO Bulan Ini'!$DJ:$DJ,'Area-Cabang'!$B162,'CWO Bulan Ini'!$DH:$DH,'Area-Cabang'!$E162,'CWO Bulan Ini'!$CZ:$CZ,'Area-Cabang'!U$41)</f>
        <v>0</v>
      </c>
      <c r="V162" s="56">
        <f>SUMIFS('CWO Bulan Ini'!$DA:$DA,'CWO Bulan Ini'!$DJ:$DJ,'Area-Cabang'!$B162,'CWO Bulan Ini'!$DH:$DH,'Area-Cabang'!$E162,'CWO Bulan Ini'!$CZ:$CZ,'Area-Cabang'!V$41)</f>
        <v>0</v>
      </c>
      <c r="W162" s="56">
        <f>SUMIFS('CWO Bulan Ini'!$DA:$DA,'CWO Bulan Ini'!$DJ:$DJ,'Area-Cabang'!$B162,'CWO Bulan Ini'!$DH:$DH,'Area-Cabang'!$E162,'CWO Bulan Ini'!$CZ:$CZ,'Area-Cabang'!W$41)</f>
        <v>0</v>
      </c>
      <c r="X162" s="56">
        <f>SUMIFS('CWO Bulan Ini'!$DA:$DA,'CWO Bulan Ini'!$DJ:$DJ,'Area-Cabang'!$B162,'CWO Bulan Ini'!$DH:$DH,'Area-Cabang'!$E162,'CWO Bulan Ini'!$CZ:$CZ,'Area-Cabang'!X$41)</f>
        <v>0</v>
      </c>
      <c r="Y162" s="56">
        <f>SUMIFS('CWO Bulan Ini'!$DA:$DA,'CWO Bulan Ini'!$DJ:$DJ,'Area-Cabang'!$B162,'CWO Bulan Ini'!$DH:$DH,'Area-Cabang'!$E162,'CWO Bulan Ini'!$CZ:$CZ,'Area-Cabang'!Y$41)</f>
        <v>0</v>
      </c>
      <c r="Z162" s="56">
        <f>SUMIFS('CWO Bulan Ini'!$DA:$DA,'CWO Bulan Ini'!$DJ:$DJ,'Area-Cabang'!$B162,'CWO Bulan Ini'!$DH:$DH,'Area-Cabang'!$E162,'CWO Bulan Ini'!$CZ:$CZ,'Area-Cabang'!Z$41)</f>
        <v>0</v>
      </c>
      <c r="AA162" s="56">
        <f>SUMIFS('CWO Bulan Ini'!$DA:$DA,'CWO Bulan Ini'!$DJ:$DJ,'Area-Cabang'!$B162,'CWO Bulan Ini'!$DH:$DH,'Area-Cabang'!$E162,'CWO Bulan Ini'!$CZ:$CZ,'Area-Cabang'!AA$41)</f>
        <v>0</v>
      </c>
      <c r="AB162" s="56">
        <f>SUMIFS('CWO Bulan Ini'!$DA:$DA,'CWO Bulan Ini'!$DJ:$DJ,'Area-Cabang'!$B162,'CWO Bulan Ini'!$DH:$DH,'Area-Cabang'!$E162,'CWO Bulan Ini'!$CZ:$CZ,'Area-Cabang'!AB$41)</f>
        <v>0</v>
      </c>
      <c r="AC162" s="56">
        <f>SUMIFS('CWO Bulan Ini'!$DA:$DA,'CWO Bulan Ini'!$DJ:$DJ,'Area-Cabang'!$B162,'CWO Bulan Ini'!$DH:$DH,'Area-Cabang'!$E162,'CWO Bulan Ini'!$CZ:$CZ,'Area-Cabang'!AC$41)</f>
        <v>0</v>
      </c>
      <c r="AD162" s="56">
        <f>SUMIFS('CWO Bulan Ini'!$DA:$DA,'CWO Bulan Ini'!$DJ:$DJ,'Area-Cabang'!$B162,'CWO Bulan Ini'!$DH:$DH,'Area-Cabang'!$E162,'CWO Bulan Ini'!$CZ:$CZ,'Area-Cabang'!AD$41)</f>
        <v>0</v>
      </c>
      <c r="AE162" s="56">
        <f>SUMIFS('CWO Bulan Ini'!$DA:$DA,'CWO Bulan Ini'!$DJ:$DJ,'Area-Cabang'!$B162,'CWO Bulan Ini'!$DH:$DH,'Area-Cabang'!$E162,'CWO Bulan Ini'!$CZ:$CZ,'Area-Cabang'!AE$41)</f>
        <v>0</v>
      </c>
      <c r="AF162" s="56">
        <f>SUMIFS('CWO Bulan Ini'!$DA:$DA,'CWO Bulan Ini'!$DJ:$DJ,'Area-Cabang'!$B162,'CWO Bulan Ini'!$DH:$DH,'Area-Cabang'!$E162,'CWO Bulan Ini'!$CZ:$CZ,'Area-Cabang'!AF$41)</f>
        <v>0</v>
      </c>
      <c r="AG162" s="56">
        <f>SUMIFS('CWO Bulan Ini'!$DA:$DA,'CWO Bulan Ini'!$DJ:$DJ,'Area-Cabang'!$B162,'CWO Bulan Ini'!$DH:$DH,'Area-Cabang'!$E162,'CWO Bulan Ini'!$CZ:$CZ,'Area-Cabang'!AG$41)</f>
        <v>0</v>
      </c>
      <c r="AH162" s="56">
        <f>SUMIFS('CWO Bulan Ini'!$DA:$DA,'CWO Bulan Ini'!$DJ:$DJ,'Area-Cabang'!$B162,'CWO Bulan Ini'!$DH:$DH,'Area-Cabang'!$E162,'CWO Bulan Ini'!$CZ:$CZ,'Area-Cabang'!AH$41)</f>
        <v>0</v>
      </c>
      <c r="AI162" s="56">
        <f>SUMIFS('CWO Bulan Ini'!$DA:$DA,'CWO Bulan Ini'!$DJ:$DJ,'Area-Cabang'!$B162,'CWO Bulan Ini'!$DH:$DH,'Area-Cabang'!$E162,'CWO Bulan Ini'!$CZ:$CZ,'Area-Cabang'!AI$41)</f>
        <v>0</v>
      </c>
      <c r="AJ162" s="56">
        <f>SUMIFS('CWO Bulan Ini'!$DA:$DA,'CWO Bulan Ini'!$DJ:$DJ,'Area-Cabang'!$B162,'CWO Bulan Ini'!$DH:$DH,'Area-Cabang'!$E162,'CWO Bulan Ini'!$CZ:$CZ,'Area-Cabang'!AJ$41)</f>
        <v>0</v>
      </c>
      <c r="AK162" s="55">
        <f>SUMIFS('CWO Bulan Ini'!$DD:$DD,'CWO Bulan Ini'!$DJ:$DJ,'Area-Cabang'!$B162,'CWO Bulan Ini'!$DH:$DH,'Area-Cabang'!$E162,'CWO Bulan Ini'!$CZ:$CZ,'Area-Cabang'!AK$41)</f>
        <v>0</v>
      </c>
      <c r="AL162" s="56">
        <f>SUMIFS('CWO Bulan Ini'!$DD:$DD,'CWO Bulan Ini'!$DJ:$DJ,'Area-Cabang'!$B162,'CWO Bulan Ini'!$DH:$DH,'Area-Cabang'!$E162,'CWO Bulan Ini'!$CZ:$CZ,'Area-Cabang'!AL$41)</f>
        <v>0</v>
      </c>
      <c r="AM162" s="56">
        <f>SUMIFS('CWO Bulan Ini'!$DD:$DD,'CWO Bulan Ini'!$DJ:$DJ,'Area-Cabang'!$B162,'CWO Bulan Ini'!$DH:$DH,'Area-Cabang'!$E162,'CWO Bulan Ini'!$CZ:$CZ,'Area-Cabang'!AM$41)</f>
        <v>0</v>
      </c>
      <c r="AN162" s="56">
        <f>SUMIFS('CWO Bulan Ini'!$DD:$DD,'CWO Bulan Ini'!$DJ:$DJ,'Area-Cabang'!$B162,'CWO Bulan Ini'!$DH:$DH,'Area-Cabang'!$E162,'CWO Bulan Ini'!$CZ:$CZ,'Area-Cabang'!AN$41)</f>
        <v>0</v>
      </c>
      <c r="AO162" s="56">
        <f>SUMIFS('CWO Bulan Ini'!$DD:$DD,'CWO Bulan Ini'!$DJ:$DJ,'Area-Cabang'!$B162,'CWO Bulan Ini'!$DH:$DH,'Area-Cabang'!$E162,'CWO Bulan Ini'!$CZ:$CZ,'Area-Cabang'!AO$41)</f>
        <v>0</v>
      </c>
      <c r="AP162" s="56">
        <f>SUMIFS('CWO Bulan Ini'!$DD:$DD,'CWO Bulan Ini'!$DJ:$DJ,'Area-Cabang'!$B162,'CWO Bulan Ini'!$DH:$DH,'Area-Cabang'!$E162,'CWO Bulan Ini'!$CZ:$CZ,'Area-Cabang'!AP$41)</f>
        <v>0</v>
      </c>
      <c r="AQ162" s="56">
        <f>SUMIFS('CWO Bulan Ini'!$DD:$DD,'CWO Bulan Ini'!$DJ:$DJ,'Area-Cabang'!$B162,'CWO Bulan Ini'!$DH:$DH,'Area-Cabang'!$E162,'CWO Bulan Ini'!$CZ:$CZ,'Area-Cabang'!AQ$41)</f>
        <v>0</v>
      </c>
      <c r="AR162" s="56">
        <f>SUMIFS('CWO Bulan Ini'!$DD:$DD,'CWO Bulan Ini'!$DJ:$DJ,'Area-Cabang'!$B162,'CWO Bulan Ini'!$DH:$DH,'Area-Cabang'!$E162,'CWO Bulan Ini'!$CZ:$CZ,'Area-Cabang'!AR$41)</f>
        <v>0</v>
      </c>
      <c r="AS162" s="56">
        <f>SUMIFS('CWO Bulan Ini'!$DD:$DD,'CWO Bulan Ini'!$DJ:$DJ,'Area-Cabang'!$B162,'CWO Bulan Ini'!$DH:$DH,'Area-Cabang'!$E162,'CWO Bulan Ini'!$CZ:$CZ,'Area-Cabang'!AS$41)</f>
        <v>0</v>
      </c>
      <c r="AT162" s="56">
        <f>SUMIFS('CWO Bulan Ini'!$DD:$DD,'CWO Bulan Ini'!$DJ:$DJ,'Area-Cabang'!$B162,'CWO Bulan Ini'!$DH:$DH,'Area-Cabang'!$E162,'CWO Bulan Ini'!$CZ:$CZ,'Area-Cabang'!AT$41)</f>
        <v>0</v>
      </c>
      <c r="AU162" s="56">
        <f>SUMIFS('CWO Bulan Ini'!$DD:$DD,'CWO Bulan Ini'!$DJ:$DJ,'Area-Cabang'!$B162,'CWO Bulan Ini'!$DH:$DH,'Area-Cabang'!$E162,'CWO Bulan Ini'!$CZ:$CZ,'Area-Cabang'!AU$41)</f>
        <v>0</v>
      </c>
      <c r="AV162" s="56">
        <f>SUMIFS('CWO Bulan Ini'!$DD:$DD,'CWO Bulan Ini'!$DJ:$DJ,'Area-Cabang'!$B162,'CWO Bulan Ini'!$DH:$DH,'Area-Cabang'!$E162,'CWO Bulan Ini'!$CZ:$CZ,'Area-Cabang'!AV$41)</f>
        <v>0</v>
      </c>
      <c r="AW162" s="56">
        <f>SUMIFS('CWO Bulan Ini'!$DD:$DD,'CWO Bulan Ini'!$DJ:$DJ,'Area-Cabang'!$B162,'CWO Bulan Ini'!$DH:$DH,'Area-Cabang'!$E162,'CWO Bulan Ini'!$CZ:$CZ,'Area-Cabang'!AW$41)</f>
        <v>0</v>
      </c>
      <c r="AX162" s="56">
        <f>SUMIFS('CWO Bulan Ini'!$DD:$DD,'CWO Bulan Ini'!$DJ:$DJ,'Area-Cabang'!$B162,'CWO Bulan Ini'!$DH:$DH,'Area-Cabang'!$E162,'CWO Bulan Ini'!$CZ:$CZ,'Area-Cabang'!AX$41)</f>
        <v>0</v>
      </c>
      <c r="AY162" s="56">
        <f>SUMIFS('CWO Bulan Ini'!$DD:$DD,'CWO Bulan Ini'!$DJ:$DJ,'Area-Cabang'!$B162,'CWO Bulan Ini'!$DH:$DH,'Area-Cabang'!$E162,'CWO Bulan Ini'!$CZ:$CZ,'Area-Cabang'!AY$41)</f>
        <v>0</v>
      </c>
      <c r="AZ162" s="56">
        <f>SUMIFS('CWO Bulan Ini'!$DD:$DD,'CWO Bulan Ini'!$DJ:$DJ,'Area-Cabang'!$B162,'CWO Bulan Ini'!$DH:$DH,'Area-Cabang'!$E162,'CWO Bulan Ini'!$CZ:$CZ,'Area-Cabang'!AZ$41)</f>
        <v>0</v>
      </c>
      <c r="BA162" s="56">
        <f>SUMIFS('CWO Bulan Ini'!$DD:$DD,'CWO Bulan Ini'!$DJ:$DJ,'Area-Cabang'!$B162,'CWO Bulan Ini'!$DH:$DH,'Area-Cabang'!$E162,'CWO Bulan Ini'!$CZ:$CZ,'Area-Cabang'!BA$41)</f>
        <v>0</v>
      </c>
      <c r="BB162" s="56">
        <f>SUMIFS('CWO Bulan Ini'!$DD:$DD,'CWO Bulan Ini'!$DJ:$DJ,'Area-Cabang'!$B162,'CWO Bulan Ini'!$DH:$DH,'Area-Cabang'!$E162,'CWO Bulan Ini'!$CZ:$CZ,'Area-Cabang'!BB$41)</f>
        <v>0</v>
      </c>
      <c r="BC162" s="56">
        <f>SUMIFS('CWO Bulan Ini'!$DD:$DD,'CWO Bulan Ini'!$DJ:$DJ,'Area-Cabang'!$B162,'CWO Bulan Ini'!$DH:$DH,'Area-Cabang'!$E162,'CWO Bulan Ini'!$CZ:$CZ,'Area-Cabang'!BC$41)</f>
        <v>0</v>
      </c>
      <c r="BD162" s="56">
        <f>SUMIFS('CWO Bulan Ini'!$DD:$DD,'CWO Bulan Ini'!$DJ:$DJ,'Area-Cabang'!$B162,'CWO Bulan Ini'!$DH:$DH,'Area-Cabang'!$E162,'CWO Bulan Ini'!$CZ:$CZ,'Area-Cabang'!BD$41)</f>
        <v>0</v>
      </c>
      <c r="BE162" s="56">
        <f>SUMIFS('CWO Bulan Ini'!$DD:$DD,'CWO Bulan Ini'!$DJ:$DJ,'Area-Cabang'!$B162,'CWO Bulan Ini'!$DH:$DH,'Area-Cabang'!$E162,'CWO Bulan Ini'!$CZ:$CZ,'Area-Cabang'!BE$41)</f>
        <v>0</v>
      </c>
      <c r="BF162" s="56">
        <f>SUMIFS('CWO Bulan Ini'!$DD:$DD,'CWO Bulan Ini'!$DJ:$DJ,'Area-Cabang'!$B162,'CWO Bulan Ini'!$DH:$DH,'Area-Cabang'!$E162,'CWO Bulan Ini'!$CZ:$CZ,'Area-Cabang'!BF$41)</f>
        <v>0</v>
      </c>
      <c r="BG162" s="56">
        <f>SUMIFS('CWO Bulan Ini'!$DD:$DD,'CWO Bulan Ini'!$DJ:$DJ,'Area-Cabang'!$B162,'CWO Bulan Ini'!$DH:$DH,'Area-Cabang'!$E162,'CWO Bulan Ini'!$CZ:$CZ,'Area-Cabang'!BG$41)</f>
        <v>0</v>
      </c>
      <c r="BH162" s="56">
        <f>SUMIFS('CWO Bulan Ini'!$DD:$DD,'CWO Bulan Ini'!$DJ:$DJ,'Area-Cabang'!$B162,'CWO Bulan Ini'!$DH:$DH,'Area-Cabang'!$E162,'CWO Bulan Ini'!$CZ:$CZ,'Area-Cabang'!BH$41)</f>
        <v>0</v>
      </c>
      <c r="BI162" s="56">
        <f>SUMIFS('CWO Bulan Ini'!$DD:$DD,'CWO Bulan Ini'!$DJ:$DJ,'Area-Cabang'!$B162,'CWO Bulan Ini'!$DH:$DH,'Area-Cabang'!$E162,'CWO Bulan Ini'!$CZ:$CZ,'Area-Cabang'!BI$41)</f>
        <v>0</v>
      </c>
      <c r="BJ162" s="56">
        <f>SUMIFS('CWO Bulan Ini'!$DD:$DD,'CWO Bulan Ini'!$DJ:$DJ,'Area-Cabang'!$B162,'CWO Bulan Ini'!$DH:$DH,'Area-Cabang'!$E162,'CWO Bulan Ini'!$CZ:$CZ,'Area-Cabang'!BJ$41)</f>
        <v>0</v>
      </c>
      <c r="BK162" s="56">
        <f>SUMIFS('CWO Bulan Ini'!$DD:$DD,'CWO Bulan Ini'!$DJ:$DJ,'Area-Cabang'!$B162,'CWO Bulan Ini'!$DH:$DH,'Area-Cabang'!$E162,'CWO Bulan Ini'!$CZ:$CZ,'Area-Cabang'!BK$41)</f>
        <v>0</v>
      </c>
      <c r="BL162" s="56">
        <f>SUMIFS('CWO Bulan Ini'!$DD:$DD,'CWO Bulan Ini'!$DJ:$DJ,'Area-Cabang'!$B162,'CWO Bulan Ini'!$DH:$DH,'Area-Cabang'!$E162,'CWO Bulan Ini'!$CZ:$CZ,'Area-Cabang'!BL$41)</f>
        <v>0</v>
      </c>
      <c r="BM162" s="56">
        <f>SUMIFS('CWO Bulan Ini'!$DD:$DD,'CWO Bulan Ini'!$DJ:$DJ,'Area-Cabang'!$B162,'CWO Bulan Ini'!$DH:$DH,'Area-Cabang'!$E162,'CWO Bulan Ini'!$CZ:$CZ,'Area-Cabang'!BM$41)</f>
        <v>0</v>
      </c>
      <c r="BN162" s="56">
        <f>SUMIFS('CWO Bulan Ini'!$DD:$DD,'CWO Bulan Ini'!$DJ:$DJ,'Area-Cabang'!$B162,'CWO Bulan Ini'!$DH:$DH,'Area-Cabang'!$E162,'CWO Bulan Ini'!$CZ:$CZ,'Area-Cabang'!BN$41)</f>
        <v>0</v>
      </c>
      <c r="BO162" s="57">
        <f>SUMIFS('CWO Bulan Ini'!$DD:$DD,'CWO Bulan Ini'!$DJ:$DJ,'Area-Cabang'!$B162,'CWO Bulan Ini'!$DH:$DH,'Area-Cabang'!$E162,'CWO Bulan Ini'!$CZ:$CZ,'Area-Cabang'!BO$41)</f>
        <v>0</v>
      </c>
      <c r="BP162" s="55">
        <f>SUMIFS('CWO Bulan Ini'!$DC:$DC,'CWO Bulan Ini'!$DJ:$DJ,'Area-Cabang'!$B162,'CWO Bulan Ini'!$DH:$DH,'Area-Cabang'!$E162,'CWO Bulan Ini'!$CZ:$CZ,'Area-Cabang'!BP$41)</f>
        <v>0</v>
      </c>
      <c r="BQ162" s="56">
        <f>SUMIFS('CWO Bulan Ini'!$DC:$DC,'CWO Bulan Ini'!$DJ:$DJ,'Area-Cabang'!$B162,'CWO Bulan Ini'!$DH:$DH,'Area-Cabang'!$E162,'CWO Bulan Ini'!$CZ:$CZ,'Area-Cabang'!BQ$41)</f>
        <v>0</v>
      </c>
      <c r="BR162" s="56">
        <f>SUMIFS('CWO Bulan Ini'!$DC:$DC,'CWO Bulan Ini'!$DJ:$DJ,'Area-Cabang'!$B162,'CWO Bulan Ini'!$DH:$DH,'Area-Cabang'!$E162,'CWO Bulan Ini'!$CZ:$CZ,'Area-Cabang'!BR$41)</f>
        <v>0</v>
      </c>
      <c r="BS162" s="56">
        <f>SUMIFS('CWO Bulan Ini'!$DC:$DC,'CWO Bulan Ini'!$DJ:$DJ,'Area-Cabang'!$B162,'CWO Bulan Ini'!$DH:$DH,'Area-Cabang'!$E162,'CWO Bulan Ini'!$CZ:$CZ,'Area-Cabang'!BS$41)</f>
        <v>0</v>
      </c>
      <c r="BT162" s="56">
        <f>SUMIFS('CWO Bulan Ini'!$DC:$DC,'CWO Bulan Ini'!$DJ:$DJ,'Area-Cabang'!$B162,'CWO Bulan Ini'!$DH:$DH,'Area-Cabang'!$E162,'CWO Bulan Ini'!$CZ:$CZ,'Area-Cabang'!BT$41)</f>
        <v>0</v>
      </c>
      <c r="BU162" s="56">
        <f>SUMIFS('CWO Bulan Ini'!$DC:$DC,'CWO Bulan Ini'!$DJ:$DJ,'Area-Cabang'!$B162,'CWO Bulan Ini'!$DH:$DH,'Area-Cabang'!$E162,'CWO Bulan Ini'!$CZ:$CZ,'Area-Cabang'!BU$41)</f>
        <v>0</v>
      </c>
      <c r="BV162" s="56">
        <f>SUMIFS('CWO Bulan Ini'!$DC:$DC,'CWO Bulan Ini'!$DJ:$DJ,'Area-Cabang'!$B162,'CWO Bulan Ini'!$DH:$DH,'Area-Cabang'!$E162,'CWO Bulan Ini'!$CZ:$CZ,'Area-Cabang'!BV$41)</f>
        <v>0</v>
      </c>
      <c r="BW162" s="56">
        <f>SUMIFS('CWO Bulan Ini'!$DC:$DC,'CWO Bulan Ini'!$DJ:$DJ,'Area-Cabang'!$B162,'CWO Bulan Ini'!$DH:$DH,'Area-Cabang'!$E162,'CWO Bulan Ini'!$CZ:$CZ,'Area-Cabang'!BW$41)</f>
        <v>0</v>
      </c>
      <c r="BX162" s="56">
        <f>SUMIFS('CWO Bulan Ini'!$DC:$DC,'CWO Bulan Ini'!$DJ:$DJ,'Area-Cabang'!$B162,'CWO Bulan Ini'!$DH:$DH,'Area-Cabang'!$E162,'CWO Bulan Ini'!$CZ:$CZ,'Area-Cabang'!BX$41)</f>
        <v>0</v>
      </c>
      <c r="BY162" s="56">
        <f>SUMIFS('CWO Bulan Ini'!$DC:$DC,'CWO Bulan Ini'!$DJ:$DJ,'Area-Cabang'!$B162,'CWO Bulan Ini'!$DH:$DH,'Area-Cabang'!$E162,'CWO Bulan Ini'!$CZ:$CZ,'Area-Cabang'!BY$41)</f>
        <v>0</v>
      </c>
      <c r="BZ162" s="56">
        <f>SUMIFS('CWO Bulan Ini'!$DC:$DC,'CWO Bulan Ini'!$DJ:$DJ,'Area-Cabang'!$B162,'CWO Bulan Ini'!$DH:$DH,'Area-Cabang'!$E162,'CWO Bulan Ini'!$CZ:$CZ,'Area-Cabang'!BZ$41)</f>
        <v>0</v>
      </c>
      <c r="CA162" s="56">
        <f>SUMIFS('CWO Bulan Ini'!$DC:$DC,'CWO Bulan Ini'!$DJ:$DJ,'Area-Cabang'!$B162,'CWO Bulan Ini'!$DH:$DH,'Area-Cabang'!$E162,'CWO Bulan Ini'!$CZ:$CZ,'Area-Cabang'!CA$41)</f>
        <v>0</v>
      </c>
      <c r="CB162" s="56">
        <f>SUMIFS('CWO Bulan Ini'!$DC:$DC,'CWO Bulan Ini'!$DJ:$DJ,'Area-Cabang'!$B162,'CWO Bulan Ini'!$DH:$DH,'Area-Cabang'!$E162,'CWO Bulan Ini'!$CZ:$CZ,'Area-Cabang'!CB$41)</f>
        <v>0</v>
      </c>
      <c r="CC162" s="56">
        <f>SUMIFS('CWO Bulan Ini'!$DC:$DC,'CWO Bulan Ini'!$DJ:$DJ,'Area-Cabang'!$B162,'CWO Bulan Ini'!$DH:$DH,'Area-Cabang'!$E162,'CWO Bulan Ini'!$CZ:$CZ,'Area-Cabang'!CC$41)</f>
        <v>0</v>
      </c>
      <c r="CD162" s="56">
        <f>SUMIFS('CWO Bulan Ini'!$DC:$DC,'CWO Bulan Ini'!$DJ:$DJ,'Area-Cabang'!$B162,'CWO Bulan Ini'!$DH:$DH,'Area-Cabang'!$E162,'CWO Bulan Ini'!$CZ:$CZ,'Area-Cabang'!CD$41)</f>
        <v>0</v>
      </c>
      <c r="CE162" s="56">
        <f>SUMIFS('CWO Bulan Ini'!$DC:$DC,'CWO Bulan Ini'!$DJ:$DJ,'Area-Cabang'!$B162,'CWO Bulan Ini'!$DH:$DH,'Area-Cabang'!$E162,'CWO Bulan Ini'!$CZ:$CZ,'Area-Cabang'!CE$41)</f>
        <v>0</v>
      </c>
      <c r="CF162" s="56">
        <f>SUMIFS('CWO Bulan Ini'!$DC:$DC,'CWO Bulan Ini'!$DJ:$DJ,'Area-Cabang'!$B162,'CWO Bulan Ini'!$DH:$DH,'Area-Cabang'!$E162,'CWO Bulan Ini'!$CZ:$CZ,'Area-Cabang'!CF$41)</f>
        <v>0</v>
      </c>
      <c r="CG162" s="56">
        <f>SUMIFS('CWO Bulan Ini'!$DC:$DC,'CWO Bulan Ini'!$DJ:$DJ,'Area-Cabang'!$B162,'CWO Bulan Ini'!$DH:$DH,'Area-Cabang'!$E162,'CWO Bulan Ini'!$CZ:$CZ,'Area-Cabang'!CG$41)</f>
        <v>0</v>
      </c>
      <c r="CH162" s="56">
        <f>SUMIFS('CWO Bulan Ini'!$DC:$DC,'CWO Bulan Ini'!$DJ:$DJ,'Area-Cabang'!$B162,'CWO Bulan Ini'!$DH:$DH,'Area-Cabang'!$E162,'CWO Bulan Ini'!$CZ:$CZ,'Area-Cabang'!CH$41)</f>
        <v>0</v>
      </c>
      <c r="CI162" s="56">
        <f>SUMIFS('CWO Bulan Ini'!$DC:$DC,'CWO Bulan Ini'!$DJ:$DJ,'Area-Cabang'!$B162,'CWO Bulan Ini'!$DH:$DH,'Area-Cabang'!$E162,'CWO Bulan Ini'!$CZ:$CZ,'Area-Cabang'!CI$41)</f>
        <v>0</v>
      </c>
      <c r="CJ162" s="56">
        <f>SUMIFS('CWO Bulan Ini'!$DC:$DC,'CWO Bulan Ini'!$DJ:$DJ,'Area-Cabang'!$B162,'CWO Bulan Ini'!$DH:$DH,'Area-Cabang'!$E162,'CWO Bulan Ini'!$CZ:$CZ,'Area-Cabang'!CJ$41)</f>
        <v>0</v>
      </c>
      <c r="CK162" s="56">
        <f>SUMIFS('CWO Bulan Ini'!$DC:$DC,'CWO Bulan Ini'!$DJ:$DJ,'Area-Cabang'!$B162,'CWO Bulan Ini'!$DH:$DH,'Area-Cabang'!$E162,'CWO Bulan Ini'!$CZ:$CZ,'Area-Cabang'!CK$41)</f>
        <v>0</v>
      </c>
      <c r="CL162" s="56">
        <f>SUMIFS('CWO Bulan Ini'!$DC:$DC,'CWO Bulan Ini'!$DJ:$DJ,'Area-Cabang'!$B162,'CWO Bulan Ini'!$DH:$DH,'Area-Cabang'!$E162,'CWO Bulan Ini'!$CZ:$CZ,'Area-Cabang'!CL$41)</f>
        <v>0</v>
      </c>
      <c r="CM162" s="56">
        <f>SUMIFS('CWO Bulan Ini'!$DC:$DC,'CWO Bulan Ini'!$DJ:$DJ,'Area-Cabang'!$B162,'CWO Bulan Ini'!$DH:$DH,'Area-Cabang'!$E162,'CWO Bulan Ini'!$CZ:$CZ,'Area-Cabang'!CM$41)</f>
        <v>0</v>
      </c>
      <c r="CN162" s="56">
        <f>SUMIFS('CWO Bulan Ini'!$DC:$DC,'CWO Bulan Ini'!$DJ:$DJ,'Area-Cabang'!$B162,'CWO Bulan Ini'!$DH:$DH,'Area-Cabang'!$E162,'CWO Bulan Ini'!$CZ:$CZ,'Area-Cabang'!CN$41)</f>
        <v>0</v>
      </c>
      <c r="CO162" s="56">
        <f>SUMIFS('CWO Bulan Ini'!$DC:$DC,'CWO Bulan Ini'!$DJ:$DJ,'Area-Cabang'!$B162,'CWO Bulan Ini'!$DH:$DH,'Area-Cabang'!$E162,'CWO Bulan Ini'!$CZ:$CZ,'Area-Cabang'!CO$41)</f>
        <v>0</v>
      </c>
      <c r="CP162" s="56">
        <f>SUMIFS('CWO Bulan Ini'!$DC:$DC,'CWO Bulan Ini'!$DJ:$DJ,'Area-Cabang'!$B162,'CWO Bulan Ini'!$DH:$DH,'Area-Cabang'!$E162,'CWO Bulan Ini'!$CZ:$CZ,'Area-Cabang'!CP$41)</f>
        <v>0</v>
      </c>
      <c r="CQ162" s="56">
        <f>SUMIFS('CWO Bulan Ini'!$DC:$DC,'CWO Bulan Ini'!$DJ:$DJ,'Area-Cabang'!$B162,'CWO Bulan Ini'!$DH:$DH,'Area-Cabang'!$E162,'CWO Bulan Ini'!$CZ:$CZ,'Area-Cabang'!CQ$41)</f>
        <v>0</v>
      </c>
      <c r="CR162" s="56">
        <f>SUMIFS('CWO Bulan Ini'!$DC:$DC,'CWO Bulan Ini'!$DJ:$DJ,'Area-Cabang'!$B162,'CWO Bulan Ini'!$DH:$DH,'Area-Cabang'!$E162,'CWO Bulan Ini'!$CZ:$CZ,'Area-Cabang'!CR$41)</f>
        <v>0</v>
      </c>
      <c r="CS162" s="56">
        <f>SUMIFS('CWO Bulan Ini'!$DC:$DC,'CWO Bulan Ini'!$DJ:$DJ,'Area-Cabang'!$B162,'CWO Bulan Ini'!$DH:$DH,'Area-Cabang'!$E162,'CWO Bulan Ini'!$CZ:$CZ,'Area-Cabang'!CS$41)</f>
        <v>0</v>
      </c>
      <c r="CT162" s="57">
        <f>SUMIFS('CWO Bulan Ini'!$DC:$DC,'CWO Bulan Ini'!$DJ:$DJ,'Area-Cabang'!$B162,'CWO Bulan Ini'!$DH:$DH,'Area-Cabang'!$E162,'CWO Bulan Ini'!$CZ:$CZ,'Area-Cabang'!CT$41)</f>
        <v>0</v>
      </c>
      <c r="CV162" s="97">
        <f t="shared" ref="CV162:CV163" si="5101">SUM(F162:AJ162)</f>
        <v>0</v>
      </c>
      <c r="CW162" s="98">
        <f t="shared" ref="CW162:CW163" si="5102">SUM(AK162:BO162)</f>
        <v>0</v>
      </c>
      <c r="CX162" s="98">
        <f t="shared" ref="CX162:CX163" si="5103">SUM(BP162:CT162)</f>
        <v>0</v>
      </c>
      <c r="CY162" s="98">
        <f t="shared" ref="CY162:CY163" si="5104">CV162-CW162-CX162</f>
        <v>0</v>
      </c>
      <c r="CZ162" s="105">
        <f t="shared" ref="CZ162:CZ163" si="5105">CY162+CW162</f>
        <v>0</v>
      </c>
    </row>
    <row r="163" spans="1:104" ht="15" customHeight="1" x14ac:dyDescent="0.25">
      <c r="A163" s="58" t="s">
        <v>576</v>
      </c>
      <c r="B163" s="58" t="s">
        <v>118</v>
      </c>
      <c r="C163" s="247"/>
      <c r="D163" s="244"/>
      <c r="E163" s="40" t="s">
        <v>349</v>
      </c>
      <c r="F163" s="41">
        <f>SUMIFS('CWO Bulan Ini'!$DA:$DA,'CWO Bulan Ini'!$DJ:$DJ,'Area-Cabang'!$B163,'CWO Bulan Ini'!$DH:$DH,'Area-Cabang'!$E163,'CWO Bulan Ini'!$CZ:$CZ,'Area-Cabang'!F$41)</f>
        <v>0</v>
      </c>
      <c r="G163" s="42">
        <f>SUMIFS('CWO Bulan Ini'!$DA:$DA,'CWO Bulan Ini'!$DJ:$DJ,'Area-Cabang'!$B163,'CWO Bulan Ini'!$DH:$DH,'Area-Cabang'!$E163,'CWO Bulan Ini'!$CZ:$CZ,'Area-Cabang'!G$41)</f>
        <v>0</v>
      </c>
      <c r="H163" s="42">
        <f>SUMIFS('CWO Bulan Ini'!$DA:$DA,'CWO Bulan Ini'!$DJ:$DJ,'Area-Cabang'!$B163,'CWO Bulan Ini'!$DH:$DH,'Area-Cabang'!$E163,'CWO Bulan Ini'!$CZ:$CZ,'Area-Cabang'!H$41)</f>
        <v>0</v>
      </c>
      <c r="I163" s="42">
        <f>SUMIFS('CWO Bulan Ini'!$DA:$DA,'CWO Bulan Ini'!$DJ:$DJ,'Area-Cabang'!$B163,'CWO Bulan Ini'!$DH:$DH,'Area-Cabang'!$E163,'CWO Bulan Ini'!$CZ:$CZ,'Area-Cabang'!I$41)</f>
        <v>0</v>
      </c>
      <c r="J163" s="42">
        <f>SUMIFS('CWO Bulan Ini'!$DA:$DA,'CWO Bulan Ini'!$DJ:$DJ,'Area-Cabang'!$B163,'CWO Bulan Ini'!$DH:$DH,'Area-Cabang'!$E163,'CWO Bulan Ini'!$CZ:$CZ,'Area-Cabang'!J$41)</f>
        <v>0</v>
      </c>
      <c r="K163" s="42">
        <f>SUMIFS('CWO Bulan Ini'!$DA:$DA,'CWO Bulan Ini'!$DJ:$DJ,'Area-Cabang'!$B163,'CWO Bulan Ini'!$DH:$DH,'Area-Cabang'!$E163,'CWO Bulan Ini'!$CZ:$CZ,'Area-Cabang'!K$41)</f>
        <v>0</v>
      </c>
      <c r="L163" s="42">
        <f>SUMIFS('CWO Bulan Ini'!$DA:$DA,'CWO Bulan Ini'!$DJ:$DJ,'Area-Cabang'!$B163,'CWO Bulan Ini'!$DH:$DH,'Area-Cabang'!$E163,'CWO Bulan Ini'!$CZ:$CZ,'Area-Cabang'!L$41)</f>
        <v>0</v>
      </c>
      <c r="M163" s="42">
        <f>SUMIFS('CWO Bulan Ini'!$DA:$DA,'CWO Bulan Ini'!$DJ:$DJ,'Area-Cabang'!$B163,'CWO Bulan Ini'!$DH:$DH,'Area-Cabang'!$E163,'CWO Bulan Ini'!$CZ:$CZ,'Area-Cabang'!M$41)</f>
        <v>0</v>
      </c>
      <c r="N163" s="42">
        <f>SUMIFS('CWO Bulan Ini'!$DA:$DA,'CWO Bulan Ini'!$DJ:$DJ,'Area-Cabang'!$B163,'CWO Bulan Ini'!$DH:$DH,'Area-Cabang'!$E163,'CWO Bulan Ini'!$CZ:$CZ,'Area-Cabang'!N$41)</f>
        <v>0</v>
      </c>
      <c r="O163" s="42">
        <f>SUMIFS('CWO Bulan Ini'!$DA:$DA,'CWO Bulan Ini'!$DJ:$DJ,'Area-Cabang'!$B163,'CWO Bulan Ini'!$DH:$DH,'Area-Cabang'!$E163,'CWO Bulan Ini'!$CZ:$CZ,'Area-Cabang'!O$41)</f>
        <v>0</v>
      </c>
      <c r="P163" s="42">
        <f>SUMIFS('CWO Bulan Ini'!$DA:$DA,'CWO Bulan Ini'!$DJ:$DJ,'Area-Cabang'!$B163,'CWO Bulan Ini'!$DH:$DH,'Area-Cabang'!$E163,'CWO Bulan Ini'!$CZ:$CZ,'Area-Cabang'!P$41)</f>
        <v>0</v>
      </c>
      <c r="Q163" s="42">
        <f>SUMIFS('CWO Bulan Ini'!$DA:$DA,'CWO Bulan Ini'!$DJ:$DJ,'Area-Cabang'!$B163,'CWO Bulan Ini'!$DH:$DH,'Area-Cabang'!$E163,'CWO Bulan Ini'!$CZ:$CZ,'Area-Cabang'!Q$41)</f>
        <v>0</v>
      </c>
      <c r="R163" s="42">
        <f>SUMIFS('CWO Bulan Ini'!$DA:$DA,'CWO Bulan Ini'!$DJ:$DJ,'Area-Cabang'!$B163,'CWO Bulan Ini'!$DH:$DH,'Area-Cabang'!$E163,'CWO Bulan Ini'!$CZ:$CZ,'Area-Cabang'!R$41)</f>
        <v>0</v>
      </c>
      <c r="S163" s="42">
        <f>SUMIFS('CWO Bulan Ini'!$DA:$DA,'CWO Bulan Ini'!$DJ:$DJ,'Area-Cabang'!$B163,'CWO Bulan Ini'!$DH:$DH,'Area-Cabang'!$E163,'CWO Bulan Ini'!$CZ:$CZ,'Area-Cabang'!S$41)</f>
        <v>0</v>
      </c>
      <c r="T163" s="42">
        <f>SUMIFS('CWO Bulan Ini'!$DA:$DA,'CWO Bulan Ini'!$DJ:$DJ,'Area-Cabang'!$B163,'CWO Bulan Ini'!$DH:$DH,'Area-Cabang'!$E163,'CWO Bulan Ini'!$CZ:$CZ,'Area-Cabang'!T$41)</f>
        <v>0</v>
      </c>
      <c r="U163" s="42">
        <f>SUMIFS('CWO Bulan Ini'!$DA:$DA,'CWO Bulan Ini'!$DJ:$DJ,'Area-Cabang'!$B163,'CWO Bulan Ini'!$DH:$DH,'Area-Cabang'!$E163,'CWO Bulan Ini'!$CZ:$CZ,'Area-Cabang'!U$41)</f>
        <v>0</v>
      </c>
      <c r="V163" s="42">
        <f>SUMIFS('CWO Bulan Ini'!$DA:$DA,'CWO Bulan Ini'!$DJ:$DJ,'Area-Cabang'!$B163,'CWO Bulan Ini'!$DH:$DH,'Area-Cabang'!$E163,'CWO Bulan Ini'!$CZ:$CZ,'Area-Cabang'!V$41)</f>
        <v>0</v>
      </c>
      <c r="W163" s="42">
        <f>SUMIFS('CWO Bulan Ini'!$DA:$DA,'CWO Bulan Ini'!$DJ:$DJ,'Area-Cabang'!$B163,'CWO Bulan Ini'!$DH:$DH,'Area-Cabang'!$E163,'CWO Bulan Ini'!$CZ:$CZ,'Area-Cabang'!W$41)</f>
        <v>0</v>
      </c>
      <c r="X163" s="42">
        <f>SUMIFS('CWO Bulan Ini'!$DA:$DA,'CWO Bulan Ini'!$DJ:$DJ,'Area-Cabang'!$B163,'CWO Bulan Ini'!$DH:$DH,'Area-Cabang'!$E163,'CWO Bulan Ini'!$CZ:$CZ,'Area-Cabang'!X$41)</f>
        <v>0</v>
      </c>
      <c r="Y163" s="42">
        <f>SUMIFS('CWO Bulan Ini'!$DA:$DA,'CWO Bulan Ini'!$DJ:$DJ,'Area-Cabang'!$B163,'CWO Bulan Ini'!$DH:$DH,'Area-Cabang'!$E163,'CWO Bulan Ini'!$CZ:$CZ,'Area-Cabang'!Y$41)</f>
        <v>0</v>
      </c>
      <c r="Z163" s="42">
        <f>SUMIFS('CWO Bulan Ini'!$DA:$DA,'CWO Bulan Ini'!$DJ:$DJ,'Area-Cabang'!$B163,'CWO Bulan Ini'!$DH:$DH,'Area-Cabang'!$E163,'CWO Bulan Ini'!$CZ:$CZ,'Area-Cabang'!Z$41)</f>
        <v>0</v>
      </c>
      <c r="AA163" s="42">
        <f>SUMIFS('CWO Bulan Ini'!$DA:$DA,'CWO Bulan Ini'!$DJ:$DJ,'Area-Cabang'!$B163,'CWO Bulan Ini'!$DH:$DH,'Area-Cabang'!$E163,'CWO Bulan Ini'!$CZ:$CZ,'Area-Cabang'!AA$41)</f>
        <v>0</v>
      </c>
      <c r="AB163" s="42">
        <f>SUMIFS('CWO Bulan Ini'!$DA:$DA,'CWO Bulan Ini'!$DJ:$DJ,'Area-Cabang'!$B163,'CWO Bulan Ini'!$DH:$DH,'Area-Cabang'!$E163,'CWO Bulan Ini'!$CZ:$CZ,'Area-Cabang'!AB$41)</f>
        <v>0</v>
      </c>
      <c r="AC163" s="42">
        <f>SUMIFS('CWO Bulan Ini'!$DA:$DA,'CWO Bulan Ini'!$DJ:$DJ,'Area-Cabang'!$B163,'CWO Bulan Ini'!$DH:$DH,'Area-Cabang'!$E163,'CWO Bulan Ini'!$CZ:$CZ,'Area-Cabang'!AC$41)</f>
        <v>0</v>
      </c>
      <c r="AD163" s="42">
        <f>SUMIFS('CWO Bulan Ini'!$DA:$DA,'CWO Bulan Ini'!$DJ:$DJ,'Area-Cabang'!$B163,'CWO Bulan Ini'!$DH:$DH,'Area-Cabang'!$E163,'CWO Bulan Ini'!$CZ:$CZ,'Area-Cabang'!AD$41)</f>
        <v>0</v>
      </c>
      <c r="AE163" s="42">
        <f>SUMIFS('CWO Bulan Ini'!$DA:$DA,'CWO Bulan Ini'!$DJ:$DJ,'Area-Cabang'!$B163,'CWO Bulan Ini'!$DH:$DH,'Area-Cabang'!$E163,'CWO Bulan Ini'!$CZ:$CZ,'Area-Cabang'!AE$41)</f>
        <v>0</v>
      </c>
      <c r="AF163" s="42">
        <f>SUMIFS('CWO Bulan Ini'!$DA:$DA,'CWO Bulan Ini'!$DJ:$DJ,'Area-Cabang'!$B163,'CWO Bulan Ini'!$DH:$DH,'Area-Cabang'!$E163,'CWO Bulan Ini'!$CZ:$CZ,'Area-Cabang'!AF$41)</f>
        <v>0</v>
      </c>
      <c r="AG163" s="42">
        <f>SUMIFS('CWO Bulan Ini'!$DA:$DA,'CWO Bulan Ini'!$DJ:$DJ,'Area-Cabang'!$B163,'CWO Bulan Ini'!$DH:$DH,'Area-Cabang'!$E163,'CWO Bulan Ini'!$CZ:$CZ,'Area-Cabang'!AG$41)</f>
        <v>0</v>
      </c>
      <c r="AH163" s="42">
        <f>SUMIFS('CWO Bulan Ini'!$DA:$DA,'CWO Bulan Ini'!$DJ:$DJ,'Area-Cabang'!$B163,'CWO Bulan Ini'!$DH:$DH,'Area-Cabang'!$E163,'CWO Bulan Ini'!$CZ:$CZ,'Area-Cabang'!AH$41)</f>
        <v>0</v>
      </c>
      <c r="AI163" s="42">
        <f>SUMIFS('CWO Bulan Ini'!$DA:$DA,'CWO Bulan Ini'!$DJ:$DJ,'Area-Cabang'!$B163,'CWO Bulan Ini'!$DH:$DH,'Area-Cabang'!$E163,'CWO Bulan Ini'!$CZ:$CZ,'Area-Cabang'!AI$41)</f>
        <v>0</v>
      </c>
      <c r="AJ163" s="42">
        <f>SUMIFS('CWO Bulan Ini'!$DA:$DA,'CWO Bulan Ini'!$DJ:$DJ,'Area-Cabang'!$B163,'CWO Bulan Ini'!$DH:$DH,'Area-Cabang'!$E163,'CWO Bulan Ini'!$CZ:$CZ,'Area-Cabang'!AJ$41)</f>
        <v>0</v>
      </c>
      <c r="AK163" s="41">
        <f>SUMIFS('CWO Bulan Ini'!$DD:$DD,'CWO Bulan Ini'!$DJ:$DJ,'Area-Cabang'!$B163,'CWO Bulan Ini'!$DH:$DH,'Area-Cabang'!$E163,'CWO Bulan Ini'!$CZ:$CZ,'Area-Cabang'!AK$41)</f>
        <v>0</v>
      </c>
      <c r="AL163" s="42">
        <f>SUMIFS('CWO Bulan Ini'!$DD:$DD,'CWO Bulan Ini'!$DJ:$DJ,'Area-Cabang'!$B163,'CWO Bulan Ini'!$DH:$DH,'Area-Cabang'!$E163,'CWO Bulan Ini'!$CZ:$CZ,'Area-Cabang'!AL$41)</f>
        <v>0</v>
      </c>
      <c r="AM163" s="42">
        <f>SUMIFS('CWO Bulan Ini'!$DD:$DD,'CWO Bulan Ini'!$DJ:$DJ,'Area-Cabang'!$B163,'CWO Bulan Ini'!$DH:$DH,'Area-Cabang'!$E163,'CWO Bulan Ini'!$CZ:$CZ,'Area-Cabang'!AM$41)</f>
        <v>0</v>
      </c>
      <c r="AN163" s="42">
        <f>SUMIFS('CWO Bulan Ini'!$DD:$DD,'CWO Bulan Ini'!$DJ:$DJ,'Area-Cabang'!$B163,'CWO Bulan Ini'!$DH:$DH,'Area-Cabang'!$E163,'CWO Bulan Ini'!$CZ:$CZ,'Area-Cabang'!AN$41)</f>
        <v>0</v>
      </c>
      <c r="AO163" s="42">
        <f>SUMIFS('CWO Bulan Ini'!$DD:$DD,'CWO Bulan Ini'!$DJ:$DJ,'Area-Cabang'!$B163,'CWO Bulan Ini'!$DH:$DH,'Area-Cabang'!$E163,'CWO Bulan Ini'!$CZ:$CZ,'Area-Cabang'!AO$41)</f>
        <v>0</v>
      </c>
      <c r="AP163" s="42">
        <f>SUMIFS('CWO Bulan Ini'!$DD:$DD,'CWO Bulan Ini'!$DJ:$DJ,'Area-Cabang'!$B163,'CWO Bulan Ini'!$DH:$DH,'Area-Cabang'!$E163,'CWO Bulan Ini'!$CZ:$CZ,'Area-Cabang'!AP$41)</f>
        <v>0</v>
      </c>
      <c r="AQ163" s="42">
        <f>SUMIFS('CWO Bulan Ini'!$DD:$DD,'CWO Bulan Ini'!$DJ:$DJ,'Area-Cabang'!$B163,'CWO Bulan Ini'!$DH:$DH,'Area-Cabang'!$E163,'CWO Bulan Ini'!$CZ:$CZ,'Area-Cabang'!AQ$41)</f>
        <v>0</v>
      </c>
      <c r="AR163" s="42">
        <f>SUMIFS('CWO Bulan Ini'!$DD:$DD,'CWO Bulan Ini'!$DJ:$DJ,'Area-Cabang'!$B163,'CWO Bulan Ini'!$DH:$DH,'Area-Cabang'!$E163,'CWO Bulan Ini'!$CZ:$CZ,'Area-Cabang'!AR$41)</f>
        <v>0</v>
      </c>
      <c r="AS163" s="42">
        <f>SUMIFS('CWO Bulan Ini'!$DD:$DD,'CWO Bulan Ini'!$DJ:$DJ,'Area-Cabang'!$B163,'CWO Bulan Ini'!$DH:$DH,'Area-Cabang'!$E163,'CWO Bulan Ini'!$CZ:$CZ,'Area-Cabang'!AS$41)</f>
        <v>0</v>
      </c>
      <c r="AT163" s="42">
        <f>SUMIFS('CWO Bulan Ini'!$DD:$DD,'CWO Bulan Ini'!$DJ:$DJ,'Area-Cabang'!$B163,'CWO Bulan Ini'!$DH:$DH,'Area-Cabang'!$E163,'CWO Bulan Ini'!$CZ:$CZ,'Area-Cabang'!AT$41)</f>
        <v>0</v>
      </c>
      <c r="AU163" s="42">
        <f>SUMIFS('CWO Bulan Ini'!$DD:$DD,'CWO Bulan Ini'!$DJ:$DJ,'Area-Cabang'!$B163,'CWO Bulan Ini'!$DH:$DH,'Area-Cabang'!$E163,'CWO Bulan Ini'!$CZ:$CZ,'Area-Cabang'!AU$41)</f>
        <v>0</v>
      </c>
      <c r="AV163" s="42">
        <f>SUMIFS('CWO Bulan Ini'!$DD:$DD,'CWO Bulan Ini'!$DJ:$DJ,'Area-Cabang'!$B163,'CWO Bulan Ini'!$DH:$DH,'Area-Cabang'!$E163,'CWO Bulan Ini'!$CZ:$CZ,'Area-Cabang'!AV$41)</f>
        <v>0</v>
      </c>
      <c r="AW163" s="42">
        <f>SUMIFS('CWO Bulan Ini'!$DD:$DD,'CWO Bulan Ini'!$DJ:$DJ,'Area-Cabang'!$B163,'CWO Bulan Ini'!$DH:$DH,'Area-Cabang'!$E163,'CWO Bulan Ini'!$CZ:$CZ,'Area-Cabang'!AW$41)</f>
        <v>0</v>
      </c>
      <c r="AX163" s="42">
        <f>SUMIFS('CWO Bulan Ini'!$DD:$DD,'CWO Bulan Ini'!$DJ:$DJ,'Area-Cabang'!$B163,'CWO Bulan Ini'!$DH:$DH,'Area-Cabang'!$E163,'CWO Bulan Ini'!$CZ:$CZ,'Area-Cabang'!AX$41)</f>
        <v>0</v>
      </c>
      <c r="AY163" s="42">
        <f>SUMIFS('CWO Bulan Ini'!$DD:$DD,'CWO Bulan Ini'!$DJ:$DJ,'Area-Cabang'!$B163,'CWO Bulan Ini'!$DH:$DH,'Area-Cabang'!$E163,'CWO Bulan Ini'!$CZ:$CZ,'Area-Cabang'!AY$41)</f>
        <v>0</v>
      </c>
      <c r="AZ163" s="42">
        <f>SUMIFS('CWO Bulan Ini'!$DD:$DD,'CWO Bulan Ini'!$DJ:$DJ,'Area-Cabang'!$B163,'CWO Bulan Ini'!$DH:$DH,'Area-Cabang'!$E163,'CWO Bulan Ini'!$CZ:$CZ,'Area-Cabang'!AZ$41)</f>
        <v>0</v>
      </c>
      <c r="BA163" s="42">
        <f>SUMIFS('CWO Bulan Ini'!$DD:$DD,'CWO Bulan Ini'!$DJ:$DJ,'Area-Cabang'!$B163,'CWO Bulan Ini'!$DH:$DH,'Area-Cabang'!$E163,'CWO Bulan Ini'!$CZ:$CZ,'Area-Cabang'!BA$41)</f>
        <v>0</v>
      </c>
      <c r="BB163" s="42">
        <f>SUMIFS('CWO Bulan Ini'!$DD:$DD,'CWO Bulan Ini'!$DJ:$DJ,'Area-Cabang'!$B163,'CWO Bulan Ini'!$DH:$DH,'Area-Cabang'!$E163,'CWO Bulan Ini'!$CZ:$CZ,'Area-Cabang'!BB$41)</f>
        <v>0</v>
      </c>
      <c r="BC163" s="42">
        <f>SUMIFS('CWO Bulan Ini'!$DD:$DD,'CWO Bulan Ini'!$DJ:$DJ,'Area-Cabang'!$B163,'CWO Bulan Ini'!$DH:$DH,'Area-Cabang'!$E163,'CWO Bulan Ini'!$CZ:$CZ,'Area-Cabang'!BC$41)</f>
        <v>0</v>
      </c>
      <c r="BD163" s="42">
        <f>SUMIFS('CWO Bulan Ini'!$DD:$DD,'CWO Bulan Ini'!$DJ:$DJ,'Area-Cabang'!$B163,'CWO Bulan Ini'!$DH:$DH,'Area-Cabang'!$E163,'CWO Bulan Ini'!$CZ:$CZ,'Area-Cabang'!BD$41)</f>
        <v>0</v>
      </c>
      <c r="BE163" s="42">
        <f>SUMIFS('CWO Bulan Ini'!$DD:$DD,'CWO Bulan Ini'!$DJ:$DJ,'Area-Cabang'!$B163,'CWO Bulan Ini'!$DH:$DH,'Area-Cabang'!$E163,'CWO Bulan Ini'!$CZ:$CZ,'Area-Cabang'!BE$41)</f>
        <v>0</v>
      </c>
      <c r="BF163" s="42">
        <f>SUMIFS('CWO Bulan Ini'!$DD:$DD,'CWO Bulan Ini'!$DJ:$DJ,'Area-Cabang'!$B163,'CWO Bulan Ini'!$DH:$DH,'Area-Cabang'!$E163,'CWO Bulan Ini'!$CZ:$CZ,'Area-Cabang'!BF$41)</f>
        <v>0</v>
      </c>
      <c r="BG163" s="42">
        <f>SUMIFS('CWO Bulan Ini'!$DD:$DD,'CWO Bulan Ini'!$DJ:$DJ,'Area-Cabang'!$B163,'CWO Bulan Ini'!$DH:$DH,'Area-Cabang'!$E163,'CWO Bulan Ini'!$CZ:$CZ,'Area-Cabang'!BG$41)</f>
        <v>0</v>
      </c>
      <c r="BH163" s="42">
        <f>SUMIFS('CWO Bulan Ini'!$DD:$DD,'CWO Bulan Ini'!$DJ:$DJ,'Area-Cabang'!$B163,'CWO Bulan Ini'!$DH:$DH,'Area-Cabang'!$E163,'CWO Bulan Ini'!$CZ:$CZ,'Area-Cabang'!BH$41)</f>
        <v>0</v>
      </c>
      <c r="BI163" s="42">
        <f>SUMIFS('CWO Bulan Ini'!$DD:$DD,'CWO Bulan Ini'!$DJ:$DJ,'Area-Cabang'!$B163,'CWO Bulan Ini'!$DH:$DH,'Area-Cabang'!$E163,'CWO Bulan Ini'!$CZ:$CZ,'Area-Cabang'!BI$41)</f>
        <v>0</v>
      </c>
      <c r="BJ163" s="42">
        <f>SUMIFS('CWO Bulan Ini'!$DD:$DD,'CWO Bulan Ini'!$DJ:$DJ,'Area-Cabang'!$B163,'CWO Bulan Ini'!$DH:$DH,'Area-Cabang'!$E163,'CWO Bulan Ini'!$CZ:$CZ,'Area-Cabang'!BJ$41)</f>
        <v>0</v>
      </c>
      <c r="BK163" s="42">
        <f>SUMIFS('CWO Bulan Ini'!$DD:$DD,'CWO Bulan Ini'!$DJ:$DJ,'Area-Cabang'!$B163,'CWO Bulan Ini'!$DH:$DH,'Area-Cabang'!$E163,'CWO Bulan Ini'!$CZ:$CZ,'Area-Cabang'!BK$41)</f>
        <v>0</v>
      </c>
      <c r="BL163" s="42">
        <f>SUMIFS('CWO Bulan Ini'!$DD:$DD,'CWO Bulan Ini'!$DJ:$DJ,'Area-Cabang'!$B163,'CWO Bulan Ini'!$DH:$DH,'Area-Cabang'!$E163,'CWO Bulan Ini'!$CZ:$CZ,'Area-Cabang'!BL$41)</f>
        <v>0</v>
      </c>
      <c r="BM163" s="42">
        <f>SUMIFS('CWO Bulan Ini'!$DD:$DD,'CWO Bulan Ini'!$DJ:$DJ,'Area-Cabang'!$B163,'CWO Bulan Ini'!$DH:$DH,'Area-Cabang'!$E163,'CWO Bulan Ini'!$CZ:$CZ,'Area-Cabang'!BM$41)</f>
        <v>0</v>
      </c>
      <c r="BN163" s="42">
        <f>SUMIFS('CWO Bulan Ini'!$DD:$DD,'CWO Bulan Ini'!$DJ:$DJ,'Area-Cabang'!$B163,'CWO Bulan Ini'!$DH:$DH,'Area-Cabang'!$E163,'CWO Bulan Ini'!$CZ:$CZ,'Area-Cabang'!BN$41)</f>
        <v>0</v>
      </c>
      <c r="BO163" s="43">
        <f>SUMIFS('CWO Bulan Ini'!$DD:$DD,'CWO Bulan Ini'!$DJ:$DJ,'Area-Cabang'!$B163,'CWO Bulan Ini'!$DH:$DH,'Area-Cabang'!$E163,'CWO Bulan Ini'!$CZ:$CZ,'Area-Cabang'!BO$41)</f>
        <v>0</v>
      </c>
      <c r="BP163" s="41">
        <f>SUMIFS('CWO Bulan Ini'!$DC:$DC,'CWO Bulan Ini'!$DJ:$DJ,'Area-Cabang'!$B163,'CWO Bulan Ini'!$DH:$DH,'Area-Cabang'!$E163,'CWO Bulan Ini'!$CZ:$CZ,'Area-Cabang'!BP$41)</f>
        <v>0</v>
      </c>
      <c r="BQ163" s="42">
        <f>SUMIFS('CWO Bulan Ini'!$DC:$DC,'CWO Bulan Ini'!$DJ:$DJ,'Area-Cabang'!$B163,'CWO Bulan Ini'!$DH:$DH,'Area-Cabang'!$E163,'CWO Bulan Ini'!$CZ:$CZ,'Area-Cabang'!BQ$41)</f>
        <v>0</v>
      </c>
      <c r="BR163" s="42">
        <f>SUMIFS('CWO Bulan Ini'!$DC:$DC,'CWO Bulan Ini'!$DJ:$DJ,'Area-Cabang'!$B163,'CWO Bulan Ini'!$DH:$DH,'Area-Cabang'!$E163,'CWO Bulan Ini'!$CZ:$CZ,'Area-Cabang'!BR$41)</f>
        <v>0</v>
      </c>
      <c r="BS163" s="42">
        <f>SUMIFS('CWO Bulan Ini'!$DC:$DC,'CWO Bulan Ini'!$DJ:$DJ,'Area-Cabang'!$B163,'CWO Bulan Ini'!$DH:$DH,'Area-Cabang'!$E163,'CWO Bulan Ini'!$CZ:$CZ,'Area-Cabang'!BS$41)</f>
        <v>0</v>
      </c>
      <c r="BT163" s="42">
        <f>SUMIFS('CWO Bulan Ini'!$DC:$DC,'CWO Bulan Ini'!$DJ:$DJ,'Area-Cabang'!$B163,'CWO Bulan Ini'!$DH:$DH,'Area-Cabang'!$E163,'CWO Bulan Ini'!$CZ:$CZ,'Area-Cabang'!BT$41)</f>
        <v>0</v>
      </c>
      <c r="BU163" s="42">
        <f>SUMIFS('CWO Bulan Ini'!$DC:$DC,'CWO Bulan Ini'!$DJ:$DJ,'Area-Cabang'!$B163,'CWO Bulan Ini'!$DH:$DH,'Area-Cabang'!$E163,'CWO Bulan Ini'!$CZ:$CZ,'Area-Cabang'!BU$41)</f>
        <v>0</v>
      </c>
      <c r="BV163" s="42">
        <f>SUMIFS('CWO Bulan Ini'!$DC:$DC,'CWO Bulan Ini'!$DJ:$DJ,'Area-Cabang'!$B163,'CWO Bulan Ini'!$DH:$DH,'Area-Cabang'!$E163,'CWO Bulan Ini'!$CZ:$CZ,'Area-Cabang'!BV$41)</f>
        <v>0</v>
      </c>
      <c r="BW163" s="42">
        <f>SUMIFS('CWO Bulan Ini'!$DC:$DC,'CWO Bulan Ini'!$DJ:$DJ,'Area-Cabang'!$B163,'CWO Bulan Ini'!$DH:$DH,'Area-Cabang'!$E163,'CWO Bulan Ini'!$CZ:$CZ,'Area-Cabang'!BW$41)</f>
        <v>0</v>
      </c>
      <c r="BX163" s="42">
        <f>SUMIFS('CWO Bulan Ini'!$DC:$DC,'CWO Bulan Ini'!$DJ:$DJ,'Area-Cabang'!$B163,'CWO Bulan Ini'!$DH:$DH,'Area-Cabang'!$E163,'CWO Bulan Ini'!$CZ:$CZ,'Area-Cabang'!BX$41)</f>
        <v>0</v>
      </c>
      <c r="BY163" s="42">
        <f>SUMIFS('CWO Bulan Ini'!$DC:$DC,'CWO Bulan Ini'!$DJ:$DJ,'Area-Cabang'!$B163,'CWO Bulan Ini'!$DH:$DH,'Area-Cabang'!$E163,'CWO Bulan Ini'!$CZ:$CZ,'Area-Cabang'!BY$41)</f>
        <v>0</v>
      </c>
      <c r="BZ163" s="42">
        <f>SUMIFS('CWO Bulan Ini'!$DC:$DC,'CWO Bulan Ini'!$DJ:$DJ,'Area-Cabang'!$B163,'CWO Bulan Ini'!$DH:$DH,'Area-Cabang'!$E163,'CWO Bulan Ini'!$CZ:$CZ,'Area-Cabang'!BZ$41)</f>
        <v>0</v>
      </c>
      <c r="CA163" s="42">
        <f>SUMIFS('CWO Bulan Ini'!$DC:$DC,'CWO Bulan Ini'!$DJ:$DJ,'Area-Cabang'!$B163,'CWO Bulan Ini'!$DH:$DH,'Area-Cabang'!$E163,'CWO Bulan Ini'!$CZ:$CZ,'Area-Cabang'!CA$41)</f>
        <v>0</v>
      </c>
      <c r="CB163" s="42">
        <f>SUMIFS('CWO Bulan Ini'!$DC:$DC,'CWO Bulan Ini'!$DJ:$DJ,'Area-Cabang'!$B163,'CWO Bulan Ini'!$DH:$DH,'Area-Cabang'!$E163,'CWO Bulan Ini'!$CZ:$CZ,'Area-Cabang'!CB$41)</f>
        <v>0</v>
      </c>
      <c r="CC163" s="42">
        <f>SUMIFS('CWO Bulan Ini'!$DC:$DC,'CWO Bulan Ini'!$DJ:$DJ,'Area-Cabang'!$B163,'CWO Bulan Ini'!$DH:$DH,'Area-Cabang'!$E163,'CWO Bulan Ini'!$CZ:$CZ,'Area-Cabang'!CC$41)</f>
        <v>0</v>
      </c>
      <c r="CD163" s="42">
        <f>SUMIFS('CWO Bulan Ini'!$DC:$DC,'CWO Bulan Ini'!$DJ:$DJ,'Area-Cabang'!$B163,'CWO Bulan Ini'!$DH:$DH,'Area-Cabang'!$E163,'CWO Bulan Ini'!$CZ:$CZ,'Area-Cabang'!CD$41)</f>
        <v>0</v>
      </c>
      <c r="CE163" s="42">
        <f>SUMIFS('CWO Bulan Ini'!$DC:$DC,'CWO Bulan Ini'!$DJ:$DJ,'Area-Cabang'!$B163,'CWO Bulan Ini'!$DH:$DH,'Area-Cabang'!$E163,'CWO Bulan Ini'!$CZ:$CZ,'Area-Cabang'!CE$41)</f>
        <v>0</v>
      </c>
      <c r="CF163" s="42">
        <f>SUMIFS('CWO Bulan Ini'!$DC:$DC,'CWO Bulan Ini'!$DJ:$DJ,'Area-Cabang'!$B163,'CWO Bulan Ini'!$DH:$DH,'Area-Cabang'!$E163,'CWO Bulan Ini'!$CZ:$CZ,'Area-Cabang'!CF$41)</f>
        <v>0</v>
      </c>
      <c r="CG163" s="42">
        <f>SUMIFS('CWO Bulan Ini'!$DC:$DC,'CWO Bulan Ini'!$DJ:$DJ,'Area-Cabang'!$B163,'CWO Bulan Ini'!$DH:$DH,'Area-Cabang'!$E163,'CWO Bulan Ini'!$CZ:$CZ,'Area-Cabang'!CG$41)</f>
        <v>0</v>
      </c>
      <c r="CH163" s="42">
        <f>SUMIFS('CWO Bulan Ini'!$DC:$DC,'CWO Bulan Ini'!$DJ:$DJ,'Area-Cabang'!$B163,'CWO Bulan Ini'!$DH:$DH,'Area-Cabang'!$E163,'CWO Bulan Ini'!$CZ:$CZ,'Area-Cabang'!CH$41)</f>
        <v>0</v>
      </c>
      <c r="CI163" s="42">
        <f>SUMIFS('CWO Bulan Ini'!$DC:$DC,'CWO Bulan Ini'!$DJ:$DJ,'Area-Cabang'!$B163,'CWO Bulan Ini'!$DH:$DH,'Area-Cabang'!$E163,'CWO Bulan Ini'!$CZ:$CZ,'Area-Cabang'!CI$41)</f>
        <v>0</v>
      </c>
      <c r="CJ163" s="42">
        <f>SUMIFS('CWO Bulan Ini'!$DC:$DC,'CWO Bulan Ini'!$DJ:$DJ,'Area-Cabang'!$B163,'CWO Bulan Ini'!$DH:$DH,'Area-Cabang'!$E163,'CWO Bulan Ini'!$CZ:$CZ,'Area-Cabang'!CJ$41)</f>
        <v>0</v>
      </c>
      <c r="CK163" s="42">
        <f>SUMIFS('CWO Bulan Ini'!$DC:$DC,'CWO Bulan Ini'!$DJ:$DJ,'Area-Cabang'!$B163,'CWO Bulan Ini'!$DH:$DH,'Area-Cabang'!$E163,'CWO Bulan Ini'!$CZ:$CZ,'Area-Cabang'!CK$41)</f>
        <v>0</v>
      </c>
      <c r="CL163" s="42">
        <f>SUMIFS('CWO Bulan Ini'!$DC:$DC,'CWO Bulan Ini'!$DJ:$DJ,'Area-Cabang'!$B163,'CWO Bulan Ini'!$DH:$DH,'Area-Cabang'!$E163,'CWO Bulan Ini'!$CZ:$CZ,'Area-Cabang'!CL$41)</f>
        <v>0</v>
      </c>
      <c r="CM163" s="42">
        <f>SUMIFS('CWO Bulan Ini'!$DC:$DC,'CWO Bulan Ini'!$DJ:$DJ,'Area-Cabang'!$B163,'CWO Bulan Ini'!$DH:$DH,'Area-Cabang'!$E163,'CWO Bulan Ini'!$CZ:$CZ,'Area-Cabang'!CM$41)</f>
        <v>0</v>
      </c>
      <c r="CN163" s="42">
        <f>SUMIFS('CWO Bulan Ini'!$DC:$DC,'CWO Bulan Ini'!$DJ:$DJ,'Area-Cabang'!$B163,'CWO Bulan Ini'!$DH:$DH,'Area-Cabang'!$E163,'CWO Bulan Ini'!$CZ:$CZ,'Area-Cabang'!CN$41)</f>
        <v>0</v>
      </c>
      <c r="CO163" s="42">
        <f>SUMIFS('CWO Bulan Ini'!$DC:$DC,'CWO Bulan Ini'!$DJ:$DJ,'Area-Cabang'!$B163,'CWO Bulan Ini'!$DH:$DH,'Area-Cabang'!$E163,'CWO Bulan Ini'!$CZ:$CZ,'Area-Cabang'!CO$41)</f>
        <v>0</v>
      </c>
      <c r="CP163" s="42">
        <f>SUMIFS('CWO Bulan Ini'!$DC:$DC,'CWO Bulan Ini'!$DJ:$DJ,'Area-Cabang'!$B163,'CWO Bulan Ini'!$DH:$DH,'Area-Cabang'!$E163,'CWO Bulan Ini'!$CZ:$CZ,'Area-Cabang'!CP$41)</f>
        <v>0</v>
      </c>
      <c r="CQ163" s="42">
        <f>SUMIFS('CWO Bulan Ini'!$DC:$DC,'CWO Bulan Ini'!$DJ:$DJ,'Area-Cabang'!$B163,'CWO Bulan Ini'!$DH:$DH,'Area-Cabang'!$E163,'CWO Bulan Ini'!$CZ:$CZ,'Area-Cabang'!CQ$41)</f>
        <v>0</v>
      </c>
      <c r="CR163" s="42">
        <f>SUMIFS('CWO Bulan Ini'!$DC:$DC,'CWO Bulan Ini'!$DJ:$DJ,'Area-Cabang'!$B163,'CWO Bulan Ini'!$DH:$DH,'Area-Cabang'!$E163,'CWO Bulan Ini'!$CZ:$CZ,'Area-Cabang'!CR$41)</f>
        <v>0</v>
      </c>
      <c r="CS163" s="42">
        <f>SUMIFS('CWO Bulan Ini'!$DC:$DC,'CWO Bulan Ini'!$DJ:$DJ,'Area-Cabang'!$B163,'CWO Bulan Ini'!$DH:$DH,'Area-Cabang'!$E163,'CWO Bulan Ini'!$CZ:$CZ,'Area-Cabang'!CS$41)</f>
        <v>0</v>
      </c>
      <c r="CT163" s="43">
        <f>SUMIFS('CWO Bulan Ini'!$DC:$DC,'CWO Bulan Ini'!$DJ:$DJ,'Area-Cabang'!$B163,'CWO Bulan Ini'!$DH:$DH,'Area-Cabang'!$E163,'CWO Bulan Ini'!$CZ:$CZ,'Area-Cabang'!CT$41)</f>
        <v>0</v>
      </c>
      <c r="CV163" s="96">
        <f t="shared" si="5101"/>
        <v>0</v>
      </c>
      <c r="CW163" s="93">
        <f t="shared" si="5102"/>
        <v>0</v>
      </c>
      <c r="CX163" s="93">
        <f t="shared" si="5103"/>
        <v>0</v>
      </c>
      <c r="CY163" s="93">
        <f t="shared" si="5104"/>
        <v>0</v>
      </c>
      <c r="CZ163" s="106">
        <f t="shared" si="5105"/>
        <v>0</v>
      </c>
    </row>
    <row r="164" spans="1:104" ht="15" customHeight="1" x14ac:dyDescent="0.25">
      <c r="A164" s="58" t="s">
        <v>576</v>
      </c>
      <c r="B164" s="60" t="s">
        <v>847</v>
      </c>
      <c r="C164" s="247"/>
      <c r="D164" s="227" t="s">
        <v>847</v>
      </c>
      <c r="E164" s="228"/>
      <c r="F164" s="219">
        <f t="shared" ref="F164" si="5106">SUM(F162:F163)</f>
        <v>0</v>
      </c>
      <c r="G164" s="220">
        <f t="shared" ref="G164" si="5107">SUM(G162:G163)</f>
        <v>0</v>
      </c>
      <c r="H164" s="220">
        <f t="shared" ref="H164" si="5108">SUM(H162:H163)</f>
        <v>0</v>
      </c>
      <c r="I164" s="220">
        <f t="shared" ref="I164" si="5109">SUM(I162:I163)</f>
        <v>0</v>
      </c>
      <c r="J164" s="220">
        <f t="shared" ref="J164" si="5110">SUM(J162:J163)</f>
        <v>0</v>
      </c>
      <c r="K164" s="220">
        <f t="shared" ref="K164" si="5111">SUM(K162:K163)</f>
        <v>0</v>
      </c>
      <c r="L164" s="220">
        <f t="shared" ref="L164" si="5112">SUM(L162:L163)</f>
        <v>0</v>
      </c>
      <c r="M164" s="220">
        <f t="shared" ref="M164" si="5113">SUM(M162:M163)</f>
        <v>0</v>
      </c>
      <c r="N164" s="220">
        <f t="shared" ref="N164" si="5114">SUM(N162:N163)</f>
        <v>0</v>
      </c>
      <c r="O164" s="220">
        <f t="shared" ref="O164" si="5115">SUM(O162:O163)</f>
        <v>0</v>
      </c>
      <c r="P164" s="220">
        <f t="shared" ref="P164" si="5116">SUM(P162:P163)</f>
        <v>0</v>
      </c>
      <c r="Q164" s="220">
        <f t="shared" ref="Q164" si="5117">SUM(Q162:Q163)</f>
        <v>0</v>
      </c>
      <c r="R164" s="220">
        <f t="shared" ref="R164" si="5118">SUM(R162:R163)</f>
        <v>0</v>
      </c>
      <c r="S164" s="220">
        <f t="shared" ref="S164" si="5119">SUM(S162:S163)</f>
        <v>0</v>
      </c>
      <c r="T164" s="220">
        <f t="shared" ref="T164" si="5120">SUM(T162:T163)</f>
        <v>0</v>
      </c>
      <c r="U164" s="220">
        <f t="shared" ref="U164" si="5121">SUM(U162:U163)</f>
        <v>0</v>
      </c>
      <c r="V164" s="220">
        <f t="shared" ref="V164" si="5122">SUM(V162:V163)</f>
        <v>0</v>
      </c>
      <c r="W164" s="220">
        <f t="shared" ref="W164" si="5123">SUM(W162:W163)</f>
        <v>0</v>
      </c>
      <c r="X164" s="220">
        <f t="shared" ref="X164" si="5124">SUM(X162:X163)</f>
        <v>0</v>
      </c>
      <c r="Y164" s="220">
        <f t="shared" ref="Y164" si="5125">SUM(Y162:Y163)</f>
        <v>0</v>
      </c>
      <c r="Z164" s="220">
        <f t="shared" ref="Z164" si="5126">SUM(Z162:Z163)</f>
        <v>0</v>
      </c>
      <c r="AA164" s="220">
        <f t="shared" ref="AA164" si="5127">SUM(AA162:AA163)</f>
        <v>0</v>
      </c>
      <c r="AB164" s="220">
        <f t="shared" ref="AB164" si="5128">SUM(AB162:AB163)</f>
        <v>0</v>
      </c>
      <c r="AC164" s="220">
        <f t="shared" ref="AC164" si="5129">SUM(AC162:AC163)</f>
        <v>0</v>
      </c>
      <c r="AD164" s="220">
        <f t="shared" ref="AD164" si="5130">SUM(AD162:AD163)</f>
        <v>0</v>
      </c>
      <c r="AE164" s="220">
        <f t="shared" ref="AE164" si="5131">SUM(AE162:AE163)</f>
        <v>0</v>
      </c>
      <c r="AF164" s="220">
        <f t="shared" ref="AF164" si="5132">SUM(AF162:AF163)</f>
        <v>0</v>
      </c>
      <c r="AG164" s="220">
        <f t="shared" ref="AG164" si="5133">SUM(AG162:AG163)</f>
        <v>0</v>
      </c>
      <c r="AH164" s="220">
        <f t="shared" ref="AH164" si="5134">SUM(AH162:AH163)</f>
        <v>0</v>
      </c>
      <c r="AI164" s="220">
        <f t="shared" ref="AI164" si="5135">SUM(AI162:AI163)</f>
        <v>0</v>
      </c>
      <c r="AJ164" s="220">
        <f t="shared" ref="AJ164" si="5136">SUM(AJ162:AJ163)</f>
        <v>0</v>
      </c>
      <c r="AK164" s="219">
        <f t="shared" ref="AK164" si="5137">SUM(AK162:AK163)</f>
        <v>0</v>
      </c>
      <c r="AL164" s="220">
        <f t="shared" ref="AL164" si="5138">SUM(AL162:AL163)</f>
        <v>0</v>
      </c>
      <c r="AM164" s="220">
        <f t="shared" ref="AM164" si="5139">SUM(AM162:AM163)</f>
        <v>0</v>
      </c>
      <c r="AN164" s="220">
        <f t="shared" ref="AN164" si="5140">SUM(AN162:AN163)</f>
        <v>0</v>
      </c>
      <c r="AO164" s="220">
        <f t="shared" ref="AO164" si="5141">SUM(AO162:AO163)</f>
        <v>0</v>
      </c>
      <c r="AP164" s="220">
        <f t="shared" ref="AP164" si="5142">SUM(AP162:AP163)</f>
        <v>0</v>
      </c>
      <c r="AQ164" s="220">
        <f t="shared" ref="AQ164" si="5143">SUM(AQ162:AQ163)</f>
        <v>0</v>
      </c>
      <c r="AR164" s="220">
        <f t="shared" ref="AR164" si="5144">SUM(AR162:AR163)</f>
        <v>0</v>
      </c>
      <c r="AS164" s="220">
        <f t="shared" ref="AS164" si="5145">SUM(AS162:AS163)</f>
        <v>0</v>
      </c>
      <c r="AT164" s="220">
        <f t="shared" ref="AT164" si="5146">SUM(AT162:AT163)</f>
        <v>0</v>
      </c>
      <c r="AU164" s="220">
        <f t="shared" ref="AU164" si="5147">SUM(AU162:AU163)</f>
        <v>0</v>
      </c>
      <c r="AV164" s="220">
        <f t="shared" ref="AV164" si="5148">SUM(AV162:AV163)</f>
        <v>0</v>
      </c>
      <c r="AW164" s="220">
        <f t="shared" ref="AW164" si="5149">SUM(AW162:AW163)</f>
        <v>0</v>
      </c>
      <c r="AX164" s="220">
        <f t="shared" ref="AX164" si="5150">SUM(AX162:AX163)</f>
        <v>0</v>
      </c>
      <c r="AY164" s="220">
        <f t="shared" ref="AY164" si="5151">SUM(AY162:AY163)</f>
        <v>0</v>
      </c>
      <c r="AZ164" s="220">
        <f t="shared" ref="AZ164" si="5152">SUM(AZ162:AZ163)</f>
        <v>0</v>
      </c>
      <c r="BA164" s="220">
        <f t="shared" ref="BA164" si="5153">SUM(BA162:BA163)</f>
        <v>0</v>
      </c>
      <c r="BB164" s="220">
        <f t="shared" ref="BB164" si="5154">SUM(BB162:BB163)</f>
        <v>0</v>
      </c>
      <c r="BC164" s="220">
        <f t="shared" ref="BC164" si="5155">SUM(BC162:BC163)</f>
        <v>0</v>
      </c>
      <c r="BD164" s="220">
        <f t="shared" ref="BD164" si="5156">SUM(BD162:BD163)</f>
        <v>0</v>
      </c>
      <c r="BE164" s="220">
        <f t="shared" ref="BE164" si="5157">SUM(BE162:BE163)</f>
        <v>0</v>
      </c>
      <c r="BF164" s="220">
        <f t="shared" ref="BF164" si="5158">SUM(BF162:BF163)</f>
        <v>0</v>
      </c>
      <c r="BG164" s="220">
        <f t="shared" ref="BG164" si="5159">SUM(BG162:BG163)</f>
        <v>0</v>
      </c>
      <c r="BH164" s="220">
        <f t="shared" ref="BH164" si="5160">SUM(BH162:BH163)</f>
        <v>0</v>
      </c>
      <c r="BI164" s="220">
        <f t="shared" ref="BI164" si="5161">SUM(BI162:BI163)</f>
        <v>0</v>
      </c>
      <c r="BJ164" s="220">
        <f t="shared" ref="BJ164" si="5162">SUM(BJ162:BJ163)</f>
        <v>0</v>
      </c>
      <c r="BK164" s="220">
        <f t="shared" ref="BK164" si="5163">SUM(BK162:BK163)</f>
        <v>0</v>
      </c>
      <c r="BL164" s="220">
        <f t="shared" ref="BL164" si="5164">SUM(BL162:BL163)</f>
        <v>0</v>
      </c>
      <c r="BM164" s="220">
        <f t="shared" ref="BM164" si="5165">SUM(BM162:BM163)</f>
        <v>0</v>
      </c>
      <c r="BN164" s="220">
        <f t="shared" ref="BN164" si="5166">SUM(BN162:BN163)</f>
        <v>0</v>
      </c>
      <c r="BO164" s="221">
        <f t="shared" ref="BO164" si="5167">SUM(BO162:BO163)</f>
        <v>0</v>
      </c>
      <c r="BP164" s="219">
        <f t="shared" ref="BP164" si="5168">SUM(BP162:BP163)</f>
        <v>0</v>
      </c>
      <c r="BQ164" s="220">
        <f t="shared" ref="BQ164" si="5169">SUM(BQ162:BQ163)</f>
        <v>0</v>
      </c>
      <c r="BR164" s="220">
        <f t="shared" ref="BR164" si="5170">SUM(BR162:BR163)</f>
        <v>0</v>
      </c>
      <c r="BS164" s="220">
        <f t="shared" ref="BS164" si="5171">SUM(BS162:BS163)</f>
        <v>0</v>
      </c>
      <c r="BT164" s="220">
        <f t="shared" ref="BT164" si="5172">SUM(BT162:BT163)</f>
        <v>0</v>
      </c>
      <c r="BU164" s="220">
        <f t="shared" ref="BU164" si="5173">SUM(BU162:BU163)</f>
        <v>0</v>
      </c>
      <c r="BV164" s="220">
        <f t="shared" ref="BV164" si="5174">SUM(BV162:BV163)</f>
        <v>0</v>
      </c>
      <c r="BW164" s="220">
        <f t="shared" ref="BW164" si="5175">SUM(BW162:BW163)</f>
        <v>0</v>
      </c>
      <c r="BX164" s="220">
        <f t="shared" ref="BX164" si="5176">SUM(BX162:BX163)</f>
        <v>0</v>
      </c>
      <c r="BY164" s="220">
        <f t="shared" ref="BY164" si="5177">SUM(BY162:BY163)</f>
        <v>0</v>
      </c>
      <c r="BZ164" s="220">
        <f t="shared" ref="BZ164" si="5178">SUM(BZ162:BZ163)</f>
        <v>0</v>
      </c>
      <c r="CA164" s="220">
        <f t="shared" ref="CA164" si="5179">SUM(CA162:CA163)</f>
        <v>0</v>
      </c>
      <c r="CB164" s="220">
        <f t="shared" ref="CB164" si="5180">SUM(CB162:CB163)</f>
        <v>0</v>
      </c>
      <c r="CC164" s="220">
        <f t="shared" ref="CC164" si="5181">SUM(CC162:CC163)</f>
        <v>0</v>
      </c>
      <c r="CD164" s="220">
        <f t="shared" ref="CD164" si="5182">SUM(CD162:CD163)</f>
        <v>0</v>
      </c>
      <c r="CE164" s="220">
        <f t="shared" ref="CE164" si="5183">SUM(CE162:CE163)</f>
        <v>0</v>
      </c>
      <c r="CF164" s="220">
        <f t="shared" ref="CF164" si="5184">SUM(CF162:CF163)</f>
        <v>0</v>
      </c>
      <c r="CG164" s="220">
        <f t="shared" ref="CG164" si="5185">SUM(CG162:CG163)</f>
        <v>0</v>
      </c>
      <c r="CH164" s="220">
        <f t="shared" ref="CH164" si="5186">SUM(CH162:CH163)</f>
        <v>0</v>
      </c>
      <c r="CI164" s="220">
        <f t="shared" ref="CI164" si="5187">SUM(CI162:CI163)</f>
        <v>0</v>
      </c>
      <c r="CJ164" s="220">
        <f t="shared" ref="CJ164" si="5188">SUM(CJ162:CJ163)</f>
        <v>0</v>
      </c>
      <c r="CK164" s="220">
        <f t="shared" ref="CK164" si="5189">SUM(CK162:CK163)</f>
        <v>0</v>
      </c>
      <c r="CL164" s="220">
        <f t="shared" ref="CL164" si="5190">SUM(CL162:CL163)</f>
        <v>0</v>
      </c>
      <c r="CM164" s="220">
        <f t="shared" ref="CM164" si="5191">SUM(CM162:CM163)</f>
        <v>0</v>
      </c>
      <c r="CN164" s="220">
        <f t="shared" ref="CN164" si="5192">SUM(CN162:CN163)</f>
        <v>0</v>
      </c>
      <c r="CO164" s="220">
        <f t="shared" ref="CO164" si="5193">SUM(CO162:CO163)</f>
        <v>0</v>
      </c>
      <c r="CP164" s="220">
        <f t="shared" ref="CP164" si="5194">SUM(CP162:CP163)</f>
        <v>0</v>
      </c>
      <c r="CQ164" s="220">
        <f t="shared" ref="CQ164" si="5195">SUM(CQ162:CQ163)</f>
        <v>0</v>
      </c>
      <c r="CR164" s="220">
        <f t="shared" ref="CR164" si="5196">SUM(CR162:CR163)</f>
        <v>0</v>
      </c>
      <c r="CS164" s="220">
        <f t="shared" ref="CS164" si="5197">SUM(CS162:CS163)</f>
        <v>0</v>
      </c>
      <c r="CT164" s="221">
        <f t="shared" ref="CT164" si="5198">SUM(CT162:CT163)</f>
        <v>0</v>
      </c>
      <c r="CU164" s="226"/>
      <c r="CV164" s="219">
        <f t="shared" ref="CV164" si="5199">SUM(CV162:CV163)</f>
        <v>0</v>
      </c>
      <c r="CW164" s="220">
        <f t="shared" ref="CW164" si="5200">SUM(CW162:CW163)</f>
        <v>0</v>
      </c>
      <c r="CX164" s="220">
        <f t="shared" ref="CX164" si="5201">SUM(CX162:CX163)</f>
        <v>0</v>
      </c>
      <c r="CY164" s="220">
        <f t="shared" ref="CY164" si="5202">SUM(CY162:CY163)</f>
        <v>0</v>
      </c>
      <c r="CZ164" s="222">
        <f t="shared" ref="CZ164" si="5203">SUM(CZ162:CZ163)</f>
        <v>0</v>
      </c>
    </row>
    <row r="165" spans="1:104" ht="15" customHeight="1" x14ac:dyDescent="0.25">
      <c r="A165" s="58" t="s">
        <v>576</v>
      </c>
      <c r="B165" s="53" t="s">
        <v>269</v>
      </c>
      <c r="C165" s="247"/>
      <c r="D165" s="245" t="s">
        <v>269</v>
      </c>
      <c r="E165" s="85" t="s">
        <v>132</v>
      </c>
      <c r="F165" s="55">
        <f>SUMIFS('CWO Bulan Ini'!$DA:$DA,'CWO Bulan Ini'!$DJ:$DJ,'Area-Cabang'!$B165,'CWO Bulan Ini'!$DH:$DH,'Area-Cabang'!$E165,'CWO Bulan Ini'!$CZ:$CZ,'Area-Cabang'!F$41)</f>
        <v>0</v>
      </c>
      <c r="G165" s="56">
        <f>SUMIFS('CWO Bulan Ini'!$DA:$DA,'CWO Bulan Ini'!$DJ:$DJ,'Area-Cabang'!$B165,'CWO Bulan Ini'!$DH:$DH,'Area-Cabang'!$E165,'CWO Bulan Ini'!$CZ:$CZ,'Area-Cabang'!G$41)</f>
        <v>0</v>
      </c>
      <c r="H165" s="56">
        <f>SUMIFS('CWO Bulan Ini'!$DA:$DA,'CWO Bulan Ini'!$DJ:$DJ,'Area-Cabang'!$B165,'CWO Bulan Ini'!$DH:$DH,'Area-Cabang'!$E165,'CWO Bulan Ini'!$CZ:$CZ,'Area-Cabang'!H$41)</f>
        <v>0</v>
      </c>
      <c r="I165" s="56">
        <f>SUMIFS('CWO Bulan Ini'!$DA:$DA,'CWO Bulan Ini'!$DJ:$DJ,'Area-Cabang'!$B165,'CWO Bulan Ini'!$DH:$DH,'Area-Cabang'!$E165,'CWO Bulan Ini'!$CZ:$CZ,'Area-Cabang'!I$41)</f>
        <v>126.63902634999999</v>
      </c>
      <c r="J165" s="56">
        <f>SUMIFS('CWO Bulan Ini'!$DA:$DA,'CWO Bulan Ini'!$DJ:$DJ,'Area-Cabang'!$B165,'CWO Bulan Ini'!$DH:$DH,'Area-Cabang'!$E165,'CWO Bulan Ini'!$CZ:$CZ,'Area-Cabang'!J$41)</f>
        <v>0</v>
      </c>
      <c r="K165" s="56">
        <f>SUMIFS('CWO Bulan Ini'!$DA:$DA,'CWO Bulan Ini'!$DJ:$DJ,'Area-Cabang'!$B165,'CWO Bulan Ini'!$DH:$DH,'Area-Cabang'!$E165,'CWO Bulan Ini'!$CZ:$CZ,'Area-Cabang'!K$41)</f>
        <v>108.17527831</v>
      </c>
      <c r="L165" s="56">
        <f>SUMIFS('CWO Bulan Ini'!$DA:$DA,'CWO Bulan Ini'!$DJ:$DJ,'Area-Cabang'!$B165,'CWO Bulan Ini'!$DH:$DH,'Area-Cabang'!$E165,'CWO Bulan Ini'!$CZ:$CZ,'Area-Cabang'!L$41)</f>
        <v>0</v>
      </c>
      <c r="M165" s="56">
        <f>SUMIFS('CWO Bulan Ini'!$DA:$DA,'CWO Bulan Ini'!$DJ:$DJ,'Area-Cabang'!$B165,'CWO Bulan Ini'!$DH:$DH,'Area-Cabang'!$E165,'CWO Bulan Ini'!$CZ:$CZ,'Area-Cabang'!M$41)</f>
        <v>0</v>
      </c>
      <c r="N165" s="56">
        <f>SUMIFS('CWO Bulan Ini'!$DA:$DA,'CWO Bulan Ini'!$DJ:$DJ,'Area-Cabang'!$B165,'CWO Bulan Ini'!$DH:$DH,'Area-Cabang'!$E165,'CWO Bulan Ini'!$CZ:$CZ,'Area-Cabang'!N$41)</f>
        <v>0</v>
      </c>
      <c r="O165" s="56">
        <f>SUMIFS('CWO Bulan Ini'!$DA:$DA,'CWO Bulan Ini'!$DJ:$DJ,'Area-Cabang'!$B165,'CWO Bulan Ini'!$DH:$DH,'Area-Cabang'!$E165,'CWO Bulan Ini'!$CZ:$CZ,'Area-Cabang'!O$41)</f>
        <v>0</v>
      </c>
      <c r="P165" s="56">
        <f>SUMIFS('CWO Bulan Ini'!$DA:$DA,'CWO Bulan Ini'!$DJ:$DJ,'Area-Cabang'!$B165,'CWO Bulan Ini'!$DH:$DH,'Area-Cabang'!$E165,'CWO Bulan Ini'!$CZ:$CZ,'Area-Cabang'!P$41)</f>
        <v>0</v>
      </c>
      <c r="Q165" s="56">
        <f>SUMIFS('CWO Bulan Ini'!$DA:$DA,'CWO Bulan Ini'!$DJ:$DJ,'Area-Cabang'!$B165,'CWO Bulan Ini'!$DH:$DH,'Area-Cabang'!$E165,'CWO Bulan Ini'!$CZ:$CZ,'Area-Cabang'!Q$41)</f>
        <v>0</v>
      </c>
      <c r="R165" s="56">
        <f>SUMIFS('CWO Bulan Ini'!$DA:$DA,'CWO Bulan Ini'!$DJ:$DJ,'Area-Cabang'!$B165,'CWO Bulan Ini'!$DH:$DH,'Area-Cabang'!$E165,'CWO Bulan Ini'!$CZ:$CZ,'Area-Cabang'!R$41)</f>
        <v>228.47911540000001</v>
      </c>
      <c r="S165" s="56">
        <f>SUMIFS('CWO Bulan Ini'!$DA:$DA,'CWO Bulan Ini'!$DJ:$DJ,'Area-Cabang'!$B165,'CWO Bulan Ini'!$DH:$DH,'Area-Cabang'!$E165,'CWO Bulan Ini'!$CZ:$CZ,'Area-Cabang'!S$41)</f>
        <v>0</v>
      </c>
      <c r="T165" s="56">
        <f>SUMIFS('CWO Bulan Ini'!$DA:$DA,'CWO Bulan Ini'!$DJ:$DJ,'Area-Cabang'!$B165,'CWO Bulan Ini'!$DH:$DH,'Area-Cabang'!$E165,'CWO Bulan Ini'!$CZ:$CZ,'Area-Cabang'!T$41)</f>
        <v>118.14839878000001</v>
      </c>
      <c r="U165" s="56">
        <f>SUMIFS('CWO Bulan Ini'!$DA:$DA,'CWO Bulan Ini'!$DJ:$DJ,'Area-Cabang'!$B165,'CWO Bulan Ini'!$DH:$DH,'Area-Cabang'!$E165,'CWO Bulan Ini'!$CZ:$CZ,'Area-Cabang'!U$41)</f>
        <v>0</v>
      </c>
      <c r="V165" s="56">
        <f>SUMIFS('CWO Bulan Ini'!$DA:$DA,'CWO Bulan Ini'!$DJ:$DJ,'Area-Cabang'!$B165,'CWO Bulan Ini'!$DH:$DH,'Area-Cabang'!$E165,'CWO Bulan Ini'!$CZ:$CZ,'Area-Cabang'!V$41)</f>
        <v>0</v>
      </c>
      <c r="W165" s="56">
        <f>SUMIFS('CWO Bulan Ini'!$DA:$DA,'CWO Bulan Ini'!$DJ:$DJ,'Area-Cabang'!$B165,'CWO Bulan Ini'!$DH:$DH,'Area-Cabang'!$E165,'CWO Bulan Ini'!$CZ:$CZ,'Area-Cabang'!W$41)</f>
        <v>0</v>
      </c>
      <c r="X165" s="56">
        <f>SUMIFS('CWO Bulan Ini'!$DA:$DA,'CWO Bulan Ini'!$DJ:$DJ,'Area-Cabang'!$B165,'CWO Bulan Ini'!$DH:$DH,'Area-Cabang'!$E165,'CWO Bulan Ini'!$CZ:$CZ,'Area-Cabang'!X$41)</f>
        <v>0</v>
      </c>
      <c r="Y165" s="56">
        <f>SUMIFS('CWO Bulan Ini'!$DA:$DA,'CWO Bulan Ini'!$DJ:$DJ,'Area-Cabang'!$B165,'CWO Bulan Ini'!$DH:$DH,'Area-Cabang'!$E165,'CWO Bulan Ini'!$CZ:$CZ,'Area-Cabang'!Y$41)</f>
        <v>0</v>
      </c>
      <c r="Z165" s="56">
        <f>SUMIFS('CWO Bulan Ini'!$DA:$DA,'CWO Bulan Ini'!$DJ:$DJ,'Area-Cabang'!$B165,'CWO Bulan Ini'!$DH:$DH,'Area-Cabang'!$E165,'CWO Bulan Ini'!$CZ:$CZ,'Area-Cabang'!Z$41)</f>
        <v>180.48183900000001</v>
      </c>
      <c r="AA165" s="56">
        <f>SUMIFS('CWO Bulan Ini'!$DA:$DA,'CWO Bulan Ini'!$DJ:$DJ,'Area-Cabang'!$B165,'CWO Bulan Ini'!$DH:$DH,'Area-Cabang'!$E165,'CWO Bulan Ini'!$CZ:$CZ,'Area-Cabang'!AA$41)</f>
        <v>0</v>
      </c>
      <c r="AB165" s="56">
        <f>SUMIFS('CWO Bulan Ini'!$DA:$DA,'CWO Bulan Ini'!$DJ:$DJ,'Area-Cabang'!$B165,'CWO Bulan Ini'!$DH:$DH,'Area-Cabang'!$E165,'CWO Bulan Ini'!$CZ:$CZ,'Area-Cabang'!AB$41)</f>
        <v>0</v>
      </c>
      <c r="AC165" s="56">
        <f>SUMIFS('CWO Bulan Ini'!$DA:$DA,'CWO Bulan Ini'!$DJ:$DJ,'Area-Cabang'!$B165,'CWO Bulan Ini'!$DH:$DH,'Area-Cabang'!$E165,'CWO Bulan Ini'!$CZ:$CZ,'Area-Cabang'!AC$41)</f>
        <v>0</v>
      </c>
      <c r="AD165" s="56">
        <f>SUMIFS('CWO Bulan Ini'!$DA:$DA,'CWO Bulan Ini'!$DJ:$DJ,'Area-Cabang'!$B165,'CWO Bulan Ini'!$DH:$DH,'Area-Cabang'!$E165,'CWO Bulan Ini'!$CZ:$CZ,'Area-Cabang'!AD$41)</f>
        <v>0</v>
      </c>
      <c r="AE165" s="56">
        <f>SUMIFS('CWO Bulan Ini'!$DA:$DA,'CWO Bulan Ini'!$DJ:$DJ,'Area-Cabang'!$B165,'CWO Bulan Ini'!$DH:$DH,'Area-Cabang'!$E165,'CWO Bulan Ini'!$CZ:$CZ,'Area-Cabang'!AE$41)</f>
        <v>0</v>
      </c>
      <c r="AF165" s="56">
        <f>SUMIFS('CWO Bulan Ini'!$DA:$DA,'CWO Bulan Ini'!$DJ:$DJ,'Area-Cabang'!$B165,'CWO Bulan Ini'!$DH:$DH,'Area-Cabang'!$E165,'CWO Bulan Ini'!$CZ:$CZ,'Area-Cabang'!AF$41)</f>
        <v>0</v>
      </c>
      <c r="AG165" s="56">
        <f>SUMIFS('CWO Bulan Ini'!$DA:$DA,'CWO Bulan Ini'!$DJ:$DJ,'Area-Cabang'!$B165,'CWO Bulan Ini'!$DH:$DH,'Area-Cabang'!$E165,'CWO Bulan Ini'!$CZ:$CZ,'Area-Cabang'!AG$41)</f>
        <v>0</v>
      </c>
      <c r="AH165" s="56">
        <f>SUMIFS('CWO Bulan Ini'!$DA:$DA,'CWO Bulan Ini'!$DJ:$DJ,'Area-Cabang'!$B165,'CWO Bulan Ini'!$DH:$DH,'Area-Cabang'!$E165,'CWO Bulan Ini'!$CZ:$CZ,'Area-Cabang'!AH$41)</f>
        <v>0</v>
      </c>
      <c r="AI165" s="56">
        <f>SUMIFS('CWO Bulan Ini'!$DA:$DA,'CWO Bulan Ini'!$DJ:$DJ,'Area-Cabang'!$B165,'CWO Bulan Ini'!$DH:$DH,'Area-Cabang'!$E165,'CWO Bulan Ini'!$CZ:$CZ,'Area-Cabang'!AI$41)</f>
        <v>0</v>
      </c>
      <c r="AJ165" s="56">
        <f>SUMIFS('CWO Bulan Ini'!$DA:$DA,'CWO Bulan Ini'!$DJ:$DJ,'Area-Cabang'!$B165,'CWO Bulan Ini'!$DH:$DH,'Area-Cabang'!$E165,'CWO Bulan Ini'!$CZ:$CZ,'Area-Cabang'!AJ$41)</f>
        <v>0</v>
      </c>
      <c r="AK165" s="55">
        <f>SUMIFS('CWO Bulan Ini'!$DD:$DD,'CWO Bulan Ini'!$DJ:$DJ,'Area-Cabang'!$B165,'CWO Bulan Ini'!$DH:$DH,'Area-Cabang'!$E165,'CWO Bulan Ini'!$CZ:$CZ,'Area-Cabang'!AK$41)</f>
        <v>0</v>
      </c>
      <c r="AL165" s="56">
        <f>SUMIFS('CWO Bulan Ini'!$DD:$DD,'CWO Bulan Ini'!$DJ:$DJ,'Area-Cabang'!$B165,'CWO Bulan Ini'!$DH:$DH,'Area-Cabang'!$E165,'CWO Bulan Ini'!$CZ:$CZ,'Area-Cabang'!AL$41)</f>
        <v>0</v>
      </c>
      <c r="AM165" s="56">
        <f>SUMIFS('CWO Bulan Ini'!$DD:$DD,'CWO Bulan Ini'!$DJ:$DJ,'Area-Cabang'!$B165,'CWO Bulan Ini'!$DH:$DH,'Area-Cabang'!$E165,'CWO Bulan Ini'!$CZ:$CZ,'Area-Cabang'!AM$41)</f>
        <v>0</v>
      </c>
      <c r="AN165" s="56">
        <f>SUMIFS('CWO Bulan Ini'!$DD:$DD,'CWO Bulan Ini'!$DJ:$DJ,'Area-Cabang'!$B165,'CWO Bulan Ini'!$DH:$DH,'Area-Cabang'!$E165,'CWO Bulan Ini'!$CZ:$CZ,'Area-Cabang'!AN$41)</f>
        <v>0</v>
      </c>
      <c r="AO165" s="56">
        <f>SUMIFS('CWO Bulan Ini'!$DD:$DD,'CWO Bulan Ini'!$DJ:$DJ,'Area-Cabang'!$B165,'CWO Bulan Ini'!$DH:$DH,'Area-Cabang'!$E165,'CWO Bulan Ini'!$CZ:$CZ,'Area-Cabang'!AO$41)</f>
        <v>0</v>
      </c>
      <c r="AP165" s="56">
        <f>SUMIFS('CWO Bulan Ini'!$DD:$DD,'CWO Bulan Ini'!$DJ:$DJ,'Area-Cabang'!$B165,'CWO Bulan Ini'!$DH:$DH,'Area-Cabang'!$E165,'CWO Bulan Ini'!$CZ:$CZ,'Area-Cabang'!AP$41)</f>
        <v>0</v>
      </c>
      <c r="AQ165" s="56">
        <f>SUMIFS('CWO Bulan Ini'!$DD:$DD,'CWO Bulan Ini'!$DJ:$DJ,'Area-Cabang'!$B165,'CWO Bulan Ini'!$DH:$DH,'Area-Cabang'!$E165,'CWO Bulan Ini'!$CZ:$CZ,'Area-Cabang'!AQ$41)</f>
        <v>0</v>
      </c>
      <c r="AR165" s="56">
        <f>SUMIFS('CWO Bulan Ini'!$DD:$DD,'CWO Bulan Ini'!$DJ:$DJ,'Area-Cabang'!$B165,'CWO Bulan Ini'!$DH:$DH,'Area-Cabang'!$E165,'CWO Bulan Ini'!$CZ:$CZ,'Area-Cabang'!AR$41)</f>
        <v>0</v>
      </c>
      <c r="AS165" s="56">
        <f>SUMIFS('CWO Bulan Ini'!$DD:$DD,'CWO Bulan Ini'!$DJ:$DJ,'Area-Cabang'!$B165,'CWO Bulan Ini'!$DH:$DH,'Area-Cabang'!$E165,'CWO Bulan Ini'!$CZ:$CZ,'Area-Cabang'!AS$41)</f>
        <v>0</v>
      </c>
      <c r="AT165" s="56">
        <f>SUMIFS('CWO Bulan Ini'!$DD:$DD,'CWO Bulan Ini'!$DJ:$DJ,'Area-Cabang'!$B165,'CWO Bulan Ini'!$DH:$DH,'Area-Cabang'!$E165,'CWO Bulan Ini'!$CZ:$CZ,'Area-Cabang'!AT$41)</f>
        <v>0</v>
      </c>
      <c r="AU165" s="56">
        <f>SUMIFS('CWO Bulan Ini'!$DD:$DD,'CWO Bulan Ini'!$DJ:$DJ,'Area-Cabang'!$B165,'CWO Bulan Ini'!$DH:$DH,'Area-Cabang'!$E165,'CWO Bulan Ini'!$CZ:$CZ,'Area-Cabang'!AU$41)</f>
        <v>0</v>
      </c>
      <c r="AV165" s="56">
        <f>SUMIFS('CWO Bulan Ini'!$DD:$DD,'CWO Bulan Ini'!$DJ:$DJ,'Area-Cabang'!$B165,'CWO Bulan Ini'!$DH:$DH,'Area-Cabang'!$E165,'CWO Bulan Ini'!$CZ:$CZ,'Area-Cabang'!AV$41)</f>
        <v>0</v>
      </c>
      <c r="AW165" s="56">
        <f>SUMIFS('CWO Bulan Ini'!$DD:$DD,'CWO Bulan Ini'!$DJ:$DJ,'Area-Cabang'!$B165,'CWO Bulan Ini'!$DH:$DH,'Area-Cabang'!$E165,'CWO Bulan Ini'!$CZ:$CZ,'Area-Cabang'!AW$41)</f>
        <v>0</v>
      </c>
      <c r="AX165" s="56">
        <f>SUMIFS('CWO Bulan Ini'!$DD:$DD,'CWO Bulan Ini'!$DJ:$DJ,'Area-Cabang'!$B165,'CWO Bulan Ini'!$DH:$DH,'Area-Cabang'!$E165,'CWO Bulan Ini'!$CZ:$CZ,'Area-Cabang'!AX$41)</f>
        <v>0</v>
      </c>
      <c r="AY165" s="56">
        <f>SUMIFS('CWO Bulan Ini'!$DD:$DD,'CWO Bulan Ini'!$DJ:$DJ,'Area-Cabang'!$B165,'CWO Bulan Ini'!$DH:$DH,'Area-Cabang'!$E165,'CWO Bulan Ini'!$CZ:$CZ,'Area-Cabang'!AY$41)</f>
        <v>0</v>
      </c>
      <c r="AZ165" s="56">
        <f>SUMIFS('CWO Bulan Ini'!$DD:$DD,'CWO Bulan Ini'!$DJ:$DJ,'Area-Cabang'!$B165,'CWO Bulan Ini'!$DH:$DH,'Area-Cabang'!$E165,'CWO Bulan Ini'!$CZ:$CZ,'Area-Cabang'!AZ$41)</f>
        <v>0</v>
      </c>
      <c r="BA165" s="56">
        <f>SUMIFS('CWO Bulan Ini'!$DD:$DD,'CWO Bulan Ini'!$DJ:$DJ,'Area-Cabang'!$B165,'CWO Bulan Ini'!$DH:$DH,'Area-Cabang'!$E165,'CWO Bulan Ini'!$CZ:$CZ,'Area-Cabang'!BA$41)</f>
        <v>0</v>
      </c>
      <c r="BB165" s="56">
        <f>SUMIFS('CWO Bulan Ini'!$DD:$DD,'CWO Bulan Ini'!$DJ:$DJ,'Area-Cabang'!$B165,'CWO Bulan Ini'!$DH:$DH,'Area-Cabang'!$E165,'CWO Bulan Ini'!$CZ:$CZ,'Area-Cabang'!BB$41)</f>
        <v>0</v>
      </c>
      <c r="BC165" s="56">
        <f>SUMIFS('CWO Bulan Ini'!$DD:$DD,'CWO Bulan Ini'!$DJ:$DJ,'Area-Cabang'!$B165,'CWO Bulan Ini'!$DH:$DH,'Area-Cabang'!$E165,'CWO Bulan Ini'!$CZ:$CZ,'Area-Cabang'!BC$41)</f>
        <v>0</v>
      </c>
      <c r="BD165" s="56">
        <f>SUMIFS('CWO Bulan Ini'!$DD:$DD,'CWO Bulan Ini'!$DJ:$DJ,'Area-Cabang'!$B165,'CWO Bulan Ini'!$DH:$DH,'Area-Cabang'!$E165,'CWO Bulan Ini'!$CZ:$CZ,'Area-Cabang'!BD$41)</f>
        <v>0</v>
      </c>
      <c r="BE165" s="56">
        <f>SUMIFS('CWO Bulan Ini'!$DD:$DD,'CWO Bulan Ini'!$DJ:$DJ,'Area-Cabang'!$B165,'CWO Bulan Ini'!$DH:$DH,'Area-Cabang'!$E165,'CWO Bulan Ini'!$CZ:$CZ,'Area-Cabang'!BE$41)</f>
        <v>0</v>
      </c>
      <c r="BF165" s="56">
        <f>SUMIFS('CWO Bulan Ini'!$DD:$DD,'CWO Bulan Ini'!$DJ:$DJ,'Area-Cabang'!$B165,'CWO Bulan Ini'!$DH:$DH,'Area-Cabang'!$E165,'CWO Bulan Ini'!$CZ:$CZ,'Area-Cabang'!BF$41)</f>
        <v>0</v>
      </c>
      <c r="BG165" s="56">
        <f>SUMIFS('CWO Bulan Ini'!$DD:$DD,'CWO Bulan Ini'!$DJ:$DJ,'Area-Cabang'!$B165,'CWO Bulan Ini'!$DH:$DH,'Area-Cabang'!$E165,'CWO Bulan Ini'!$CZ:$CZ,'Area-Cabang'!BG$41)</f>
        <v>0</v>
      </c>
      <c r="BH165" s="56">
        <f>SUMIFS('CWO Bulan Ini'!$DD:$DD,'CWO Bulan Ini'!$DJ:$DJ,'Area-Cabang'!$B165,'CWO Bulan Ini'!$DH:$DH,'Area-Cabang'!$E165,'CWO Bulan Ini'!$CZ:$CZ,'Area-Cabang'!BH$41)</f>
        <v>0</v>
      </c>
      <c r="BI165" s="56">
        <f>SUMIFS('CWO Bulan Ini'!$DD:$DD,'CWO Bulan Ini'!$DJ:$DJ,'Area-Cabang'!$B165,'CWO Bulan Ini'!$DH:$DH,'Area-Cabang'!$E165,'CWO Bulan Ini'!$CZ:$CZ,'Area-Cabang'!BI$41)</f>
        <v>0</v>
      </c>
      <c r="BJ165" s="56">
        <f>SUMIFS('CWO Bulan Ini'!$DD:$DD,'CWO Bulan Ini'!$DJ:$DJ,'Area-Cabang'!$B165,'CWO Bulan Ini'!$DH:$DH,'Area-Cabang'!$E165,'CWO Bulan Ini'!$CZ:$CZ,'Area-Cabang'!BJ$41)</f>
        <v>0</v>
      </c>
      <c r="BK165" s="56">
        <f>SUMIFS('CWO Bulan Ini'!$DD:$DD,'CWO Bulan Ini'!$DJ:$DJ,'Area-Cabang'!$B165,'CWO Bulan Ini'!$DH:$DH,'Area-Cabang'!$E165,'CWO Bulan Ini'!$CZ:$CZ,'Area-Cabang'!BK$41)</f>
        <v>0</v>
      </c>
      <c r="BL165" s="56">
        <f>SUMIFS('CWO Bulan Ini'!$DD:$DD,'CWO Bulan Ini'!$DJ:$DJ,'Area-Cabang'!$B165,'CWO Bulan Ini'!$DH:$DH,'Area-Cabang'!$E165,'CWO Bulan Ini'!$CZ:$CZ,'Area-Cabang'!BL$41)</f>
        <v>0</v>
      </c>
      <c r="BM165" s="56">
        <f>SUMIFS('CWO Bulan Ini'!$DD:$DD,'CWO Bulan Ini'!$DJ:$DJ,'Area-Cabang'!$B165,'CWO Bulan Ini'!$DH:$DH,'Area-Cabang'!$E165,'CWO Bulan Ini'!$CZ:$CZ,'Area-Cabang'!BM$41)</f>
        <v>0</v>
      </c>
      <c r="BN165" s="56">
        <f>SUMIFS('CWO Bulan Ini'!$DD:$DD,'CWO Bulan Ini'!$DJ:$DJ,'Area-Cabang'!$B165,'CWO Bulan Ini'!$DH:$DH,'Area-Cabang'!$E165,'CWO Bulan Ini'!$CZ:$CZ,'Area-Cabang'!BN$41)</f>
        <v>0</v>
      </c>
      <c r="BO165" s="57">
        <f>SUMIFS('CWO Bulan Ini'!$DD:$DD,'CWO Bulan Ini'!$DJ:$DJ,'Area-Cabang'!$B165,'CWO Bulan Ini'!$DH:$DH,'Area-Cabang'!$E165,'CWO Bulan Ini'!$CZ:$CZ,'Area-Cabang'!BO$41)</f>
        <v>0</v>
      </c>
      <c r="BP165" s="55">
        <f>SUMIFS('CWO Bulan Ini'!$DC:$DC,'CWO Bulan Ini'!$DJ:$DJ,'Area-Cabang'!$B165,'CWO Bulan Ini'!$DH:$DH,'Area-Cabang'!$E165,'CWO Bulan Ini'!$CZ:$CZ,'Area-Cabang'!BP$41)</f>
        <v>0</v>
      </c>
      <c r="BQ165" s="56">
        <f>SUMIFS('CWO Bulan Ini'!$DC:$DC,'CWO Bulan Ini'!$DJ:$DJ,'Area-Cabang'!$B165,'CWO Bulan Ini'!$DH:$DH,'Area-Cabang'!$E165,'CWO Bulan Ini'!$CZ:$CZ,'Area-Cabang'!BQ$41)</f>
        <v>0</v>
      </c>
      <c r="BR165" s="56">
        <f>SUMIFS('CWO Bulan Ini'!$DC:$DC,'CWO Bulan Ini'!$DJ:$DJ,'Area-Cabang'!$B165,'CWO Bulan Ini'!$DH:$DH,'Area-Cabang'!$E165,'CWO Bulan Ini'!$CZ:$CZ,'Area-Cabang'!BR$41)</f>
        <v>0</v>
      </c>
      <c r="BS165" s="56">
        <f>SUMIFS('CWO Bulan Ini'!$DC:$DC,'CWO Bulan Ini'!$DJ:$DJ,'Area-Cabang'!$B165,'CWO Bulan Ini'!$DH:$DH,'Area-Cabang'!$E165,'CWO Bulan Ini'!$CZ:$CZ,'Area-Cabang'!BS$41)</f>
        <v>126.63902634999999</v>
      </c>
      <c r="BT165" s="56">
        <f>SUMIFS('CWO Bulan Ini'!$DC:$DC,'CWO Bulan Ini'!$DJ:$DJ,'Area-Cabang'!$B165,'CWO Bulan Ini'!$DH:$DH,'Area-Cabang'!$E165,'CWO Bulan Ini'!$CZ:$CZ,'Area-Cabang'!BT$41)</f>
        <v>0</v>
      </c>
      <c r="BU165" s="56">
        <f>SUMIFS('CWO Bulan Ini'!$DC:$DC,'CWO Bulan Ini'!$DJ:$DJ,'Area-Cabang'!$B165,'CWO Bulan Ini'!$DH:$DH,'Area-Cabang'!$E165,'CWO Bulan Ini'!$CZ:$CZ,'Area-Cabang'!BU$41)</f>
        <v>108.17527831</v>
      </c>
      <c r="BV165" s="56">
        <f>SUMIFS('CWO Bulan Ini'!$DC:$DC,'CWO Bulan Ini'!$DJ:$DJ,'Area-Cabang'!$B165,'CWO Bulan Ini'!$DH:$DH,'Area-Cabang'!$E165,'CWO Bulan Ini'!$CZ:$CZ,'Area-Cabang'!BV$41)</f>
        <v>0</v>
      </c>
      <c r="BW165" s="56">
        <f>SUMIFS('CWO Bulan Ini'!$DC:$DC,'CWO Bulan Ini'!$DJ:$DJ,'Area-Cabang'!$B165,'CWO Bulan Ini'!$DH:$DH,'Area-Cabang'!$E165,'CWO Bulan Ini'!$CZ:$CZ,'Area-Cabang'!BW$41)</f>
        <v>0</v>
      </c>
      <c r="BX165" s="56">
        <f>SUMIFS('CWO Bulan Ini'!$DC:$DC,'CWO Bulan Ini'!$DJ:$DJ,'Area-Cabang'!$B165,'CWO Bulan Ini'!$DH:$DH,'Area-Cabang'!$E165,'CWO Bulan Ini'!$CZ:$CZ,'Area-Cabang'!BX$41)</f>
        <v>0</v>
      </c>
      <c r="BY165" s="56">
        <f>SUMIFS('CWO Bulan Ini'!$DC:$DC,'CWO Bulan Ini'!$DJ:$DJ,'Area-Cabang'!$B165,'CWO Bulan Ini'!$DH:$DH,'Area-Cabang'!$E165,'CWO Bulan Ini'!$CZ:$CZ,'Area-Cabang'!BY$41)</f>
        <v>0</v>
      </c>
      <c r="BZ165" s="56">
        <f>SUMIFS('CWO Bulan Ini'!$DC:$DC,'CWO Bulan Ini'!$DJ:$DJ,'Area-Cabang'!$B165,'CWO Bulan Ini'!$DH:$DH,'Area-Cabang'!$E165,'CWO Bulan Ini'!$CZ:$CZ,'Area-Cabang'!BZ$41)</f>
        <v>0</v>
      </c>
      <c r="CA165" s="56">
        <f>SUMIFS('CWO Bulan Ini'!$DC:$DC,'CWO Bulan Ini'!$DJ:$DJ,'Area-Cabang'!$B165,'CWO Bulan Ini'!$DH:$DH,'Area-Cabang'!$E165,'CWO Bulan Ini'!$CZ:$CZ,'Area-Cabang'!CA$41)</f>
        <v>0</v>
      </c>
      <c r="CB165" s="56">
        <f>SUMIFS('CWO Bulan Ini'!$DC:$DC,'CWO Bulan Ini'!$DJ:$DJ,'Area-Cabang'!$B165,'CWO Bulan Ini'!$DH:$DH,'Area-Cabang'!$E165,'CWO Bulan Ini'!$CZ:$CZ,'Area-Cabang'!CB$41)</f>
        <v>0</v>
      </c>
      <c r="CC165" s="56">
        <f>SUMIFS('CWO Bulan Ini'!$DC:$DC,'CWO Bulan Ini'!$DJ:$DJ,'Area-Cabang'!$B165,'CWO Bulan Ini'!$DH:$DH,'Area-Cabang'!$E165,'CWO Bulan Ini'!$CZ:$CZ,'Area-Cabang'!CC$41)</f>
        <v>0</v>
      </c>
      <c r="CD165" s="56">
        <f>SUMIFS('CWO Bulan Ini'!$DC:$DC,'CWO Bulan Ini'!$DJ:$DJ,'Area-Cabang'!$B165,'CWO Bulan Ini'!$DH:$DH,'Area-Cabang'!$E165,'CWO Bulan Ini'!$CZ:$CZ,'Area-Cabang'!CD$41)</f>
        <v>0</v>
      </c>
      <c r="CE165" s="56">
        <f>SUMIFS('CWO Bulan Ini'!$DC:$DC,'CWO Bulan Ini'!$DJ:$DJ,'Area-Cabang'!$B165,'CWO Bulan Ini'!$DH:$DH,'Area-Cabang'!$E165,'CWO Bulan Ini'!$CZ:$CZ,'Area-Cabang'!CE$41)</f>
        <v>0</v>
      </c>
      <c r="CF165" s="56">
        <f>SUMIFS('CWO Bulan Ini'!$DC:$DC,'CWO Bulan Ini'!$DJ:$DJ,'Area-Cabang'!$B165,'CWO Bulan Ini'!$DH:$DH,'Area-Cabang'!$E165,'CWO Bulan Ini'!$CZ:$CZ,'Area-Cabang'!CF$41)</f>
        <v>0</v>
      </c>
      <c r="CG165" s="56">
        <f>SUMIFS('CWO Bulan Ini'!$DC:$DC,'CWO Bulan Ini'!$DJ:$DJ,'Area-Cabang'!$B165,'CWO Bulan Ini'!$DH:$DH,'Area-Cabang'!$E165,'CWO Bulan Ini'!$CZ:$CZ,'Area-Cabang'!CG$41)</f>
        <v>0</v>
      </c>
      <c r="CH165" s="56">
        <f>SUMIFS('CWO Bulan Ini'!$DC:$DC,'CWO Bulan Ini'!$DJ:$DJ,'Area-Cabang'!$B165,'CWO Bulan Ini'!$DH:$DH,'Area-Cabang'!$E165,'CWO Bulan Ini'!$CZ:$CZ,'Area-Cabang'!CH$41)</f>
        <v>0</v>
      </c>
      <c r="CI165" s="56">
        <f>SUMIFS('CWO Bulan Ini'!$DC:$DC,'CWO Bulan Ini'!$DJ:$DJ,'Area-Cabang'!$B165,'CWO Bulan Ini'!$DH:$DH,'Area-Cabang'!$E165,'CWO Bulan Ini'!$CZ:$CZ,'Area-Cabang'!CI$41)</f>
        <v>0</v>
      </c>
      <c r="CJ165" s="56">
        <f>SUMIFS('CWO Bulan Ini'!$DC:$DC,'CWO Bulan Ini'!$DJ:$DJ,'Area-Cabang'!$B165,'CWO Bulan Ini'!$DH:$DH,'Area-Cabang'!$E165,'CWO Bulan Ini'!$CZ:$CZ,'Area-Cabang'!CJ$41)</f>
        <v>0</v>
      </c>
      <c r="CK165" s="56">
        <f>SUMIFS('CWO Bulan Ini'!$DC:$DC,'CWO Bulan Ini'!$DJ:$DJ,'Area-Cabang'!$B165,'CWO Bulan Ini'!$DH:$DH,'Area-Cabang'!$E165,'CWO Bulan Ini'!$CZ:$CZ,'Area-Cabang'!CK$41)</f>
        <v>0</v>
      </c>
      <c r="CL165" s="56">
        <f>SUMIFS('CWO Bulan Ini'!$DC:$DC,'CWO Bulan Ini'!$DJ:$DJ,'Area-Cabang'!$B165,'CWO Bulan Ini'!$DH:$DH,'Area-Cabang'!$E165,'CWO Bulan Ini'!$CZ:$CZ,'Area-Cabang'!CL$41)</f>
        <v>0</v>
      </c>
      <c r="CM165" s="56">
        <f>SUMIFS('CWO Bulan Ini'!$DC:$DC,'CWO Bulan Ini'!$DJ:$DJ,'Area-Cabang'!$B165,'CWO Bulan Ini'!$DH:$DH,'Area-Cabang'!$E165,'CWO Bulan Ini'!$CZ:$CZ,'Area-Cabang'!CM$41)</f>
        <v>0</v>
      </c>
      <c r="CN165" s="56">
        <f>SUMIFS('CWO Bulan Ini'!$DC:$DC,'CWO Bulan Ini'!$DJ:$DJ,'Area-Cabang'!$B165,'CWO Bulan Ini'!$DH:$DH,'Area-Cabang'!$E165,'CWO Bulan Ini'!$CZ:$CZ,'Area-Cabang'!CN$41)</f>
        <v>0</v>
      </c>
      <c r="CO165" s="56">
        <f>SUMIFS('CWO Bulan Ini'!$DC:$DC,'CWO Bulan Ini'!$DJ:$DJ,'Area-Cabang'!$B165,'CWO Bulan Ini'!$DH:$DH,'Area-Cabang'!$E165,'CWO Bulan Ini'!$CZ:$CZ,'Area-Cabang'!CO$41)</f>
        <v>0</v>
      </c>
      <c r="CP165" s="56">
        <f>SUMIFS('CWO Bulan Ini'!$DC:$DC,'CWO Bulan Ini'!$DJ:$DJ,'Area-Cabang'!$B165,'CWO Bulan Ini'!$DH:$DH,'Area-Cabang'!$E165,'CWO Bulan Ini'!$CZ:$CZ,'Area-Cabang'!CP$41)</f>
        <v>0</v>
      </c>
      <c r="CQ165" s="56">
        <f>SUMIFS('CWO Bulan Ini'!$DC:$DC,'CWO Bulan Ini'!$DJ:$DJ,'Area-Cabang'!$B165,'CWO Bulan Ini'!$DH:$DH,'Area-Cabang'!$E165,'CWO Bulan Ini'!$CZ:$CZ,'Area-Cabang'!CQ$41)</f>
        <v>0</v>
      </c>
      <c r="CR165" s="56">
        <f>SUMIFS('CWO Bulan Ini'!$DC:$DC,'CWO Bulan Ini'!$DJ:$DJ,'Area-Cabang'!$B165,'CWO Bulan Ini'!$DH:$DH,'Area-Cabang'!$E165,'CWO Bulan Ini'!$CZ:$CZ,'Area-Cabang'!CR$41)</f>
        <v>0</v>
      </c>
      <c r="CS165" s="56">
        <f>SUMIFS('CWO Bulan Ini'!$DC:$DC,'CWO Bulan Ini'!$DJ:$DJ,'Area-Cabang'!$B165,'CWO Bulan Ini'!$DH:$DH,'Area-Cabang'!$E165,'CWO Bulan Ini'!$CZ:$CZ,'Area-Cabang'!CS$41)</f>
        <v>0</v>
      </c>
      <c r="CT165" s="57">
        <f>SUMIFS('CWO Bulan Ini'!$DC:$DC,'CWO Bulan Ini'!$DJ:$DJ,'Area-Cabang'!$B165,'CWO Bulan Ini'!$DH:$DH,'Area-Cabang'!$E165,'CWO Bulan Ini'!$CZ:$CZ,'Area-Cabang'!CT$41)</f>
        <v>0</v>
      </c>
      <c r="CV165" s="97">
        <f t="shared" ref="CV165:CV166" si="5204">SUM(F165:AJ165)</f>
        <v>761.92365784000003</v>
      </c>
      <c r="CW165" s="98">
        <f t="shared" ref="CW165:CW166" si="5205">SUM(AK165:BO165)</f>
        <v>0</v>
      </c>
      <c r="CX165" s="98">
        <f t="shared" ref="CX165:CX166" si="5206">SUM(BP165:CT165)</f>
        <v>234.81430466</v>
      </c>
      <c r="CY165" s="98">
        <f t="shared" ref="CY165:CY166" si="5207">CV165-CW165-CX165</f>
        <v>527.10935317999997</v>
      </c>
      <c r="CZ165" s="105">
        <f t="shared" ref="CZ165:CZ166" si="5208">CY165+CW165</f>
        <v>527.10935317999997</v>
      </c>
    </row>
    <row r="166" spans="1:104" ht="15" customHeight="1" x14ac:dyDescent="0.25">
      <c r="A166" s="58" t="s">
        <v>576</v>
      </c>
      <c r="B166" s="58" t="s">
        <v>269</v>
      </c>
      <c r="C166" s="247"/>
      <c r="D166" s="244"/>
      <c r="E166" s="40" t="s">
        <v>349</v>
      </c>
      <c r="F166" s="41">
        <f>SUMIFS('CWO Bulan Ini'!$DA:$DA,'CWO Bulan Ini'!$DJ:$DJ,'Area-Cabang'!$B166,'CWO Bulan Ini'!$DH:$DH,'Area-Cabang'!$E166,'CWO Bulan Ini'!$CZ:$CZ,'Area-Cabang'!F$41)</f>
        <v>0</v>
      </c>
      <c r="G166" s="42">
        <f>SUMIFS('CWO Bulan Ini'!$DA:$DA,'CWO Bulan Ini'!$DJ:$DJ,'Area-Cabang'!$B166,'CWO Bulan Ini'!$DH:$DH,'Area-Cabang'!$E166,'CWO Bulan Ini'!$CZ:$CZ,'Area-Cabang'!G$41)</f>
        <v>0</v>
      </c>
      <c r="H166" s="42">
        <f>SUMIFS('CWO Bulan Ini'!$DA:$DA,'CWO Bulan Ini'!$DJ:$DJ,'Area-Cabang'!$B166,'CWO Bulan Ini'!$DH:$DH,'Area-Cabang'!$E166,'CWO Bulan Ini'!$CZ:$CZ,'Area-Cabang'!H$41)</f>
        <v>0</v>
      </c>
      <c r="I166" s="42">
        <f>SUMIFS('CWO Bulan Ini'!$DA:$DA,'CWO Bulan Ini'!$DJ:$DJ,'Area-Cabang'!$B166,'CWO Bulan Ini'!$DH:$DH,'Area-Cabang'!$E166,'CWO Bulan Ini'!$CZ:$CZ,'Area-Cabang'!I$41)</f>
        <v>0</v>
      </c>
      <c r="J166" s="42">
        <f>SUMIFS('CWO Bulan Ini'!$DA:$DA,'CWO Bulan Ini'!$DJ:$DJ,'Area-Cabang'!$B166,'CWO Bulan Ini'!$DH:$DH,'Area-Cabang'!$E166,'CWO Bulan Ini'!$CZ:$CZ,'Area-Cabang'!J$41)</f>
        <v>0</v>
      </c>
      <c r="K166" s="42">
        <f>SUMIFS('CWO Bulan Ini'!$DA:$DA,'CWO Bulan Ini'!$DJ:$DJ,'Area-Cabang'!$B166,'CWO Bulan Ini'!$DH:$DH,'Area-Cabang'!$E166,'CWO Bulan Ini'!$CZ:$CZ,'Area-Cabang'!K$41)</f>
        <v>0</v>
      </c>
      <c r="L166" s="42">
        <f>SUMIFS('CWO Bulan Ini'!$DA:$DA,'CWO Bulan Ini'!$DJ:$DJ,'Area-Cabang'!$B166,'CWO Bulan Ini'!$DH:$DH,'Area-Cabang'!$E166,'CWO Bulan Ini'!$CZ:$CZ,'Area-Cabang'!L$41)</f>
        <v>0</v>
      </c>
      <c r="M166" s="42">
        <f>SUMIFS('CWO Bulan Ini'!$DA:$DA,'CWO Bulan Ini'!$DJ:$DJ,'Area-Cabang'!$B166,'CWO Bulan Ini'!$DH:$DH,'Area-Cabang'!$E166,'CWO Bulan Ini'!$CZ:$CZ,'Area-Cabang'!M$41)</f>
        <v>0</v>
      </c>
      <c r="N166" s="42">
        <f>SUMIFS('CWO Bulan Ini'!$DA:$DA,'CWO Bulan Ini'!$DJ:$DJ,'Area-Cabang'!$B166,'CWO Bulan Ini'!$DH:$DH,'Area-Cabang'!$E166,'CWO Bulan Ini'!$CZ:$CZ,'Area-Cabang'!N$41)</f>
        <v>0</v>
      </c>
      <c r="O166" s="42">
        <f>SUMIFS('CWO Bulan Ini'!$DA:$DA,'CWO Bulan Ini'!$DJ:$DJ,'Area-Cabang'!$B166,'CWO Bulan Ini'!$DH:$DH,'Area-Cabang'!$E166,'CWO Bulan Ini'!$CZ:$CZ,'Area-Cabang'!O$41)</f>
        <v>0</v>
      </c>
      <c r="P166" s="42">
        <f>SUMIFS('CWO Bulan Ini'!$DA:$DA,'CWO Bulan Ini'!$DJ:$DJ,'Area-Cabang'!$B166,'CWO Bulan Ini'!$DH:$DH,'Area-Cabang'!$E166,'CWO Bulan Ini'!$CZ:$CZ,'Area-Cabang'!P$41)</f>
        <v>0</v>
      </c>
      <c r="Q166" s="42">
        <f>SUMIFS('CWO Bulan Ini'!$DA:$DA,'CWO Bulan Ini'!$DJ:$DJ,'Area-Cabang'!$B166,'CWO Bulan Ini'!$DH:$DH,'Area-Cabang'!$E166,'CWO Bulan Ini'!$CZ:$CZ,'Area-Cabang'!Q$41)</f>
        <v>0</v>
      </c>
      <c r="R166" s="42">
        <f>SUMIFS('CWO Bulan Ini'!$DA:$DA,'CWO Bulan Ini'!$DJ:$DJ,'Area-Cabang'!$B166,'CWO Bulan Ini'!$DH:$DH,'Area-Cabang'!$E166,'CWO Bulan Ini'!$CZ:$CZ,'Area-Cabang'!R$41)</f>
        <v>0</v>
      </c>
      <c r="S166" s="42">
        <f>SUMIFS('CWO Bulan Ini'!$DA:$DA,'CWO Bulan Ini'!$DJ:$DJ,'Area-Cabang'!$B166,'CWO Bulan Ini'!$DH:$DH,'Area-Cabang'!$E166,'CWO Bulan Ini'!$CZ:$CZ,'Area-Cabang'!S$41)</f>
        <v>0</v>
      </c>
      <c r="T166" s="42">
        <f>SUMIFS('CWO Bulan Ini'!$DA:$DA,'CWO Bulan Ini'!$DJ:$DJ,'Area-Cabang'!$B166,'CWO Bulan Ini'!$DH:$DH,'Area-Cabang'!$E166,'CWO Bulan Ini'!$CZ:$CZ,'Area-Cabang'!T$41)</f>
        <v>0</v>
      </c>
      <c r="U166" s="42">
        <f>SUMIFS('CWO Bulan Ini'!$DA:$DA,'CWO Bulan Ini'!$DJ:$DJ,'Area-Cabang'!$B166,'CWO Bulan Ini'!$DH:$DH,'Area-Cabang'!$E166,'CWO Bulan Ini'!$CZ:$CZ,'Area-Cabang'!U$41)</f>
        <v>0</v>
      </c>
      <c r="V166" s="42">
        <f>SUMIFS('CWO Bulan Ini'!$DA:$DA,'CWO Bulan Ini'!$DJ:$DJ,'Area-Cabang'!$B166,'CWO Bulan Ini'!$DH:$DH,'Area-Cabang'!$E166,'CWO Bulan Ini'!$CZ:$CZ,'Area-Cabang'!V$41)</f>
        <v>0</v>
      </c>
      <c r="W166" s="42">
        <f>SUMIFS('CWO Bulan Ini'!$DA:$DA,'CWO Bulan Ini'!$DJ:$DJ,'Area-Cabang'!$B166,'CWO Bulan Ini'!$DH:$DH,'Area-Cabang'!$E166,'CWO Bulan Ini'!$CZ:$CZ,'Area-Cabang'!W$41)</f>
        <v>0</v>
      </c>
      <c r="X166" s="42">
        <f>SUMIFS('CWO Bulan Ini'!$DA:$DA,'CWO Bulan Ini'!$DJ:$DJ,'Area-Cabang'!$B166,'CWO Bulan Ini'!$DH:$DH,'Area-Cabang'!$E166,'CWO Bulan Ini'!$CZ:$CZ,'Area-Cabang'!X$41)</f>
        <v>0</v>
      </c>
      <c r="Y166" s="42">
        <f>SUMIFS('CWO Bulan Ini'!$DA:$DA,'CWO Bulan Ini'!$DJ:$DJ,'Area-Cabang'!$B166,'CWO Bulan Ini'!$DH:$DH,'Area-Cabang'!$E166,'CWO Bulan Ini'!$CZ:$CZ,'Area-Cabang'!Y$41)</f>
        <v>0</v>
      </c>
      <c r="Z166" s="42">
        <f>SUMIFS('CWO Bulan Ini'!$DA:$DA,'CWO Bulan Ini'!$DJ:$DJ,'Area-Cabang'!$B166,'CWO Bulan Ini'!$DH:$DH,'Area-Cabang'!$E166,'CWO Bulan Ini'!$CZ:$CZ,'Area-Cabang'!Z$41)</f>
        <v>0</v>
      </c>
      <c r="AA166" s="42">
        <f>SUMIFS('CWO Bulan Ini'!$DA:$DA,'CWO Bulan Ini'!$DJ:$DJ,'Area-Cabang'!$B166,'CWO Bulan Ini'!$DH:$DH,'Area-Cabang'!$E166,'CWO Bulan Ini'!$CZ:$CZ,'Area-Cabang'!AA$41)</f>
        <v>0</v>
      </c>
      <c r="AB166" s="42">
        <f>SUMIFS('CWO Bulan Ini'!$DA:$DA,'CWO Bulan Ini'!$DJ:$DJ,'Area-Cabang'!$B166,'CWO Bulan Ini'!$DH:$DH,'Area-Cabang'!$E166,'CWO Bulan Ini'!$CZ:$CZ,'Area-Cabang'!AB$41)</f>
        <v>0</v>
      </c>
      <c r="AC166" s="42">
        <f>SUMIFS('CWO Bulan Ini'!$DA:$DA,'CWO Bulan Ini'!$DJ:$DJ,'Area-Cabang'!$B166,'CWO Bulan Ini'!$DH:$DH,'Area-Cabang'!$E166,'CWO Bulan Ini'!$CZ:$CZ,'Area-Cabang'!AC$41)</f>
        <v>0</v>
      </c>
      <c r="AD166" s="42">
        <f>SUMIFS('CWO Bulan Ini'!$DA:$DA,'CWO Bulan Ini'!$DJ:$DJ,'Area-Cabang'!$B166,'CWO Bulan Ini'!$DH:$DH,'Area-Cabang'!$E166,'CWO Bulan Ini'!$CZ:$CZ,'Area-Cabang'!AD$41)</f>
        <v>0</v>
      </c>
      <c r="AE166" s="42">
        <f>SUMIFS('CWO Bulan Ini'!$DA:$DA,'CWO Bulan Ini'!$DJ:$DJ,'Area-Cabang'!$B166,'CWO Bulan Ini'!$DH:$DH,'Area-Cabang'!$E166,'CWO Bulan Ini'!$CZ:$CZ,'Area-Cabang'!AE$41)</f>
        <v>0</v>
      </c>
      <c r="AF166" s="42">
        <f>SUMIFS('CWO Bulan Ini'!$DA:$DA,'CWO Bulan Ini'!$DJ:$DJ,'Area-Cabang'!$B166,'CWO Bulan Ini'!$DH:$DH,'Area-Cabang'!$E166,'CWO Bulan Ini'!$CZ:$CZ,'Area-Cabang'!AF$41)</f>
        <v>0</v>
      </c>
      <c r="AG166" s="42">
        <f>SUMIFS('CWO Bulan Ini'!$DA:$DA,'CWO Bulan Ini'!$DJ:$DJ,'Area-Cabang'!$B166,'CWO Bulan Ini'!$DH:$DH,'Area-Cabang'!$E166,'CWO Bulan Ini'!$CZ:$CZ,'Area-Cabang'!AG$41)</f>
        <v>0</v>
      </c>
      <c r="AH166" s="42">
        <f>SUMIFS('CWO Bulan Ini'!$DA:$DA,'CWO Bulan Ini'!$DJ:$DJ,'Area-Cabang'!$B166,'CWO Bulan Ini'!$DH:$DH,'Area-Cabang'!$E166,'CWO Bulan Ini'!$CZ:$CZ,'Area-Cabang'!AH$41)</f>
        <v>0</v>
      </c>
      <c r="AI166" s="42">
        <f>SUMIFS('CWO Bulan Ini'!$DA:$DA,'CWO Bulan Ini'!$DJ:$DJ,'Area-Cabang'!$B166,'CWO Bulan Ini'!$DH:$DH,'Area-Cabang'!$E166,'CWO Bulan Ini'!$CZ:$CZ,'Area-Cabang'!AI$41)</f>
        <v>0</v>
      </c>
      <c r="AJ166" s="42">
        <f>SUMIFS('CWO Bulan Ini'!$DA:$DA,'CWO Bulan Ini'!$DJ:$DJ,'Area-Cabang'!$B166,'CWO Bulan Ini'!$DH:$DH,'Area-Cabang'!$E166,'CWO Bulan Ini'!$CZ:$CZ,'Area-Cabang'!AJ$41)</f>
        <v>0</v>
      </c>
      <c r="AK166" s="41">
        <f>SUMIFS('CWO Bulan Ini'!$DD:$DD,'CWO Bulan Ini'!$DJ:$DJ,'Area-Cabang'!$B166,'CWO Bulan Ini'!$DH:$DH,'Area-Cabang'!$E166,'CWO Bulan Ini'!$CZ:$CZ,'Area-Cabang'!AK$41)</f>
        <v>0</v>
      </c>
      <c r="AL166" s="42">
        <f>SUMIFS('CWO Bulan Ini'!$DD:$DD,'CWO Bulan Ini'!$DJ:$DJ,'Area-Cabang'!$B166,'CWO Bulan Ini'!$DH:$DH,'Area-Cabang'!$E166,'CWO Bulan Ini'!$CZ:$CZ,'Area-Cabang'!AL$41)</f>
        <v>0</v>
      </c>
      <c r="AM166" s="42">
        <f>SUMIFS('CWO Bulan Ini'!$DD:$DD,'CWO Bulan Ini'!$DJ:$DJ,'Area-Cabang'!$B166,'CWO Bulan Ini'!$DH:$DH,'Area-Cabang'!$E166,'CWO Bulan Ini'!$CZ:$CZ,'Area-Cabang'!AM$41)</f>
        <v>0</v>
      </c>
      <c r="AN166" s="42">
        <f>SUMIFS('CWO Bulan Ini'!$DD:$DD,'CWO Bulan Ini'!$DJ:$DJ,'Area-Cabang'!$B166,'CWO Bulan Ini'!$DH:$DH,'Area-Cabang'!$E166,'CWO Bulan Ini'!$CZ:$CZ,'Area-Cabang'!AN$41)</f>
        <v>0</v>
      </c>
      <c r="AO166" s="42">
        <f>SUMIFS('CWO Bulan Ini'!$DD:$DD,'CWO Bulan Ini'!$DJ:$DJ,'Area-Cabang'!$B166,'CWO Bulan Ini'!$DH:$DH,'Area-Cabang'!$E166,'CWO Bulan Ini'!$CZ:$CZ,'Area-Cabang'!AO$41)</f>
        <v>0</v>
      </c>
      <c r="AP166" s="42">
        <f>SUMIFS('CWO Bulan Ini'!$DD:$DD,'CWO Bulan Ini'!$DJ:$DJ,'Area-Cabang'!$B166,'CWO Bulan Ini'!$DH:$DH,'Area-Cabang'!$E166,'CWO Bulan Ini'!$CZ:$CZ,'Area-Cabang'!AP$41)</f>
        <v>0</v>
      </c>
      <c r="AQ166" s="42">
        <f>SUMIFS('CWO Bulan Ini'!$DD:$DD,'CWO Bulan Ini'!$DJ:$DJ,'Area-Cabang'!$B166,'CWO Bulan Ini'!$DH:$DH,'Area-Cabang'!$E166,'CWO Bulan Ini'!$CZ:$CZ,'Area-Cabang'!AQ$41)</f>
        <v>0</v>
      </c>
      <c r="AR166" s="42">
        <f>SUMIFS('CWO Bulan Ini'!$DD:$DD,'CWO Bulan Ini'!$DJ:$DJ,'Area-Cabang'!$B166,'CWO Bulan Ini'!$DH:$DH,'Area-Cabang'!$E166,'CWO Bulan Ini'!$CZ:$CZ,'Area-Cabang'!AR$41)</f>
        <v>0</v>
      </c>
      <c r="AS166" s="42">
        <f>SUMIFS('CWO Bulan Ini'!$DD:$DD,'CWO Bulan Ini'!$DJ:$DJ,'Area-Cabang'!$B166,'CWO Bulan Ini'!$DH:$DH,'Area-Cabang'!$E166,'CWO Bulan Ini'!$CZ:$CZ,'Area-Cabang'!AS$41)</f>
        <v>0</v>
      </c>
      <c r="AT166" s="42">
        <f>SUMIFS('CWO Bulan Ini'!$DD:$DD,'CWO Bulan Ini'!$DJ:$DJ,'Area-Cabang'!$B166,'CWO Bulan Ini'!$DH:$DH,'Area-Cabang'!$E166,'CWO Bulan Ini'!$CZ:$CZ,'Area-Cabang'!AT$41)</f>
        <v>0</v>
      </c>
      <c r="AU166" s="42">
        <f>SUMIFS('CWO Bulan Ini'!$DD:$DD,'CWO Bulan Ini'!$DJ:$DJ,'Area-Cabang'!$B166,'CWO Bulan Ini'!$DH:$DH,'Area-Cabang'!$E166,'CWO Bulan Ini'!$CZ:$CZ,'Area-Cabang'!AU$41)</f>
        <v>0</v>
      </c>
      <c r="AV166" s="42">
        <f>SUMIFS('CWO Bulan Ini'!$DD:$DD,'CWO Bulan Ini'!$DJ:$DJ,'Area-Cabang'!$B166,'CWO Bulan Ini'!$DH:$DH,'Area-Cabang'!$E166,'CWO Bulan Ini'!$CZ:$CZ,'Area-Cabang'!AV$41)</f>
        <v>0</v>
      </c>
      <c r="AW166" s="42">
        <f>SUMIFS('CWO Bulan Ini'!$DD:$DD,'CWO Bulan Ini'!$DJ:$DJ,'Area-Cabang'!$B166,'CWO Bulan Ini'!$DH:$DH,'Area-Cabang'!$E166,'CWO Bulan Ini'!$CZ:$CZ,'Area-Cabang'!AW$41)</f>
        <v>0</v>
      </c>
      <c r="AX166" s="42">
        <f>SUMIFS('CWO Bulan Ini'!$DD:$DD,'CWO Bulan Ini'!$DJ:$DJ,'Area-Cabang'!$B166,'CWO Bulan Ini'!$DH:$DH,'Area-Cabang'!$E166,'CWO Bulan Ini'!$CZ:$CZ,'Area-Cabang'!AX$41)</f>
        <v>0</v>
      </c>
      <c r="AY166" s="42">
        <f>SUMIFS('CWO Bulan Ini'!$DD:$DD,'CWO Bulan Ini'!$DJ:$DJ,'Area-Cabang'!$B166,'CWO Bulan Ini'!$DH:$DH,'Area-Cabang'!$E166,'CWO Bulan Ini'!$CZ:$CZ,'Area-Cabang'!AY$41)</f>
        <v>0</v>
      </c>
      <c r="AZ166" s="42">
        <f>SUMIFS('CWO Bulan Ini'!$DD:$DD,'CWO Bulan Ini'!$DJ:$DJ,'Area-Cabang'!$B166,'CWO Bulan Ini'!$DH:$DH,'Area-Cabang'!$E166,'CWO Bulan Ini'!$CZ:$CZ,'Area-Cabang'!AZ$41)</f>
        <v>0</v>
      </c>
      <c r="BA166" s="42">
        <f>SUMIFS('CWO Bulan Ini'!$DD:$DD,'CWO Bulan Ini'!$DJ:$DJ,'Area-Cabang'!$B166,'CWO Bulan Ini'!$DH:$DH,'Area-Cabang'!$E166,'CWO Bulan Ini'!$CZ:$CZ,'Area-Cabang'!BA$41)</f>
        <v>0</v>
      </c>
      <c r="BB166" s="42">
        <f>SUMIFS('CWO Bulan Ini'!$DD:$DD,'CWO Bulan Ini'!$DJ:$DJ,'Area-Cabang'!$B166,'CWO Bulan Ini'!$DH:$DH,'Area-Cabang'!$E166,'CWO Bulan Ini'!$CZ:$CZ,'Area-Cabang'!BB$41)</f>
        <v>0</v>
      </c>
      <c r="BC166" s="42">
        <f>SUMIFS('CWO Bulan Ini'!$DD:$DD,'CWO Bulan Ini'!$DJ:$DJ,'Area-Cabang'!$B166,'CWO Bulan Ini'!$DH:$DH,'Area-Cabang'!$E166,'CWO Bulan Ini'!$CZ:$CZ,'Area-Cabang'!BC$41)</f>
        <v>0</v>
      </c>
      <c r="BD166" s="42">
        <f>SUMIFS('CWO Bulan Ini'!$DD:$DD,'CWO Bulan Ini'!$DJ:$DJ,'Area-Cabang'!$B166,'CWO Bulan Ini'!$DH:$DH,'Area-Cabang'!$E166,'CWO Bulan Ini'!$CZ:$CZ,'Area-Cabang'!BD$41)</f>
        <v>0</v>
      </c>
      <c r="BE166" s="42">
        <f>SUMIFS('CWO Bulan Ini'!$DD:$DD,'CWO Bulan Ini'!$DJ:$DJ,'Area-Cabang'!$B166,'CWO Bulan Ini'!$DH:$DH,'Area-Cabang'!$E166,'CWO Bulan Ini'!$CZ:$CZ,'Area-Cabang'!BE$41)</f>
        <v>0</v>
      </c>
      <c r="BF166" s="42">
        <f>SUMIFS('CWO Bulan Ini'!$DD:$DD,'CWO Bulan Ini'!$DJ:$DJ,'Area-Cabang'!$B166,'CWO Bulan Ini'!$DH:$DH,'Area-Cabang'!$E166,'CWO Bulan Ini'!$CZ:$CZ,'Area-Cabang'!BF$41)</f>
        <v>0</v>
      </c>
      <c r="BG166" s="42">
        <f>SUMIFS('CWO Bulan Ini'!$DD:$DD,'CWO Bulan Ini'!$DJ:$DJ,'Area-Cabang'!$B166,'CWO Bulan Ini'!$DH:$DH,'Area-Cabang'!$E166,'CWO Bulan Ini'!$CZ:$CZ,'Area-Cabang'!BG$41)</f>
        <v>0</v>
      </c>
      <c r="BH166" s="42">
        <f>SUMIFS('CWO Bulan Ini'!$DD:$DD,'CWO Bulan Ini'!$DJ:$DJ,'Area-Cabang'!$B166,'CWO Bulan Ini'!$DH:$DH,'Area-Cabang'!$E166,'CWO Bulan Ini'!$CZ:$CZ,'Area-Cabang'!BH$41)</f>
        <v>0</v>
      </c>
      <c r="BI166" s="42">
        <f>SUMIFS('CWO Bulan Ini'!$DD:$DD,'CWO Bulan Ini'!$DJ:$DJ,'Area-Cabang'!$B166,'CWO Bulan Ini'!$DH:$DH,'Area-Cabang'!$E166,'CWO Bulan Ini'!$CZ:$CZ,'Area-Cabang'!BI$41)</f>
        <v>0</v>
      </c>
      <c r="BJ166" s="42">
        <f>SUMIFS('CWO Bulan Ini'!$DD:$DD,'CWO Bulan Ini'!$DJ:$DJ,'Area-Cabang'!$B166,'CWO Bulan Ini'!$DH:$DH,'Area-Cabang'!$E166,'CWO Bulan Ini'!$CZ:$CZ,'Area-Cabang'!BJ$41)</f>
        <v>0</v>
      </c>
      <c r="BK166" s="42">
        <f>SUMIFS('CWO Bulan Ini'!$DD:$DD,'CWO Bulan Ini'!$DJ:$DJ,'Area-Cabang'!$B166,'CWO Bulan Ini'!$DH:$DH,'Area-Cabang'!$E166,'CWO Bulan Ini'!$CZ:$CZ,'Area-Cabang'!BK$41)</f>
        <v>0</v>
      </c>
      <c r="BL166" s="42">
        <f>SUMIFS('CWO Bulan Ini'!$DD:$DD,'CWO Bulan Ini'!$DJ:$DJ,'Area-Cabang'!$B166,'CWO Bulan Ini'!$DH:$DH,'Area-Cabang'!$E166,'CWO Bulan Ini'!$CZ:$CZ,'Area-Cabang'!BL$41)</f>
        <v>0</v>
      </c>
      <c r="BM166" s="42">
        <f>SUMIFS('CWO Bulan Ini'!$DD:$DD,'CWO Bulan Ini'!$DJ:$DJ,'Area-Cabang'!$B166,'CWO Bulan Ini'!$DH:$DH,'Area-Cabang'!$E166,'CWO Bulan Ini'!$CZ:$CZ,'Area-Cabang'!BM$41)</f>
        <v>0</v>
      </c>
      <c r="BN166" s="42">
        <f>SUMIFS('CWO Bulan Ini'!$DD:$DD,'CWO Bulan Ini'!$DJ:$DJ,'Area-Cabang'!$B166,'CWO Bulan Ini'!$DH:$DH,'Area-Cabang'!$E166,'CWO Bulan Ini'!$CZ:$CZ,'Area-Cabang'!BN$41)</f>
        <v>0</v>
      </c>
      <c r="BO166" s="43">
        <f>SUMIFS('CWO Bulan Ini'!$DD:$DD,'CWO Bulan Ini'!$DJ:$DJ,'Area-Cabang'!$B166,'CWO Bulan Ini'!$DH:$DH,'Area-Cabang'!$E166,'CWO Bulan Ini'!$CZ:$CZ,'Area-Cabang'!BO$41)</f>
        <v>0</v>
      </c>
      <c r="BP166" s="41">
        <f>SUMIFS('CWO Bulan Ini'!$DC:$DC,'CWO Bulan Ini'!$DJ:$DJ,'Area-Cabang'!$B166,'CWO Bulan Ini'!$DH:$DH,'Area-Cabang'!$E166,'CWO Bulan Ini'!$CZ:$CZ,'Area-Cabang'!BP$41)</f>
        <v>0</v>
      </c>
      <c r="BQ166" s="42">
        <f>SUMIFS('CWO Bulan Ini'!$DC:$DC,'CWO Bulan Ini'!$DJ:$DJ,'Area-Cabang'!$B166,'CWO Bulan Ini'!$DH:$DH,'Area-Cabang'!$E166,'CWO Bulan Ini'!$CZ:$CZ,'Area-Cabang'!BQ$41)</f>
        <v>0</v>
      </c>
      <c r="BR166" s="42">
        <f>SUMIFS('CWO Bulan Ini'!$DC:$DC,'CWO Bulan Ini'!$DJ:$DJ,'Area-Cabang'!$B166,'CWO Bulan Ini'!$DH:$DH,'Area-Cabang'!$E166,'CWO Bulan Ini'!$CZ:$CZ,'Area-Cabang'!BR$41)</f>
        <v>0</v>
      </c>
      <c r="BS166" s="42">
        <f>SUMIFS('CWO Bulan Ini'!$DC:$DC,'CWO Bulan Ini'!$DJ:$DJ,'Area-Cabang'!$B166,'CWO Bulan Ini'!$DH:$DH,'Area-Cabang'!$E166,'CWO Bulan Ini'!$CZ:$CZ,'Area-Cabang'!BS$41)</f>
        <v>0</v>
      </c>
      <c r="BT166" s="42">
        <f>SUMIFS('CWO Bulan Ini'!$DC:$DC,'CWO Bulan Ini'!$DJ:$DJ,'Area-Cabang'!$B166,'CWO Bulan Ini'!$DH:$DH,'Area-Cabang'!$E166,'CWO Bulan Ini'!$CZ:$CZ,'Area-Cabang'!BT$41)</f>
        <v>0</v>
      </c>
      <c r="BU166" s="42">
        <f>SUMIFS('CWO Bulan Ini'!$DC:$DC,'CWO Bulan Ini'!$DJ:$DJ,'Area-Cabang'!$B166,'CWO Bulan Ini'!$DH:$DH,'Area-Cabang'!$E166,'CWO Bulan Ini'!$CZ:$CZ,'Area-Cabang'!BU$41)</f>
        <v>0</v>
      </c>
      <c r="BV166" s="42">
        <f>SUMIFS('CWO Bulan Ini'!$DC:$DC,'CWO Bulan Ini'!$DJ:$DJ,'Area-Cabang'!$B166,'CWO Bulan Ini'!$DH:$DH,'Area-Cabang'!$E166,'CWO Bulan Ini'!$CZ:$CZ,'Area-Cabang'!BV$41)</f>
        <v>0</v>
      </c>
      <c r="BW166" s="42">
        <f>SUMIFS('CWO Bulan Ini'!$DC:$DC,'CWO Bulan Ini'!$DJ:$DJ,'Area-Cabang'!$B166,'CWO Bulan Ini'!$DH:$DH,'Area-Cabang'!$E166,'CWO Bulan Ini'!$CZ:$CZ,'Area-Cabang'!BW$41)</f>
        <v>0</v>
      </c>
      <c r="BX166" s="42">
        <f>SUMIFS('CWO Bulan Ini'!$DC:$DC,'CWO Bulan Ini'!$DJ:$DJ,'Area-Cabang'!$B166,'CWO Bulan Ini'!$DH:$DH,'Area-Cabang'!$E166,'CWO Bulan Ini'!$CZ:$CZ,'Area-Cabang'!BX$41)</f>
        <v>0</v>
      </c>
      <c r="BY166" s="42">
        <f>SUMIFS('CWO Bulan Ini'!$DC:$DC,'CWO Bulan Ini'!$DJ:$DJ,'Area-Cabang'!$B166,'CWO Bulan Ini'!$DH:$DH,'Area-Cabang'!$E166,'CWO Bulan Ini'!$CZ:$CZ,'Area-Cabang'!BY$41)</f>
        <v>0</v>
      </c>
      <c r="BZ166" s="42">
        <f>SUMIFS('CWO Bulan Ini'!$DC:$DC,'CWO Bulan Ini'!$DJ:$DJ,'Area-Cabang'!$B166,'CWO Bulan Ini'!$DH:$DH,'Area-Cabang'!$E166,'CWO Bulan Ini'!$CZ:$CZ,'Area-Cabang'!BZ$41)</f>
        <v>0</v>
      </c>
      <c r="CA166" s="42">
        <f>SUMIFS('CWO Bulan Ini'!$DC:$DC,'CWO Bulan Ini'!$DJ:$DJ,'Area-Cabang'!$B166,'CWO Bulan Ini'!$DH:$DH,'Area-Cabang'!$E166,'CWO Bulan Ini'!$CZ:$CZ,'Area-Cabang'!CA$41)</f>
        <v>0</v>
      </c>
      <c r="CB166" s="42">
        <f>SUMIFS('CWO Bulan Ini'!$DC:$DC,'CWO Bulan Ini'!$DJ:$DJ,'Area-Cabang'!$B166,'CWO Bulan Ini'!$DH:$DH,'Area-Cabang'!$E166,'CWO Bulan Ini'!$CZ:$CZ,'Area-Cabang'!CB$41)</f>
        <v>0</v>
      </c>
      <c r="CC166" s="42">
        <f>SUMIFS('CWO Bulan Ini'!$DC:$DC,'CWO Bulan Ini'!$DJ:$DJ,'Area-Cabang'!$B166,'CWO Bulan Ini'!$DH:$DH,'Area-Cabang'!$E166,'CWO Bulan Ini'!$CZ:$CZ,'Area-Cabang'!CC$41)</f>
        <v>0</v>
      </c>
      <c r="CD166" s="42">
        <f>SUMIFS('CWO Bulan Ini'!$DC:$DC,'CWO Bulan Ini'!$DJ:$DJ,'Area-Cabang'!$B166,'CWO Bulan Ini'!$DH:$DH,'Area-Cabang'!$E166,'CWO Bulan Ini'!$CZ:$CZ,'Area-Cabang'!CD$41)</f>
        <v>0</v>
      </c>
      <c r="CE166" s="42">
        <f>SUMIFS('CWO Bulan Ini'!$DC:$DC,'CWO Bulan Ini'!$DJ:$DJ,'Area-Cabang'!$B166,'CWO Bulan Ini'!$DH:$DH,'Area-Cabang'!$E166,'CWO Bulan Ini'!$CZ:$CZ,'Area-Cabang'!CE$41)</f>
        <v>0</v>
      </c>
      <c r="CF166" s="42">
        <f>SUMIFS('CWO Bulan Ini'!$DC:$DC,'CWO Bulan Ini'!$DJ:$DJ,'Area-Cabang'!$B166,'CWO Bulan Ini'!$DH:$DH,'Area-Cabang'!$E166,'CWO Bulan Ini'!$CZ:$CZ,'Area-Cabang'!CF$41)</f>
        <v>0</v>
      </c>
      <c r="CG166" s="42">
        <f>SUMIFS('CWO Bulan Ini'!$DC:$DC,'CWO Bulan Ini'!$DJ:$DJ,'Area-Cabang'!$B166,'CWO Bulan Ini'!$DH:$DH,'Area-Cabang'!$E166,'CWO Bulan Ini'!$CZ:$CZ,'Area-Cabang'!CG$41)</f>
        <v>0</v>
      </c>
      <c r="CH166" s="42">
        <f>SUMIFS('CWO Bulan Ini'!$DC:$DC,'CWO Bulan Ini'!$DJ:$DJ,'Area-Cabang'!$B166,'CWO Bulan Ini'!$DH:$DH,'Area-Cabang'!$E166,'CWO Bulan Ini'!$CZ:$CZ,'Area-Cabang'!CH$41)</f>
        <v>0</v>
      </c>
      <c r="CI166" s="42">
        <f>SUMIFS('CWO Bulan Ini'!$DC:$DC,'CWO Bulan Ini'!$DJ:$DJ,'Area-Cabang'!$B166,'CWO Bulan Ini'!$DH:$DH,'Area-Cabang'!$E166,'CWO Bulan Ini'!$CZ:$CZ,'Area-Cabang'!CI$41)</f>
        <v>0</v>
      </c>
      <c r="CJ166" s="42">
        <f>SUMIFS('CWO Bulan Ini'!$DC:$DC,'CWO Bulan Ini'!$DJ:$DJ,'Area-Cabang'!$B166,'CWO Bulan Ini'!$DH:$DH,'Area-Cabang'!$E166,'CWO Bulan Ini'!$CZ:$CZ,'Area-Cabang'!CJ$41)</f>
        <v>0</v>
      </c>
      <c r="CK166" s="42">
        <f>SUMIFS('CWO Bulan Ini'!$DC:$DC,'CWO Bulan Ini'!$DJ:$DJ,'Area-Cabang'!$B166,'CWO Bulan Ini'!$DH:$DH,'Area-Cabang'!$E166,'CWO Bulan Ini'!$CZ:$CZ,'Area-Cabang'!CK$41)</f>
        <v>0</v>
      </c>
      <c r="CL166" s="42">
        <f>SUMIFS('CWO Bulan Ini'!$DC:$DC,'CWO Bulan Ini'!$DJ:$DJ,'Area-Cabang'!$B166,'CWO Bulan Ini'!$DH:$DH,'Area-Cabang'!$E166,'CWO Bulan Ini'!$CZ:$CZ,'Area-Cabang'!CL$41)</f>
        <v>0</v>
      </c>
      <c r="CM166" s="42">
        <f>SUMIFS('CWO Bulan Ini'!$DC:$DC,'CWO Bulan Ini'!$DJ:$DJ,'Area-Cabang'!$B166,'CWO Bulan Ini'!$DH:$DH,'Area-Cabang'!$E166,'CWO Bulan Ini'!$CZ:$CZ,'Area-Cabang'!CM$41)</f>
        <v>0</v>
      </c>
      <c r="CN166" s="42">
        <f>SUMIFS('CWO Bulan Ini'!$DC:$DC,'CWO Bulan Ini'!$DJ:$DJ,'Area-Cabang'!$B166,'CWO Bulan Ini'!$DH:$DH,'Area-Cabang'!$E166,'CWO Bulan Ini'!$CZ:$CZ,'Area-Cabang'!CN$41)</f>
        <v>0</v>
      </c>
      <c r="CO166" s="42">
        <f>SUMIFS('CWO Bulan Ini'!$DC:$DC,'CWO Bulan Ini'!$DJ:$DJ,'Area-Cabang'!$B166,'CWO Bulan Ini'!$DH:$DH,'Area-Cabang'!$E166,'CWO Bulan Ini'!$CZ:$CZ,'Area-Cabang'!CO$41)</f>
        <v>0</v>
      </c>
      <c r="CP166" s="42">
        <f>SUMIFS('CWO Bulan Ini'!$DC:$DC,'CWO Bulan Ini'!$DJ:$DJ,'Area-Cabang'!$B166,'CWO Bulan Ini'!$DH:$DH,'Area-Cabang'!$E166,'CWO Bulan Ini'!$CZ:$CZ,'Area-Cabang'!CP$41)</f>
        <v>0</v>
      </c>
      <c r="CQ166" s="42">
        <f>SUMIFS('CWO Bulan Ini'!$DC:$DC,'CWO Bulan Ini'!$DJ:$DJ,'Area-Cabang'!$B166,'CWO Bulan Ini'!$DH:$DH,'Area-Cabang'!$E166,'CWO Bulan Ini'!$CZ:$CZ,'Area-Cabang'!CQ$41)</f>
        <v>0</v>
      </c>
      <c r="CR166" s="42">
        <f>SUMIFS('CWO Bulan Ini'!$DC:$DC,'CWO Bulan Ini'!$DJ:$DJ,'Area-Cabang'!$B166,'CWO Bulan Ini'!$DH:$DH,'Area-Cabang'!$E166,'CWO Bulan Ini'!$CZ:$CZ,'Area-Cabang'!CR$41)</f>
        <v>0</v>
      </c>
      <c r="CS166" s="42">
        <f>SUMIFS('CWO Bulan Ini'!$DC:$DC,'CWO Bulan Ini'!$DJ:$DJ,'Area-Cabang'!$B166,'CWO Bulan Ini'!$DH:$DH,'Area-Cabang'!$E166,'CWO Bulan Ini'!$CZ:$CZ,'Area-Cabang'!CS$41)</f>
        <v>0</v>
      </c>
      <c r="CT166" s="43">
        <f>SUMIFS('CWO Bulan Ini'!$DC:$DC,'CWO Bulan Ini'!$DJ:$DJ,'Area-Cabang'!$B166,'CWO Bulan Ini'!$DH:$DH,'Area-Cabang'!$E166,'CWO Bulan Ini'!$CZ:$CZ,'Area-Cabang'!CT$41)</f>
        <v>0</v>
      </c>
      <c r="CV166" s="96">
        <f t="shared" si="5204"/>
        <v>0</v>
      </c>
      <c r="CW166" s="93">
        <f t="shared" si="5205"/>
        <v>0</v>
      </c>
      <c r="CX166" s="93">
        <f t="shared" si="5206"/>
        <v>0</v>
      </c>
      <c r="CY166" s="93">
        <f t="shared" si="5207"/>
        <v>0</v>
      </c>
      <c r="CZ166" s="106">
        <f t="shared" si="5208"/>
        <v>0</v>
      </c>
    </row>
    <row r="167" spans="1:104" ht="15" customHeight="1" x14ac:dyDescent="0.25">
      <c r="A167" s="58" t="s">
        <v>576</v>
      </c>
      <c r="B167" s="60" t="s">
        <v>848</v>
      </c>
      <c r="C167" s="247"/>
      <c r="D167" s="227" t="s">
        <v>848</v>
      </c>
      <c r="E167" s="228"/>
      <c r="F167" s="219">
        <f t="shared" ref="F167" si="5209">SUM(F165:F166)</f>
        <v>0</v>
      </c>
      <c r="G167" s="220">
        <f t="shared" ref="G167" si="5210">SUM(G165:G166)</f>
        <v>0</v>
      </c>
      <c r="H167" s="220">
        <f t="shared" ref="H167" si="5211">SUM(H165:H166)</f>
        <v>0</v>
      </c>
      <c r="I167" s="220">
        <f t="shared" ref="I167" si="5212">SUM(I165:I166)</f>
        <v>126.63902634999999</v>
      </c>
      <c r="J167" s="220">
        <f t="shared" ref="J167" si="5213">SUM(J165:J166)</f>
        <v>0</v>
      </c>
      <c r="K167" s="220">
        <f t="shared" ref="K167" si="5214">SUM(K165:K166)</f>
        <v>108.17527831</v>
      </c>
      <c r="L167" s="220">
        <f t="shared" ref="L167" si="5215">SUM(L165:L166)</f>
        <v>0</v>
      </c>
      <c r="M167" s="220">
        <f t="shared" ref="M167" si="5216">SUM(M165:M166)</f>
        <v>0</v>
      </c>
      <c r="N167" s="220">
        <f t="shared" ref="N167" si="5217">SUM(N165:N166)</f>
        <v>0</v>
      </c>
      <c r="O167" s="220">
        <f t="shared" ref="O167" si="5218">SUM(O165:O166)</f>
        <v>0</v>
      </c>
      <c r="P167" s="220">
        <f t="shared" ref="P167" si="5219">SUM(P165:P166)</f>
        <v>0</v>
      </c>
      <c r="Q167" s="220">
        <f t="shared" ref="Q167" si="5220">SUM(Q165:Q166)</f>
        <v>0</v>
      </c>
      <c r="R167" s="220">
        <f t="shared" ref="R167" si="5221">SUM(R165:R166)</f>
        <v>228.47911540000001</v>
      </c>
      <c r="S167" s="220">
        <f t="shared" ref="S167" si="5222">SUM(S165:S166)</f>
        <v>0</v>
      </c>
      <c r="T167" s="220">
        <f t="shared" ref="T167" si="5223">SUM(T165:T166)</f>
        <v>118.14839878000001</v>
      </c>
      <c r="U167" s="220">
        <f t="shared" ref="U167" si="5224">SUM(U165:U166)</f>
        <v>0</v>
      </c>
      <c r="V167" s="220">
        <f t="shared" ref="V167" si="5225">SUM(V165:V166)</f>
        <v>0</v>
      </c>
      <c r="W167" s="220">
        <f t="shared" ref="W167" si="5226">SUM(W165:W166)</f>
        <v>0</v>
      </c>
      <c r="X167" s="220">
        <f t="shared" ref="X167" si="5227">SUM(X165:X166)</f>
        <v>0</v>
      </c>
      <c r="Y167" s="220">
        <f t="shared" ref="Y167" si="5228">SUM(Y165:Y166)</f>
        <v>0</v>
      </c>
      <c r="Z167" s="220">
        <f t="shared" ref="Z167" si="5229">SUM(Z165:Z166)</f>
        <v>180.48183900000001</v>
      </c>
      <c r="AA167" s="220">
        <f t="shared" ref="AA167" si="5230">SUM(AA165:AA166)</f>
        <v>0</v>
      </c>
      <c r="AB167" s="220">
        <f t="shared" ref="AB167" si="5231">SUM(AB165:AB166)</f>
        <v>0</v>
      </c>
      <c r="AC167" s="220">
        <f t="shared" ref="AC167" si="5232">SUM(AC165:AC166)</f>
        <v>0</v>
      </c>
      <c r="AD167" s="220">
        <f t="shared" ref="AD167" si="5233">SUM(AD165:AD166)</f>
        <v>0</v>
      </c>
      <c r="AE167" s="220">
        <f t="shared" ref="AE167" si="5234">SUM(AE165:AE166)</f>
        <v>0</v>
      </c>
      <c r="AF167" s="220">
        <f t="shared" ref="AF167" si="5235">SUM(AF165:AF166)</f>
        <v>0</v>
      </c>
      <c r="AG167" s="220">
        <f t="shared" ref="AG167" si="5236">SUM(AG165:AG166)</f>
        <v>0</v>
      </c>
      <c r="AH167" s="220">
        <f t="shared" ref="AH167" si="5237">SUM(AH165:AH166)</f>
        <v>0</v>
      </c>
      <c r="AI167" s="220">
        <f t="shared" ref="AI167" si="5238">SUM(AI165:AI166)</f>
        <v>0</v>
      </c>
      <c r="AJ167" s="220">
        <f t="shared" ref="AJ167" si="5239">SUM(AJ165:AJ166)</f>
        <v>0</v>
      </c>
      <c r="AK167" s="219">
        <f t="shared" ref="AK167" si="5240">SUM(AK165:AK166)</f>
        <v>0</v>
      </c>
      <c r="AL167" s="220">
        <f t="shared" ref="AL167" si="5241">SUM(AL165:AL166)</f>
        <v>0</v>
      </c>
      <c r="AM167" s="220">
        <f t="shared" ref="AM167" si="5242">SUM(AM165:AM166)</f>
        <v>0</v>
      </c>
      <c r="AN167" s="220">
        <f t="shared" ref="AN167" si="5243">SUM(AN165:AN166)</f>
        <v>0</v>
      </c>
      <c r="AO167" s="220">
        <f t="shared" ref="AO167" si="5244">SUM(AO165:AO166)</f>
        <v>0</v>
      </c>
      <c r="AP167" s="220">
        <f t="shared" ref="AP167" si="5245">SUM(AP165:AP166)</f>
        <v>0</v>
      </c>
      <c r="AQ167" s="220">
        <f t="shared" ref="AQ167" si="5246">SUM(AQ165:AQ166)</f>
        <v>0</v>
      </c>
      <c r="AR167" s="220">
        <f t="shared" ref="AR167" si="5247">SUM(AR165:AR166)</f>
        <v>0</v>
      </c>
      <c r="AS167" s="220">
        <f t="shared" ref="AS167" si="5248">SUM(AS165:AS166)</f>
        <v>0</v>
      </c>
      <c r="AT167" s="220">
        <f t="shared" ref="AT167" si="5249">SUM(AT165:AT166)</f>
        <v>0</v>
      </c>
      <c r="AU167" s="220">
        <f t="shared" ref="AU167" si="5250">SUM(AU165:AU166)</f>
        <v>0</v>
      </c>
      <c r="AV167" s="220">
        <f t="shared" ref="AV167" si="5251">SUM(AV165:AV166)</f>
        <v>0</v>
      </c>
      <c r="AW167" s="220">
        <f t="shared" ref="AW167" si="5252">SUM(AW165:AW166)</f>
        <v>0</v>
      </c>
      <c r="AX167" s="220">
        <f t="shared" ref="AX167" si="5253">SUM(AX165:AX166)</f>
        <v>0</v>
      </c>
      <c r="AY167" s="220">
        <f t="shared" ref="AY167" si="5254">SUM(AY165:AY166)</f>
        <v>0</v>
      </c>
      <c r="AZ167" s="220">
        <f t="shared" ref="AZ167" si="5255">SUM(AZ165:AZ166)</f>
        <v>0</v>
      </c>
      <c r="BA167" s="220">
        <f t="shared" ref="BA167" si="5256">SUM(BA165:BA166)</f>
        <v>0</v>
      </c>
      <c r="BB167" s="220">
        <f t="shared" ref="BB167" si="5257">SUM(BB165:BB166)</f>
        <v>0</v>
      </c>
      <c r="BC167" s="220">
        <f t="shared" ref="BC167" si="5258">SUM(BC165:BC166)</f>
        <v>0</v>
      </c>
      <c r="BD167" s="220">
        <f t="shared" ref="BD167" si="5259">SUM(BD165:BD166)</f>
        <v>0</v>
      </c>
      <c r="BE167" s="220">
        <f t="shared" ref="BE167" si="5260">SUM(BE165:BE166)</f>
        <v>0</v>
      </c>
      <c r="BF167" s="220">
        <f t="shared" ref="BF167" si="5261">SUM(BF165:BF166)</f>
        <v>0</v>
      </c>
      <c r="BG167" s="220">
        <f t="shared" ref="BG167" si="5262">SUM(BG165:BG166)</f>
        <v>0</v>
      </c>
      <c r="BH167" s="220">
        <f t="shared" ref="BH167" si="5263">SUM(BH165:BH166)</f>
        <v>0</v>
      </c>
      <c r="BI167" s="220">
        <f t="shared" ref="BI167" si="5264">SUM(BI165:BI166)</f>
        <v>0</v>
      </c>
      <c r="BJ167" s="220">
        <f t="shared" ref="BJ167" si="5265">SUM(BJ165:BJ166)</f>
        <v>0</v>
      </c>
      <c r="BK167" s="220">
        <f t="shared" ref="BK167" si="5266">SUM(BK165:BK166)</f>
        <v>0</v>
      </c>
      <c r="BL167" s="220">
        <f t="shared" ref="BL167" si="5267">SUM(BL165:BL166)</f>
        <v>0</v>
      </c>
      <c r="BM167" s="220">
        <f t="shared" ref="BM167" si="5268">SUM(BM165:BM166)</f>
        <v>0</v>
      </c>
      <c r="BN167" s="220">
        <f t="shared" ref="BN167" si="5269">SUM(BN165:BN166)</f>
        <v>0</v>
      </c>
      <c r="BO167" s="221">
        <f t="shared" ref="BO167" si="5270">SUM(BO165:BO166)</f>
        <v>0</v>
      </c>
      <c r="BP167" s="219">
        <f t="shared" ref="BP167" si="5271">SUM(BP165:BP166)</f>
        <v>0</v>
      </c>
      <c r="BQ167" s="220">
        <f t="shared" ref="BQ167" si="5272">SUM(BQ165:BQ166)</f>
        <v>0</v>
      </c>
      <c r="BR167" s="220">
        <f t="shared" ref="BR167" si="5273">SUM(BR165:BR166)</f>
        <v>0</v>
      </c>
      <c r="BS167" s="220">
        <f t="shared" ref="BS167" si="5274">SUM(BS165:BS166)</f>
        <v>126.63902634999999</v>
      </c>
      <c r="BT167" s="220">
        <f t="shared" ref="BT167" si="5275">SUM(BT165:BT166)</f>
        <v>0</v>
      </c>
      <c r="BU167" s="220">
        <f t="shared" ref="BU167" si="5276">SUM(BU165:BU166)</f>
        <v>108.17527831</v>
      </c>
      <c r="BV167" s="220">
        <f t="shared" ref="BV167" si="5277">SUM(BV165:BV166)</f>
        <v>0</v>
      </c>
      <c r="BW167" s="220">
        <f t="shared" ref="BW167" si="5278">SUM(BW165:BW166)</f>
        <v>0</v>
      </c>
      <c r="BX167" s="220">
        <f t="shared" ref="BX167" si="5279">SUM(BX165:BX166)</f>
        <v>0</v>
      </c>
      <c r="BY167" s="220">
        <f t="shared" ref="BY167" si="5280">SUM(BY165:BY166)</f>
        <v>0</v>
      </c>
      <c r="BZ167" s="220">
        <f t="shared" ref="BZ167" si="5281">SUM(BZ165:BZ166)</f>
        <v>0</v>
      </c>
      <c r="CA167" s="220">
        <f t="shared" ref="CA167" si="5282">SUM(CA165:CA166)</f>
        <v>0</v>
      </c>
      <c r="CB167" s="220">
        <f t="shared" ref="CB167" si="5283">SUM(CB165:CB166)</f>
        <v>0</v>
      </c>
      <c r="CC167" s="220">
        <f t="shared" ref="CC167" si="5284">SUM(CC165:CC166)</f>
        <v>0</v>
      </c>
      <c r="CD167" s="220">
        <f t="shared" ref="CD167" si="5285">SUM(CD165:CD166)</f>
        <v>0</v>
      </c>
      <c r="CE167" s="220">
        <f t="shared" ref="CE167" si="5286">SUM(CE165:CE166)</f>
        <v>0</v>
      </c>
      <c r="CF167" s="220">
        <f t="shared" ref="CF167" si="5287">SUM(CF165:CF166)</f>
        <v>0</v>
      </c>
      <c r="CG167" s="220">
        <f t="shared" ref="CG167" si="5288">SUM(CG165:CG166)</f>
        <v>0</v>
      </c>
      <c r="CH167" s="220">
        <f t="shared" ref="CH167" si="5289">SUM(CH165:CH166)</f>
        <v>0</v>
      </c>
      <c r="CI167" s="220">
        <f t="shared" ref="CI167" si="5290">SUM(CI165:CI166)</f>
        <v>0</v>
      </c>
      <c r="CJ167" s="220">
        <f t="shared" ref="CJ167" si="5291">SUM(CJ165:CJ166)</f>
        <v>0</v>
      </c>
      <c r="CK167" s="220">
        <f t="shared" ref="CK167" si="5292">SUM(CK165:CK166)</f>
        <v>0</v>
      </c>
      <c r="CL167" s="220">
        <f t="shared" ref="CL167" si="5293">SUM(CL165:CL166)</f>
        <v>0</v>
      </c>
      <c r="CM167" s="220">
        <f t="shared" ref="CM167" si="5294">SUM(CM165:CM166)</f>
        <v>0</v>
      </c>
      <c r="CN167" s="220">
        <f t="shared" ref="CN167" si="5295">SUM(CN165:CN166)</f>
        <v>0</v>
      </c>
      <c r="CO167" s="220">
        <f t="shared" ref="CO167" si="5296">SUM(CO165:CO166)</f>
        <v>0</v>
      </c>
      <c r="CP167" s="220">
        <f t="shared" ref="CP167" si="5297">SUM(CP165:CP166)</f>
        <v>0</v>
      </c>
      <c r="CQ167" s="220">
        <f t="shared" ref="CQ167" si="5298">SUM(CQ165:CQ166)</f>
        <v>0</v>
      </c>
      <c r="CR167" s="220">
        <f t="shared" ref="CR167" si="5299">SUM(CR165:CR166)</f>
        <v>0</v>
      </c>
      <c r="CS167" s="220">
        <f t="shared" ref="CS167" si="5300">SUM(CS165:CS166)</f>
        <v>0</v>
      </c>
      <c r="CT167" s="221">
        <f t="shared" ref="CT167" si="5301">SUM(CT165:CT166)</f>
        <v>0</v>
      </c>
      <c r="CU167" s="226"/>
      <c r="CV167" s="219">
        <f t="shared" ref="CV167" si="5302">SUM(CV165:CV166)</f>
        <v>761.92365784000003</v>
      </c>
      <c r="CW167" s="220">
        <f t="shared" ref="CW167" si="5303">SUM(CW165:CW166)</f>
        <v>0</v>
      </c>
      <c r="CX167" s="220">
        <f t="shared" ref="CX167" si="5304">SUM(CX165:CX166)</f>
        <v>234.81430466</v>
      </c>
      <c r="CY167" s="220">
        <f t="shared" ref="CY167" si="5305">SUM(CY165:CY166)</f>
        <v>527.10935317999997</v>
      </c>
      <c r="CZ167" s="222">
        <f t="shared" ref="CZ167" si="5306">SUM(CZ165:CZ166)</f>
        <v>527.10935317999997</v>
      </c>
    </row>
    <row r="168" spans="1:104" ht="15" customHeight="1" x14ac:dyDescent="0.25">
      <c r="A168" s="58" t="s">
        <v>576</v>
      </c>
      <c r="B168" s="53" t="s">
        <v>250</v>
      </c>
      <c r="C168" s="247"/>
      <c r="D168" s="245" t="s">
        <v>250</v>
      </c>
      <c r="E168" s="85" t="s">
        <v>132</v>
      </c>
      <c r="F168" s="55">
        <f>SUMIFS('CWO Bulan Ini'!$DA:$DA,'CWO Bulan Ini'!$DJ:$DJ,'Area-Cabang'!$B168,'CWO Bulan Ini'!$DH:$DH,'Area-Cabang'!$E168,'CWO Bulan Ini'!$CZ:$CZ,'Area-Cabang'!F$41)</f>
        <v>0</v>
      </c>
      <c r="G168" s="56">
        <f>SUMIFS('CWO Bulan Ini'!$DA:$DA,'CWO Bulan Ini'!$DJ:$DJ,'Area-Cabang'!$B168,'CWO Bulan Ini'!$DH:$DH,'Area-Cabang'!$E168,'CWO Bulan Ini'!$CZ:$CZ,'Area-Cabang'!G$41)</f>
        <v>0</v>
      </c>
      <c r="H168" s="56">
        <f>SUMIFS('CWO Bulan Ini'!$DA:$DA,'CWO Bulan Ini'!$DJ:$DJ,'Area-Cabang'!$B168,'CWO Bulan Ini'!$DH:$DH,'Area-Cabang'!$E168,'CWO Bulan Ini'!$CZ:$CZ,'Area-Cabang'!H$41)</f>
        <v>0</v>
      </c>
      <c r="I168" s="56">
        <f>SUMIFS('CWO Bulan Ini'!$DA:$DA,'CWO Bulan Ini'!$DJ:$DJ,'Area-Cabang'!$B168,'CWO Bulan Ini'!$DH:$DH,'Area-Cabang'!$E168,'CWO Bulan Ini'!$CZ:$CZ,'Area-Cabang'!I$41)</f>
        <v>120.90417939</v>
      </c>
      <c r="J168" s="56">
        <f>SUMIFS('CWO Bulan Ini'!$DA:$DA,'CWO Bulan Ini'!$DJ:$DJ,'Area-Cabang'!$B168,'CWO Bulan Ini'!$DH:$DH,'Area-Cabang'!$E168,'CWO Bulan Ini'!$CZ:$CZ,'Area-Cabang'!J$41)</f>
        <v>0</v>
      </c>
      <c r="K168" s="56">
        <f>SUMIFS('CWO Bulan Ini'!$DA:$DA,'CWO Bulan Ini'!$DJ:$DJ,'Area-Cabang'!$B168,'CWO Bulan Ini'!$DH:$DH,'Area-Cabang'!$E168,'CWO Bulan Ini'!$CZ:$CZ,'Area-Cabang'!K$41)</f>
        <v>0</v>
      </c>
      <c r="L168" s="56">
        <f>SUMIFS('CWO Bulan Ini'!$DA:$DA,'CWO Bulan Ini'!$DJ:$DJ,'Area-Cabang'!$B168,'CWO Bulan Ini'!$DH:$DH,'Area-Cabang'!$E168,'CWO Bulan Ini'!$CZ:$CZ,'Area-Cabang'!L$41)</f>
        <v>0</v>
      </c>
      <c r="M168" s="56">
        <f>SUMIFS('CWO Bulan Ini'!$DA:$DA,'CWO Bulan Ini'!$DJ:$DJ,'Area-Cabang'!$B168,'CWO Bulan Ini'!$DH:$DH,'Area-Cabang'!$E168,'CWO Bulan Ini'!$CZ:$CZ,'Area-Cabang'!M$41)</f>
        <v>0</v>
      </c>
      <c r="N168" s="56">
        <f>SUMIFS('CWO Bulan Ini'!$DA:$DA,'CWO Bulan Ini'!$DJ:$DJ,'Area-Cabang'!$B168,'CWO Bulan Ini'!$DH:$DH,'Area-Cabang'!$E168,'CWO Bulan Ini'!$CZ:$CZ,'Area-Cabang'!N$41)</f>
        <v>0</v>
      </c>
      <c r="O168" s="56">
        <f>SUMIFS('CWO Bulan Ini'!$DA:$DA,'CWO Bulan Ini'!$DJ:$DJ,'Area-Cabang'!$B168,'CWO Bulan Ini'!$DH:$DH,'Area-Cabang'!$E168,'CWO Bulan Ini'!$CZ:$CZ,'Area-Cabang'!O$41)</f>
        <v>98.88801291</v>
      </c>
      <c r="P168" s="56">
        <f>SUMIFS('CWO Bulan Ini'!$DA:$DA,'CWO Bulan Ini'!$DJ:$DJ,'Area-Cabang'!$B168,'CWO Bulan Ini'!$DH:$DH,'Area-Cabang'!$E168,'CWO Bulan Ini'!$CZ:$CZ,'Area-Cabang'!P$41)</f>
        <v>0</v>
      </c>
      <c r="Q168" s="56">
        <f>SUMIFS('CWO Bulan Ini'!$DA:$DA,'CWO Bulan Ini'!$DJ:$DJ,'Area-Cabang'!$B168,'CWO Bulan Ini'!$DH:$DH,'Area-Cabang'!$E168,'CWO Bulan Ini'!$CZ:$CZ,'Area-Cabang'!Q$41)</f>
        <v>0</v>
      </c>
      <c r="R168" s="56">
        <f>SUMIFS('CWO Bulan Ini'!$DA:$DA,'CWO Bulan Ini'!$DJ:$DJ,'Area-Cabang'!$B168,'CWO Bulan Ini'!$DH:$DH,'Area-Cabang'!$E168,'CWO Bulan Ini'!$CZ:$CZ,'Area-Cabang'!R$41)</f>
        <v>0</v>
      </c>
      <c r="S168" s="56">
        <f>SUMIFS('CWO Bulan Ini'!$DA:$DA,'CWO Bulan Ini'!$DJ:$DJ,'Area-Cabang'!$B168,'CWO Bulan Ini'!$DH:$DH,'Area-Cabang'!$E168,'CWO Bulan Ini'!$CZ:$CZ,'Area-Cabang'!S$41)</f>
        <v>0</v>
      </c>
      <c r="T168" s="56">
        <f>SUMIFS('CWO Bulan Ini'!$DA:$DA,'CWO Bulan Ini'!$DJ:$DJ,'Area-Cabang'!$B168,'CWO Bulan Ini'!$DH:$DH,'Area-Cabang'!$E168,'CWO Bulan Ini'!$CZ:$CZ,'Area-Cabang'!T$41)</f>
        <v>0</v>
      </c>
      <c r="U168" s="56">
        <f>SUMIFS('CWO Bulan Ini'!$DA:$DA,'CWO Bulan Ini'!$DJ:$DJ,'Area-Cabang'!$B168,'CWO Bulan Ini'!$DH:$DH,'Area-Cabang'!$E168,'CWO Bulan Ini'!$CZ:$CZ,'Area-Cabang'!U$41)</f>
        <v>0</v>
      </c>
      <c r="V168" s="56">
        <f>SUMIFS('CWO Bulan Ini'!$DA:$DA,'CWO Bulan Ini'!$DJ:$DJ,'Area-Cabang'!$B168,'CWO Bulan Ini'!$DH:$DH,'Area-Cabang'!$E168,'CWO Bulan Ini'!$CZ:$CZ,'Area-Cabang'!V$41)</f>
        <v>0</v>
      </c>
      <c r="W168" s="56">
        <f>SUMIFS('CWO Bulan Ini'!$DA:$DA,'CWO Bulan Ini'!$DJ:$DJ,'Area-Cabang'!$B168,'CWO Bulan Ini'!$DH:$DH,'Area-Cabang'!$E168,'CWO Bulan Ini'!$CZ:$CZ,'Area-Cabang'!W$41)</f>
        <v>0</v>
      </c>
      <c r="X168" s="56">
        <f>SUMIFS('CWO Bulan Ini'!$DA:$DA,'CWO Bulan Ini'!$DJ:$DJ,'Area-Cabang'!$B168,'CWO Bulan Ini'!$DH:$DH,'Area-Cabang'!$E168,'CWO Bulan Ini'!$CZ:$CZ,'Area-Cabang'!X$41)</f>
        <v>0</v>
      </c>
      <c r="Y168" s="56">
        <f>SUMIFS('CWO Bulan Ini'!$DA:$DA,'CWO Bulan Ini'!$DJ:$DJ,'Area-Cabang'!$B168,'CWO Bulan Ini'!$DH:$DH,'Area-Cabang'!$E168,'CWO Bulan Ini'!$CZ:$CZ,'Area-Cabang'!Y$41)</f>
        <v>0</v>
      </c>
      <c r="Z168" s="56">
        <f>SUMIFS('CWO Bulan Ini'!$DA:$DA,'CWO Bulan Ini'!$DJ:$DJ,'Area-Cabang'!$B168,'CWO Bulan Ini'!$DH:$DH,'Area-Cabang'!$E168,'CWO Bulan Ini'!$CZ:$CZ,'Area-Cabang'!Z$41)</f>
        <v>0</v>
      </c>
      <c r="AA168" s="56">
        <f>SUMIFS('CWO Bulan Ini'!$DA:$DA,'CWO Bulan Ini'!$DJ:$DJ,'Area-Cabang'!$B168,'CWO Bulan Ini'!$DH:$DH,'Area-Cabang'!$E168,'CWO Bulan Ini'!$CZ:$CZ,'Area-Cabang'!AA$41)</f>
        <v>0</v>
      </c>
      <c r="AB168" s="56">
        <f>SUMIFS('CWO Bulan Ini'!$DA:$DA,'CWO Bulan Ini'!$DJ:$DJ,'Area-Cabang'!$B168,'CWO Bulan Ini'!$DH:$DH,'Area-Cabang'!$E168,'CWO Bulan Ini'!$CZ:$CZ,'Area-Cabang'!AB$41)</f>
        <v>0</v>
      </c>
      <c r="AC168" s="56">
        <f>SUMIFS('CWO Bulan Ini'!$DA:$DA,'CWO Bulan Ini'!$DJ:$DJ,'Area-Cabang'!$B168,'CWO Bulan Ini'!$DH:$DH,'Area-Cabang'!$E168,'CWO Bulan Ini'!$CZ:$CZ,'Area-Cabang'!AC$41)</f>
        <v>0</v>
      </c>
      <c r="AD168" s="56">
        <f>SUMIFS('CWO Bulan Ini'!$DA:$DA,'CWO Bulan Ini'!$DJ:$DJ,'Area-Cabang'!$B168,'CWO Bulan Ini'!$DH:$DH,'Area-Cabang'!$E168,'CWO Bulan Ini'!$CZ:$CZ,'Area-Cabang'!AD$41)</f>
        <v>0</v>
      </c>
      <c r="AE168" s="56">
        <f>SUMIFS('CWO Bulan Ini'!$DA:$DA,'CWO Bulan Ini'!$DJ:$DJ,'Area-Cabang'!$B168,'CWO Bulan Ini'!$DH:$DH,'Area-Cabang'!$E168,'CWO Bulan Ini'!$CZ:$CZ,'Area-Cabang'!AE$41)</f>
        <v>0</v>
      </c>
      <c r="AF168" s="56">
        <f>SUMIFS('CWO Bulan Ini'!$DA:$DA,'CWO Bulan Ini'!$DJ:$DJ,'Area-Cabang'!$B168,'CWO Bulan Ini'!$DH:$DH,'Area-Cabang'!$E168,'CWO Bulan Ini'!$CZ:$CZ,'Area-Cabang'!AF$41)</f>
        <v>0</v>
      </c>
      <c r="AG168" s="56">
        <f>SUMIFS('CWO Bulan Ini'!$DA:$DA,'CWO Bulan Ini'!$DJ:$DJ,'Area-Cabang'!$B168,'CWO Bulan Ini'!$DH:$DH,'Area-Cabang'!$E168,'CWO Bulan Ini'!$CZ:$CZ,'Area-Cabang'!AG$41)</f>
        <v>0</v>
      </c>
      <c r="AH168" s="56">
        <f>SUMIFS('CWO Bulan Ini'!$DA:$DA,'CWO Bulan Ini'!$DJ:$DJ,'Area-Cabang'!$B168,'CWO Bulan Ini'!$DH:$DH,'Area-Cabang'!$E168,'CWO Bulan Ini'!$CZ:$CZ,'Area-Cabang'!AH$41)</f>
        <v>0</v>
      </c>
      <c r="AI168" s="56">
        <f>SUMIFS('CWO Bulan Ini'!$DA:$DA,'CWO Bulan Ini'!$DJ:$DJ,'Area-Cabang'!$B168,'CWO Bulan Ini'!$DH:$DH,'Area-Cabang'!$E168,'CWO Bulan Ini'!$CZ:$CZ,'Area-Cabang'!AI$41)</f>
        <v>0</v>
      </c>
      <c r="AJ168" s="56">
        <f>SUMIFS('CWO Bulan Ini'!$DA:$DA,'CWO Bulan Ini'!$DJ:$DJ,'Area-Cabang'!$B168,'CWO Bulan Ini'!$DH:$DH,'Area-Cabang'!$E168,'CWO Bulan Ini'!$CZ:$CZ,'Area-Cabang'!AJ$41)</f>
        <v>0</v>
      </c>
      <c r="AK168" s="55">
        <f>SUMIFS('CWO Bulan Ini'!$DD:$DD,'CWO Bulan Ini'!$DJ:$DJ,'Area-Cabang'!$B168,'CWO Bulan Ini'!$DH:$DH,'Area-Cabang'!$E168,'CWO Bulan Ini'!$CZ:$CZ,'Area-Cabang'!AK$41)</f>
        <v>0</v>
      </c>
      <c r="AL168" s="56">
        <f>SUMIFS('CWO Bulan Ini'!$DD:$DD,'CWO Bulan Ini'!$DJ:$DJ,'Area-Cabang'!$B168,'CWO Bulan Ini'!$DH:$DH,'Area-Cabang'!$E168,'CWO Bulan Ini'!$CZ:$CZ,'Area-Cabang'!AL$41)</f>
        <v>0</v>
      </c>
      <c r="AM168" s="56">
        <f>SUMIFS('CWO Bulan Ini'!$DD:$DD,'CWO Bulan Ini'!$DJ:$DJ,'Area-Cabang'!$B168,'CWO Bulan Ini'!$DH:$DH,'Area-Cabang'!$E168,'CWO Bulan Ini'!$CZ:$CZ,'Area-Cabang'!AM$41)</f>
        <v>0</v>
      </c>
      <c r="AN168" s="56">
        <f>SUMIFS('CWO Bulan Ini'!$DD:$DD,'CWO Bulan Ini'!$DJ:$DJ,'Area-Cabang'!$B168,'CWO Bulan Ini'!$DH:$DH,'Area-Cabang'!$E168,'CWO Bulan Ini'!$CZ:$CZ,'Area-Cabang'!AN$41)</f>
        <v>120.90417939</v>
      </c>
      <c r="AO168" s="56">
        <f>SUMIFS('CWO Bulan Ini'!$DD:$DD,'CWO Bulan Ini'!$DJ:$DJ,'Area-Cabang'!$B168,'CWO Bulan Ini'!$DH:$DH,'Area-Cabang'!$E168,'CWO Bulan Ini'!$CZ:$CZ,'Area-Cabang'!AO$41)</f>
        <v>0</v>
      </c>
      <c r="AP168" s="56">
        <f>SUMIFS('CWO Bulan Ini'!$DD:$DD,'CWO Bulan Ini'!$DJ:$DJ,'Area-Cabang'!$B168,'CWO Bulan Ini'!$DH:$DH,'Area-Cabang'!$E168,'CWO Bulan Ini'!$CZ:$CZ,'Area-Cabang'!AP$41)</f>
        <v>0</v>
      </c>
      <c r="AQ168" s="56">
        <f>SUMIFS('CWO Bulan Ini'!$DD:$DD,'CWO Bulan Ini'!$DJ:$DJ,'Area-Cabang'!$B168,'CWO Bulan Ini'!$DH:$DH,'Area-Cabang'!$E168,'CWO Bulan Ini'!$CZ:$CZ,'Area-Cabang'!AQ$41)</f>
        <v>0</v>
      </c>
      <c r="AR168" s="56">
        <f>SUMIFS('CWO Bulan Ini'!$DD:$DD,'CWO Bulan Ini'!$DJ:$DJ,'Area-Cabang'!$B168,'CWO Bulan Ini'!$DH:$DH,'Area-Cabang'!$E168,'CWO Bulan Ini'!$CZ:$CZ,'Area-Cabang'!AR$41)</f>
        <v>0</v>
      </c>
      <c r="AS168" s="56">
        <f>SUMIFS('CWO Bulan Ini'!$DD:$DD,'CWO Bulan Ini'!$DJ:$DJ,'Area-Cabang'!$B168,'CWO Bulan Ini'!$DH:$DH,'Area-Cabang'!$E168,'CWO Bulan Ini'!$CZ:$CZ,'Area-Cabang'!AS$41)</f>
        <v>0</v>
      </c>
      <c r="AT168" s="56">
        <f>SUMIFS('CWO Bulan Ini'!$DD:$DD,'CWO Bulan Ini'!$DJ:$DJ,'Area-Cabang'!$B168,'CWO Bulan Ini'!$DH:$DH,'Area-Cabang'!$E168,'CWO Bulan Ini'!$CZ:$CZ,'Area-Cabang'!AT$41)</f>
        <v>0</v>
      </c>
      <c r="AU168" s="56">
        <f>SUMIFS('CWO Bulan Ini'!$DD:$DD,'CWO Bulan Ini'!$DJ:$DJ,'Area-Cabang'!$B168,'CWO Bulan Ini'!$DH:$DH,'Area-Cabang'!$E168,'CWO Bulan Ini'!$CZ:$CZ,'Area-Cabang'!AU$41)</f>
        <v>0</v>
      </c>
      <c r="AV168" s="56">
        <f>SUMIFS('CWO Bulan Ini'!$DD:$DD,'CWO Bulan Ini'!$DJ:$DJ,'Area-Cabang'!$B168,'CWO Bulan Ini'!$DH:$DH,'Area-Cabang'!$E168,'CWO Bulan Ini'!$CZ:$CZ,'Area-Cabang'!AV$41)</f>
        <v>0</v>
      </c>
      <c r="AW168" s="56">
        <f>SUMIFS('CWO Bulan Ini'!$DD:$DD,'CWO Bulan Ini'!$DJ:$DJ,'Area-Cabang'!$B168,'CWO Bulan Ini'!$DH:$DH,'Area-Cabang'!$E168,'CWO Bulan Ini'!$CZ:$CZ,'Area-Cabang'!AW$41)</f>
        <v>0</v>
      </c>
      <c r="AX168" s="56">
        <f>SUMIFS('CWO Bulan Ini'!$DD:$DD,'CWO Bulan Ini'!$DJ:$DJ,'Area-Cabang'!$B168,'CWO Bulan Ini'!$DH:$DH,'Area-Cabang'!$E168,'CWO Bulan Ini'!$CZ:$CZ,'Area-Cabang'!AX$41)</f>
        <v>0</v>
      </c>
      <c r="AY168" s="56">
        <f>SUMIFS('CWO Bulan Ini'!$DD:$DD,'CWO Bulan Ini'!$DJ:$DJ,'Area-Cabang'!$B168,'CWO Bulan Ini'!$DH:$DH,'Area-Cabang'!$E168,'CWO Bulan Ini'!$CZ:$CZ,'Area-Cabang'!AY$41)</f>
        <v>0</v>
      </c>
      <c r="AZ168" s="56">
        <f>SUMIFS('CWO Bulan Ini'!$DD:$DD,'CWO Bulan Ini'!$DJ:$DJ,'Area-Cabang'!$B168,'CWO Bulan Ini'!$DH:$DH,'Area-Cabang'!$E168,'CWO Bulan Ini'!$CZ:$CZ,'Area-Cabang'!AZ$41)</f>
        <v>0</v>
      </c>
      <c r="BA168" s="56">
        <f>SUMIFS('CWO Bulan Ini'!$DD:$DD,'CWO Bulan Ini'!$DJ:$DJ,'Area-Cabang'!$B168,'CWO Bulan Ini'!$DH:$DH,'Area-Cabang'!$E168,'CWO Bulan Ini'!$CZ:$CZ,'Area-Cabang'!BA$41)</f>
        <v>0</v>
      </c>
      <c r="BB168" s="56">
        <f>SUMIFS('CWO Bulan Ini'!$DD:$DD,'CWO Bulan Ini'!$DJ:$DJ,'Area-Cabang'!$B168,'CWO Bulan Ini'!$DH:$DH,'Area-Cabang'!$E168,'CWO Bulan Ini'!$CZ:$CZ,'Area-Cabang'!BB$41)</f>
        <v>0</v>
      </c>
      <c r="BC168" s="56">
        <f>SUMIFS('CWO Bulan Ini'!$DD:$DD,'CWO Bulan Ini'!$DJ:$DJ,'Area-Cabang'!$B168,'CWO Bulan Ini'!$DH:$DH,'Area-Cabang'!$E168,'CWO Bulan Ini'!$CZ:$CZ,'Area-Cabang'!BC$41)</f>
        <v>0</v>
      </c>
      <c r="BD168" s="56">
        <f>SUMIFS('CWO Bulan Ini'!$DD:$DD,'CWO Bulan Ini'!$DJ:$DJ,'Area-Cabang'!$B168,'CWO Bulan Ini'!$DH:$DH,'Area-Cabang'!$E168,'CWO Bulan Ini'!$CZ:$CZ,'Area-Cabang'!BD$41)</f>
        <v>0</v>
      </c>
      <c r="BE168" s="56">
        <f>SUMIFS('CWO Bulan Ini'!$DD:$DD,'CWO Bulan Ini'!$DJ:$DJ,'Area-Cabang'!$B168,'CWO Bulan Ini'!$DH:$DH,'Area-Cabang'!$E168,'CWO Bulan Ini'!$CZ:$CZ,'Area-Cabang'!BE$41)</f>
        <v>0</v>
      </c>
      <c r="BF168" s="56">
        <f>SUMIFS('CWO Bulan Ini'!$DD:$DD,'CWO Bulan Ini'!$DJ:$DJ,'Area-Cabang'!$B168,'CWO Bulan Ini'!$DH:$DH,'Area-Cabang'!$E168,'CWO Bulan Ini'!$CZ:$CZ,'Area-Cabang'!BF$41)</f>
        <v>0</v>
      </c>
      <c r="BG168" s="56">
        <f>SUMIFS('CWO Bulan Ini'!$DD:$DD,'CWO Bulan Ini'!$DJ:$DJ,'Area-Cabang'!$B168,'CWO Bulan Ini'!$DH:$DH,'Area-Cabang'!$E168,'CWO Bulan Ini'!$CZ:$CZ,'Area-Cabang'!BG$41)</f>
        <v>0</v>
      </c>
      <c r="BH168" s="56">
        <f>SUMIFS('CWO Bulan Ini'!$DD:$DD,'CWO Bulan Ini'!$DJ:$DJ,'Area-Cabang'!$B168,'CWO Bulan Ini'!$DH:$DH,'Area-Cabang'!$E168,'CWO Bulan Ini'!$CZ:$CZ,'Area-Cabang'!BH$41)</f>
        <v>0</v>
      </c>
      <c r="BI168" s="56">
        <f>SUMIFS('CWO Bulan Ini'!$DD:$DD,'CWO Bulan Ini'!$DJ:$DJ,'Area-Cabang'!$B168,'CWO Bulan Ini'!$DH:$DH,'Area-Cabang'!$E168,'CWO Bulan Ini'!$CZ:$CZ,'Area-Cabang'!BI$41)</f>
        <v>0</v>
      </c>
      <c r="BJ168" s="56">
        <f>SUMIFS('CWO Bulan Ini'!$DD:$DD,'CWO Bulan Ini'!$DJ:$DJ,'Area-Cabang'!$B168,'CWO Bulan Ini'!$DH:$DH,'Area-Cabang'!$E168,'CWO Bulan Ini'!$CZ:$CZ,'Area-Cabang'!BJ$41)</f>
        <v>0</v>
      </c>
      <c r="BK168" s="56">
        <f>SUMIFS('CWO Bulan Ini'!$DD:$DD,'CWO Bulan Ini'!$DJ:$DJ,'Area-Cabang'!$B168,'CWO Bulan Ini'!$DH:$DH,'Area-Cabang'!$E168,'CWO Bulan Ini'!$CZ:$CZ,'Area-Cabang'!BK$41)</f>
        <v>0</v>
      </c>
      <c r="BL168" s="56">
        <f>SUMIFS('CWO Bulan Ini'!$DD:$DD,'CWO Bulan Ini'!$DJ:$DJ,'Area-Cabang'!$B168,'CWO Bulan Ini'!$DH:$DH,'Area-Cabang'!$E168,'CWO Bulan Ini'!$CZ:$CZ,'Area-Cabang'!BL$41)</f>
        <v>0</v>
      </c>
      <c r="BM168" s="56">
        <f>SUMIFS('CWO Bulan Ini'!$DD:$DD,'CWO Bulan Ini'!$DJ:$DJ,'Area-Cabang'!$B168,'CWO Bulan Ini'!$DH:$DH,'Area-Cabang'!$E168,'CWO Bulan Ini'!$CZ:$CZ,'Area-Cabang'!BM$41)</f>
        <v>0</v>
      </c>
      <c r="BN168" s="56">
        <f>SUMIFS('CWO Bulan Ini'!$DD:$DD,'CWO Bulan Ini'!$DJ:$DJ,'Area-Cabang'!$B168,'CWO Bulan Ini'!$DH:$DH,'Area-Cabang'!$E168,'CWO Bulan Ini'!$CZ:$CZ,'Area-Cabang'!BN$41)</f>
        <v>0</v>
      </c>
      <c r="BO168" s="57">
        <f>SUMIFS('CWO Bulan Ini'!$DD:$DD,'CWO Bulan Ini'!$DJ:$DJ,'Area-Cabang'!$B168,'CWO Bulan Ini'!$DH:$DH,'Area-Cabang'!$E168,'CWO Bulan Ini'!$CZ:$CZ,'Area-Cabang'!BO$41)</f>
        <v>0</v>
      </c>
      <c r="BP168" s="55">
        <f>SUMIFS('CWO Bulan Ini'!$DC:$DC,'CWO Bulan Ini'!$DJ:$DJ,'Area-Cabang'!$B168,'CWO Bulan Ini'!$DH:$DH,'Area-Cabang'!$E168,'CWO Bulan Ini'!$CZ:$CZ,'Area-Cabang'!BP$41)</f>
        <v>0</v>
      </c>
      <c r="BQ168" s="56">
        <f>SUMIFS('CWO Bulan Ini'!$DC:$DC,'CWO Bulan Ini'!$DJ:$DJ,'Area-Cabang'!$B168,'CWO Bulan Ini'!$DH:$DH,'Area-Cabang'!$E168,'CWO Bulan Ini'!$CZ:$CZ,'Area-Cabang'!BQ$41)</f>
        <v>0</v>
      </c>
      <c r="BR168" s="56">
        <f>SUMIFS('CWO Bulan Ini'!$DC:$DC,'CWO Bulan Ini'!$DJ:$DJ,'Area-Cabang'!$B168,'CWO Bulan Ini'!$DH:$DH,'Area-Cabang'!$E168,'CWO Bulan Ini'!$CZ:$CZ,'Area-Cabang'!BR$41)</f>
        <v>0</v>
      </c>
      <c r="BS168" s="56">
        <f>SUMIFS('CWO Bulan Ini'!$DC:$DC,'CWO Bulan Ini'!$DJ:$DJ,'Area-Cabang'!$B168,'CWO Bulan Ini'!$DH:$DH,'Area-Cabang'!$E168,'CWO Bulan Ini'!$CZ:$CZ,'Area-Cabang'!BS$41)</f>
        <v>0</v>
      </c>
      <c r="BT168" s="56">
        <f>SUMIFS('CWO Bulan Ini'!$DC:$DC,'CWO Bulan Ini'!$DJ:$DJ,'Area-Cabang'!$B168,'CWO Bulan Ini'!$DH:$DH,'Area-Cabang'!$E168,'CWO Bulan Ini'!$CZ:$CZ,'Area-Cabang'!BT$41)</f>
        <v>0</v>
      </c>
      <c r="BU168" s="56">
        <f>SUMIFS('CWO Bulan Ini'!$DC:$DC,'CWO Bulan Ini'!$DJ:$DJ,'Area-Cabang'!$B168,'CWO Bulan Ini'!$DH:$DH,'Area-Cabang'!$E168,'CWO Bulan Ini'!$CZ:$CZ,'Area-Cabang'!BU$41)</f>
        <v>0</v>
      </c>
      <c r="BV168" s="56">
        <f>SUMIFS('CWO Bulan Ini'!$DC:$DC,'CWO Bulan Ini'!$DJ:$DJ,'Area-Cabang'!$B168,'CWO Bulan Ini'!$DH:$DH,'Area-Cabang'!$E168,'CWO Bulan Ini'!$CZ:$CZ,'Area-Cabang'!BV$41)</f>
        <v>0</v>
      </c>
      <c r="BW168" s="56">
        <f>SUMIFS('CWO Bulan Ini'!$DC:$DC,'CWO Bulan Ini'!$DJ:$DJ,'Area-Cabang'!$B168,'CWO Bulan Ini'!$DH:$DH,'Area-Cabang'!$E168,'CWO Bulan Ini'!$CZ:$CZ,'Area-Cabang'!BW$41)</f>
        <v>0</v>
      </c>
      <c r="BX168" s="56">
        <f>SUMIFS('CWO Bulan Ini'!$DC:$DC,'CWO Bulan Ini'!$DJ:$DJ,'Area-Cabang'!$B168,'CWO Bulan Ini'!$DH:$DH,'Area-Cabang'!$E168,'CWO Bulan Ini'!$CZ:$CZ,'Area-Cabang'!BX$41)</f>
        <v>0</v>
      </c>
      <c r="BY168" s="56">
        <f>SUMIFS('CWO Bulan Ini'!$DC:$DC,'CWO Bulan Ini'!$DJ:$DJ,'Area-Cabang'!$B168,'CWO Bulan Ini'!$DH:$DH,'Area-Cabang'!$E168,'CWO Bulan Ini'!$CZ:$CZ,'Area-Cabang'!BY$41)</f>
        <v>0</v>
      </c>
      <c r="BZ168" s="56">
        <f>SUMIFS('CWO Bulan Ini'!$DC:$DC,'CWO Bulan Ini'!$DJ:$DJ,'Area-Cabang'!$B168,'CWO Bulan Ini'!$DH:$DH,'Area-Cabang'!$E168,'CWO Bulan Ini'!$CZ:$CZ,'Area-Cabang'!BZ$41)</f>
        <v>0</v>
      </c>
      <c r="CA168" s="56">
        <f>SUMIFS('CWO Bulan Ini'!$DC:$DC,'CWO Bulan Ini'!$DJ:$DJ,'Area-Cabang'!$B168,'CWO Bulan Ini'!$DH:$DH,'Area-Cabang'!$E168,'CWO Bulan Ini'!$CZ:$CZ,'Area-Cabang'!CA$41)</f>
        <v>0</v>
      </c>
      <c r="CB168" s="56">
        <f>SUMIFS('CWO Bulan Ini'!$DC:$DC,'CWO Bulan Ini'!$DJ:$DJ,'Area-Cabang'!$B168,'CWO Bulan Ini'!$DH:$DH,'Area-Cabang'!$E168,'CWO Bulan Ini'!$CZ:$CZ,'Area-Cabang'!CB$41)</f>
        <v>0</v>
      </c>
      <c r="CC168" s="56">
        <f>SUMIFS('CWO Bulan Ini'!$DC:$DC,'CWO Bulan Ini'!$DJ:$DJ,'Area-Cabang'!$B168,'CWO Bulan Ini'!$DH:$DH,'Area-Cabang'!$E168,'CWO Bulan Ini'!$CZ:$CZ,'Area-Cabang'!CC$41)</f>
        <v>0</v>
      </c>
      <c r="CD168" s="56">
        <f>SUMIFS('CWO Bulan Ini'!$DC:$DC,'CWO Bulan Ini'!$DJ:$DJ,'Area-Cabang'!$B168,'CWO Bulan Ini'!$DH:$DH,'Area-Cabang'!$E168,'CWO Bulan Ini'!$CZ:$CZ,'Area-Cabang'!CD$41)</f>
        <v>0</v>
      </c>
      <c r="CE168" s="56">
        <f>SUMIFS('CWO Bulan Ini'!$DC:$DC,'CWO Bulan Ini'!$DJ:$DJ,'Area-Cabang'!$B168,'CWO Bulan Ini'!$DH:$DH,'Area-Cabang'!$E168,'CWO Bulan Ini'!$CZ:$CZ,'Area-Cabang'!CE$41)</f>
        <v>0</v>
      </c>
      <c r="CF168" s="56">
        <f>SUMIFS('CWO Bulan Ini'!$DC:$DC,'CWO Bulan Ini'!$DJ:$DJ,'Area-Cabang'!$B168,'CWO Bulan Ini'!$DH:$DH,'Area-Cabang'!$E168,'CWO Bulan Ini'!$CZ:$CZ,'Area-Cabang'!CF$41)</f>
        <v>0</v>
      </c>
      <c r="CG168" s="56">
        <f>SUMIFS('CWO Bulan Ini'!$DC:$DC,'CWO Bulan Ini'!$DJ:$DJ,'Area-Cabang'!$B168,'CWO Bulan Ini'!$DH:$DH,'Area-Cabang'!$E168,'CWO Bulan Ini'!$CZ:$CZ,'Area-Cabang'!CG$41)</f>
        <v>0</v>
      </c>
      <c r="CH168" s="56">
        <f>SUMIFS('CWO Bulan Ini'!$DC:$DC,'CWO Bulan Ini'!$DJ:$DJ,'Area-Cabang'!$B168,'CWO Bulan Ini'!$DH:$DH,'Area-Cabang'!$E168,'CWO Bulan Ini'!$CZ:$CZ,'Area-Cabang'!CH$41)</f>
        <v>0</v>
      </c>
      <c r="CI168" s="56">
        <f>SUMIFS('CWO Bulan Ini'!$DC:$DC,'CWO Bulan Ini'!$DJ:$DJ,'Area-Cabang'!$B168,'CWO Bulan Ini'!$DH:$DH,'Area-Cabang'!$E168,'CWO Bulan Ini'!$CZ:$CZ,'Area-Cabang'!CI$41)</f>
        <v>0</v>
      </c>
      <c r="CJ168" s="56">
        <f>SUMIFS('CWO Bulan Ini'!$DC:$DC,'CWO Bulan Ini'!$DJ:$DJ,'Area-Cabang'!$B168,'CWO Bulan Ini'!$DH:$DH,'Area-Cabang'!$E168,'CWO Bulan Ini'!$CZ:$CZ,'Area-Cabang'!CJ$41)</f>
        <v>0</v>
      </c>
      <c r="CK168" s="56">
        <f>SUMIFS('CWO Bulan Ini'!$DC:$DC,'CWO Bulan Ini'!$DJ:$DJ,'Area-Cabang'!$B168,'CWO Bulan Ini'!$DH:$DH,'Area-Cabang'!$E168,'CWO Bulan Ini'!$CZ:$CZ,'Area-Cabang'!CK$41)</f>
        <v>0</v>
      </c>
      <c r="CL168" s="56">
        <f>SUMIFS('CWO Bulan Ini'!$DC:$DC,'CWO Bulan Ini'!$DJ:$DJ,'Area-Cabang'!$B168,'CWO Bulan Ini'!$DH:$DH,'Area-Cabang'!$E168,'CWO Bulan Ini'!$CZ:$CZ,'Area-Cabang'!CL$41)</f>
        <v>0</v>
      </c>
      <c r="CM168" s="56">
        <f>SUMIFS('CWO Bulan Ini'!$DC:$DC,'CWO Bulan Ini'!$DJ:$DJ,'Area-Cabang'!$B168,'CWO Bulan Ini'!$DH:$DH,'Area-Cabang'!$E168,'CWO Bulan Ini'!$CZ:$CZ,'Area-Cabang'!CM$41)</f>
        <v>0</v>
      </c>
      <c r="CN168" s="56">
        <f>SUMIFS('CWO Bulan Ini'!$DC:$DC,'CWO Bulan Ini'!$DJ:$DJ,'Area-Cabang'!$B168,'CWO Bulan Ini'!$DH:$DH,'Area-Cabang'!$E168,'CWO Bulan Ini'!$CZ:$CZ,'Area-Cabang'!CN$41)</f>
        <v>0</v>
      </c>
      <c r="CO168" s="56">
        <f>SUMIFS('CWO Bulan Ini'!$DC:$DC,'CWO Bulan Ini'!$DJ:$DJ,'Area-Cabang'!$B168,'CWO Bulan Ini'!$DH:$DH,'Area-Cabang'!$E168,'CWO Bulan Ini'!$CZ:$CZ,'Area-Cabang'!CO$41)</f>
        <v>0</v>
      </c>
      <c r="CP168" s="56">
        <f>SUMIFS('CWO Bulan Ini'!$DC:$DC,'CWO Bulan Ini'!$DJ:$DJ,'Area-Cabang'!$B168,'CWO Bulan Ini'!$DH:$DH,'Area-Cabang'!$E168,'CWO Bulan Ini'!$CZ:$CZ,'Area-Cabang'!CP$41)</f>
        <v>0</v>
      </c>
      <c r="CQ168" s="56">
        <f>SUMIFS('CWO Bulan Ini'!$DC:$DC,'CWO Bulan Ini'!$DJ:$DJ,'Area-Cabang'!$B168,'CWO Bulan Ini'!$DH:$DH,'Area-Cabang'!$E168,'CWO Bulan Ini'!$CZ:$CZ,'Area-Cabang'!CQ$41)</f>
        <v>0</v>
      </c>
      <c r="CR168" s="56">
        <f>SUMIFS('CWO Bulan Ini'!$DC:$DC,'CWO Bulan Ini'!$DJ:$DJ,'Area-Cabang'!$B168,'CWO Bulan Ini'!$DH:$DH,'Area-Cabang'!$E168,'CWO Bulan Ini'!$CZ:$CZ,'Area-Cabang'!CR$41)</f>
        <v>0</v>
      </c>
      <c r="CS168" s="56">
        <f>SUMIFS('CWO Bulan Ini'!$DC:$DC,'CWO Bulan Ini'!$DJ:$DJ,'Area-Cabang'!$B168,'CWO Bulan Ini'!$DH:$DH,'Area-Cabang'!$E168,'CWO Bulan Ini'!$CZ:$CZ,'Area-Cabang'!CS$41)</f>
        <v>0</v>
      </c>
      <c r="CT168" s="57">
        <f>SUMIFS('CWO Bulan Ini'!$DC:$DC,'CWO Bulan Ini'!$DJ:$DJ,'Area-Cabang'!$B168,'CWO Bulan Ini'!$DH:$DH,'Area-Cabang'!$E168,'CWO Bulan Ini'!$CZ:$CZ,'Area-Cabang'!CT$41)</f>
        <v>0</v>
      </c>
      <c r="CV168" s="97">
        <f t="shared" ref="CV168:CV169" si="5307">SUM(F168:AJ168)</f>
        <v>219.79219230000001</v>
      </c>
      <c r="CW168" s="98">
        <f t="shared" ref="CW168:CW169" si="5308">SUM(AK168:BO168)</f>
        <v>120.90417939</v>
      </c>
      <c r="CX168" s="98">
        <f t="shared" ref="CX168:CX169" si="5309">SUM(BP168:CT168)</f>
        <v>0</v>
      </c>
      <c r="CY168" s="98">
        <f t="shared" ref="CY168:CY169" si="5310">CV168-CW168-CX168</f>
        <v>98.888012910000015</v>
      </c>
      <c r="CZ168" s="105">
        <f t="shared" ref="CZ168:CZ169" si="5311">CY168+CW168</f>
        <v>219.79219230000001</v>
      </c>
    </row>
    <row r="169" spans="1:104" ht="15" customHeight="1" x14ac:dyDescent="0.25">
      <c r="A169" s="58" t="s">
        <v>576</v>
      </c>
      <c r="B169" s="58" t="s">
        <v>250</v>
      </c>
      <c r="C169" s="247"/>
      <c r="D169" s="244"/>
      <c r="E169" s="40" t="s">
        <v>349</v>
      </c>
      <c r="F169" s="41">
        <f>SUMIFS('CWO Bulan Ini'!$DA:$DA,'CWO Bulan Ini'!$DJ:$DJ,'Area-Cabang'!$B169,'CWO Bulan Ini'!$DH:$DH,'Area-Cabang'!$E169,'CWO Bulan Ini'!$CZ:$CZ,'Area-Cabang'!F$41)</f>
        <v>0</v>
      </c>
      <c r="G169" s="42">
        <f>SUMIFS('CWO Bulan Ini'!$DA:$DA,'CWO Bulan Ini'!$DJ:$DJ,'Area-Cabang'!$B169,'CWO Bulan Ini'!$DH:$DH,'Area-Cabang'!$E169,'CWO Bulan Ini'!$CZ:$CZ,'Area-Cabang'!G$41)</f>
        <v>0</v>
      </c>
      <c r="H169" s="42">
        <f>SUMIFS('CWO Bulan Ini'!$DA:$DA,'CWO Bulan Ini'!$DJ:$DJ,'Area-Cabang'!$B169,'CWO Bulan Ini'!$DH:$DH,'Area-Cabang'!$E169,'CWO Bulan Ini'!$CZ:$CZ,'Area-Cabang'!H$41)</f>
        <v>0</v>
      </c>
      <c r="I169" s="42">
        <f>SUMIFS('CWO Bulan Ini'!$DA:$DA,'CWO Bulan Ini'!$DJ:$DJ,'Area-Cabang'!$B169,'CWO Bulan Ini'!$DH:$DH,'Area-Cabang'!$E169,'CWO Bulan Ini'!$CZ:$CZ,'Area-Cabang'!I$41)</f>
        <v>0</v>
      </c>
      <c r="J169" s="42">
        <f>SUMIFS('CWO Bulan Ini'!$DA:$DA,'CWO Bulan Ini'!$DJ:$DJ,'Area-Cabang'!$B169,'CWO Bulan Ini'!$DH:$DH,'Area-Cabang'!$E169,'CWO Bulan Ini'!$CZ:$CZ,'Area-Cabang'!J$41)</f>
        <v>0</v>
      </c>
      <c r="K169" s="42">
        <f>SUMIFS('CWO Bulan Ini'!$DA:$DA,'CWO Bulan Ini'!$DJ:$DJ,'Area-Cabang'!$B169,'CWO Bulan Ini'!$DH:$DH,'Area-Cabang'!$E169,'CWO Bulan Ini'!$CZ:$CZ,'Area-Cabang'!K$41)</f>
        <v>0</v>
      </c>
      <c r="L169" s="42">
        <f>SUMIFS('CWO Bulan Ini'!$DA:$DA,'CWO Bulan Ini'!$DJ:$DJ,'Area-Cabang'!$B169,'CWO Bulan Ini'!$DH:$DH,'Area-Cabang'!$E169,'CWO Bulan Ini'!$CZ:$CZ,'Area-Cabang'!L$41)</f>
        <v>0</v>
      </c>
      <c r="M169" s="42">
        <f>SUMIFS('CWO Bulan Ini'!$DA:$DA,'CWO Bulan Ini'!$DJ:$DJ,'Area-Cabang'!$B169,'CWO Bulan Ini'!$DH:$DH,'Area-Cabang'!$E169,'CWO Bulan Ini'!$CZ:$CZ,'Area-Cabang'!M$41)</f>
        <v>0</v>
      </c>
      <c r="N169" s="42">
        <f>SUMIFS('CWO Bulan Ini'!$DA:$DA,'CWO Bulan Ini'!$DJ:$DJ,'Area-Cabang'!$B169,'CWO Bulan Ini'!$DH:$DH,'Area-Cabang'!$E169,'CWO Bulan Ini'!$CZ:$CZ,'Area-Cabang'!N$41)</f>
        <v>0</v>
      </c>
      <c r="O169" s="42">
        <f>SUMIFS('CWO Bulan Ini'!$DA:$DA,'CWO Bulan Ini'!$DJ:$DJ,'Area-Cabang'!$B169,'CWO Bulan Ini'!$DH:$DH,'Area-Cabang'!$E169,'CWO Bulan Ini'!$CZ:$CZ,'Area-Cabang'!O$41)</f>
        <v>0</v>
      </c>
      <c r="P169" s="42">
        <f>SUMIFS('CWO Bulan Ini'!$DA:$DA,'CWO Bulan Ini'!$DJ:$DJ,'Area-Cabang'!$B169,'CWO Bulan Ini'!$DH:$DH,'Area-Cabang'!$E169,'CWO Bulan Ini'!$CZ:$CZ,'Area-Cabang'!P$41)</f>
        <v>0</v>
      </c>
      <c r="Q169" s="42">
        <f>SUMIFS('CWO Bulan Ini'!$DA:$DA,'CWO Bulan Ini'!$DJ:$DJ,'Area-Cabang'!$B169,'CWO Bulan Ini'!$DH:$DH,'Area-Cabang'!$E169,'CWO Bulan Ini'!$CZ:$CZ,'Area-Cabang'!Q$41)</f>
        <v>0</v>
      </c>
      <c r="R169" s="42">
        <f>SUMIFS('CWO Bulan Ini'!$DA:$DA,'CWO Bulan Ini'!$DJ:$DJ,'Area-Cabang'!$B169,'CWO Bulan Ini'!$DH:$DH,'Area-Cabang'!$E169,'CWO Bulan Ini'!$CZ:$CZ,'Area-Cabang'!R$41)</f>
        <v>0</v>
      </c>
      <c r="S169" s="42">
        <f>SUMIFS('CWO Bulan Ini'!$DA:$DA,'CWO Bulan Ini'!$DJ:$DJ,'Area-Cabang'!$B169,'CWO Bulan Ini'!$DH:$DH,'Area-Cabang'!$E169,'CWO Bulan Ini'!$CZ:$CZ,'Area-Cabang'!S$41)</f>
        <v>0</v>
      </c>
      <c r="T169" s="42">
        <f>SUMIFS('CWO Bulan Ini'!$DA:$DA,'CWO Bulan Ini'!$DJ:$DJ,'Area-Cabang'!$B169,'CWO Bulan Ini'!$DH:$DH,'Area-Cabang'!$E169,'CWO Bulan Ini'!$CZ:$CZ,'Area-Cabang'!T$41)</f>
        <v>0</v>
      </c>
      <c r="U169" s="42">
        <f>SUMIFS('CWO Bulan Ini'!$DA:$DA,'CWO Bulan Ini'!$DJ:$DJ,'Area-Cabang'!$B169,'CWO Bulan Ini'!$DH:$DH,'Area-Cabang'!$E169,'CWO Bulan Ini'!$CZ:$CZ,'Area-Cabang'!U$41)</f>
        <v>0</v>
      </c>
      <c r="V169" s="42">
        <f>SUMIFS('CWO Bulan Ini'!$DA:$DA,'CWO Bulan Ini'!$DJ:$DJ,'Area-Cabang'!$B169,'CWO Bulan Ini'!$DH:$DH,'Area-Cabang'!$E169,'CWO Bulan Ini'!$CZ:$CZ,'Area-Cabang'!V$41)</f>
        <v>0</v>
      </c>
      <c r="W169" s="42">
        <f>SUMIFS('CWO Bulan Ini'!$DA:$DA,'CWO Bulan Ini'!$DJ:$DJ,'Area-Cabang'!$B169,'CWO Bulan Ini'!$DH:$DH,'Area-Cabang'!$E169,'CWO Bulan Ini'!$CZ:$CZ,'Area-Cabang'!W$41)</f>
        <v>0</v>
      </c>
      <c r="X169" s="42">
        <f>SUMIFS('CWO Bulan Ini'!$DA:$DA,'CWO Bulan Ini'!$DJ:$DJ,'Area-Cabang'!$B169,'CWO Bulan Ini'!$DH:$DH,'Area-Cabang'!$E169,'CWO Bulan Ini'!$CZ:$CZ,'Area-Cabang'!X$41)</f>
        <v>0</v>
      </c>
      <c r="Y169" s="42">
        <f>SUMIFS('CWO Bulan Ini'!$DA:$DA,'CWO Bulan Ini'!$DJ:$DJ,'Area-Cabang'!$B169,'CWO Bulan Ini'!$DH:$DH,'Area-Cabang'!$E169,'CWO Bulan Ini'!$CZ:$CZ,'Area-Cabang'!Y$41)</f>
        <v>0</v>
      </c>
      <c r="Z169" s="42">
        <f>SUMIFS('CWO Bulan Ini'!$DA:$DA,'CWO Bulan Ini'!$DJ:$DJ,'Area-Cabang'!$B169,'CWO Bulan Ini'!$DH:$DH,'Area-Cabang'!$E169,'CWO Bulan Ini'!$CZ:$CZ,'Area-Cabang'!Z$41)</f>
        <v>0</v>
      </c>
      <c r="AA169" s="42">
        <f>SUMIFS('CWO Bulan Ini'!$DA:$DA,'CWO Bulan Ini'!$DJ:$DJ,'Area-Cabang'!$B169,'CWO Bulan Ini'!$DH:$DH,'Area-Cabang'!$E169,'CWO Bulan Ini'!$CZ:$CZ,'Area-Cabang'!AA$41)</f>
        <v>0</v>
      </c>
      <c r="AB169" s="42">
        <f>SUMIFS('CWO Bulan Ini'!$DA:$DA,'CWO Bulan Ini'!$DJ:$DJ,'Area-Cabang'!$B169,'CWO Bulan Ini'!$DH:$DH,'Area-Cabang'!$E169,'CWO Bulan Ini'!$CZ:$CZ,'Area-Cabang'!AB$41)</f>
        <v>0</v>
      </c>
      <c r="AC169" s="42">
        <f>SUMIFS('CWO Bulan Ini'!$DA:$DA,'CWO Bulan Ini'!$DJ:$DJ,'Area-Cabang'!$B169,'CWO Bulan Ini'!$DH:$DH,'Area-Cabang'!$E169,'CWO Bulan Ini'!$CZ:$CZ,'Area-Cabang'!AC$41)</f>
        <v>0</v>
      </c>
      <c r="AD169" s="42">
        <f>SUMIFS('CWO Bulan Ini'!$DA:$DA,'CWO Bulan Ini'!$DJ:$DJ,'Area-Cabang'!$B169,'CWO Bulan Ini'!$DH:$DH,'Area-Cabang'!$E169,'CWO Bulan Ini'!$CZ:$CZ,'Area-Cabang'!AD$41)</f>
        <v>0</v>
      </c>
      <c r="AE169" s="42">
        <f>SUMIFS('CWO Bulan Ini'!$DA:$DA,'CWO Bulan Ini'!$DJ:$DJ,'Area-Cabang'!$B169,'CWO Bulan Ini'!$DH:$DH,'Area-Cabang'!$E169,'CWO Bulan Ini'!$CZ:$CZ,'Area-Cabang'!AE$41)</f>
        <v>0</v>
      </c>
      <c r="AF169" s="42">
        <f>SUMIFS('CWO Bulan Ini'!$DA:$DA,'CWO Bulan Ini'!$DJ:$DJ,'Area-Cabang'!$B169,'CWO Bulan Ini'!$DH:$DH,'Area-Cabang'!$E169,'CWO Bulan Ini'!$CZ:$CZ,'Area-Cabang'!AF$41)</f>
        <v>0</v>
      </c>
      <c r="AG169" s="42">
        <f>SUMIFS('CWO Bulan Ini'!$DA:$DA,'CWO Bulan Ini'!$DJ:$DJ,'Area-Cabang'!$B169,'CWO Bulan Ini'!$DH:$DH,'Area-Cabang'!$E169,'CWO Bulan Ini'!$CZ:$CZ,'Area-Cabang'!AG$41)</f>
        <v>0</v>
      </c>
      <c r="AH169" s="42">
        <f>SUMIFS('CWO Bulan Ini'!$DA:$DA,'CWO Bulan Ini'!$DJ:$DJ,'Area-Cabang'!$B169,'CWO Bulan Ini'!$DH:$DH,'Area-Cabang'!$E169,'CWO Bulan Ini'!$CZ:$CZ,'Area-Cabang'!AH$41)</f>
        <v>0</v>
      </c>
      <c r="AI169" s="42">
        <f>SUMIFS('CWO Bulan Ini'!$DA:$DA,'CWO Bulan Ini'!$DJ:$DJ,'Area-Cabang'!$B169,'CWO Bulan Ini'!$DH:$DH,'Area-Cabang'!$E169,'CWO Bulan Ini'!$CZ:$CZ,'Area-Cabang'!AI$41)</f>
        <v>0</v>
      </c>
      <c r="AJ169" s="42">
        <f>SUMIFS('CWO Bulan Ini'!$DA:$DA,'CWO Bulan Ini'!$DJ:$DJ,'Area-Cabang'!$B169,'CWO Bulan Ini'!$DH:$DH,'Area-Cabang'!$E169,'CWO Bulan Ini'!$CZ:$CZ,'Area-Cabang'!AJ$41)</f>
        <v>0</v>
      </c>
      <c r="AK169" s="41">
        <f>SUMIFS('CWO Bulan Ini'!$DD:$DD,'CWO Bulan Ini'!$DJ:$DJ,'Area-Cabang'!$B169,'CWO Bulan Ini'!$DH:$DH,'Area-Cabang'!$E169,'CWO Bulan Ini'!$CZ:$CZ,'Area-Cabang'!AK$41)</f>
        <v>0</v>
      </c>
      <c r="AL169" s="42">
        <f>SUMIFS('CWO Bulan Ini'!$DD:$DD,'CWO Bulan Ini'!$DJ:$DJ,'Area-Cabang'!$B169,'CWO Bulan Ini'!$DH:$DH,'Area-Cabang'!$E169,'CWO Bulan Ini'!$CZ:$CZ,'Area-Cabang'!AL$41)</f>
        <v>0</v>
      </c>
      <c r="AM169" s="42">
        <f>SUMIFS('CWO Bulan Ini'!$DD:$DD,'CWO Bulan Ini'!$DJ:$DJ,'Area-Cabang'!$B169,'CWO Bulan Ini'!$DH:$DH,'Area-Cabang'!$E169,'CWO Bulan Ini'!$CZ:$CZ,'Area-Cabang'!AM$41)</f>
        <v>0</v>
      </c>
      <c r="AN169" s="42">
        <f>SUMIFS('CWO Bulan Ini'!$DD:$DD,'CWO Bulan Ini'!$DJ:$DJ,'Area-Cabang'!$B169,'CWO Bulan Ini'!$DH:$DH,'Area-Cabang'!$E169,'CWO Bulan Ini'!$CZ:$CZ,'Area-Cabang'!AN$41)</f>
        <v>0</v>
      </c>
      <c r="AO169" s="42">
        <f>SUMIFS('CWO Bulan Ini'!$DD:$DD,'CWO Bulan Ini'!$DJ:$DJ,'Area-Cabang'!$B169,'CWO Bulan Ini'!$DH:$DH,'Area-Cabang'!$E169,'CWO Bulan Ini'!$CZ:$CZ,'Area-Cabang'!AO$41)</f>
        <v>0</v>
      </c>
      <c r="AP169" s="42">
        <f>SUMIFS('CWO Bulan Ini'!$DD:$DD,'CWO Bulan Ini'!$DJ:$DJ,'Area-Cabang'!$B169,'CWO Bulan Ini'!$DH:$DH,'Area-Cabang'!$E169,'CWO Bulan Ini'!$CZ:$CZ,'Area-Cabang'!AP$41)</f>
        <v>0</v>
      </c>
      <c r="AQ169" s="42">
        <f>SUMIFS('CWO Bulan Ini'!$DD:$DD,'CWO Bulan Ini'!$DJ:$DJ,'Area-Cabang'!$B169,'CWO Bulan Ini'!$DH:$DH,'Area-Cabang'!$E169,'CWO Bulan Ini'!$CZ:$CZ,'Area-Cabang'!AQ$41)</f>
        <v>0</v>
      </c>
      <c r="AR169" s="42">
        <f>SUMIFS('CWO Bulan Ini'!$DD:$DD,'CWO Bulan Ini'!$DJ:$DJ,'Area-Cabang'!$B169,'CWO Bulan Ini'!$DH:$DH,'Area-Cabang'!$E169,'CWO Bulan Ini'!$CZ:$CZ,'Area-Cabang'!AR$41)</f>
        <v>0</v>
      </c>
      <c r="AS169" s="42">
        <f>SUMIFS('CWO Bulan Ini'!$DD:$DD,'CWO Bulan Ini'!$DJ:$DJ,'Area-Cabang'!$B169,'CWO Bulan Ini'!$DH:$DH,'Area-Cabang'!$E169,'CWO Bulan Ini'!$CZ:$CZ,'Area-Cabang'!AS$41)</f>
        <v>0</v>
      </c>
      <c r="AT169" s="42">
        <f>SUMIFS('CWO Bulan Ini'!$DD:$DD,'CWO Bulan Ini'!$DJ:$DJ,'Area-Cabang'!$B169,'CWO Bulan Ini'!$DH:$DH,'Area-Cabang'!$E169,'CWO Bulan Ini'!$CZ:$CZ,'Area-Cabang'!AT$41)</f>
        <v>0</v>
      </c>
      <c r="AU169" s="42">
        <f>SUMIFS('CWO Bulan Ini'!$DD:$DD,'CWO Bulan Ini'!$DJ:$DJ,'Area-Cabang'!$B169,'CWO Bulan Ini'!$DH:$DH,'Area-Cabang'!$E169,'CWO Bulan Ini'!$CZ:$CZ,'Area-Cabang'!AU$41)</f>
        <v>0</v>
      </c>
      <c r="AV169" s="42">
        <f>SUMIFS('CWO Bulan Ini'!$DD:$DD,'CWO Bulan Ini'!$DJ:$DJ,'Area-Cabang'!$B169,'CWO Bulan Ini'!$DH:$DH,'Area-Cabang'!$E169,'CWO Bulan Ini'!$CZ:$CZ,'Area-Cabang'!AV$41)</f>
        <v>0</v>
      </c>
      <c r="AW169" s="42">
        <f>SUMIFS('CWO Bulan Ini'!$DD:$DD,'CWO Bulan Ini'!$DJ:$DJ,'Area-Cabang'!$B169,'CWO Bulan Ini'!$DH:$DH,'Area-Cabang'!$E169,'CWO Bulan Ini'!$CZ:$CZ,'Area-Cabang'!AW$41)</f>
        <v>0</v>
      </c>
      <c r="AX169" s="42">
        <f>SUMIFS('CWO Bulan Ini'!$DD:$DD,'CWO Bulan Ini'!$DJ:$DJ,'Area-Cabang'!$B169,'CWO Bulan Ini'!$DH:$DH,'Area-Cabang'!$E169,'CWO Bulan Ini'!$CZ:$CZ,'Area-Cabang'!AX$41)</f>
        <v>0</v>
      </c>
      <c r="AY169" s="42">
        <f>SUMIFS('CWO Bulan Ini'!$DD:$DD,'CWO Bulan Ini'!$DJ:$DJ,'Area-Cabang'!$B169,'CWO Bulan Ini'!$DH:$DH,'Area-Cabang'!$E169,'CWO Bulan Ini'!$CZ:$CZ,'Area-Cabang'!AY$41)</f>
        <v>0</v>
      </c>
      <c r="AZ169" s="42">
        <f>SUMIFS('CWO Bulan Ini'!$DD:$DD,'CWO Bulan Ini'!$DJ:$DJ,'Area-Cabang'!$B169,'CWO Bulan Ini'!$DH:$DH,'Area-Cabang'!$E169,'CWO Bulan Ini'!$CZ:$CZ,'Area-Cabang'!AZ$41)</f>
        <v>0</v>
      </c>
      <c r="BA169" s="42">
        <f>SUMIFS('CWO Bulan Ini'!$DD:$DD,'CWO Bulan Ini'!$DJ:$DJ,'Area-Cabang'!$B169,'CWO Bulan Ini'!$DH:$DH,'Area-Cabang'!$E169,'CWO Bulan Ini'!$CZ:$CZ,'Area-Cabang'!BA$41)</f>
        <v>0</v>
      </c>
      <c r="BB169" s="42">
        <f>SUMIFS('CWO Bulan Ini'!$DD:$DD,'CWO Bulan Ini'!$DJ:$DJ,'Area-Cabang'!$B169,'CWO Bulan Ini'!$DH:$DH,'Area-Cabang'!$E169,'CWO Bulan Ini'!$CZ:$CZ,'Area-Cabang'!BB$41)</f>
        <v>0</v>
      </c>
      <c r="BC169" s="42">
        <f>SUMIFS('CWO Bulan Ini'!$DD:$DD,'CWO Bulan Ini'!$DJ:$DJ,'Area-Cabang'!$B169,'CWO Bulan Ini'!$DH:$DH,'Area-Cabang'!$E169,'CWO Bulan Ini'!$CZ:$CZ,'Area-Cabang'!BC$41)</f>
        <v>0</v>
      </c>
      <c r="BD169" s="42">
        <f>SUMIFS('CWO Bulan Ini'!$DD:$DD,'CWO Bulan Ini'!$DJ:$DJ,'Area-Cabang'!$B169,'CWO Bulan Ini'!$DH:$DH,'Area-Cabang'!$E169,'CWO Bulan Ini'!$CZ:$CZ,'Area-Cabang'!BD$41)</f>
        <v>0</v>
      </c>
      <c r="BE169" s="42">
        <f>SUMIFS('CWO Bulan Ini'!$DD:$DD,'CWO Bulan Ini'!$DJ:$DJ,'Area-Cabang'!$B169,'CWO Bulan Ini'!$DH:$DH,'Area-Cabang'!$E169,'CWO Bulan Ini'!$CZ:$CZ,'Area-Cabang'!BE$41)</f>
        <v>0</v>
      </c>
      <c r="BF169" s="42">
        <f>SUMIFS('CWO Bulan Ini'!$DD:$DD,'CWO Bulan Ini'!$DJ:$DJ,'Area-Cabang'!$B169,'CWO Bulan Ini'!$DH:$DH,'Area-Cabang'!$E169,'CWO Bulan Ini'!$CZ:$CZ,'Area-Cabang'!BF$41)</f>
        <v>0</v>
      </c>
      <c r="BG169" s="42">
        <f>SUMIFS('CWO Bulan Ini'!$DD:$DD,'CWO Bulan Ini'!$DJ:$DJ,'Area-Cabang'!$B169,'CWO Bulan Ini'!$DH:$DH,'Area-Cabang'!$E169,'CWO Bulan Ini'!$CZ:$CZ,'Area-Cabang'!BG$41)</f>
        <v>0</v>
      </c>
      <c r="BH169" s="42">
        <f>SUMIFS('CWO Bulan Ini'!$DD:$DD,'CWO Bulan Ini'!$DJ:$DJ,'Area-Cabang'!$B169,'CWO Bulan Ini'!$DH:$DH,'Area-Cabang'!$E169,'CWO Bulan Ini'!$CZ:$CZ,'Area-Cabang'!BH$41)</f>
        <v>0</v>
      </c>
      <c r="BI169" s="42">
        <f>SUMIFS('CWO Bulan Ini'!$DD:$DD,'CWO Bulan Ini'!$DJ:$DJ,'Area-Cabang'!$B169,'CWO Bulan Ini'!$DH:$DH,'Area-Cabang'!$E169,'CWO Bulan Ini'!$CZ:$CZ,'Area-Cabang'!BI$41)</f>
        <v>0</v>
      </c>
      <c r="BJ169" s="42">
        <f>SUMIFS('CWO Bulan Ini'!$DD:$DD,'CWO Bulan Ini'!$DJ:$DJ,'Area-Cabang'!$B169,'CWO Bulan Ini'!$DH:$DH,'Area-Cabang'!$E169,'CWO Bulan Ini'!$CZ:$CZ,'Area-Cabang'!BJ$41)</f>
        <v>0</v>
      </c>
      <c r="BK169" s="42">
        <f>SUMIFS('CWO Bulan Ini'!$DD:$DD,'CWO Bulan Ini'!$DJ:$DJ,'Area-Cabang'!$B169,'CWO Bulan Ini'!$DH:$DH,'Area-Cabang'!$E169,'CWO Bulan Ini'!$CZ:$CZ,'Area-Cabang'!BK$41)</f>
        <v>0</v>
      </c>
      <c r="BL169" s="42">
        <f>SUMIFS('CWO Bulan Ini'!$DD:$DD,'CWO Bulan Ini'!$DJ:$DJ,'Area-Cabang'!$B169,'CWO Bulan Ini'!$DH:$DH,'Area-Cabang'!$E169,'CWO Bulan Ini'!$CZ:$CZ,'Area-Cabang'!BL$41)</f>
        <v>0</v>
      </c>
      <c r="BM169" s="42">
        <f>SUMIFS('CWO Bulan Ini'!$DD:$DD,'CWO Bulan Ini'!$DJ:$DJ,'Area-Cabang'!$B169,'CWO Bulan Ini'!$DH:$DH,'Area-Cabang'!$E169,'CWO Bulan Ini'!$CZ:$CZ,'Area-Cabang'!BM$41)</f>
        <v>0</v>
      </c>
      <c r="BN169" s="42">
        <f>SUMIFS('CWO Bulan Ini'!$DD:$DD,'CWO Bulan Ini'!$DJ:$DJ,'Area-Cabang'!$B169,'CWO Bulan Ini'!$DH:$DH,'Area-Cabang'!$E169,'CWO Bulan Ini'!$CZ:$CZ,'Area-Cabang'!BN$41)</f>
        <v>0</v>
      </c>
      <c r="BO169" s="43">
        <f>SUMIFS('CWO Bulan Ini'!$DD:$DD,'CWO Bulan Ini'!$DJ:$DJ,'Area-Cabang'!$B169,'CWO Bulan Ini'!$DH:$DH,'Area-Cabang'!$E169,'CWO Bulan Ini'!$CZ:$CZ,'Area-Cabang'!BO$41)</f>
        <v>0</v>
      </c>
      <c r="BP169" s="41">
        <f>SUMIFS('CWO Bulan Ini'!$DC:$DC,'CWO Bulan Ini'!$DJ:$DJ,'Area-Cabang'!$B169,'CWO Bulan Ini'!$DH:$DH,'Area-Cabang'!$E169,'CWO Bulan Ini'!$CZ:$CZ,'Area-Cabang'!BP$41)</f>
        <v>0</v>
      </c>
      <c r="BQ169" s="42">
        <f>SUMIFS('CWO Bulan Ini'!$DC:$DC,'CWO Bulan Ini'!$DJ:$DJ,'Area-Cabang'!$B169,'CWO Bulan Ini'!$DH:$DH,'Area-Cabang'!$E169,'CWO Bulan Ini'!$CZ:$CZ,'Area-Cabang'!BQ$41)</f>
        <v>0</v>
      </c>
      <c r="BR169" s="42">
        <f>SUMIFS('CWO Bulan Ini'!$DC:$DC,'CWO Bulan Ini'!$DJ:$DJ,'Area-Cabang'!$B169,'CWO Bulan Ini'!$DH:$DH,'Area-Cabang'!$E169,'CWO Bulan Ini'!$CZ:$CZ,'Area-Cabang'!BR$41)</f>
        <v>0</v>
      </c>
      <c r="BS169" s="42">
        <f>SUMIFS('CWO Bulan Ini'!$DC:$DC,'CWO Bulan Ini'!$DJ:$DJ,'Area-Cabang'!$B169,'CWO Bulan Ini'!$DH:$DH,'Area-Cabang'!$E169,'CWO Bulan Ini'!$CZ:$CZ,'Area-Cabang'!BS$41)</f>
        <v>0</v>
      </c>
      <c r="BT169" s="42">
        <f>SUMIFS('CWO Bulan Ini'!$DC:$DC,'CWO Bulan Ini'!$DJ:$DJ,'Area-Cabang'!$B169,'CWO Bulan Ini'!$DH:$DH,'Area-Cabang'!$E169,'CWO Bulan Ini'!$CZ:$CZ,'Area-Cabang'!BT$41)</f>
        <v>0</v>
      </c>
      <c r="BU169" s="42">
        <f>SUMIFS('CWO Bulan Ini'!$DC:$DC,'CWO Bulan Ini'!$DJ:$DJ,'Area-Cabang'!$B169,'CWO Bulan Ini'!$DH:$DH,'Area-Cabang'!$E169,'CWO Bulan Ini'!$CZ:$CZ,'Area-Cabang'!BU$41)</f>
        <v>0</v>
      </c>
      <c r="BV169" s="42">
        <f>SUMIFS('CWO Bulan Ini'!$DC:$DC,'CWO Bulan Ini'!$DJ:$DJ,'Area-Cabang'!$B169,'CWO Bulan Ini'!$DH:$DH,'Area-Cabang'!$E169,'CWO Bulan Ini'!$CZ:$CZ,'Area-Cabang'!BV$41)</f>
        <v>0</v>
      </c>
      <c r="BW169" s="42">
        <f>SUMIFS('CWO Bulan Ini'!$DC:$DC,'CWO Bulan Ini'!$DJ:$DJ,'Area-Cabang'!$B169,'CWO Bulan Ini'!$DH:$DH,'Area-Cabang'!$E169,'CWO Bulan Ini'!$CZ:$CZ,'Area-Cabang'!BW$41)</f>
        <v>0</v>
      </c>
      <c r="BX169" s="42">
        <f>SUMIFS('CWO Bulan Ini'!$DC:$DC,'CWO Bulan Ini'!$DJ:$DJ,'Area-Cabang'!$B169,'CWO Bulan Ini'!$DH:$DH,'Area-Cabang'!$E169,'CWO Bulan Ini'!$CZ:$CZ,'Area-Cabang'!BX$41)</f>
        <v>0</v>
      </c>
      <c r="BY169" s="42">
        <f>SUMIFS('CWO Bulan Ini'!$DC:$DC,'CWO Bulan Ini'!$DJ:$DJ,'Area-Cabang'!$B169,'CWO Bulan Ini'!$DH:$DH,'Area-Cabang'!$E169,'CWO Bulan Ini'!$CZ:$CZ,'Area-Cabang'!BY$41)</f>
        <v>0</v>
      </c>
      <c r="BZ169" s="42">
        <f>SUMIFS('CWO Bulan Ini'!$DC:$DC,'CWO Bulan Ini'!$DJ:$DJ,'Area-Cabang'!$B169,'CWO Bulan Ini'!$DH:$DH,'Area-Cabang'!$E169,'CWO Bulan Ini'!$CZ:$CZ,'Area-Cabang'!BZ$41)</f>
        <v>0</v>
      </c>
      <c r="CA169" s="42">
        <f>SUMIFS('CWO Bulan Ini'!$DC:$DC,'CWO Bulan Ini'!$DJ:$DJ,'Area-Cabang'!$B169,'CWO Bulan Ini'!$DH:$DH,'Area-Cabang'!$E169,'CWO Bulan Ini'!$CZ:$CZ,'Area-Cabang'!CA$41)</f>
        <v>0</v>
      </c>
      <c r="CB169" s="42">
        <f>SUMIFS('CWO Bulan Ini'!$DC:$DC,'CWO Bulan Ini'!$DJ:$DJ,'Area-Cabang'!$B169,'CWO Bulan Ini'!$DH:$DH,'Area-Cabang'!$E169,'CWO Bulan Ini'!$CZ:$CZ,'Area-Cabang'!CB$41)</f>
        <v>0</v>
      </c>
      <c r="CC169" s="42">
        <f>SUMIFS('CWO Bulan Ini'!$DC:$DC,'CWO Bulan Ini'!$DJ:$DJ,'Area-Cabang'!$B169,'CWO Bulan Ini'!$DH:$DH,'Area-Cabang'!$E169,'CWO Bulan Ini'!$CZ:$CZ,'Area-Cabang'!CC$41)</f>
        <v>0</v>
      </c>
      <c r="CD169" s="42">
        <f>SUMIFS('CWO Bulan Ini'!$DC:$DC,'CWO Bulan Ini'!$DJ:$DJ,'Area-Cabang'!$B169,'CWO Bulan Ini'!$DH:$DH,'Area-Cabang'!$E169,'CWO Bulan Ini'!$CZ:$CZ,'Area-Cabang'!CD$41)</f>
        <v>0</v>
      </c>
      <c r="CE169" s="42">
        <f>SUMIFS('CWO Bulan Ini'!$DC:$DC,'CWO Bulan Ini'!$DJ:$DJ,'Area-Cabang'!$B169,'CWO Bulan Ini'!$DH:$DH,'Area-Cabang'!$E169,'CWO Bulan Ini'!$CZ:$CZ,'Area-Cabang'!CE$41)</f>
        <v>0</v>
      </c>
      <c r="CF169" s="42">
        <f>SUMIFS('CWO Bulan Ini'!$DC:$DC,'CWO Bulan Ini'!$DJ:$DJ,'Area-Cabang'!$B169,'CWO Bulan Ini'!$DH:$DH,'Area-Cabang'!$E169,'CWO Bulan Ini'!$CZ:$CZ,'Area-Cabang'!CF$41)</f>
        <v>0</v>
      </c>
      <c r="CG169" s="42">
        <f>SUMIFS('CWO Bulan Ini'!$DC:$DC,'CWO Bulan Ini'!$DJ:$DJ,'Area-Cabang'!$B169,'CWO Bulan Ini'!$DH:$DH,'Area-Cabang'!$E169,'CWO Bulan Ini'!$CZ:$CZ,'Area-Cabang'!CG$41)</f>
        <v>0</v>
      </c>
      <c r="CH169" s="42">
        <f>SUMIFS('CWO Bulan Ini'!$DC:$DC,'CWO Bulan Ini'!$DJ:$DJ,'Area-Cabang'!$B169,'CWO Bulan Ini'!$DH:$DH,'Area-Cabang'!$E169,'CWO Bulan Ini'!$CZ:$CZ,'Area-Cabang'!CH$41)</f>
        <v>0</v>
      </c>
      <c r="CI169" s="42">
        <f>SUMIFS('CWO Bulan Ini'!$DC:$DC,'CWO Bulan Ini'!$DJ:$DJ,'Area-Cabang'!$B169,'CWO Bulan Ini'!$DH:$DH,'Area-Cabang'!$E169,'CWO Bulan Ini'!$CZ:$CZ,'Area-Cabang'!CI$41)</f>
        <v>0</v>
      </c>
      <c r="CJ169" s="42">
        <f>SUMIFS('CWO Bulan Ini'!$DC:$DC,'CWO Bulan Ini'!$DJ:$DJ,'Area-Cabang'!$B169,'CWO Bulan Ini'!$DH:$DH,'Area-Cabang'!$E169,'CWO Bulan Ini'!$CZ:$CZ,'Area-Cabang'!CJ$41)</f>
        <v>0</v>
      </c>
      <c r="CK169" s="42">
        <f>SUMIFS('CWO Bulan Ini'!$DC:$DC,'CWO Bulan Ini'!$DJ:$DJ,'Area-Cabang'!$B169,'CWO Bulan Ini'!$DH:$DH,'Area-Cabang'!$E169,'CWO Bulan Ini'!$CZ:$CZ,'Area-Cabang'!CK$41)</f>
        <v>0</v>
      </c>
      <c r="CL169" s="42">
        <f>SUMIFS('CWO Bulan Ini'!$DC:$DC,'CWO Bulan Ini'!$DJ:$DJ,'Area-Cabang'!$B169,'CWO Bulan Ini'!$DH:$DH,'Area-Cabang'!$E169,'CWO Bulan Ini'!$CZ:$CZ,'Area-Cabang'!CL$41)</f>
        <v>0</v>
      </c>
      <c r="CM169" s="42">
        <f>SUMIFS('CWO Bulan Ini'!$DC:$DC,'CWO Bulan Ini'!$DJ:$DJ,'Area-Cabang'!$B169,'CWO Bulan Ini'!$DH:$DH,'Area-Cabang'!$E169,'CWO Bulan Ini'!$CZ:$CZ,'Area-Cabang'!CM$41)</f>
        <v>0</v>
      </c>
      <c r="CN169" s="42">
        <f>SUMIFS('CWO Bulan Ini'!$DC:$DC,'CWO Bulan Ini'!$DJ:$DJ,'Area-Cabang'!$B169,'CWO Bulan Ini'!$DH:$DH,'Area-Cabang'!$E169,'CWO Bulan Ini'!$CZ:$CZ,'Area-Cabang'!CN$41)</f>
        <v>0</v>
      </c>
      <c r="CO169" s="42">
        <f>SUMIFS('CWO Bulan Ini'!$DC:$DC,'CWO Bulan Ini'!$DJ:$DJ,'Area-Cabang'!$B169,'CWO Bulan Ini'!$DH:$DH,'Area-Cabang'!$E169,'CWO Bulan Ini'!$CZ:$CZ,'Area-Cabang'!CO$41)</f>
        <v>0</v>
      </c>
      <c r="CP169" s="42">
        <f>SUMIFS('CWO Bulan Ini'!$DC:$DC,'CWO Bulan Ini'!$DJ:$DJ,'Area-Cabang'!$B169,'CWO Bulan Ini'!$DH:$DH,'Area-Cabang'!$E169,'CWO Bulan Ini'!$CZ:$CZ,'Area-Cabang'!CP$41)</f>
        <v>0</v>
      </c>
      <c r="CQ169" s="42">
        <f>SUMIFS('CWO Bulan Ini'!$DC:$DC,'CWO Bulan Ini'!$DJ:$DJ,'Area-Cabang'!$B169,'CWO Bulan Ini'!$DH:$DH,'Area-Cabang'!$E169,'CWO Bulan Ini'!$CZ:$CZ,'Area-Cabang'!CQ$41)</f>
        <v>0</v>
      </c>
      <c r="CR169" s="42">
        <f>SUMIFS('CWO Bulan Ini'!$DC:$DC,'CWO Bulan Ini'!$DJ:$DJ,'Area-Cabang'!$B169,'CWO Bulan Ini'!$DH:$DH,'Area-Cabang'!$E169,'CWO Bulan Ini'!$CZ:$CZ,'Area-Cabang'!CR$41)</f>
        <v>0</v>
      </c>
      <c r="CS169" s="42">
        <f>SUMIFS('CWO Bulan Ini'!$DC:$DC,'CWO Bulan Ini'!$DJ:$DJ,'Area-Cabang'!$B169,'CWO Bulan Ini'!$DH:$DH,'Area-Cabang'!$E169,'CWO Bulan Ini'!$CZ:$CZ,'Area-Cabang'!CS$41)</f>
        <v>0</v>
      </c>
      <c r="CT169" s="43">
        <f>SUMIFS('CWO Bulan Ini'!$DC:$DC,'CWO Bulan Ini'!$DJ:$DJ,'Area-Cabang'!$B169,'CWO Bulan Ini'!$DH:$DH,'Area-Cabang'!$E169,'CWO Bulan Ini'!$CZ:$CZ,'Area-Cabang'!CT$41)</f>
        <v>0</v>
      </c>
      <c r="CV169" s="96">
        <f t="shared" si="5307"/>
        <v>0</v>
      </c>
      <c r="CW169" s="93">
        <f t="shared" si="5308"/>
        <v>0</v>
      </c>
      <c r="CX169" s="93">
        <f t="shared" si="5309"/>
        <v>0</v>
      </c>
      <c r="CY169" s="93">
        <f t="shared" si="5310"/>
        <v>0</v>
      </c>
      <c r="CZ169" s="106">
        <f t="shared" si="5311"/>
        <v>0</v>
      </c>
    </row>
    <row r="170" spans="1:104" ht="15" customHeight="1" x14ac:dyDescent="0.25">
      <c r="A170" s="59" t="s">
        <v>576</v>
      </c>
      <c r="B170" s="60" t="s">
        <v>849</v>
      </c>
      <c r="C170" s="248"/>
      <c r="D170" s="227" t="s">
        <v>849</v>
      </c>
      <c r="E170" s="228"/>
      <c r="F170" s="219">
        <f t="shared" ref="F170" si="5312">SUM(F168:F169)</f>
        <v>0</v>
      </c>
      <c r="G170" s="220">
        <f t="shared" ref="G170" si="5313">SUM(G168:G169)</f>
        <v>0</v>
      </c>
      <c r="H170" s="220">
        <f t="shared" ref="H170" si="5314">SUM(H168:H169)</f>
        <v>0</v>
      </c>
      <c r="I170" s="220">
        <f t="shared" ref="I170" si="5315">SUM(I168:I169)</f>
        <v>120.90417939</v>
      </c>
      <c r="J170" s="220">
        <f t="shared" ref="J170" si="5316">SUM(J168:J169)</f>
        <v>0</v>
      </c>
      <c r="K170" s="220">
        <f t="shared" ref="K170" si="5317">SUM(K168:K169)</f>
        <v>0</v>
      </c>
      <c r="L170" s="220">
        <f t="shared" ref="L170" si="5318">SUM(L168:L169)</f>
        <v>0</v>
      </c>
      <c r="M170" s="220">
        <f t="shared" ref="M170" si="5319">SUM(M168:M169)</f>
        <v>0</v>
      </c>
      <c r="N170" s="220">
        <f t="shared" ref="N170" si="5320">SUM(N168:N169)</f>
        <v>0</v>
      </c>
      <c r="O170" s="220">
        <f t="shared" ref="O170" si="5321">SUM(O168:O169)</f>
        <v>98.88801291</v>
      </c>
      <c r="P170" s="220">
        <f t="shared" ref="P170" si="5322">SUM(P168:P169)</f>
        <v>0</v>
      </c>
      <c r="Q170" s="220">
        <f t="shared" ref="Q170" si="5323">SUM(Q168:Q169)</f>
        <v>0</v>
      </c>
      <c r="R170" s="220">
        <f t="shared" ref="R170" si="5324">SUM(R168:R169)</f>
        <v>0</v>
      </c>
      <c r="S170" s="220">
        <f t="shared" ref="S170" si="5325">SUM(S168:S169)</f>
        <v>0</v>
      </c>
      <c r="T170" s="220">
        <f t="shared" ref="T170" si="5326">SUM(T168:T169)</f>
        <v>0</v>
      </c>
      <c r="U170" s="220">
        <f t="shared" ref="U170" si="5327">SUM(U168:U169)</f>
        <v>0</v>
      </c>
      <c r="V170" s="220">
        <f t="shared" ref="V170" si="5328">SUM(V168:V169)</f>
        <v>0</v>
      </c>
      <c r="W170" s="220">
        <f t="shared" ref="W170" si="5329">SUM(W168:W169)</f>
        <v>0</v>
      </c>
      <c r="X170" s="220">
        <f t="shared" ref="X170" si="5330">SUM(X168:X169)</f>
        <v>0</v>
      </c>
      <c r="Y170" s="220">
        <f t="shared" ref="Y170" si="5331">SUM(Y168:Y169)</f>
        <v>0</v>
      </c>
      <c r="Z170" s="220">
        <f t="shared" ref="Z170" si="5332">SUM(Z168:Z169)</f>
        <v>0</v>
      </c>
      <c r="AA170" s="220">
        <f t="shared" ref="AA170" si="5333">SUM(AA168:AA169)</f>
        <v>0</v>
      </c>
      <c r="AB170" s="220">
        <f t="shared" ref="AB170" si="5334">SUM(AB168:AB169)</f>
        <v>0</v>
      </c>
      <c r="AC170" s="220">
        <f t="shared" ref="AC170" si="5335">SUM(AC168:AC169)</f>
        <v>0</v>
      </c>
      <c r="AD170" s="220">
        <f t="shared" ref="AD170" si="5336">SUM(AD168:AD169)</f>
        <v>0</v>
      </c>
      <c r="AE170" s="220">
        <f t="shared" ref="AE170" si="5337">SUM(AE168:AE169)</f>
        <v>0</v>
      </c>
      <c r="AF170" s="220">
        <f t="shared" ref="AF170" si="5338">SUM(AF168:AF169)</f>
        <v>0</v>
      </c>
      <c r="AG170" s="220">
        <f t="shared" ref="AG170" si="5339">SUM(AG168:AG169)</f>
        <v>0</v>
      </c>
      <c r="AH170" s="220">
        <f t="shared" ref="AH170" si="5340">SUM(AH168:AH169)</f>
        <v>0</v>
      </c>
      <c r="AI170" s="220">
        <f t="shared" ref="AI170" si="5341">SUM(AI168:AI169)</f>
        <v>0</v>
      </c>
      <c r="AJ170" s="220">
        <f t="shared" ref="AJ170" si="5342">SUM(AJ168:AJ169)</f>
        <v>0</v>
      </c>
      <c r="AK170" s="219">
        <f t="shared" ref="AK170" si="5343">SUM(AK168:AK169)</f>
        <v>0</v>
      </c>
      <c r="AL170" s="220">
        <f t="shared" ref="AL170" si="5344">SUM(AL168:AL169)</f>
        <v>0</v>
      </c>
      <c r="AM170" s="220">
        <f t="shared" ref="AM170" si="5345">SUM(AM168:AM169)</f>
        <v>0</v>
      </c>
      <c r="AN170" s="220">
        <f t="shared" ref="AN170" si="5346">SUM(AN168:AN169)</f>
        <v>120.90417939</v>
      </c>
      <c r="AO170" s="220">
        <f t="shared" ref="AO170" si="5347">SUM(AO168:AO169)</f>
        <v>0</v>
      </c>
      <c r="AP170" s="220">
        <f t="shared" ref="AP170" si="5348">SUM(AP168:AP169)</f>
        <v>0</v>
      </c>
      <c r="AQ170" s="220">
        <f t="shared" ref="AQ170" si="5349">SUM(AQ168:AQ169)</f>
        <v>0</v>
      </c>
      <c r="AR170" s="220">
        <f t="shared" ref="AR170" si="5350">SUM(AR168:AR169)</f>
        <v>0</v>
      </c>
      <c r="AS170" s="220">
        <f t="shared" ref="AS170" si="5351">SUM(AS168:AS169)</f>
        <v>0</v>
      </c>
      <c r="AT170" s="220">
        <f t="shared" ref="AT170" si="5352">SUM(AT168:AT169)</f>
        <v>0</v>
      </c>
      <c r="AU170" s="220">
        <f t="shared" ref="AU170" si="5353">SUM(AU168:AU169)</f>
        <v>0</v>
      </c>
      <c r="AV170" s="220">
        <f t="shared" ref="AV170" si="5354">SUM(AV168:AV169)</f>
        <v>0</v>
      </c>
      <c r="AW170" s="220">
        <f t="shared" ref="AW170" si="5355">SUM(AW168:AW169)</f>
        <v>0</v>
      </c>
      <c r="AX170" s="220">
        <f t="shared" ref="AX170" si="5356">SUM(AX168:AX169)</f>
        <v>0</v>
      </c>
      <c r="AY170" s="220">
        <f t="shared" ref="AY170" si="5357">SUM(AY168:AY169)</f>
        <v>0</v>
      </c>
      <c r="AZ170" s="220">
        <f t="shared" ref="AZ170" si="5358">SUM(AZ168:AZ169)</f>
        <v>0</v>
      </c>
      <c r="BA170" s="220">
        <f t="shared" ref="BA170" si="5359">SUM(BA168:BA169)</f>
        <v>0</v>
      </c>
      <c r="BB170" s="220">
        <f t="shared" ref="BB170" si="5360">SUM(BB168:BB169)</f>
        <v>0</v>
      </c>
      <c r="BC170" s="220">
        <f t="shared" ref="BC170" si="5361">SUM(BC168:BC169)</f>
        <v>0</v>
      </c>
      <c r="BD170" s="220">
        <f t="shared" ref="BD170" si="5362">SUM(BD168:BD169)</f>
        <v>0</v>
      </c>
      <c r="BE170" s="220">
        <f t="shared" ref="BE170" si="5363">SUM(BE168:BE169)</f>
        <v>0</v>
      </c>
      <c r="BF170" s="220">
        <f t="shared" ref="BF170" si="5364">SUM(BF168:BF169)</f>
        <v>0</v>
      </c>
      <c r="BG170" s="220">
        <f t="shared" ref="BG170" si="5365">SUM(BG168:BG169)</f>
        <v>0</v>
      </c>
      <c r="BH170" s="220">
        <f t="shared" ref="BH170" si="5366">SUM(BH168:BH169)</f>
        <v>0</v>
      </c>
      <c r="BI170" s="220">
        <f t="shared" ref="BI170" si="5367">SUM(BI168:BI169)</f>
        <v>0</v>
      </c>
      <c r="BJ170" s="220">
        <f t="shared" ref="BJ170" si="5368">SUM(BJ168:BJ169)</f>
        <v>0</v>
      </c>
      <c r="BK170" s="220">
        <f t="shared" ref="BK170" si="5369">SUM(BK168:BK169)</f>
        <v>0</v>
      </c>
      <c r="BL170" s="220">
        <f t="shared" ref="BL170" si="5370">SUM(BL168:BL169)</f>
        <v>0</v>
      </c>
      <c r="BM170" s="220">
        <f t="shared" ref="BM170" si="5371">SUM(BM168:BM169)</f>
        <v>0</v>
      </c>
      <c r="BN170" s="220">
        <f t="shared" ref="BN170" si="5372">SUM(BN168:BN169)</f>
        <v>0</v>
      </c>
      <c r="BO170" s="221">
        <f t="shared" ref="BO170" si="5373">SUM(BO168:BO169)</f>
        <v>0</v>
      </c>
      <c r="BP170" s="219">
        <f t="shared" ref="BP170" si="5374">SUM(BP168:BP169)</f>
        <v>0</v>
      </c>
      <c r="BQ170" s="220">
        <f t="shared" ref="BQ170" si="5375">SUM(BQ168:BQ169)</f>
        <v>0</v>
      </c>
      <c r="BR170" s="220">
        <f t="shared" ref="BR170" si="5376">SUM(BR168:BR169)</f>
        <v>0</v>
      </c>
      <c r="BS170" s="220">
        <f t="shared" ref="BS170" si="5377">SUM(BS168:BS169)</f>
        <v>0</v>
      </c>
      <c r="BT170" s="220">
        <f t="shared" ref="BT170" si="5378">SUM(BT168:BT169)</f>
        <v>0</v>
      </c>
      <c r="BU170" s="220">
        <f t="shared" ref="BU170" si="5379">SUM(BU168:BU169)</f>
        <v>0</v>
      </c>
      <c r="BV170" s="220">
        <f t="shared" ref="BV170" si="5380">SUM(BV168:BV169)</f>
        <v>0</v>
      </c>
      <c r="BW170" s="220">
        <f t="shared" ref="BW170" si="5381">SUM(BW168:BW169)</f>
        <v>0</v>
      </c>
      <c r="BX170" s="220">
        <f t="shared" ref="BX170" si="5382">SUM(BX168:BX169)</f>
        <v>0</v>
      </c>
      <c r="BY170" s="220">
        <f t="shared" ref="BY170" si="5383">SUM(BY168:BY169)</f>
        <v>0</v>
      </c>
      <c r="BZ170" s="220">
        <f t="shared" ref="BZ170" si="5384">SUM(BZ168:BZ169)</f>
        <v>0</v>
      </c>
      <c r="CA170" s="220">
        <f t="shared" ref="CA170" si="5385">SUM(CA168:CA169)</f>
        <v>0</v>
      </c>
      <c r="CB170" s="220">
        <f t="shared" ref="CB170" si="5386">SUM(CB168:CB169)</f>
        <v>0</v>
      </c>
      <c r="CC170" s="220">
        <f t="shared" ref="CC170" si="5387">SUM(CC168:CC169)</f>
        <v>0</v>
      </c>
      <c r="CD170" s="220">
        <f t="shared" ref="CD170" si="5388">SUM(CD168:CD169)</f>
        <v>0</v>
      </c>
      <c r="CE170" s="220">
        <f t="shared" ref="CE170" si="5389">SUM(CE168:CE169)</f>
        <v>0</v>
      </c>
      <c r="CF170" s="220">
        <f t="shared" ref="CF170" si="5390">SUM(CF168:CF169)</f>
        <v>0</v>
      </c>
      <c r="CG170" s="220">
        <f t="shared" ref="CG170" si="5391">SUM(CG168:CG169)</f>
        <v>0</v>
      </c>
      <c r="CH170" s="220">
        <f t="shared" ref="CH170" si="5392">SUM(CH168:CH169)</f>
        <v>0</v>
      </c>
      <c r="CI170" s="220">
        <f t="shared" ref="CI170" si="5393">SUM(CI168:CI169)</f>
        <v>0</v>
      </c>
      <c r="CJ170" s="220">
        <f t="shared" ref="CJ170" si="5394">SUM(CJ168:CJ169)</f>
        <v>0</v>
      </c>
      <c r="CK170" s="220">
        <f t="shared" ref="CK170" si="5395">SUM(CK168:CK169)</f>
        <v>0</v>
      </c>
      <c r="CL170" s="220">
        <f t="shared" ref="CL170" si="5396">SUM(CL168:CL169)</f>
        <v>0</v>
      </c>
      <c r="CM170" s="220">
        <f t="shared" ref="CM170" si="5397">SUM(CM168:CM169)</f>
        <v>0</v>
      </c>
      <c r="CN170" s="220">
        <f t="shared" ref="CN170" si="5398">SUM(CN168:CN169)</f>
        <v>0</v>
      </c>
      <c r="CO170" s="220">
        <f t="shared" ref="CO170" si="5399">SUM(CO168:CO169)</f>
        <v>0</v>
      </c>
      <c r="CP170" s="220">
        <f t="shared" ref="CP170" si="5400">SUM(CP168:CP169)</f>
        <v>0</v>
      </c>
      <c r="CQ170" s="220">
        <f t="shared" ref="CQ170" si="5401">SUM(CQ168:CQ169)</f>
        <v>0</v>
      </c>
      <c r="CR170" s="220">
        <f t="shared" ref="CR170" si="5402">SUM(CR168:CR169)</f>
        <v>0</v>
      </c>
      <c r="CS170" s="220">
        <f t="shared" ref="CS170" si="5403">SUM(CS168:CS169)</f>
        <v>0</v>
      </c>
      <c r="CT170" s="221">
        <f t="shared" ref="CT170" si="5404">SUM(CT168:CT169)</f>
        <v>0</v>
      </c>
      <c r="CU170" s="226"/>
      <c r="CV170" s="219">
        <f t="shared" ref="CV170" si="5405">SUM(CV168:CV169)</f>
        <v>219.79219230000001</v>
      </c>
      <c r="CW170" s="220">
        <f t="shared" ref="CW170" si="5406">SUM(CW168:CW169)</f>
        <v>120.90417939</v>
      </c>
      <c r="CX170" s="220">
        <f t="shared" ref="CX170" si="5407">SUM(CX168:CX169)</f>
        <v>0</v>
      </c>
      <c r="CY170" s="220">
        <f t="shared" ref="CY170" si="5408">SUM(CY168:CY169)</f>
        <v>98.888012910000015</v>
      </c>
      <c r="CZ170" s="222">
        <f t="shared" ref="CZ170" si="5409">SUM(CZ168:CZ169)</f>
        <v>219.79219230000001</v>
      </c>
    </row>
  </sheetData>
  <mergeCells count="148">
    <mergeCell ref="D164:E164"/>
    <mergeCell ref="D167:E167"/>
    <mergeCell ref="D170:E170"/>
    <mergeCell ref="D137:E137"/>
    <mergeCell ref="D140:E140"/>
    <mergeCell ref="D143:E143"/>
    <mergeCell ref="D146:E146"/>
    <mergeCell ref="D149:E149"/>
    <mergeCell ref="D152:E152"/>
    <mergeCell ref="D155:E155"/>
    <mergeCell ref="D158:E158"/>
    <mergeCell ref="D161:E161"/>
    <mergeCell ref="D7:E7"/>
    <mergeCell ref="D44:E44"/>
    <mergeCell ref="D47:E47"/>
    <mergeCell ref="D50:E50"/>
    <mergeCell ref="D53:E53"/>
    <mergeCell ref="D56:E56"/>
    <mergeCell ref="D59:E59"/>
    <mergeCell ref="D62:E62"/>
    <mergeCell ref="D65:E65"/>
    <mergeCell ref="D168:D169"/>
    <mergeCell ref="D105:D106"/>
    <mergeCell ref="D153:D154"/>
    <mergeCell ref="D156:D157"/>
    <mergeCell ref="D159:D160"/>
    <mergeCell ref="D162:D163"/>
    <mergeCell ref="D138:D139"/>
    <mergeCell ref="D141:D142"/>
    <mergeCell ref="D144:D145"/>
    <mergeCell ref="D147:D148"/>
    <mergeCell ref="D150:D151"/>
    <mergeCell ref="D123:D124"/>
    <mergeCell ref="D126:D127"/>
    <mergeCell ref="D129:D130"/>
    <mergeCell ref="D132:D133"/>
    <mergeCell ref="D135:D136"/>
    <mergeCell ref="D111:D112"/>
    <mergeCell ref="D114:D115"/>
    <mergeCell ref="D117:D118"/>
    <mergeCell ref="D120:D121"/>
    <mergeCell ref="D107:E107"/>
    <mergeCell ref="D110:E110"/>
    <mergeCell ref="D113:E113"/>
    <mergeCell ref="D116:E116"/>
    <mergeCell ref="D99:D100"/>
    <mergeCell ref="D102:D103"/>
    <mergeCell ref="D108:D109"/>
    <mergeCell ref="D78:D79"/>
    <mergeCell ref="D81:D82"/>
    <mergeCell ref="D84:D85"/>
    <mergeCell ref="D87:D88"/>
    <mergeCell ref="D90:D91"/>
    <mergeCell ref="D165:D166"/>
    <mergeCell ref="D80:E80"/>
    <mergeCell ref="D83:E83"/>
    <mergeCell ref="D86:E86"/>
    <mergeCell ref="D89:E89"/>
    <mergeCell ref="D92:E92"/>
    <mergeCell ref="D95:E95"/>
    <mergeCell ref="D98:E98"/>
    <mergeCell ref="D101:E101"/>
    <mergeCell ref="D104:E104"/>
    <mergeCell ref="D119:E119"/>
    <mergeCell ref="D122:E122"/>
    <mergeCell ref="D125:E125"/>
    <mergeCell ref="D128:E128"/>
    <mergeCell ref="D131:E131"/>
    <mergeCell ref="D134:E134"/>
    <mergeCell ref="D75:D76"/>
    <mergeCell ref="D54:D55"/>
    <mergeCell ref="D57:D58"/>
    <mergeCell ref="D60:D61"/>
    <mergeCell ref="D38:E38"/>
    <mergeCell ref="D42:D43"/>
    <mergeCell ref="D45:D46"/>
    <mergeCell ref="D93:D94"/>
    <mergeCell ref="D96:D97"/>
    <mergeCell ref="D68:E68"/>
    <mergeCell ref="D71:E71"/>
    <mergeCell ref="D74:E74"/>
    <mergeCell ref="D77:E77"/>
    <mergeCell ref="D26:E26"/>
    <mergeCell ref="D29:E29"/>
    <mergeCell ref="D32:E32"/>
    <mergeCell ref="D35:E35"/>
    <mergeCell ref="D15:D16"/>
    <mergeCell ref="D18:D19"/>
    <mergeCell ref="D21:D22"/>
    <mergeCell ref="D24:D25"/>
    <mergeCell ref="D27:D28"/>
    <mergeCell ref="D3:D4"/>
    <mergeCell ref="E3:E4"/>
    <mergeCell ref="F3:AJ3"/>
    <mergeCell ref="AK3:BO3"/>
    <mergeCell ref="CW3:CW4"/>
    <mergeCell ref="CX3:CX4"/>
    <mergeCell ref="CY3:CY4"/>
    <mergeCell ref="CZ3:CZ4"/>
    <mergeCell ref="D5:D6"/>
    <mergeCell ref="BP3:CT3"/>
    <mergeCell ref="CV3:CV4"/>
    <mergeCell ref="A40:A41"/>
    <mergeCell ref="B40:B41"/>
    <mergeCell ref="C40:C41"/>
    <mergeCell ref="D40:D41"/>
    <mergeCell ref="CZ10:CZ11"/>
    <mergeCell ref="D12:D13"/>
    <mergeCell ref="AK10:BO10"/>
    <mergeCell ref="BP10:CT10"/>
    <mergeCell ref="CV10:CV11"/>
    <mergeCell ref="CW10:CW11"/>
    <mergeCell ref="CX10:CX11"/>
    <mergeCell ref="CY10:CY11"/>
    <mergeCell ref="D10:D11"/>
    <mergeCell ref="E10:E11"/>
    <mergeCell ref="F10:AJ10"/>
    <mergeCell ref="D30:D31"/>
    <mergeCell ref="D33:D34"/>
    <mergeCell ref="D36:D37"/>
    <mergeCell ref="D14:E14"/>
    <mergeCell ref="D17:E17"/>
    <mergeCell ref="D20:E20"/>
    <mergeCell ref="D23:E23"/>
    <mergeCell ref="C162:C170"/>
    <mergeCell ref="CX40:CX41"/>
    <mergeCell ref="CY40:CY41"/>
    <mergeCell ref="CZ40:CZ41"/>
    <mergeCell ref="C42:C65"/>
    <mergeCell ref="C66:C74"/>
    <mergeCell ref="C75:C92"/>
    <mergeCell ref="E40:E41"/>
    <mergeCell ref="F40:AJ40"/>
    <mergeCell ref="AK40:BO40"/>
    <mergeCell ref="BP40:CT40"/>
    <mergeCell ref="CV40:CV41"/>
    <mergeCell ref="CW40:CW41"/>
    <mergeCell ref="D48:D49"/>
    <mergeCell ref="D51:D52"/>
    <mergeCell ref="C93:C104"/>
    <mergeCell ref="C105:C122"/>
    <mergeCell ref="C123:C140"/>
    <mergeCell ref="C141:C152"/>
    <mergeCell ref="C153:C161"/>
    <mergeCell ref="D63:D64"/>
    <mergeCell ref="D66:D67"/>
    <mergeCell ref="D69:D70"/>
    <mergeCell ref="D72:D73"/>
  </mergeCells>
  <conditionalFormatting sqref="AK42:BO170">
    <cfRule type="cellIs" dxfId="243" priority="1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8DD"/>
  </sheetPr>
  <dimension ref="B1:R63"/>
  <sheetViews>
    <sheetView showGridLines="0" zoomScaleNormal="100" workbookViewId="0">
      <pane xSplit="3" ySplit="5" topLeftCell="D6" activePane="bottomRight" state="frozen"/>
      <selection activeCell="B4" sqref="B4:B5"/>
      <selection pane="topRight" activeCell="B4" sqref="B4:B5"/>
      <selection pane="bottomLeft" activeCell="B4" sqref="B4:B5"/>
      <selection pane="bottomRight" activeCell="B4" sqref="B4:B5"/>
    </sheetView>
  </sheetViews>
  <sheetFormatPr defaultColWidth="9.109375" defaultRowHeight="13.2" x14ac:dyDescent="0.3"/>
  <cols>
    <col min="1" max="1" width="0.44140625" style="62" customWidth="1"/>
    <col min="2" max="3" width="18.33203125" style="62" customWidth="1"/>
    <col min="4" max="18" width="15.77734375" style="62" customWidth="1"/>
    <col min="19" max="16384" width="9.109375" style="62"/>
  </cols>
  <sheetData>
    <row r="1" spans="2:18" ht="15" customHeight="1" x14ac:dyDescent="0.3">
      <c r="B1" s="124" t="s">
        <v>859</v>
      </c>
      <c r="C1" s="124"/>
      <c r="D1" s="124"/>
      <c r="E1" s="124"/>
    </row>
    <row r="2" spans="2:18" ht="15" customHeight="1" x14ac:dyDescent="0.3">
      <c r="B2" s="125">
        <f>Dashboard!$B$2</f>
        <v>46180</v>
      </c>
      <c r="C2" s="125"/>
    </row>
    <row r="3" spans="2:18" ht="17.55" customHeight="1" x14ac:dyDescent="0.3">
      <c r="D3" s="256" t="s">
        <v>132</v>
      </c>
      <c r="E3" s="257"/>
      <c r="F3" s="257"/>
      <c r="G3" s="257"/>
      <c r="H3" s="258"/>
      <c r="I3" s="260" t="s">
        <v>349</v>
      </c>
      <c r="J3" s="261"/>
      <c r="K3" s="261"/>
      <c r="L3" s="261"/>
      <c r="M3" s="262"/>
      <c r="N3" s="264" t="s">
        <v>860</v>
      </c>
      <c r="O3" s="265"/>
      <c r="P3" s="265"/>
      <c r="Q3" s="265"/>
      <c r="R3" s="266"/>
    </row>
    <row r="4" spans="2:18" ht="1.5" customHeight="1" x14ac:dyDescent="0.3"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</row>
    <row r="5" spans="2:18" ht="27.45" customHeight="1" thickBot="1" x14ac:dyDescent="0.35">
      <c r="C5" s="255" t="s">
        <v>787</v>
      </c>
      <c r="D5" s="259" t="s">
        <v>861</v>
      </c>
      <c r="E5" s="259" t="s">
        <v>862</v>
      </c>
      <c r="F5" s="259" t="s">
        <v>863</v>
      </c>
      <c r="G5" s="259" t="s">
        <v>854</v>
      </c>
      <c r="H5" s="259" t="s">
        <v>420</v>
      </c>
      <c r="I5" s="263" t="s">
        <v>861</v>
      </c>
      <c r="J5" s="263" t="s">
        <v>862</v>
      </c>
      <c r="K5" s="263" t="s">
        <v>863</v>
      </c>
      <c r="L5" s="263" t="s">
        <v>854</v>
      </c>
      <c r="M5" s="263" t="s">
        <v>420</v>
      </c>
      <c r="N5" s="267" t="s">
        <v>861</v>
      </c>
      <c r="O5" s="267" t="s">
        <v>862</v>
      </c>
      <c r="P5" s="267" t="s">
        <v>863</v>
      </c>
      <c r="Q5" s="267" t="s">
        <v>854</v>
      </c>
      <c r="R5" s="267" t="s">
        <v>420</v>
      </c>
    </row>
    <row r="6" spans="2:18" ht="15" customHeight="1" thickTop="1" x14ac:dyDescent="0.3">
      <c r="C6" s="268" t="s">
        <v>465</v>
      </c>
      <c r="D6" s="88">
        <f>Detail_4W!D6</f>
        <v>1582632854.21</v>
      </c>
      <c r="E6" s="269">
        <f>Detail_4W!G6</f>
        <v>3476604.39</v>
      </c>
      <c r="F6" s="269">
        <f>Detail_4W!E6</f>
        <v>961438701.01000023</v>
      </c>
      <c r="G6" s="269">
        <f>Detail_4W!F6</f>
        <v>1579156249.8199999</v>
      </c>
      <c r="H6" s="269">
        <f>Detail_4W!I6</f>
        <v>617717548.80999994</v>
      </c>
      <c r="I6" s="88">
        <f>Detail_2W!D6</f>
        <v>0</v>
      </c>
      <c r="J6" s="269">
        <f>Detail_2W!G6</f>
        <v>0</v>
      </c>
      <c r="K6" s="269">
        <f>Detail_2W!E6</f>
        <v>0</v>
      </c>
      <c r="L6" s="270">
        <f>Detail_2W!F6</f>
        <v>0</v>
      </c>
      <c r="M6" s="270">
        <f>Detail_2W!I6</f>
        <v>0</v>
      </c>
      <c r="N6" s="88">
        <f>I6+D6</f>
        <v>1582632854.21</v>
      </c>
      <c r="O6" s="270">
        <f t="shared" ref="O6:O15" si="0">J6+E6</f>
        <v>3476604.39</v>
      </c>
      <c r="P6" s="270">
        <f t="shared" ref="P6:P15" si="1">K6+F6</f>
        <v>961438701.01000023</v>
      </c>
      <c r="Q6" s="270">
        <f t="shared" ref="Q6:Q15" si="2">L6+G6</f>
        <v>1579156249.8199999</v>
      </c>
      <c r="R6" s="270">
        <f t="shared" ref="R6:R15" si="3">M6+H6</f>
        <v>617717548.80999994</v>
      </c>
    </row>
    <row r="7" spans="2:18" ht="15" customHeight="1" x14ac:dyDescent="0.3">
      <c r="C7" s="268" t="s">
        <v>474</v>
      </c>
      <c r="D7" s="88">
        <f>Detail_4W!D7</f>
        <v>184429062</v>
      </c>
      <c r="E7" s="269">
        <f>Detail_4W!G7</f>
        <v>0</v>
      </c>
      <c r="F7" s="269">
        <f>Detail_4W!E7</f>
        <v>184429062</v>
      </c>
      <c r="G7" s="269">
        <f>Detail_4W!F7</f>
        <v>184429062</v>
      </c>
      <c r="H7" s="269">
        <f>Detail_4W!I7</f>
        <v>0</v>
      </c>
      <c r="I7" s="88">
        <f>Detail_2W!D7</f>
        <v>0</v>
      </c>
      <c r="J7" s="269">
        <f>Detail_2W!G7</f>
        <v>0</v>
      </c>
      <c r="K7" s="269">
        <f>Detail_2W!E7</f>
        <v>0</v>
      </c>
      <c r="L7" s="270">
        <f>Detail_2W!F7</f>
        <v>0</v>
      </c>
      <c r="M7" s="270">
        <f>Detail_2W!I7</f>
        <v>0</v>
      </c>
      <c r="N7" s="88">
        <f t="shared" ref="N7:N15" si="4">I7+D7</f>
        <v>184429062</v>
      </c>
      <c r="O7" s="270">
        <f t="shared" si="0"/>
        <v>0</v>
      </c>
      <c r="P7" s="270">
        <f t="shared" si="1"/>
        <v>184429062</v>
      </c>
      <c r="Q7" s="270">
        <f t="shared" si="2"/>
        <v>184429062</v>
      </c>
      <c r="R7" s="270">
        <f t="shared" si="3"/>
        <v>0</v>
      </c>
    </row>
    <row r="8" spans="2:18" ht="15" customHeight="1" x14ac:dyDescent="0.3">
      <c r="C8" s="268" t="s">
        <v>487</v>
      </c>
      <c r="D8" s="88">
        <f>Detail_4W!D8</f>
        <v>294827796.28999996</v>
      </c>
      <c r="E8" s="269">
        <f>Detail_4W!G8</f>
        <v>0</v>
      </c>
      <c r="F8" s="269">
        <f>Detail_4W!E8</f>
        <v>160022407.81</v>
      </c>
      <c r="G8" s="269">
        <f>Detail_4W!F8</f>
        <v>294827796.28999996</v>
      </c>
      <c r="H8" s="269">
        <f>Detail_4W!I8</f>
        <v>134805388.47999999</v>
      </c>
      <c r="I8" s="88">
        <f>Detail_2W!D8</f>
        <v>3730272.28</v>
      </c>
      <c r="J8" s="269">
        <f>Detail_2W!G8</f>
        <v>0</v>
      </c>
      <c r="K8" s="269">
        <f>Detail_2W!E8</f>
        <v>0</v>
      </c>
      <c r="L8" s="270">
        <f>Detail_2W!F8</f>
        <v>3730272.28</v>
      </c>
      <c r="M8" s="270">
        <f>Detail_2W!I8</f>
        <v>3730272.28</v>
      </c>
      <c r="N8" s="88">
        <f t="shared" si="4"/>
        <v>298558068.56999993</v>
      </c>
      <c r="O8" s="270">
        <f t="shared" si="0"/>
        <v>0</v>
      </c>
      <c r="P8" s="270">
        <f t="shared" si="1"/>
        <v>160022407.81</v>
      </c>
      <c r="Q8" s="270">
        <f t="shared" si="2"/>
        <v>298558068.56999993</v>
      </c>
      <c r="R8" s="270">
        <f t="shared" si="3"/>
        <v>138535660.75999999</v>
      </c>
    </row>
    <row r="9" spans="2:18" ht="15" customHeight="1" x14ac:dyDescent="0.3">
      <c r="C9" s="268" t="s">
        <v>469</v>
      </c>
      <c r="D9" s="88">
        <f>Detail_4W!D9</f>
        <v>184004900.78999996</v>
      </c>
      <c r="E9" s="269">
        <f>Detail_4W!G9</f>
        <v>0</v>
      </c>
      <c r="F9" s="269">
        <f>Detail_4W!E9</f>
        <v>66660504.219999991</v>
      </c>
      <c r="G9" s="269">
        <f>Detail_4W!F9</f>
        <v>184004900.78999996</v>
      </c>
      <c r="H9" s="269">
        <f>Detail_4W!I9</f>
        <v>117344396.56999999</v>
      </c>
      <c r="I9" s="88">
        <f>Detail_2W!D9</f>
        <v>9020053.2400000002</v>
      </c>
      <c r="J9" s="269">
        <f>Detail_2W!G9</f>
        <v>2040389.8599999999</v>
      </c>
      <c r="K9" s="269">
        <f>Detail_2W!E9</f>
        <v>621551.59</v>
      </c>
      <c r="L9" s="270">
        <f>Detail_2W!F9</f>
        <v>6979663.3799999999</v>
      </c>
      <c r="M9" s="270">
        <f>Detail_2W!I9</f>
        <v>6358111.79</v>
      </c>
      <c r="N9" s="88">
        <f t="shared" si="4"/>
        <v>193024954.02999997</v>
      </c>
      <c r="O9" s="270">
        <f t="shared" si="0"/>
        <v>2040389.8599999999</v>
      </c>
      <c r="P9" s="270">
        <f t="shared" si="1"/>
        <v>67282055.809999987</v>
      </c>
      <c r="Q9" s="270">
        <f t="shared" si="2"/>
        <v>190984564.16999996</v>
      </c>
      <c r="R9" s="270">
        <f t="shared" si="3"/>
        <v>123702508.36</v>
      </c>
    </row>
    <row r="10" spans="2:18" ht="15" customHeight="1" x14ac:dyDescent="0.3">
      <c r="C10" s="268" t="s">
        <v>448</v>
      </c>
      <c r="D10" s="88">
        <f>Detail_4W!D10</f>
        <v>1093062400.8800001</v>
      </c>
      <c r="E10" s="269">
        <f>Detail_4W!G10</f>
        <v>5033123.45</v>
      </c>
      <c r="F10" s="269">
        <f>Detail_4W!E10</f>
        <v>534474315.15000004</v>
      </c>
      <c r="G10" s="269">
        <f>Detail_4W!F10</f>
        <v>1088029277.4300001</v>
      </c>
      <c r="H10" s="269">
        <f>Detail_4W!I10</f>
        <v>553554962.28000009</v>
      </c>
      <c r="I10" s="88">
        <f>Detail_2W!D10</f>
        <v>40865888.520000003</v>
      </c>
      <c r="J10" s="269">
        <f>Detail_2W!G10</f>
        <v>0</v>
      </c>
      <c r="K10" s="269">
        <f>Detail_2W!E10</f>
        <v>36314189.150000006</v>
      </c>
      <c r="L10" s="270">
        <f>Detail_2W!F10</f>
        <v>40865888.520000003</v>
      </c>
      <c r="M10" s="270">
        <f>Detail_2W!I10</f>
        <v>4551699.37</v>
      </c>
      <c r="N10" s="88">
        <f t="shared" si="4"/>
        <v>1133928289.4000001</v>
      </c>
      <c r="O10" s="270">
        <f t="shared" si="0"/>
        <v>5033123.45</v>
      </c>
      <c r="P10" s="270">
        <f t="shared" si="1"/>
        <v>570788504.30000007</v>
      </c>
      <c r="Q10" s="270">
        <f t="shared" si="2"/>
        <v>1128895165.95</v>
      </c>
      <c r="R10" s="270">
        <f t="shared" si="3"/>
        <v>558106661.6500001</v>
      </c>
    </row>
    <row r="11" spans="2:18" ht="15" customHeight="1" x14ac:dyDescent="0.3">
      <c r="C11" s="268" t="s">
        <v>454</v>
      </c>
      <c r="D11" s="88">
        <f>Detail_4W!D11</f>
        <v>520287306.93000001</v>
      </c>
      <c r="E11" s="269">
        <f>Detail_4W!G11</f>
        <v>0</v>
      </c>
      <c r="F11" s="269">
        <f>Detail_4W!E11</f>
        <v>75428285.129999995</v>
      </c>
      <c r="G11" s="269">
        <f>Detail_4W!F11</f>
        <v>520287306.93000001</v>
      </c>
      <c r="H11" s="269">
        <f>Detail_4W!I11</f>
        <v>444859021.80000001</v>
      </c>
      <c r="I11" s="88">
        <f>Detail_2W!D11</f>
        <v>0</v>
      </c>
      <c r="J11" s="269">
        <f>Detail_2W!G11</f>
        <v>0</v>
      </c>
      <c r="K11" s="269">
        <f>Detail_2W!E11</f>
        <v>0</v>
      </c>
      <c r="L11" s="270">
        <f>Detail_2W!F11</f>
        <v>0</v>
      </c>
      <c r="M11" s="270">
        <f>Detail_2W!I11</f>
        <v>0</v>
      </c>
      <c r="N11" s="88">
        <f t="shared" si="4"/>
        <v>520287306.93000001</v>
      </c>
      <c r="O11" s="270">
        <f t="shared" si="0"/>
        <v>0</v>
      </c>
      <c r="P11" s="270">
        <f t="shared" si="1"/>
        <v>75428285.129999995</v>
      </c>
      <c r="Q11" s="270">
        <f t="shared" si="2"/>
        <v>520287306.93000001</v>
      </c>
      <c r="R11" s="270">
        <f t="shared" si="3"/>
        <v>444859021.80000001</v>
      </c>
    </row>
    <row r="12" spans="2:18" ht="15" customHeight="1" x14ac:dyDescent="0.3">
      <c r="C12" s="268" t="s">
        <v>500</v>
      </c>
      <c r="D12" s="88">
        <f>Detail_4W!D12</f>
        <v>311803040.88999999</v>
      </c>
      <c r="E12" s="269">
        <f>Detail_4W!G12</f>
        <v>0</v>
      </c>
      <c r="F12" s="269">
        <f>Detail_4W!E12</f>
        <v>10371616.65</v>
      </c>
      <c r="G12" s="269">
        <f>Detail_4W!F12</f>
        <v>311803040.88999999</v>
      </c>
      <c r="H12" s="269">
        <f>Detail_4W!I12</f>
        <v>301431424.24000001</v>
      </c>
      <c r="I12" s="88">
        <f>Detail_2W!D12</f>
        <v>0</v>
      </c>
      <c r="J12" s="269">
        <f>Detail_2W!G12</f>
        <v>0</v>
      </c>
      <c r="K12" s="269">
        <f>Detail_2W!E12</f>
        <v>0</v>
      </c>
      <c r="L12" s="270">
        <f>Detail_2W!F12</f>
        <v>0</v>
      </c>
      <c r="M12" s="270">
        <f>Detail_2W!I12</f>
        <v>0</v>
      </c>
      <c r="N12" s="88">
        <f t="shared" si="4"/>
        <v>311803040.88999999</v>
      </c>
      <c r="O12" s="270">
        <f t="shared" si="0"/>
        <v>0</v>
      </c>
      <c r="P12" s="270">
        <f t="shared" si="1"/>
        <v>10371616.65</v>
      </c>
      <c r="Q12" s="270">
        <f t="shared" si="2"/>
        <v>311803040.88999999</v>
      </c>
      <c r="R12" s="270">
        <f t="shared" si="3"/>
        <v>301431424.24000001</v>
      </c>
    </row>
    <row r="13" spans="2:18" ht="15" customHeight="1" x14ac:dyDescent="0.3">
      <c r="C13" s="268" t="s">
        <v>480</v>
      </c>
      <c r="D13" s="88">
        <f>Detail_4W!D13</f>
        <v>651125261.56999993</v>
      </c>
      <c r="E13" s="269">
        <f>Detail_4W!G13</f>
        <v>10482149.85</v>
      </c>
      <c r="F13" s="269">
        <f>Detail_4W!E13</f>
        <v>526839242.5</v>
      </c>
      <c r="G13" s="269">
        <f>Detail_4W!F13</f>
        <v>640643111.71999991</v>
      </c>
      <c r="H13" s="269">
        <f>Detail_4W!I13</f>
        <v>113803869.22</v>
      </c>
      <c r="I13" s="88">
        <f>Detail_2W!D13</f>
        <v>0</v>
      </c>
      <c r="J13" s="269">
        <f>Detail_2W!G13</f>
        <v>0</v>
      </c>
      <c r="K13" s="269">
        <f>Detail_2W!E13</f>
        <v>0</v>
      </c>
      <c r="L13" s="270">
        <f>Detail_2W!F13</f>
        <v>0</v>
      </c>
      <c r="M13" s="270">
        <f>Detail_2W!I13</f>
        <v>0</v>
      </c>
      <c r="N13" s="88">
        <f t="shared" si="4"/>
        <v>651125261.56999993</v>
      </c>
      <c r="O13" s="270">
        <f t="shared" si="0"/>
        <v>10482149.85</v>
      </c>
      <c r="P13" s="270">
        <f t="shared" si="1"/>
        <v>526839242.5</v>
      </c>
      <c r="Q13" s="270">
        <f t="shared" si="2"/>
        <v>640643111.71999991</v>
      </c>
      <c r="R13" s="270">
        <f t="shared" si="3"/>
        <v>113803869.22</v>
      </c>
    </row>
    <row r="14" spans="2:18" ht="15" customHeight="1" x14ac:dyDescent="0.3">
      <c r="C14" s="268" t="s">
        <v>576</v>
      </c>
      <c r="D14" s="88">
        <f>Detail_4W!D14</f>
        <v>981715850.13999987</v>
      </c>
      <c r="E14" s="269">
        <f>Detail_4W!G14</f>
        <v>234814304.66</v>
      </c>
      <c r="F14" s="269">
        <f>Detail_4W!E14</f>
        <v>120904179.39</v>
      </c>
      <c r="G14" s="269">
        <f>Detail_4W!F14</f>
        <v>746901545.48000002</v>
      </c>
      <c r="H14" s="269">
        <f>Detail_4W!I14</f>
        <v>625997366.08999991</v>
      </c>
      <c r="I14" s="88">
        <f>Detail_2W!D14</f>
        <v>0</v>
      </c>
      <c r="J14" s="269">
        <f>Detail_2W!G14</f>
        <v>0</v>
      </c>
      <c r="K14" s="269">
        <f>Detail_2W!E14</f>
        <v>0</v>
      </c>
      <c r="L14" s="270">
        <f>Detail_2W!F14</f>
        <v>0</v>
      </c>
      <c r="M14" s="270">
        <f>Detail_2W!I14</f>
        <v>0</v>
      </c>
      <c r="N14" s="88">
        <f t="shared" si="4"/>
        <v>981715850.13999987</v>
      </c>
      <c r="O14" s="270">
        <f t="shared" si="0"/>
        <v>234814304.66</v>
      </c>
      <c r="P14" s="270">
        <f t="shared" si="1"/>
        <v>120904179.39</v>
      </c>
      <c r="Q14" s="270">
        <f t="shared" si="2"/>
        <v>746901545.48000002</v>
      </c>
      <c r="R14" s="270">
        <f t="shared" si="3"/>
        <v>625997366.08999991</v>
      </c>
    </row>
    <row r="15" spans="2:18" ht="17.55" customHeight="1" x14ac:dyDescent="0.3">
      <c r="C15" s="271" t="s">
        <v>794</v>
      </c>
      <c r="D15" s="272">
        <f>Detail_4W!D15</f>
        <v>5803888473.6999989</v>
      </c>
      <c r="E15" s="272">
        <f>Detail_4W!G15</f>
        <v>253806182.34999999</v>
      </c>
      <c r="F15" s="272">
        <f>Detail_4W!E15</f>
        <v>2640568313.8600001</v>
      </c>
      <c r="G15" s="272">
        <f>Detail_4W!F15</f>
        <v>5550082291.3500004</v>
      </c>
      <c r="H15" s="272">
        <f>Detail_4W!I15</f>
        <v>2909513977.4899998</v>
      </c>
      <c r="I15" s="272">
        <f>Detail_2W!D15</f>
        <v>53616214.040000007</v>
      </c>
      <c r="J15" s="272">
        <f>Detail_2W!G15</f>
        <v>2040389.8599999999</v>
      </c>
      <c r="K15" s="272">
        <f>Detail_2W!E15</f>
        <v>36935740.74000001</v>
      </c>
      <c r="L15" s="273">
        <f>Detail_2W!F15</f>
        <v>51575824.180000007</v>
      </c>
      <c r="M15" s="273">
        <f>Detail_2W!I15</f>
        <v>14640083.440000001</v>
      </c>
      <c r="N15" s="273">
        <f t="shared" si="4"/>
        <v>5857504687.7399988</v>
      </c>
      <c r="O15" s="273">
        <f t="shared" si="0"/>
        <v>255846572.21000001</v>
      </c>
      <c r="P15" s="273">
        <f t="shared" si="1"/>
        <v>2677504054.6000004</v>
      </c>
      <c r="Q15" s="273">
        <f t="shared" si="2"/>
        <v>5601658115.5300007</v>
      </c>
      <c r="R15" s="273">
        <f t="shared" si="3"/>
        <v>2924154060.9299998</v>
      </c>
    </row>
    <row r="16" spans="2:18" ht="4.95" customHeight="1" x14ac:dyDescent="0.3"/>
    <row r="17" spans="2:18" ht="17.55" customHeight="1" x14ac:dyDescent="0.3">
      <c r="D17" s="256" t="s">
        <v>132</v>
      </c>
      <c r="E17" s="257"/>
      <c r="F17" s="257"/>
      <c r="G17" s="257"/>
      <c r="H17" s="258"/>
      <c r="I17" s="260" t="s">
        <v>349</v>
      </c>
      <c r="J17" s="261"/>
      <c r="K17" s="261"/>
      <c r="L17" s="261"/>
      <c r="M17" s="262"/>
      <c r="N17" s="264" t="s">
        <v>860</v>
      </c>
      <c r="O17" s="265"/>
      <c r="P17" s="265"/>
      <c r="Q17" s="265"/>
      <c r="R17" s="266"/>
    </row>
    <row r="18" spans="2:18" ht="1.5" customHeight="1" x14ac:dyDescent="0.3"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</row>
    <row r="19" spans="2:18" ht="27.45" customHeight="1" thickBot="1" x14ac:dyDescent="0.35">
      <c r="B19" s="255" t="s">
        <v>787</v>
      </c>
      <c r="C19" s="255" t="s">
        <v>788</v>
      </c>
      <c r="D19" s="259" t="s">
        <v>861</v>
      </c>
      <c r="E19" s="259" t="s">
        <v>862</v>
      </c>
      <c r="F19" s="259" t="s">
        <v>863</v>
      </c>
      <c r="G19" s="259" t="s">
        <v>854</v>
      </c>
      <c r="H19" s="259" t="s">
        <v>420</v>
      </c>
      <c r="I19" s="263" t="s">
        <v>861</v>
      </c>
      <c r="J19" s="263" t="s">
        <v>862</v>
      </c>
      <c r="K19" s="263" t="s">
        <v>863</v>
      </c>
      <c r="L19" s="263" t="s">
        <v>854</v>
      </c>
      <c r="M19" s="263" t="s">
        <v>420</v>
      </c>
      <c r="N19" s="267" t="s">
        <v>861</v>
      </c>
      <c r="O19" s="267" t="s">
        <v>862</v>
      </c>
      <c r="P19" s="267" t="s">
        <v>863</v>
      </c>
      <c r="Q19" s="267" t="s">
        <v>854</v>
      </c>
      <c r="R19" s="267" t="s">
        <v>420</v>
      </c>
    </row>
    <row r="20" spans="2:18" ht="15" customHeight="1" thickTop="1" x14ac:dyDescent="0.3">
      <c r="B20" s="274" t="s">
        <v>465</v>
      </c>
      <c r="C20" s="275" t="s">
        <v>0</v>
      </c>
      <c r="D20" s="87">
        <f>Detail_4W!D18</f>
        <v>425421876.79000002</v>
      </c>
      <c r="E20" s="270">
        <f>Detail_4W!G18</f>
        <v>0</v>
      </c>
      <c r="F20" s="270">
        <f>Detail_4W!E18</f>
        <v>120624513.83</v>
      </c>
      <c r="G20" s="270">
        <f>Detail_4W!F18</f>
        <v>425421876.79000002</v>
      </c>
      <c r="H20" s="270">
        <f>Detail_4W!I18</f>
        <v>304797362.95999998</v>
      </c>
      <c r="I20" s="87">
        <f>Detail_2W!D18</f>
        <v>0</v>
      </c>
      <c r="J20" s="270">
        <f>Detail_2W!G18</f>
        <v>0</v>
      </c>
      <c r="K20" s="270">
        <f>Detail_2W!E18</f>
        <v>0</v>
      </c>
      <c r="L20" s="269">
        <f>Detail_2W!F18</f>
        <v>0</v>
      </c>
      <c r="M20" s="269">
        <f>Detail_2W!I18</f>
        <v>0</v>
      </c>
      <c r="N20" s="87">
        <f t="shared" ref="N20:N63" si="5">I20+D20</f>
        <v>425421876.79000002</v>
      </c>
      <c r="O20" s="269">
        <f t="shared" ref="O20:O63" si="6">J20+E20</f>
        <v>0</v>
      </c>
      <c r="P20" s="269">
        <f t="shared" ref="P20:P63" si="7">K20+F20</f>
        <v>120624513.83</v>
      </c>
      <c r="Q20" s="269">
        <f t="shared" ref="Q20:Q63" si="8">L20+G20</f>
        <v>425421876.79000002</v>
      </c>
      <c r="R20" s="269">
        <f t="shared" ref="R20:R63" si="9">M20+H20</f>
        <v>304797362.95999998</v>
      </c>
    </row>
    <row r="21" spans="2:18" ht="15" customHeight="1" x14ac:dyDescent="0.3">
      <c r="B21" s="274" t="s">
        <v>465</v>
      </c>
      <c r="C21" s="275" t="s">
        <v>11</v>
      </c>
      <c r="D21" s="87">
        <f>Detail_4W!D19</f>
        <v>189788967.87</v>
      </c>
      <c r="E21" s="270">
        <f>Detail_4W!G19</f>
        <v>0</v>
      </c>
      <c r="F21" s="270">
        <f>Detail_4W!E19</f>
        <v>189788967.87</v>
      </c>
      <c r="G21" s="270">
        <f>Detail_4W!F19</f>
        <v>189788967.87</v>
      </c>
      <c r="H21" s="270">
        <f>Detail_4W!I19</f>
        <v>0</v>
      </c>
      <c r="I21" s="87">
        <f>Detail_2W!D19</f>
        <v>0</v>
      </c>
      <c r="J21" s="270">
        <f>Detail_2W!G19</f>
        <v>0</v>
      </c>
      <c r="K21" s="270">
        <f>Detail_2W!E19</f>
        <v>0</v>
      </c>
      <c r="L21" s="269">
        <f>Detail_2W!F19</f>
        <v>0</v>
      </c>
      <c r="M21" s="269">
        <f>Detail_2W!I19</f>
        <v>0</v>
      </c>
      <c r="N21" s="87">
        <f t="shared" si="5"/>
        <v>189788967.87</v>
      </c>
      <c r="O21" s="269">
        <f t="shared" si="6"/>
        <v>0</v>
      </c>
      <c r="P21" s="269">
        <f t="shared" si="7"/>
        <v>189788967.87</v>
      </c>
      <c r="Q21" s="269">
        <f t="shared" si="8"/>
        <v>189788967.87</v>
      </c>
      <c r="R21" s="269">
        <f t="shared" si="9"/>
        <v>0</v>
      </c>
    </row>
    <row r="22" spans="2:18" ht="15" customHeight="1" x14ac:dyDescent="0.3">
      <c r="B22" s="274" t="s">
        <v>465</v>
      </c>
      <c r="C22" s="275" t="s">
        <v>7</v>
      </c>
      <c r="D22" s="87">
        <f>Detail_4W!D20</f>
        <v>635227624.50999999</v>
      </c>
      <c r="E22" s="270">
        <f>Detail_4W!G20</f>
        <v>0</v>
      </c>
      <c r="F22" s="270">
        <f>Detail_4W!E20</f>
        <v>423381622.76000005</v>
      </c>
      <c r="G22" s="270">
        <f>Detail_4W!F20</f>
        <v>635227624.50999999</v>
      </c>
      <c r="H22" s="270">
        <f>Detail_4W!I20</f>
        <v>211846001.75</v>
      </c>
      <c r="I22" s="87">
        <f>Detail_2W!D20</f>
        <v>0</v>
      </c>
      <c r="J22" s="270">
        <f>Detail_2W!G20</f>
        <v>0</v>
      </c>
      <c r="K22" s="270">
        <f>Detail_2W!E20</f>
        <v>0</v>
      </c>
      <c r="L22" s="269">
        <f>Detail_2W!F20</f>
        <v>0</v>
      </c>
      <c r="M22" s="269">
        <f>Detail_2W!I20</f>
        <v>0</v>
      </c>
      <c r="N22" s="87">
        <f t="shared" si="5"/>
        <v>635227624.50999999</v>
      </c>
      <c r="O22" s="269">
        <f t="shared" si="6"/>
        <v>0</v>
      </c>
      <c r="P22" s="269">
        <f t="shared" si="7"/>
        <v>423381622.76000005</v>
      </c>
      <c r="Q22" s="269">
        <f t="shared" si="8"/>
        <v>635227624.50999999</v>
      </c>
      <c r="R22" s="269">
        <f t="shared" si="9"/>
        <v>211846001.75</v>
      </c>
    </row>
    <row r="23" spans="2:18" ht="15" customHeight="1" x14ac:dyDescent="0.3">
      <c r="B23" s="274" t="s">
        <v>465</v>
      </c>
      <c r="C23" s="275" t="s">
        <v>2</v>
      </c>
      <c r="D23" s="87">
        <f>Detail_4W!D21</f>
        <v>24977815.32</v>
      </c>
      <c r="E23" s="270">
        <f>Detail_4W!G21</f>
        <v>0</v>
      </c>
      <c r="F23" s="270">
        <f>Detail_4W!E21</f>
        <v>24977815.32</v>
      </c>
      <c r="G23" s="270">
        <f>Detail_4W!F21</f>
        <v>24977815.32</v>
      </c>
      <c r="H23" s="270">
        <f>Detail_4W!I21</f>
        <v>0</v>
      </c>
      <c r="I23" s="87">
        <f>Detail_2W!D21</f>
        <v>0</v>
      </c>
      <c r="J23" s="270">
        <f>Detail_2W!G21</f>
        <v>0</v>
      </c>
      <c r="K23" s="270">
        <f>Detail_2W!E21</f>
        <v>0</v>
      </c>
      <c r="L23" s="269">
        <f>Detail_2W!F21</f>
        <v>0</v>
      </c>
      <c r="M23" s="269">
        <f>Detail_2W!I21</f>
        <v>0</v>
      </c>
      <c r="N23" s="87">
        <f t="shared" si="5"/>
        <v>24977815.32</v>
      </c>
      <c r="O23" s="269">
        <f t="shared" si="6"/>
        <v>0</v>
      </c>
      <c r="P23" s="269">
        <f t="shared" si="7"/>
        <v>24977815.32</v>
      </c>
      <c r="Q23" s="269">
        <f t="shared" si="8"/>
        <v>24977815.32</v>
      </c>
      <c r="R23" s="269">
        <f t="shared" si="9"/>
        <v>0</v>
      </c>
    </row>
    <row r="24" spans="2:18" ht="15" customHeight="1" x14ac:dyDescent="0.3">
      <c r="B24" s="274" t="s">
        <v>465</v>
      </c>
      <c r="C24" s="275" t="s">
        <v>13</v>
      </c>
      <c r="D24" s="87">
        <f>Detail_4W!D22</f>
        <v>0</v>
      </c>
      <c r="E24" s="270">
        <f>Detail_4W!G22</f>
        <v>0</v>
      </c>
      <c r="F24" s="270">
        <f>Detail_4W!E22</f>
        <v>0</v>
      </c>
      <c r="G24" s="270">
        <f>Detail_4W!F22</f>
        <v>0</v>
      </c>
      <c r="H24" s="270">
        <f>Detail_4W!I22</f>
        <v>0</v>
      </c>
      <c r="I24" s="87">
        <f>Detail_2W!D22</f>
        <v>0</v>
      </c>
      <c r="J24" s="270">
        <f>Detail_2W!G22</f>
        <v>0</v>
      </c>
      <c r="K24" s="270">
        <f>Detail_2W!E22</f>
        <v>0</v>
      </c>
      <c r="L24" s="269">
        <f>Detail_2W!F22</f>
        <v>0</v>
      </c>
      <c r="M24" s="269">
        <f>Detail_2W!I22</f>
        <v>0</v>
      </c>
      <c r="N24" s="87">
        <f t="shared" si="5"/>
        <v>0</v>
      </c>
      <c r="O24" s="269">
        <f t="shared" si="6"/>
        <v>0</v>
      </c>
      <c r="P24" s="269">
        <f t="shared" si="7"/>
        <v>0</v>
      </c>
      <c r="Q24" s="269">
        <f t="shared" si="8"/>
        <v>0</v>
      </c>
      <c r="R24" s="269">
        <f t="shared" si="9"/>
        <v>0</v>
      </c>
    </row>
    <row r="25" spans="2:18" ht="15" customHeight="1" x14ac:dyDescent="0.3">
      <c r="B25" s="274" t="s">
        <v>465</v>
      </c>
      <c r="C25" s="275" t="s">
        <v>5</v>
      </c>
      <c r="D25" s="87">
        <f>Detail_4W!D23</f>
        <v>15752499.1</v>
      </c>
      <c r="E25" s="270">
        <f>Detail_4W!G23</f>
        <v>0</v>
      </c>
      <c r="F25" s="270">
        <f>Detail_4W!E23</f>
        <v>15752499.1</v>
      </c>
      <c r="G25" s="270">
        <f>Detail_4W!F23</f>
        <v>15752499.1</v>
      </c>
      <c r="H25" s="270">
        <f>Detail_4W!I23</f>
        <v>0</v>
      </c>
      <c r="I25" s="87">
        <f>Detail_2W!D23</f>
        <v>0</v>
      </c>
      <c r="J25" s="270">
        <f>Detail_2W!G23</f>
        <v>0</v>
      </c>
      <c r="K25" s="270">
        <f>Detail_2W!E23</f>
        <v>0</v>
      </c>
      <c r="L25" s="269">
        <f>Detail_2W!F23</f>
        <v>0</v>
      </c>
      <c r="M25" s="269">
        <f>Detail_2W!I23</f>
        <v>0</v>
      </c>
      <c r="N25" s="87">
        <f t="shared" si="5"/>
        <v>15752499.1</v>
      </c>
      <c r="O25" s="269">
        <f t="shared" si="6"/>
        <v>0</v>
      </c>
      <c r="P25" s="269">
        <f t="shared" si="7"/>
        <v>15752499.1</v>
      </c>
      <c r="Q25" s="269">
        <f t="shared" si="8"/>
        <v>15752499.1</v>
      </c>
      <c r="R25" s="269">
        <f t="shared" si="9"/>
        <v>0</v>
      </c>
    </row>
    <row r="26" spans="2:18" ht="15" customHeight="1" x14ac:dyDescent="0.3">
      <c r="B26" s="274" t="s">
        <v>465</v>
      </c>
      <c r="C26" s="275" t="s">
        <v>9</v>
      </c>
      <c r="D26" s="87">
        <f>Detail_4W!D24</f>
        <v>92005081.439999998</v>
      </c>
      <c r="E26" s="270">
        <f>Detail_4W!G24</f>
        <v>0</v>
      </c>
      <c r="F26" s="270">
        <f>Detail_4W!E24</f>
        <v>92005081.439999998</v>
      </c>
      <c r="G26" s="270">
        <f>Detail_4W!F24</f>
        <v>92005081.439999998</v>
      </c>
      <c r="H26" s="270">
        <f>Detail_4W!I24</f>
        <v>0</v>
      </c>
      <c r="I26" s="87">
        <f>Detail_2W!D24</f>
        <v>0</v>
      </c>
      <c r="J26" s="270">
        <f>Detail_2W!G24</f>
        <v>0</v>
      </c>
      <c r="K26" s="270">
        <f>Detail_2W!E24</f>
        <v>0</v>
      </c>
      <c r="L26" s="269">
        <f>Detail_2W!F24</f>
        <v>0</v>
      </c>
      <c r="M26" s="269">
        <f>Detail_2W!I24</f>
        <v>0</v>
      </c>
      <c r="N26" s="87">
        <f t="shared" si="5"/>
        <v>92005081.439999998</v>
      </c>
      <c r="O26" s="269">
        <f t="shared" si="6"/>
        <v>0</v>
      </c>
      <c r="P26" s="269">
        <f t="shared" si="7"/>
        <v>92005081.439999998</v>
      </c>
      <c r="Q26" s="269">
        <f t="shared" si="8"/>
        <v>92005081.439999998</v>
      </c>
      <c r="R26" s="269">
        <f t="shared" si="9"/>
        <v>0</v>
      </c>
    </row>
    <row r="27" spans="2:18" ht="15" customHeight="1" x14ac:dyDescent="0.3">
      <c r="B27" s="274" t="s">
        <v>465</v>
      </c>
      <c r="C27" s="275" t="s">
        <v>15</v>
      </c>
      <c r="D27" s="87">
        <f>Detail_4W!D25</f>
        <v>199458989.18000001</v>
      </c>
      <c r="E27" s="270">
        <f>Detail_4W!G25</f>
        <v>3476604.39</v>
      </c>
      <c r="F27" s="270">
        <f>Detail_4W!E25</f>
        <v>94908200.689999998</v>
      </c>
      <c r="G27" s="270">
        <f>Detail_4W!F25</f>
        <v>195982384.79000002</v>
      </c>
      <c r="H27" s="270">
        <f>Detail_4W!I25</f>
        <v>101074184.09999999</v>
      </c>
      <c r="I27" s="87">
        <f>Detail_2W!D25</f>
        <v>0</v>
      </c>
      <c r="J27" s="270">
        <f>Detail_2W!G25</f>
        <v>0</v>
      </c>
      <c r="K27" s="270">
        <f>Detail_2W!E25</f>
        <v>0</v>
      </c>
      <c r="L27" s="269">
        <f>Detail_2W!F25</f>
        <v>0</v>
      </c>
      <c r="M27" s="269">
        <f>Detail_2W!I25</f>
        <v>0</v>
      </c>
      <c r="N27" s="87">
        <f t="shared" si="5"/>
        <v>199458989.18000001</v>
      </c>
      <c r="O27" s="269">
        <f t="shared" si="6"/>
        <v>3476604.39</v>
      </c>
      <c r="P27" s="269">
        <f t="shared" si="7"/>
        <v>94908200.689999998</v>
      </c>
      <c r="Q27" s="269">
        <f t="shared" si="8"/>
        <v>195982384.79000002</v>
      </c>
      <c r="R27" s="269">
        <f t="shared" si="9"/>
        <v>101074184.09999999</v>
      </c>
    </row>
    <row r="28" spans="2:18" ht="15" customHeight="1" x14ac:dyDescent="0.3">
      <c r="B28" s="274" t="s">
        <v>474</v>
      </c>
      <c r="C28" s="275" t="s">
        <v>158</v>
      </c>
      <c r="D28" s="87">
        <f>Detail_4W!D26</f>
        <v>184429062</v>
      </c>
      <c r="E28" s="270">
        <f>Detail_4W!G26</f>
        <v>0</v>
      </c>
      <c r="F28" s="270">
        <f>Detail_4W!E26</f>
        <v>184429062</v>
      </c>
      <c r="G28" s="270">
        <f>Detail_4W!F26</f>
        <v>184429062</v>
      </c>
      <c r="H28" s="270">
        <f>Detail_4W!I26</f>
        <v>0</v>
      </c>
      <c r="I28" s="87">
        <f>Detail_2W!D26</f>
        <v>0</v>
      </c>
      <c r="J28" s="270">
        <f>Detail_2W!G26</f>
        <v>0</v>
      </c>
      <c r="K28" s="270">
        <f>Detail_2W!E26</f>
        <v>0</v>
      </c>
      <c r="L28" s="269">
        <f>Detail_2W!F26</f>
        <v>0</v>
      </c>
      <c r="M28" s="269">
        <f>Detail_2W!I26</f>
        <v>0</v>
      </c>
      <c r="N28" s="87">
        <f t="shared" si="5"/>
        <v>184429062</v>
      </c>
      <c r="O28" s="269">
        <f t="shared" si="6"/>
        <v>0</v>
      </c>
      <c r="P28" s="269">
        <f t="shared" si="7"/>
        <v>184429062</v>
      </c>
      <c r="Q28" s="269">
        <f t="shared" si="8"/>
        <v>184429062</v>
      </c>
      <c r="R28" s="269">
        <f t="shared" si="9"/>
        <v>0</v>
      </c>
    </row>
    <row r="29" spans="2:18" ht="15" customHeight="1" x14ac:dyDescent="0.3">
      <c r="B29" s="274" t="s">
        <v>474</v>
      </c>
      <c r="C29" s="275" t="s">
        <v>299</v>
      </c>
      <c r="D29" s="87">
        <f>Detail_4W!D27</f>
        <v>0</v>
      </c>
      <c r="E29" s="270">
        <f>Detail_4W!G27</f>
        <v>0</v>
      </c>
      <c r="F29" s="270">
        <f>Detail_4W!E27</f>
        <v>0</v>
      </c>
      <c r="G29" s="270">
        <f>Detail_4W!F27</f>
        <v>0</v>
      </c>
      <c r="H29" s="270">
        <f>Detail_4W!I27</f>
        <v>0</v>
      </c>
      <c r="I29" s="87">
        <f>Detail_2W!D27</f>
        <v>0</v>
      </c>
      <c r="J29" s="270">
        <f>Detail_2W!G27</f>
        <v>0</v>
      </c>
      <c r="K29" s="270">
        <f>Detail_2W!E27</f>
        <v>0</v>
      </c>
      <c r="L29" s="269">
        <f>Detail_2W!F27</f>
        <v>0</v>
      </c>
      <c r="M29" s="269">
        <f>Detail_2W!I27</f>
        <v>0</v>
      </c>
      <c r="N29" s="87">
        <f t="shared" si="5"/>
        <v>0</v>
      </c>
      <c r="O29" s="269">
        <f t="shared" si="6"/>
        <v>0</v>
      </c>
      <c r="P29" s="269">
        <f t="shared" si="7"/>
        <v>0</v>
      </c>
      <c r="Q29" s="269">
        <f t="shared" si="8"/>
        <v>0</v>
      </c>
      <c r="R29" s="269">
        <f t="shared" si="9"/>
        <v>0</v>
      </c>
    </row>
    <row r="30" spans="2:18" ht="15" customHeight="1" x14ac:dyDescent="0.3">
      <c r="B30" s="274" t="s">
        <v>474</v>
      </c>
      <c r="C30" s="275" t="s">
        <v>173</v>
      </c>
      <c r="D30" s="87">
        <f>Detail_4W!D28</f>
        <v>0</v>
      </c>
      <c r="E30" s="270">
        <f>Detail_4W!G28</f>
        <v>0</v>
      </c>
      <c r="F30" s="270">
        <f>Detail_4W!E28</f>
        <v>0</v>
      </c>
      <c r="G30" s="270">
        <f>Detail_4W!F28</f>
        <v>0</v>
      </c>
      <c r="H30" s="270">
        <f>Detail_4W!I28</f>
        <v>0</v>
      </c>
      <c r="I30" s="87">
        <f>Detail_2W!D28</f>
        <v>0</v>
      </c>
      <c r="J30" s="270">
        <f>Detail_2W!G28</f>
        <v>0</v>
      </c>
      <c r="K30" s="270">
        <f>Detail_2W!E28</f>
        <v>0</v>
      </c>
      <c r="L30" s="269">
        <f>Detail_2W!F28</f>
        <v>0</v>
      </c>
      <c r="M30" s="269">
        <f>Detail_2W!I28</f>
        <v>0</v>
      </c>
      <c r="N30" s="87">
        <f t="shared" si="5"/>
        <v>0</v>
      </c>
      <c r="O30" s="269">
        <f t="shared" si="6"/>
        <v>0</v>
      </c>
      <c r="P30" s="269">
        <f t="shared" si="7"/>
        <v>0</v>
      </c>
      <c r="Q30" s="269">
        <f t="shared" si="8"/>
        <v>0</v>
      </c>
      <c r="R30" s="269">
        <f t="shared" si="9"/>
        <v>0</v>
      </c>
    </row>
    <row r="31" spans="2:18" ht="15" customHeight="1" x14ac:dyDescent="0.3">
      <c r="B31" s="274" t="s">
        <v>487</v>
      </c>
      <c r="C31" s="275" t="s">
        <v>212</v>
      </c>
      <c r="D31" s="87">
        <f>Detail_4W!D29</f>
        <v>0</v>
      </c>
      <c r="E31" s="270">
        <f>Detail_4W!G29</f>
        <v>0</v>
      </c>
      <c r="F31" s="270">
        <f>Detail_4W!E29</f>
        <v>0</v>
      </c>
      <c r="G31" s="270">
        <f>Detail_4W!F29</f>
        <v>0</v>
      </c>
      <c r="H31" s="270">
        <f>Detail_4W!I29</f>
        <v>0</v>
      </c>
      <c r="I31" s="87">
        <f>Detail_2W!D29</f>
        <v>0</v>
      </c>
      <c r="J31" s="270">
        <f>Detail_2W!G29</f>
        <v>0</v>
      </c>
      <c r="K31" s="270">
        <f>Detail_2W!E29</f>
        <v>0</v>
      </c>
      <c r="L31" s="269">
        <f>Detail_2W!F29</f>
        <v>0</v>
      </c>
      <c r="M31" s="269">
        <f>Detail_2W!I29</f>
        <v>0</v>
      </c>
      <c r="N31" s="87">
        <f t="shared" si="5"/>
        <v>0</v>
      </c>
      <c r="O31" s="269">
        <f t="shared" si="6"/>
        <v>0</v>
      </c>
      <c r="P31" s="269">
        <f t="shared" si="7"/>
        <v>0</v>
      </c>
      <c r="Q31" s="269">
        <f t="shared" si="8"/>
        <v>0</v>
      </c>
      <c r="R31" s="269">
        <f t="shared" si="9"/>
        <v>0</v>
      </c>
    </row>
    <row r="32" spans="2:18" ht="15" customHeight="1" x14ac:dyDescent="0.3">
      <c r="B32" s="274" t="s">
        <v>487</v>
      </c>
      <c r="C32" s="275" t="s">
        <v>220</v>
      </c>
      <c r="D32" s="87">
        <f>Detail_4W!D30</f>
        <v>0</v>
      </c>
      <c r="E32" s="270">
        <f>Detail_4W!G30</f>
        <v>0</v>
      </c>
      <c r="F32" s="270">
        <f>Detail_4W!E30</f>
        <v>0</v>
      </c>
      <c r="G32" s="270">
        <f>Detail_4W!F30</f>
        <v>0</v>
      </c>
      <c r="H32" s="270">
        <f>Detail_4W!I30</f>
        <v>0</v>
      </c>
      <c r="I32" s="87">
        <f>Detail_2W!D30</f>
        <v>0</v>
      </c>
      <c r="J32" s="270">
        <f>Detail_2W!G30</f>
        <v>0</v>
      </c>
      <c r="K32" s="270">
        <f>Detail_2W!E30</f>
        <v>0</v>
      </c>
      <c r="L32" s="269">
        <f>Detail_2W!F30</f>
        <v>0</v>
      </c>
      <c r="M32" s="269">
        <f>Detail_2W!I30</f>
        <v>0</v>
      </c>
      <c r="N32" s="87">
        <f t="shared" si="5"/>
        <v>0</v>
      </c>
      <c r="O32" s="269">
        <f t="shared" si="6"/>
        <v>0</v>
      </c>
      <c r="P32" s="269">
        <f t="shared" si="7"/>
        <v>0</v>
      </c>
      <c r="Q32" s="269">
        <f t="shared" si="8"/>
        <v>0</v>
      </c>
      <c r="R32" s="269">
        <f t="shared" si="9"/>
        <v>0</v>
      </c>
    </row>
    <row r="33" spans="2:18" ht="15" customHeight="1" x14ac:dyDescent="0.3">
      <c r="B33" s="274" t="s">
        <v>487</v>
      </c>
      <c r="C33" s="275" t="s">
        <v>183</v>
      </c>
      <c r="D33" s="87">
        <f>Detail_4W!D31</f>
        <v>134805388.47999999</v>
      </c>
      <c r="E33" s="270">
        <f>Detail_4W!G31</f>
        <v>0</v>
      </c>
      <c r="F33" s="270">
        <f>Detail_4W!E31</f>
        <v>0</v>
      </c>
      <c r="G33" s="270">
        <f>Detail_4W!F31</f>
        <v>134805388.47999999</v>
      </c>
      <c r="H33" s="270">
        <f>Detail_4W!I31</f>
        <v>134805388.47999999</v>
      </c>
      <c r="I33" s="87">
        <f>Detail_2W!D31</f>
        <v>0</v>
      </c>
      <c r="J33" s="270">
        <f>Detail_2W!G31</f>
        <v>0</v>
      </c>
      <c r="K33" s="270">
        <f>Detail_2W!E31</f>
        <v>0</v>
      </c>
      <c r="L33" s="269">
        <f>Detail_2W!F31</f>
        <v>0</v>
      </c>
      <c r="M33" s="269">
        <f>Detail_2W!I31</f>
        <v>0</v>
      </c>
      <c r="N33" s="87">
        <f t="shared" si="5"/>
        <v>134805388.47999999</v>
      </c>
      <c r="O33" s="269">
        <f t="shared" si="6"/>
        <v>0</v>
      </c>
      <c r="P33" s="269">
        <f t="shared" si="7"/>
        <v>0</v>
      </c>
      <c r="Q33" s="269">
        <f t="shared" si="8"/>
        <v>134805388.47999999</v>
      </c>
      <c r="R33" s="269">
        <f t="shared" si="9"/>
        <v>134805388.47999999</v>
      </c>
    </row>
    <row r="34" spans="2:18" ht="15" customHeight="1" x14ac:dyDescent="0.3">
      <c r="B34" s="274" t="s">
        <v>487</v>
      </c>
      <c r="C34" s="275" t="s">
        <v>321</v>
      </c>
      <c r="D34" s="87">
        <f>Detail_4W!D32</f>
        <v>160022407.81</v>
      </c>
      <c r="E34" s="270">
        <f>Detail_4W!G32</f>
        <v>0</v>
      </c>
      <c r="F34" s="270">
        <f>Detail_4W!E32</f>
        <v>160022407.81</v>
      </c>
      <c r="G34" s="270">
        <f>Detail_4W!F32</f>
        <v>160022407.81</v>
      </c>
      <c r="H34" s="270">
        <f>Detail_4W!I32</f>
        <v>0</v>
      </c>
      <c r="I34" s="87">
        <f>Detail_2W!D32</f>
        <v>3730272.28</v>
      </c>
      <c r="J34" s="270">
        <f>Detail_2W!G32</f>
        <v>0</v>
      </c>
      <c r="K34" s="270">
        <f>Detail_2W!E32</f>
        <v>0</v>
      </c>
      <c r="L34" s="269">
        <f>Detail_2W!F32</f>
        <v>3730272.28</v>
      </c>
      <c r="M34" s="269">
        <f>Detail_2W!I32</f>
        <v>3730272.28</v>
      </c>
      <c r="N34" s="87">
        <f t="shared" si="5"/>
        <v>163752680.09</v>
      </c>
      <c r="O34" s="269">
        <f t="shared" si="6"/>
        <v>0</v>
      </c>
      <c r="P34" s="269">
        <f t="shared" si="7"/>
        <v>160022407.81</v>
      </c>
      <c r="Q34" s="269">
        <f t="shared" si="8"/>
        <v>163752680.09</v>
      </c>
      <c r="R34" s="269">
        <f t="shared" si="9"/>
        <v>3730272.28</v>
      </c>
    </row>
    <row r="35" spans="2:18" ht="15" customHeight="1" x14ac:dyDescent="0.3">
      <c r="B35" s="274" t="s">
        <v>487</v>
      </c>
      <c r="C35" s="275" t="s">
        <v>247</v>
      </c>
      <c r="D35" s="87">
        <f>Detail_4W!D33</f>
        <v>0</v>
      </c>
      <c r="E35" s="270">
        <f>Detail_4W!G33</f>
        <v>0</v>
      </c>
      <c r="F35" s="270">
        <f>Detail_4W!E33</f>
        <v>0</v>
      </c>
      <c r="G35" s="270">
        <f>Detail_4W!F33</f>
        <v>0</v>
      </c>
      <c r="H35" s="270">
        <f>Detail_4W!I33</f>
        <v>0</v>
      </c>
      <c r="I35" s="87">
        <f>Detail_2W!D33</f>
        <v>0</v>
      </c>
      <c r="J35" s="270">
        <f>Detail_2W!G33</f>
        <v>0</v>
      </c>
      <c r="K35" s="270">
        <f>Detail_2W!E33</f>
        <v>0</v>
      </c>
      <c r="L35" s="269">
        <f>Detail_2W!F33</f>
        <v>0</v>
      </c>
      <c r="M35" s="269">
        <f>Detail_2W!I33</f>
        <v>0</v>
      </c>
      <c r="N35" s="87">
        <f t="shared" si="5"/>
        <v>0</v>
      </c>
      <c r="O35" s="269">
        <f t="shared" si="6"/>
        <v>0</v>
      </c>
      <c r="P35" s="269">
        <f t="shared" si="7"/>
        <v>0</v>
      </c>
      <c r="Q35" s="269">
        <f t="shared" si="8"/>
        <v>0</v>
      </c>
      <c r="R35" s="269">
        <f t="shared" si="9"/>
        <v>0</v>
      </c>
    </row>
    <row r="36" spans="2:18" ht="15" customHeight="1" x14ac:dyDescent="0.3">
      <c r="B36" s="274" t="s">
        <v>487</v>
      </c>
      <c r="C36" s="275" t="s">
        <v>177</v>
      </c>
      <c r="D36" s="87">
        <f>Detail_4W!D34</f>
        <v>0</v>
      </c>
      <c r="E36" s="270">
        <f>Detail_4W!G34</f>
        <v>0</v>
      </c>
      <c r="F36" s="270">
        <f>Detail_4W!E34</f>
        <v>0</v>
      </c>
      <c r="G36" s="270">
        <f>Detail_4W!F34</f>
        <v>0</v>
      </c>
      <c r="H36" s="270">
        <f>Detail_4W!I34</f>
        <v>0</v>
      </c>
      <c r="I36" s="87">
        <f>Detail_2W!D34</f>
        <v>0</v>
      </c>
      <c r="J36" s="270">
        <f>Detail_2W!G34</f>
        <v>0</v>
      </c>
      <c r="K36" s="270">
        <f>Detail_2W!E34</f>
        <v>0</v>
      </c>
      <c r="L36" s="269">
        <f>Detail_2W!F34</f>
        <v>0</v>
      </c>
      <c r="M36" s="269">
        <f>Detail_2W!I34</f>
        <v>0</v>
      </c>
      <c r="N36" s="87">
        <f t="shared" si="5"/>
        <v>0</v>
      </c>
      <c r="O36" s="269">
        <f t="shared" si="6"/>
        <v>0</v>
      </c>
      <c r="P36" s="269">
        <f t="shared" si="7"/>
        <v>0</v>
      </c>
      <c r="Q36" s="269">
        <f t="shared" si="8"/>
        <v>0</v>
      </c>
      <c r="R36" s="269">
        <f t="shared" si="9"/>
        <v>0</v>
      </c>
    </row>
    <row r="37" spans="2:18" ht="15" customHeight="1" x14ac:dyDescent="0.3">
      <c r="B37" s="274" t="s">
        <v>469</v>
      </c>
      <c r="C37" s="275" t="s">
        <v>157</v>
      </c>
      <c r="D37" s="87">
        <f>Detail_4W!D35</f>
        <v>0</v>
      </c>
      <c r="E37" s="270">
        <f>Detail_4W!G35</f>
        <v>0</v>
      </c>
      <c r="F37" s="270">
        <f>Detail_4W!E35</f>
        <v>0</v>
      </c>
      <c r="G37" s="270">
        <f>Detail_4W!F35</f>
        <v>0</v>
      </c>
      <c r="H37" s="270">
        <f>Detail_4W!I35</f>
        <v>0</v>
      </c>
      <c r="I37" s="87">
        <f>Detail_2W!D35</f>
        <v>1197317.96</v>
      </c>
      <c r="J37" s="270">
        <f>Detail_2W!G35</f>
        <v>0</v>
      </c>
      <c r="K37" s="270">
        <f>Detail_2W!E35</f>
        <v>0</v>
      </c>
      <c r="L37" s="269">
        <f>Detail_2W!F35</f>
        <v>1197317.96</v>
      </c>
      <c r="M37" s="269">
        <f>Detail_2W!I35</f>
        <v>1197317.96</v>
      </c>
      <c r="N37" s="87">
        <f t="shared" si="5"/>
        <v>1197317.96</v>
      </c>
      <c r="O37" s="269">
        <f t="shared" si="6"/>
        <v>0</v>
      </c>
      <c r="P37" s="269">
        <f t="shared" si="7"/>
        <v>0</v>
      </c>
      <c r="Q37" s="269">
        <f t="shared" si="8"/>
        <v>1197317.96</v>
      </c>
      <c r="R37" s="269">
        <f t="shared" si="9"/>
        <v>1197317.96</v>
      </c>
    </row>
    <row r="38" spans="2:18" ht="15" customHeight="1" x14ac:dyDescent="0.3">
      <c r="B38" s="274" t="s">
        <v>469</v>
      </c>
      <c r="C38" s="275" t="s">
        <v>468</v>
      </c>
      <c r="D38" s="87">
        <f>Detail_4W!D36</f>
        <v>184004900.78999996</v>
      </c>
      <c r="E38" s="270">
        <f>Detail_4W!G36</f>
        <v>0</v>
      </c>
      <c r="F38" s="270">
        <f>Detail_4W!E36</f>
        <v>66660504.219999991</v>
      </c>
      <c r="G38" s="270">
        <f>Detail_4W!F36</f>
        <v>184004900.78999996</v>
      </c>
      <c r="H38" s="270">
        <f>Detail_4W!I36</f>
        <v>117344396.56999999</v>
      </c>
      <c r="I38" s="87">
        <f>Detail_2W!D36</f>
        <v>2910882</v>
      </c>
      <c r="J38" s="270">
        <f>Detail_2W!G36</f>
        <v>0</v>
      </c>
      <c r="K38" s="270">
        <f>Detail_2W!E36</f>
        <v>621551.59</v>
      </c>
      <c r="L38" s="269">
        <f>Detail_2W!F36</f>
        <v>2910882</v>
      </c>
      <c r="M38" s="269">
        <f>Detail_2W!I36</f>
        <v>2289330.41</v>
      </c>
      <c r="N38" s="87">
        <f t="shared" si="5"/>
        <v>186915782.78999996</v>
      </c>
      <c r="O38" s="269">
        <f t="shared" si="6"/>
        <v>0</v>
      </c>
      <c r="P38" s="269">
        <f t="shared" si="7"/>
        <v>67282055.809999987</v>
      </c>
      <c r="Q38" s="269">
        <f t="shared" si="8"/>
        <v>186915782.78999996</v>
      </c>
      <c r="R38" s="269">
        <f t="shared" si="9"/>
        <v>119633726.97999999</v>
      </c>
    </row>
    <row r="39" spans="2:18" ht="15" customHeight="1" x14ac:dyDescent="0.3">
      <c r="B39" s="274" t="s">
        <v>469</v>
      </c>
      <c r="C39" s="275" t="s">
        <v>209</v>
      </c>
      <c r="D39" s="87">
        <f>Detail_4W!D37</f>
        <v>0</v>
      </c>
      <c r="E39" s="270">
        <f>Detail_4W!G37</f>
        <v>0</v>
      </c>
      <c r="F39" s="270">
        <f>Detail_4W!E37</f>
        <v>0</v>
      </c>
      <c r="G39" s="270">
        <f>Detail_4W!F37</f>
        <v>0</v>
      </c>
      <c r="H39" s="270">
        <f>Detail_4W!I37</f>
        <v>0</v>
      </c>
      <c r="I39" s="87">
        <f>Detail_2W!D37</f>
        <v>2040389.8599999999</v>
      </c>
      <c r="J39" s="270">
        <f>Detail_2W!G37</f>
        <v>2040389.8599999999</v>
      </c>
      <c r="K39" s="270">
        <f>Detail_2W!E37</f>
        <v>0</v>
      </c>
      <c r="L39" s="269">
        <f>Detail_2W!F37</f>
        <v>0</v>
      </c>
      <c r="M39" s="269">
        <f>Detail_2W!I37</f>
        <v>0</v>
      </c>
      <c r="N39" s="87">
        <f t="shared" si="5"/>
        <v>2040389.8599999999</v>
      </c>
      <c r="O39" s="269">
        <f t="shared" si="6"/>
        <v>2040389.8599999999</v>
      </c>
      <c r="P39" s="269">
        <f t="shared" si="7"/>
        <v>0</v>
      </c>
      <c r="Q39" s="269">
        <f t="shared" si="8"/>
        <v>0</v>
      </c>
      <c r="R39" s="269">
        <f t="shared" si="9"/>
        <v>0</v>
      </c>
    </row>
    <row r="40" spans="2:18" ht="15" customHeight="1" x14ac:dyDescent="0.3">
      <c r="B40" s="274" t="s">
        <v>469</v>
      </c>
      <c r="C40" s="275" t="s">
        <v>138</v>
      </c>
      <c r="D40" s="87">
        <f>Detail_4W!D38</f>
        <v>0</v>
      </c>
      <c r="E40" s="270">
        <f>Detail_4W!G38</f>
        <v>0</v>
      </c>
      <c r="F40" s="270">
        <f>Detail_4W!E38</f>
        <v>0</v>
      </c>
      <c r="G40" s="270">
        <f>Detail_4W!F38</f>
        <v>0</v>
      </c>
      <c r="H40" s="270">
        <f>Detail_4W!I38</f>
        <v>0</v>
      </c>
      <c r="I40" s="87">
        <f>Detail_2W!D38</f>
        <v>2871463.42</v>
      </c>
      <c r="J40" s="270">
        <f>Detail_2W!G38</f>
        <v>0</v>
      </c>
      <c r="K40" s="270">
        <f>Detail_2W!E38</f>
        <v>0</v>
      </c>
      <c r="L40" s="269">
        <f>Detail_2W!F38</f>
        <v>2871463.42</v>
      </c>
      <c r="M40" s="269">
        <f>Detail_2W!I38</f>
        <v>2871463.42</v>
      </c>
      <c r="N40" s="87">
        <f t="shared" si="5"/>
        <v>2871463.42</v>
      </c>
      <c r="O40" s="269">
        <f t="shared" si="6"/>
        <v>0</v>
      </c>
      <c r="P40" s="269">
        <f t="shared" si="7"/>
        <v>0</v>
      </c>
      <c r="Q40" s="269">
        <f t="shared" si="8"/>
        <v>2871463.42</v>
      </c>
      <c r="R40" s="269">
        <f t="shared" si="9"/>
        <v>2871463.42</v>
      </c>
    </row>
    <row r="41" spans="2:18" ht="15" customHeight="1" x14ac:dyDescent="0.3">
      <c r="B41" s="274" t="s">
        <v>448</v>
      </c>
      <c r="C41" s="275" t="s">
        <v>256</v>
      </c>
      <c r="D41" s="87">
        <f>Detail_4W!D39</f>
        <v>409384268.63999999</v>
      </c>
      <c r="E41" s="270">
        <f>Detail_4W!G39</f>
        <v>0</v>
      </c>
      <c r="F41" s="270">
        <f>Detail_4W!E39</f>
        <v>229431163.89000002</v>
      </c>
      <c r="G41" s="270">
        <f>Detail_4W!F39</f>
        <v>409384268.63999999</v>
      </c>
      <c r="H41" s="270">
        <f>Detail_4W!I39</f>
        <v>179953104.75</v>
      </c>
      <c r="I41" s="87">
        <f>Detail_2W!D39</f>
        <v>0</v>
      </c>
      <c r="J41" s="270">
        <f>Detail_2W!G39</f>
        <v>0</v>
      </c>
      <c r="K41" s="270">
        <f>Detail_2W!E39</f>
        <v>0</v>
      </c>
      <c r="L41" s="269">
        <f>Detail_2W!F39</f>
        <v>0</v>
      </c>
      <c r="M41" s="269">
        <f>Detail_2W!I39</f>
        <v>0</v>
      </c>
      <c r="N41" s="87">
        <f t="shared" si="5"/>
        <v>409384268.63999999</v>
      </c>
      <c r="O41" s="269">
        <f t="shared" si="6"/>
        <v>0</v>
      </c>
      <c r="P41" s="269">
        <f t="shared" si="7"/>
        <v>229431163.89000002</v>
      </c>
      <c r="Q41" s="269">
        <f t="shared" si="8"/>
        <v>409384268.63999999</v>
      </c>
      <c r="R41" s="269">
        <f t="shared" si="9"/>
        <v>179953104.75</v>
      </c>
    </row>
    <row r="42" spans="2:18" ht="15" customHeight="1" x14ac:dyDescent="0.3">
      <c r="B42" s="274" t="s">
        <v>448</v>
      </c>
      <c r="C42" s="275" t="s">
        <v>280</v>
      </c>
      <c r="D42" s="87">
        <f>Detail_4W!D40</f>
        <v>300963965.88999999</v>
      </c>
      <c r="E42" s="270">
        <f>Detail_4W!G40</f>
        <v>0</v>
      </c>
      <c r="F42" s="270">
        <f>Detail_4W!E40</f>
        <v>146981507.43000001</v>
      </c>
      <c r="G42" s="270">
        <f>Detail_4W!F40</f>
        <v>300963965.88999999</v>
      </c>
      <c r="H42" s="270">
        <f>Detail_4W!I40</f>
        <v>153982458.46000001</v>
      </c>
      <c r="I42" s="87">
        <f>Detail_2W!D40</f>
        <v>36314189.150000006</v>
      </c>
      <c r="J42" s="270">
        <f>Detail_2W!G40</f>
        <v>0</v>
      </c>
      <c r="K42" s="270">
        <f>Detail_2W!E40</f>
        <v>36314189.150000006</v>
      </c>
      <c r="L42" s="269">
        <f>Detail_2W!F40</f>
        <v>36314189.150000006</v>
      </c>
      <c r="M42" s="269">
        <f>Detail_2W!I40</f>
        <v>0</v>
      </c>
      <c r="N42" s="87">
        <f t="shared" si="5"/>
        <v>337278155.03999996</v>
      </c>
      <c r="O42" s="269">
        <f t="shared" si="6"/>
        <v>0</v>
      </c>
      <c r="P42" s="269">
        <f t="shared" si="7"/>
        <v>183295696.58000001</v>
      </c>
      <c r="Q42" s="269">
        <f t="shared" si="8"/>
        <v>337278155.03999996</v>
      </c>
      <c r="R42" s="269">
        <f t="shared" si="9"/>
        <v>153982458.46000001</v>
      </c>
    </row>
    <row r="43" spans="2:18" ht="15" customHeight="1" x14ac:dyDescent="0.3">
      <c r="B43" s="274" t="s">
        <v>448</v>
      </c>
      <c r="C43" s="275" t="s">
        <v>393</v>
      </c>
      <c r="D43" s="87">
        <f>Detail_4W!D41</f>
        <v>127039572.35000001</v>
      </c>
      <c r="E43" s="270">
        <f>Detail_4W!G41</f>
        <v>5033123.45</v>
      </c>
      <c r="F43" s="270">
        <f>Detail_4W!E41</f>
        <v>122006448.90000001</v>
      </c>
      <c r="G43" s="270">
        <f>Detail_4W!F41</f>
        <v>122006448.90000001</v>
      </c>
      <c r="H43" s="270">
        <f>Detail_4W!I41</f>
        <v>0</v>
      </c>
      <c r="I43" s="87">
        <f>Detail_2W!D41</f>
        <v>0</v>
      </c>
      <c r="J43" s="270">
        <f>Detail_2W!G41</f>
        <v>0</v>
      </c>
      <c r="K43" s="270">
        <f>Detail_2W!E41</f>
        <v>0</v>
      </c>
      <c r="L43" s="269">
        <f>Detail_2W!F41</f>
        <v>0</v>
      </c>
      <c r="M43" s="269">
        <f>Detail_2W!I41</f>
        <v>0</v>
      </c>
      <c r="N43" s="87">
        <f t="shared" si="5"/>
        <v>127039572.35000001</v>
      </c>
      <c r="O43" s="269">
        <f t="shared" si="6"/>
        <v>5033123.45</v>
      </c>
      <c r="P43" s="269">
        <f t="shared" si="7"/>
        <v>122006448.90000001</v>
      </c>
      <c r="Q43" s="269">
        <f t="shared" si="8"/>
        <v>122006448.90000001</v>
      </c>
      <c r="R43" s="269">
        <f t="shared" si="9"/>
        <v>0</v>
      </c>
    </row>
    <row r="44" spans="2:18" ht="15" customHeight="1" x14ac:dyDescent="0.3">
      <c r="B44" s="274" t="s">
        <v>448</v>
      </c>
      <c r="C44" s="275" t="s">
        <v>361</v>
      </c>
      <c r="D44" s="87">
        <f>Detail_4W!D42</f>
        <v>0</v>
      </c>
      <c r="E44" s="270">
        <f>Detail_4W!G42</f>
        <v>0</v>
      </c>
      <c r="F44" s="270">
        <f>Detail_4W!E42</f>
        <v>0</v>
      </c>
      <c r="G44" s="270">
        <f>Detail_4W!F42</f>
        <v>0</v>
      </c>
      <c r="H44" s="270">
        <f>Detail_4W!I42</f>
        <v>0</v>
      </c>
      <c r="I44" s="87">
        <f>Detail_2W!D42</f>
        <v>0</v>
      </c>
      <c r="J44" s="270">
        <f>Detail_2W!G42</f>
        <v>0</v>
      </c>
      <c r="K44" s="270">
        <f>Detail_2W!E42</f>
        <v>0</v>
      </c>
      <c r="L44" s="269">
        <f>Detail_2W!F42</f>
        <v>0</v>
      </c>
      <c r="M44" s="269">
        <f>Detail_2W!I42</f>
        <v>0</v>
      </c>
      <c r="N44" s="87">
        <f t="shared" si="5"/>
        <v>0</v>
      </c>
      <c r="O44" s="269">
        <f t="shared" si="6"/>
        <v>0</v>
      </c>
      <c r="P44" s="269">
        <f t="shared" si="7"/>
        <v>0</v>
      </c>
      <c r="Q44" s="269">
        <f t="shared" si="8"/>
        <v>0</v>
      </c>
      <c r="R44" s="269">
        <f t="shared" si="9"/>
        <v>0</v>
      </c>
    </row>
    <row r="45" spans="2:18" ht="15" customHeight="1" x14ac:dyDescent="0.3">
      <c r="B45" s="274" t="s">
        <v>448</v>
      </c>
      <c r="C45" s="275" t="s">
        <v>193</v>
      </c>
      <c r="D45" s="87">
        <f>Detail_4W!D43</f>
        <v>219619399.07000002</v>
      </c>
      <c r="E45" s="270">
        <f>Detail_4W!G43</f>
        <v>0</v>
      </c>
      <c r="F45" s="270">
        <f>Detail_4W!E43</f>
        <v>0</v>
      </c>
      <c r="G45" s="270">
        <f>Detail_4W!F43</f>
        <v>219619399.07000002</v>
      </c>
      <c r="H45" s="270">
        <f>Detail_4W!I43</f>
        <v>219619399.07000002</v>
      </c>
      <c r="I45" s="87">
        <f>Detail_2W!D43</f>
        <v>4551699.37</v>
      </c>
      <c r="J45" s="270">
        <f>Detail_2W!G43</f>
        <v>0</v>
      </c>
      <c r="K45" s="270">
        <f>Detail_2W!E43</f>
        <v>0</v>
      </c>
      <c r="L45" s="269">
        <f>Detail_2W!F43</f>
        <v>4551699.37</v>
      </c>
      <c r="M45" s="269">
        <f>Detail_2W!I43</f>
        <v>4551699.37</v>
      </c>
      <c r="N45" s="87">
        <f t="shared" si="5"/>
        <v>224171098.44000003</v>
      </c>
      <c r="O45" s="269">
        <f t="shared" si="6"/>
        <v>0</v>
      </c>
      <c r="P45" s="269">
        <f t="shared" si="7"/>
        <v>0</v>
      </c>
      <c r="Q45" s="269">
        <f t="shared" si="8"/>
        <v>224171098.44000003</v>
      </c>
      <c r="R45" s="269">
        <f t="shared" si="9"/>
        <v>224171098.44000003</v>
      </c>
    </row>
    <row r="46" spans="2:18" ht="15" customHeight="1" x14ac:dyDescent="0.3">
      <c r="B46" s="274" t="s">
        <v>448</v>
      </c>
      <c r="C46" s="275" t="s">
        <v>343</v>
      </c>
      <c r="D46" s="87">
        <f>Detail_4W!D44</f>
        <v>36055194.93</v>
      </c>
      <c r="E46" s="270">
        <f>Detail_4W!G44</f>
        <v>0</v>
      </c>
      <c r="F46" s="270">
        <f>Detail_4W!E44</f>
        <v>36055194.93</v>
      </c>
      <c r="G46" s="270">
        <f>Detail_4W!F44</f>
        <v>36055194.93</v>
      </c>
      <c r="H46" s="270">
        <f>Detail_4W!I44</f>
        <v>0</v>
      </c>
      <c r="I46" s="87">
        <f>Detail_2W!D44</f>
        <v>0</v>
      </c>
      <c r="J46" s="270">
        <f>Detail_2W!G44</f>
        <v>0</v>
      </c>
      <c r="K46" s="270">
        <f>Detail_2W!E44</f>
        <v>0</v>
      </c>
      <c r="L46" s="269">
        <f>Detail_2W!F44</f>
        <v>0</v>
      </c>
      <c r="M46" s="269">
        <f>Detail_2W!I44</f>
        <v>0</v>
      </c>
      <c r="N46" s="87">
        <f t="shared" si="5"/>
        <v>36055194.93</v>
      </c>
      <c r="O46" s="269">
        <f t="shared" si="6"/>
        <v>0</v>
      </c>
      <c r="P46" s="269">
        <f t="shared" si="7"/>
        <v>36055194.93</v>
      </c>
      <c r="Q46" s="269">
        <f t="shared" si="8"/>
        <v>36055194.93</v>
      </c>
      <c r="R46" s="269">
        <f t="shared" si="9"/>
        <v>0</v>
      </c>
    </row>
    <row r="47" spans="2:18" ht="15" customHeight="1" x14ac:dyDescent="0.3">
      <c r="B47" s="274" t="s">
        <v>454</v>
      </c>
      <c r="C47" s="275" t="s">
        <v>329</v>
      </c>
      <c r="D47" s="87">
        <f>Detail_4W!D45</f>
        <v>11087111.73</v>
      </c>
      <c r="E47" s="270">
        <f>Detail_4W!G45</f>
        <v>0</v>
      </c>
      <c r="F47" s="270">
        <f>Detail_4W!E45</f>
        <v>0</v>
      </c>
      <c r="G47" s="270">
        <f>Detail_4W!F45</f>
        <v>11087111.73</v>
      </c>
      <c r="H47" s="270">
        <f>Detail_4W!I45</f>
        <v>11087111.73</v>
      </c>
      <c r="I47" s="87">
        <f>Detail_2W!D45</f>
        <v>0</v>
      </c>
      <c r="J47" s="270">
        <f>Detail_2W!G45</f>
        <v>0</v>
      </c>
      <c r="K47" s="270">
        <f>Detail_2W!E45</f>
        <v>0</v>
      </c>
      <c r="L47" s="269">
        <f>Detail_2W!F45</f>
        <v>0</v>
      </c>
      <c r="M47" s="269">
        <f>Detail_2W!I45</f>
        <v>0</v>
      </c>
      <c r="N47" s="87">
        <f t="shared" si="5"/>
        <v>11087111.73</v>
      </c>
      <c r="O47" s="269">
        <f t="shared" si="6"/>
        <v>0</v>
      </c>
      <c r="P47" s="269">
        <f t="shared" si="7"/>
        <v>0</v>
      </c>
      <c r="Q47" s="269">
        <f t="shared" si="8"/>
        <v>11087111.73</v>
      </c>
      <c r="R47" s="269">
        <f t="shared" si="9"/>
        <v>11087111.73</v>
      </c>
    </row>
    <row r="48" spans="2:18" ht="15" customHeight="1" x14ac:dyDescent="0.3">
      <c r="B48" s="274" t="s">
        <v>454</v>
      </c>
      <c r="C48" s="275" t="s">
        <v>333</v>
      </c>
      <c r="D48" s="87">
        <f>Detail_4W!D46</f>
        <v>0</v>
      </c>
      <c r="E48" s="270">
        <f>Detail_4W!G46</f>
        <v>0</v>
      </c>
      <c r="F48" s="270">
        <f>Detail_4W!E46</f>
        <v>0</v>
      </c>
      <c r="G48" s="270">
        <f>Detail_4W!F46</f>
        <v>0</v>
      </c>
      <c r="H48" s="270">
        <f>Detail_4W!I46</f>
        <v>0</v>
      </c>
      <c r="I48" s="87">
        <f>Detail_2W!D46</f>
        <v>0</v>
      </c>
      <c r="J48" s="270">
        <f>Detail_2W!G46</f>
        <v>0</v>
      </c>
      <c r="K48" s="270">
        <f>Detail_2W!E46</f>
        <v>0</v>
      </c>
      <c r="L48" s="269">
        <f>Detail_2W!F46</f>
        <v>0</v>
      </c>
      <c r="M48" s="269">
        <f>Detail_2W!I46</f>
        <v>0</v>
      </c>
      <c r="N48" s="87">
        <f t="shared" si="5"/>
        <v>0</v>
      </c>
      <c r="O48" s="269">
        <f t="shared" si="6"/>
        <v>0</v>
      </c>
      <c r="P48" s="269">
        <f t="shared" si="7"/>
        <v>0</v>
      </c>
      <c r="Q48" s="269">
        <f t="shared" si="8"/>
        <v>0</v>
      </c>
      <c r="R48" s="269">
        <f t="shared" si="9"/>
        <v>0</v>
      </c>
    </row>
    <row r="49" spans="2:18" ht="15" customHeight="1" x14ac:dyDescent="0.3">
      <c r="B49" s="274" t="s">
        <v>454</v>
      </c>
      <c r="C49" s="275" t="s">
        <v>455</v>
      </c>
      <c r="D49" s="87">
        <f>Detail_4W!D47</f>
        <v>238217356.15000001</v>
      </c>
      <c r="E49" s="270">
        <f>Detail_4W!G47</f>
        <v>0</v>
      </c>
      <c r="F49" s="270">
        <f>Detail_4W!E47</f>
        <v>0</v>
      </c>
      <c r="G49" s="270">
        <f>Detail_4W!F47</f>
        <v>238217356.15000001</v>
      </c>
      <c r="H49" s="270">
        <f>Detail_4W!I47</f>
        <v>238217356.15000001</v>
      </c>
      <c r="I49" s="87">
        <f>Detail_2W!D47</f>
        <v>0</v>
      </c>
      <c r="J49" s="270">
        <f>Detail_2W!G47</f>
        <v>0</v>
      </c>
      <c r="K49" s="270">
        <f>Detail_2W!E47</f>
        <v>0</v>
      </c>
      <c r="L49" s="269">
        <f>Detail_2W!F47</f>
        <v>0</v>
      </c>
      <c r="M49" s="269">
        <f>Detail_2W!I47</f>
        <v>0</v>
      </c>
      <c r="N49" s="87">
        <f t="shared" si="5"/>
        <v>238217356.15000001</v>
      </c>
      <c r="O49" s="269">
        <f t="shared" si="6"/>
        <v>0</v>
      </c>
      <c r="P49" s="269">
        <f t="shared" si="7"/>
        <v>0</v>
      </c>
      <c r="Q49" s="269">
        <f t="shared" si="8"/>
        <v>238217356.15000001</v>
      </c>
      <c r="R49" s="269">
        <f t="shared" si="9"/>
        <v>238217356.15000001</v>
      </c>
    </row>
    <row r="50" spans="2:18" ht="15" customHeight="1" x14ac:dyDescent="0.3">
      <c r="B50" s="274" t="s">
        <v>454</v>
      </c>
      <c r="C50" s="275" t="s">
        <v>309</v>
      </c>
      <c r="D50" s="87">
        <f>Detail_4W!D48</f>
        <v>3537316.08</v>
      </c>
      <c r="E50" s="270">
        <f>Detail_4W!G48</f>
        <v>0</v>
      </c>
      <c r="F50" s="270">
        <f>Detail_4W!E48</f>
        <v>0</v>
      </c>
      <c r="G50" s="270">
        <f>Detail_4W!F48</f>
        <v>3537316.08</v>
      </c>
      <c r="H50" s="270">
        <f>Detail_4W!I48</f>
        <v>3537316.08</v>
      </c>
      <c r="I50" s="87">
        <f>Detail_2W!D48</f>
        <v>0</v>
      </c>
      <c r="J50" s="270">
        <f>Detail_2W!G48</f>
        <v>0</v>
      </c>
      <c r="K50" s="270">
        <f>Detail_2W!E48</f>
        <v>0</v>
      </c>
      <c r="L50" s="269">
        <f>Detail_2W!F48</f>
        <v>0</v>
      </c>
      <c r="M50" s="269">
        <f>Detail_2W!I48</f>
        <v>0</v>
      </c>
      <c r="N50" s="87">
        <f t="shared" si="5"/>
        <v>3537316.08</v>
      </c>
      <c r="O50" s="269">
        <f t="shared" si="6"/>
        <v>0</v>
      </c>
      <c r="P50" s="269">
        <f t="shared" si="7"/>
        <v>0</v>
      </c>
      <c r="Q50" s="269">
        <f t="shared" si="8"/>
        <v>3537316.08</v>
      </c>
      <c r="R50" s="269">
        <f t="shared" si="9"/>
        <v>3537316.08</v>
      </c>
    </row>
    <row r="51" spans="2:18" ht="15" customHeight="1" x14ac:dyDescent="0.3">
      <c r="B51" s="274" t="s">
        <v>454</v>
      </c>
      <c r="C51" s="275" t="s">
        <v>399</v>
      </c>
      <c r="D51" s="87">
        <f>Detail_4W!D49</f>
        <v>267445522.97</v>
      </c>
      <c r="E51" s="270">
        <f>Detail_4W!G49</f>
        <v>0</v>
      </c>
      <c r="F51" s="270">
        <f>Detail_4W!E49</f>
        <v>75428285.129999995</v>
      </c>
      <c r="G51" s="270">
        <f>Detail_4W!F49</f>
        <v>267445522.97</v>
      </c>
      <c r="H51" s="270">
        <f>Detail_4W!I49</f>
        <v>192017237.84</v>
      </c>
      <c r="I51" s="87">
        <f>Detail_2W!D49</f>
        <v>0</v>
      </c>
      <c r="J51" s="270">
        <f>Detail_2W!G49</f>
        <v>0</v>
      </c>
      <c r="K51" s="270">
        <f>Detail_2W!E49</f>
        <v>0</v>
      </c>
      <c r="L51" s="269">
        <f>Detail_2W!F49</f>
        <v>0</v>
      </c>
      <c r="M51" s="269">
        <f>Detail_2W!I49</f>
        <v>0</v>
      </c>
      <c r="N51" s="87">
        <f t="shared" si="5"/>
        <v>267445522.97</v>
      </c>
      <c r="O51" s="269">
        <f t="shared" si="6"/>
        <v>0</v>
      </c>
      <c r="P51" s="269">
        <f t="shared" si="7"/>
        <v>75428285.129999995</v>
      </c>
      <c r="Q51" s="269">
        <f t="shared" si="8"/>
        <v>267445522.97</v>
      </c>
      <c r="R51" s="269">
        <f t="shared" si="9"/>
        <v>192017237.84</v>
      </c>
    </row>
    <row r="52" spans="2:18" ht="15" customHeight="1" x14ac:dyDescent="0.3">
      <c r="B52" s="274" t="s">
        <v>454</v>
      </c>
      <c r="C52" s="275" t="s">
        <v>336</v>
      </c>
      <c r="D52" s="87">
        <f>Detail_4W!D50</f>
        <v>0</v>
      </c>
      <c r="E52" s="270">
        <f>Detail_4W!G50</f>
        <v>0</v>
      </c>
      <c r="F52" s="270">
        <f>Detail_4W!E50</f>
        <v>0</v>
      </c>
      <c r="G52" s="270">
        <f>Detail_4W!F50</f>
        <v>0</v>
      </c>
      <c r="H52" s="270">
        <f>Detail_4W!I50</f>
        <v>0</v>
      </c>
      <c r="I52" s="87">
        <f>Detail_2W!D50</f>
        <v>0</v>
      </c>
      <c r="J52" s="270">
        <f>Detail_2W!G50</f>
        <v>0</v>
      </c>
      <c r="K52" s="270">
        <f>Detail_2W!E50</f>
        <v>0</v>
      </c>
      <c r="L52" s="269">
        <f>Detail_2W!F50</f>
        <v>0</v>
      </c>
      <c r="M52" s="269">
        <f>Detail_2W!I50</f>
        <v>0</v>
      </c>
      <c r="N52" s="87">
        <f t="shared" si="5"/>
        <v>0</v>
      </c>
      <c r="O52" s="269">
        <f t="shared" si="6"/>
        <v>0</v>
      </c>
      <c r="P52" s="269">
        <f t="shared" si="7"/>
        <v>0</v>
      </c>
      <c r="Q52" s="269">
        <f t="shared" si="8"/>
        <v>0</v>
      </c>
      <c r="R52" s="269">
        <f t="shared" si="9"/>
        <v>0</v>
      </c>
    </row>
    <row r="53" spans="2:18" ht="15" customHeight="1" x14ac:dyDescent="0.3">
      <c r="B53" s="274" t="s">
        <v>500</v>
      </c>
      <c r="C53" s="275" t="s">
        <v>390</v>
      </c>
      <c r="D53" s="87">
        <f>Detail_4W!D51</f>
        <v>60633634.700000003</v>
      </c>
      <c r="E53" s="270">
        <f>Detail_4W!G51</f>
        <v>0</v>
      </c>
      <c r="F53" s="270">
        <f>Detail_4W!E51</f>
        <v>0</v>
      </c>
      <c r="G53" s="270">
        <f>Detail_4W!F51</f>
        <v>60633634.700000003</v>
      </c>
      <c r="H53" s="270">
        <f>Detail_4W!I51</f>
        <v>60633634.700000003</v>
      </c>
      <c r="I53" s="87">
        <f>Detail_2W!D51</f>
        <v>0</v>
      </c>
      <c r="J53" s="270">
        <f>Detail_2W!G51</f>
        <v>0</v>
      </c>
      <c r="K53" s="270">
        <f>Detail_2W!E51</f>
        <v>0</v>
      </c>
      <c r="L53" s="269">
        <f>Detail_2W!F51</f>
        <v>0</v>
      </c>
      <c r="M53" s="269">
        <f>Detail_2W!I51</f>
        <v>0</v>
      </c>
      <c r="N53" s="87">
        <f t="shared" si="5"/>
        <v>60633634.700000003</v>
      </c>
      <c r="O53" s="269">
        <f t="shared" si="6"/>
        <v>0</v>
      </c>
      <c r="P53" s="269">
        <f t="shared" si="7"/>
        <v>0</v>
      </c>
      <c r="Q53" s="269">
        <f t="shared" si="8"/>
        <v>60633634.700000003</v>
      </c>
      <c r="R53" s="269">
        <f t="shared" si="9"/>
        <v>60633634.700000003</v>
      </c>
    </row>
    <row r="54" spans="2:18" ht="15" customHeight="1" x14ac:dyDescent="0.3">
      <c r="B54" s="274" t="s">
        <v>500</v>
      </c>
      <c r="C54" s="275" t="s">
        <v>556</v>
      </c>
      <c r="D54" s="87">
        <f>Detail_4W!D52</f>
        <v>10371616.65</v>
      </c>
      <c r="E54" s="270">
        <f>Detail_4W!G52</f>
        <v>0</v>
      </c>
      <c r="F54" s="270">
        <f>Detail_4W!E52</f>
        <v>10371616.65</v>
      </c>
      <c r="G54" s="270">
        <f>Detail_4W!F52</f>
        <v>10371616.65</v>
      </c>
      <c r="H54" s="270">
        <f>Detail_4W!I52</f>
        <v>0</v>
      </c>
      <c r="I54" s="87">
        <f>Detail_2W!D52</f>
        <v>0</v>
      </c>
      <c r="J54" s="270">
        <f>Detail_2W!G52</f>
        <v>0</v>
      </c>
      <c r="K54" s="270">
        <f>Detail_2W!E52</f>
        <v>0</v>
      </c>
      <c r="L54" s="269">
        <f>Detail_2W!F52</f>
        <v>0</v>
      </c>
      <c r="M54" s="269">
        <f>Detail_2W!I52</f>
        <v>0</v>
      </c>
      <c r="N54" s="87">
        <f t="shared" si="5"/>
        <v>10371616.65</v>
      </c>
      <c r="O54" s="269">
        <f t="shared" si="6"/>
        <v>0</v>
      </c>
      <c r="P54" s="269">
        <f t="shared" si="7"/>
        <v>10371616.65</v>
      </c>
      <c r="Q54" s="269">
        <f t="shared" si="8"/>
        <v>10371616.65</v>
      </c>
      <c r="R54" s="269">
        <f t="shared" si="9"/>
        <v>0</v>
      </c>
    </row>
    <row r="55" spans="2:18" ht="15" customHeight="1" x14ac:dyDescent="0.3">
      <c r="B55" s="274" t="s">
        <v>500</v>
      </c>
      <c r="C55" s="275" t="s">
        <v>302</v>
      </c>
      <c r="D55" s="87">
        <f>Detail_4W!D53</f>
        <v>114274599.06999999</v>
      </c>
      <c r="E55" s="270">
        <f>Detail_4W!G53</f>
        <v>0</v>
      </c>
      <c r="F55" s="270">
        <f>Detail_4W!E53</f>
        <v>0</v>
      </c>
      <c r="G55" s="270">
        <f>Detail_4W!F53</f>
        <v>114274599.06999999</v>
      </c>
      <c r="H55" s="270">
        <f>Detail_4W!I53</f>
        <v>114274599.06999999</v>
      </c>
      <c r="I55" s="87">
        <f>Detail_2W!D53</f>
        <v>0</v>
      </c>
      <c r="J55" s="270">
        <f>Detail_2W!G53</f>
        <v>0</v>
      </c>
      <c r="K55" s="270">
        <f>Detail_2W!E53</f>
        <v>0</v>
      </c>
      <c r="L55" s="269">
        <f>Detail_2W!F53</f>
        <v>0</v>
      </c>
      <c r="M55" s="269">
        <f>Detail_2W!I53</f>
        <v>0</v>
      </c>
      <c r="N55" s="87">
        <f t="shared" si="5"/>
        <v>114274599.06999999</v>
      </c>
      <c r="O55" s="269">
        <f t="shared" si="6"/>
        <v>0</v>
      </c>
      <c r="P55" s="269">
        <f t="shared" si="7"/>
        <v>0</v>
      </c>
      <c r="Q55" s="269">
        <f t="shared" si="8"/>
        <v>114274599.06999999</v>
      </c>
      <c r="R55" s="269">
        <f t="shared" si="9"/>
        <v>114274599.06999999</v>
      </c>
    </row>
    <row r="56" spans="2:18" ht="15" customHeight="1" x14ac:dyDescent="0.3">
      <c r="B56" s="274" t="s">
        <v>500</v>
      </c>
      <c r="C56" s="275" t="s">
        <v>396</v>
      </c>
      <c r="D56" s="87">
        <f>Detail_4W!D54</f>
        <v>126523190.47</v>
      </c>
      <c r="E56" s="270">
        <f>Detail_4W!G54</f>
        <v>0</v>
      </c>
      <c r="F56" s="270">
        <f>Detail_4W!E54</f>
        <v>0</v>
      </c>
      <c r="G56" s="270">
        <f>Detail_4W!F54</f>
        <v>126523190.47</v>
      </c>
      <c r="H56" s="270">
        <f>Detail_4W!I54</f>
        <v>126523190.47</v>
      </c>
      <c r="I56" s="87">
        <f>Detail_2W!D54</f>
        <v>0</v>
      </c>
      <c r="J56" s="270">
        <f>Detail_2W!G54</f>
        <v>0</v>
      </c>
      <c r="K56" s="270">
        <f>Detail_2W!E54</f>
        <v>0</v>
      </c>
      <c r="L56" s="269">
        <f>Detail_2W!F54</f>
        <v>0</v>
      </c>
      <c r="M56" s="269">
        <f>Detail_2W!I54</f>
        <v>0</v>
      </c>
      <c r="N56" s="87">
        <f t="shared" si="5"/>
        <v>126523190.47</v>
      </c>
      <c r="O56" s="269">
        <f t="shared" si="6"/>
        <v>0</v>
      </c>
      <c r="P56" s="269">
        <f t="shared" si="7"/>
        <v>0</v>
      </c>
      <c r="Q56" s="269">
        <f t="shared" si="8"/>
        <v>126523190.47</v>
      </c>
      <c r="R56" s="269">
        <f t="shared" si="9"/>
        <v>126523190.47</v>
      </c>
    </row>
    <row r="57" spans="2:18" ht="15" customHeight="1" x14ac:dyDescent="0.3">
      <c r="B57" s="274" t="s">
        <v>480</v>
      </c>
      <c r="C57" s="275" t="s">
        <v>411</v>
      </c>
      <c r="D57" s="87">
        <f>Detail_4W!D55</f>
        <v>0</v>
      </c>
      <c r="E57" s="270">
        <f>Detail_4W!G55</f>
        <v>0</v>
      </c>
      <c r="F57" s="270">
        <f>Detail_4W!E55</f>
        <v>0</v>
      </c>
      <c r="G57" s="270">
        <f>Detail_4W!F55</f>
        <v>0</v>
      </c>
      <c r="H57" s="270">
        <f>Detail_4W!I55</f>
        <v>0</v>
      </c>
      <c r="I57" s="87">
        <f>Detail_2W!D55</f>
        <v>0</v>
      </c>
      <c r="J57" s="270">
        <f>Detail_2W!G55</f>
        <v>0</v>
      </c>
      <c r="K57" s="270">
        <f>Detail_2W!E55</f>
        <v>0</v>
      </c>
      <c r="L57" s="269">
        <f>Detail_2W!F55</f>
        <v>0</v>
      </c>
      <c r="M57" s="269">
        <f>Detail_2W!I55</f>
        <v>0</v>
      </c>
      <c r="N57" s="87">
        <f t="shared" si="5"/>
        <v>0</v>
      </c>
      <c r="O57" s="269">
        <f t="shared" si="6"/>
        <v>0</v>
      </c>
      <c r="P57" s="269">
        <f t="shared" si="7"/>
        <v>0</v>
      </c>
      <c r="Q57" s="269">
        <f t="shared" si="8"/>
        <v>0</v>
      </c>
      <c r="R57" s="269">
        <f t="shared" si="9"/>
        <v>0</v>
      </c>
    </row>
    <row r="58" spans="2:18" ht="15" customHeight="1" x14ac:dyDescent="0.3">
      <c r="B58" s="274" t="s">
        <v>480</v>
      </c>
      <c r="C58" s="275" t="s">
        <v>242</v>
      </c>
      <c r="D58" s="87">
        <f>Detail_4W!D56</f>
        <v>253411809.94999999</v>
      </c>
      <c r="E58" s="270">
        <f>Detail_4W!G56</f>
        <v>0</v>
      </c>
      <c r="F58" s="270">
        <f>Detail_4W!E56</f>
        <v>253411809.94999999</v>
      </c>
      <c r="G58" s="270">
        <f>Detail_4W!F56</f>
        <v>253411809.94999999</v>
      </c>
      <c r="H58" s="270">
        <f>Detail_4W!I56</f>
        <v>0</v>
      </c>
      <c r="I58" s="87">
        <f>Detail_2W!D56</f>
        <v>0</v>
      </c>
      <c r="J58" s="270">
        <f>Detail_2W!G56</f>
        <v>0</v>
      </c>
      <c r="K58" s="270">
        <f>Detail_2W!E56</f>
        <v>0</v>
      </c>
      <c r="L58" s="269">
        <f>Detail_2W!F56</f>
        <v>0</v>
      </c>
      <c r="M58" s="269">
        <f>Detail_2W!I56</f>
        <v>0</v>
      </c>
      <c r="N58" s="87">
        <f t="shared" si="5"/>
        <v>253411809.94999999</v>
      </c>
      <c r="O58" s="269">
        <f t="shared" si="6"/>
        <v>0</v>
      </c>
      <c r="P58" s="269">
        <f t="shared" si="7"/>
        <v>253411809.94999999</v>
      </c>
      <c r="Q58" s="269">
        <f t="shared" si="8"/>
        <v>253411809.94999999</v>
      </c>
      <c r="R58" s="269">
        <f t="shared" si="9"/>
        <v>0</v>
      </c>
    </row>
    <row r="59" spans="2:18" ht="15" customHeight="1" x14ac:dyDescent="0.3">
      <c r="B59" s="274" t="s">
        <v>480</v>
      </c>
      <c r="C59" s="275" t="s">
        <v>237</v>
      </c>
      <c r="D59" s="87">
        <f>Detail_4W!D57</f>
        <v>397713451.61999995</v>
      </c>
      <c r="E59" s="270">
        <f>Detail_4W!G57</f>
        <v>10482149.85</v>
      </c>
      <c r="F59" s="270">
        <f>Detail_4W!E57</f>
        <v>273427432.55000001</v>
      </c>
      <c r="G59" s="270">
        <f>Detail_4W!F57</f>
        <v>387231301.76999992</v>
      </c>
      <c r="H59" s="270">
        <f>Detail_4W!I57</f>
        <v>113803869.22</v>
      </c>
      <c r="I59" s="87">
        <f>Detail_2W!D57</f>
        <v>0</v>
      </c>
      <c r="J59" s="270">
        <f>Detail_2W!G57</f>
        <v>0</v>
      </c>
      <c r="K59" s="270">
        <f>Detail_2W!E57</f>
        <v>0</v>
      </c>
      <c r="L59" s="269">
        <f>Detail_2W!F57</f>
        <v>0</v>
      </c>
      <c r="M59" s="269">
        <f>Detail_2W!I57</f>
        <v>0</v>
      </c>
      <c r="N59" s="87">
        <f t="shared" si="5"/>
        <v>397713451.61999995</v>
      </c>
      <c r="O59" s="269">
        <f t="shared" si="6"/>
        <v>10482149.85</v>
      </c>
      <c r="P59" s="269">
        <f t="shared" si="7"/>
        <v>273427432.55000001</v>
      </c>
      <c r="Q59" s="269">
        <f t="shared" si="8"/>
        <v>387231301.76999992</v>
      </c>
      <c r="R59" s="269">
        <f t="shared" si="9"/>
        <v>113803869.22</v>
      </c>
    </row>
    <row r="60" spans="2:18" ht="15" customHeight="1" x14ac:dyDescent="0.3">
      <c r="B60" s="274" t="s">
        <v>576</v>
      </c>
      <c r="C60" s="275" t="s">
        <v>118</v>
      </c>
      <c r="D60" s="87">
        <f>Detail_4W!D58</f>
        <v>0</v>
      </c>
      <c r="E60" s="270">
        <f>Detail_4W!G58</f>
        <v>0</v>
      </c>
      <c r="F60" s="270">
        <f>Detail_4W!E58</f>
        <v>0</v>
      </c>
      <c r="G60" s="270">
        <f>Detail_4W!F58</f>
        <v>0</v>
      </c>
      <c r="H60" s="270">
        <f>Detail_4W!I58</f>
        <v>0</v>
      </c>
      <c r="I60" s="87">
        <f>Detail_2W!D58</f>
        <v>0</v>
      </c>
      <c r="J60" s="270">
        <f>Detail_2W!G58</f>
        <v>0</v>
      </c>
      <c r="K60" s="270">
        <f>Detail_2W!E58</f>
        <v>0</v>
      </c>
      <c r="L60" s="269">
        <f>Detail_2W!F58</f>
        <v>0</v>
      </c>
      <c r="M60" s="269">
        <f>Detail_2W!I58</f>
        <v>0</v>
      </c>
      <c r="N60" s="87">
        <f t="shared" si="5"/>
        <v>0</v>
      </c>
      <c r="O60" s="269">
        <f t="shared" si="6"/>
        <v>0</v>
      </c>
      <c r="P60" s="269">
        <f t="shared" si="7"/>
        <v>0</v>
      </c>
      <c r="Q60" s="269">
        <f t="shared" si="8"/>
        <v>0</v>
      </c>
      <c r="R60" s="269">
        <f t="shared" si="9"/>
        <v>0</v>
      </c>
    </row>
    <row r="61" spans="2:18" ht="15" customHeight="1" x14ac:dyDescent="0.3">
      <c r="B61" s="274" t="s">
        <v>576</v>
      </c>
      <c r="C61" s="275" t="s">
        <v>269</v>
      </c>
      <c r="D61" s="87">
        <f>Detail_4W!D59</f>
        <v>761923657.83999991</v>
      </c>
      <c r="E61" s="270">
        <f>Detail_4W!G59</f>
        <v>234814304.66</v>
      </c>
      <c r="F61" s="270">
        <f>Detail_4W!E59</f>
        <v>0</v>
      </c>
      <c r="G61" s="270">
        <f>Detail_4W!F59</f>
        <v>527109353.17999995</v>
      </c>
      <c r="H61" s="270">
        <f>Detail_4W!I59</f>
        <v>527109353.17999995</v>
      </c>
      <c r="I61" s="87">
        <f>Detail_2W!D59</f>
        <v>0</v>
      </c>
      <c r="J61" s="270">
        <f>Detail_2W!G59</f>
        <v>0</v>
      </c>
      <c r="K61" s="270">
        <f>Detail_2W!E59</f>
        <v>0</v>
      </c>
      <c r="L61" s="269">
        <f>Detail_2W!F59</f>
        <v>0</v>
      </c>
      <c r="M61" s="269">
        <f>Detail_2W!I59</f>
        <v>0</v>
      </c>
      <c r="N61" s="87">
        <f t="shared" si="5"/>
        <v>761923657.83999991</v>
      </c>
      <c r="O61" s="269">
        <f t="shared" si="6"/>
        <v>234814304.66</v>
      </c>
      <c r="P61" s="269">
        <f t="shared" si="7"/>
        <v>0</v>
      </c>
      <c r="Q61" s="269">
        <f t="shared" si="8"/>
        <v>527109353.17999995</v>
      </c>
      <c r="R61" s="269">
        <f t="shared" si="9"/>
        <v>527109353.17999995</v>
      </c>
    </row>
    <row r="62" spans="2:18" ht="15" customHeight="1" x14ac:dyDescent="0.3">
      <c r="B62" s="274" t="s">
        <v>576</v>
      </c>
      <c r="C62" s="275" t="s">
        <v>250</v>
      </c>
      <c r="D62" s="88">
        <f>Detail_4W!D60</f>
        <v>219792192.30000001</v>
      </c>
      <c r="E62" s="269">
        <f>Detail_4W!G60</f>
        <v>0</v>
      </c>
      <c r="F62" s="269">
        <f>Detail_4W!E60</f>
        <v>120904179.39</v>
      </c>
      <c r="G62" s="269">
        <f>Detail_4W!F60</f>
        <v>219792192.30000001</v>
      </c>
      <c r="H62" s="269">
        <f>Detail_4W!I60</f>
        <v>98888012.909999996</v>
      </c>
      <c r="I62" s="88">
        <f>Detail_2W!D60</f>
        <v>0</v>
      </c>
      <c r="J62" s="269">
        <f>Detail_2W!G60</f>
        <v>0</v>
      </c>
      <c r="K62" s="269">
        <f>Detail_2W!E60</f>
        <v>0</v>
      </c>
      <c r="L62" s="269">
        <f>Detail_2W!F60</f>
        <v>0</v>
      </c>
      <c r="M62" s="269">
        <f>Detail_2W!I60</f>
        <v>0</v>
      </c>
      <c r="N62" s="88">
        <f t="shared" si="5"/>
        <v>219792192.30000001</v>
      </c>
      <c r="O62" s="269">
        <f t="shared" si="6"/>
        <v>0</v>
      </c>
      <c r="P62" s="269">
        <f t="shared" si="7"/>
        <v>120904179.39</v>
      </c>
      <c r="Q62" s="269">
        <f t="shared" si="8"/>
        <v>219792192.30000001</v>
      </c>
      <c r="R62" s="269">
        <f t="shared" si="9"/>
        <v>98888012.909999996</v>
      </c>
    </row>
    <row r="63" spans="2:18" ht="17.55" customHeight="1" x14ac:dyDescent="0.3">
      <c r="B63" s="276" t="s">
        <v>794</v>
      </c>
      <c r="C63" s="277"/>
      <c r="D63" s="272">
        <f>Detail_4W!D61</f>
        <v>5803888473.6999998</v>
      </c>
      <c r="E63" s="272">
        <f>Detail_4W!G61</f>
        <v>253806182.34999999</v>
      </c>
      <c r="F63" s="272">
        <f>Detail_4W!E61</f>
        <v>2640568313.8600006</v>
      </c>
      <c r="G63" s="272">
        <f>Detail_4W!F61</f>
        <v>5550082291.3499994</v>
      </c>
      <c r="H63" s="272">
        <f>Detail_4W!I61</f>
        <v>2909513977.4899993</v>
      </c>
      <c r="I63" s="272">
        <f>Detail_2W!D61</f>
        <v>53616214.039999999</v>
      </c>
      <c r="J63" s="272">
        <f>Detail_2W!G61</f>
        <v>2040389.8599999999</v>
      </c>
      <c r="K63" s="272">
        <f>Detail_2W!E61</f>
        <v>36935740.74000001</v>
      </c>
      <c r="L63" s="272">
        <f>Detail_2W!F61</f>
        <v>51575824.18</v>
      </c>
      <c r="M63" s="272">
        <f>Detail_2W!I61</f>
        <v>14640083.440000001</v>
      </c>
      <c r="N63" s="272">
        <f t="shared" si="5"/>
        <v>5857504687.7399998</v>
      </c>
      <c r="O63" s="272">
        <f t="shared" si="6"/>
        <v>255846572.21000001</v>
      </c>
      <c r="P63" s="272">
        <f t="shared" si="7"/>
        <v>2677504054.6000004</v>
      </c>
      <c r="Q63" s="272">
        <f t="shared" si="8"/>
        <v>5601658115.5299997</v>
      </c>
      <c r="R63" s="272">
        <f t="shared" si="9"/>
        <v>2924154060.9299994</v>
      </c>
    </row>
  </sheetData>
  <mergeCells count="9">
    <mergeCell ref="D17:H17"/>
    <mergeCell ref="I17:M17"/>
    <mergeCell ref="N17:R17"/>
    <mergeCell ref="B63:C63"/>
    <mergeCell ref="B1:E1"/>
    <mergeCell ref="B2:C2"/>
    <mergeCell ref="D3:H3"/>
    <mergeCell ref="I3:M3"/>
    <mergeCell ref="N3:R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AFCC"/>
  </sheetPr>
  <dimension ref="A1:L62"/>
  <sheetViews>
    <sheetView showGridLines="0" workbookViewId="0">
      <pane xSplit="3" ySplit="5" topLeftCell="D6" activePane="bottomRight" state="frozen"/>
      <selection activeCell="H15" sqref="H15"/>
      <selection pane="topRight" activeCell="H15" sqref="H15"/>
      <selection pane="bottomLeft" activeCell="H15" sqref="H15"/>
      <selection pane="bottomRight" activeCell="H15" sqref="H15"/>
    </sheetView>
  </sheetViews>
  <sheetFormatPr defaultColWidth="9.109375" defaultRowHeight="15" customHeight="1" x14ac:dyDescent="0.3"/>
  <cols>
    <col min="1" max="1" width="0.44140625" style="61" customWidth="1"/>
    <col min="2" max="3" width="20.6640625" style="62" customWidth="1"/>
    <col min="4" max="4" width="15.6640625" style="62" customWidth="1"/>
    <col min="5" max="5" width="15.6640625" style="63" customWidth="1"/>
    <col min="6" max="6" width="15.6640625" style="62" customWidth="1"/>
    <col min="7" max="7" width="15.6640625" style="63" customWidth="1"/>
    <col min="8" max="9" width="15.6640625" style="62" customWidth="1"/>
    <col min="10" max="11" width="15.6640625" style="64" customWidth="1"/>
    <col min="12" max="16384" width="9.109375" style="62"/>
  </cols>
  <sheetData>
    <row r="1" spans="1:11" s="303" customFormat="1" ht="15" customHeight="1" x14ac:dyDescent="0.3">
      <c r="A1" s="301"/>
      <c r="B1" s="302" t="s">
        <v>852</v>
      </c>
      <c r="D1" s="302"/>
      <c r="G1" s="304"/>
      <c r="J1" s="305"/>
      <c r="K1" s="305"/>
    </row>
    <row r="2" spans="1:11" s="303" customFormat="1" ht="15" customHeight="1" x14ac:dyDescent="0.3">
      <c r="A2" s="301"/>
      <c r="B2" s="306" t="s">
        <v>132</v>
      </c>
      <c r="D2" s="307"/>
      <c r="E2" s="304"/>
      <c r="F2" s="304"/>
      <c r="G2" s="304"/>
      <c r="J2" s="305"/>
      <c r="K2" s="305"/>
    </row>
    <row r="3" spans="1:11" s="303" customFormat="1" ht="15" customHeight="1" x14ac:dyDescent="0.3">
      <c r="A3" s="301"/>
      <c r="B3" s="308">
        <f>Dashboard!B2</f>
        <v>46180</v>
      </c>
      <c r="C3" s="308"/>
      <c r="D3" s="307"/>
      <c r="E3" s="304"/>
      <c r="F3" s="304"/>
      <c r="G3" s="304"/>
      <c r="J3" s="305"/>
      <c r="K3" s="305"/>
    </row>
    <row r="4" spans="1:11" ht="4.95" customHeight="1" thickBot="1" x14ac:dyDescent="0.35">
      <c r="B4" s="65"/>
      <c r="C4" s="65"/>
      <c r="D4" s="66"/>
      <c r="E4" s="67"/>
      <c r="F4" s="63"/>
    </row>
    <row r="5" spans="1:11" s="90" customFormat="1" ht="17.55" customHeight="1" thickBot="1" x14ac:dyDescent="0.35">
      <c r="B5" s="91"/>
      <c r="C5" s="290" t="s">
        <v>787</v>
      </c>
      <c r="D5" s="284" t="s">
        <v>425</v>
      </c>
      <c r="E5" s="284" t="s">
        <v>853</v>
      </c>
      <c r="F5" s="284" t="s">
        <v>854</v>
      </c>
      <c r="G5" s="284" t="s">
        <v>855</v>
      </c>
      <c r="H5" s="284" t="s">
        <v>856</v>
      </c>
      <c r="I5" s="284" t="s">
        <v>420</v>
      </c>
      <c r="J5" s="313" t="s">
        <v>857</v>
      </c>
      <c r="K5" s="318" t="s">
        <v>858</v>
      </c>
    </row>
    <row r="6" spans="1:11" ht="15" customHeight="1" thickTop="1" x14ac:dyDescent="0.3">
      <c r="C6" s="291" t="s">
        <v>465</v>
      </c>
      <c r="D6" s="286">
        <f t="shared" ref="D6:I14" si="0">SUMIFS(D$18:D$60,$B$18:$B$60,$C6)</f>
        <v>1582632854.21</v>
      </c>
      <c r="E6" s="286">
        <f t="shared" si="0"/>
        <v>961438701.01000023</v>
      </c>
      <c r="F6" s="286">
        <f t="shared" si="0"/>
        <v>1579156249.8199999</v>
      </c>
      <c r="G6" s="286">
        <f t="shared" si="0"/>
        <v>3476604.39</v>
      </c>
      <c r="H6" s="286">
        <f t="shared" si="0"/>
        <v>961438701.01000023</v>
      </c>
      <c r="I6" s="286">
        <f t="shared" si="0"/>
        <v>617717548.80999994</v>
      </c>
      <c r="J6" s="314">
        <f t="shared" ref="J6:J15" si="1">IFERROR(H6/D6,0)</f>
        <v>0.60749320251532368</v>
      </c>
      <c r="K6" s="319">
        <f t="shared" ref="K6:K15" si="2">100%-J6</f>
        <v>0.39250679748467632</v>
      </c>
    </row>
    <row r="7" spans="1:11" ht="15" customHeight="1" x14ac:dyDescent="0.3">
      <c r="C7" s="292" t="s">
        <v>474</v>
      </c>
      <c r="D7" s="94">
        <f t="shared" si="0"/>
        <v>184429062</v>
      </c>
      <c r="E7" s="94">
        <f t="shared" si="0"/>
        <v>184429062</v>
      </c>
      <c r="F7" s="94">
        <f t="shared" si="0"/>
        <v>184429062</v>
      </c>
      <c r="G7" s="94">
        <f t="shared" si="0"/>
        <v>0</v>
      </c>
      <c r="H7" s="94">
        <f t="shared" si="0"/>
        <v>184429062</v>
      </c>
      <c r="I7" s="94">
        <f t="shared" si="0"/>
        <v>0</v>
      </c>
      <c r="J7" s="315">
        <f t="shared" si="1"/>
        <v>1</v>
      </c>
      <c r="K7" s="320">
        <f t="shared" si="2"/>
        <v>0</v>
      </c>
    </row>
    <row r="8" spans="1:11" ht="15" customHeight="1" x14ac:dyDescent="0.3">
      <c r="C8" s="292" t="s">
        <v>487</v>
      </c>
      <c r="D8" s="94">
        <f t="shared" si="0"/>
        <v>294827796.28999996</v>
      </c>
      <c r="E8" s="94">
        <f t="shared" si="0"/>
        <v>160022407.81</v>
      </c>
      <c r="F8" s="94">
        <f t="shared" si="0"/>
        <v>294827796.28999996</v>
      </c>
      <c r="G8" s="94">
        <f t="shared" si="0"/>
        <v>0</v>
      </c>
      <c r="H8" s="94">
        <f t="shared" si="0"/>
        <v>160022407.81</v>
      </c>
      <c r="I8" s="94">
        <f t="shared" si="0"/>
        <v>134805388.47999999</v>
      </c>
      <c r="J8" s="315">
        <f t="shared" si="1"/>
        <v>0.54276567482327198</v>
      </c>
      <c r="K8" s="320">
        <f t="shared" si="2"/>
        <v>0.45723432517672802</v>
      </c>
    </row>
    <row r="9" spans="1:11" ht="15" customHeight="1" x14ac:dyDescent="0.3">
      <c r="C9" s="292" t="s">
        <v>469</v>
      </c>
      <c r="D9" s="94">
        <f t="shared" si="0"/>
        <v>184004900.78999996</v>
      </c>
      <c r="E9" s="94">
        <f t="shared" si="0"/>
        <v>66660504.219999991</v>
      </c>
      <c r="F9" s="94">
        <f t="shared" si="0"/>
        <v>184004900.78999996</v>
      </c>
      <c r="G9" s="94">
        <f t="shared" si="0"/>
        <v>0</v>
      </c>
      <c r="H9" s="94">
        <f t="shared" si="0"/>
        <v>66660504.219999991</v>
      </c>
      <c r="I9" s="94">
        <f t="shared" si="0"/>
        <v>117344396.56999999</v>
      </c>
      <c r="J9" s="315">
        <f t="shared" si="1"/>
        <v>0.3622756999069166</v>
      </c>
      <c r="K9" s="320">
        <f t="shared" si="2"/>
        <v>0.63772430009308345</v>
      </c>
    </row>
    <row r="10" spans="1:11" ht="15" customHeight="1" x14ac:dyDescent="0.3">
      <c r="C10" s="292" t="s">
        <v>448</v>
      </c>
      <c r="D10" s="94">
        <f t="shared" si="0"/>
        <v>1093062400.8800001</v>
      </c>
      <c r="E10" s="94">
        <f t="shared" si="0"/>
        <v>534474315.15000004</v>
      </c>
      <c r="F10" s="94">
        <f t="shared" si="0"/>
        <v>1088029277.4300001</v>
      </c>
      <c r="G10" s="94">
        <f t="shared" si="0"/>
        <v>5033123.45</v>
      </c>
      <c r="H10" s="94">
        <f t="shared" si="0"/>
        <v>534474315.15000004</v>
      </c>
      <c r="I10" s="94">
        <f t="shared" si="0"/>
        <v>553554962.28000009</v>
      </c>
      <c r="J10" s="315">
        <f t="shared" si="1"/>
        <v>0.4889696276440455</v>
      </c>
      <c r="K10" s="320">
        <f t="shared" si="2"/>
        <v>0.5110303723559545</v>
      </c>
    </row>
    <row r="11" spans="1:11" ht="15" customHeight="1" x14ac:dyDescent="0.3">
      <c r="C11" s="292" t="s">
        <v>454</v>
      </c>
      <c r="D11" s="94">
        <f t="shared" si="0"/>
        <v>520287306.93000001</v>
      </c>
      <c r="E11" s="94">
        <f t="shared" si="0"/>
        <v>75428285.129999995</v>
      </c>
      <c r="F11" s="94">
        <f t="shared" si="0"/>
        <v>520287306.93000001</v>
      </c>
      <c r="G11" s="94">
        <f t="shared" si="0"/>
        <v>0</v>
      </c>
      <c r="H11" s="94">
        <f t="shared" si="0"/>
        <v>75428285.129999995</v>
      </c>
      <c r="I11" s="94">
        <f t="shared" si="0"/>
        <v>444859021.80000001</v>
      </c>
      <c r="J11" s="315">
        <f t="shared" si="1"/>
        <v>0.1449742942511342</v>
      </c>
      <c r="K11" s="320">
        <f t="shared" si="2"/>
        <v>0.85502570574886583</v>
      </c>
    </row>
    <row r="12" spans="1:11" ht="15" customHeight="1" x14ac:dyDescent="0.3">
      <c r="C12" s="292" t="s">
        <v>500</v>
      </c>
      <c r="D12" s="94">
        <f t="shared" si="0"/>
        <v>311803040.88999999</v>
      </c>
      <c r="E12" s="94">
        <f t="shared" si="0"/>
        <v>10371616.65</v>
      </c>
      <c r="F12" s="94">
        <f t="shared" si="0"/>
        <v>311803040.88999999</v>
      </c>
      <c r="G12" s="94">
        <f t="shared" si="0"/>
        <v>0</v>
      </c>
      <c r="H12" s="94">
        <f t="shared" si="0"/>
        <v>10371616.65</v>
      </c>
      <c r="I12" s="94">
        <f t="shared" si="0"/>
        <v>301431424.24000001</v>
      </c>
      <c r="J12" s="315">
        <f t="shared" si="1"/>
        <v>3.3263359524639692E-2</v>
      </c>
      <c r="K12" s="320">
        <f t="shared" si="2"/>
        <v>0.96673664047536034</v>
      </c>
    </row>
    <row r="13" spans="1:11" ht="15" customHeight="1" x14ac:dyDescent="0.3">
      <c r="C13" s="292" t="s">
        <v>480</v>
      </c>
      <c r="D13" s="94">
        <f t="shared" si="0"/>
        <v>651125261.56999993</v>
      </c>
      <c r="E13" s="94">
        <f t="shared" si="0"/>
        <v>526839242.5</v>
      </c>
      <c r="F13" s="94">
        <f t="shared" si="0"/>
        <v>640643111.71999991</v>
      </c>
      <c r="G13" s="94">
        <f t="shared" si="0"/>
        <v>10482149.85</v>
      </c>
      <c r="H13" s="94">
        <f t="shared" si="0"/>
        <v>526839242.5</v>
      </c>
      <c r="I13" s="94">
        <f t="shared" si="0"/>
        <v>113803869.22</v>
      </c>
      <c r="J13" s="315">
        <f t="shared" si="1"/>
        <v>0.80912118388661469</v>
      </c>
      <c r="K13" s="320">
        <f t="shared" si="2"/>
        <v>0.19087881611338531</v>
      </c>
    </row>
    <row r="14" spans="1:11" ht="15" customHeight="1" thickBot="1" x14ac:dyDescent="0.35">
      <c r="C14" s="293" t="s">
        <v>576</v>
      </c>
      <c r="D14" s="95">
        <f t="shared" si="0"/>
        <v>981715850.13999987</v>
      </c>
      <c r="E14" s="95">
        <f t="shared" si="0"/>
        <v>120904179.39</v>
      </c>
      <c r="F14" s="95">
        <f t="shared" si="0"/>
        <v>746901545.48000002</v>
      </c>
      <c r="G14" s="95">
        <f t="shared" si="0"/>
        <v>234814304.66</v>
      </c>
      <c r="H14" s="95">
        <f t="shared" si="0"/>
        <v>120904179.39</v>
      </c>
      <c r="I14" s="95">
        <f t="shared" si="0"/>
        <v>625997366.08999991</v>
      </c>
      <c r="J14" s="316">
        <f t="shared" si="1"/>
        <v>0.12315598181771047</v>
      </c>
      <c r="K14" s="321">
        <f t="shared" si="2"/>
        <v>0.87684401818228952</v>
      </c>
    </row>
    <row r="15" spans="1:11" ht="17.55" customHeight="1" thickTop="1" thickBot="1" x14ac:dyDescent="0.35">
      <c r="C15" s="294" t="s">
        <v>794</v>
      </c>
      <c r="D15" s="289">
        <f>SUM(D6:D14)</f>
        <v>5803888473.6999989</v>
      </c>
      <c r="E15" s="289">
        <f t="shared" ref="E15:I15" si="3">SUM(E6:E14)</f>
        <v>2640568313.8600001</v>
      </c>
      <c r="F15" s="289">
        <f t="shared" si="3"/>
        <v>5550082291.3500004</v>
      </c>
      <c r="G15" s="289">
        <f t="shared" si="3"/>
        <v>253806182.34999999</v>
      </c>
      <c r="H15" s="289">
        <f t="shared" si="3"/>
        <v>2640568313.8600001</v>
      </c>
      <c r="I15" s="289">
        <f t="shared" si="3"/>
        <v>2909513977.4899998</v>
      </c>
      <c r="J15" s="317">
        <f t="shared" si="1"/>
        <v>0.45496537809532178</v>
      </c>
      <c r="K15" s="322">
        <f t="shared" si="2"/>
        <v>0.54503462190467822</v>
      </c>
    </row>
    <row r="16" spans="1:11" ht="2.5499999999999998" customHeight="1" thickBot="1" x14ac:dyDescent="0.35">
      <c r="C16" s="281"/>
      <c r="D16" s="282"/>
      <c r="E16" s="282"/>
      <c r="F16" s="282"/>
      <c r="G16" s="282"/>
      <c r="H16" s="282"/>
      <c r="I16" s="282"/>
      <c r="J16" s="283"/>
      <c r="K16" s="283"/>
    </row>
    <row r="17" spans="2:12" s="90" customFormat="1" ht="17.55" customHeight="1" thickBot="1" x14ac:dyDescent="0.35">
      <c r="B17" s="295" t="s">
        <v>787</v>
      </c>
      <c r="C17" s="312" t="s">
        <v>788</v>
      </c>
      <c r="D17" s="296" t="s">
        <v>425</v>
      </c>
      <c r="E17" s="296" t="s">
        <v>853</v>
      </c>
      <c r="F17" s="296" t="s">
        <v>854</v>
      </c>
      <c r="G17" s="296" t="s">
        <v>855</v>
      </c>
      <c r="H17" s="296" t="s">
        <v>856</v>
      </c>
      <c r="I17" s="296" t="s">
        <v>420</v>
      </c>
      <c r="J17" s="323" t="s">
        <v>857</v>
      </c>
      <c r="K17" s="325" t="s">
        <v>858</v>
      </c>
    </row>
    <row r="18" spans="2:12" ht="15" customHeight="1" x14ac:dyDescent="0.3">
      <c r="B18" s="285" t="s">
        <v>465</v>
      </c>
      <c r="C18" s="309" t="s">
        <v>0</v>
      </c>
      <c r="D18" s="297">
        <f>SUMIFS('CWO Bulan Ini'!$DA:$DA,'CWO Bulan Ini'!$DH:$DH,Detail_4W!$B$2,'CWO Bulan Ini'!$DJ:$DJ,Detail_4W!$C18)*1000000</f>
        <v>425421876.79000002</v>
      </c>
      <c r="E18" s="297">
        <f>SUMIFS('CWO Bulan Ini'!$DD:$DD,'CWO Bulan Ini'!$DH:$DH,Detail_4W!$B$2,'CWO Bulan Ini'!$DJ:$DJ,Detail_4W!$C18)*1000000</f>
        <v>120624513.83</v>
      </c>
      <c r="F18" s="297">
        <f>D18-G18</f>
        <v>425421876.79000002</v>
      </c>
      <c r="G18" s="297">
        <f>SUMIFS('CWO Bulan Ini'!$DC:$DC,'CWO Bulan Ini'!$DH:$DH,Detail_4W!$B$2,'CWO Bulan Ini'!$DJ:$DJ,Detail_4W!$C18)*1000000</f>
        <v>0</v>
      </c>
      <c r="H18" s="297">
        <f>SUMIFS('CWO Bulan Ini'!$DD:$DD,'CWO Bulan Ini'!$DH:$DH,Detail_4W!$B$2,'CWO Bulan Ini'!$DJ:$DJ,Detail_4W!$C18)*1000000</f>
        <v>120624513.83</v>
      </c>
      <c r="I18" s="297">
        <f>SUMIFS('CWO Bulan Ini'!$DG:$DG,'CWO Bulan Ini'!$DH:$DH,Detail_4W!$B$2,'CWO Bulan Ini'!$DJ:$DJ,Detail_4W!$C18)*1000000</f>
        <v>304797362.95999998</v>
      </c>
      <c r="J18" s="314">
        <f>IFERROR(H18/D18,0)</f>
        <v>0.2835409282196919</v>
      </c>
      <c r="K18" s="319">
        <f>100%-J18</f>
        <v>0.7164590717803081</v>
      </c>
      <c r="L18" s="63"/>
    </row>
    <row r="19" spans="2:12" ht="15" customHeight="1" x14ac:dyDescent="0.3">
      <c r="B19" s="287" t="s">
        <v>465</v>
      </c>
      <c r="C19" s="310" t="s">
        <v>11</v>
      </c>
      <c r="D19" s="68">
        <f>SUMIFS('CWO Bulan Ini'!$DA:$DA,'CWO Bulan Ini'!$DH:$DH,Detail_4W!$B$2,'CWO Bulan Ini'!$DJ:$DJ,Detail_4W!$C19)*1000000</f>
        <v>189788967.87</v>
      </c>
      <c r="E19" s="68">
        <f>SUMIFS('CWO Bulan Ini'!$DD:$DD,'CWO Bulan Ini'!$DH:$DH,Detail_4W!$B$2,'CWO Bulan Ini'!$DJ:$DJ,Detail_4W!$C19)*1000000</f>
        <v>189788967.87</v>
      </c>
      <c r="F19" s="68">
        <f t="shared" ref="F19:F60" si="4">D19-G19</f>
        <v>189788967.87</v>
      </c>
      <c r="G19" s="68">
        <f>SUMIFS('CWO Bulan Ini'!$DC:$DC,'CWO Bulan Ini'!$DH:$DH,Detail_4W!$B$2,'CWO Bulan Ini'!$DJ:$DJ,Detail_4W!$C19)*1000000</f>
        <v>0</v>
      </c>
      <c r="H19" s="68">
        <f>SUMIFS('CWO Bulan Ini'!$DD:$DD,'CWO Bulan Ini'!$DH:$DH,Detail_4W!$B$2,'CWO Bulan Ini'!$DJ:$DJ,Detail_4W!$C19)*1000000</f>
        <v>189788967.87</v>
      </c>
      <c r="I19" s="68">
        <f>SUMIFS('CWO Bulan Ini'!$DG:$DG,'CWO Bulan Ini'!$DH:$DH,Detail_4W!$B$2,'CWO Bulan Ini'!$DJ:$DJ,Detail_4W!$C19)*1000000</f>
        <v>0</v>
      </c>
      <c r="J19" s="315">
        <f t="shared" ref="J19:J61" si="5">IFERROR(H19/D19,0)</f>
        <v>1</v>
      </c>
      <c r="K19" s="320">
        <f t="shared" ref="K19:K61" si="6">100%-J19</f>
        <v>0</v>
      </c>
    </row>
    <row r="20" spans="2:12" ht="15" customHeight="1" x14ac:dyDescent="0.3">
      <c r="B20" s="287" t="s">
        <v>465</v>
      </c>
      <c r="C20" s="310" t="s">
        <v>7</v>
      </c>
      <c r="D20" s="68">
        <f>SUMIFS('CWO Bulan Ini'!$DA:$DA,'CWO Bulan Ini'!$DH:$DH,Detail_4W!$B$2,'CWO Bulan Ini'!$DJ:$DJ,Detail_4W!$C20)*1000000</f>
        <v>635227624.50999999</v>
      </c>
      <c r="E20" s="68">
        <f>SUMIFS('CWO Bulan Ini'!$DD:$DD,'CWO Bulan Ini'!$DH:$DH,Detail_4W!$B$2,'CWO Bulan Ini'!$DJ:$DJ,Detail_4W!$C20)*1000000</f>
        <v>423381622.76000005</v>
      </c>
      <c r="F20" s="68">
        <f t="shared" si="4"/>
        <v>635227624.50999999</v>
      </c>
      <c r="G20" s="68">
        <f>SUMIFS('CWO Bulan Ini'!$DC:$DC,'CWO Bulan Ini'!$DH:$DH,Detail_4W!$B$2,'CWO Bulan Ini'!$DJ:$DJ,Detail_4W!$C20)*1000000</f>
        <v>0</v>
      </c>
      <c r="H20" s="68">
        <f>SUMIFS('CWO Bulan Ini'!$DD:$DD,'CWO Bulan Ini'!$DH:$DH,Detail_4W!$B$2,'CWO Bulan Ini'!$DJ:$DJ,Detail_4W!$C20)*1000000</f>
        <v>423381622.76000005</v>
      </c>
      <c r="I20" s="68">
        <f>SUMIFS('CWO Bulan Ini'!$DG:$DG,'CWO Bulan Ini'!$DH:$DH,Detail_4W!$B$2,'CWO Bulan Ini'!$DJ:$DJ,Detail_4W!$C20)*1000000</f>
        <v>211846001.75</v>
      </c>
      <c r="J20" s="315">
        <f t="shared" si="5"/>
        <v>0.66650379552776362</v>
      </c>
      <c r="K20" s="320">
        <f t="shared" si="6"/>
        <v>0.33349620447223638</v>
      </c>
    </row>
    <row r="21" spans="2:12" ht="15" customHeight="1" x14ac:dyDescent="0.3">
      <c r="B21" s="287" t="s">
        <v>465</v>
      </c>
      <c r="C21" s="310" t="s">
        <v>2</v>
      </c>
      <c r="D21" s="68">
        <f>SUMIFS('CWO Bulan Ini'!$DA:$DA,'CWO Bulan Ini'!$DH:$DH,Detail_4W!$B$2,'CWO Bulan Ini'!$DJ:$DJ,Detail_4W!$C21)*1000000</f>
        <v>24977815.32</v>
      </c>
      <c r="E21" s="68">
        <f>SUMIFS('CWO Bulan Ini'!$DD:$DD,'CWO Bulan Ini'!$DH:$DH,Detail_4W!$B$2,'CWO Bulan Ini'!$DJ:$DJ,Detail_4W!$C21)*1000000</f>
        <v>24977815.32</v>
      </c>
      <c r="F21" s="68">
        <f t="shared" si="4"/>
        <v>24977815.32</v>
      </c>
      <c r="G21" s="68">
        <f>SUMIFS('CWO Bulan Ini'!$DC:$DC,'CWO Bulan Ini'!$DH:$DH,Detail_4W!$B$2,'CWO Bulan Ini'!$DJ:$DJ,Detail_4W!$C21)*1000000</f>
        <v>0</v>
      </c>
      <c r="H21" s="68">
        <f>SUMIFS('CWO Bulan Ini'!$DD:$DD,'CWO Bulan Ini'!$DH:$DH,Detail_4W!$B$2,'CWO Bulan Ini'!$DJ:$DJ,Detail_4W!$C21)*1000000</f>
        <v>24977815.32</v>
      </c>
      <c r="I21" s="68">
        <f>SUMIFS('CWO Bulan Ini'!$DG:$DG,'CWO Bulan Ini'!$DH:$DH,Detail_4W!$B$2,'CWO Bulan Ini'!$DJ:$DJ,Detail_4W!$C21)*1000000</f>
        <v>0</v>
      </c>
      <c r="J21" s="315">
        <f t="shared" si="5"/>
        <v>1</v>
      </c>
      <c r="K21" s="320">
        <f t="shared" si="6"/>
        <v>0</v>
      </c>
    </row>
    <row r="22" spans="2:12" ht="15" customHeight="1" x14ac:dyDescent="0.3">
      <c r="B22" s="287" t="s">
        <v>465</v>
      </c>
      <c r="C22" s="310" t="s">
        <v>13</v>
      </c>
      <c r="D22" s="68">
        <f>SUMIFS('CWO Bulan Ini'!$DA:$DA,'CWO Bulan Ini'!$DH:$DH,Detail_4W!$B$2,'CWO Bulan Ini'!$DJ:$DJ,Detail_4W!$C22)*1000000</f>
        <v>0</v>
      </c>
      <c r="E22" s="68">
        <f>SUMIFS('CWO Bulan Ini'!$DD:$DD,'CWO Bulan Ini'!$DH:$DH,Detail_4W!$B$2,'CWO Bulan Ini'!$DJ:$DJ,Detail_4W!$C22)*1000000</f>
        <v>0</v>
      </c>
      <c r="F22" s="68">
        <f t="shared" si="4"/>
        <v>0</v>
      </c>
      <c r="G22" s="68">
        <f>SUMIFS('CWO Bulan Ini'!$DC:$DC,'CWO Bulan Ini'!$DH:$DH,Detail_4W!$B$2,'CWO Bulan Ini'!$DJ:$DJ,Detail_4W!$C22)*1000000</f>
        <v>0</v>
      </c>
      <c r="H22" s="68">
        <f>SUMIFS('CWO Bulan Ini'!$DD:$DD,'CWO Bulan Ini'!$DH:$DH,Detail_4W!$B$2,'CWO Bulan Ini'!$DJ:$DJ,Detail_4W!$C22)*1000000</f>
        <v>0</v>
      </c>
      <c r="I22" s="68">
        <f>SUMIFS('CWO Bulan Ini'!$DG:$DG,'CWO Bulan Ini'!$DH:$DH,Detail_4W!$B$2,'CWO Bulan Ini'!$DJ:$DJ,Detail_4W!$C22)*1000000</f>
        <v>0</v>
      </c>
      <c r="J22" s="315">
        <f t="shared" si="5"/>
        <v>0</v>
      </c>
      <c r="K22" s="320">
        <f t="shared" si="6"/>
        <v>1</v>
      </c>
    </row>
    <row r="23" spans="2:12" ht="15" customHeight="1" x14ac:dyDescent="0.3">
      <c r="B23" s="287" t="s">
        <v>465</v>
      </c>
      <c r="C23" s="310" t="s">
        <v>5</v>
      </c>
      <c r="D23" s="68">
        <f>SUMIFS('CWO Bulan Ini'!$DA:$DA,'CWO Bulan Ini'!$DH:$DH,Detail_4W!$B$2,'CWO Bulan Ini'!$DJ:$DJ,Detail_4W!$C23)*1000000</f>
        <v>15752499.1</v>
      </c>
      <c r="E23" s="68">
        <f>SUMIFS('CWO Bulan Ini'!$DD:$DD,'CWO Bulan Ini'!$DH:$DH,Detail_4W!$B$2,'CWO Bulan Ini'!$DJ:$DJ,Detail_4W!$C23)*1000000</f>
        <v>15752499.1</v>
      </c>
      <c r="F23" s="68">
        <f t="shared" si="4"/>
        <v>15752499.1</v>
      </c>
      <c r="G23" s="68">
        <f>SUMIFS('CWO Bulan Ini'!$DC:$DC,'CWO Bulan Ini'!$DH:$DH,Detail_4W!$B$2,'CWO Bulan Ini'!$DJ:$DJ,Detail_4W!$C23)*1000000</f>
        <v>0</v>
      </c>
      <c r="H23" s="68">
        <f>SUMIFS('CWO Bulan Ini'!$DD:$DD,'CWO Bulan Ini'!$DH:$DH,Detail_4W!$B$2,'CWO Bulan Ini'!$DJ:$DJ,Detail_4W!$C23)*1000000</f>
        <v>15752499.1</v>
      </c>
      <c r="I23" s="68">
        <f>SUMIFS('CWO Bulan Ini'!$DG:$DG,'CWO Bulan Ini'!$DH:$DH,Detail_4W!$B$2,'CWO Bulan Ini'!$DJ:$DJ,Detail_4W!$C23)*1000000</f>
        <v>0</v>
      </c>
      <c r="J23" s="315">
        <f t="shared" si="5"/>
        <v>1</v>
      </c>
      <c r="K23" s="320">
        <f t="shared" si="6"/>
        <v>0</v>
      </c>
    </row>
    <row r="24" spans="2:12" ht="15" customHeight="1" x14ac:dyDescent="0.3">
      <c r="B24" s="287" t="s">
        <v>465</v>
      </c>
      <c r="C24" s="310" t="s">
        <v>9</v>
      </c>
      <c r="D24" s="68">
        <f>SUMIFS('CWO Bulan Ini'!$DA:$DA,'CWO Bulan Ini'!$DH:$DH,Detail_4W!$B$2,'CWO Bulan Ini'!$DJ:$DJ,Detail_4W!$C24)*1000000</f>
        <v>92005081.439999998</v>
      </c>
      <c r="E24" s="68">
        <f>SUMIFS('CWO Bulan Ini'!$DD:$DD,'CWO Bulan Ini'!$DH:$DH,Detail_4W!$B$2,'CWO Bulan Ini'!$DJ:$DJ,Detail_4W!$C24)*1000000</f>
        <v>92005081.439999998</v>
      </c>
      <c r="F24" s="68">
        <f t="shared" si="4"/>
        <v>92005081.439999998</v>
      </c>
      <c r="G24" s="68">
        <f>SUMIFS('CWO Bulan Ini'!$DC:$DC,'CWO Bulan Ini'!$DH:$DH,Detail_4W!$B$2,'CWO Bulan Ini'!$DJ:$DJ,Detail_4W!$C24)*1000000</f>
        <v>0</v>
      </c>
      <c r="H24" s="68">
        <f>SUMIFS('CWO Bulan Ini'!$DD:$DD,'CWO Bulan Ini'!$DH:$DH,Detail_4W!$B$2,'CWO Bulan Ini'!$DJ:$DJ,Detail_4W!$C24)*1000000</f>
        <v>92005081.439999998</v>
      </c>
      <c r="I24" s="68">
        <f>SUMIFS('CWO Bulan Ini'!$DG:$DG,'CWO Bulan Ini'!$DH:$DH,Detail_4W!$B$2,'CWO Bulan Ini'!$DJ:$DJ,Detail_4W!$C24)*1000000</f>
        <v>0</v>
      </c>
      <c r="J24" s="315">
        <f t="shared" si="5"/>
        <v>1</v>
      </c>
      <c r="K24" s="320">
        <f t="shared" si="6"/>
        <v>0</v>
      </c>
    </row>
    <row r="25" spans="2:12" ht="15" customHeight="1" x14ac:dyDescent="0.3">
      <c r="B25" s="287" t="s">
        <v>465</v>
      </c>
      <c r="C25" s="310" t="s">
        <v>15</v>
      </c>
      <c r="D25" s="68">
        <f>SUMIFS('CWO Bulan Ini'!$DA:$DA,'CWO Bulan Ini'!$DH:$DH,Detail_4W!$B$2,'CWO Bulan Ini'!$DJ:$DJ,Detail_4W!$C25)*1000000</f>
        <v>199458989.18000001</v>
      </c>
      <c r="E25" s="68">
        <f>SUMIFS('CWO Bulan Ini'!$DD:$DD,'CWO Bulan Ini'!$DH:$DH,Detail_4W!$B$2,'CWO Bulan Ini'!$DJ:$DJ,Detail_4W!$C25)*1000000</f>
        <v>94908200.689999998</v>
      </c>
      <c r="F25" s="68">
        <f t="shared" si="4"/>
        <v>195982384.79000002</v>
      </c>
      <c r="G25" s="68">
        <f>SUMIFS('CWO Bulan Ini'!$DC:$DC,'CWO Bulan Ini'!$DH:$DH,Detail_4W!$B$2,'CWO Bulan Ini'!$DJ:$DJ,Detail_4W!$C25)*1000000</f>
        <v>3476604.39</v>
      </c>
      <c r="H25" s="68">
        <f>SUMIFS('CWO Bulan Ini'!$DD:$DD,'CWO Bulan Ini'!$DH:$DH,Detail_4W!$B$2,'CWO Bulan Ini'!$DJ:$DJ,Detail_4W!$C25)*1000000</f>
        <v>94908200.689999998</v>
      </c>
      <c r="I25" s="68">
        <f>SUMIFS('CWO Bulan Ini'!$DG:$DG,'CWO Bulan Ini'!$DH:$DH,Detail_4W!$B$2,'CWO Bulan Ini'!$DJ:$DJ,Detail_4W!$C25)*1000000</f>
        <v>101074184.09999999</v>
      </c>
      <c r="J25" s="315">
        <f t="shared" si="5"/>
        <v>0.47582814432269549</v>
      </c>
      <c r="K25" s="320">
        <f t="shared" si="6"/>
        <v>0.52417185567730451</v>
      </c>
    </row>
    <row r="26" spans="2:12" ht="15" customHeight="1" x14ac:dyDescent="0.3">
      <c r="B26" s="287" t="s">
        <v>474</v>
      </c>
      <c r="C26" s="310" t="s">
        <v>158</v>
      </c>
      <c r="D26" s="68">
        <f>SUMIFS('CWO Bulan Ini'!$DA:$DA,'CWO Bulan Ini'!$DH:$DH,Detail_4W!$B$2,'CWO Bulan Ini'!$DJ:$DJ,Detail_4W!$C26)*1000000</f>
        <v>184429062</v>
      </c>
      <c r="E26" s="68">
        <f>SUMIFS('CWO Bulan Ini'!$DD:$DD,'CWO Bulan Ini'!$DH:$DH,Detail_4W!$B$2,'CWO Bulan Ini'!$DJ:$DJ,Detail_4W!$C26)*1000000</f>
        <v>184429062</v>
      </c>
      <c r="F26" s="68">
        <f t="shared" si="4"/>
        <v>184429062</v>
      </c>
      <c r="G26" s="68">
        <f>SUMIFS('CWO Bulan Ini'!$DC:$DC,'CWO Bulan Ini'!$DH:$DH,Detail_4W!$B$2,'CWO Bulan Ini'!$DJ:$DJ,Detail_4W!$C26)*1000000</f>
        <v>0</v>
      </c>
      <c r="H26" s="68">
        <f>SUMIFS('CWO Bulan Ini'!$DD:$DD,'CWO Bulan Ini'!$DH:$DH,Detail_4W!$B$2,'CWO Bulan Ini'!$DJ:$DJ,Detail_4W!$C26)*1000000</f>
        <v>184429062</v>
      </c>
      <c r="I26" s="68">
        <f>SUMIFS('CWO Bulan Ini'!$DG:$DG,'CWO Bulan Ini'!$DH:$DH,Detail_4W!$B$2,'CWO Bulan Ini'!$DJ:$DJ,Detail_4W!$C26)*1000000</f>
        <v>0</v>
      </c>
      <c r="J26" s="315">
        <f t="shared" si="5"/>
        <v>1</v>
      </c>
      <c r="K26" s="320">
        <f t="shared" si="6"/>
        <v>0</v>
      </c>
    </row>
    <row r="27" spans="2:12" ht="15" customHeight="1" x14ac:dyDescent="0.3">
      <c r="B27" s="287" t="s">
        <v>474</v>
      </c>
      <c r="C27" s="310" t="s">
        <v>299</v>
      </c>
      <c r="D27" s="68">
        <f>SUMIFS('CWO Bulan Ini'!$DA:$DA,'CWO Bulan Ini'!$DH:$DH,Detail_4W!$B$2,'CWO Bulan Ini'!$DJ:$DJ,Detail_4W!$C27)*1000000</f>
        <v>0</v>
      </c>
      <c r="E27" s="68">
        <f>SUMIFS('CWO Bulan Ini'!$DD:$DD,'CWO Bulan Ini'!$DH:$DH,Detail_4W!$B$2,'CWO Bulan Ini'!$DJ:$DJ,Detail_4W!$C27)*1000000</f>
        <v>0</v>
      </c>
      <c r="F27" s="68">
        <f t="shared" si="4"/>
        <v>0</v>
      </c>
      <c r="G27" s="68">
        <f>SUMIFS('CWO Bulan Ini'!$DC:$DC,'CWO Bulan Ini'!$DH:$DH,Detail_4W!$B$2,'CWO Bulan Ini'!$DJ:$DJ,Detail_4W!$C27)*1000000</f>
        <v>0</v>
      </c>
      <c r="H27" s="68">
        <f>SUMIFS('CWO Bulan Ini'!$DD:$DD,'CWO Bulan Ini'!$DH:$DH,Detail_4W!$B$2,'CWO Bulan Ini'!$DJ:$DJ,Detail_4W!$C27)*1000000</f>
        <v>0</v>
      </c>
      <c r="I27" s="68">
        <f>SUMIFS('CWO Bulan Ini'!$DG:$DG,'CWO Bulan Ini'!$DH:$DH,Detail_4W!$B$2,'CWO Bulan Ini'!$DJ:$DJ,Detail_4W!$C27)*1000000</f>
        <v>0</v>
      </c>
      <c r="J27" s="315">
        <f t="shared" si="5"/>
        <v>0</v>
      </c>
      <c r="K27" s="320">
        <f t="shared" si="6"/>
        <v>1</v>
      </c>
    </row>
    <row r="28" spans="2:12" ht="15" customHeight="1" x14ac:dyDescent="0.3">
      <c r="B28" s="287" t="s">
        <v>474</v>
      </c>
      <c r="C28" s="310" t="s">
        <v>173</v>
      </c>
      <c r="D28" s="68">
        <f>SUMIFS('CWO Bulan Ini'!$DA:$DA,'CWO Bulan Ini'!$DH:$DH,Detail_4W!$B$2,'CWO Bulan Ini'!$DJ:$DJ,Detail_4W!$C28)*1000000</f>
        <v>0</v>
      </c>
      <c r="E28" s="68">
        <f>SUMIFS('CWO Bulan Ini'!$DD:$DD,'CWO Bulan Ini'!$DH:$DH,Detail_4W!$B$2,'CWO Bulan Ini'!$DJ:$DJ,Detail_4W!$C28)*1000000</f>
        <v>0</v>
      </c>
      <c r="F28" s="68">
        <f t="shared" si="4"/>
        <v>0</v>
      </c>
      <c r="G28" s="68">
        <f>SUMIFS('CWO Bulan Ini'!$DC:$DC,'CWO Bulan Ini'!$DH:$DH,Detail_4W!$B$2,'CWO Bulan Ini'!$DJ:$DJ,Detail_4W!$C28)*1000000</f>
        <v>0</v>
      </c>
      <c r="H28" s="68">
        <f>SUMIFS('CWO Bulan Ini'!$DD:$DD,'CWO Bulan Ini'!$DH:$DH,Detail_4W!$B$2,'CWO Bulan Ini'!$DJ:$DJ,Detail_4W!$C28)*1000000</f>
        <v>0</v>
      </c>
      <c r="I28" s="68">
        <f>SUMIFS('CWO Bulan Ini'!$DG:$DG,'CWO Bulan Ini'!$DH:$DH,Detail_4W!$B$2,'CWO Bulan Ini'!$DJ:$DJ,Detail_4W!$C28)*1000000</f>
        <v>0</v>
      </c>
      <c r="J28" s="315">
        <f t="shared" si="5"/>
        <v>0</v>
      </c>
      <c r="K28" s="320">
        <f t="shared" si="6"/>
        <v>1</v>
      </c>
    </row>
    <row r="29" spans="2:12" ht="15" customHeight="1" x14ac:dyDescent="0.3">
      <c r="B29" s="287" t="s">
        <v>487</v>
      </c>
      <c r="C29" s="310" t="s">
        <v>212</v>
      </c>
      <c r="D29" s="68">
        <f>SUMIFS('CWO Bulan Ini'!$DA:$DA,'CWO Bulan Ini'!$DH:$DH,Detail_4W!$B$2,'CWO Bulan Ini'!$DJ:$DJ,Detail_4W!$C29)*1000000</f>
        <v>0</v>
      </c>
      <c r="E29" s="68">
        <f>SUMIFS('CWO Bulan Ini'!$DD:$DD,'CWO Bulan Ini'!$DH:$DH,Detail_4W!$B$2,'CWO Bulan Ini'!$DJ:$DJ,Detail_4W!$C29)*1000000</f>
        <v>0</v>
      </c>
      <c r="F29" s="68">
        <f t="shared" si="4"/>
        <v>0</v>
      </c>
      <c r="G29" s="68">
        <f>SUMIFS('CWO Bulan Ini'!$DC:$DC,'CWO Bulan Ini'!$DH:$DH,Detail_4W!$B$2,'CWO Bulan Ini'!$DJ:$DJ,Detail_4W!$C29)*1000000</f>
        <v>0</v>
      </c>
      <c r="H29" s="68">
        <f>SUMIFS('CWO Bulan Ini'!$DD:$DD,'CWO Bulan Ini'!$DH:$DH,Detail_4W!$B$2,'CWO Bulan Ini'!$DJ:$DJ,Detail_4W!$C29)*1000000</f>
        <v>0</v>
      </c>
      <c r="I29" s="68">
        <f>SUMIFS('CWO Bulan Ini'!$DG:$DG,'CWO Bulan Ini'!$DH:$DH,Detail_4W!$B$2,'CWO Bulan Ini'!$DJ:$DJ,Detail_4W!$C29)*1000000</f>
        <v>0</v>
      </c>
      <c r="J29" s="315">
        <f t="shared" si="5"/>
        <v>0</v>
      </c>
      <c r="K29" s="320">
        <f t="shared" si="6"/>
        <v>1</v>
      </c>
    </row>
    <row r="30" spans="2:12" ht="15" customHeight="1" x14ac:dyDescent="0.3">
      <c r="B30" s="287" t="s">
        <v>487</v>
      </c>
      <c r="C30" s="310" t="s">
        <v>220</v>
      </c>
      <c r="D30" s="68">
        <f>SUMIFS('CWO Bulan Ini'!$DA:$DA,'CWO Bulan Ini'!$DH:$DH,Detail_4W!$B$2,'CWO Bulan Ini'!$DJ:$DJ,Detail_4W!$C30)*1000000</f>
        <v>0</v>
      </c>
      <c r="E30" s="68">
        <f>SUMIFS('CWO Bulan Ini'!$DD:$DD,'CWO Bulan Ini'!$DH:$DH,Detail_4W!$B$2,'CWO Bulan Ini'!$DJ:$DJ,Detail_4W!$C30)*1000000</f>
        <v>0</v>
      </c>
      <c r="F30" s="68">
        <f t="shared" si="4"/>
        <v>0</v>
      </c>
      <c r="G30" s="68">
        <f>SUMIFS('CWO Bulan Ini'!$DC:$DC,'CWO Bulan Ini'!$DH:$DH,Detail_4W!$B$2,'CWO Bulan Ini'!$DJ:$DJ,Detail_4W!$C30)*1000000</f>
        <v>0</v>
      </c>
      <c r="H30" s="68">
        <f>SUMIFS('CWO Bulan Ini'!$DD:$DD,'CWO Bulan Ini'!$DH:$DH,Detail_4W!$B$2,'CWO Bulan Ini'!$DJ:$DJ,Detail_4W!$C30)*1000000</f>
        <v>0</v>
      </c>
      <c r="I30" s="68">
        <f>SUMIFS('CWO Bulan Ini'!$DG:$DG,'CWO Bulan Ini'!$DH:$DH,Detail_4W!$B$2,'CWO Bulan Ini'!$DJ:$DJ,Detail_4W!$C30)*1000000</f>
        <v>0</v>
      </c>
      <c r="J30" s="315">
        <f t="shared" si="5"/>
        <v>0</v>
      </c>
      <c r="K30" s="320">
        <f t="shared" si="6"/>
        <v>1</v>
      </c>
    </row>
    <row r="31" spans="2:12" ht="15" customHeight="1" x14ac:dyDescent="0.3">
      <c r="B31" s="287" t="s">
        <v>487</v>
      </c>
      <c r="C31" s="310" t="s">
        <v>183</v>
      </c>
      <c r="D31" s="68">
        <f>SUMIFS('CWO Bulan Ini'!$DA:$DA,'CWO Bulan Ini'!$DH:$DH,Detail_4W!$B$2,'CWO Bulan Ini'!$DJ:$DJ,Detail_4W!$C31)*1000000</f>
        <v>134805388.47999999</v>
      </c>
      <c r="E31" s="68">
        <f>SUMIFS('CWO Bulan Ini'!$DD:$DD,'CWO Bulan Ini'!$DH:$DH,Detail_4W!$B$2,'CWO Bulan Ini'!$DJ:$DJ,Detail_4W!$C31)*1000000</f>
        <v>0</v>
      </c>
      <c r="F31" s="68">
        <f t="shared" si="4"/>
        <v>134805388.47999999</v>
      </c>
      <c r="G31" s="68">
        <f>SUMIFS('CWO Bulan Ini'!$DC:$DC,'CWO Bulan Ini'!$DH:$DH,Detail_4W!$B$2,'CWO Bulan Ini'!$DJ:$DJ,Detail_4W!$C31)*1000000</f>
        <v>0</v>
      </c>
      <c r="H31" s="68">
        <f>SUMIFS('CWO Bulan Ini'!$DD:$DD,'CWO Bulan Ini'!$DH:$DH,Detail_4W!$B$2,'CWO Bulan Ini'!$DJ:$DJ,Detail_4W!$C31)*1000000</f>
        <v>0</v>
      </c>
      <c r="I31" s="68">
        <f>SUMIFS('CWO Bulan Ini'!$DG:$DG,'CWO Bulan Ini'!$DH:$DH,Detail_4W!$B$2,'CWO Bulan Ini'!$DJ:$DJ,Detail_4W!$C31)*1000000</f>
        <v>134805388.47999999</v>
      </c>
      <c r="J31" s="315">
        <f t="shared" si="5"/>
        <v>0</v>
      </c>
      <c r="K31" s="320">
        <f t="shared" si="6"/>
        <v>1</v>
      </c>
    </row>
    <row r="32" spans="2:12" ht="15" customHeight="1" x14ac:dyDescent="0.3">
      <c r="B32" s="287" t="s">
        <v>487</v>
      </c>
      <c r="C32" s="310" t="s">
        <v>321</v>
      </c>
      <c r="D32" s="68">
        <f>SUMIFS('CWO Bulan Ini'!$DA:$DA,'CWO Bulan Ini'!$DH:$DH,Detail_4W!$B$2,'CWO Bulan Ini'!$DJ:$DJ,Detail_4W!$C32)*1000000</f>
        <v>160022407.81</v>
      </c>
      <c r="E32" s="68">
        <f>SUMIFS('CWO Bulan Ini'!$DD:$DD,'CWO Bulan Ini'!$DH:$DH,Detail_4W!$B$2,'CWO Bulan Ini'!$DJ:$DJ,Detail_4W!$C32)*1000000</f>
        <v>160022407.81</v>
      </c>
      <c r="F32" s="68">
        <f t="shared" si="4"/>
        <v>160022407.81</v>
      </c>
      <c r="G32" s="68">
        <f>SUMIFS('CWO Bulan Ini'!$DC:$DC,'CWO Bulan Ini'!$DH:$DH,Detail_4W!$B$2,'CWO Bulan Ini'!$DJ:$DJ,Detail_4W!$C32)*1000000</f>
        <v>0</v>
      </c>
      <c r="H32" s="68">
        <f>SUMIFS('CWO Bulan Ini'!$DD:$DD,'CWO Bulan Ini'!$DH:$DH,Detail_4W!$B$2,'CWO Bulan Ini'!$DJ:$DJ,Detail_4W!$C32)*1000000</f>
        <v>160022407.81</v>
      </c>
      <c r="I32" s="68">
        <f>SUMIFS('CWO Bulan Ini'!$DG:$DG,'CWO Bulan Ini'!$DH:$DH,Detail_4W!$B$2,'CWO Bulan Ini'!$DJ:$DJ,Detail_4W!$C32)*1000000</f>
        <v>0</v>
      </c>
      <c r="J32" s="315">
        <f t="shared" si="5"/>
        <v>1</v>
      </c>
      <c r="K32" s="320">
        <f t="shared" si="6"/>
        <v>0</v>
      </c>
    </row>
    <row r="33" spans="2:11" ht="15" customHeight="1" x14ac:dyDescent="0.3">
      <c r="B33" s="287" t="s">
        <v>487</v>
      </c>
      <c r="C33" s="310" t="s">
        <v>247</v>
      </c>
      <c r="D33" s="68">
        <f>SUMIFS('CWO Bulan Ini'!$DA:$DA,'CWO Bulan Ini'!$DH:$DH,Detail_4W!$B$2,'CWO Bulan Ini'!$DJ:$DJ,Detail_4W!$C33)*1000000</f>
        <v>0</v>
      </c>
      <c r="E33" s="68">
        <f>SUMIFS('CWO Bulan Ini'!$DD:$DD,'CWO Bulan Ini'!$DH:$DH,Detail_4W!$B$2,'CWO Bulan Ini'!$DJ:$DJ,Detail_4W!$C33)*1000000</f>
        <v>0</v>
      </c>
      <c r="F33" s="68">
        <f t="shared" si="4"/>
        <v>0</v>
      </c>
      <c r="G33" s="68">
        <f>SUMIFS('CWO Bulan Ini'!$DC:$DC,'CWO Bulan Ini'!$DH:$DH,Detail_4W!$B$2,'CWO Bulan Ini'!$DJ:$DJ,Detail_4W!$C33)*1000000</f>
        <v>0</v>
      </c>
      <c r="H33" s="68">
        <f>SUMIFS('CWO Bulan Ini'!$DD:$DD,'CWO Bulan Ini'!$DH:$DH,Detail_4W!$B$2,'CWO Bulan Ini'!$DJ:$DJ,Detail_4W!$C33)*1000000</f>
        <v>0</v>
      </c>
      <c r="I33" s="68">
        <f>SUMIFS('CWO Bulan Ini'!$DG:$DG,'CWO Bulan Ini'!$DH:$DH,Detail_4W!$B$2,'CWO Bulan Ini'!$DJ:$DJ,Detail_4W!$C33)*1000000</f>
        <v>0</v>
      </c>
      <c r="J33" s="315">
        <f t="shared" si="5"/>
        <v>0</v>
      </c>
      <c r="K33" s="320">
        <f t="shared" si="6"/>
        <v>1</v>
      </c>
    </row>
    <row r="34" spans="2:11" ht="15" customHeight="1" x14ac:dyDescent="0.3">
      <c r="B34" s="287" t="s">
        <v>487</v>
      </c>
      <c r="C34" s="310" t="s">
        <v>177</v>
      </c>
      <c r="D34" s="68">
        <f>SUMIFS('CWO Bulan Ini'!$DA:$DA,'CWO Bulan Ini'!$DH:$DH,Detail_4W!$B$2,'CWO Bulan Ini'!$DJ:$DJ,Detail_4W!$C34)*1000000</f>
        <v>0</v>
      </c>
      <c r="E34" s="68">
        <f>SUMIFS('CWO Bulan Ini'!$DD:$DD,'CWO Bulan Ini'!$DH:$DH,Detail_4W!$B$2,'CWO Bulan Ini'!$DJ:$DJ,Detail_4W!$C34)*1000000</f>
        <v>0</v>
      </c>
      <c r="F34" s="68">
        <f t="shared" si="4"/>
        <v>0</v>
      </c>
      <c r="G34" s="68">
        <f>SUMIFS('CWO Bulan Ini'!$DC:$DC,'CWO Bulan Ini'!$DH:$DH,Detail_4W!$B$2,'CWO Bulan Ini'!$DJ:$DJ,Detail_4W!$C34)*1000000</f>
        <v>0</v>
      </c>
      <c r="H34" s="68">
        <f>SUMIFS('CWO Bulan Ini'!$DD:$DD,'CWO Bulan Ini'!$DH:$DH,Detail_4W!$B$2,'CWO Bulan Ini'!$DJ:$DJ,Detail_4W!$C34)*1000000</f>
        <v>0</v>
      </c>
      <c r="I34" s="68">
        <f>SUMIFS('CWO Bulan Ini'!$DG:$DG,'CWO Bulan Ini'!$DH:$DH,Detail_4W!$B$2,'CWO Bulan Ini'!$DJ:$DJ,Detail_4W!$C34)*1000000</f>
        <v>0</v>
      </c>
      <c r="J34" s="315">
        <f t="shared" si="5"/>
        <v>0</v>
      </c>
      <c r="K34" s="320">
        <f t="shared" si="6"/>
        <v>1</v>
      </c>
    </row>
    <row r="35" spans="2:11" ht="15" customHeight="1" x14ac:dyDescent="0.3">
      <c r="B35" s="287" t="s">
        <v>469</v>
      </c>
      <c r="C35" s="310" t="s">
        <v>157</v>
      </c>
      <c r="D35" s="68">
        <f>SUMIFS('CWO Bulan Ini'!$DA:$DA,'CWO Bulan Ini'!$DH:$DH,Detail_4W!$B$2,'CWO Bulan Ini'!$DJ:$DJ,Detail_4W!$C35)*1000000</f>
        <v>0</v>
      </c>
      <c r="E35" s="68">
        <f>SUMIFS('CWO Bulan Ini'!$DD:$DD,'CWO Bulan Ini'!$DH:$DH,Detail_4W!$B$2,'CWO Bulan Ini'!$DJ:$DJ,Detail_4W!$C35)*1000000</f>
        <v>0</v>
      </c>
      <c r="F35" s="68">
        <f t="shared" si="4"/>
        <v>0</v>
      </c>
      <c r="G35" s="68">
        <f>SUMIFS('CWO Bulan Ini'!$DC:$DC,'CWO Bulan Ini'!$DH:$DH,Detail_4W!$B$2,'CWO Bulan Ini'!$DJ:$DJ,Detail_4W!$C35)*1000000</f>
        <v>0</v>
      </c>
      <c r="H35" s="68">
        <f>SUMIFS('CWO Bulan Ini'!$DD:$DD,'CWO Bulan Ini'!$DH:$DH,Detail_4W!$B$2,'CWO Bulan Ini'!$DJ:$DJ,Detail_4W!$C35)*1000000</f>
        <v>0</v>
      </c>
      <c r="I35" s="68">
        <f>SUMIFS('CWO Bulan Ini'!$DG:$DG,'CWO Bulan Ini'!$DH:$DH,Detail_4W!$B$2,'CWO Bulan Ini'!$DJ:$DJ,Detail_4W!$C35)*1000000</f>
        <v>0</v>
      </c>
      <c r="J35" s="315">
        <f t="shared" si="5"/>
        <v>0</v>
      </c>
      <c r="K35" s="320">
        <f t="shared" si="6"/>
        <v>1</v>
      </c>
    </row>
    <row r="36" spans="2:11" ht="15" customHeight="1" x14ac:dyDescent="0.3">
      <c r="B36" s="287" t="s">
        <v>469</v>
      </c>
      <c r="C36" s="310" t="s">
        <v>468</v>
      </c>
      <c r="D36" s="68">
        <f>SUMIFS('CWO Bulan Ini'!$DA:$DA,'CWO Bulan Ini'!$DH:$DH,Detail_4W!$B$2,'CWO Bulan Ini'!$DJ:$DJ,Detail_4W!$C36)*1000000</f>
        <v>184004900.78999996</v>
      </c>
      <c r="E36" s="68">
        <f>SUMIFS('CWO Bulan Ini'!$DD:$DD,'CWO Bulan Ini'!$DH:$DH,Detail_4W!$B$2,'CWO Bulan Ini'!$DJ:$DJ,Detail_4W!$C36)*1000000</f>
        <v>66660504.219999991</v>
      </c>
      <c r="F36" s="68">
        <f t="shared" si="4"/>
        <v>184004900.78999996</v>
      </c>
      <c r="G36" s="68">
        <f>SUMIFS('CWO Bulan Ini'!$DC:$DC,'CWO Bulan Ini'!$DH:$DH,Detail_4W!$B$2,'CWO Bulan Ini'!$DJ:$DJ,Detail_4W!$C36)*1000000</f>
        <v>0</v>
      </c>
      <c r="H36" s="68">
        <f>SUMIFS('CWO Bulan Ini'!$DD:$DD,'CWO Bulan Ini'!$DH:$DH,Detail_4W!$B$2,'CWO Bulan Ini'!$DJ:$DJ,Detail_4W!$C36)*1000000</f>
        <v>66660504.219999991</v>
      </c>
      <c r="I36" s="68">
        <f>SUMIFS('CWO Bulan Ini'!$DG:$DG,'CWO Bulan Ini'!$DH:$DH,Detail_4W!$B$2,'CWO Bulan Ini'!$DJ:$DJ,Detail_4W!$C36)*1000000</f>
        <v>117344396.56999999</v>
      </c>
      <c r="J36" s="315">
        <f t="shared" si="5"/>
        <v>0.3622756999069166</v>
      </c>
      <c r="K36" s="320">
        <f t="shared" si="6"/>
        <v>0.63772430009308345</v>
      </c>
    </row>
    <row r="37" spans="2:11" ht="15" customHeight="1" x14ac:dyDescent="0.3">
      <c r="B37" s="287" t="s">
        <v>469</v>
      </c>
      <c r="C37" s="310" t="s">
        <v>209</v>
      </c>
      <c r="D37" s="68">
        <f>SUMIFS('CWO Bulan Ini'!$DA:$DA,'CWO Bulan Ini'!$DH:$DH,Detail_4W!$B$2,'CWO Bulan Ini'!$DJ:$DJ,Detail_4W!$C37)*1000000</f>
        <v>0</v>
      </c>
      <c r="E37" s="68">
        <f>SUMIFS('CWO Bulan Ini'!$DD:$DD,'CWO Bulan Ini'!$DH:$DH,Detail_4W!$B$2,'CWO Bulan Ini'!$DJ:$DJ,Detail_4W!$C37)*1000000</f>
        <v>0</v>
      </c>
      <c r="F37" s="68">
        <f t="shared" si="4"/>
        <v>0</v>
      </c>
      <c r="G37" s="68">
        <f>SUMIFS('CWO Bulan Ini'!$DC:$DC,'CWO Bulan Ini'!$DH:$DH,Detail_4W!$B$2,'CWO Bulan Ini'!$DJ:$DJ,Detail_4W!$C37)*1000000</f>
        <v>0</v>
      </c>
      <c r="H37" s="68">
        <f>SUMIFS('CWO Bulan Ini'!$DD:$DD,'CWO Bulan Ini'!$DH:$DH,Detail_4W!$B$2,'CWO Bulan Ini'!$DJ:$DJ,Detail_4W!$C37)*1000000</f>
        <v>0</v>
      </c>
      <c r="I37" s="68">
        <f>SUMIFS('CWO Bulan Ini'!$DG:$DG,'CWO Bulan Ini'!$DH:$DH,Detail_4W!$B$2,'CWO Bulan Ini'!$DJ:$DJ,Detail_4W!$C37)*1000000</f>
        <v>0</v>
      </c>
      <c r="J37" s="315">
        <f t="shared" si="5"/>
        <v>0</v>
      </c>
      <c r="K37" s="320">
        <f t="shared" si="6"/>
        <v>1</v>
      </c>
    </row>
    <row r="38" spans="2:11" ht="15" customHeight="1" x14ac:dyDescent="0.3">
      <c r="B38" s="287" t="s">
        <v>469</v>
      </c>
      <c r="C38" s="310" t="s">
        <v>138</v>
      </c>
      <c r="D38" s="68">
        <f>SUMIFS('CWO Bulan Ini'!$DA:$DA,'CWO Bulan Ini'!$DH:$DH,Detail_4W!$B$2,'CWO Bulan Ini'!$DJ:$DJ,Detail_4W!$C38)*1000000</f>
        <v>0</v>
      </c>
      <c r="E38" s="68">
        <f>SUMIFS('CWO Bulan Ini'!$DD:$DD,'CWO Bulan Ini'!$DH:$DH,Detail_4W!$B$2,'CWO Bulan Ini'!$DJ:$DJ,Detail_4W!$C38)*1000000</f>
        <v>0</v>
      </c>
      <c r="F38" s="68">
        <f t="shared" si="4"/>
        <v>0</v>
      </c>
      <c r="G38" s="68">
        <f>SUMIFS('CWO Bulan Ini'!$DC:$DC,'CWO Bulan Ini'!$DH:$DH,Detail_4W!$B$2,'CWO Bulan Ini'!$DJ:$DJ,Detail_4W!$C38)*1000000</f>
        <v>0</v>
      </c>
      <c r="H38" s="68">
        <f>SUMIFS('CWO Bulan Ini'!$DD:$DD,'CWO Bulan Ini'!$DH:$DH,Detail_4W!$B$2,'CWO Bulan Ini'!$DJ:$DJ,Detail_4W!$C38)*1000000</f>
        <v>0</v>
      </c>
      <c r="I38" s="68">
        <f>SUMIFS('CWO Bulan Ini'!$DG:$DG,'CWO Bulan Ini'!$DH:$DH,Detail_4W!$B$2,'CWO Bulan Ini'!$DJ:$DJ,Detail_4W!$C38)*1000000</f>
        <v>0</v>
      </c>
      <c r="J38" s="315">
        <f t="shared" si="5"/>
        <v>0</v>
      </c>
      <c r="K38" s="320">
        <f t="shared" si="6"/>
        <v>1</v>
      </c>
    </row>
    <row r="39" spans="2:11" ht="15" customHeight="1" x14ac:dyDescent="0.3">
      <c r="B39" s="287" t="s">
        <v>448</v>
      </c>
      <c r="C39" s="310" t="s">
        <v>256</v>
      </c>
      <c r="D39" s="68">
        <f>SUMIFS('CWO Bulan Ini'!$DA:$DA,'CWO Bulan Ini'!$DH:$DH,Detail_4W!$B$2,'CWO Bulan Ini'!$DJ:$DJ,Detail_4W!$C39)*1000000</f>
        <v>409384268.63999999</v>
      </c>
      <c r="E39" s="68">
        <f>SUMIFS('CWO Bulan Ini'!$DD:$DD,'CWO Bulan Ini'!$DH:$DH,Detail_4W!$B$2,'CWO Bulan Ini'!$DJ:$DJ,Detail_4W!$C39)*1000000</f>
        <v>229431163.89000002</v>
      </c>
      <c r="F39" s="68">
        <f t="shared" si="4"/>
        <v>409384268.63999999</v>
      </c>
      <c r="G39" s="68">
        <f>SUMIFS('CWO Bulan Ini'!$DC:$DC,'CWO Bulan Ini'!$DH:$DH,Detail_4W!$B$2,'CWO Bulan Ini'!$DJ:$DJ,Detail_4W!$C39)*1000000</f>
        <v>0</v>
      </c>
      <c r="H39" s="68">
        <f>SUMIFS('CWO Bulan Ini'!$DD:$DD,'CWO Bulan Ini'!$DH:$DH,Detail_4W!$B$2,'CWO Bulan Ini'!$DJ:$DJ,Detail_4W!$C39)*1000000</f>
        <v>229431163.89000002</v>
      </c>
      <c r="I39" s="68">
        <f>SUMIFS('CWO Bulan Ini'!$DG:$DG,'CWO Bulan Ini'!$DH:$DH,Detail_4W!$B$2,'CWO Bulan Ini'!$DJ:$DJ,Detail_4W!$C39)*1000000</f>
        <v>179953104.75</v>
      </c>
      <c r="J39" s="315">
        <f t="shared" si="5"/>
        <v>0.56042984908087612</v>
      </c>
      <c r="K39" s="320">
        <f t="shared" si="6"/>
        <v>0.43957015091912388</v>
      </c>
    </row>
    <row r="40" spans="2:11" ht="15" customHeight="1" x14ac:dyDescent="0.3">
      <c r="B40" s="287" t="s">
        <v>448</v>
      </c>
      <c r="C40" s="310" t="s">
        <v>280</v>
      </c>
      <c r="D40" s="68">
        <f>SUMIFS('CWO Bulan Ini'!$DA:$DA,'CWO Bulan Ini'!$DH:$DH,Detail_4W!$B$2,'CWO Bulan Ini'!$DJ:$DJ,Detail_4W!$C40)*1000000</f>
        <v>300963965.88999999</v>
      </c>
      <c r="E40" s="68">
        <f>SUMIFS('CWO Bulan Ini'!$DD:$DD,'CWO Bulan Ini'!$DH:$DH,Detail_4W!$B$2,'CWO Bulan Ini'!$DJ:$DJ,Detail_4W!$C40)*1000000</f>
        <v>146981507.43000001</v>
      </c>
      <c r="F40" s="68">
        <f t="shared" si="4"/>
        <v>300963965.88999999</v>
      </c>
      <c r="G40" s="68">
        <f>SUMIFS('CWO Bulan Ini'!$DC:$DC,'CWO Bulan Ini'!$DH:$DH,Detail_4W!$B$2,'CWO Bulan Ini'!$DJ:$DJ,Detail_4W!$C40)*1000000</f>
        <v>0</v>
      </c>
      <c r="H40" s="68">
        <f>SUMIFS('CWO Bulan Ini'!$DD:$DD,'CWO Bulan Ini'!$DH:$DH,Detail_4W!$B$2,'CWO Bulan Ini'!$DJ:$DJ,Detail_4W!$C40)*1000000</f>
        <v>146981507.43000001</v>
      </c>
      <c r="I40" s="68">
        <f>SUMIFS('CWO Bulan Ini'!$DG:$DG,'CWO Bulan Ini'!$DH:$DH,Detail_4W!$B$2,'CWO Bulan Ini'!$DJ:$DJ,Detail_4W!$C40)*1000000</f>
        <v>153982458.46000001</v>
      </c>
      <c r="J40" s="315">
        <f t="shared" si="5"/>
        <v>0.48836912085256284</v>
      </c>
      <c r="K40" s="320">
        <f t="shared" si="6"/>
        <v>0.5116308791474371</v>
      </c>
    </row>
    <row r="41" spans="2:11" ht="15" customHeight="1" x14ac:dyDescent="0.3">
      <c r="B41" s="287" t="s">
        <v>448</v>
      </c>
      <c r="C41" s="310" t="s">
        <v>393</v>
      </c>
      <c r="D41" s="68">
        <f>SUMIFS('CWO Bulan Ini'!$DA:$DA,'CWO Bulan Ini'!$DH:$DH,Detail_4W!$B$2,'CWO Bulan Ini'!$DJ:$DJ,Detail_4W!$C41)*1000000</f>
        <v>127039572.35000001</v>
      </c>
      <c r="E41" s="68">
        <f>SUMIFS('CWO Bulan Ini'!$DD:$DD,'CWO Bulan Ini'!$DH:$DH,Detail_4W!$B$2,'CWO Bulan Ini'!$DJ:$DJ,Detail_4W!$C41)*1000000</f>
        <v>122006448.90000001</v>
      </c>
      <c r="F41" s="68">
        <f t="shared" si="4"/>
        <v>122006448.90000001</v>
      </c>
      <c r="G41" s="68">
        <f>SUMIFS('CWO Bulan Ini'!$DC:$DC,'CWO Bulan Ini'!$DH:$DH,Detail_4W!$B$2,'CWO Bulan Ini'!$DJ:$DJ,Detail_4W!$C41)*1000000</f>
        <v>5033123.45</v>
      </c>
      <c r="H41" s="68">
        <f>SUMIFS('CWO Bulan Ini'!$DD:$DD,'CWO Bulan Ini'!$DH:$DH,Detail_4W!$B$2,'CWO Bulan Ini'!$DJ:$DJ,Detail_4W!$C41)*1000000</f>
        <v>122006448.90000001</v>
      </c>
      <c r="I41" s="68">
        <f>SUMIFS('CWO Bulan Ini'!$DG:$DG,'CWO Bulan Ini'!$DH:$DH,Detail_4W!$B$2,'CWO Bulan Ini'!$DJ:$DJ,Detail_4W!$C41)*1000000</f>
        <v>0</v>
      </c>
      <c r="J41" s="315">
        <f t="shared" si="5"/>
        <v>0.96038145156744148</v>
      </c>
      <c r="K41" s="320">
        <f t="shared" si="6"/>
        <v>3.961854843255852E-2</v>
      </c>
    </row>
    <row r="42" spans="2:11" ht="15" customHeight="1" x14ac:dyDescent="0.3">
      <c r="B42" s="287" t="s">
        <v>448</v>
      </c>
      <c r="C42" s="310" t="s">
        <v>361</v>
      </c>
      <c r="D42" s="68">
        <f>SUMIFS('CWO Bulan Ini'!$DA:$DA,'CWO Bulan Ini'!$DH:$DH,Detail_4W!$B$2,'CWO Bulan Ini'!$DJ:$DJ,Detail_4W!$C42)*1000000</f>
        <v>0</v>
      </c>
      <c r="E42" s="68">
        <f>SUMIFS('CWO Bulan Ini'!$DD:$DD,'CWO Bulan Ini'!$DH:$DH,Detail_4W!$B$2,'CWO Bulan Ini'!$DJ:$DJ,Detail_4W!$C42)*1000000</f>
        <v>0</v>
      </c>
      <c r="F42" s="68">
        <f t="shared" si="4"/>
        <v>0</v>
      </c>
      <c r="G42" s="68">
        <f>SUMIFS('CWO Bulan Ini'!$DC:$DC,'CWO Bulan Ini'!$DH:$DH,Detail_4W!$B$2,'CWO Bulan Ini'!$DJ:$DJ,Detail_4W!$C42)*1000000</f>
        <v>0</v>
      </c>
      <c r="H42" s="68">
        <f>SUMIFS('CWO Bulan Ini'!$DD:$DD,'CWO Bulan Ini'!$DH:$DH,Detail_4W!$B$2,'CWO Bulan Ini'!$DJ:$DJ,Detail_4W!$C42)*1000000</f>
        <v>0</v>
      </c>
      <c r="I42" s="68">
        <f>SUMIFS('CWO Bulan Ini'!$DG:$DG,'CWO Bulan Ini'!$DH:$DH,Detail_4W!$B$2,'CWO Bulan Ini'!$DJ:$DJ,Detail_4W!$C42)*1000000</f>
        <v>0</v>
      </c>
      <c r="J42" s="315">
        <f t="shared" si="5"/>
        <v>0</v>
      </c>
      <c r="K42" s="320">
        <f t="shared" si="6"/>
        <v>1</v>
      </c>
    </row>
    <row r="43" spans="2:11" ht="15" customHeight="1" x14ac:dyDescent="0.3">
      <c r="B43" s="287" t="s">
        <v>448</v>
      </c>
      <c r="C43" s="310" t="s">
        <v>193</v>
      </c>
      <c r="D43" s="68">
        <f>SUMIFS('CWO Bulan Ini'!$DA:$DA,'CWO Bulan Ini'!$DH:$DH,Detail_4W!$B$2,'CWO Bulan Ini'!$DJ:$DJ,Detail_4W!$C43)*1000000</f>
        <v>219619399.07000002</v>
      </c>
      <c r="E43" s="68">
        <f>SUMIFS('CWO Bulan Ini'!$DD:$DD,'CWO Bulan Ini'!$DH:$DH,Detail_4W!$B$2,'CWO Bulan Ini'!$DJ:$DJ,Detail_4W!$C43)*1000000</f>
        <v>0</v>
      </c>
      <c r="F43" s="68">
        <f t="shared" si="4"/>
        <v>219619399.07000002</v>
      </c>
      <c r="G43" s="68">
        <f>SUMIFS('CWO Bulan Ini'!$DC:$DC,'CWO Bulan Ini'!$DH:$DH,Detail_4W!$B$2,'CWO Bulan Ini'!$DJ:$DJ,Detail_4W!$C43)*1000000</f>
        <v>0</v>
      </c>
      <c r="H43" s="68">
        <f>SUMIFS('CWO Bulan Ini'!$DD:$DD,'CWO Bulan Ini'!$DH:$DH,Detail_4W!$B$2,'CWO Bulan Ini'!$DJ:$DJ,Detail_4W!$C43)*1000000</f>
        <v>0</v>
      </c>
      <c r="I43" s="68">
        <f>SUMIFS('CWO Bulan Ini'!$DG:$DG,'CWO Bulan Ini'!$DH:$DH,Detail_4W!$B$2,'CWO Bulan Ini'!$DJ:$DJ,Detail_4W!$C43)*1000000</f>
        <v>219619399.07000002</v>
      </c>
      <c r="J43" s="315">
        <f t="shared" si="5"/>
        <v>0</v>
      </c>
      <c r="K43" s="320">
        <f t="shared" si="6"/>
        <v>1</v>
      </c>
    </row>
    <row r="44" spans="2:11" ht="15" customHeight="1" x14ac:dyDescent="0.3">
      <c r="B44" s="287" t="s">
        <v>448</v>
      </c>
      <c r="C44" s="310" t="s">
        <v>343</v>
      </c>
      <c r="D44" s="68">
        <f>SUMIFS('CWO Bulan Ini'!$DA:$DA,'CWO Bulan Ini'!$DH:$DH,Detail_4W!$B$2,'CWO Bulan Ini'!$DJ:$DJ,Detail_4W!$C44)*1000000</f>
        <v>36055194.93</v>
      </c>
      <c r="E44" s="68">
        <f>SUMIFS('CWO Bulan Ini'!$DD:$DD,'CWO Bulan Ini'!$DH:$DH,Detail_4W!$B$2,'CWO Bulan Ini'!$DJ:$DJ,Detail_4W!$C44)*1000000</f>
        <v>36055194.93</v>
      </c>
      <c r="F44" s="68">
        <f t="shared" si="4"/>
        <v>36055194.93</v>
      </c>
      <c r="G44" s="68">
        <f>SUMIFS('CWO Bulan Ini'!$DC:$DC,'CWO Bulan Ini'!$DH:$DH,Detail_4W!$B$2,'CWO Bulan Ini'!$DJ:$DJ,Detail_4W!$C44)*1000000</f>
        <v>0</v>
      </c>
      <c r="H44" s="68">
        <f>SUMIFS('CWO Bulan Ini'!$DD:$DD,'CWO Bulan Ini'!$DH:$DH,Detail_4W!$B$2,'CWO Bulan Ini'!$DJ:$DJ,Detail_4W!$C44)*1000000</f>
        <v>36055194.93</v>
      </c>
      <c r="I44" s="68">
        <f>SUMIFS('CWO Bulan Ini'!$DG:$DG,'CWO Bulan Ini'!$DH:$DH,Detail_4W!$B$2,'CWO Bulan Ini'!$DJ:$DJ,Detail_4W!$C44)*1000000</f>
        <v>0</v>
      </c>
      <c r="J44" s="315">
        <f t="shared" si="5"/>
        <v>1</v>
      </c>
      <c r="K44" s="320">
        <f t="shared" si="6"/>
        <v>0</v>
      </c>
    </row>
    <row r="45" spans="2:11" ht="15" customHeight="1" x14ac:dyDescent="0.3">
      <c r="B45" s="287" t="s">
        <v>454</v>
      </c>
      <c r="C45" s="310" t="s">
        <v>329</v>
      </c>
      <c r="D45" s="68">
        <f>SUMIFS('CWO Bulan Ini'!$DA:$DA,'CWO Bulan Ini'!$DH:$DH,Detail_4W!$B$2,'CWO Bulan Ini'!$DJ:$DJ,Detail_4W!$C45)*1000000</f>
        <v>11087111.73</v>
      </c>
      <c r="E45" s="68">
        <f>SUMIFS('CWO Bulan Ini'!$DD:$DD,'CWO Bulan Ini'!$DH:$DH,Detail_4W!$B$2,'CWO Bulan Ini'!$DJ:$DJ,Detail_4W!$C45)*1000000</f>
        <v>0</v>
      </c>
      <c r="F45" s="68">
        <f t="shared" si="4"/>
        <v>11087111.73</v>
      </c>
      <c r="G45" s="68">
        <f>SUMIFS('CWO Bulan Ini'!$DC:$DC,'CWO Bulan Ini'!$DH:$DH,Detail_4W!$B$2,'CWO Bulan Ini'!$DJ:$DJ,Detail_4W!$C45)*1000000</f>
        <v>0</v>
      </c>
      <c r="H45" s="68">
        <f>SUMIFS('CWO Bulan Ini'!$DD:$DD,'CWO Bulan Ini'!$DH:$DH,Detail_4W!$B$2,'CWO Bulan Ini'!$DJ:$DJ,Detail_4W!$C45)*1000000</f>
        <v>0</v>
      </c>
      <c r="I45" s="68">
        <f>SUMIFS('CWO Bulan Ini'!$DG:$DG,'CWO Bulan Ini'!$DH:$DH,Detail_4W!$B$2,'CWO Bulan Ini'!$DJ:$DJ,Detail_4W!$C45)*1000000</f>
        <v>11087111.73</v>
      </c>
      <c r="J45" s="315">
        <f t="shared" si="5"/>
        <v>0</v>
      </c>
      <c r="K45" s="320">
        <f t="shared" si="6"/>
        <v>1</v>
      </c>
    </row>
    <row r="46" spans="2:11" ht="15" customHeight="1" x14ac:dyDescent="0.3">
      <c r="B46" s="287" t="s">
        <v>454</v>
      </c>
      <c r="C46" s="310" t="s">
        <v>333</v>
      </c>
      <c r="D46" s="68">
        <f>SUMIFS('CWO Bulan Ini'!$DA:$DA,'CWO Bulan Ini'!$DH:$DH,Detail_4W!$B$2,'CWO Bulan Ini'!$DJ:$DJ,Detail_4W!$C46)*1000000</f>
        <v>0</v>
      </c>
      <c r="E46" s="68">
        <f>SUMIFS('CWO Bulan Ini'!$DD:$DD,'CWO Bulan Ini'!$DH:$DH,Detail_4W!$B$2,'CWO Bulan Ini'!$DJ:$DJ,Detail_4W!$C46)*1000000</f>
        <v>0</v>
      </c>
      <c r="F46" s="68">
        <f t="shared" si="4"/>
        <v>0</v>
      </c>
      <c r="G46" s="68">
        <f>SUMIFS('CWO Bulan Ini'!$DC:$DC,'CWO Bulan Ini'!$DH:$DH,Detail_4W!$B$2,'CWO Bulan Ini'!$DJ:$DJ,Detail_4W!$C46)*1000000</f>
        <v>0</v>
      </c>
      <c r="H46" s="68">
        <f>SUMIFS('CWO Bulan Ini'!$DD:$DD,'CWO Bulan Ini'!$DH:$DH,Detail_4W!$B$2,'CWO Bulan Ini'!$DJ:$DJ,Detail_4W!$C46)*1000000</f>
        <v>0</v>
      </c>
      <c r="I46" s="68">
        <f>SUMIFS('CWO Bulan Ini'!$DG:$DG,'CWO Bulan Ini'!$DH:$DH,Detail_4W!$B$2,'CWO Bulan Ini'!$DJ:$DJ,Detail_4W!$C46)*1000000</f>
        <v>0</v>
      </c>
      <c r="J46" s="315">
        <f t="shared" si="5"/>
        <v>0</v>
      </c>
      <c r="K46" s="320">
        <f t="shared" si="6"/>
        <v>1</v>
      </c>
    </row>
    <row r="47" spans="2:11" ht="15" customHeight="1" x14ac:dyDescent="0.3">
      <c r="B47" s="287" t="s">
        <v>454</v>
      </c>
      <c r="C47" s="310" t="s">
        <v>455</v>
      </c>
      <c r="D47" s="68">
        <f>SUMIFS('CWO Bulan Ini'!$DA:$DA,'CWO Bulan Ini'!$DH:$DH,Detail_4W!$B$2,'CWO Bulan Ini'!$DJ:$DJ,Detail_4W!$C47)*1000000</f>
        <v>238217356.15000001</v>
      </c>
      <c r="E47" s="68">
        <f>SUMIFS('CWO Bulan Ini'!$DD:$DD,'CWO Bulan Ini'!$DH:$DH,Detail_4W!$B$2,'CWO Bulan Ini'!$DJ:$DJ,Detail_4W!$C47)*1000000</f>
        <v>0</v>
      </c>
      <c r="F47" s="68">
        <f t="shared" si="4"/>
        <v>238217356.15000001</v>
      </c>
      <c r="G47" s="68">
        <f>SUMIFS('CWO Bulan Ini'!$DC:$DC,'CWO Bulan Ini'!$DH:$DH,Detail_4W!$B$2,'CWO Bulan Ini'!$DJ:$DJ,Detail_4W!$C47)*1000000</f>
        <v>0</v>
      </c>
      <c r="H47" s="68">
        <f>SUMIFS('CWO Bulan Ini'!$DD:$DD,'CWO Bulan Ini'!$DH:$DH,Detail_4W!$B$2,'CWO Bulan Ini'!$DJ:$DJ,Detail_4W!$C47)*1000000</f>
        <v>0</v>
      </c>
      <c r="I47" s="68">
        <f>SUMIFS('CWO Bulan Ini'!$DG:$DG,'CWO Bulan Ini'!$DH:$DH,Detail_4W!$B$2,'CWO Bulan Ini'!$DJ:$DJ,Detail_4W!$C47)*1000000</f>
        <v>238217356.15000001</v>
      </c>
      <c r="J47" s="315">
        <f t="shared" si="5"/>
        <v>0</v>
      </c>
      <c r="K47" s="320">
        <f t="shared" si="6"/>
        <v>1</v>
      </c>
    </row>
    <row r="48" spans="2:11" ht="15" customHeight="1" x14ac:dyDescent="0.3">
      <c r="B48" s="287" t="s">
        <v>454</v>
      </c>
      <c r="C48" s="310" t="s">
        <v>309</v>
      </c>
      <c r="D48" s="68">
        <f>SUMIFS('CWO Bulan Ini'!$DA:$DA,'CWO Bulan Ini'!$DH:$DH,Detail_4W!$B$2,'CWO Bulan Ini'!$DJ:$DJ,Detail_4W!$C48)*1000000</f>
        <v>3537316.08</v>
      </c>
      <c r="E48" s="68">
        <f>SUMIFS('CWO Bulan Ini'!$DD:$DD,'CWO Bulan Ini'!$DH:$DH,Detail_4W!$B$2,'CWO Bulan Ini'!$DJ:$DJ,Detail_4W!$C48)*1000000</f>
        <v>0</v>
      </c>
      <c r="F48" s="68">
        <f t="shared" si="4"/>
        <v>3537316.08</v>
      </c>
      <c r="G48" s="68">
        <f>SUMIFS('CWO Bulan Ini'!$DC:$DC,'CWO Bulan Ini'!$DH:$DH,Detail_4W!$B$2,'CWO Bulan Ini'!$DJ:$DJ,Detail_4W!$C48)*1000000</f>
        <v>0</v>
      </c>
      <c r="H48" s="68">
        <f>SUMIFS('CWO Bulan Ini'!$DD:$DD,'CWO Bulan Ini'!$DH:$DH,Detail_4W!$B$2,'CWO Bulan Ini'!$DJ:$DJ,Detail_4W!$C48)*1000000</f>
        <v>0</v>
      </c>
      <c r="I48" s="68">
        <f>SUMIFS('CWO Bulan Ini'!$DG:$DG,'CWO Bulan Ini'!$DH:$DH,Detail_4W!$B$2,'CWO Bulan Ini'!$DJ:$DJ,Detail_4W!$C48)*1000000</f>
        <v>3537316.08</v>
      </c>
      <c r="J48" s="315">
        <f t="shared" si="5"/>
        <v>0</v>
      </c>
      <c r="K48" s="320">
        <f t="shared" si="6"/>
        <v>1</v>
      </c>
    </row>
    <row r="49" spans="2:11" ht="15" customHeight="1" x14ac:dyDescent="0.3">
      <c r="B49" s="287" t="s">
        <v>454</v>
      </c>
      <c r="C49" s="310" t="s">
        <v>399</v>
      </c>
      <c r="D49" s="68">
        <f>SUMIFS('CWO Bulan Ini'!$DA:$DA,'CWO Bulan Ini'!$DH:$DH,Detail_4W!$B$2,'CWO Bulan Ini'!$DJ:$DJ,Detail_4W!$C49)*1000000</f>
        <v>267445522.97</v>
      </c>
      <c r="E49" s="68">
        <f>SUMIFS('CWO Bulan Ini'!$DD:$DD,'CWO Bulan Ini'!$DH:$DH,Detail_4W!$B$2,'CWO Bulan Ini'!$DJ:$DJ,Detail_4W!$C49)*1000000</f>
        <v>75428285.129999995</v>
      </c>
      <c r="F49" s="68">
        <f t="shared" si="4"/>
        <v>267445522.97</v>
      </c>
      <c r="G49" s="68">
        <f>SUMIFS('CWO Bulan Ini'!$DC:$DC,'CWO Bulan Ini'!$DH:$DH,Detail_4W!$B$2,'CWO Bulan Ini'!$DJ:$DJ,Detail_4W!$C49)*1000000</f>
        <v>0</v>
      </c>
      <c r="H49" s="68">
        <f>SUMIFS('CWO Bulan Ini'!$DD:$DD,'CWO Bulan Ini'!$DH:$DH,Detail_4W!$B$2,'CWO Bulan Ini'!$DJ:$DJ,Detail_4W!$C49)*1000000</f>
        <v>75428285.129999995</v>
      </c>
      <c r="I49" s="68">
        <f>SUMIFS('CWO Bulan Ini'!$DG:$DG,'CWO Bulan Ini'!$DH:$DH,Detail_4W!$B$2,'CWO Bulan Ini'!$DJ:$DJ,Detail_4W!$C49)*1000000</f>
        <v>192017237.84</v>
      </c>
      <c r="J49" s="315">
        <f t="shared" si="5"/>
        <v>0.28203233425769841</v>
      </c>
      <c r="K49" s="320">
        <f t="shared" si="6"/>
        <v>0.71796766574230153</v>
      </c>
    </row>
    <row r="50" spans="2:11" ht="15" customHeight="1" x14ac:dyDescent="0.3">
      <c r="B50" s="287" t="s">
        <v>454</v>
      </c>
      <c r="C50" s="310" t="s">
        <v>336</v>
      </c>
      <c r="D50" s="68">
        <f>SUMIFS('CWO Bulan Ini'!$DA:$DA,'CWO Bulan Ini'!$DH:$DH,Detail_4W!$B$2,'CWO Bulan Ini'!$DJ:$DJ,Detail_4W!$C50)*1000000</f>
        <v>0</v>
      </c>
      <c r="E50" s="68">
        <f>SUMIFS('CWO Bulan Ini'!$DD:$DD,'CWO Bulan Ini'!$DH:$DH,Detail_4W!$B$2,'CWO Bulan Ini'!$DJ:$DJ,Detail_4W!$C50)*1000000</f>
        <v>0</v>
      </c>
      <c r="F50" s="68">
        <f t="shared" si="4"/>
        <v>0</v>
      </c>
      <c r="G50" s="68">
        <f>SUMIFS('CWO Bulan Ini'!$DC:$DC,'CWO Bulan Ini'!$DH:$DH,Detail_4W!$B$2,'CWO Bulan Ini'!$DJ:$DJ,Detail_4W!$C50)*1000000</f>
        <v>0</v>
      </c>
      <c r="H50" s="68">
        <f>SUMIFS('CWO Bulan Ini'!$DD:$DD,'CWO Bulan Ini'!$DH:$DH,Detail_4W!$B$2,'CWO Bulan Ini'!$DJ:$DJ,Detail_4W!$C50)*1000000</f>
        <v>0</v>
      </c>
      <c r="I50" s="68">
        <f>SUMIFS('CWO Bulan Ini'!$DG:$DG,'CWO Bulan Ini'!$DH:$DH,Detail_4W!$B$2,'CWO Bulan Ini'!$DJ:$DJ,Detail_4W!$C50)*1000000</f>
        <v>0</v>
      </c>
      <c r="J50" s="315">
        <f t="shared" si="5"/>
        <v>0</v>
      </c>
      <c r="K50" s="320">
        <f t="shared" si="6"/>
        <v>1</v>
      </c>
    </row>
    <row r="51" spans="2:11" ht="15" customHeight="1" x14ac:dyDescent="0.3">
      <c r="B51" s="287" t="s">
        <v>500</v>
      </c>
      <c r="C51" s="310" t="s">
        <v>390</v>
      </c>
      <c r="D51" s="68">
        <f>SUMIFS('CWO Bulan Ini'!$DA:$DA,'CWO Bulan Ini'!$DH:$DH,Detail_4W!$B$2,'CWO Bulan Ini'!$DJ:$DJ,Detail_4W!$C51)*1000000</f>
        <v>60633634.700000003</v>
      </c>
      <c r="E51" s="68">
        <f>SUMIFS('CWO Bulan Ini'!$DD:$DD,'CWO Bulan Ini'!$DH:$DH,Detail_4W!$B$2,'CWO Bulan Ini'!$DJ:$DJ,Detail_4W!$C51)*1000000</f>
        <v>0</v>
      </c>
      <c r="F51" s="68">
        <f t="shared" si="4"/>
        <v>60633634.700000003</v>
      </c>
      <c r="G51" s="68">
        <f>SUMIFS('CWO Bulan Ini'!$DC:$DC,'CWO Bulan Ini'!$DH:$DH,Detail_4W!$B$2,'CWO Bulan Ini'!$DJ:$DJ,Detail_4W!$C51)*1000000</f>
        <v>0</v>
      </c>
      <c r="H51" s="68">
        <f>SUMIFS('CWO Bulan Ini'!$DD:$DD,'CWO Bulan Ini'!$DH:$DH,Detail_4W!$B$2,'CWO Bulan Ini'!$DJ:$DJ,Detail_4W!$C51)*1000000</f>
        <v>0</v>
      </c>
      <c r="I51" s="68">
        <f>SUMIFS('CWO Bulan Ini'!$DG:$DG,'CWO Bulan Ini'!$DH:$DH,Detail_4W!$B$2,'CWO Bulan Ini'!$DJ:$DJ,Detail_4W!$C51)*1000000</f>
        <v>60633634.700000003</v>
      </c>
      <c r="J51" s="315">
        <f t="shared" si="5"/>
        <v>0</v>
      </c>
      <c r="K51" s="320">
        <f t="shared" si="6"/>
        <v>1</v>
      </c>
    </row>
    <row r="52" spans="2:11" ht="15" customHeight="1" x14ac:dyDescent="0.3">
      <c r="B52" s="287" t="s">
        <v>500</v>
      </c>
      <c r="C52" s="310" t="s">
        <v>556</v>
      </c>
      <c r="D52" s="68">
        <f>SUMIFS('CWO Bulan Ini'!$DA:$DA,'CWO Bulan Ini'!$DH:$DH,Detail_4W!$B$2,'CWO Bulan Ini'!$DJ:$DJ,Detail_4W!$C52)*1000000</f>
        <v>10371616.65</v>
      </c>
      <c r="E52" s="68">
        <f>SUMIFS('CWO Bulan Ini'!$DD:$DD,'CWO Bulan Ini'!$DH:$DH,Detail_4W!$B$2,'CWO Bulan Ini'!$DJ:$DJ,Detail_4W!$C52)*1000000</f>
        <v>10371616.65</v>
      </c>
      <c r="F52" s="68">
        <f t="shared" si="4"/>
        <v>10371616.65</v>
      </c>
      <c r="G52" s="68">
        <f>SUMIFS('CWO Bulan Ini'!$DC:$DC,'CWO Bulan Ini'!$DH:$DH,Detail_4W!$B$2,'CWO Bulan Ini'!$DJ:$DJ,Detail_4W!$C52)*1000000</f>
        <v>0</v>
      </c>
      <c r="H52" s="68">
        <f>SUMIFS('CWO Bulan Ini'!$DD:$DD,'CWO Bulan Ini'!$DH:$DH,Detail_4W!$B$2,'CWO Bulan Ini'!$DJ:$DJ,Detail_4W!$C52)*1000000</f>
        <v>10371616.65</v>
      </c>
      <c r="I52" s="68">
        <f>SUMIFS('CWO Bulan Ini'!$DG:$DG,'CWO Bulan Ini'!$DH:$DH,Detail_4W!$B$2,'CWO Bulan Ini'!$DJ:$DJ,Detail_4W!$C52)*1000000</f>
        <v>0</v>
      </c>
      <c r="J52" s="315">
        <f t="shared" si="5"/>
        <v>1</v>
      </c>
      <c r="K52" s="320">
        <f t="shared" si="6"/>
        <v>0</v>
      </c>
    </row>
    <row r="53" spans="2:11" ht="15" customHeight="1" x14ac:dyDescent="0.3">
      <c r="B53" s="287" t="s">
        <v>500</v>
      </c>
      <c r="C53" s="310" t="s">
        <v>302</v>
      </c>
      <c r="D53" s="68">
        <f>SUMIFS('CWO Bulan Ini'!$DA:$DA,'CWO Bulan Ini'!$DH:$DH,Detail_4W!$B$2,'CWO Bulan Ini'!$DJ:$DJ,Detail_4W!$C53)*1000000</f>
        <v>114274599.06999999</v>
      </c>
      <c r="E53" s="68">
        <f>SUMIFS('CWO Bulan Ini'!$DD:$DD,'CWO Bulan Ini'!$DH:$DH,Detail_4W!$B$2,'CWO Bulan Ini'!$DJ:$DJ,Detail_4W!$C53)*1000000</f>
        <v>0</v>
      </c>
      <c r="F53" s="68">
        <f t="shared" si="4"/>
        <v>114274599.06999999</v>
      </c>
      <c r="G53" s="68">
        <f>SUMIFS('CWO Bulan Ini'!$DC:$DC,'CWO Bulan Ini'!$DH:$DH,Detail_4W!$B$2,'CWO Bulan Ini'!$DJ:$DJ,Detail_4W!$C53)*1000000</f>
        <v>0</v>
      </c>
      <c r="H53" s="68">
        <f>SUMIFS('CWO Bulan Ini'!$DD:$DD,'CWO Bulan Ini'!$DH:$DH,Detail_4W!$B$2,'CWO Bulan Ini'!$DJ:$DJ,Detail_4W!$C53)*1000000</f>
        <v>0</v>
      </c>
      <c r="I53" s="68">
        <f>SUMIFS('CWO Bulan Ini'!$DG:$DG,'CWO Bulan Ini'!$DH:$DH,Detail_4W!$B$2,'CWO Bulan Ini'!$DJ:$DJ,Detail_4W!$C53)*1000000</f>
        <v>114274599.06999999</v>
      </c>
      <c r="J53" s="315">
        <f t="shared" si="5"/>
        <v>0</v>
      </c>
      <c r="K53" s="320">
        <f t="shared" si="6"/>
        <v>1</v>
      </c>
    </row>
    <row r="54" spans="2:11" ht="15" customHeight="1" x14ac:dyDescent="0.3">
      <c r="B54" s="287" t="s">
        <v>500</v>
      </c>
      <c r="C54" s="310" t="s">
        <v>396</v>
      </c>
      <c r="D54" s="68">
        <f>SUMIFS('CWO Bulan Ini'!$DA:$DA,'CWO Bulan Ini'!$DH:$DH,Detail_4W!$B$2,'CWO Bulan Ini'!$DJ:$DJ,Detail_4W!$C54)*1000000</f>
        <v>126523190.47</v>
      </c>
      <c r="E54" s="68">
        <f>SUMIFS('CWO Bulan Ini'!$DD:$DD,'CWO Bulan Ini'!$DH:$DH,Detail_4W!$B$2,'CWO Bulan Ini'!$DJ:$DJ,Detail_4W!$C54)*1000000</f>
        <v>0</v>
      </c>
      <c r="F54" s="68">
        <f t="shared" si="4"/>
        <v>126523190.47</v>
      </c>
      <c r="G54" s="68">
        <f>SUMIFS('CWO Bulan Ini'!$DC:$DC,'CWO Bulan Ini'!$DH:$DH,Detail_4W!$B$2,'CWO Bulan Ini'!$DJ:$DJ,Detail_4W!$C54)*1000000</f>
        <v>0</v>
      </c>
      <c r="H54" s="68">
        <f>SUMIFS('CWO Bulan Ini'!$DD:$DD,'CWO Bulan Ini'!$DH:$DH,Detail_4W!$B$2,'CWO Bulan Ini'!$DJ:$DJ,Detail_4W!$C54)*1000000</f>
        <v>0</v>
      </c>
      <c r="I54" s="68">
        <f>SUMIFS('CWO Bulan Ini'!$DG:$DG,'CWO Bulan Ini'!$DH:$DH,Detail_4W!$B$2,'CWO Bulan Ini'!$DJ:$DJ,Detail_4W!$C54)*1000000</f>
        <v>126523190.47</v>
      </c>
      <c r="J54" s="315">
        <f t="shared" si="5"/>
        <v>0</v>
      </c>
      <c r="K54" s="320">
        <f t="shared" si="6"/>
        <v>1</v>
      </c>
    </row>
    <row r="55" spans="2:11" ht="15" customHeight="1" x14ac:dyDescent="0.3">
      <c r="B55" s="287" t="s">
        <v>480</v>
      </c>
      <c r="C55" s="310" t="s">
        <v>411</v>
      </c>
      <c r="D55" s="68">
        <f>SUMIFS('CWO Bulan Ini'!$DA:$DA,'CWO Bulan Ini'!$DH:$DH,Detail_4W!$B$2,'CWO Bulan Ini'!$DJ:$DJ,Detail_4W!$C55)*1000000</f>
        <v>0</v>
      </c>
      <c r="E55" s="68">
        <f>SUMIFS('CWO Bulan Ini'!$DD:$DD,'CWO Bulan Ini'!$DH:$DH,Detail_4W!$B$2,'CWO Bulan Ini'!$DJ:$DJ,Detail_4W!$C55)*1000000</f>
        <v>0</v>
      </c>
      <c r="F55" s="68">
        <f t="shared" si="4"/>
        <v>0</v>
      </c>
      <c r="G55" s="68">
        <f>SUMIFS('CWO Bulan Ini'!$DC:$DC,'CWO Bulan Ini'!$DH:$DH,Detail_4W!$B$2,'CWO Bulan Ini'!$DJ:$DJ,Detail_4W!$C55)*1000000</f>
        <v>0</v>
      </c>
      <c r="H55" s="68">
        <f>SUMIFS('CWO Bulan Ini'!$DD:$DD,'CWO Bulan Ini'!$DH:$DH,Detail_4W!$B$2,'CWO Bulan Ini'!$DJ:$DJ,Detail_4W!$C55)*1000000</f>
        <v>0</v>
      </c>
      <c r="I55" s="68">
        <f>SUMIFS('CWO Bulan Ini'!$DG:$DG,'CWO Bulan Ini'!$DH:$DH,Detail_4W!$B$2,'CWO Bulan Ini'!$DJ:$DJ,Detail_4W!$C55)*1000000</f>
        <v>0</v>
      </c>
      <c r="J55" s="315">
        <f t="shared" si="5"/>
        <v>0</v>
      </c>
      <c r="K55" s="320">
        <f t="shared" si="6"/>
        <v>1</v>
      </c>
    </row>
    <row r="56" spans="2:11" ht="15" customHeight="1" x14ac:dyDescent="0.3">
      <c r="B56" s="287" t="s">
        <v>480</v>
      </c>
      <c r="C56" s="310" t="s">
        <v>242</v>
      </c>
      <c r="D56" s="68">
        <f>SUMIFS('CWO Bulan Ini'!$DA:$DA,'CWO Bulan Ini'!$DH:$DH,Detail_4W!$B$2,'CWO Bulan Ini'!$DJ:$DJ,Detail_4W!$C56)*1000000</f>
        <v>253411809.94999999</v>
      </c>
      <c r="E56" s="68">
        <f>SUMIFS('CWO Bulan Ini'!$DD:$DD,'CWO Bulan Ini'!$DH:$DH,Detail_4W!$B$2,'CWO Bulan Ini'!$DJ:$DJ,Detail_4W!$C56)*1000000</f>
        <v>253411809.94999999</v>
      </c>
      <c r="F56" s="68">
        <f t="shared" si="4"/>
        <v>253411809.94999999</v>
      </c>
      <c r="G56" s="68">
        <f>SUMIFS('CWO Bulan Ini'!$DC:$DC,'CWO Bulan Ini'!$DH:$DH,Detail_4W!$B$2,'CWO Bulan Ini'!$DJ:$DJ,Detail_4W!$C56)*1000000</f>
        <v>0</v>
      </c>
      <c r="H56" s="68">
        <f>SUMIFS('CWO Bulan Ini'!$DD:$DD,'CWO Bulan Ini'!$DH:$DH,Detail_4W!$B$2,'CWO Bulan Ini'!$DJ:$DJ,Detail_4W!$C56)*1000000</f>
        <v>253411809.94999999</v>
      </c>
      <c r="I56" s="68">
        <f>SUMIFS('CWO Bulan Ini'!$DG:$DG,'CWO Bulan Ini'!$DH:$DH,Detail_4W!$B$2,'CWO Bulan Ini'!$DJ:$DJ,Detail_4W!$C56)*1000000</f>
        <v>0</v>
      </c>
      <c r="J56" s="315">
        <f t="shared" si="5"/>
        <v>1</v>
      </c>
      <c r="K56" s="320">
        <f t="shared" si="6"/>
        <v>0</v>
      </c>
    </row>
    <row r="57" spans="2:11" ht="15" customHeight="1" x14ac:dyDescent="0.3">
      <c r="B57" s="287" t="s">
        <v>480</v>
      </c>
      <c r="C57" s="310" t="s">
        <v>237</v>
      </c>
      <c r="D57" s="68">
        <f>SUMIFS('CWO Bulan Ini'!$DA:$DA,'CWO Bulan Ini'!$DH:$DH,Detail_4W!$B$2,'CWO Bulan Ini'!$DJ:$DJ,Detail_4W!$C57)*1000000</f>
        <v>397713451.61999995</v>
      </c>
      <c r="E57" s="68">
        <f>SUMIFS('CWO Bulan Ini'!$DD:$DD,'CWO Bulan Ini'!$DH:$DH,Detail_4W!$B$2,'CWO Bulan Ini'!$DJ:$DJ,Detail_4W!$C57)*1000000</f>
        <v>273427432.55000001</v>
      </c>
      <c r="F57" s="68">
        <f t="shared" si="4"/>
        <v>387231301.76999992</v>
      </c>
      <c r="G57" s="68">
        <f>SUMIFS('CWO Bulan Ini'!$DC:$DC,'CWO Bulan Ini'!$DH:$DH,Detail_4W!$B$2,'CWO Bulan Ini'!$DJ:$DJ,Detail_4W!$C57)*1000000</f>
        <v>10482149.85</v>
      </c>
      <c r="H57" s="68">
        <f>SUMIFS('CWO Bulan Ini'!$DD:$DD,'CWO Bulan Ini'!$DH:$DH,Detail_4W!$B$2,'CWO Bulan Ini'!$DJ:$DJ,Detail_4W!$C57)*1000000</f>
        <v>273427432.55000001</v>
      </c>
      <c r="I57" s="68">
        <f>SUMIFS('CWO Bulan Ini'!$DG:$DG,'CWO Bulan Ini'!$DH:$DH,Detail_4W!$B$2,'CWO Bulan Ini'!$DJ:$DJ,Detail_4W!$C57)*1000000</f>
        <v>113803869.22</v>
      </c>
      <c r="J57" s="315">
        <f t="shared" si="5"/>
        <v>0.68749857827602345</v>
      </c>
      <c r="K57" s="320">
        <f t="shared" si="6"/>
        <v>0.31250142172397655</v>
      </c>
    </row>
    <row r="58" spans="2:11" ht="15" customHeight="1" x14ac:dyDescent="0.3">
      <c r="B58" s="287" t="s">
        <v>576</v>
      </c>
      <c r="C58" s="310" t="s">
        <v>118</v>
      </c>
      <c r="D58" s="68">
        <f>SUMIFS('CWO Bulan Ini'!$DA:$DA,'CWO Bulan Ini'!$DH:$DH,Detail_4W!$B$2,'CWO Bulan Ini'!$DJ:$DJ,Detail_4W!$C58)*1000000</f>
        <v>0</v>
      </c>
      <c r="E58" s="68">
        <f>SUMIFS('CWO Bulan Ini'!$DD:$DD,'CWO Bulan Ini'!$DH:$DH,Detail_4W!$B$2,'CWO Bulan Ini'!$DJ:$DJ,Detail_4W!$C58)*1000000</f>
        <v>0</v>
      </c>
      <c r="F58" s="68">
        <f t="shared" si="4"/>
        <v>0</v>
      </c>
      <c r="G58" s="68">
        <f>SUMIFS('CWO Bulan Ini'!$DC:$DC,'CWO Bulan Ini'!$DH:$DH,Detail_4W!$B$2,'CWO Bulan Ini'!$DJ:$DJ,Detail_4W!$C58)*1000000</f>
        <v>0</v>
      </c>
      <c r="H58" s="68">
        <f>SUMIFS('CWO Bulan Ini'!$DD:$DD,'CWO Bulan Ini'!$DH:$DH,Detail_4W!$B$2,'CWO Bulan Ini'!$DJ:$DJ,Detail_4W!$C58)*1000000</f>
        <v>0</v>
      </c>
      <c r="I58" s="68">
        <f>SUMIFS('CWO Bulan Ini'!$DG:$DG,'CWO Bulan Ini'!$DH:$DH,Detail_4W!$B$2,'CWO Bulan Ini'!$DJ:$DJ,Detail_4W!$C58)*1000000</f>
        <v>0</v>
      </c>
      <c r="J58" s="315">
        <f t="shared" si="5"/>
        <v>0</v>
      </c>
      <c r="K58" s="320">
        <f t="shared" si="6"/>
        <v>1</v>
      </c>
    </row>
    <row r="59" spans="2:11" ht="15" customHeight="1" x14ac:dyDescent="0.3">
      <c r="B59" s="287" t="s">
        <v>576</v>
      </c>
      <c r="C59" s="310" t="s">
        <v>269</v>
      </c>
      <c r="D59" s="68">
        <f>SUMIFS('CWO Bulan Ini'!$DA:$DA,'CWO Bulan Ini'!$DH:$DH,Detail_4W!$B$2,'CWO Bulan Ini'!$DJ:$DJ,Detail_4W!$C59)*1000000</f>
        <v>761923657.83999991</v>
      </c>
      <c r="E59" s="68">
        <f>SUMIFS('CWO Bulan Ini'!$DD:$DD,'CWO Bulan Ini'!$DH:$DH,Detail_4W!$B$2,'CWO Bulan Ini'!$DJ:$DJ,Detail_4W!$C59)*1000000</f>
        <v>0</v>
      </c>
      <c r="F59" s="68">
        <f t="shared" si="4"/>
        <v>527109353.17999995</v>
      </c>
      <c r="G59" s="68">
        <f>SUMIFS('CWO Bulan Ini'!$DC:$DC,'CWO Bulan Ini'!$DH:$DH,Detail_4W!$B$2,'CWO Bulan Ini'!$DJ:$DJ,Detail_4W!$C59)*1000000</f>
        <v>234814304.66</v>
      </c>
      <c r="H59" s="68">
        <f>SUMIFS('CWO Bulan Ini'!$DD:$DD,'CWO Bulan Ini'!$DH:$DH,Detail_4W!$B$2,'CWO Bulan Ini'!$DJ:$DJ,Detail_4W!$C59)*1000000</f>
        <v>0</v>
      </c>
      <c r="I59" s="68">
        <f>SUMIFS('CWO Bulan Ini'!$DG:$DG,'CWO Bulan Ini'!$DH:$DH,Detail_4W!$B$2,'CWO Bulan Ini'!$DJ:$DJ,Detail_4W!$C59)*1000000</f>
        <v>527109353.17999995</v>
      </c>
      <c r="J59" s="315">
        <f t="shared" si="5"/>
        <v>0</v>
      </c>
      <c r="K59" s="320">
        <f t="shared" si="6"/>
        <v>1</v>
      </c>
    </row>
    <row r="60" spans="2:11" ht="15" customHeight="1" thickBot="1" x14ac:dyDescent="0.35">
      <c r="B60" s="288" t="s">
        <v>576</v>
      </c>
      <c r="C60" s="311" t="s">
        <v>250</v>
      </c>
      <c r="D60" s="89">
        <f>SUMIFS('CWO Bulan Ini'!$DA:$DA,'CWO Bulan Ini'!$DH:$DH,Detail_4W!$B$2,'CWO Bulan Ini'!$DJ:$DJ,Detail_4W!$C60)*1000000</f>
        <v>219792192.30000001</v>
      </c>
      <c r="E60" s="89">
        <f>SUMIFS('CWO Bulan Ini'!$DD:$DD,'CWO Bulan Ini'!$DH:$DH,Detail_4W!$B$2,'CWO Bulan Ini'!$DJ:$DJ,Detail_4W!$C60)*1000000</f>
        <v>120904179.39</v>
      </c>
      <c r="F60" s="89">
        <f t="shared" si="4"/>
        <v>219792192.30000001</v>
      </c>
      <c r="G60" s="89">
        <f>SUMIFS('CWO Bulan Ini'!$DC:$DC,'CWO Bulan Ini'!$DH:$DH,Detail_4W!$B$2,'CWO Bulan Ini'!$DJ:$DJ,Detail_4W!$C60)*1000000</f>
        <v>0</v>
      </c>
      <c r="H60" s="89">
        <f>SUMIFS('CWO Bulan Ini'!$DD:$DD,'CWO Bulan Ini'!$DH:$DH,Detail_4W!$B$2,'CWO Bulan Ini'!$DJ:$DJ,Detail_4W!$C60)*1000000</f>
        <v>120904179.39</v>
      </c>
      <c r="I60" s="89">
        <f>SUMIFS('CWO Bulan Ini'!$DG:$DG,'CWO Bulan Ini'!$DH:$DH,Detail_4W!$B$2,'CWO Bulan Ini'!$DJ:$DJ,Detail_4W!$C60)*1000000</f>
        <v>98888012.909999996</v>
      </c>
      <c r="J60" s="316">
        <f t="shared" si="5"/>
        <v>0.55008405041510655</v>
      </c>
      <c r="K60" s="321">
        <f t="shared" si="6"/>
        <v>0.44991594958489345</v>
      </c>
    </row>
    <row r="61" spans="2:11" ht="17.55" customHeight="1" thickTop="1" thickBot="1" x14ac:dyDescent="0.35">
      <c r="B61" s="298" t="s">
        <v>794</v>
      </c>
      <c r="C61" s="299"/>
      <c r="D61" s="300">
        <f>SUM(D18:D60)</f>
        <v>5803888473.6999998</v>
      </c>
      <c r="E61" s="300">
        <f t="shared" ref="E61:I61" si="7">SUM(E18:E60)</f>
        <v>2640568313.8600006</v>
      </c>
      <c r="F61" s="300">
        <f t="shared" si="7"/>
        <v>5550082291.3499994</v>
      </c>
      <c r="G61" s="300">
        <f t="shared" si="7"/>
        <v>253806182.34999999</v>
      </c>
      <c r="H61" s="300">
        <f t="shared" si="7"/>
        <v>2640568313.8600006</v>
      </c>
      <c r="I61" s="300">
        <f t="shared" si="7"/>
        <v>2909513977.4899993</v>
      </c>
      <c r="J61" s="324">
        <f t="shared" si="5"/>
        <v>0.45496537809532178</v>
      </c>
      <c r="K61" s="326">
        <f t="shared" si="6"/>
        <v>0.54503462190467822</v>
      </c>
    </row>
    <row r="62" spans="2:11" ht="15" customHeight="1" x14ac:dyDescent="0.3">
      <c r="F62" s="63"/>
    </row>
  </sheetData>
  <mergeCells count="1">
    <mergeCell ref="B3:C3"/>
  </mergeCells>
  <conditionalFormatting sqref="J6:K16">
    <cfRule type="cellIs" dxfId="242" priority="3" operator="greaterThan">
      <formula>0</formula>
    </cfRule>
  </conditionalFormatting>
  <conditionalFormatting sqref="J18:K61">
    <cfRule type="cellIs" dxfId="241" priority="6" operator="greaterThan">
      <formula>0</formula>
    </cfRule>
  </conditionalFormatting>
  <conditionalFormatting sqref="K18:K61">
    <cfRule type="cellIs" dxfId="240" priority="8" operator="greaterThan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AFCC"/>
  </sheetPr>
  <dimension ref="A1:L6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H15" sqref="H15"/>
    </sheetView>
  </sheetViews>
  <sheetFormatPr defaultColWidth="9.109375" defaultRowHeight="13.2" x14ac:dyDescent="0.3"/>
  <cols>
    <col min="1" max="1" width="0.44140625" style="61" customWidth="1"/>
    <col min="2" max="3" width="20.6640625" style="62" customWidth="1"/>
    <col min="4" max="4" width="15.6640625" style="62" customWidth="1"/>
    <col min="5" max="5" width="15.6640625" style="63" customWidth="1"/>
    <col min="6" max="6" width="15.6640625" style="62" customWidth="1"/>
    <col min="7" max="7" width="15.6640625" style="63" customWidth="1"/>
    <col min="8" max="9" width="15.6640625" style="62" customWidth="1"/>
    <col min="10" max="11" width="15.6640625" style="64" customWidth="1"/>
    <col min="12" max="16384" width="9.109375" style="62"/>
  </cols>
  <sheetData>
    <row r="1" spans="1:11" s="303" customFormat="1" ht="15" customHeight="1" x14ac:dyDescent="0.3">
      <c r="A1" s="301"/>
      <c r="B1" s="302" t="s">
        <v>852</v>
      </c>
      <c r="D1" s="302"/>
      <c r="G1" s="304"/>
      <c r="J1" s="305"/>
      <c r="K1" s="305"/>
    </row>
    <row r="2" spans="1:11" s="303" customFormat="1" ht="15" customHeight="1" x14ac:dyDescent="0.3">
      <c r="A2" s="301"/>
      <c r="B2" s="306" t="s">
        <v>349</v>
      </c>
      <c r="D2" s="307"/>
      <c r="E2" s="304"/>
      <c r="F2" s="304"/>
      <c r="G2" s="304"/>
      <c r="J2" s="305"/>
      <c r="K2" s="305"/>
    </row>
    <row r="3" spans="1:11" s="303" customFormat="1" ht="15" customHeight="1" x14ac:dyDescent="0.3">
      <c r="A3" s="301"/>
      <c r="B3" s="308">
        <f>Dashboard!B2</f>
        <v>46180</v>
      </c>
      <c r="C3" s="308"/>
      <c r="D3" s="307"/>
      <c r="E3" s="304"/>
      <c r="F3" s="304"/>
      <c r="G3" s="304"/>
      <c r="J3" s="305"/>
      <c r="K3" s="305"/>
    </row>
    <row r="4" spans="1:11" ht="4.95" customHeight="1" thickBot="1" x14ac:dyDescent="0.35">
      <c r="B4" s="65"/>
      <c r="C4" s="65"/>
      <c r="D4" s="66"/>
      <c r="E4" s="67"/>
      <c r="F4" s="63"/>
    </row>
    <row r="5" spans="1:11" s="90" customFormat="1" ht="17.55" customHeight="1" thickBot="1" x14ac:dyDescent="0.35">
      <c r="B5" s="91"/>
      <c r="C5" s="290" t="s">
        <v>787</v>
      </c>
      <c r="D5" s="284" t="s">
        <v>425</v>
      </c>
      <c r="E5" s="284" t="s">
        <v>853</v>
      </c>
      <c r="F5" s="284" t="s">
        <v>854</v>
      </c>
      <c r="G5" s="284" t="s">
        <v>855</v>
      </c>
      <c r="H5" s="284" t="s">
        <v>856</v>
      </c>
      <c r="I5" s="284" t="s">
        <v>420</v>
      </c>
      <c r="J5" s="313" t="s">
        <v>857</v>
      </c>
      <c r="K5" s="318" t="s">
        <v>858</v>
      </c>
    </row>
    <row r="6" spans="1:11" ht="15" customHeight="1" thickTop="1" x14ac:dyDescent="0.3">
      <c r="C6" s="291" t="s">
        <v>465</v>
      </c>
      <c r="D6" s="286">
        <f t="shared" ref="D6:I14" si="0">SUMIFS(D$18:D$60,$B$18:$B$60,$C6)</f>
        <v>0</v>
      </c>
      <c r="E6" s="286">
        <f t="shared" si="0"/>
        <v>0</v>
      </c>
      <c r="F6" s="286">
        <f t="shared" si="0"/>
        <v>0</v>
      </c>
      <c r="G6" s="286">
        <f t="shared" si="0"/>
        <v>0</v>
      </c>
      <c r="H6" s="286">
        <f t="shared" si="0"/>
        <v>0</v>
      </c>
      <c r="I6" s="286">
        <f t="shared" si="0"/>
        <v>0</v>
      </c>
      <c r="J6" s="314">
        <f t="shared" ref="J6:J15" si="1">IFERROR(H6/D6,0)</f>
        <v>0</v>
      </c>
      <c r="K6" s="319">
        <f t="shared" ref="K6:K15" si="2">100%-J6</f>
        <v>1</v>
      </c>
    </row>
    <row r="7" spans="1:11" ht="15" customHeight="1" x14ac:dyDescent="0.3">
      <c r="C7" s="292" t="s">
        <v>474</v>
      </c>
      <c r="D7" s="94">
        <f t="shared" si="0"/>
        <v>0</v>
      </c>
      <c r="E7" s="94">
        <f t="shared" si="0"/>
        <v>0</v>
      </c>
      <c r="F7" s="94">
        <f t="shared" si="0"/>
        <v>0</v>
      </c>
      <c r="G7" s="94">
        <f t="shared" si="0"/>
        <v>0</v>
      </c>
      <c r="H7" s="94">
        <f t="shared" si="0"/>
        <v>0</v>
      </c>
      <c r="I7" s="94">
        <f t="shared" si="0"/>
        <v>0</v>
      </c>
      <c r="J7" s="315">
        <f t="shared" si="1"/>
        <v>0</v>
      </c>
      <c r="K7" s="320">
        <f t="shared" si="2"/>
        <v>1</v>
      </c>
    </row>
    <row r="8" spans="1:11" ht="15" customHeight="1" x14ac:dyDescent="0.3">
      <c r="C8" s="292" t="s">
        <v>487</v>
      </c>
      <c r="D8" s="94">
        <f t="shared" si="0"/>
        <v>3730272.28</v>
      </c>
      <c r="E8" s="94">
        <f t="shared" si="0"/>
        <v>0</v>
      </c>
      <c r="F8" s="94">
        <f t="shared" si="0"/>
        <v>3730272.28</v>
      </c>
      <c r="G8" s="94">
        <f t="shared" si="0"/>
        <v>0</v>
      </c>
      <c r="H8" s="94">
        <f t="shared" si="0"/>
        <v>0</v>
      </c>
      <c r="I8" s="94">
        <f t="shared" si="0"/>
        <v>3730272.28</v>
      </c>
      <c r="J8" s="315">
        <f t="shared" si="1"/>
        <v>0</v>
      </c>
      <c r="K8" s="320">
        <f t="shared" si="2"/>
        <v>1</v>
      </c>
    </row>
    <row r="9" spans="1:11" ht="15" customHeight="1" x14ac:dyDescent="0.3">
      <c r="C9" s="292" t="s">
        <v>469</v>
      </c>
      <c r="D9" s="94">
        <f t="shared" si="0"/>
        <v>9020053.2400000002</v>
      </c>
      <c r="E9" s="94">
        <f t="shared" si="0"/>
        <v>621551.59</v>
      </c>
      <c r="F9" s="94">
        <f t="shared" si="0"/>
        <v>6979663.3799999999</v>
      </c>
      <c r="G9" s="94">
        <f t="shared" si="0"/>
        <v>2040389.8599999999</v>
      </c>
      <c r="H9" s="94">
        <f t="shared" si="0"/>
        <v>621551.59</v>
      </c>
      <c r="I9" s="94">
        <f t="shared" si="0"/>
        <v>6358111.79</v>
      </c>
      <c r="J9" s="315">
        <f t="shared" si="1"/>
        <v>6.8907751812781984E-2</v>
      </c>
      <c r="K9" s="320">
        <f t="shared" si="2"/>
        <v>0.93109224818721803</v>
      </c>
    </row>
    <row r="10" spans="1:11" ht="15" customHeight="1" x14ac:dyDescent="0.3">
      <c r="C10" s="292" t="s">
        <v>448</v>
      </c>
      <c r="D10" s="94">
        <f t="shared" si="0"/>
        <v>40865888.520000003</v>
      </c>
      <c r="E10" s="94">
        <f t="shared" si="0"/>
        <v>36314189.150000006</v>
      </c>
      <c r="F10" s="94">
        <f t="shared" si="0"/>
        <v>40865888.520000003</v>
      </c>
      <c r="G10" s="94">
        <f t="shared" si="0"/>
        <v>0</v>
      </c>
      <c r="H10" s="94">
        <f t="shared" si="0"/>
        <v>36314189.150000006</v>
      </c>
      <c r="I10" s="94">
        <f t="shared" si="0"/>
        <v>4551699.37</v>
      </c>
      <c r="J10" s="315">
        <f t="shared" si="1"/>
        <v>0.88861861237221429</v>
      </c>
      <c r="K10" s="320">
        <f t="shared" si="2"/>
        <v>0.11138138762778571</v>
      </c>
    </row>
    <row r="11" spans="1:11" ht="15" customHeight="1" x14ac:dyDescent="0.3">
      <c r="C11" s="292" t="s">
        <v>454</v>
      </c>
      <c r="D11" s="94">
        <f t="shared" si="0"/>
        <v>0</v>
      </c>
      <c r="E11" s="94">
        <f t="shared" si="0"/>
        <v>0</v>
      </c>
      <c r="F11" s="94">
        <f t="shared" si="0"/>
        <v>0</v>
      </c>
      <c r="G11" s="94">
        <f t="shared" si="0"/>
        <v>0</v>
      </c>
      <c r="H11" s="94">
        <f t="shared" si="0"/>
        <v>0</v>
      </c>
      <c r="I11" s="94">
        <f t="shared" si="0"/>
        <v>0</v>
      </c>
      <c r="J11" s="315">
        <f t="shared" si="1"/>
        <v>0</v>
      </c>
      <c r="K11" s="320">
        <f t="shared" si="2"/>
        <v>1</v>
      </c>
    </row>
    <row r="12" spans="1:11" ht="15" customHeight="1" x14ac:dyDescent="0.3">
      <c r="C12" s="292" t="s">
        <v>500</v>
      </c>
      <c r="D12" s="94">
        <f t="shared" si="0"/>
        <v>0</v>
      </c>
      <c r="E12" s="94">
        <f t="shared" si="0"/>
        <v>0</v>
      </c>
      <c r="F12" s="94">
        <f t="shared" si="0"/>
        <v>0</v>
      </c>
      <c r="G12" s="94">
        <f t="shared" si="0"/>
        <v>0</v>
      </c>
      <c r="H12" s="94">
        <f t="shared" si="0"/>
        <v>0</v>
      </c>
      <c r="I12" s="94">
        <f t="shared" si="0"/>
        <v>0</v>
      </c>
      <c r="J12" s="315">
        <f t="shared" si="1"/>
        <v>0</v>
      </c>
      <c r="K12" s="320">
        <f t="shared" si="2"/>
        <v>1</v>
      </c>
    </row>
    <row r="13" spans="1:11" ht="15" customHeight="1" x14ac:dyDescent="0.3">
      <c r="C13" s="292" t="s">
        <v>480</v>
      </c>
      <c r="D13" s="94">
        <f t="shared" si="0"/>
        <v>0</v>
      </c>
      <c r="E13" s="94">
        <f t="shared" si="0"/>
        <v>0</v>
      </c>
      <c r="F13" s="94">
        <f t="shared" si="0"/>
        <v>0</v>
      </c>
      <c r="G13" s="94">
        <f t="shared" si="0"/>
        <v>0</v>
      </c>
      <c r="H13" s="94">
        <f t="shared" si="0"/>
        <v>0</v>
      </c>
      <c r="I13" s="94">
        <f t="shared" si="0"/>
        <v>0</v>
      </c>
      <c r="J13" s="315">
        <f t="shared" si="1"/>
        <v>0</v>
      </c>
      <c r="K13" s="320">
        <f t="shared" si="2"/>
        <v>1</v>
      </c>
    </row>
    <row r="14" spans="1:11" ht="15" customHeight="1" thickBot="1" x14ac:dyDescent="0.35">
      <c r="C14" s="293" t="s">
        <v>576</v>
      </c>
      <c r="D14" s="95">
        <f t="shared" si="0"/>
        <v>0</v>
      </c>
      <c r="E14" s="95">
        <f t="shared" si="0"/>
        <v>0</v>
      </c>
      <c r="F14" s="95">
        <f t="shared" si="0"/>
        <v>0</v>
      </c>
      <c r="G14" s="95">
        <f t="shared" si="0"/>
        <v>0</v>
      </c>
      <c r="H14" s="95">
        <f t="shared" si="0"/>
        <v>0</v>
      </c>
      <c r="I14" s="95">
        <f t="shared" si="0"/>
        <v>0</v>
      </c>
      <c r="J14" s="316">
        <f t="shared" si="1"/>
        <v>0</v>
      </c>
      <c r="K14" s="321">
        <f t="shared" si="2"/>
        <v>1</v>
      </c>
    </row>
    <row r="15" spans="1:11" ht="17.55" customHeight="1" thickTop="1" thickBot="1" x14ac:dyDescent="0.35">
      <c r="C15" s="294" t="s">
        <v>794</v>
      </c>
      <c r="D15" s="289">
        <f>SUM(D6:D14)</f>
        <v>53616214.040000007</v>
      </c>
      <c r="E15" s="289">
        <f t="shared" ref="E15:I15" si="3">SUM(E6:E14)</f>
        <v>36935740.74000001</v>
      </c>
      <c r="F15" s="289">
        <f t="shared" si="3"/>
        <v>51575824.180000007</v>
      </c>
      <c r="G15" s="289">
        <f t="shared" si="3"/>
        <v>2040389.8599999999</v>
      </c>
      <c r="H15" s="289">
        <f t="shared" si="3"/>
        <v>36935740.74000001</v>
      </c>
      <c r="I15" s="289">
        <f t="shared" si="3"/>
        <v>14640083.440000001</v>
      </c>
      <c r="J15" s="317">
        <f t="shared" si="1"/>
        <v>0.68889125055425127</v>
      </c>
      <c r="K15" s="322">
        <f t="shared" si="2"/>
        <v>0.31110874944574873</v>
      </c>
    </row>
    <row r="16" spans="1:11" ht="2.5499999999999998" customHeight="1" thickBot="1" x14ac:dyDescent="0.35">
      <c r="C16" s="281"/>
      <c r="D16" s="282"/>
      <c r="E16" s="282"/>
      <c r="F16" s="282"/>
      <c r="G16" s="282"/>
      <c r="H16" s="282"/>
      <c r="I16" s="282"/>
      <c r="J16" s="283"/>
      <c r="K16" s="283"/>
    </row>
    <row r="17" spans="2:12" s="90" customFormat="1" ht="17.55" customHeight="1" thickBot="1" x14ac:dyDescent="0.35">
      <c r="B17" s="295" t="s">
        <v>787</v>
      </c>
      <c r="C17" s="312" t="s">
        <v>788</v>
      </c>
      <c r="D17" s="296" t="s">
        <v>425</v>
      </c>
      <c r="E17" s="296" t="s">
        <v>853</v>
      </c>
      <c r="F17" s="296" t="s">
        <v>854</v>
      </c>
      <c r="G17" s="296" t="s">
        <v>855</v>
      </c>
      <c r="H17" s="296" t="s">
        <v>856</v>
      </c>
      <c r="I17" s="296" t="s">
        <v>420</v>
      </c>
      <c r="J17" s="323" t="s">
        <v>857</v>
      </c>
      <c r="K17" s="325" t="s">
        <v>858</v>
      </c>
    </row>
    <row r="18" spans="2:12" ht="15" customHeight="1" x14ac:dyDescent="0.3">
      <c r="B18" s="285" t="s">
        <v>465</v>
      </c>
      <c r="C18" s="309" t="s">
        <v>0</v>
      </c>
      <c r="D18" s="297">
        <f>SUMIFS('CWO Bulan Ini'!$DA:$DA,'CWO Bulan Ini'!$DH:$DH,Detail_2W!$B$2,'CWO Bulan Ini'!$DJ:$DJ,Detail_2W!$C18)*1000000</f>
        <v>0</v>
      </c>
      <c r="E18" s="297">
        <f>SUMIFS('CWO Bulan Ini'!$DD:$DD,'CWO Bulan Ini'!$DH:$DH,Detail_2W!$B$2,'CWO Bulan Ini'!$DJ:$DJ,Detail_2W!$C18)*1000000</f>
        <v>0</v>
      </c>
      <c r="F18" s="297">
        <f>D18-G18</f>
        <v>0</v>
      </c>
      <c r="G18" s="297">
        <f>SUMIFS('CWO Bulan Ini'!$DC:$DC,'CWO Bulan Ini'!$DH:$DH,Detail_2W!$B$2,'CWO Bulan Ini'!$DJ:$DJ,Detail_2W!$C18)*1000000</f>
        <v>0</v>
      </c>
      <c r="H18" s="297">
        <f>SUMIFS('CWO Bulan Ini'!$DD:$DD,'CWO Bulan Ini'!$DH:$DH,Detail_2W!$B$2,'CWO Bulan Ini'!$DJ:$DJ,Detail_2W!$C18)*1000000</f>
        <v>0</v>
      </c>
      <c r="I18" s="297">
        <f>SUMIFS('CWO Bulan Ini'!$DG:$DG,'CWO Bulan Ini'!$DH:$DH,Detail_2W!$B$2,'CWO Bulan Ini'!$DJ:$DJ,Detail_2W!$C18)*1000000</f>
        <v>0</v>
      </c>
      <c r="J18" s="314">
        <f>IFERROR(H18/D18,0)</f>
        <v>0</v>
      </c>
      <c r="K18" s="319">
        <f>100%-J18</f>
        <v>1</v>
      </c>
      <c r="L18" s="63"/>
    </row>
    <row r="19" spans="2:12" ht="15" customHeight="1" x14ac:dyDescent="0.3">
      <c r="B19" s="287" t="s">
        <v>465</v>
      </c>
      <c r="C19" s="310" t="s">
        <v>11</v>
      </c>
      <c r="D19" s="68">
        <f>SUMIFS('CWO Bulan Ini'!$DA:$DA,'CWO Bulan Ini'!$DH:$DH,Detail_2W!$B$2,'CWO Bulan Ini'!$DJ:$DJ,Detail_2W!$C19)*1000000</f>
        <v>0</v>
      </c>
      <c r="E19" s="68">
        <f>SUMIFS('CWO Bulan Ini'!$DD:$DD,'CWO Bulan Ini'!$DH:$DH,Detail_2W!$B$2,'CWO Bulan Ini'!$DJ:$DJ,Detail_2W!$C19)*1000000</f>
        <v>0</v>
      </c>
      <c r="F19" s="68">
        <f t="shared" ref="F19:F60" si="4">D19-G19</f>
        <v>0</v>
      </c>
      <c r="G19" s="68">
        <f>SUMIFS('CWO Bulan Ini'!$DC:$DC,'CWO Bulan Ini'!$DH:$DH,Detail_2W!$B$2,'CWO Bulan Ini'!$DJ:$DJ,Detail_2W!$C19)*1000000</f>
        <v>0</v>
      </c>
      <c r="H19" s="68">
        <f>SUMIFS('CWO Bulan Ini'!$DD:$DD,'CWO Bulan Ini'!$DH:$DH,Detail_2W!$B$2,'CWO Bulan Ini'!$DJ:$DJ,Detail_2W!$C19)*1000000</f>
        <v>0</v>
      </c>
      <c r="I19" s="68">
        <f>SUMIFS('CWO Bulan Ini'!$DG:$DG,'CWO Bulan Ini'!$DH:$DH,Detail_2W!$B$2,'CWO Bulan Ini'!$DJ:$DJ,Detail_2W!$C19)*1000000</f>
        <v>0</v>
      </c>
      <c r="J19" s="315">
        <f t="shared" ref="J19:J61" si="5">IFERROR(H19/D19,0)</f>
        <v>0</v>
      </c>
      <c r="K19" s="320">
        <f t="shared" ref="K19:K61" si="6">100%-J19</f>
        <v>1</v>
      </c>
    </row>
    <row r="20" spans="2:12" ht="15" customHeight="1" x14ac:dyDescent="0.3">
      <c r="B20" s="287" t="s">
        <v>465</v>
      </c>
      <c r="C20" s="310" t="s">
        <v>7</v>
      </c>
      <c r="D20" s="68">
        <f>SUMIFS('CWO Bulan Ini'!$DA:$DA,'CWO Bulan Ini'!$DH:$DH,Detail_2W!$B$2,'CWO Bulan Ini'!$DJ:$DJ,Detail_2W!$C20)*1000000</f>
        <v>0</v>
      </c>
      <c r="E20" s="68">
        <f>SUMIFS('CWO Bulan Ini'!$DD:$DD,'CWO Bulan Ini'!$DH:$DH,Detail_2W!$B$2,'CWO Bulan Ini'!$DJ:$DJ,Detail_2W!$C20)*1000000</f>
        <v>0</v>
      </c>
      <c r="F20" s="68">
        <f t="shared" si="4"/>
        <v>0</v>
      </c>
      <c r="G20" s="68">
        <f>SUMIFS('CWO Bulan Ini'!$DC:$DC,'CWO Bulan Ini'!$DH:$DH,Detail_2W!$B$2,'CWO Bulan Ini'!$DJ:$DJ,Detail_2W!$C20)*1000000</f>
        <v>0</v>
      </c>
      <c r="H20" s="68">
        <f>SUMIFS('CWO Bulan Ini'!$DD:$DD,'CWO Bulan Ini'!$DH:$DH,Detail_2W!$B$2,'CWO Bulan Ini'!$DJ:$DJ,Detail_2W!$C20)*1000000</f>
        <v>0</v>
      </c>
      <c r="I20" s="68">
        <f>SUMIFS('CWO Bulan Ini'!$DG:$DG,'CWO Bulan Ini'!$DH:$DH,Detail_2W!$B$2,'CWO Bulan Ini'!$DJ:$DJ,Detail_2W!$C20)*1000000</f>
        <v>0</v>
      </c>
      <c r="J20" s="315">
        <f t="shared" si="5"/>
        <v>0</v>
      </c>
      <c r="K20" s="320">
        <f t="shared" si="6"/>
        <v>1</v>
      </c>
    </row>
    <row r="21" spans="2:12" ht="15" customHeight="1" x14ac:dyDescent="0.3">
      <c r="B21" s="287" t="s">
        <v>465</v>
      </c>
      <c r="C21" s="310" t="s">
        <v>2</v>
      </c>
      <c r="D21" s="68">
        <f>SUMIFS('CWO Bulan Ini'!$DA:$DA,'CWO Bulan Ini'!$DH:$DH,Detail_2W!$B$2,'CWO Bulan Ini'!$DJ:$DJ,Detail_2W!$C21)*1000000</f>
        <v>0</v>
      </c>
      <c r="E21" s="68">
        <f>SUMIFS('CWO Bulan Ini'!$DD:$DD,'CWO Bulan Ini'!$DH:$DH,Detail_2W!$B$2,'CWO Bulan Ini'!$DJ:$DJ,Detail_2W!$C21)*1000000</f>
        <v>0</v>
      </c>
      <c r="F21" s="68">
        <f t="shared" si="4"/>
        <v>0</v>
      </c>
      <c r="G21" s="68">
        <f>SUMIFS('CWO Bulan Ini'!$DC:$DC,'CWO Bulan Ini'!$DH:$DH,Detail_2W!$B$2,'CWO Bulan Ini'!$DJ:$DJ,Detail_2W!$C21)*1000000</f>
        <v>0</v>
      </c>
      <c r="H21" s="68">
        <f>SUMIFS('CWO Bulan Ini'!$DD:$DD,'CWO Bulan Ini'!$DH:$DH,Detail_2W!$B$2,'CWO Bulan Ini'!$DJ:$DJ,Detail_2W!$C21)*1000000</f>
        <v>0</v>
      </c>
      <c r="I21" s="68">
        <f>SUMIFS('CWO Bulan Ini'!$DG:$DG,'CWO Bulan Ini'!$DH:$DH,Detail_2W!$B$2,'CWO Bulan Ini'!$DJ:$DJ,Detail_2W!$C21)*1000000</f>
        <v>0</v>
      </c>
      <c r="J21" s="315">
        <f t="shared" si="5"/>
        <v>0</v>
      </c>
      <c r="K21" s="320">
        <f t="shared" si="6"/>
        <v>1</v>
      </c>
    </row>
    <row r="22" spans="2:12" ht="15" customHeight="1" x14ac:dyDescent="0.3">
      <c r="B22" s="287" t="s">
        <v>465</v>
      </c>
      <c r="C22" s="310" t="s">
        <v>13</v>
      </c>
      <c r="D22" s="68">
        <f>SUMIFS('CWO Bulan Ini'!$DA:$DA,'CWO Bulan Ini'!$DH:$DH,Detail_2W!$B$2,'CWO Bulan Ini'!$DJ:$DJ,Detail_2W!$C22)*1000000</f>
        <v>0</v>
      </c>
      <c r="E22" s="68">
        <f>SUMIFS('CWO Bulan Ini'!$DD:$DD,'CWO Bulan Ini'!$DH:$DH,Detail_2W!$B$2,'CWO Bulan Ini'!$DJ:$DJ,Detail_2W!$C22)*1000000</f>
        <v>0</v>
      </c>
      <c r="F22" s="68">
        <f t="shared" si="4"/>
        <v>0</v>
      </c>
      <c r="G22" s="68">
        <f>SUMIFS('CWO Bulan Ini'!$DC:$DC,'CWO Bulan Ini'!$DH:$DH,Detail_2W!$B$2,'CWO Bulan Ini'!$DJ:$DJ,Detail_2W!$C22)*1000000</f>
        <v>0</v>
      </c>
      <c r="H22" s="68">
        <f>SUMIFS('CWO Bulan Ini'!$DD:$DD,'CWO Bulan Ini'!$DH:$DH,Detail_2W!$B$2,'CWO Bulan Ini'!$DJ:$DJ,Detail_2W!$C22)*1000000</f>
        <v>0</v>
      </c>
      <c r="I22" s="68">
        <f>SUMIFS('CWO Bulan Ini'!$DG:$DG,'CWO Bulan Ini'!$DH:$DH,Detail_2W!$B$2,'CWO Bulan Ini'!$DJ:$DJ,Detail_2W!$C22)*1000000</f>
        <v>0</v>
      </c>
      <c r="J22" s="315">
        <f t="shared" si="5"/>
        <v>0</v>
      </c>
      <c r="K22" s="320">
        <f t="shared" si="6"/>
        <v>1</v>
      </c>
    </row>
    <row r="23" spans="2:12" ht="15" customHeight="1" x14ac:dyDescent="0.3">
      <c r="B23" s="287" t="s">
        <v>465</v>
      </c>
      <c r="C23" s="310" t="s">
        <v>5</v>
      </c>
      <c r="D23" s="68">
        <f>SUMIFS('CWO Bulan Ini'!$DA:$DA,'CWO Bulan Ini'!$DH:$DH,Detail_2W!$B$2,'CWO Bulan Ini'!$DJ:$DJ,Detail_2W!$C23)*1000000</f>
        <v>0</v>
      </c>
      <c r="E23" s="68">
        <f>SUMIFS('CWO Bulan Ini'!$DD:$DD,'CWO Bulan Ini'!$DH:$DH,Detail_2W!$B$2,'CWO Bulan Ini'!$DJ:$DJ,Detail_2W!$C23)*1000000</f>
        <v>0</v>
      </c>
      <c r="F23" s="68">
        <f t="shared" si="4"/>
        <v>0</v>
      </c>
      <c r="G23" s="68">
        <f>SUMIFS('CWO Bulan Ini'!$DC:$DC,'CWO Bulan Ini'!$DH:$DH,Detail_2W!$B$2,'CWO Bulan Ini'!$DJ:$DJ,Detail_2W!$C23)*1000000</f>
        <v>0</v>
      </c>
      <c r="H23" s="68">
        <f>SUMIFS('CWO Bulan Ini'!$DD:$DD,'CWO Bulan Ini'!$DH:$DH,Detail_2W!$B$2,'CWO Bulan Ini'!$DJ:$DJ,Detail_2W!$C23)*1000000</f>
        <v>0</v>
      </c>
      <c r="I23" s="68">
        <f>SUMIFS('CWO Bulan Ini'!$DG:$DG,'CWO Bulan Ini'!$DH:$DH,Detail_2W!$B$2,'CWO Bulan Ini'!$DJ:$DJ,Detail_2W!$C23)*1000000</f>
        <v>0</v>
      </c>
      <c r="J23" s="315">
        <f t="shared" si="5"/>
        <v>0</v>
      </c>
      <c r="K23" s="320">
        <f t="shared" si="6"/>
        <v>1</v>
      </c>
    </row>
    <row r="24" spans="2:12" ht="15" customHeight="1" x14ac:dyDescent="0.3">
      <c r="B24" s="287" t="s">
        <v>465</v>
      </c>
      <c r="C24" s="310" t="s">
        <v>9</v>
      </c>
      <c r="D24" s="68">
        <f>SUMIFS('CWO Bulan Ini'!$DA:$DA,'CWO Bulan Ini'!$DH:$DH,Detail_2W!$B$2,'CWO Bulan Ini'!$DJ:$DJ,Detail_2W!$C24)*1000000</f>
        <v>0</v>
      </c>
      <c r="E24" s="68">
        <f>SUMIFS('CWO Bulan Ini'!$DD:$DD,'CWO Bulan Ini'!$DH:$DH,Detail_2W!$B$2,'CWO Bulan Ini'!$DJ:$DJ,Detail_2W!$C24)*1000000</f>
        <v>0</v>
      </c>
      <c r="F24" s="68">
        <f t="shared" si="4"/>
        <v>0</v>
      </c>
      <c r="G24" s="68">
        <f>SUMIFS('CWO Bulan Ini'!$DC:$DC,'CWO Bulan Ini'!$DH:$DH,Detail_2W!$B$2,'CWO Bulan Ini'!$DJ:$DJ,Detail_2W!$C24)*1000000</f>
        <v>0</v>
      </c>
      <c r="H24" s="68">
        <f>SUMIFS('CWO Bulan Ini'!$DD:$DD,'CWO Bulan Ini'!$DH:$DH,Detail_2W!$B$2,'CWO Bulan Ini'!$DJ:$DJ,Detail_2W!$C24)*1000000</f>
        <v>0</v>
      </c>
      <c r="I24" s="68">
        <f>SUMIFS('CWO Bulan Ini'!$DG:$DG,'CWO Bulan Ini'!$DH:$DH,Detail_2W!$B$2,'CWO Bulan Ini'!$DJ:$DJ,Detail_2W!$C24)*1000000</f>
        <v>0</v>
      </c>
      <c r="J24" s="315">
        <f t="shared" si="5"/>
        <v>0</v>
      </c>
      <c r="K24" s="320">
        <f t="shared" si="6"/>
        <v>1</v>
      </c>
    </row>
    <row r="25" spans="2:12" ht="15" customHeight="1" x14ac:dyDescent="0.3">
      <c r="B25" s="287" t="s">
        <v>465</v>
      </c>
      <c r="C25" s="310" t="s">
        <v>15</v>
      </c>
      <c r="D25" s="68">
        <f>SUMIFS('CWO Bulan Ini'!$DA:$DA,'CWO Bulan Ini'!$DH:$DH,Detail_2W!$B$2,'CWO Bulan Ini'!$DJ:$DJ,Detail_2W!$C25)*1000000</f>
        <v>0</v>
      </c>
      <c r="E25" s="68">
        <f>SUMIFS('CWO Bulan Ini'!$DD:$DD,'CWO Bulan Ini'!$DH:$DH,Detail_2W!$B$2,'CWO Bulan Ini'!$DJ:$DJ,Detail_2W!$C25)*1000000</f>
        <v>0</v>
      </c>
      <c r="F25" s="68">
        <f t="shared" si="4"/>
        <v>0</v>
      </c>
      <c r="G25" s="68">
        <f>SUMIFS('CWO Bulan Ini'!$DC:$DC,'CWO Bulan Ini'!$DH:$DH,Detail_2W!$B$2,'CWO Bulan Ini'!$DJ:$DJ,Detail_2W!$C25)*1000000</f>
        <v>0</v>
      </c>
      <c r="H25" s="68">
        <f>SUMIFS('CWO Bulan Ini'!$DD:$DD,'CWO Bulan Ini'!$DH:$DH,Detail_2W!$B$2,'CWO Bulan Ini'!$DJ:$DJ,Detail_2W!$C25)*1000000</f>
        <v>0</v>
      </c>
      <c r="I25" s="68">
        <f>SUMIFS('CWO Bulan Ini'!$DG:$DG,'CWO Bulan Ini'!$DH:$DH,Detail_2W!$B$2,'CWO Bulan Ini'!$DJ:$DJ,Detail_2W!$C25)*1000000</f>
        <v>0</v>
      </c>
      <c r="J25" s="315">
        <f t="shared" si="5"/>
        <v>0</v>
      </c>
      <c r="K25" s="320">
        <f t="shared" si="6"/>
        <v>1</v>
      </c>
    </row>
    <row r="26" spans="2:12" ht="15" customHeight="1" x14ac:dyDescent="0.3">
      <c r="B26" s="287" t="s">
        <v>474</v>
      </c>
      <c r="C26" s="310" t="s">
        <v>158</v>
      </c>
      <c r="D26" s="68">
        <f>SUMIFS('CWO Bulan Ini'!$DA:$DA,'CWO Bulan Ini'!$DH:$DH,Detail_2W!$B$2,'CWO Bulan Ini'!$DJ:$DJ,Detail_2W!$C26)*1000000</f>
        <v>0</v>
      </c>
      <c r="E26" s="68">
        <f>SUMIFS('CWO Bulan Ini'!$DD:$DD,'CWO Bulan Ini'!$DH:$DH,Detail_2W!$B$2,'CWO Bulan Ini'!$DJ:$DJ,Detail_2W!$C26)*1000000</f>
        <v>0</v>
      </c>
      <c r="F26" s="68">
        <f t="shared" si="4"/>
        <v>0</v>
      </c>
      <c r="G26" s="68">
        <f>SUMIFS('CWO Bulan Ini'!$DC:$DC,'CWO Bulan Ini'!$DH:$DH,Detail_2W!$B$2,'CWO Bulan Ini'!$DJ:$DJ,Detail_2W!$C26)*1000000</f>
        <v>0</v>
      </c>
      <c r="H26" s="68">
        <f>SUMIFS('CWO Bulan Ini'!$DD:$DD,'CWO Bulan Ini'!$DH:$DH,Detail_2W!$B$2,'CWO Bulan Ini'!$DJ:$DJ,Detail_2W!$C26)*1000000</f>
        <v>0</v>
      </c>
      <c r="I26" s="68">
        <f>SUMIFS('CWO Bulan Ini'!$DG:$DG,'CWO Bulan Ini'!$DH:$DH,Detail_2W!$B$2,'CWO Bulan Ini'!$DJ:$DJ,Detail_2W!$C26)*1000000</f>
        <v>0</v>
      </c>
      <c r="J26" s="315">
        <f t="shared" si="5"/>
        <v>0</v>
      </c>
      <c r="K26" s="320">
        <f t="shared" si="6"/>
        <v>1</v>
      </c>
    </row>
    <row r="27" spans="2:12" ht="15" customHeight="1" x14ac:dyDescent="0.3">
      <c r="B27" s="287" t="s">
        <v>474</v>
      </c>
      <c r="C27" s="310" t="s">
        <v>299</v>
      </c>
      <c r="D27" s="68">
        <f>SUMIFS('CWO Bulan Ini'!$DA:$DA,'CWO Bulan Ini'!$DH:$DH,Detail_2W!$B$2,'CWO Bulan Ini'!$DJ:$DJ,Detail_2W!$C27)*1000000</f>
        <v>0</v>
      </c>
      <c r="E27" s="68">
        <f>SUMIFS('CWO Bulan Ini'!$DD:$DD,'CWO Bulan Ini'!$DH:$DH,Detail_2W!$B$2,'CWO Bulan Ini'!$DJ:$DJ,Detail_2W!$C27)*1000000</f>
        <v>0</v>
      </c>
      <c r="F27" s="68">
        <f t="shared" si="4"/>
        <v>0</v>
      </c>
      <c r="G27" s="68">
        <f>SUMIFS('CWO Bulan Ini'!$DC:$DC,'CWO Bulan Ini'!$DH:$DH,Detail_2W!$B$2,'CWO Bulan Ini'!$DJ:$DJ,Detail_2W!$C27)*1000000</f>
        <v>0</v>
      </c>
      <c r="H27" s="68">
        <f>SUMIFS('CWO Bulan Ini'!$DD:$DD,'CWO Bulan Ini'!$DH:$DH,Detail_2W!$B$2,'CWO Bulan Ini'!$DJ:$DJ,Detail_2W!$C27)*1000000</f>
        <v>0</v>
      </c>
      <c r="I27" s="68">
        <f>SUMIFS('CWO Bulan Ini'!$DG:$DG,'CWO Bulan Ini'!$DH:$DH,Detail_2W!$B$2,'CWO Bulan Ini'!$DJ:$DJ,Detail_2W!$C27)*1000000</f>
        <v>0</v>
      </c>
      <c r="J27" s="315">
        <f t="shared" si="5"/>
        <v>0</v>
      </c>
      <c r="K27" s="320">
        <f t="shared" si="6"/>
        <v>1</v>
      </c>
    </row>
    <row r="28" spans="2:12" ht="15" customHeight="1" x14ac:dyDescent="0.3">
      <c r="B28" s="287" t="s">
        <v>474</v>
      </c>
      <c r="C28" s="310" t="s">
        <v>173</v>
      </c>
      <c r="D28" s="68">
        <f>SUMIFS('CWO Bulan Ini'!$DA:$DA,'CWO Bulan Ini'!$DH:$DH,Detail_2W!$B$2,'CWO Bulan Ini'!$DJ:$DJ,Detail_2W!$C28)*1000000</f>
        <v>0</v>
      </c>
      <c r="E28" s="68">
        <f>SUMIFS('CWO Bulan Ini'!$DD:$DD,'CWO Bulan Ini'!$DH:$DH,Detail_2W!$B$2,'CWO Bulan Ini'!$DJ:$DJ,Detail_2W!$C28)*1000000</f>
        <v>0</v>
      </c>
      <c r="F28" s="68">
        <f t="shared" si="4"/>
        <v>0</v>
      </c>
      <c r="G28" s="68">
        <f>SUMIFS('CWO Bulan Ini'!$DC:$DC,'CWO Bulan Ini'!$DH:$DH,Detail_2W!$B$2,'CWO Bulan Ini'!$DJ:$DJ,Detail_2W!$C28)*1000000</f>
        <v>0</v>
      </c>
      <c r="H28" s="68">
        <f>SUMIFS('CWO Bulan Ini'!$DD:$DD,'CWO Bulan Ini'!$DH:$DH,Detail_2W!$B$2,'CWO Bulan Ini'!$DJ:$DJ,Detail_2W!$C28)*1000000</f>
        <v>0</v>
      </c>
      <c r="I28" s="68">
        <f>SUMIFS('CWO Bulan Ini'!$DG:$DG,'CWO Bulan Ini'!$DH:$DH,Detail_2W!$B$2,'CWO Bulan Ini'!$DJ:$DJ,Detail_2W!$C28)*1000000</f>
        <v>0</v>
      </c>
      <c r="J28" s="315">
        <f t="shared" si="5"/>
        <v>0</v>
      </c>
      <c r="K28" s="320">
        <f t="shared" si="6"/>
        <v>1</v>
      </c>
    </row>
    <row r="29" spans="2:12" ht="15" customHeight="1" x14ac:dyDescent="0.3">
      <c r="B29" s="287" t="s">
        <v>487</v>
      </c>
      <c r="C29" s="310" t="s">
        <v>212</v>
      </c>
      <c r="D29" s="68">
        <f>SUMIFS('CWO Bulan Ini'!$DA:$DA,'CWO Bulan Ini'!$DH:$DH,Detail_2W!$B$2,'CWO Bulan Ini'!$DJ:$DJ,Detail_2W!$C29)*1000000</f>
        <v>0</v>
      </c>
      <c r="E29" s="68">
        <f>SUMIFS('CWO Bulan Ini'!$DD:$DD,'CWO Bulan Ini'!$DH:$DH,Detail_2W!$B$2,'CWO Bulan Ini'!$DJ:$DJ,Detail_2W!$C29)*1000000</f>
        <v>0</v>
      </c>
      <c r="F29" s="68">
        <f t="shared" si="4"/>
        <v>0</v>
      </c>
      <c r="G29" s="68">
        <f>SUMIFS('CWO Bulan Ini'!$DC:$DC,'CWO Bulan Ini'!$DH:$DH,Detail_2W!$B$2,'CWO Bulan Ini'!$DJ:$DJ,Detail_2W!$C29)*1000000</f>
        <v>0</v>
      </c>
      <c r="H29" s="68">
        <f>SUMIFS('CWO Bulan Ini'!$DD:$DD,'CWO Bulan Ini'!$DH:$DH,Detail_2W!$B$2,'CWO Bulan Ini'!$DJ:$DJ,Detail_2W!$C29)*1000000</f>
        <v>0</v>
      </c>
      <c r="I29" s="68">
        <f>SUMIFS('CWO Bulan Ini'!$DG:$DG,'CWO Bulan Ini'!$DH:$DH,Detail_2W!$B$2,'CWO Bulan Ini'!$DJ:$DJ,Detail_2W!$C29)*1000000</f>
        <v>0</v>
      </c>
      <c r="J29" s="315">
        <f t="shared" si="5"/>
        <v>0</v>
      </c>
      <c r="K29" s="320">
        <f t="shared" si="6"/>
        <v>1</v>
      </c>
    </row>
    <row r="30" spans="2:12" ht="15" customHeight="1" x14ac:dyDescent="0.3">
      <c r="B30" s="287" t="s">
        <v>487</v>
      </c>
      <c r="C30" s="310" t="s">
        <v>220</v>
      </c>
      <c r="D30" s="68">
        <f>SUMIFS('CWO Bulan Ini'!$DA:$DA,'CWO Bulan Ini'!$DH:$DH,Detail_2W!$B$2,'CWO Bulan Ini'!$DJ:$DJ,Detail_2W!$C30)*1000000</f>
        <v>0</v>
      </c>
      <c r="E30" s="68">
        <f>SUMIFS('CWO Bulan Ini'!$DD:$DD,'CWO Bulan Ini'!$DH:$DH,Detail_2W!$B$2,'CWO Bulan Ini'!$DJ:$DJ,Detail_2W!$C30)*1000000</f>
        <v>0</v>
      </c>
      <c r="F30" s="68">
        <f t="shared" si="4"/>
        <v>0</v>
      </c>
      <c r="G30" s="68">
        <f>SUMIFS('CWO Bulan Ini'!$DC:$DC,'CWO Bulan Ini'!$DH:$DH,Detail_2W!$B$2,'CWO Bulan Ini'!$DJ:$DJ,Detail_2W!$C30)*1000000</f>
        <v>0</v>
      </c>
      <c r="H30" s="68">
        <f>SUMIFS('CWO Bulan Ini'!$DD:$DD,'CWO Bulan Ini'!$DH:$DH,Detail_2W!$B$2,'CWO Bulan Ini'!$DJ:$DJ,Detail_2W!$C30)*1000000</f>
        <v>0</v>
      </c>
      <c r="I30" s="68">
        <f>SUMIFS('CWO Bulan Ini'!$DG:$DG,'CWO Bulan Ini'!$DH:$DH,Detail_2W!$B$2,'CWO Bulan Ini'!$DJ:$DJ,Detail_2W!$C30)*1000000</f>
        <v>0</v>
      </c>
      <c r="J30" s="315">
        <f t="shared" si="5"/>
        <v>0</v>
      </c>
      <c r="K30" s="320">
        <f t="shared" si="6"/>
        <v>1</v>
      </c>
    </row>
    <row r="31" spans="2:12" ht="15" customHeight="1" x14ac:dyDescent="0.3">
      <c r="B31" s="287" t="s">
        <v>487</v>
      </c>
      <c r="C31" s="310" t="s">
        <v>183</v>
      </c>
      <c r="D31" s="68">
        <f>SUMIFS('CWO Bulan Ini'!$DA:$DA,'CWO Bulan Ini'!$DH:$DH,Detail_2W!$B$2,'CWO Bulan Ini'!$DJ:$DJ,Detail_2W!$C31)*1000000</f>
        <v>0</v>
      </c>
      <c r="E31" s="68">
        <f>SUMIFS('CWO Bulan Ini'!$DD:$DD,'CWO Bulan Ini'!$DH:$DH,Detail_2W!$B$2,'CWO Bulan Ini'!$DJ:$DJ,Detail_2W!$C31)*1000000</f>
        <v>0</v>
      </c>
      <c r="F31" s="68">
        <f t="shared" si="4"/>
        <v>0</v>
      </c>
      <c r="G31" s="68">
        <f>SUMIFS('CWO Bulan Ini'!$DC:$DC,'CWO Bulan Ini'!$DH:$DH,Detail_2W!$B$2,'CWO Bulan Ini'!$DJ:$DJ,Detail_2W!$C31)*1000000</f>
        <v>0</v>
      </c>
      <c r="H31" s="68">
        <f>SUMIFS('CWO Bulan Ini'!$DD:$DD,'CWO Bulan Ini'!$DH:$DH,Detail_2W!$B$2,'CWO Bulan Ini'!$DJ:$DJ,Detail_2W!$C31)*1000000</f>
        <v>0</v>
      </c>
      <c r="I31" s="68">
        <f>SUMIFS('CWO Bulan Ini'!$DG:$DG,'CWO Bulan Ini'!$DH:$DH,Detail_2W!$B$2,'CWO Bulan Ini'!$DJ:$DJ,Detail_2W!$C31)*1000000</f>
        <v>0</v>
      </c>
      <c r="J31" s="315">
        <f t="shared" si="5"/>
        <v>0</v>
      </c>
      <c r="K31" s="320">
        <f t="shared" si="6"/>
        <v>1</v>
      </c>
    </row>
    <row r="32" spans="2:12" ht="15" customHeight="1" x14ac:dyDescent="0.3">
      <c r="B32" s="287" t="s">
        <v>487</v>
      </c>
      <c r="C32" s="310" t="s">
        <v>321</v>
      </c>
      <c r="D32" s="68">
        <f>SUMIFS('CWO Bulan Ini'!$DA:$DA,'CWO Bulan Ini'!$DH:$DH,Detail_2W!$B$2,'CWO Bulan Ini'!$DJ:$DJ,Detail_2W!$C32)*1000000</f>
        <v>3730272.28</v>
      </c>
      <c r="E32" s="68">
        <f>SUMIFS('CWO Bulan Ini'!$DD:$DD,'CWO Bulan Ini'!$DH:$DH,Detail_2W!$B$2,'CWO Bulan Ini'!$DJ:$DJ,Detail_2W!$C32)*1000000</f>
        <v>0</v>
      </c>
      <c r="F32" s="68">
        <f t="shared" si="4"/>
        <v>3730272.28</v>
      </c>
      <c r="G32" s="68">
        <f>SUMIFS('CWO Bulan Ini'!$DC:$DC,'CWO Bulan Ini'!$DH:$DH,Detail_2W!$B$2,'CWO Bulan Ini'!$DJ:$DJ,Detail_2W!$C32)*1000000</f>
        <v>0</v>
      </c>
      <c r="H32" s="68">
        <f>SUMIFS('CWO Bulan Ini'!$DD:$DD,'CWO Bulan Ini'!$DH:$DH,Detail_2W!$B$2,'CWO Bulan Ini'!$DJ:$DJ,Detail_2W!$C32)*1000000</f>
        <v>0</v>
      </c>
      <c r="I32" s="68">
        <f>SUMIFS('CWO Bulan Ini'!$DG:$DG,'CWO Bulan Ini'!$DH:$DH,Detail_2W!$B$2,'CWO Bulan Ini'!$DJ:$DJ,Detail_2W!$C32)*1000000</f>
        <v>3730272.28</v>
      </c>
      <c r="J32" s="315">
        <f t="shared" si="5"/>
        <v>0</v>
      </c>
      <c r="K32" s="320">
        <f t="shared" si="6"/>
        <v>1</v>
      </c>
    </row>
    <row r="33" spans="2:11" ht="15" customHeight="1" x14ac:dyDescent="0.3">
      <c r="B33" s="287" t="s">
        <v>487</v>
      </c>
      <c r="C33" s="310" t="s">
        <v>247</v>
      </c>
      <c r="D33" s="68">
        <f>SUMIFS('CWO Bulan Ini'!$DA:$DA,'CWO Bulan Ini'!$DH:$DH,Detail_2W!$B$2,'CWO Bulan Ini'!$DJ:$DJ,Detail_2W!$C33)*1000000</f>
        <v>0</v>
      </c>
      <c r="E33" s="68">
        <f>SUMIFS('CWO Bulan Ini'!$DD:$DD,'CWO Bulan Ini'!$DH:$DH,Detail_2W!$B$2,'CWO Bulan Ini'!$DJ:$DJ,Detail_2W!$C33)*1000000</f>
        <v>0</v>
      </c>
      <c r="F33" s="68">
        <f t="shared" si="4"/>
        <v>0</v>
      </c>
      <c r="G33" s="68">
        <f>SUMIFS('CWO Bulan Ini'!$DC:$DC,'CWO Bulan Ini'!$DH:$DH,Detail_2W!$B$2,'CWO Bulan Ini'!$DJ:$DJ,Detail_2W!$C33)*1000000</f>
        <v>0</v>
      </c>
      <c r="H33" s="68">
        <f>SUMIFS('CWO Bulan Ini'!$DD:$DD,'CWO Bulan Ini'!$DH:$DH,Detail_2W!$B$2,'CWO Bulan Ini'!$DJ:$DJ,Detail_2W!$C33)*1000000</f>
        <v>0</v>
      </c>
      <c r="I33" s="68">
        <f>SUMIFS('CWO Bulan Ini'!$DG:$DG,'CWO Bulan Ini'!$DH:$DH,Detail_2W!$B$2,'CWO Bulan Ini'!$DJ:$DJ,Detail_2W!$C33)*1000000</f>
        <v>0</v>
      </c>
      <c r="J33" s="315">
        <f t="shared" si="5"/>
        <v>0</v>
      </c>
      <c r="K33" s="320">
        <f t="shared" si="6"/>
        <v>1</v>
      </c>
    </row>
    <row r="34" spans="2:11" ht="15" customHeight="1" x14ac:dyDescent="0.3">
      <c r="B34" s="287" t="s">
        <v>487</v>
      </c>
      <c r="C34" s="310" t="s">
        <v>177</v>
      </c>
      <c r="D34" s="68">
        <f>SUMIFS('CWO Bulan Ini'!$DA:$DA,'CWO Bulan Ini'!$DH:$DH,Detail_2W!$B$2,'CWO Bulan Ini'!$DJ:$DJ,Detail_2W!$C34)*1000000</f>
        <v>0</v>
      </c>
      <c r="E34" s="68">
        <f>SUMIFS('CWO Bulan Ini'!$DD:$DD,'CWO Bulan Ini'!$DH:$DH,Detail_2W!$B$2,'CWO Bulan Ini'!$DJ:$DJ,Detail_2W!$C34)*1000000</f>
        <v>0</v>
      </c>
      <c r="F34" s="68">
        <f t="shared" si="4"/>
        <v>0</v>
      </c>
      <c r="G34" s="68">
        <f>SUMIFS('CWO Bulan Ini'!$DC:$DC,'CWO Bulan Ini'!$DH:$DH,Detail_2W!$B$2,'CWO Bulan Ini'!$DJ:$DJ,Detail_2W!$C34)*1000000</f>
        <v>0</v>
      </c>
      <c r="H34" s="68">
        <f>SUMIFS('CWO Bulan Ini'!$DD:$DD,'CWO Bulan Ini'!$DH:$DH,Detail_2W!$B$2,'CWO Bulan Ini'!$DJ:$DJ,Detail_2W!$C34)*1000000</f>
        <v>0</v>
      </c>
      <c r="I34" s="68">
        <f>SUMIFS('CWO Bulan Ini'!$DG:$DG,'CWO Bulan Ini'!$DH:$DH,Detail_2W!$B$2,'CWO Bulan Ini'!$DJ:$DJ,Detail_2W!$C34)*1000000</f>
        <v>0</v>
      </c>
      <c r="J34" s="315">
        <f t="shared" si="5"/>
        <v>0</v>
      </c>
      <c r="K34" s="320">
        <f t="shared" si="6"/>
        <v>1</v>
      </c>
    </row>
    <row r="35" spans="2:11" ht="15" customHeight="1" x14ac:dyDescent="0.3">
      <c r="B35" s="287" t="s">
        <v>469</v>
      </c>
      <c r="C35" s="310" t="s">
        <v>157</v>
      </c>
      <c r="D35" s="68">
        <f>SUMIFS('CWO Bulan Ini'!$DA:$DA,'CWO Bulan Ini'!$DH:$DH,Detail_2W!$B$2,'CWO Bulan Ini'!$DJ:$DJ,Detail_2W!$C35)*1000000</f>
        <v>1197317.96</v>
      </c>
      <c r="E35" s="68">
        <f>SUMIFS('CWO Bulan Ini'!$DD:$DD,'CWO Bulan Ini'!$DH:$DH,Detail_2W!$B$2,'CWO Bulan Ini'!$DJ:$DJ,Detail_2W!$C35)*1000000</f>
        <v>0</v>
      </c>
      <c r="F35" s="68">
        <f t="shared" si="4"/>
        <v>1197317.96</v>
      </c>
      <c r="G35" s="68">
        <f>SUMIFS('CWO Bulan Ini'!$DC:$DC,'CWO Bulan Ini'!$DH:$DH,Detail_2W!$B$2,'CWO Bulan Ini'!$DJ:$DJ,Detail_2W!$C35)*1000000</f>
        <v>0</v>
      </c>
      <c r="H35" s="68">
        <f>SUMIFS('CWO Bulan Ini'!$DD:$DD,'CWO Bulan Ini'!$DH:$DH,Detail_2W!$B$2,'CWO Bulan Ini'!$DJ:$DJ,Detail_2W!$C35)*1000000</f>
        <v>0</v>
      </c>
      <c r="I35" s="68">
        <f>SUMIFS('CWO Bulan Ini'!$DG:$DG,'CWO Bulan Ini'!$DH:$DH,Detail_2W!$B$2,'CWO Bulan Ini'!$DJ:$DJ,Detail_2W!$C35)*1000000</f>
        <v>1197317.96</v>
      </c>
      <c r="J35" s="315">
        <f t="shared" si="5"/>
        <v>0</v>
      </c>
      <c r="K35" s="320">
        <f t="shared" si="6"/>
        <v>1</v>
      </c>
    </row>
    <row r="36" spans="2:11" ht="15" customHeight="1" x14ac:dyDescent="0.3">
      <c r="B36" s="287" t="s">
        <v>469</v>
      </c>
      <c r="C36" s="310" t="s">
        <v>468</v>
      </c>
      <c r="D36" s="68">
        <f>SUMIFS('CWO Bulan Ini'!$DA:$DA,'CWO Bulan Ini'!$DH:$DH,Detail_2W!$B$2,'CWO Bulan Ini'!$DJ:$DJ,Detail_2W!$C36)*1000000</f>
        <v>2910882</v>
      </c>
      <c r="E36" s="68">
        <f>SUMIFS('CWO Bulan Ini'!$DD:$DD,'CWO Bulan Ini'!$DH:$DH,Detail_2W!$B$2,'CWO Bulan Ini'!$DJ:$DJ,Detail_2W!$C36)*1000000</f>
        <v>621551.59</v>
      </c>
      <c r="F36" s="68">
        <f t="shared" si="4"/>
        <v>2910882</v>
      </c>
      <c r="G36" s="68">
        <f>SUMIFS('CWO Bulan Ini'!$DC:$DC,'CWO Bulan Ini'!$DH:$DH,Detail_2W!$B$2,'CWO Bulan Ini'!$DJ:$DJ,Detail_2W!$C36)*1000000</f>
        <v>0</v>
      </c>
      <c r="H36" s="68">
        <f>SUMIFS('CWO Bulan Ini'!$DD:$DD,'CWO Bulan Ini'!$DH:$DH,Detail_2W!$B$2,'CWO Bulan Ini'!$DJ:$DJ,Detail_2W!$C36)*1000000</f>
        <v>621551.59</v>
      </c>
      <c r="I36" s="68">
        <f>SUMIFS('CWO Bulan Ini'!$DG:$DG,'CWO Bulan Ini'!$DH:$DH,Detail_2W!$B$2,'CWO Bulan Ini'!$DJ:$DJ,Detail_2W!$C36)*1000000</f>
        <v>2289330.41</v>
      </c>
      <c r="J36" s="315">
        <f t="shared" si="5"/>
        <v>0.21352689322342849</v>
      </c>
      <c r="K36" s="320">
        <f t="shared" si="6"/>
        <v>0.78647310677657156</v>
      </c>
    </row>
    <row r="37" spans="2:11" ht="15" customHeight="1" x14ac:dyDescent="0.3">
      <c r="B37" s="287" t="s">
        <v>469</v>
      </c>
      <c r="C37" s="310" t="s">
        <v>209</v>
      </c>
      <c r="D37" s="68">
        <f>SUMIFS('CWO Bulan Ini'!$DA:$DA,'CWO Bulan Ini'!$DH:$DH,Detail_2W!$B$2,'CWO Bulan Ini'!$DJ:$DJ,Detail_2W!$C37)*1000000</f>
        <v>2040389.8599999999</v>
      </c>
      <c r="E37" s="68">
        <f>SUMIFS('CWO Bulan Ini'!$DD:$DD,'CWO Bulan Ini'!$DH:$DH,Detail_2W!$B$2,'CWO Bulan Ini'!$DJ:$DJ,Detail_2W!$C37)*1000000</f>
        <v>0</v>
      </c>
      <c r="F37" s="68">
        <f t="shared" si="4"/>
        <v>0</v>
      </c>
      <c r="G37" s="68">
        <f>SUMIFS('CWO Bulan Ini'!$DC:$DC,'CWO Bulan Ini'!$DH:$DH,Detail_2W!$B$2,'CWO Bulan Ini'!$DJ:$DJ,Detail_2W!$C37)*1000000</f>
        <v>2040389.8599999999</v>
      </c>
      <c r="H37" s="68">
        <f>SUMIFS('CWO Bulan Ini'!$DD:$DD,'CWO Bulan Ini'!$DH:$DH,Detail_2W!$B$2,'CWO Bulan Ini'!$DJ:$DJ,Detail_2W!$C37)*1000000</f>
        <v>0</v>
      </c>
      <c r="I37" s="68">
        <f>SUMIFS('CWO Bulan Ini'!$DG:$DG,'CWO Bulan Ini'!$DH:$DH,Detail_2W!$B$2,'CWO Bulan Ini'!$DJ:$DJ,Detail_2W!$C37)*1000000</f>
        <v>0</v>
      </c>
      <c r="J37" s="315">
        <f t="shared" si="5"/>
        <v>0</v>
      </c>
      <c r="K37" s="320">
        <f t="shared" si="6"/>
        <v>1</v>
      </c>
    </row>
    <row r="38" spans="2:11" ht="15" customHeight="1" x14ac:dyDescent="0.3">
      <c r="B38" s="287" t="s">
        <v>469</v>
      </c>
      <c r="C38" s="310" t="s">
        <v>138</v>
      </c>
      <c r="D38" s="68">
        <f>SUMIFS('CWO Bulan Ini'!$DA:$DA,'CWO Bulan Ini'!$DH:$DH,Detail_2W!$B$2,'CWO Bulan Ini'!$DJ:$DJ,Detail_2W!$C38)*1000000</f>
        <v>2871463.42</v>
      </c>
      <c r="E38" s="68">
        <f>SUMIFS('CWO Bulan Ini'!$DD:$DD,'CWO Bulan Ini'!$DH:$DH,Detail_2W!$B$2,'CWO Bulan Ini'!$DJ:$DJ,Detail_2W!$C38)*1000000</f>
        <v>0</v>
      </c>
      <c r="F38" s="68">
        <f t="shared" si="4"/>
        <v>2871463.42</v>
      </c>
      <c r="G38" s="68">
        <f>SUMIFS('CWO Bulan Ini'!$DC:$DC,'CWO Bulan Ini'!$DH:$DH,Detail_2W!$B$2,'CWO Bulan Ini'!$DJ:$DJ,Detail_2W!$C38)*1000000</f>
        <v>0</v>
      </c>
      <c r="H38" s="68">
        <f>SUMIFS('CWO Bulan Ini'!$DD:$DD,'CWO Bulan Ini'!$DH:$DH,Detail_2W!$B$2,'CWO Bulan Ini'!$DJ:$DJ,Detail_2W!$C38)*1000000</f>
        <v>0</v>
      </c>
      <c r="I38" s="68">
        <f>SUMIFS('CWO Bulan Ini'!$DG:$DG,'CWO Bulan Ini'!$DH:$DH,Detail_2W!$B$2,'CWO Bulan Ini'!$DJ:$DJ,Detail_2W!$C38)*1000000</f>
        <v>2871463.42</v>
      </c>
      <c r="J38" s="315">
        <f t="shared" si="5"/>
        <v>0</v>
      </c>
      <c r="K38" s="320">
        <f t="shared" si="6"/>
        <v>1</v>
      </c>
    </row>
    <row r="39" spans="2:11" ht="15" customHeight="1" x14ac:dyDescent="0.3">
      <c r="B39" s="287" t="s">
        <v>448</v>
      </c>
      <c r="C39" s="310" t="s">
        <v>256</v>
      </c>
      <c r="D39" s="68">
        <f>SUMIFS('CWO Bulan Ini'!$DA:$DA,'CWO Bulan Ini'!$DH:$DH,Detail_2W!$B$2,'CWO Bulan Ini'!$DJ:$DJ,Detail_2W!$C39)*1000000</f>
        <v>0</v>
      </c>
      <c r="E39" s="68">
        <f>SUMIFS('CWO Bulan Ini'!$DD:$DD,'CWO Bulan Ini'!$DH:$DH,Detail_2W!$B$2,'CWO Bulan Ini'!$DJ:$DJ,Detail_2W!$C39)*1000000</f>
        <v>0</v>
      </c>
      <c r="F39" s="68">
        <f t="shared" si="4"/>
        <v>0</v>
      </c>
      <c r="G39" s="68">
        <f>SUMIFS('CWO Bulan Ini'!$DC:$DC,'CWO Bulan Ini'!$DH:$DH,Detail_2W!$B$2,'CWO Bulan Ini'!$DJ:$DJ,Detail_2W!$C39)*1000000</f>
        <v>0</v>
      </c>
      <c r="H39" s="68">
        <f>SUMIFS('CWO Bulan Ini'!$DD:$DD,'CWO Bulan Ini'!$DH:$DH,Detail_2W!$B$2,'CWO Bulan Ini'!$DJ:$DJ,Detail_2W!$C39)*1000000</f>
        <v>0</v>
      </c>
      <c r="I39" s="68">
        <f>SUMIFS('CWO Bulan Ini'!$DG:$DG,'CWO Bulan Ini'!$DH:$DH,Detail_2W!$B$2,'CWO Bulan Ini'!$DJ:$DJ,Detail_2W!$C39)*1000000</f>
        <v>0</v>
      </c>
      <c r="J39" s="315">
        <f t="shared" si="5"/>
        <v>0</v>
      </c>
      <c r="K39" s="320">
        <f t="shared" si="6"/>
        <v>1</v>
      </c>
    </row>
    <row r="40" spans="2:11" ht="15" customHeight="1" x14ac:dyDescent="0.3">
      <c r="B40" s="287" t="s">
        <v>448</v>
      </c>
      <c r="C40" s="310" t="s">
        <v>280</v>
      </c>
      <c r="D40" s="68">
        <f>SUMIFS('CWO Bulan Ini'!$DA:$DA,'CWO Bulan Ini'!$DH:$DH,Detail_2W!$B$2,'CWO Bulan Ini'!$DJ:$DJ,Detail_2W!$C40)*1000000</f>
        <v>36314189.150000006</v>
      </c>
      <c r="E40" s="68">
        <f>SUMIFS('CWO Bulan Ini'!$DD:$DD,'CWO Bulan Ini'!$DH:$DH,Detail_2W!$B$2,'CWO Bulan Ini'!$DJ:$DJ,Detail_2W!$C40)*1000000</f>
        <v>36314189.150000006</v>
      </c>
      <c r="F40" s="68">
        <f t="shared" si="4"/>
        <v>36314189.150000006</v>
      </c>
      <c r="G40" s="68">
        <f>SUMIFS('CWO Bulan Ini'!$DC:$DC,'CWO Bulan Ini'!$DH:$DH,Detail_2W!$B$2,'CWO Bulan Ini'!$DJ:$DJ,Detail_2W!$C40)*1000000</f>
        <v>0</v>
      </c>
      <c r="H40" s="68">
        <f>SUMIFS('CWO Bulan Ini'!$DD:$DD,'CWO Bulan Ini'!$DH:$DH,Detail_2W!$B$2,'CWO Bulan Ini'!$DJ:$DJ,Detail_2W!$C40)*1000000</f>
        <v>36314189.150000006</v>
      </c>
      <c r="I40" s="68">
        <f>SUMIFS('CWO Bulan Ini'!$DG:$DG,'CWO Bulan Ini'!$DH:$DH,Detail_2W!$B$2,'CWO Bulan Ini'!$DJ:$DJ,Detail_2W!$C40)*1000000</f>
        <v>0</v>
      </c>
      <c r="J40" s="315">
        <f t="shared" si="5"/>
        <v>1</v>
      </c>
      <c r="K40" s="320">
        <f t="shared" si="6"/>
        <v>0</v>
      </c>
    </row>
    <row r="41" spans="2:11" ht="15" customHeight="1" x14ac:dyDescent="0.3">
      <c r="B41" s="287" t="s">
        <v>448</v>
      </c>
      <c r="C41" s="310" t="s">
        <v>393</v>
      </c>
      <c r="D41" s="68">
        <f>SUMIFS('CWO Bulan Ini'!$DA:$DA,'CWO Bulan Ini'!$DH:$DH,Detail_2W!$B$2,'CWO Bulan Ini'!$DJ:$DJ,Detail_2W!$C41)*1000000</f>
        <v>0</v>
      </c>
      <c r="E41" s="68">
        <f>SUMIFS('CWO Bulan Ini'!$DD:$DD,'CWO Bulan Ini'!$DH:$DH,Detail_2W!$B$2,'CWO Bulan Ini'!$DJ:$DJ,Detail_2W!$C41)*1000000</f>
        <v>0</v>
      </c>
      <c r="F41" s="68">
        <f t="shared" si="4"/>
        <v>0</v>
      </c>
      <c r="G41" s="68">
        <f>SUMIFS('CWO Bulan Ini'!$DC:$DC,'CWO Bulan Ini'!$DH:$DH,Detail_2W!$B$2,'CWO Bulan Ini'!$DJ:$DJ,Detail_2W!$C41)*1000000</f>
        <v>0</v>
      </c>
      <c r="H41" s="68">
        <f>SUMIFS('CWO Bulan Ini'!$DD:$DD,'CWO Bulan Ini'!$DH:$DH,Detail_2W!$B$2,'CWO Bulan Ini'!$DJ:$DJ,Detail_2W!$C41)*1000000</f>
        <v>0</v>
      </c>
      <c r="I41" s="68">
        <f>SUMIFS('CWO Bulan Ini'!$DG:$DG,'CWO Bulan Ini'!$DH:$DH,Detail_2W!$B$2,'CWO Bulan Ini'!$DJ:$DJ,Detail_2W!$C41)*1000000</f>
        <v>0</v>
      </c>
      <c r="J41" s="315">
        <f t="shared" si="5"/>
        <v>0</v>
      </c>
      <c r="K41" s="320">
        <f t="shared" si="6"/>
        <v>1</v>
      </c>
    </row>
    <row r="42" spans="2:11" ht="15" customHeight="1" x14ac:dyDescent="0.3">
      <c r="B42" s="287" t="s">
        <v>448</v>
      </c>
      <c r="C42" s="310" t="s">
        <v>361</v>
      </c>
      <c r="D42" s="68">
        <f>SUMIFS('CWO Bulan Ini'!$DA:$DA,'CWO Bulan Ini'!$DH:$DH,Detail_2W!$B$2,'CWO Bulan Ini'!$DJ:$DJ,Detail_2W!$C42)*1000000</f>
        <v>0</v>
      </c>
      <c r="E42" s="68">
        <f>SUMIFS('CWO Bulan Ini'!$DD:$DD,'CWO Bulan Ini'!$DH:$DH,Detail_2W!$B$2,'CWO Bulan Ini'!$DJ:$DJ,Detail_2W!$C42)*1000000</f>
        <v>0</v>
      </c>
      <c r="F42" s="68">
        <f t="shared" si="4"/>
        <v>0</v>
      </c>
      <c r="G42" s="68">
        <f>SUMIFS('CWO Bulan Ini'!$DC:$DC,'CWO Bulan Ini'!$DH:$DH,Detail_2W!$B$2,'CWO Bulan Ini'!$DJ:$DJ,Detail_2W!$C42)*1000000</f>
        <v>0</v>
      </c>
      <c r="H42" s="68">
        <f>SUMIFS('CWO Bulan Ini'!$DD:$DD,'CWO Bulan Ini'!$DH:$DH,Detail_2W!$B$2,'CWO Bulan Ini'!$DJ:$DJ,Detail_2W!$C42)*1000000</f>
        <v>0</v>
      </c>
      <c r="I42" s="68">
        <f>SUMIFS('CWO Bulan Ini'!$DG:$DG,'CWO Bulan Ini'!$DH:$DH,Detail_2W!$B$2,'CWO Bulan Ini'!$DJ:$DJ,Detail_2W!$C42)*1000000</f>
        <v>0</v>
      </c>
      <c r="J42" s="315">
        <f t="shared" si="5"/>
        <v>0</v>
      </c>
      <c r="K42" s="320">
        <f t="shared" si="6"/>
        <v>1</v>
      </c>
    </row>
    <row r="43" spans="2:11" ht="15" customHeight="1" x14ac:dyDescent="0.3">
      <c r="B43" s="287" t="s">
        <v>448</v>
      </c>
      <c r="C43" s="310" t="s">
        <v>193</v>
      </c>
      <c r="D43" s="68">
        <f>SUMIFS('CWO Bulan Ini'!$DA:$DA,'CWO Bulan Ini'!$DH:$DH,Detail_2W!$B$2,'CWO Bulan Ini'!$DJ:$DJ,Detail_2W!$C43)*1000000</f>
        <v>4551699.37</v>
      </c>
      <c r="E43" s="68">
        <f>SUMIFS('CWO Bulan Ini'!$DD:$DD,'CWO Bulan Ini'!$DH:$DH,Detail_2W!$B$2,'CWO Bulan Ini'!$DJ:$DJ,Detail_2W!$C43)*1000000</f>
        <v>0</v>
      </c>
      <c r="F43" s="68">
        <f t="shared" si="4"/>
        <v>4551699.37</v>
      </c>
      <c r="G43" s="68">
        <f>SUMIFS('CWO Bulan Ini'!$DC:$DC,'CWO Bulan Ini'!$DH:$DH,Detail_2W!$B$2,'CWO Bulan Ini'!$DJ:$DJ,Detail_2W!$C43)*1000000</f>
        <v>0</v>
      </c>
      <c r="H43" s="68">
        <f>SUMIFS('CWO Bulan Ini'!$DD:$DD,'CWO Bulan Ini'!$DH:$DH,Detail_2W!$B$2,'CWO Bulan Ini'!$DJ:$DJ,Detail_2W!$C43)*1000000</f>
        <v>0</v>
      </c>
      <c r="I43" s="68">
        <f>SUMIFS('CWO Bulan Ini'!$DG:$DG,'CWO Bulan Ini'!$DH:$DH,Detail_2W!$B$2,'CWO Bulan Ini'!$DJ:$DJ,Detail_2W!$C43)*1000000</f>
        <v>4551699.37</v>
      </c>
      <c r="J43" s="315">
        <f t="shared" si="5"/>
        <v>0</v>
      </c>
      <c r="K43" s="320">
        <f t="shared" si="6"/>
        <v>1</v>
      </c>
    </row>
    <row r="44" spans="2:11" ht="15" customHeight="1" x14ac:dyDescent="0.3">
      <c r="B44" s="287" t="s">
        <v>448</v>
      </c>
      <c r="C44" s="310" t="s">
        <v>343</v>
      </c>
      <c r="D44" s="68">
        <f>SUMIFS('CWO Bulan Ini'!$DA:$DA,'CWO Bulan Ini'!$DH:$DH,Detail_2W!$B$2,'CWO Bulan Ini'!$DJ:$DJ,Detail_2W!$C44)*1000000</f>
        <v>0</v>
      </c>
      <c r="E44" s="68">
        <f>SUMIFS('CWO Bulan Ini'!$DD:$DD,'CWO Bulan Ini'!$DH:$DH,Detail_2W!$B$2,'CWO Bulan Ini'!$DJ:$DJ,Detail_2W!$C44)*1000000</f>
        <v>0</v>
      </c>
      <c r="F44" s="68">
        <f t="shared" si="4"/>
        <v>0</v>
      </c>
      <c r="G44" s="68">
        <f>SUMIFS('CWO Bulan Ini'!$DC:$DC,'CWO Bulan Ini'!$DH:$DH,Detail_2W!$B$2,'CWO Bulan Ini'!$DJ:$DJ,Detail_2W!$C44)*1000000</f>
        <v>0</v>
      </c>
      <c r="H44" s="68">
        <f>SUMIFS('CWO Bulan Ini'!$DD:$DD,'CWO Bulan Ini'!$DH:$DH,Detail_2W!$B$2,'CWO Bulan Ini'!$DJ:$DJ,Detail_2W!$C44)*1000000</f>
        <v>0</v>
      </c>
      <c r="I44" s="68">
        <f>SUMIFS('CWO Bulan Ini'!$DG:$DG,'CWO Bulan Ini'!$DH:$DH,Detail_2W!$B$2,'CWO Bulan Ini'!$DJ:$DJ,Detail_2W!$C44)*1000000</f>
        <v>0</v>
      </c>
      <c r="J44" s="315">
        <f t="shared" si="5"/>
        <v>0</v>
      </c>
      <c r="K44" s="320">
        <f t="shared" si="6"/>
        <v>1</v>
      </c>
    </row>
    <row r="45" spans="2:11" ht="15" customHeight="1" x14ac:dyDescent="0.3">
      <c r="B45" s="287" t="s">
        <v>454</v>
      </c>
      <c r="C45" s="310" t="s">
        <v>329</v>
      </c>
      <c r="D45" s="68">
        <f>SUMIFS('CWO Bulan Ini'!$DA:$DA,'CWO Bulan Ini'!$DH:$DH,Detail_2W!$B$2,'CWO Bulan Ini'!$DJ:$DJ,Detail_2W!$C45)*1000000</f>
        <v>0</v>
      </c>
      <c r="E45" s="68">
        <f>SUMIFS('CWO Bulan Ini'!$DD:$DD,'CWO Bulan Ini'!$DH:$DH,Detail_2W!$B$2,'CWO Bulan Ini'!$DJ:$DJ,Detail_2W!$C45)*1000000</f>
        <v>0</v>
      </c>
      <c r="F45" s="68">
        <f t="shared" si="4"/>
        <v>0</v>
      </c>
      <c r="G45" s="68">
        <f>SUMIFS('CWO Bulan Ini'!$DC:$DC,'CWO Bulan Ini'!$DH:$DH,Detail_2W!$B$2,'CWO Bulan Ini'!$DJ:$DJ,Detail_2W!$C45)*1000000</f>
        <v>0</v>
      </c>
      <c r="H45" s="68">
        <f>SUMIFS('CWO Bulan Ini'!$DD:$DD,'CWO Bulan Ini'!$DH:$DH,Detail_2W!$B$2,'CWO Bulan Ini'!$DJ:$DJ,Detail_2W!$C45)*1000000</f>
        <v>0</v>
      </c>
      <c r="I45" s="68">
        <f>SUMIFS('CWO Bulan Ini'!$DG:$DG,'CWO Bulan Ini'!$DH:$DH,Detail_2W!$B$2,'CWO Bulan Ini'!$DJ:$DJ,Detail_2W!$C45)*1000000</f>
        <v>0</v>
      </c>
      <c r="J45" s="315">
        <f t="shared" si="5"/>
        <v>0</v>
      </c>
      <c r="K45" s="320">
        <f t="shared" si="6"/>
        <v>1</v>
      </c>
    </row>
    <row r="46" spans="2:11" ht="15" customHeight="1" x14ac:dyDescent="0.3">
      <c r="B46" s="287" t="s">
        <v>454</v>
      </c>
      <c r="C46" s="310" t="s">
        <v>333</v>
      </c>
      <c r="D46" s="68">
        <f>SUMIFS('CWO Bulan Ini'!$DA:$DA,'CWO Bulan Ini'!$DH:$DH,Detail_2W!$B$2,'CWO Bulan Ini'!$DJ:$DJ,Detail_2W!$C46)*1000000</f>
        <v>0</v>
      </c>
      <c r="E46" s="68">
        <f>SUMIFS('CWO Bulan Ini'!$DD:$DD,'CWO Bulan Ini'!$DH:$DH,Detail_2W!$B$2,'CWO Bulan Ini'!$DJ:$DJ,Detail_2W!$C46)*1000000</f>
        <v>0</v>
      </c>
      <c r="F46" s="68">
        <f t="shared" si="4"/>
        <v>0</v>
      </c>
      <c r="G46" s="68">
        <f>SUMIFS('CWO Bulan Ini'!$DC:$DC,'CWO Bulan Ini'!$DH:$DH,Detail_2W!$B$2,'CWO Bulan Ini'!$DJ:$DJ,Detail_2W!$C46)*1000000</f>
        <v>0</v>
      </c>
      <c r="H46" s="68">
        <f>SUMIFS('CWO Bulan Ini'!$DD:$DD,'CWO Bulan Ini'!$DH:$DH,Detail_2W!$B$2,'CWO Bulan Ini'!$DJ:$DJ,Detail_2W!$C46)*1000000</f>
        <v>0</v>
      </c>
      <c r="I46" s="68">
        <f>SUMIFS('CWO Bulan Ini'!$DG:$DG,'CWO Bulan Ini'!$DH:$DH,Detail_2W!$B$2,'CWO Bulan Ini'!$DJ:$DJ,Detail_2W!$C46)*1000000</f>
        <v>0</v>
      </c>
      <c r="J46" s="315">
        <f t="shared" si="5"/>
        <v>0</v>
      </c>
      <c r="K46" s="320">
        <f t="shared" si="6"/>
        <v>1</v>
      </c>
    </row>
    <row r="47" spans="2:11" ht="15" customHeight="1" x14ac:dyDescent="0.3">
      <c r="B47" s="287" t="s">
        <v>454</v>
      </c>
      <c r="C47" s="310" t="s">
        <v>455</v>
      </c>
      <c r="D47" s="68">
        <f>SUMIFS('CWO Bulan Ini'!$DA:$DA,'CWO Bulan Ini'!$DH:$DH,Detail_2W!$B$2,'CWO Bulan Ini'!$DJ:$DJ,Detail_2W!$C47)*1000000</f>
        <v>0</v>
      </c>
      <c r="E47" s="68">
        <f>SUMIFS('CWO Bulan Ini'!$DD:$DD,'CWO Bulan Ini'!$DH:$DH,Detail_2W!$B$2,'CWO Bulan Ini'!$DJ:$DJ,Detail_2W!$C47)*1000000</f>
        <v>0</v>
      </c>
      <c r="F47" s="68">
        <f t="shared" si="4"/>
        <v>0</v>
      </c>
      <c r="G47" s="68">
        <f>SUMIFS('CWO Bulan Ini'!$DC:$DC,'CWO Bulan Ini'!$DH:$DH,Detail_2W!$B$2,'CWO Bulan Ini'!$DJ:$DJ,Detail_2W!$C47)*1000000</f>
        <v>0</v>
      </c>
      <c r="H47" s="68">
        <f>SUMIFS('CWO Bulan Ini'!$DD:$DD,'CWO Bulan Ini'!$DH:$DH,Detail_2W!$B$2,'CWO Bulan Ini'!$DJ:$DJ,Detail_2W!$C47)*1000000</f>
        <v>0</v>
      </c>
      <c r="I47" s="68">
        <f>SUMIFS('CWO Bulan Ini'!$DG:$DG,'CWO Bulan Ini'!$DH:$DH,Detail_2W!$B$2,'CWO Bulan Ini'!$DJ:$DJ,Detail_2W!$C47)*1000000</f>
        <v>0</v>
      </c>
      <c r="J47" s="315">
        <f t="shared" si="5"/>
        <v>0</v>
      </c>
      <c r="K47" s="320">
        <f t="shared" si="6"/>
        <v>1</v>
      </c>
    </row>
    <row r="48" spans="2:11" ht="15" customHeight="1" x14ac:dyDescent="0.3">
      <c r="B48" s="287" t="s">
        <v>454</v>
      </c>
      <c r="C48" s="310" t="s">
        <v>309</v>
      </c>
      <c r="D48" s="68">
        <f>SUMIFS('CWO Bulan Ini'!$DA:$DA,'CWO Bulan Ini'!$DH:$DH,Detail_2W!$B$2,'CWO Bulan Ini'!$DJ:$DJ,Detail_2W!$C48)*1000000</f>
        <v>0</v>
      </c>
      <c r="E48" s="68">
        <f>SUMIFS('CWO Bulan Ini'!$DD:$DD,'CWO Bulan Ini'!$DH:$DH,Detail_2W!$B$2,'CWO Bulan Ini'!$DJ:$DJ,Detail_2W!$C48)*1000000</f>
        <v>0</v>
      </c>
      <c r="F48" s="68">
        <f t="shared" si="4"/>
        <v>0</v>
      </c>
      <c r="G48" s="68">
        <f>SUMIFS('CWO Bulan Ini'!$DC:$DC,'CWO Bulan Ini'!$DH:$DH,Detail_2W!$B$2,'CWO Bulan Ini'!$DJ:$DJ,Detail_2W!$C48)*1000000</f>
        <v>0</v>
      </c>
      <c r="H48" s="68">
        <f>SUMIFS('CWO Bulan Ini'!$DD:$DD,'CWO Bulan Ini'!$DH:$DH,Detail_2W!$B$2,'CWO Bulan Ini'!$DJ:$DJ,Detail_2W!$C48)*1000000</f>
        <v>0</v>
      </c>
      <c r="I48" s="68">
        <f>SUMIFS('CWO Bulan Ini'!$DG:$DG,'CWO Bulan Ini'!$DH:$DH,Detail_2W!$B$2,'CWO Bulan Ini'!$DJ:$DJ,Detail_2W!$C48)*1000000</f>
        <v>0</v>
      </c>
      <c r="J48" s="315">
        <f t="shared" si="5"/>
        <v>0</v>
      </c>
      <c r="K48" s="320">
        <f t="shared" si="6"/>
        <v>1</v>
      </c>
    </row>
    <row r="49" spans="2:11" ht="15" customHeight="1" x14ac:dyDescent="0.3">
      <c r="B49" s="287" t="s">
        <v>454</v>
      </c>
      <c r="C49" s="310" t="s">
        <v>399</v>
      </c>
      <c r="D49" s="68">
        <f>SUMIFS('CWO Bulan Ini'!$DA:$DA,'CWO Bulan Ini'!$DH:$DH,Detail_2W!$B$2,'CWO Bulan Ini'!$DJ:$DJ,Detail_2W!$C49)*1000000</f>
        <v>0</v>
      </c>
      <c r="E49" s="68">
        <f>SUMIFS('CWO Bulan Ini'!$DD:$DD,'CWO Bulan Ini'!$DH:$DH,Detail_2W!$B$2,'CWO Bulan Ini'!$DJ:$DJ,Detail_2W!$C49)*1000000</f>
        <v>0</v>
      </c>
      <c r="F49" s="68">
        <f t="shared" si="4"/>
        <v>0</v>
      </c>
      <c r="G49" s="68">
        <f>SUMIFS('CWO Bulan Ini'!$DC:$DC,'CWO Bulan Ini'!$DH:$DH,Detail_2W!$B$2,'CWO Bulan Ini'!$DJ:$DJ,Detail_2W!$C49)*1000000</f>
        <v>0</v>
      </c>
      <c r="H49" s="68">
        <f>SUMIFS('CWO Bulan Ini'!$DD:$DD,'CWO Bulan Ini'!$DH:$DH,Detail_2W!$B$2,'CWO Bulan Ini'!$DJ:$DJ,Detail_2W!$C49)*1000000</f>
        <v>0</v>
      </c>
      <c r="I49" s="68">
        <f>SUMIFS('CWO Bulan Ini'!$DG:$DG,'CWO Bulan Ini'!$DH:$DH,Detail_2W!$B$2,'CWO Bulan Ini'!$DJ:$DJ,Detail_2W!$C49)*1000000</f>
        <v>0</v>
      </c>
      <c r="J49" s="315">
        <f t="shared" si="5"/>
        <v>0</v>
      </c>
      <c r="K49" s="320">
        <f t="shared" si="6"/>
        <v>1</v>
      </c>
    </row>
    <row r="50" spans="2:11" ht="15" customHeight="1" x14ac:dyDescent="0.3">
      <c r="B50" s="287" t="s">
        <v>454</v>
      </c>
      <c r="C50" s="310" t="s">
        <v>336</v>
      </c>
      <c r="D50" s="68">
        <f>SUMIFS('CWO Bulan Ini'!$DA:$DA,'CWO Bulan Ini'!$DH:$DH,Detail_2W!$B$2,'CWO Bulan Ini'!$DJ:$DJ,Detail_2W!$C50)*1000000</f>
        <v>0</v>
      </c>
      <c r="E50" s="68">
        <f>SUMIFS('CWO Bulan Ini'!$DD:$DD,'CWO Bulan Ini'!$DH:$DH,Detail_2W!$B$2,'CWO Bulan Ini'!$DJ:$DJ,Detail_2W!$C50)*1000000</f>
        <v>0</v>
      </c>
      <c r="F50" s="68">
        <f t="shared" si="4"/>
        <v>0</v>
      </c>
      <c r="G50" s="68">
        <f>SUMIFS('CWO Bulan Ini'!$DC:$DC,'CWO Bulan Ini'!$DH:$DH,Detail_2W!$B$2,'CWO Bulan Ini'!$DJ:$DJ,Detail_2W!$C50)*1000000</f>
        <v>0</v>
      </c>
      <c r="H50" s="68">
        <f>SUMIFS('CWO Bulan Ini'!$DD:$DD,'CWO Bulan Ini'!$DH:$DH,Detail_2W!$B$2,'CWO Bulan Ini'!$DJ:$DJ,Detail_2W!$C50)*1000000</f>
        <v>0</v>
      </c>
      <c r="I50" s="68">
        <f>SUMIFS('CWO Bulan Ini'!$DG:$DG,'CWO Bulan Ini'!$DH:$DH,Detail_2W!$B$2,'CWO Bulan Ini'!$DJ:$DJ,Detail_2W!$C50)*1000000</f>
        <v>0</v>
      </c>
      <c r="J50" s="315">
        <f t="shared" si="5"/>
        <v>0</v>
      </c>
      <c r="K50" s="320">
        <f t="shared" si="6"/>
        <v>1</v>
      </c>
    </row>
    <row r="51" spans="2:11" ht="15" customHeight="1" x14ac:dyDescent="0.3">
      <c r="B51" s="287" t="s">
        <v>500</v>
      </c>
      <c r="C51" s="310" t="s">
        <v>390</v>
      </c>
      <c r="D51" s="68">
        <f>SUMIFS('CWO Bulan Ini'!$DA:$DA,'CWO Bulan Ini'!$DH:$DH,Detail_2W!$B$2,'CWO Bulan Ini'!$DJ:$DJ,Detail_2W!$C51)*1000000</f>
        <v>0</v>
      </c>
      <c r="E51" s="68">
        <f>SUMIFS('CWO Bulan Ini'!$DD:$DD,'CWO Bulan Ini'!$DH:$DH,Detail_2W!$B$2,'CWO Bulan Ini'!$DJ:$DJ,Detail_2W!$C51)*1000000</f>
        <v>0</v>
      </c>
      <c r="F51" s="68">
        <f t="shared" si="4"/>
        <v>0</v>
      </c>
      <c r="G51" s="68">
        <f>SUMIFS('CWO Bulan Ini'!$DC:$DC,'CWO Bulan Ini'!$DH:$DH,Detail_2W!$B$2,'CWO Bulan Ini'!$DJ:$DJ,Detail_2W!$C51)*1000000</f>
        <v>0</v>
      </c>
      <c r="H51" s="68">
        <f>SUMIFS('CWO Bulan Ini'!$DD:$DD,'CWO Bulan Ini'!$DH:$DH,Detail_2W!$B$2,'CWO Bulan Ini'!$DJ:$DJ,Detail_2W!$C51)*1000000</f>
        <v>0</v>
      </c>
      <c r="I51" s="68">
        <f>SUMIFS('CWO Bulan Ini'!$DG:$DG,'CWO Bulan Ini'!$DH:$DH,Detail_2W!$B$2,'CWO Bulan Ini'!$DJ:$DJ,Detail_2W!$C51)*1000000</f>
        <v>0</v>
      </c>
      <c r="J51" s="315">
        <f t="shared" si="5"/>
        <v>0</v>
      </c>
      <c r="K51" s="320">
        <f t="shared" si="6"/>
        <v>1</v>
      </c>
    </row>
    <row r="52" spans="2:11" ht="15" customHeight="1" x14ac:dyDescent="0.3">
      <c r="B52" s="287" t="s">
        <v>500</v>
      </c>
      <c r="C52" s="310" t="s">
        <v>556</v>
      </c>
      <c r="D52" s="68">
        <f>SUMIFS('CWO Bulan Ini'!$DA:$DA,'CWO Bulan Ini'!$DH:$DH,Detail_2W!$B$2,'CWO Bulan Ini'!$DJ:$DJ,Detail_2W!$C52)*1000000</f>
        <v>0</v>
      </c>
      <c r="E52" s="68">
        <f>SUMIFS('CWO Bulan Ini'!$DD:$DD,'CWO Bulan Ini'!$DH:$DH,Detail_2W!$B$2,'CWO Bulan Ini'!$DJ:$DJ,Detail_2W!$C52)*1000000</f>
        <v>0</v>
      </c>
      <c r="F52" s="68">
        <f t="shared" si="4"/>
        <v>0</v>
      </c>
      <c r="G52" s="68">
        <f>SUMIFS('CWO Bulan Ini'!$DC:$DC,'CWO Bulan Ini'!$DH:$DH,Detail_2W!$B$2,'CWO Bulan Ini'!$DJ:$DJ,Detail_2W!$C52)*1000000</f>
        <v>0</v>
      </c>
      <c r="H52" s="68">
        <f>SUMIFS('CWO Bulan Ini'!$DD:$DD,'CWO Bulan Ini'!$DH:$DH,Detail_2W!$B$2,'CWO Bulan Ini'!$DJ:$DJ,Detail_2W!$C52)*1000000</f>
        <v>0</v>
      </c>
      <c r="I52" s="68">
        <f>SUMIFS('CWO Bulan Ini'!$DG:$DG,'CWO Bulan Ini'!$DH:$DH,Detail_2W!$B$2,'CWO Bulan Ini'!$DJ:$DJ,Detail_2W!$C52)*1000000</f>
        <v>0</v>
      </c>
      <c r="J52" s="315">
        <f t="shared" si="5"/>
        <v>0</v>
      </c>
      <c r="K52" s="320">
        <f t="shared" si="6"/>
        <v>1</v>
      </c>
    </row>
    <row r="53" spans="2:11" ht="15" customHeight="1" x14ac:dyDescent="0.3">
      <c r="B53" s="287" t="s">
        <v>500</v>
      </c>
      <c r="C53" s="310" t="s">
        <v>302</v>
      </c>
      <c r="D53" s="68">
        <f>SUMIFS('CWO Bulan Ini'!$DA:$DA,'CWO Bulan Ini'!$DH:$DH,Detail_2W!$B$2,'CWO Bulan Ini'!$DJ:$DJ,Detail_2W!$C53)*1000000</f>
        <v>0</v>
      </c>
      <c r="E53" s="68">
        <f>SUMIFS('CWO Bulan Ini'!$DD:$DD,'CWO Bulan Ini'!$DH:$DH,Detail_2W!$B$2,'CWO Bulan Ini'!$DJ:$DJ,Detail_2W!$C53)*1000000</f>
        <v>0</v>
      </c>
      <c r="F53" s="68">
        <f t="shared" si="4"/>
        <v>0</v>
      </c>
      <c r="G53" s="68">
        <f>SUMIFS('CWO Bulan Ini'!$DC:$DC,'CWO Bulan Ini'!$DH:$DH,Detail_2W!$B$2,'CWO Bulan Ini'!$DJ:$DJ,Detail_2W!$C53)*1000000</f>
        <v>0</v>
      </c>
      <c r="H53" s="68">
        <f>SUMIFS('CWO Bulan Ini'!$DD:$DD,'CWO Bulan Ini'!$DH:$DH,Detail_2W!$B$2,'CWO Bulan Ini'!$DJ:$DJ,Detail_2W!$C53)*1000000</f>
        <v>0</v>
      </c>
      <c r="I53" s="68">
        <f>SUMIFS('CWO Bulan Ini'!$DG:$DG,'CWO Bulan Ini'!$DH:$DH,Detail_2W!$B$2,'CWO Bulan Ini'!$DJ:$DJ,Detail_2W!$C53)*1000000</f>
        <v>0</v>
      </c>
      <c r="J53" s="315">
        <f t="shared" si="5"/>
        <v>0</v>
      </c>
      <c r="K53" s="320">
        <f t="shared" si="6"/>
        <v>1</v>
      </c>
    </row>
    <row r="54" spans="2:11" ht="15" customHeight="1" x14ac:dyDescent="0.3">
      <c r="B54" s="287" t="s">
        <v>500</v>
      </c>
      <c r="C54" s="310" t="s">
        <v>396</v>
      </c>
      <c r="D54" s="68">
        <f>SUMIFS('CWO Bulan Ini'!$DA:$DA,'CWO Bulan Ini'!$DH:$DH,Detail_2W!$B$2,'CWO Bulan Ini'!$DJ:$DJ,Detail_2W!$C54)*1000000</f>
        <v>0</v>
      </c>
      <c r="E54" s="68">
        <f>SUMIFS('CWO Bulan Ini'!$DD:$DD,'CWO Bulan Ini'!$DH:$DH,Detail_2W!$B$2,'CWO Bulan Ini'!$DJ:$DJ,Detail_2W!$C54)*1000000</f>
        <v>0</v>
      </c>
      <c r="F54" s="68">
        <f t="shared" si="4"/>
        <v>0</v>
      </c>
      <c r="G54" s="68">
        <f>SUMIFS('CWO Bulan Ini'!$DC:$DC,'CWO Bulan Ini'!$DH:$DH,Detail_2W!$B$2,'CWO Bulan Ini'!$DJ:$DJ,Detail_2W!$C54)*1000000</f>
        <v>0</v>
      </c>
      <c r="H54" s="68">
        <f>SUMIFS('CWO Bulan Ini'!$DD:$DD,'CWO Bulan Ini'!$DH:$DH,Detail_2W!$B$2,'CWO Bulan Ini'!$DJ:$DJ,Detail_2W!$C54)*1000000</f>
        <v>0</v>
      </c>
      <c r="I54" s="68">
        <f>SUMIFS('CWO Bulan Ini'!$DG:$DG,'CWO Bulan Ini'!$DH:$DH,Detail_2W!$B$2,'CWO Bulan Ini'!$DJ:$DJ,Detail_2W!$C54)*1000000</f>
        <v>0</v>
      </c>
      <c r="J54" s="315">
        <f t="shared" si="5"/>
        <v>0</v>
      </c>
      <c r="K54" s="320">
        <f t="shared" si="6"/>
        <v>1</v>
      </c>
    </row>
    <row r="55" spans="2:11" ht="15" customHeight="1" x14ac:dyDescent="0.3">
      <c r="B55" s="287" t="s">
        <v>480</v>
      </c>
      <c r="C55" s="310" t="s">
        <v>411</v>
      </c>
      <c r="D55" s="68">
        <f>SUMIFS('CWO Bulan Ini'!$DA:$DA,'CWO Bulan Ini'!$DH:$DH,Detail_2W!$B$2,'CWO Bulan Ini'!$DJ:$DJ,Detail_2W!$C55)*1000000</f>
        <v>0</v>
      </c>
      <c r="E55" s="68">
        <f>SUMIFS('CWO Bulan Ini'!$DD:$DD,'CWO Bulan Ini'!$DH:$DH,Detail_2W!$B$2,'CWO Bulan Ini'!$DJ:$DJ,Detail_2W!$C55)*1000000</f>
        <v>0</v>
      </c>
      <c r="F55" s="68">
        <f t="shared" si="4"/>
        <v>0</v>
      </c>
      <c r="G55" s="68">
        <f>SUMIFS('CWO Bulan Ini'!$DC:$DC,'CWO Bulan Ini'!$DH:$DH,Detail_2W!$B$2,'CWO Bulan Ini'!$DJ:$DJ,Detail_2W!$C55)*1000000</f>
        <v>0</v>
      </c>
      <c r="H55" s="68">
        <f>SUMIFS('CWO Bulan Ini'!$DD:$DD,'CWO Bulan Ini'!$DH:$DH,Detail_2W!$B$2,'CWO Bulan Ini'!$DJ:$DJ,Detail_2W!$C55)*1000000</f>
        <v>0</v>
      </c>
      <c r="I55" s="68">
        <f>SUMIFS('CWO Bulan Ini'!$DG:$DG,'CWO Bulan Ini'!$DH:$DH,Detail_2W!$B$2,'CWO Bulan Ini'!$DJ:$DJ,Detail_2W!$C55)*1000000</f>
        <v>0</v>
      </c>
      <c r="J55" s="315">
        <f t="shared" si="5"/>
        <v>0</v>
      </c>
      <c r="K55" s="320">
        <f t="shared" si="6"/>
        <v>1</v>
      </c>
    </row>
    <row r="56" spans="2:11" ht="15" customHeight="1" x14ac:dyDescent="0.3">
      <c r="B56" s="287" t="s">
        <v>480</v>
      </c>
      <c r="C56" s="310" t="s">
        <v>242</v>
      </c>
      <c r="D56" s="68">
        <f>SUMIFS('CWO Bulan Ini'!$DA:$DA,'CWO Bulan Ini'!$DH:$DH,Detail_2W!$B$2,'CWO Bulan Ini'!$DJ:$DJ,Detail_2W!$C56)*1000000</f>
        <v>0</v>
      </c>
      <c r="E56" s="68">
        <f>SUMIFS('CWO Bulan Ini'!$DD:$DD,'CWO Bulan Ini'!$DH:$DH,Detail_2W!$B$2,'CWO Bulan Ini'!$DJ:$DJ,Detail_2W!$C56)*1000000</f>
        <v>0</v>
      </c>
      <c r="F56" s="68">
        <f t="shared" si="4"/>
        <v>0</v>
      </c>
      <c r="G56" s="68">
        <f>SUMIFS('CWO Bulan Ini'!$DC:$DC,'CWO Bulan Ini'!$DH:$DH,Detail_2W!$B$2,'CWO Bulan Ini'!$DJ:$DJ,Detail_2W!$C56)*1000000</f>
        <v>0</v>
      </c>
      <c r="H56" s="68">
        <f>SUMIFS('CWO Bulan Ini'!$DD:$DD,'CWO Bulan Ini'!$DH:$DH,Detail_2W!$B$2,'CWO Bulan Ini'!$DJ:$DJ,Detail_2W!$C56)*1000000</f>
        <v>0</v>
      </c>
      <c r="I56" s="68">
        <f>SUMIFS('CWO Bulan Ini'!$DG:$DG,'CWO Bulan Ini'!$DH:$DH,Detail_2W!$B$2,'CWO Bulan Ini'!$DJ:$DJ,Detail_2W!$C56)*1000000</f>
        <v>0</v>
      </c>
      <c r="J56" s="315">
        <f t="shared" si="5"/>
        <v>0</v>
      </c>
      <c r="K56" s="320">
        <f t="shared" si="6"/>
        <v>1</v>
      </c>
    </row>
    <row r="57" spans="2:11" ht="15" customHeight="1" x14ac:dyDescent="0.3">
      <c r="B57" s="287" t="s">
        <v>480</v>
      </c>
      <c r="C57" s="310" t="s">
        <v>237</v>
      </c>
      <c r="D57" s="68">
        <f>SUMIFS('CWO Bulan Ini'!$DA:$DA,'CWO Bulan Ini'!$DH:$DH,Detail_2W!$B$2,'CWO Bulan Ini'!$DJ:$DJ,Detail_2W!$C57)*1000000</f>
        <v>0</v>
      </c>
      <c r="E57" s="68">
        <f>SUMIFS('CWO Bulan Ini'!$DD:$DD,'CWO Bulan Ini'!$DH:$DH,Detail_2W!$B$2,'CWO Bulan Ini'!$DJ:$DJ,Detail_2W!$C57)*1000000</f>
        <v>0</v>
      </c>
      <c r="F57" s="68">
        <f t="shared" si="4"/>
        <v>0</v>
      </c>
      <c r="G57" s="68">
        <f>SUMIFS('CWO Bulan Ini'!$DC:$DC,'CWO Bulan Ini'!$DH:$DH,Detail_2W!$B$2,'CWO Bulan Ini'!$DJ:$DJ,Detail_2W!$C57)*1000000</f>
        <v>0</v>
      </c>
      <c r="H57" s="68">
        <f>SUMIFS('CWO Bulan Ini'!$DD:$DD,'CWO Bulan Ini'!$DH:$DH,Detail_2W!$B$2,'CWO Bulan Ini'!$DJ:$DJ,Detail_2W!$C57)*1000000</f>
        <v>0</v>
      </c>
      <c r="I57" s="68">
        <f>SUMIFS('CWO Bulan Ini'!$DG:$DG,'CWO Bulan Ini'!$DH:$DH,Detail_2W!$B$2,'CWO Bulan Ini'!$DJ:$DJ,Detail_2W!$C57)*1000000</f>
        <v>0</v>
      </c>
      <c r="J57" s="315">
        <f t="shared" si="5"/>
        <v>0</v>
      </c>
      <c r="K57" s="320">
        <f t="shared" si="6"/>
        <v>1</v>
      </c>
    </row>
    <row r="58" spans="2:11" ht="15" customHeight="1" x14ac:dyDescent="0.3">
      <c r="B58" s="287" t="s">
        <v>576</v>
      </c>
      <c r="C58" s="310" t="s">
        <v>118</v>
      </c>
      <c r="D58" s="68">
        <f>SUMIFS('CWO Bulan Ini'!$DA:$DA,'CWO Bulan Ini'!$DH:$DH,Detail_2W!$B$2,'CWO Bulan Ini'!$DJ:$DJ,Detail_2W!$C58)*1000000</f>
        <v>0</v>
      </c>
      <c r="E58" s="68">
        <f>SUMIFS('CWO Bulan Ini'!$DD:$DD,'CWO Bulan Ini'!$DH:$DH,Detail_2W!$B$2,'CWO Bulan Ini'!$DJ:$DJ,Detail_2W!$C58)*1000000</f>
        <v>0</v>
      </c>
      <c r="F58" s="68">
        <f t="shared" si="4"/>
        <v>0</v>
      </c>
      <c r="G58" s="68">
        <f>SUMIFS('CWO Bulan Ini'!$DC:$DC,'CWO Bulan Ini'!$DH:$DH,Detail_2W!$B$2,'CWO Bulan Ini'!$DJ:$DJ,Detail_2W!$C58)*1000000</f>
        <v>0</v>
      </c>
      <c r="H58" s="68">
        <f>SUMIFS('CWO Bulan Ini'!$DD:$DD,'CWO Bulan Ini'!$DH:$DH,Detail_2W!$B$2,'CWO Bulan Ini'!$DJ:$DJ,Detail_2W!$C58)*1000000</f>
        <v>0</v>
      </c>
      <c r="I58" s="68">
        <f>SUMIFS('CWO Bulan Ini'!$DG:$DG,'CWO Bulan Ini'!$DH:$DH,Detail_2W!$B$2,'CWO Bulan Ini'!$DJ:$DJ,Detail_2W!$C58)*1000000</f>
        <v>0</v>
      </c>
      <c r="J58" s="315">
        <f t="shared" si="5"/>
        <v>0</v>
      </c>
      <c r="K58" s="320">
        <f t="shared" si="6"/>
        <v>1</v>
      </c>
    </row>
    <row r="59" spans="2:11" ht="15" customHeight="1" x14ac:dyDescent="0.3">
      <c r="B59" s="287" t="s">
        <v>576</v>
      </c>
      <c r="C59" s="310" t="s">
        <v>269</v>
      </c>
      <c r="D59" s="68">
        <f>SUMIFS('CWO Bulan Ini'!$DA:$DA,'CWO Bulan Ini'!$DH:$DH,Detail_2W!$B$2,'CWO Bulan Ini'!$DJ:$DJ,Detail_2W!$C59)*1000000</f>
        <v>0</v>
      </c>
      <c r="E59" s="68">
        <f>SUMIFS('CWO Bulan Ini'!$DD:$DD,'CWO Bulan Ini'!$DH:$DH,Detail_2W!$B$2,'CWO Bulan Ini'!$DJ:$DJ,Detail_2W!$C59)*1000000</f>
        <v>0</v>
      </c>
      <c r="F59" s="68">
        <f t="shared" si="4"/>
        <v>0</v>
      </c>
      <c r="G59" s="68">
        <f>SUMIFS('CWO Bulan Ini'!$DC:$DC,'CWO Bulan Ini'!$DH:$DH,Detail_2W!$B$2,'CWO Bulan Ini'!$DJ:$DJ,Detail_2W!$C59)*1000000</f>
        <v>0</v>
      </c>
      <c r="H59" s="68">
        <f>SUMIFS('CWO Bulan Ini'!$DD:$DD,'CWO Bulan Ini'!$DH:$DH,Detail_2W!$B$2,'CWO Bulan Ini'!$DJ:$DJ,Detail_2W!$C59)*1000000</f>
        <v>0</v>
      </c>
      <c r="I59" s="68">
        <f>SUMIFS('CWO Bulan Ini'!$DG:$DG,'CWO Bulan Ini'!$DH:$DH,Detail_2W!$B$2,'CWO Bulan Ini'!$DJ:$DJ,Detail_2W!$C59)*1000000</f>
        <v>0</v>
      </c>
      <c r="J59" s="315">
        <f t="shared" si="5"/>
        <v>0</v>
      </c>
      <c r="K59" s="320">
        <f t="shared" si="6"/>
        <v>1</v>
      </c>
    </row>
    <row r="60" spans="2:11" ht="15" customHeight="1" thickBot="1" x14ac:dyDescent="0.35">
      <c r="B60" s="288" t="s">
        <v>576</v>
      </c>
      <c r="C60" s="311" t="s">
        <v>250</v>
      </c>
      <c r="D60" s="89">
        <f>SUMIFS('CWO Bulan Ini'!$DA:$DA,'CWO Bulan Ini'!$DH:$DH,Detail_2W!$B$2,'CWO Bulan Ini'!$DJ:$DJ,Detail_2W!$C60)*1000000</f>
        <v>0</v>
      </c>
      <c r="E60" s="89">
        <f>SUMIFS('CWO Bulan Ini'!$DD:$DD,'CWO Bulan Ini'!$DH:$DH,Detail_2W!$B$2,'CWO Bulan Ini'!$DJ:$DJ,Detail_2W!$C60)*1000000</f>
        <v>0</v>
      </c>
      <c r="F60" s="89">
        <f t="shared" si="4"/>
        <v>0</v>
      </c>
      <c r="G60" s="89">
        <f>SUMIFS('CWO Bulan Ini'!$DC:$DC,'CWO Bulan Ini'!$DH:$DH,Detail_2W!$B$2,'CWO Bulan Ini'!$DJ:$DJ,Detail_2W!$C60)*1000000</f>
        <v>0</v>
      </c>
      <c r="H60" s="89">
        <f>SUMIFS('CWO Bulan Ini'!$DD:$DD,'CWO Bulan Ini'!$DH:$DH,Detail_2W!$B$2,'CWO Bulan Ini'!$DJ:$DJ,Detail_2W!$C60)*1000000</f>
        <v>0</v>
      </c>
      <c r="I60" s="89">
        <f>SUMIFS('CWO Bulan Ini'!$DG:$DG,'CWO Bulan Ini'!$DH:$DH,Detail_2W!$B$2,'CWO Bulan Ini'!$DJ:$DJ,Detail_2W!$C60)*1000000</f>
        <v>0</v>
      </c>
      <c r="J60" s="316">
        <f t="shared" si="5"/>
        <v>0</v>
      </c>
      <c r="K60" s="321">
        <f t="shared" si="6"/>
        <v>1</v>
      </c>
    </row>
    <row r="61" spans="2:11" ht="17.55" customHeight="1" thickTop="1" thickBot="1" x14ac:dyDescent="0.35">
      <c r="B61" s="298" t="s">
        <v>794</v>
      </c>
      <c r="C61" s="299"/>
      <c r="D61" s="300">
        <f>SUM(D18:D60)</f>
        <v>53616214.039999999</v>
      </c>
      <c r="E61" s="300">
        <f t="shared" ref="E61:I61" si="7">SUM(E18:E60)</f>
        <v>36935740.74000001</v>
      </c>
      <c r="F61" s="300">
        <f t="shared" si="7"/>
        <v>51575824.18</v>
      </c>
      <c r="G61" s="300">
        <f t="shared" si="7"/>
        <v>2040389.8599999999</v>
      </c>
      <c r="H61" s="300">
        <f t="shared" si="7"/>
        <v>36935740.74000001</v>
      </c>
      <c r="I61" s="300">
        <f t="shared" si="7"/>
        <v>14640083.440000001</v>
      </c>
      <c r="J61" s="324">
        <f t="shared" si="5"/>
        <v>0.68889125055425138</v>
      </c>
      <c r="K61" s="326">
        <f t="shared" si="6"/>
        <v>0.31110874944574862</v>
      </c>
    </row>
    <row r="62" spans="2:11" ht="15" customHeight="1" x14ac:dyDescent="0.3">
      <c r="F62" s="63"/>
    </row>
  </sheetData>
  <mergeCells count="1">
    <mergeCell ref="B3:C3"/>
  </mergeCells>
  <conditionalFormatting sqref="J6:K16">
    <cfRule type="cellIs" dxfId="2" priority="1" operator="greaterThan">
      <formula>0</formula>
    </cfRule>
  </conditionalFormatting>
  <conditionalFormatting sqref="J18:K61">
    <cfRule type="cellIs" dxfId="1" priority="2" operator="greaterThan">
      <formula>0</formula>
    </cfRule>
  </conditionalFormatting>
  <conditionalFormatting sqref="K18:K61">
    <cfRule type="cellIs" dxfId="0" priority="3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2"/>
  <sheetViews>
    <sheetView showGridLines="0" workbookViewId="0">
      <pane xSplit="1" ySplit="8" topLeftCell="B75" activePane="bottomRight" state="frozen"/>
      <selection pane="topRight" activeCell="B1" sqref="B1"/>
      <selection pane="bottomLeft" activeCell="A9" sqref="A9"/>
      <selection pane="bottomRight"/>
    </sheetView>
  </sheetViews>
  <sheetFormatPr defaultRowHeight="14.4" x14ac:dyDescent="0.3"/>
  <cols>
    <col min="1" max="1" width="14.109375" bestFit="1" customWidth="1"/>
    <col min="2" max="2" width="20.44140625" style="3" bestFit="1" customWidth="1"/>
    <col min="3" max="3" width="23.6640625" style="3" bestFit="1" customWidth="1"/>
    <col min="4" max="4" width="23.6640625" style="3" customWidth="1"/>
  </cols>
  <sheetData>
    <row r="1" spans="1:6" x14ac:dyDescent="0.3">
      <c r="A1" s="5" t="s">
        <v>23</v>
      </c>
      <c r="B1" s="3" t="s">
        <v>112</v>
      </c>
      <c r="C1" s="3" t="s">
        <v>113</v>
      </c>
      <c r="D1" s="3" t="s">
        <v>869</v>
      </c>
      <c r="E1" t="s">
        <v>868</v>
      </c>
    </row>
    <row r="2" spans="1:6" x14ac:dyDescent="0.3">
      <c r="A2" s="111" t="s">
        <v>1648</v>
      </c>
      <c r="B2" s="4">
        <f>VLOOKUP($A2,'CWO Bulan Lalu'!$G:$CS,90,0)</f>
        <v>0</v>
      </c>
      <c r="C2" s="4">
        <f>VLOOKUP($A2,'CWO Bulan Lalu'!$G:$CS,91,0)</f>
        <v>0</v>
      </c>
      <c r="D2" s="4">
        <f>VLOOKUP($A2,'CWO Bulan Lalu'!$G:$DL,60,0)</f>
        <v>46173</v>
      </c>
    </row>
    <row r="3" spans="1:6" x14ac:dyDescent="0.3">
      <c r="A3" s="110" t="s">
        <v>1658</v>
      </c>
      <c r="B3" s="4">
        <f>VLOOKUP($A3,'CWO Bulan Lalu'!$G:$CS,90,0)</f>
        <v>0</v>
      </c>
      <c r="C3" s="4">
        <f>VLOOKUP($A3,'CWO Bulan Lalu'!$G:$CS,91,0)</f>
        <v>0</v>
      </c>
      <c r="D3" s="4">
        <f>VLOOKUP($A3,'CWO Bulan Lalu'!$G:$DL,60,0)</f>
        <v>46173</v>
      </c>
    </row>
    <row r="4" spans="1:6" x14ac:dyDescent="0.3">
      <c r="A4" s="111" t="s">
        <v>1668</v>
      </c>
      <c r="B4" s="4">
        <f>VLOOKUP($A4,'CWO Bulan Lalu'!$G:$CS,90,0)</f>
        <v>0</v>
      </c>
      <c r="C4" s="4">
        <f>VLOOKUP($A4,'CWO Bulan Lalu'!$G:$CS,91,0)</f>
        <v>0</v>
      </c>
      <c r="D4" s="4">
        <f>VLOOKUP($A4,'CWO Bulan Lalu'!$G:$DL,60,0)</f>
        <v>46173</v>
      </c>
    </row>
    <row r="5" spans="1:6" x14ac:dyDescent="0.3">
      <c r="A5" s="110" t="s">
        <v>1679</v>
      </c>
      <c r="B5" s="4">
        <f>VLOOKUP($A5,'CWO Bulan Lalu'!$G:$CS,90,0)</f>
        <v>0</v>
      </c>
      <c r="C5" s="4">
        <f>VLOOKUP($A5,'CWO Bulan Lalu'!$G:$CS,91,0)</f>
        <v>0</v>
      </c>
      <c r="D5" s="4">
        <f>VLOOKUP($A5,'CWO Bulan Lalu'!$G:$DL,60,0)</f>
        <v>46173</v>
      </c>
    </row>
    <row r="6" spans="1:6" x14ac:dyDescent="0.3">
      <c r="A6" s="111" t="s">
        <v>1689</v>
      </c>
      <c r="B6" s="4">
        <f>VLOOKUP($A6,'CWO Bulan Lalu'!$G:$CS,90,0)</f>
        <v>0</v>
      </c>
      <c r="C6" s="4">
        <f>VLOOKUP($A6,'CWO Bulan Lalu'!$G:$CS,91,0)</f>
        <v>0</v>
      </c>
      <c r="D6" s="4">
        <f>VLOOKUP($A6,'CWO Bulan Lalu'!$G:$DL,60,0)</f>
        <v>46173</v>
      </c>
    </row>
    <row r="7" spans="1:6" x14ac:dyDescent="0.3">
      <c r="A7" s="110" t="s">
        <v>1699</v>
      </c>
      <c r="B7" s="4">
        <f>VLOOKUP($A7,'CWO Bulan Lalu'!$G:$CS,90,0)</f>
        <v>46148</v>
      </c>
      <c r="C7" s="4" t="str">
        <f>VLOOKUP($A7,'CWO Bulan Lalu'!$G:$CS,91,0)</f>
        <v>RB</v>
      </c>
      <c r="D7" s="4">
        <f>VLOOKUP($A7,'CWO Bulan Lalu'!$G:$DL,60,0)</f>
        <v>46173</v>
      </c>
    </row>
    <row r="8" spans="1:6" x14ac:dyDescent="0.3">
      <c r="A8" s="111" t="s">
        <v>1711</v>
      </c>
      <c r="B8" s="4">
        <f>VLOOKUP($A8,'CWO Bulan Lalu'!$G:$CS,90,0)</f>
        <v>0</v>
      </c>
      <c r="C8" s="4">
        <f>VLOOKUP($A8,'CWO Bulan Lalu'!$G:$CS,91,0)</f>
        <v>0</v>
      </c>
      <c r="D8" s="4">
        <f>VLOOKUP($A8,'CWO Bulan Lalu'!$G:$DL,60,0)</f>
        <v>46173</v>
      </c>
    </row>
    <row r="9" spans="1:6" x14ac:dyDescent="0.3">
      <c r="A9" s="110" t="s">
        <v>1055</v>
      </c>
      <c r="B9" s="4">
        <f>VLOOKUP($A9,'CWO Bulan Lalu'!$G:$CS,90,0)</f>
        <v>0</v>
      </c>
      <c r="C9" s="4">
        <f>VLOOKUP($A9,'CWO Bulan Lalu'!$G:$CS,91,0)</f>
        <v>0</v>
      </c>
      <c r="D9" s="4">
        <f>VLOOKUP($A9,'CWO Bulan Lalu'!$G:$DL,60,0)</f>
        <v>46173</v>
      </c>
    </row>
    <row r="10" spans="1:6" x14ac:dyDescent="0.3">
      <c r="A10" s="111" t="s">
        <v>1724</v>
      </c>
      <c r="B10" s="4">
        <f>VLOOKUP($A10,'CWO Bulan Lalu'!$G:$CS,90,0)</f>
        <v>0</v>
      </c>
      <c r="C10" s="4">
        <f>VLOOKUP($A10,'CWO Bulan Lalu'!$G:$CS,91,0)</f>
        <v>0</v>
      </c>
      <c r="D10" s="4">
        <f>VLOOKUP($A10,'CWO Bulan Lalu'!$G:$DL,60,0)</f>
        <v>46173</v>
      </c>
    </row>
    <row r="11" spans="1:6" x14ac:dyDescent="0.3">
      <c r="A11" s="110" t="s">
        <v>1176</v>
      </c>
      <c r="B11" s="4">
        <f>VLOOKUP($A11,'CWO Bulan Lalu'!$G:$CS,90,0)</f>
        <v>0</v>
      </c>
      <c r="C11" s="4">
        <f>VLOOKUP($A11,'CWO Bulan Lalu'!$G:$CS,91,0)</f>
        <v>0</v>
      </c>
      <c r="D11" s="4">
        <f>VLOOKUP($A11,'CWO Bulan Lalu'!$G:$DL,60,0)</f>
        <v>46173</v>
      </c>
    </row>
    <row r="12" spans="1:6" x14ac:dyDescent="0.3">
      <c r="A12" s="111" t="s">
        <v>1164</v>
      </c>
      <c r="B12" s="4">
        <f>VLOOKUP($A12,'CWO Bulan Lalu'!$G:$CS,90,0)</f>
        <v>46134</v>
      </c>
      <c r="C12" s="4" t="str">
        <f>VLOOKUP($A12,'CWO Bulan Lalu'!$G:$CS,91,0)</f>
        <v>REPO SEBELUM WO</v>
      </c>
      <c r="D12" s="4">
        <f>VLOOKUP($A12,'CWO Bulan Lalu'!$G:$DL,60,0)</f>
        <v>46173</v>
      </c>
    </row>
    <row r="13" spans="1:6" x14ac:dyDescent="0.3">
      <c r="A13" s="110" t="s">
        <v>1150</v>
      </c>
      <c r="B13" s="4">
        <f>VLOOKUP($A13,'CWO Bulan Lalu'!$G:$CS,90,0)</f>
        <v>46139</v>
      </c>
      <c r="C13" s="4" t="str">
        <f>VLOOKUP($A13,'CWO Bulan Lalu'!$G:$CS,91,0)</f>
        <v>REPO SEBELUM WO</v>
      </c>
      <c r="D13" s="4">
        <f>VLOOKUP($A13,'CWO Bulan Lalu'!$G:$DL,60,0)</f>
        <v>46173</v>
      </c>
    </row>
    <row r="14" spans="1:6" x14ac:dyDescent="0.3">
      <c r="A14" s="111" t="s">
        <v>1189</v>
      </c>
      <c r="B14" s="4">
        <f>VLOOKUP($A14,'CWO Bulan Lalu'!$G:$CS,90,0)</f>
        <v>0</v>
      </c>
      <c r="C14" s="4">
        <f>VLOOKUP($A14,'CWO Bulan Lalu'!$G:$CS,91,0)</f>
        <v>0</v>
      </c>
      <c r="D14" s="4">
        <f>VLOOKUP($A14,'CWO Bulan Lalu'!$G:$DL,60,0)</f>
        <v>46173</v>
      </c>
      <c r="E14" s="4"/>
      <c r="F14" s="3"/>
    </row>
    <row r="15" spans="1:6" x14ac:dyDescent="0.3">
      <c r="A15" s="110" t="s">
        <v>1204</v>
      </c>
      <c r="B15" s="4">
        <f>VLOOKUP($A15,'CWO Bulan Lalu'!$G:$CS,90,0)</f>
        <v>0</v>
      </c>
      <c r="C15" s="4">
        <f>VLOOKUP($A15,'CWO Bulan Lalu'!$G:$CS,91,0)</f>
        <v>0</v>
      </c>
      <c r="D15" s="4">
        <f>VLOOKUP($A15,'CWO Bulan Lalu'!$G:$DL,60,0)</f>
        <v>46173</v>
      </c>
    </row>
    <row r="16" spans="1:6" x14ac:dyDescent="0.3">
      <c r="A16" s="111" t="s">
        <v>1215</v>
      </c>
      <c r="B16" s="4">
        <f>VLOOKUP($A16,'CWO Bulan Lalu'!$G:$CS,90,0)</f>
        <v>0</v>
      </c>
      <c r="C16" s="4">
        <f>VLOOKUP($A16,'CWO Bulan Lalu'!$G:$CS,91,0)</f>
        <v>0</v>
      </c>
      <c r="D16" s="4">
        <f>VLOOKUP($A16,'CWO Bulan Lalu'!$G:$DL,60,0)</f>
        <v>46173</v>
      </c>
    </row>
    <row r="17" spans="1:4" x14ac:dyDescent="0.3">
      <c r="A17" s="110" t="s">
        <v>1227</v>
      </c>
      <c r="B17" s="4">
        <f>VLOOKUP($A17,'CWO Bulan Lalu'!$G:$CS,90,0)</f>
        <v>46132</v>
      </c>
      <c r="C17" s="4" t="str">
        <f>VLOOKUP($A17,'CWO Bulan Lalu'!$G:$CS,91,0)</f>
        <v>REPO SEBELUM WO</v>
      </c>
      <c r="D17" s="4">
        <f>VLOOKUP($A17,'CWO Bulan Lalu'!$G:$DL,60,0)</f>
        <v>46173</v>
      </c>
    </row>
    <row r="18" spans="1:4" x14ac:dyDescent="0.3">
      <c r="A18" s="111" t="s">
        <v>1238</v>
      </c>
      <c r="B18" s="4">
        <f>VLOOKUP($A18,'CWO Bulan Lalu'!$G:$CS,90,0)</f>
        <v>0</v>
      </c>
      <c r="C18" s="4">
        <f>VLOOKUP($A18,'CWO Bulan Lalu'!$G:$CS,91,0)</f>
        <v>0</v>
      </c>
      <c r="D18" s="4">
        <f>VLOOKUP($A18,'CWO Bulan Lalu'!$G:$DL,60,0)</f>
        <v>46173</v>
      </c>
    </row>
    <row r="19" spans="1:4" x14ac:dyDescent="0.3">
      <c r="A19" s="110" t="s">
        <v>1249</v>
      </c>
      <c r="B19" s="4">
        <f>VLOOKUP($A19,'CWO Bulan Lalu'!$G:$CS,90,0)</f>
        <v>0</v>
      </c>
      <c r="C19" s="4">
        <f>VLOOKUP($A19,'CWO Bulan Lalu'!$G:$CS,91,0)</f>
        <v>0</v>
      </c>
      <c r="D19" s="4">
        <f>VLOOKUP($A19,'CWO Bulan Lalu'!$G:$DL,60,0)</f>
        <v>46173</v>
      </c>
    </row>
    <row r="20" spans="1:4" x14ac:dyDescent="0.3">
      <c r="A20" s="111" t="s">
        <v>1260</v>
      </c>
      <c r="B20" s="4">
        <f>VLOOKUP($A20,'CWO Bulan Lalu'!$G:$CS,90,0)</f>
        <v>0</v>
      </c>
      <c r="C20" s="4">
        <f>VLOOKUP($A20,'CWO Bulan Lalu'!$G:$CS,91,0)</f>
        <v>0</v>
      </c>
      <c r="D20" s="4">
        <f>VLOOKUP($A20,'CWO Bulan Lalu'!$G:$DL,60,0)</f>
        <v>46173</v>
      </c>
    </row>
    <row r="21" spans="1:4" x14ac:dyDescent="0.3">
      <c r="A21" s="110" t="s">
        <v>1270</v>
      </c>
      <c r="B21" s="4">
        <f>VLOOKUP($A21,'CWO Bulan Lalu'!$G:$CS,90,0)</f>
        <v>0</v>
      </c>
      <c r="C21" s="4">
        <f>VLOOKUP($A21,'CWO Bulan Lalu'!$G:$CS,91,0)</f>
        <v>0</v>
      </c>
      <c r="D21" s="4">
        <f>VLOOKUP($A21,'CWO Bulan Lalu'!$G:$DL,60,0)</f>
        <v>46173</v>
      </c>
    </row>
    <row r="22" spans="1:4" x14ac:dyDescent="0.3">
      <c r="A22" s="111" t="s">
        <v>1280</v>
      </c>
      <c r="B22" s="4">
        <f>VLOOKUP($A22,'CWO Bulan Lalu'!$G:$CS,90,0)</f>
        <v>0</v>
      </c>
      <c r="C22" s="4">
        <f>VLOOKUP($A22,'CWO Bulan Lalu'!$G:$CS,91,0)</f>
        <v>0</v>
      </c>
      <c r="D22" s="4">
        <f>VLOOKUP($A22,'CWO Bulan Lalu'!$G:$DL,60,0)</f>
        <v>46173</v>
      </c>
    </row>
    <row r="23" spans="1:4" x14ac:dyDescent="0.3">
      <c r="A23" s="110" t="s">
        <v>1294</v>
      </c>
      <c r="B23" s="4">
        <f>VLOOKUP($A23,'CWO Bulan Lalu'!$G:$CS,90,0)</f>
        <v>0</v>
      </c>
      <c r="C23" s="4">
        <f>VLOOKUP($A23,'CWO Bulan Lalu'!$G:$CS,91,0)</f>
        <v>0</v>
      </c>
      <c r="D23" s="4">
        <f>VLOOKUP($A23,'CWO Bulan Lalu'!$G:$DL,60,0)</f>
        <v>46173</v>
      </c>
    </row>
    <row r="24" spans="1:4" x14ac:dyDescent="0.3">
      <c r="A24" s="111" t="s">
        <v>1306</v>
      </c>
      <c r="B24" s="4">
        <f>VLOOKUP($A24,'CWO Bulan Lalu'!$G:$CS,90,0)</f>
        <v>0</v>
      </c>
      <c r="C24" s="4">
        <f>VLOOKUP($A24,'CWO Bulan Lalu'!$G:$CS,91,0)</f>
        <v>0</v>
      </c>
      <c r="D24" s="4">
        <f>VLOOKUP($A24,'CWO Bulan Lalu'!$G:$DL,60,0)</f>
        <v>46173</v>
      </c>
    </row>
    <row r="25" spans="1:4" x14ac:dyDescent="0.3">
      <c r="A25" s="110" t="s">
        <v>1320</v>
      </c>
      <c r="B25" s="4">
        <f>VLOOKUP($A25,'CWO Bulan Lalu'!$G:$CS,90,0)</f>
        <v>0</v>
      </c>
      <c r="C25" s="4">
        <f>VLOOKUP($A25,'CWO Bulan Lalu'!$G:$CS,91,0)</f>
        <v>0</v>
      </c>
      <c r="D25" s="4">
        <f>VLOOKUP($A25,'CWO Bulan Lalu'!$G:$DL,60,0)</f>
        <v>46173</v>
      </c>
    </row>
    <row r="26" spans="1:4" x14ac:dyDescent="0.3">
      <c r="A26" s="111" t="s">
        <v>1330</v>
      </c>
      <c r="B26" s="4">
        <f>VLOOKUP($A26,'CWO Bulan Lalu'!$G:$CS,90,0)</f>
        <v>0</v>
      </c>
      <c r="C26" s="4">
        <f>VLOOKUP($A26,'CWO Bulan Lalu'!$G:$CS,91,0)</f>
        <v>0</v>
      </c>
      <c r="D26" s="4">
        <f>VLOOKUP($A26,'CWO Bulan Lalu'!$G:$DL,60,0)</f>
        <v>46173</v>
      </c>
    </row>
    <row r="27" spans="1:4" x14ac:dyDescent="0.3">
      <c r="A27" s="110" t="s">
        <v>1342</v>
      </c>
      <c r="B27" s="4">
        <f>VLOOKUP($A27,'CWO Bulan Lalu'!$G:$CS,90,0)</f>
        <v>0</v>
      </c>
      <c r="C27" s="4">
        <f>VLOOKUP($A27,'CWO Bulan Lalu'!$G:$CS,91,0)</f>
        <v>0</v>
      </c>
      <c r="D27" s="4">
        <f>VLOOKUP($A27,'CWO Bulan Lalu'!$G:$DL,60,0)</f>
        <v>46173</v>
      </c>
    </row>
    <row r="28" spans="1:4" x14ac:dyDescent="0.3">
      <c r="A28" s="111" t="s">
        <v>1353</v>
      </c>
      <c r="B28" s="4">
        <f>VLOOKUP($A28,'CWO Bulan Lalu'!$G:$CS,90,0)</f>
        <v>0</v>
      </c>
      <c r="C28" s="4">
        <f>VLOOKUP($A28,'CWO Bulan Lalu'!$G:$CS,91,0)</f>
        <v>0</v>
      </c>
      <c r="D28" s="4">
        <f>VLOOKUP($A28,'CWO Bulan Lalu'!$G:$DL,60,0)</f>
        <v>46173</v>
      </c>
    </row>
    <row r="29" spans="1:4" x14ac:dyDescent="0.3">
      <c r="A29" s="110" t="s">
        <v>1365</v>
      </c>
      <c r="B29" s="4">
        <f>VLOOKUP($A29,'CWO Bulan Lalu'!$G:$CS,90,0)</f>
        <v>0</v>
      </c>
      <c r="C29" s="4">
        <f>VLOOKUP($A29,'CWO Bulan Lalu'!$G:$CS,91,0)</f>
        <v>0</v>
      </c>
      <c r="D29" s="4">
        <f>VLOOKUP($A29,'CWO Bulan Lalu'!$G:$DL,60,0)</f>
        <v>46173</v>
      </c>
    </row>
    <row r="30" spans="1:4" x14ac:dyDescent="0.3">
      <c r="A30" s="111" t="s">
        <v>1379</v>
      </c>
      <c r="B30" s="4">
        <f>VLOOKUP($A30,'CWO Bulan Lalu'!$G:$CS,90,0)</f>
        <v>0</v>
      </c>
      <c r="C30" s="4">
        <f>VLOOKUP($A30,'CWO Bulan Lalu'!$G:$CS,91,0)</f>
        <v>0</v>
      </c>
      <c r="D30" s="4">
        <f>VLOOKUP($A30,'CWO Bulan Lalu'!$G:$DL,60,0)</f>
        <v>46173</v>
      </c>
    </row>
    <row r="31" spans="1:4" x14ac:dyDescent="0.3">
      <c r="A31" s="110" t="s">
        <v>1390</v>
      </c>
      <c r="B31" s="4">
        <f>VLOOKUP($A31,'CWO Bulan Lalu'!$G:$CS,90,0)</f>
        <v>0</v>
      </c>
      <c r="C31" s="4">
        <f>VLOOKUP($A31,'CWO Bulan Lalu'!$G:$CS,91,0)</f>
        <v>0</v>
      </c>
      <c r="D31" s="4">
        <f>VLOOKUP($A31,'CWO Bulan Lalu'!$G:$DL,60,0)</f>
        <v>46173</v>
      </c>
    </row>
    <row r="32" spans="1:4" x14ac:dyDescent="0.3">
      <c r="A32" s="111" t="s">
        <v>1403</v>
      </c>
      <c r="B32" s="4">
        <f>VLOOKUP($A32,'CWO Bulan Lalu'!$G:$CS,90,0)</f>
        <v>0</v>
      </c>
      <c r="C32" s="4">
        <f>VLOOKUP($A32,'CWO Bulan Lalu'!$G:$CS,91,0)</f>
        <v>0</v>
      </c>
      <c r="D32" s="4">
        <f>VLOOKUP($A32,'CWO Bulan Lalu'!$G:$DL,60,0)</f>
        <v>46173</v>
      </c>
    </row>
    <row r="33" spans="1:4" x14ac:dyDescent="0.3">
      <c r="A33" s="110" t="s">
        <v>1414</v>
      </c>
      <c r="B33" s="4">
        <f>VLOOKUP($A33,'CWO Bulan Lalu'!$G:$CS,90,0)</f>
        <v>0</v>
      </c>
      <c r="C33" s="4">
        <f>VLOOKUP($A33,'CWO Bulan Lalu'!$G:$CS,91,0)</f>
        <v>0</v>
      </c>
      <c r="D33" s="4">
        <f>VLOOKUP($A33,'CWO Bulan Lalu'!$G:$DL,60,0)</f>
        <v>46173</v>
      </c>
    </row>
    <row r="34" spans="1:4" x14ac:dyDescent="0.3">
      <c r="A34" s="111" t="s">
        <v>1424</v>
      </c>
      <c r="B34" s="4">
        <f>VLOOKUP($A34,'CWO Bulan Lalu'!$G:$CS,90,0)</f>
        <v>0</v>
      </c>
      <c r="C34" s="4">
        <f>VLOOKUP($A34,'CWO Bulan Lalu'!$G:$CS,91,0)</f>
        <v>0</v>
      </c>
      <c r="D34" s="4">
        <f>VLOOKUP($A34,'CWO Bulan Lalu'!$G:$DL,60,0)</f>
        <v>46173</v>
      </c>
    </row>
    <row r="35" spans="1:4" x14ac:dyDescent="0.3">
      <c r="A35" s="110" t="s">
        <v>1435</v>
      </c>
      <c r="B35" s="4">
        <f>VLOOKUP($A35,'CWO Bulan Lalu'!$G:$CS,90,0)</f>
        <v>0</v>
      </c>
      <c r="C35" s="4">
        <f>VLOOKUP($A35,'CWO Bulan Lalu'!$G:$CS,91,0)</f>
        <v>0</v>
      </c>
      <c r="D35" s="4">
        <f>VLOOKUP($A35,'CWO Bulan Lalu'!$G:$DL,60,0)</f>
        <v>46173</v>
      </c>
    </row>
    <row r="36" spans="1:4" x14ac:dyDescent="0.3">
      <c r="A36" s="111" t="s">
        <v>1445</v>
      </c>
      <c r="B36" s="4">
        <f>VLOOKUP($A36,'CWO Bulan Lalu'!$G:$CS,90,0)</f>
        <v>46148</v>
      </c>
      <c r="C36" s="4" t="str">
        <f>VLOOKUP($A36,'CWO Bulan Lalu'!$G:$CS,91,0)</f>
        <v>LUNAS SEBELUM WO</v>
      </c>
      <c r="D36" s="4">
        <f>VLOOKUP($A36,'CWO Bulan Lalu'!$G:$DL,60,0)</f>
        <v>46173</v>
      </c>
    </row>
    <row r="37" spans="1:4" x14ac:dyDescent="0.3">
      <c r="A37" s="110" t="s">
        <v>1013</v>
      </c>
      <c r="B37" s="4">
        <f>VLOOKUP($A37,'CWO Bulan Lalu'!$G:$CS,90,0)</f>
        <v>0</v>
      </c>
      <c r="C37" s="4">
        <f>VLOOKUP($A37,'CWO Bulan Lalu'!$G:$CS,91,0)</f>
        <v>0</v>
      </c>
      <c r="D37" s="4">
        <f>VLOOKUP($A37,'CWO Bulan Lalu'!$G:$DL,60,0)</f>
        <v>46173</v>
      </c>
    </row>
    <row r="38" spans="1:4" x14ac:dyDescent="0.3">
      <c r="A38" s="111" t="s">
        <v>1456</v>
      </c>
      <c r="B38" s="4">
        <f>VLOOKUP($A38,'CWO Bulan Lalu'!$G:$CS,90,0)</f>
        <v>0</v>
      </c>
      <c r="C38" s="4">
        <f>VLOOKUP($A38,'CWO Bulan Lalu'!$G:$CS,91,0)</f>
        <v>0</v>
      </c>
      <c r="D38" s="4">
        <f>VLOOKUP($A38,'CWO Bulan Lalu'!$G:$DL,60,0)</f>
        <v>46173</v>
      </c>
    </row>
    <row r="39" spans="1:4" x14ac:dyDescent="0.3">
      <c r="A39" s="110" t="s">
        <v>1467</v>
      </c>
      <c r="B39" s="4">
        <f>VLOOKUP($A39,'CWO Bulan Lalu'!$G:$CS,90,0)</f>
        <v>0</v>
      </c>
      <c r="C39" s="4">
        <f>VLOOKUP($A39,'CWO Bulan Lalu'!$G:$CS,91,0)</f>
        <v>0</v>
      </c>
      <c r="D39" s="4">
        <f>VLOOKUP($A39,'CWO Bulan Lalu'!$G:$DL,60,0)</f>
        <v>46173</v>
      </c>
    </row>
    <row r="40" spans="1:4" x14ac:dyDescent="0.3">
      <c r="A40" s="111" t="s">
        <v>1024</v>
      </c>
      <c r="B40" s="4">
        <f>VLOOKUP($A40,'CWO Bulan Lalu'!$G:$CS,90,0)</f>
        <v>0</v>
      </c>
      <c r="C40" s="4">
        <f>VLOOKUP($A40,'CWO Bulan Lalu'!$G:$CS,91,0)</f>
        <v>0</v>
      </c>
      <c r="D40" s="4">
        <f>VLOOKUP($A40,'CWO Bulan Lalu'!$G:$DL,60,0)</f>
        <v>46173</v>
      </c>
    </row>
    <row r="41" spans="1:4" x14ac:dyDescent="0.3">
      <c r="A41" s="110" t="s">
        <v>1478</v>
      </c>
      <c r="B41" s="4">
        <f>VLOOKUP($A41,'CWO Bulan Lalu'!$G:$CS,90,0)</f>
        <v>46120</v>
      </c>
      <c r="C41" s="4" t="str">
        <f>VLOOKUP($A41,'CWO Bulan Lalu'!$G:$CS,91,0)</f>
        <v>REPO SEBELUM WO</v>
      </c>
      <c r="D41" s="4">
        <f>VLOOKUP($A41,'CWO Bulan Lalu'!$G:$DL,60,0)</f>
        <v>46173</v>
      </c>
    </row>
    <row r="42" spans="1:4" x14ac:dyDescent="0.3">
      <c r="A42" s="111" t="s">
        <v>1491</v>
      </c>
      <c r="B42" s="4">
        <f>VLOOKUP($A42,'CWO Bulan Lalu'!$G:$CS,90,0)</f>
        <v>0</v>
      </c>
      <c r="C42" s="4">
        <f>VLOOKUP($A42,'CWO Bulan Lalu'!$G:$CS,91,0)</f>
        <v>0</v>
      </c>
      <c r="D42" s="4">
        <f>VLOOKUP($A42,'CWO Bulan Lalu'!$G:$DL,60,0)</f>
        <v>46173</v>
      </c>
    </row>
    <row r="43" spans="1:4" x14ac:dyDescent="0.3">
      <c r="A43" s="110" t="s">
        <v>1503</v>
      </c>
      <c r="B43" s="4">
        <f>VLOOKUP($A43,'CWO Bulan Lalu'!$G:$CS,90,0)</f>
        <v>0</v>
      </c>
      <c r="C43" s="4">
        <f>VLOOKUP($A43,'CWO Bulan Lalu'!$G:$CS,91,0)</f>
        <v>0</v>
      </c>
      <c r="D43" s="4">
        <f>VLOOKUP($A43,'CWO Bulan Lalu'!$G:$DL,60,0)</f>
        <v>46173</v>
      </c>
    </row>
    <row r="44" spans="1:4" x14ac:dyDescent="0.3">
      <c r="A44" s="111" t="s">
        <v>1513</v>
      </c>
      <c r="B44" s="4">
        <f>VLOOKUP($A44,'CWO Bulan Lalu'!$G:$CS,90,0)</f>
        <v>0</v>
      </c>
      <c r="C44" s="4">
        <f>VLOOKUP($A44,'CWO Bulan Lalu'!$G:$CS,91,0)</f>
        <v>0</v>
      </c>
      <c r="D44" s="4">
        <f>VLOOKUP($A44,'CWO Bulan Lalu'!$G:$DL,60,0)</f>
        <v>46173</v>
      </c>
    </row>
    <row r="45" spans="1:4" x14ac:dyDescent="0.3">
      <c r="A45" s="110" t="s">
        <v>1523</v>
      </c>
      <c r="B45" s="4">
        <f>VLOOKUP($A45,'CWO Bulan Lalu'!$G:$CS,90,0)</f>
        <v>0</v>
      </c>
      <c r="C45" s="4">
        <f>VLOOKUP($A45,'CWO Bulan Lalu'!$G:$CS,91,0)</f>
        <v>0</v>
      </c>
      <c r="D45" s="4">
        <f>VLOOKUP($A45,'CWO Bulan Lalu'!$G:$DL,60,0)</f>
        <v>46173</v>
      </c>
    </row>
    <row r="46" spans="1:4" x14ac:dyDescent="0.3">
      <c r="A46" s="111" t="s">
        <v>1533</v>
      </c>
      <c r="B46" s="4">
        <f>VLOOKUP($A46,'CWO Bulan Lalu'!$G:$CS,90,0)</f>
        <v>0</v>
      </c>
      <c r="C46" s="4">
        <f>VLOOKUP($A46,'CWO Bulan Lalu'!$G:$CS,91,0)</f>
        <v>0</v>
      </c>
      <c r="D46" s="4">
        <f>VLOOKUP($A46,'CWO Bulan Lalu'!$G:$DL,60,0)</f>
        <v>46173</v>
      </c>
    </row>
    <row r="47" spans="1:4" x14ac:dyDescent="0.3">
      <c r="A47" s="110" t="s">
        <v>1543</v>
      </c>
      <c r="B47" s="4">
        <f>VLOOKUP($A47,'CWO Bulan Lalu'!$G:$CS,90,0)</f>
        <v>0</v>
      </c>
      <c r="C47" s="4">
        <f>VLOOKUP($A47,'CWO Bulan Lalu'!$G:$CS,91,0)</f>
        <v>0</v>
      </c>
      <c r="D47" s="4">
        <f>VLOOKUP($A47,'CWO Bulan Lalu'!$G:$DL,60,0)</f>
        <v>46173</v>
      </c>
    </row>
    <row r="48" spans="1:4" x14ac:dyDescent="0.3">
      <c r="A48" s="111" t="s">
        <v>1554</v>
      </c>
      <c r="B48" s="4">
        <f>VLOOKUP($A48,'CWO Bulan Lalu'!$G:$CS,90,0)</f>
        <v>0</v>
      </c>
      <c r="C48" s="4">
        <f>VLOOKUP($A48,'CWO Bulan Lalu'!$G:$CS,91,0)</f>
        <v>0</v>
      </c>
      <c r="D48" s="4">
        <f>VLOOKUP($A48,'CWO Bulan Lalu'!$G:$DL,60,0)</f>
        <v>46173</v>
      </c>
    </row>
    <row r="49" spans="1:4" x14ac:dyDescent="0.3">
      <c r="A49" s="110" t="s">
        <v>1097</v>
      </c>
      <c r="B49" s="4">
        <f>VLOOKUP($A49,'CWO Bulan Lalu'!$G:$CS,90,0)</f>
        <v>46146</v>
      </c>
      <c r="C49" s="4" t="str">
        <f>VLOOKUP($A49,'CWO Bulan Lalu'!$G:$CS,91,0)</f>
        <v>RB</v>
      </c>
      <c r="D49" s="4">
        <f>VLOOKUP($A49,'CWO Bulan Lalu'!$G:$DL,60,0)</f>
        <v>46173</v>
      </c>
    </row>
    <row r="50" spans="1:4" x14ac:dyDescent="0.3">
      <c r="A50" s="111" t="s">
        <v>1566</v>
      </c>
      <c r="B50" s="4">
        <f>VLOOKUP($A50,'CWO Bulan Lalu'!$G:$CS,90,0)</f>
        <v>46121</v>
      </c>
      <c r="C50" s="4" t="str">
        <f>VLOOKUP($A50,'CWO Bulan Lalu'!$G:$CS,91,0)</f>
        <v>REPO SEBELUM WO</v>
      </c>
      <c r="D50" s="4">
        <f>VLOOKUP($A50,'CWO Bulan Lalu'!$G:$DL,60,0)</f>
        <v>46173</v>
      </c>
    </row>
    <row r="51" spans="1:4" x14ac:dyDescent="0.3">
      <c r="A51" s="110" t="s">
        <v>1578</v>
      </c>
      <c r="B51" s="4">
        <f>VLOOKUP($A51,'CWO Bulan Lalu'!$G:$CS,90,0)</f>
        <v>46146</v>
      </c>
      <c r="C51" s="4" t="str">
        <f>VLOOKUP($A51,'CWO Bulan Lalu'!$G:$CS,91,0)</f>
        <v>RB</v>
      </c>
      <c r="D51" s="4">
        <f>VLOOKUP($A51,'CWO Bulan Lalu'!$G:$DL,60,0)</f>
        <v>46173</v>
      </c>
    </row>
    <row r="52" spans="1:4" x14ac:dyDescent="0.3">
      <c r="A52" s="111" t="s">
        <v>1590</v>
      </c>
      <c r="B52" s="4">
        <f>VLOOKUP($A52,'CWO Bulan Lalu'!$G:$CS,90,0)</f>
        <v>0</v>
      </c>
      <c r="C52" s="4">
        <f>VLOOKUP($A52,'CWO Bulan Lalu'!$G:$CS,91,0)</f>
        <v>0</v>
      </c>
      <c r="D52" s="4">
        <f>VLOOKUP($A52,'CWO Bulan Lalu'!$G:$DL,60,0)</f>
        <v>46173</v>
      </c>
    </row>
    <row r="53" spans="1:4" x14ac:dyDescent="0.3">
      <c r="A53" s="110" t="s">
        <v>1601</v>
      </c>
      <c r="B53" s="4">
        <f>VLOOKUP($A53,'CWO Bulan Lalu'!$G:$CS,90,0)</f>
        <v>0</v>
      </c>
      <c r="C53" s="4">
        <f>VLOOKUP($A53,'CWO Bulan Lalu'!$G:$CS,91,0)</f>
        <v>0</v>
      </c>
      <c r="D53" s="4">
        <f>VLOOKUP($A53,'CWO Bulan Lalu'!$G:$DL,60,0)</f>
        <v>46173</v>
      </c>
    </row>
    <row r="54" spans="1:4" x14ac:dyDescent="0.3">
      <c r="A54" s="111" t="s">
        <v>1610</v>
      </c>
      <c r="B54" s="4">
        <f>VLOOKUP($A54,'CWO Bulan Lalu'!$G:$CS,90,0)</f>
        <v>0</v>
      </c>
      <c r="C54" s="4">
        <f>VLOOKUP($A54,'CWO Bulan Lalu'!$G:$CS,91,0)</f>
        <v>0</v>
      </c>
      <c r="D54" s="4">
        <f>VLOOKUP($A54,'CWO Bulan Lalu'!$G:$DL,60,0)</f>
        <v>46173</v>
      </c>
    </row>
    <row r="55" spans="1:4" x14ac:dyDescent="0.3">
      <c r="A55" s="110" t="s">
        <v>1623</v>
      </c>
      <c r="B55" s="4">
        <f>VLOOKUP($A55,'CWO Bulan Lalu'!$G:$CS,90,0)</f>
        <v>0</v>
      </c>
      <c r="C55" s="4">
        <f>VLOOKUP($A55,'CWO Bulan Lalu'!$G:$CS,91,0)</f>
        <v>0</v>
      </c>
      <c r="D55" s="4">
        <f>VLOOKUP($A55,'CWO Bulan Lalu'!$G:$DL,60,0)</f>
        <v>46173</v>
      </c>
    </row>
    <row r="56" spans="1:4" x14ac:dyDescent="0.3">
      <c r="A56" s="111" t="s">
        <v>1635</v>
      </c>
      <c r="B56" s="4">
        <f>VLOOKUP($A56,'CWO Bulan Lalu'!$G:$CS,90,0)</f>
        <v>0</v>
      </c>
      <c r="C56" s="4">
        <f>VLOOKUP($A56,'CWO Bulan Lalu'!$G:$CS,91,0)</f>
        <v>0</v>
      </c>
      <c r="D56" s="4">
        <f>VLOOKUP($A56,'CWO Bulan Lalu'!$G:$DL,60,0)</f>
        <v>46173</v>
      </c>
    </row>
    <row r="57" spans="1:4" x14ac:dyDescent="0.3">
      <c r="A57" s="110" t="s">
        <v>1736</v>
      </c>
      <c r="B57" s="4">
        <f>VLOOKUP($A57,'CWO Bulan Lalu'!$G:$CS,90,0)</f>
        <v>46125</v>
      </c>
      <c r="C57" s="4" t="str">
        <f>VLOOKUP($A57,'CWO Bulan Lalu'!$G:$CS,91,0)</f>
        <v>REPO SEBELUM WO</v>
      </c>
      <c r="D57" s="4">
        <f>VLOOKUP($A57,'CWO Bulan Lalu'!$G:$DL,60,0)</f>
        <v>46173</v>
      </c>
    </row>
    <row r="58" spans="1:4" x14ac:dyDescent="0.3">
      <c r="A58" s="111" t="s">
        <v>945</v>
      </c>
      <c r="B58" s="4">
        <f>VLOOKUP($A58,'CWO Bulan Lalu'!$G:$CS,90,0)</f>
        <v>0</v>
      </c>
      <c r="C58" s="4">
        <f>VLOOKUP($A58,'CWO Bulan Lalu'!$G:$CS,91,0)</f>
        <v>0</v>
      </c>
      <c r="D58" s="4">
        <f>VLOOKUP($A58,'CWO Bulan Lalu'!$G:$DL,60,0)</f>
        <v>46173</v>
      </c>
    </row>
    <row r="59" spans="1:4" x14ac:dyDescent="0.3">
      <c r="A59" s="110" t="s">
        <v>1751</v>
      </c>
      <c r="B59" s="4">
        <f>VLOOKUP($A59,'CWO Bulan Lalu'!$G:$CS,90,0)</f>
        <v>0</v>
      </c>
      <c r="C59" s="4">
        <f>VLOOKUP($A59,'CWO Bulan Lalu'!$G:$CS,91,0)</f>
        <v>0</v>
      </c>
      <c r="D59" s="4">
        <f>VLOOKUP($A59,'CWO Bulan Lalu'!$G:$DL,60,0)</f>
        <v>46173</v>
      </c>
    </row>
    <row r="60" spans="1:4" x14ac:dyDescent="0.3">
      <c r="A60" s="111" t="s">
        <v>1763</v>
      </c>
      <c r="B60" s="4">
        <f>VLOOKUP($A60,'CWO Bulan Lalu'!$G:$CS,90,0)</f>
        <v>0</v>
      </c>
      <c r="C60" s="4">
        <f>VLOOKUP($A60,'CWO Bulan Lalu'!$G:$CS,91,0)</f>
        <v>0</v>
      </c>
      <c r="D60" s="4">
        <f>VLOOKUP($A60,'CWO Bulan Lalu'!$G:$DL,60,0)</f>
        <v>46173</v>
      </c>
    </row>
    <row r="61" spans="1:4" x14ac:dyDescent="0.3">
      <c r="A61" s="110" t="s">
        <v>1788</v>
      </c>
      <c r="B61" s="4">
        <f>VLOOKUP($A61,'CWO Bulan Lalu'!$G:$CS,90,0)</f>
        <v>0</v>
      </c>
      <c r="C61" s="4">
        <f>VLOOKUP($A61,'CWO Bulan Lalu'!$G:$CS,91,0)</f>
        <v>0</v>
      </c>
      <c r="D61" s="4">
        <f>VLOOKUP($A61,'CWO Bulan Lalu'!$G:$DL,60,0)</f>
        <v>46173</v>
      </c>
    </row>
    <row r="62" spans="1:4" x14ac:dyDescent="0.3">
      <c r="A62" s="111" t="s">
        <v>1801</v>
      </c>
      <c r="B62" s="4">
        <f>VLOOKUP($A62,'CWO Bulan Lalu'!$G:$CS,90,0)</f>
        <v>0</v>
      </c>
      <c r="C62" s="4">
        <f>VLOOKUP($A62,'CWO Bulan Lalu'!$G:$CS,91,0)</f>
        <v>0</v>
      </c>
      <c r="D62" s="4">
        <f>VLOOKUP($A62,'CWO Bulan Lalu'!$G:$DL,60,0)</f>
        <v>46173</v>
      </c>
    </row>
    <row r="63" spans="1:4" x14ac:dyDescent="0.3">
      <c r="A63" s="110" t="s">
        <v>1812</v>
      </c>
      <c r="B63" s="4">
        <f>VLOOKUP($A63,'CWO Bulan Lalu'!$G:$CS,90,0)</f>
        <v>0</v>
      </c>
      <c r="C63" s="4">
        <f>VLOOKUP($A63,'CWO Bulan Lalu'!$G:$CS,91,0)</f>
        <v>0</v>
      </c>
      <c r="D63" s="4">
        <f>VLOOKUP($A63,'CWO Bulan Lalu'!$G:$DL,60,0)</f>
        <v>46173</v>
      </c>
    </row>
    <row r="64" spans="1:4" x14ac:dyDescent="0.3">
      <c r="A64" s="111" t="s">
        <v>1823</v>
      </c>
      <c r="B64" s="4">
        <f>VLOOKUP($A64,'CWO Bulan Lalu'!$G:$CS,90,0)</f>
        <v>0</v>
      </c>
      <c r="C64" s="4">
        <f>VLOOKUP($A64,'CWO Bulan Lalu'!$G:$CS,91,0)</f>
        <v>0</v>
      </c>
      <c r="D64" s="4">
        <f>VLOOKUP($A64,'CWO Bulan Lalu'!$G:$DL,60,0)</f>
        <v>46173</v>
      </c>
    </row>
    <row r="65" spans="1:4" x14ac:dyDescent="0.3">
      <c r="A65" s="110" t="s">
        <v>1136</v>
      </c>
      <c r="B65" s="4">
        <f>VLOOKUP($A65,'CWO Bulan Lalu'!$G:$CS,90,0)</f>
        <v>0</v>
      </c>
      <c r="C65" s="4">
        <f>VLOOKUP($A65,'CWO Bulan Lalu'!$G:$CS,91,0)</f>
        <v>0</v>
      </c>
      <c r="D65" s="4">
        <f>VLOOKUP($A65,'CWO Bulan Lalu'!$G:$DL,60,0)</f>
        <v>46173</v>
      </c>
    </row>
    <row r="66" spans="1:4" x14ac:dyDescent="0.3">
      <c r="A66" s="111" t="s">
        <v>1832</v>
      </c>
      <c r="B66" s="4">
        <f>VLOOKUP($A66,'CWO Bulan Lalu'!$G:$CS,90,0)</f>
        <v>46126</v>
      </c>
      <c r="C66" s="4" t="str">
        <f>VLOOKUP($A66,'CWO Bulan Lalu'!$G:$CS,91,0)</f>
        <v>REPO SEBELUM WO</v>
      </c>
      <c r="D66" s="4">
        <f>VLOOKUP($A66,'CWO Bulan Lalu'!$G:$DL,60,0)</f>
        <v>46173</v>
      </c>
    </row>
    <row r="67" spans="1:4" x14ac:dyDescent="0.3">
      <c r="A67" s="110" t="s">
        <v>1844</v>
      </c>
      <c r="B67" s="4">
        <f>VLOOKUP($A67,'CWO Bulan Lalu'!$G:$CS,90,0)</f>
        <v>0</v>
      </c>
      <c r="C67" s="4">
        <f>VLOOKUP($A67,'CWO Bulan Lalu'!$G:$CS,91,0)</f>
        <v>0</v>
      </c>
      <c r="D67" s="4">
        <f>VLOOKUP($A67,'CWO Bulan Lalu'!$G:$DL,60,0)</f>
        <v>46173</v>
      </c>
    </row>
    <row r="68" spans="1:4" x14ac:dyDescent="0.3">
      <c r="A68" s="111" t="s">
        <v>1855</v>
      </c>
      <c r="B68" s="4">
        <f>VLOOKUP($A68,'CWO Bulan Lalu'!$G:$CS,90,0)</f>
        <v>46077</v>
      </c>
      <c r="C68" s="4" t="str">
        <f>VLOOKUP($A68,'CWO Bulan Lalu'!$G:$CS,91,0)</f>
        <v>REPO SEBELUM WO</v>
      </c>
      <c r="D68" s="4">
        <f>VLOOKUP($A68,'CWO Bulan Lalu'!$G:$DL,60,0)</f>
        <v>46173</v>
      </c>
    </row>
    <row r="69" spans="1:4" x14ac:dyDescent="0.3">
      <c r="A69" s="110" t="s">
        <v>1869</v>
      </c>
      <c r="B69" s="4">
        <f>VLOOKUP($A69,'CWO Bulan Lalu'!$G:$CS,90,0)</f>
        <v>0</v>
      </c>
      <c r="C69" s="4">
        <f>VLOOKUP($A69,'CWO Bulan Lalu'!$G:$CS,91,0)</f>
        <v>0</v>
      </c>
      <c r="D69" s="4">
        <f>VLOOKUP($A69,'CWO Bulan Lalu'!$G:$DL,60,0)</f>
        <v>46173</v>
      </c>
    </row>
    <row r="70" spans="1:4" x14ac:dyDescent="0.3">
      <c r="A70" s="111" t="s">
        <v>1883</v>
      </c>
      <c r="B70" s="4">
        <f>VLOOKUP($A70,'CWO Bulan Lalu'!$G:$CS,90,0)</f>
        <v>0</v>
      </c>
      <c r="C70" s="4">
        <f>VLOOKUP($A70,'CWO Bulan Lalu'!$G:$CS,91,0)</f>
        <v>0</v>
      </c>
      <c r="D70" s="4">
        <f>VLOOKUP($A70,'CWO Bulan Lalu'!$G:$DL,60,0)</f>
        <v>46173</v>
      </c>
    </row>
    <row r="71" spans="1:4" x14ac:dyDescent="0.3">
      <c r="A71" s="110" t="s">
        <v>1905</v>
      </c>
      <c r="B71" s="4">
        <f>VLOOKUP($A71,'CWO Bulan Lalu'!$G:$CS,90,0)</f>
        <v>0</v>
      </c>
      <c r="C71" s="4">
        <f>VLOOKUP($A71,'CWO Bulan Lalu'!$G:$CS,91,0)</f>
        <v>0</v>
      </c>
      <c r="D71" s="4">
        <f>VLOOKUP($A71,'CWO Bulan Lalu'!$G:$DL,60,0)</f>
        <v>46173</v>
      </c>
    </row>
    <row r="72" spans="1:4" x14ac:dyDescent="0.3">
      <c r="A72" s="111" t="s">
        <v>1916</v>
      </c>
      <c r="B72" s="4">
        <f>VLOOKUP($A72,'CWO Bulan Lalu'!$G:$CS,90,0)</f>
        <v>0</v>
      </c>
      <c r="C72" s="4">
        <f>VLOOKUP($A72,'CWO Bulan Lalu'!$G:$CS,91,0)</f>
        <v>0</v>
      </c>
      <c r="D72" s="4">
        <f>VLOOKUP($A72,'CWO Bulan Lalu'!$G:$DL,60,0)</f>
        <v>46173</v>
      </c>
    </row>
    <row r="73" spans="1:4" x14ac:dyDescent="0.3">
      <c r="A73" s="110" t="s">
        <v>1928</v>
      </c>
      <c r="B73" s="4">
        <f>VLOOKUP($A73,'CWO Bulan Lalu'!$G:$CS,90,0)</f>
        <v>46137</v>
      </c>
      <c r="C73" s="4" t="str">
        <f>VLOOKUP($A73,'CWO Bulan Lalu'!$G:$CS,91,0)</f>
        <v>REPO SEBELUM WO</v>
      </c>
      <c r="D73" s="4">
        <f>VLOOKUP($A73,'CWO Bulan Lalu'!$G:$DL,60,0)</f>
        <v>46173</v>
      </c>
    </row>
    <row r="74" spans="1:4" x14ac:dyDescent="0.3">
      <c r="A74" s="111" t="s">
        <v>963</v>
      </c>
      <c r="B74" s="4">
        <f>VLOOKUP($A74,'CWO Bulan Lalu'!$G:$CS,90,0)</f>
        <v>46147</v>
      </c>
      <c r="C74" s="4" t="str">
        <f>VLOOKUP($A74,'CWO Bulan Lalu'!$G:$CS,91,0)</f>
        <v>RB</v>
      </c>
      <c r="D74" s="4">
        <f>VLOOKUP($A74,'CWO Bulan Lalu'!$G:$DL,60,0)</f>
        <v>46173</v>
      </c>
    </row>
    <row r="75" spans="1:4" x14ac:dyDescent="0.3">
      <c r="A75" s="110" t="s">
        <v>1938</v>
      </c>
      <c r="B75" s="4">
        <f>VLOOKUP($A75,'CWO Bulan Lalu'!$G:$CS,90,0)</f>
        <v>0</v>
      </c>
      <c r="C75" s="4">
        <f>VLOOKUP($A75,'CWO Bulan Lalu'!$G:$CS,91,0)</f>
        <v>0</v>
      </c>
      <c r="D75" s="4">
        <f>VLOOKUP($A75,'CWO Bulan Lalu'!$G:$DL,60,0)</f>
        <v>46173</v>
      </c>
    </row>
    <row r="76" spans="1:4" x14ac:dyDescent="0.3">
      <c r="A76" s="111" t="s">
        <v>1949</v>
      </c>
      <c r="B76" s="4">
        <f>VLOOKUP($A76,'CWO Bulan Lalu'!$G:$CS,90,0)</f>
        <v>0</v>
      </c>
      <c r="C76" s="4">
        <f>VLOOKUP($A76,'CWO Bulan Lalu'!$G:$CS,91,0)</f>
        <v>0</v>
      </c>
      <c r="D76" s="4">
        <f>VLOOKUP($A76,'CWO Bulan Lalu'!$G:$DL,60,0)</f>
        <v>46173</v>
      </c>
    </row>
    <row r="77" spans="1:4" x14ac:dyDescent="0.3">
      <c r="A77" s="110" t="s">
        <v>1960</v>
      </c>
      <c r="B77" s="4">
        <f>VLOOKUP($A77,'CWO Bulan Lalu'!$G:$CS,90,0)</f>
        <v>0</v>
      </c>
      <c r="C77" s="4">
        <f>VLOOKUP($A77,'CWO Bulan Lalu'!$G:$CS,91,0)</f>
        <v>0</v>
      </c>
      <c r="D77" s="4">
        <f>VLOOKUP($A77,'CWO Bulan Lalu'!$G:$DL,60,0)</f>
        <v>46173</v>
      </c>
    </row>
    <row r="78" spans="1:4" x14ac:dyDescent="0.3">
      <c r="A78" s="111" t="s">
        <v>1976</v>
      </c>
      <c r="B78" s="4">
        <f>VLOOKUP($A78,'CWO Bulan Lalu'!$G:$CS,90,0)</f>
        <v>0</v>
      </c>
      <c r="C78" s="4">
        <f>VLOOKUP($A78,'CWO Bulan Lalu'!$G:$CS,91,0)</f>
        <v>0</v>
      </c>
      <c r="D78" s="4">
        <f>VLOOKUP($A78,'CWO Bulan Lalu'!$G:$DL,60,0)</f>
        <v>46173</v>
      </c>
    </row>
    <row r="79" spans="1:4" x14ac:dyDescent="0.3">
      <c r="A79" s="110" t="s">
        <v>1987</v>
      </c>
      <c r="B79" s="4">
        <f>VLOOKUP($A79,'CWO Bulan Lalu'!$G:$CS,90,0)</f>
        <v>0</v>
      </c>
      <c r="C79" s="4">
        <f>VLOOKUP($A79,'CWO Bulan Lalu'!$G:$CS,91,0)</f>
        <v>0</v>
      </c>
      <c r="D79" s="4">
        <f>VLOOKUP($A79,'CWO Bulan Lalu'!$G:$DL,60,0)</f>
        <v>46173</v>
      </c>
    </row>
    <row r="80" spans="1:4" x14ac:dyDescent="0.3">
      <c r="A80" s="111" t="s">
        <v>1999</v>
      </c>
      <c r="B80" s="4">
        <f>VLOOKUP($A80,'CWO Bulan Lalu'!$G:$CS,90,0)</f>
        <v>0</v>
      </c>
      <c r="C80" s="4">
        <f>VLOOKUP($A80,'CWO Bulan Lalu'!$G:$CS,91,0)</f>
        <v>0</v>
      </c>
      <c r="D80" s="4">
        <f>VLOOKUP($A80,'CWO Bulan Lalu'!$G:$DL,60,0)</f>
        <v>46173</v>
      </c>
    </row>
    <row r="81" spans="1:4" x14ac:dyDescent="0.3">
      <c r="A81" s="110" t="s">
        <v>982</v>
      </c>
      <c r="B81" s="4">
        <f>VLOOKUP($A81,'CWO Bulan Lalu'!$G:$CS,90,0)</f>
        <v>0</v>
      </c>
      <c r="C81" s="4">
        <f>VLOOKUP($A81,'CWO Bulan Lalu'!$G:$CS,91,0)</f>
        <v>0</v>
      </c>
      <c r="D81" s="4">
        <f>VLOOKUP($A81,'CWO Bulan Lalu'!$G:$DL,60,0)</f>
        <v>46173</v>
      </c>
    </row>
    <row r="82" spans="1:4" x14ac:dyDescent="0.3">
      <c r="A82" s="111" t="s">
        <v>872</v>
      </c>
      <c r="B82" s="4">
        <f>VLOOKUP($A82,'CWO Bulan Lalu'!$G:$CS,90,0)</f>
        <v>0</v>
      </c>
      <c r="C82" s="4">
        <f>VLOOKUP($A82,'CWO Bulan Lalu'!$G:$CS,91,0)</f>
        <v>0</v>
      </c>
      <c r="D82" s="4">
        <f>VLOOKUP($A82,'CWO Bulan Lalu'!$G:$DL,60,0)</f>
        <v>46173</v>
      </c>
    </row>
    <row r="83" spans="1:4" x14ac:dyDescent="0.3">
      <c r="A83" s="110" t="s">
        <v>2009</v>
      </c>
      <c r="B83" s="4">
        <f>VLOOKUP($A83,'CWO Bulan Lalu'!$G:$CS,90,0)</f>
        <v>46144</v>
      </c>
      <c r="C83" s="4" t="str">
        <f>VLOOKUP($A83,'CWO Bulan Lalu'!$G:$CS,91,0)</f>
        <v>RB</v>
      </c>
      <c r="D83" s="4">
        <f>VLOOKUP($A83,'CWO Bulan Lalu'!$G:$DL,60,0)</f>
        <v>46173</v>
      </c>
    </row>
    <row r="84" spans="1:4" x14ac:dyDescent="0.3">
      <c r="A84" s="111" t="s">
        <v>2023</v>
      </c>
      <c r="B84" s="4">
        <f>VLOOKUP($A84,'CWO Bulan Lalu'!$G:$CS,90,0)</f>
        <v>0</v>
      </c>
      <c r="C84" s="4">
        <f>VLOOKUP($A84,'CWO Bulan Lalu'!$G:$CS,91,0)</f>
        <v>0</v>
      </c>
      <c r="D84" s="4">
        <f>VLOOKUP($A84,'CWO Bulan Lalu'!$G:$DL,60,0)</f>
        <v>46173</v>
      </c>
    </row>
    <row r="85" spans="1:4" x14ac:dyDescent="0.3">
      <c r="A85" s="110" t="s">
        <v>2035</v>
      </c>
      <c r="B85" s="4">
        <f>VLOOKUP($A85,'CWO Bulan Lalu'!$G:$CS,90,0)</f>
        <v>46149</v>
      </c>
      <c r="C85" s="4" t="str">
        <f>VLOOKUP($A85,'CWO Bulan Lalu'!$G:$CS,91,0)</f>
        <v>LUNAS SEBELUM WO</v>
      </c>
      <c r="D85" s="4">
        <f>VLOOKUP($A85,'CWO Bulan Lalu'!$G:$DL,60,0)</f>
        <v>46173</v>
      </c>
    </row>
    <row r="86" spans="1:4" x14ac:dyDescent="0.3">
      <c r="A86" s="111" t="s">
        <v>2047</v>
      </c>
      <c r="B86" s="4">
        <f>VLOOKUP($A86,'CWO Bulan Lalu'!$G:$CS,90,0)</f>
        <v>46149</v>
      </c>
      <c r="C86" s="4" t="str">
        <f>VLOOKUP($A86,'CWO Bulan Lalu'!$G:$CS,91,0)</f>
        <v>RB</v>
      </c>
      <c r="D86" s="4">
        <f>VLOOKUP($A86,'CWO Bulan Lalu'!$G:$DL,60,0)</f>
        <v>46173</v>
      </c>
    </row>
    <row r="87" spans="1:4" x14ac:dyDescent="0.3">
      <c r="A87" s="110" t="s">
        <v>2059</v>
      </c>
      <c r="B87" s="4">
        <f>VLOOKUP($A87,'CWO Bulan Lalu'!$G:$CS,90,0)</f>
        <v>0</v>
      </c>
      <c r="C87" s="4">
        <f>VLOOKUP($A87,'CWO Bulan Lalu'!$G:$CS,91,0)</f>
        <v>0</v>
      </c>
      <c r="D87" s="4">
        <f>VLOOKUP($A87,'CWO Bulan Lalu'!$G:$DL,60,0)</f>
        <v>46173</v>
      </c>
    </row>
    <row r="88" spans="1:4" x14ac:dyDescent="0.3">
      <c r="A88" s="111" t="s">
        <v>2073</v>
      </c>
      <c r="B88" s="4">
        <f>VLOOKUP($A88,'CWO Bulan Lalu'!$G:$CS,90,0)</f>
        <v>46146</v>
      </c>
      <c r="C88" s="4" t="str">
        <f>VLOOKUP($A88,'CWO Bulan Lalu'!$G:$CS,91,0)</f>
        <v>RB</v>
      </c>
      <c r="D88" s="4">
        <f>VLOOKUP($A88,'CWO Bulan Lalu'!$G:$DL,60,0)</f>
        <v>46173</v>
      </c>
    </row>
    <row r="89" spans="1:4" x14ac:dyDescent="0.3">
      <c r="A89" s="110" t="s">
        <v>994</v>
      </c>
      <c r="B89" s="4">
        <f>VLOOKUP($A89,'CWO Bulan Lalu'!$G:$CS,90,0)</f>
        <v>46144</v>
      </c>
      <c r="C89" s="4" t="str">
        <f>VLOOKUP($A89,'CWO Bulan Lalu'!$G:$CS,91,0)</f>
        <v>RB</v>
      </c>
      <c r="D89" s="4">
        <f>VLOOKUP($A89,'CWO Bulan Lalu'!$G:$DL,60,0)</f>
        <v>46173</v>
      </c>
    </row>
    <row r="90" spans="1:4" x14ac:dyDescent="0.3">
      <c r="A90" s="111" t="s">
        <v>2083</v>
      </c>
      <c r="B90" s="4">
        <f>VLOOKUP($A90,'CWO Bulan Lalu'!$G:$CS,90,0)</f>
        <v>0</v>
      </c>
      <c r="C90" s="4">
        <f>VLOOKUP($A90,'CWO Bulan Lalu'!$G:$CS,91,0)</f>
        <v>0</v>
      </c>
      <c r="D90" s="4">
        <f>VLOOKUP($A90,'CWO Bulan Lalu'!$G:$DL,60,0)</f>
        <v>46173</v>
      </c>
    </row>
    <row r="91" spans="1:4" x14ac:dyDescent="0.3">
      <c r="A91" s="110" t="s">
        <v>2094</v>
      </c>
      <c r="B91" s="4">
        <f>VLOOKUP($A91,'CWO Bulan Lalu'!$G:$CS,90,0)</f>
        <v>0</v>
      </c>
      <c r="C91" s="4">
        <f>VLOOKUP($A91,'CWO Bulan Lalu'!$G:$CS,91,0)</f>
        <v>0</v>
      </c>
      <c r="D91" s="4">
        <f>VLOOKUP($A91,'CWO Bulan Lalu'!$G:$DL,60,0)</f>
        <v>46173</v>
      </c>
    </row>
    <row r="92" spans="1:4" x14ac:dyDescent="0.3">
      <c r="A92" s="111" t="s">
        <v>2104</v>
      </c>
      <c r="B92" s="4">
        <f>VLOOKUP($A92,'CWO Bulan Lalu'!$G:$CS,90,0)</f>
        <v>0</v>
      </c>
      <c r="C92" s="4">
        <f>VLOOKUP($A92,'CWO Bulan Lalu'!$G:$CS,91,0)</f>
        <v>0</v>
      </c>
      <c r="D92" s="4">
        <f>VLOOKUP($A92,'CWO Bulan Lalu'!$G:$DL,60,0)</f>
        <v>46173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KC</vt:lpstr>
      <vt:lpstr>CWO Bulan Lalu</vt:lpstr>
      <vt:lpstr>CWO Bulan Ini</vt:lpstr>
      <vt:lpstr>Dashboard</vt:lpstr>
      <vt:lpstr>Summary by Tgl</vt:lpstr>
      <vt:lpstr>Area-Cabang</vt:lpstr>
      <vt:lpstr>Cwo Flow ke WO</vt:lpstr>
      <vt:lpstr>Detail_4W</vt:lpstr>
      <vt:lpstr>Detail_2W</vt:lpstr>
      <vt:lpstr>Bantuan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RAHIEL HAFIZH</dc:creator>
  <cp:lastModifiedBy>Rahiel Hafizh</cp:lastModifiedBy>
  <dcterms:created xsi:type="dcterms:W3CDTF">2025-10-16T02:19:34Z</dcterms:created>
  <dcterms:modified xsi:type="dcterms:W3CDTF">2026-06-08T03:24:53Z</dcterms:modified>
</cp:coreProperties>
</file>